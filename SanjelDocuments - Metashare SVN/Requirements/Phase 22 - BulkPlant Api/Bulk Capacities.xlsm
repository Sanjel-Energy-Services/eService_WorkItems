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wang\Downloads\"/>
    </mc:Choice>
  </mc:AlternateContent>
  <xr:revisionPtr revIDLastSave="0" documentId="8_{3AC0E0B1-7730-4490-95AC-064FB3591CA5}" xr6:coauthVersionLast="45" xr6:coauthVersionMax="45" xr10:uidLastSave="{00000000-0000-0000-0000-000000000000}"/>
  <bookViews>
    <workbookView xWindow="3180" yWindow="1095" windowWidth="18900" windowHeight="13155" tabRatio="856" activeTab="2" xr2:uid="{00000000-000D-0000-FFFF-FFFF00000000}"/>
  </bookViews>
  <sheets>
    <sheet name="Input Sheet" sheetId="6" r:id="rId1"/>
    <sheet name="Blends and Vessels List" sheetId="7" state="hidden" r:id="rId2"/>
    <sheet name="Bulker loading limits" sheetId="9" r:id="rId3"/>
    <sheet name="Stationary bulk equipment" sheetId="3" r:id="rId4"/>
    <sheet name="Weigh silo &amp; blend train" sheetId="4" r:id="rId5"/>
    <sheet name="Transport bulk equipment" sheetId="5" r:id="rId6"/>
    <sheet name="Notes" sheetId="8" r:id="rId7"/>
    <sheet name="All - 100% capacity (reference)" sheetId="2" r:id="rId8"/>
  </sheets>
  <definedNames>
    <definedName name="DropDownList">'Blends and Vessels List'!$D$2:$D$98</definedName>
    <definedName name="VesselList">'Blends and Vessels List'!$K$2:INDEX('Blends and Vessels List'!$K$2:$K$16,MAX('Blends and Vessels List'!$J$2:$J$16),1)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6" i="6" l="1"/>
  <c r="N6" i="6" l="1"/>
  <c r="C35" i="5" l="1"/>
  <c r="E35" i="5"/>
  <c r="G35" i="5"/>
  <c r="I35" i="5"/>
  <c r="K35" i="5"/>
  <c r="O35" i="5"/>
  <c r="Q35" i="5"/>
  <c r="U35" i="5"/>
  <c r="Y35" i="5" s="1"/>
  <c r="W35" i="5"/>
  <c r="C35" i="4"/>
  <c r="E35" i="4"/>
  <c r="G35" i="4"/>
  <c r="I35" i="4"/>
  <c r="K35" i="4"/>
  <c r="M35" i="4"/>
  <c r="O35" i="4"/>
  <c r="Q35" i="4"/>
  <c r="C35" i="3"/>
  <c r="E35" i="3"/>
  <c r="G35" i="3"/>
  <c r="I35" i="3"/>
  <c r="K35" i="3"/>
  <c r="M35" i="5" l="1"/>
  <c r="S35" i="5"/>
  <c r="M3" i="6"/>
  <c r="C93" i="5" l="1"/>
  <c r="E93" i="5"/>
  <c r="G93" i="5"/>
  <c r="I93" i="5"/>
  <c r="K93" i="5"/>
  <c r="O93" i="5"/>
  <c r="Q93" i="5"/>
  <c r="U93" i="5"/>
  <c r="W93" i="5"/>
  <c r="C94" i="5"/>
  <c r="E94" i="5"/>
  <c r="G94" i="5"/>
  <c r="I94" i="5"/>
  <c r="K94" i="5"/>
  <c r="O94" i="5"/>
  <c r="Q94" i="5"/>
  <c r="U94" i="5"/>
  <c r="W94" i="5"/>
  <c r="C95" i="5"/>
  <c r="E95" i="5"/>
  <c r="G95" i="5"/>
  <c r="I95" i="5"/>
  <c r="K95" i="5"/>
  <c r="O95" i="5"/>
  <c r="Q95" i="5"/>
  <c r="U95" i="5"/>
  <c r="W95" i="5"/>
  <c r="C96" i="5"/>
  <c r="E96" i="5"/>
  <c r="G96" i="5"/>
  <c r="I96" i="5"/>
  <c r="K96" i="5"/>
  <c r="O96" i="5"/>
  <c r="Q96" i="5"/>
  <c r="U96" i="5"/>
  <c r="W96" i="5"/>
  <c r="C97" i="5"/>
  <c r="E97" i="5"/>
  <c r="G97" i="5"/>
  <c r="I97" i="5"/>
  <c r="K97" i="5"/>
  <c r="O97" i="5"/>
  <c r="Q97" i="5"/>
  <c r="U97" i="5"/>
  <c r="W97" i="5"/>
  <c r="C98" i="5"/>
  <c r="E98" i="5"/>
  <c r="G98" i="5"/>
  <c r="I98" i="5"/>
  <c r="K98" i="5"/>
  <c r="O98" i="5"/>
  <c r="S98" i="5" s="1"/>
  <c r="Q98" i="5"/>
  <c r="U98" i="5"/>
  <c r="W98" i="5"/>
  <c r="C99" i="5"/>
  <c r="E99" i="5"/>
  <c r="G99" i="5"/>
  <c r="I99" i="5"/>
  <c r="M99" i="5" s="1"/>
  <c r="K99" i="5"/>
  <c r="O99" i="5"/>
  <c r="Q99" i="5"/>
  <c r="U99" i="5"/>
  <c r="W99" i="5"/>
  <c r="C100" i="5"/>
  <c r="E100" i="5"/>
  <c r="G100" i="5"/>
  <c r="I100" i="5"/>
  <c r="K100" i="5"/>
  <c r="O100" i="5"/>
  <c r="Q100" i="5"/>
  <c r="U100" i="5"/>
  <c r="W100" i="5"/>
  <c r="C101" i="5"/>
  <c r="E101" i="5"/>
  <c r="G101" i="5"/>
  <c r="I101" i="5"/>
  <c r="K101" i="5"/>
  <c r="O101" i="5"/>
  <c r="Q101" i="5"/>
  <c r="U101" i="5"/>
  <c r="W101" i="5"/>
  <c r="C102" i="5"/>
  <c r="E102" i="5"/>
  <c r="G102" i="5"/>
  <c r="I102" i="5"/>
  <c r="K102" i="5"/>
  <c r="O102" i="5"/>
  <c r="Q102" i="5"/>
  <c r="U102" i="5"/>
  <c r="W102" i="5"/>
  <c r="C103" i="5"/>
  <c r="E103" i="5"/>
  <c r="G103" i="5"/>
  <c r="I103" i="5"/>
  <c r="K103" i="5"/>
  <c r="O103" i="5"/>
  <c r="Q103" i="5"/>
  <c r="U103" i="5"/>
  <c r="W103" i="5"/>
  <c r="C104" i="5"/>
  <c r="E104" i="5"/>
  <c r="G104" i="5"/>
  <c r="I104" i="5"/>
  <c r="K104" i="5"/>
  <c r="O104" i="5"/>
  <c r="Q104" i="5"/>
  <c r="U104" i="5"/>
  <c r="W104" i="5"/>
  <c r="C93" i="4"/>
  <c r="E93" i="4"/>
  <c r="G93" i="4"/>
  <c r="I93" i="4"/>
  <c r="K93" i="4"/>
  <c r="M93" i="4"/>
  <c r="O93" i="4"/>
  <c r="Q93" i="4"/>
  <c r="C94" i="4"/>
  <c r="E94" i="4"/>
  <c r="G94" i="4"/>
  <c r="I94" i="4"/>
  <c r="K94" i="4"/>
  <c r="M94" i="4"/>
  <c r="O94" i="4"/>
  <c r="Q94" i="4"/>
  <c r="C95" i="4"/>
  <c r="E95" i="4"/>
  <c r="G95" i="4"/>
  <c r="I95" i="4"/>
  <c r="K95" i="4"/>
  <c r="M95" i="4"/>
  <c r="O95" i="4"/>
  <c r="Q95" i="4"/>
  <c r="C96" i="4"/>
  <c r="E96" i="4"/>
  <c r="G96" i="4"/>
  <c r="I96" i="4"/>
  <c r="K96" i="4"/>
  <c r="M96" i="4"/>
  <c r="O96" i="4"/>
  <c r="Q96" i="4"/>
  <c r="C97" i="4"/>
  <c r="E97" i="4"/>
  <c r="G97" i="4"/>
  <c r="I97" i="4"/>
  <c r="K97" i="4"/>
  <c r="M97" i="4"/>
  <c r="O97" i="4"/>
  <c r="Q97" i="4"/>
  <c r="C98" i="4"/>
  <c r="E98" i="4"/>
  <c r="G98" i="4"/>
  <c r="I98" i="4"/>
  <c r="K98" i="4"/>
  <c r="M98" i="4"/>
  <c r="O98" i="4"/>
  <c r="Q98" i="4"/>
  <c r="C99" i="4"/>
  <c r="E99" i="4"/>
  <c r="G99" i="4"/>
  <c r="I99" i="4"/>
  <c r="K99" i="4"/>
  <c r="M99" i="4"/>
  <c r="O99" i="4"/>
  <c r="Q99" i="4"/>
  <c r="C100" i="4"/>
  <c r="E100" i="4"/>
  <c r="G100" i="4"/>
  <c r="I100" i="4"/>
  <c r="K100" i="4"/>
  <c r="M100" i="4"/>
  <c r="O100" i="4"/>
  <c r="Q100" i="4"/>
  <c r="C101" i="4"/>
  <c r="E101" i="4"/>
  <c r="G101" i="4"/>
  <c r="I101" i="4"/>
  <c r="K101" i="4"/>
  <c r="M101" i="4"/>
  <c r="O101" i="4"/>
  <c r="Q101" i="4"/>
  <c r="C102" i="4"/>
  <c r="E102" i="4"/>
  <c r="G102" i="4"/>
  <c r="I102" i="4"/>
  <c r="K102" i="4"/>
  <c r="M102" i="4"/>
  <c r="O102" i="4"/>
  <c r="Q102" i="4"/>
  <c r="C103" i="4"/>
  <c r="E103" i="4"/>
  <c r="G103" i="4"/>
  <c r="I103" i="4"/>
  <c r="K103" i="4"/>
  <c r="M103" i="4"/>
  <c r="O103" i="4"/>
  <c r="Q103" i="4"/>
  <c r="C104" i="4"/>
  <c r="E104" i="4"/>
  <c r="G104" i="4"/>
  <c r="I104" i="4"/>
  <c r="K104" i="4"/>
  <c r="M104" i="4"/>
  <c r="O104" i="4"/>
  <c r="Q104" i="4"/>
  <c r="M97" i="5" l="1"/>
  <c r="Y102" i="5"/>
  <c r="S96" i="5"/>
  <c r="Y94" i="5"/>
  <c r="Y100" i="5"/>
  <c r="Y104" i="5"/>
  <c r="Y98" i="5"/>
  <c r="Y96" i="5"/>
  <c r="S101" i="5"/>
  <c r="S103" i="5"/>
  <c r="M101" i="5"/>
  <c r="Y103" i="5"/>
  <c r="S99" i="5"/>
  <c r="M95" i="5"/>
  <c r="S94" i="5"/>
  <c r="M102" i="5"/>
  <c r="Y99" i="5"/>
  <c r="S95" i="5"/>
  <c r="S100" i="5"/>
  <c r="M96" i="5"/>
  <c r="Y93" i="5"/>
  <c r="S104" i="5"/>
  <c r="M100" i="5"/>
  <c r="Y97" i="5"/>
  <c r="M104" i="5"/>
  <c r="Y101" i="5"/>
  <c r="S97" i="5"/>
  <c r="M93" i="5"/>
  <c r="M103" i="5"/>
  <c r="S102" i="5"/>
  <c r="M98" i="5"/>
  <c r="Y95" i="5"/>
  <c r="M94" i="5"/>
  <c r="S93" i="5"/>
  <c r="C94" i="3"/>
  <c r="E94" i="3"/>
  <c r="G94" i="3"/>
  <c r="I94" i="3"/>
  <c r="K94" i="3"/>
  <c r="C95" i="3"/>
  <c r="E95" i="3"/>
  <c r="G95" i="3"/>
  <c r="I95" i="3"/>
  <c r="K95" i="3"/>
  <c r="C96" i="3"/>
  <c r="E96" i="3"/>
  <c r="G96" i="3"/>
  <c r="I96" i="3"/>
  <c r="K96" i="3"/>
  <c r="C97" i="3"/>
  <c r="E97" i="3"/>
  <c r="G97" i="3"/>
  <c r="I97" i="3"/>
  <c r="K97" i="3"/>
  <c r="C98" i="3"/>
  <c r="E98" i="3"/>
  <c r="G98" i="3"/>
  <c r="I98" i="3"/>
  <c r="K98" i="3"/>
  <c r="C99" i="3"/>
  <c r="E99" i="3"/>
  <c r="G99" i="3"/>
  <c r="I99" i="3"/>
  <c r="K99" i="3"/>
  <c r="C100" i="3"/>
  <c r="E100" i="3"/>
  <c r="G100" i="3"/>
  <c r="I100" i="3"/>
  <c r="K100" i="3"/>
  <c r="C101" i="3"/>
  <c r="E101" i="3"/>
  <c r="G101" i="3"/>
  <c r="I101" i="3"/>
  <c r="K101" i="3"/>
  <c r="C102" i="3"/>
  <c r="E102" i="3"/>
  <c r="G102" i="3"/>
  <c r="I102" i="3"/>
  <c r="K102" i="3"/>
  <c r="C103" i="3"/>
  <c r="E103" i="3"/>
  <c r="G103" i="3"/>
  <c r="I103" i="3"/>
  <c r="K103" i="3"/>
  <c r="C104" i="3"/>
  <c r="E104" i="3"/>
  <c r="G104" i="3"/>
  <c r="I104" i="3"/>
  <c r="K104" i="3"/>
  <c r="C93" i="3" l="1"/>
  <c r="E93" i="3"/>
  <c r="G93" i="3"/>
  <c r="I93" i="3"/>
  <c r="K93" i="3"/>
  <c r="S90" i="2" l="1"/>
  <c r="R90" i="2"/>
  <c r="T90" i="2" s="1"/>
  <c r="P90" i="2"/>
  <c r="O90" i="2"/>
  <c r="Q90" i="2" s="1"/>
  <c r="M90" i="2"/>
  <c r="N90" i="2" s="1"/>
  <c r="L90" i="2"/>
  <c r="K90" i="2"/>
  <c r="J90" i="2"/>
  <c r="I90" i="2"/>
  <c r="H90" i="2"/>
  <c r="G90" i="2"/>
  <c r="F90" i="2"/>
  <c r="E90" i="2"/>
  <c r="D90" i="2"/>
  <c r="C90" i="2"/>
  <c r="S89" i="2"/>
  <c r="R89" i="2"/>
  <c r="P89" i="2"/>
  <c r="O89" i="2"/>
  <c r="Q89" i="2" s="1"/>
  <c r="M89" i="2"/>
  <c r="L89" i="2"/>
  <c r="K89" i="2"/>
  <c r="J89" i="2"/>
  <c r="I89" i="2"/>
  <c r="H89" i="2"/>
  <c r="G89" i="2"/>
  <c r="F89" i="2"/>
  <c r="E89" i="2"/>
  <c r="D89" i="2"/>
  <c r="C89" i="2"/>
  <c r="S88" i="2"/>
  <c r="R88" i="2"/>
  <c r="T88" i="2" s="1"/>
  <c r="P88" i="2"/>
  <c r="O88" i="2"/>
  <c r="Q88" i="2" s="1"/>
  <c r="M88" i="2"/>
  <c r="L88" i="2"/>
  <c r="N88" i="2" s="1"/>
  <c r="K88" i="2"/>
  <c r="J88" i="2"/>
  <c r="I88" i="2"/>
  <c r="H88" i="2"/>
  <c r="G88" i="2"/>
  <c r="F88" i="2"/>
  <c r="E88" i="2"/>
  <c r="D88" i="2"/>
  <c r="C88" i="2"/>
  <c r="S87" i="2"/>
  <c r="T87" i="2" s="1"/>
  <c r="R87" i="2"/>
  <c r="P87" i="2"/>
  <c r="O87" i="2"/>
  <c r="Q87" i="2" s="1"/>
  <c r="M87" i="2"/>
  <c r="L87" i="2"/>
  <c r="N87" i="2" s="1"/>
  <c r="K87" i="2"/>
  <c r="J87" i="2"/>
  <c r="I87" i="2"/>
  <c r="H87" i="2"/>
  <c r="G87" i="2"/>
  <c r="F87" i="2"/>
  <c r="E87" i="2"/>
  <c r="D87" i="2"/>
  <c r="C87" i="2"/>
  <c r="S86" i="2"/>
  <c r="R86" i="2"/>
  <c r="T86" i="2" s="1"/>
  <c r="P86" i="2"/>
  <c r="O86" i="2"/>
  <c r="Q86" i="2" s="1"/>
  <c r="M86" i="2"/>
  <c r="L86" i="2"/>
  <c r="N86" i="2" s="1"/>
  <c r="K86" i="2"/>
  <c r="J86" i="2"/>
  <c r="I86" i="2"/>
  <c r="H86" i="2"/>
  <c r="G86" i="2"/>
  <c r="F86" i="2"/>
  <c r="E86" i="2"/>
  <c r="D86" i="2"/>
  <c r="C86" i="2"/>
  <c r="S85" i="2"/>
  <c r="R85" i="2"/>
  <c r="T85" i="2" s="1"/>
  <c r="P85" i="2"/>
  <c r="O85" i="2"/>
  <c r="Q85" i="2" s="1"/>
  <c r="M85" i="2"/>
  <c r="L85" i="2"/>
  <c r="N85" i="2" s="1"/>
  <c r="K85" i="2"/>
  <c r="J85" i="2"/>
  <c r="I85" i="2"/>
  <c r="H85" i="2"/>
  <c r="G85" i="2"/>
  <c r="F85" i="2"/>
  <c r="E85" i="2"/>
  <c r="D85" i="2"/>
  <c r="C85" i="2"/>
  <c r="S84" i="2"/>
  <c r="R84" i="2"/>
  <c r="T84" i="2" s="1"/>
  <c r="Q84" i="2"/>
  <c r="P84" i="2"/>
  <c r="O84" i="2"/>
  <c r="M84" i="2"/>
  <c r="L84" i="2"/>
  <c r="N84" i="2" s="1"/>
  <c r="K84" i="2"/>
  <c r="J84" i="2"/>
  <c r="I84" i="2"/>
  <c r="H84" i="2"/>
  <c r="G84" i="2"/>
  <c r="F84" i="2"/>
  <c r="E84" i="2"/>
  <c r="D84" i="2"/>
  <c r="C84" i="2"/>
  <c r="S83" i="2"/>
  <c r="T83" i="2" s="1"/>
  <c r="R83" i="2"/>
  <c r="Q83" i="2"/>
  <c r="P83" i="2"/>
  <c r="O83" i="2"/>
  <c r="M83" i="2"/>
  <c r="L83" i="2"/>
  <c r="N83" i="2" s="1"/>
  <c r="K83" i="2"/>
  <c r="J83" i="2"/>
  <c r="I83" i="2"/>
  <c r="H83" i="2"/>
  <c r="G83" i="2"/>
  <c r="F83" i="2"/>
  <c r="E83" i="2"/>
  <c r="D83" i="2"/>
  <c r="C83" i="2"/>
  <c r="S82" i="2"/>
  <c r="R82" i="2"/>
  <c r="T82" i="2" s="1"/>
  <c r="P82" i="2"/>
  <c r="O82" i="2"/>
  <c r="Q82" i="2" s="1"/>
  <c r="M82" i="2"/>
  <c r="N82" i="2" s="1"/>
  <c r="L82" i="2"/>
  <c r="K82" i="2"/>
  <c r="J82" i="2"/>
  <c r="I82" i="2"/>
  <c r="H82" i="2"/>
  <c r="G82" i="2"/>
  <c r="F82" i="2"/>
  <c r="E82" i="2"/>
  <c r="D82" i="2"/>
  <c r="C82" i="2"/>
  <c r="S81" i="2"/>
  <c r="R81" i="2"/>
  <c r="P81" i="2"/>
  <c r="O81" i="2"/>
  <c r="M81" i="2"/>
  <c r="L81" i="2"/>
  <c r="N81" i="2" s="1"/>
  <c r="K81" i="2"/>
  <c r="J81" i="2"/>
  <c r="I81" i="2"/>
  <c r="H81" i="2"/>
  <c r="G81" i="2"/>
  <c r="F81" i="2"/>
  <c r="E81" i="2"/>
  <c r="D81" i="2"/>
  <c r="C81" i="2"/>
  <c r="S80" i="2"/>
  <c r="R80" i="2"/>
  <c r="T80" i="2" s="1"/>
  <c r="Q80" i="2"/>
  <c r="P80" i="2"/>
  <c r="O80" i="2"/>
  <c r="M80" i="2"/>
  <c r="L80" i="2"/>
  <c r="N80" i="2" s="1"/>
  <c r="K80" i="2"/>
  <c r="J80" i="2"/>
  <c r="I80" i="2"/>
  <c r="H80" i="2"/>
  <c r="G80" i="2"/>
  <c r="F80" i="2"/>
  <c r="E80" i="2"/>
  <c r="D80" i="2"/>
  <c r="C80" i="2"/>
  <c r="S79" i="2"/>
  <c r="T79" i="2" s="1"/>
  <c r="R79" i="2"/>
  <c r="Q79" i="2"/>
  <c r="P79" i="2"/>
  <c r="O79" i="2"/>
  <c r="M79" i="2"/>
  <c r="L79" i="2"/>
  <c r="N79" i="2" s="1"/>
  <c r="K79" i="2"/>
  <c r="J79" i="2"/>
  <c r="I79" i="2"/>
  <c r="H79" i="2"/>
  <c r="G79" i="2"/>
  <c r="F79" i="2"/>
  <c r="E79" i="2"/>
  <c r="D79" i="2"/>
  <c r="C79" i="2"/>
  <c r="S78" i="2"/>
  <c r="R78" i="2"/>
  <c r="T78" i="2" s="1"/>
  <c r="P78" i="2"/>
  <c r="O78" i="2"/>
  <c r="Q78" i="2" s="1"/>
  <c r="M78" i="2"/>
  <c r="L78" i="2"/>
  <c r="N78" i="2" s="1"/>
  <c r="K78" i="2"/>
  <c r="J78" i="2"/>
  <c r="I78" i="2"/>
  <c r="H78" i="2"/>
  <c r="G78" i="2"/>
  <c r="F78" i="2"/>
  <c r="E78" i="2"/>
  <c r="D78" i="2"/>
  <c r="C78" i="2"/>
  <c r="S77" i="2"/>
  <c r="R77" i="2"/>
  <c r="T77" i="2" s="1"/>
  <c r="P77" i="2"/>
  <c r="O77" i="2"/>
  <c r="Q77" i="2" s="1"/>
  <c r="M77" i="2"/>
  <c r="L77" i="2"/>
  <c r="N77" i="2" s="1"/>
  <c r="K77" i="2"/>
  <c r="J77" i="2"/>
  <c r="I77" i="2"/>
  <c r="H77" i="2"/>
  <c r="G77" i="2"/>
  <c r="F77" i="2"/>
  <c r="E77" i="2"/>
  <c r="D77" i="2"/>
  <c r="C77" i="2"/>
  <c r="S76" i="2"/>
  <c r="R76" i="2"/>
  <c r="T76" i="2" s="1"/>
  <c r="P76" i="2"/>
  <c r="O76" i="2"/>
  <c r="Q76" i="2" s="1"/>
  <c r="M76" i="2"/>
  <c r="L76" i="2"/>
  <c r="N76" i="2" s="1"/>
  <c r="K76" i="2"/>
  <c r="J76" i="2"/>
  <c r="I76" i="2"/>
  <c r="H76" i="2"/>
  <c r="G76" i="2"/>
  <c r="F76" i="2"/>
  <c r="E76" i="2"/>
  <c r="D76" i="2"/>
  <c r="C76" i="2"/>
  <c r="S75" i="2"/>
  <c r="R75" i="2"/>
  <c r="P75" i="2"/>
  <c r="Q75" i="2" s="1"/>
  <c r="O75" i="2"/>
  <c r="M75" i="2"/>
  <c r="L75" i="2"/>
  <c r="N75" i="2" s="1"/>
  <c r="K75" i="2"/>
  <c r="J75" i="2"/>
  <c r="I75" i="2"/>
  <c r="H75" i="2"/>
  <c r="G75" i="2"/>
  <c r="F75" i="2"/>
  <c r="E75" i="2"/>
  <c r="D75" i="2"/>
  <c r="C75" i="2"/>
  <c r="S74" i="2"/>
  <c r="T74" i="2" s="1"/>
  <c r="R74" i="2"/>
  <c r="P74" i="2"/>
  <c r="O74" i="2"/>
  <c r="M74" i="2"/>
  <c r="L74" i="2"/>
  <c r="K74" i="2"/>
  <c r="J74" i="2"/>
  <c r="I74" i="2"/>
  <c r="H74" i="2"/>
  <c r="G74" i="2"/>
  <c r="F74" i="2"/>
  <c r="E74" i="2"/>
  <c r="D74" i="2"/>
  <c r="C74" i="2"/>
  <c r="S73" i="2"/>
  <c r="R73" i="2"/>
  <c r="T73" i="2" s="1"/>
  <c r="P73" i="2"/>
  <c r="O73" i="2"/>
  <c r="Q73" i="2" s="1"/>
  <c r="M73" i="2"/>
  <c r="L73" i="2"/>
  <c r="N73" i="2" s="1"/>
  <c r="K73" i="2"/>
  <c r="J73" i="2"/>
  <c r="I73" i="2"/>
  <c r="H73" i="2"/>
  <c r="G73" i="2"/>
  <c r="F73" i="2"/>
  <c r="E73" i="2"/>
  <c r="D73" i="2"/>
  <c r="C73" i="2"/>
  <c r="S72" i="2"/>
  <c r="R72" i="2"/>
  <c r="T72" i="2" s="1"/>
  <c r="P72" i="2"/>
  <c r="O72" i="2"/>
  <c r="Q72" i="2" s="1"/>
  <c r="M72" i="2"/>
  <c r="L72" i="2"/>
  <c r="N72" i="2" s="1"/>
  <c r="K72" i="2"/>
  <c r="J72" i="2"/>
  <c r="I72" i="2"/>
  <c r="H72" i="2"/>
  <c r="G72" i="2"/>
  <c r="F72" i="2"/>
  <c r="E72" i="2"/>
  <c r="D72" i="2"/>
  <c r="C72" i="2"/>
  <c r="S71" i="2"/>
  <c r="R71" i="2"/>
  <c r="Q71" i="2"/>
  <c r="P71" i="2"/>
  <c r="O71" i="2"/>
  <c r="M71" i="2"/>
  <c r="L71" i="2"/>
  <c r="N71" i="2" s="1"/>
  <c r="K71" i="2"/>
  <c r="J71" i="2"/>
  <c r="I71" i="2"/>
  <c r="H71" i="2"/>
  <c r="G71" i="2"/>
  <c r="F71" i="2"/>
  <c r="E71" i="2"/>
  <c r="D71" i="2"/>
  <c r="C71" i="2"/>
  <c r="S70" i="2"/>
  <c r="R70" i="2"/>
  <c r="T70" i="2" s="1"/>
  <c r="P70" i="2"/>
  <c r="O70" i="2"/>
  <c r="Q70" i="2" s="1"/>
  <c r="M70" i="2"/>
  <c r="N70" i="2" s="1"/>
  <c r="L70" i="2"/>
  <c r="K70" i="2"/>
  <c r="J70" i="2"/>
  <c r="I70" i="2"/>
  <c r="H70" i="2"/>
  <c r="G70" i="2"/>
  <c r="F70" i="2"/>
  <c r="E70" i="2"/>
  <c r="D70" i="2"/>
  <c r="C70" i="2"/>
  <c r="S69" i="2"/>
  <c r="R69" i="2"/>
  <c r="T69" i="2" s="1"/>
  <c r="P69" i="2"/>
  <c r="O69" i="2"/>
  <c r="Q69" i="2" s="1"/>
  <c r="N69" i="2"/>
  <c r="M69" i="2"/>
  <c r="L69" i="2"/>
  <c r="K69" i="2"/>
  <c r="J69" i="2"/>
  <c r="I69" i="2"/>
  <c r="H69" i="2"/>
  <c r="G69" i="2"/>
  <c r="F69" i="2"/>
  <c r="E69" i="2"/>
  <c r="D69" i="2"/>
  <c r="C69" i="2"/>
  <c r="S68" i="2"/>
  <c r="R68" i="2"/>
  <c r="T68" i="2" s="1"/>
  <c r="P68" i="2"/>
  <c r="Q68" i="2" s="1"/>
  <c r="O68" i="2"/>
  <c r="M68" i="2"/>
  <c r="L68" i="2"/>
  <c r="N68" i="2" s="1"/>
  <c r="K68" i="2"/>
  <c r="J68" i="2"/>
  <c r="I68" i="2"/>
  <c r="H68" i="2"/>
  <c r="G68" i="2"/>
  <c r="F68" i="2"/>
  <c r="E68" i="2"/>
  <c r="D68" i="2"/>
  <c r="C68" i="2"/>
  <c r="S67" i="2"/>
  <c r="R67" i="2"/>
  <c r="T67" i="2" s="1"/>
  <c r="Q67" i="2"/>
  <c r="P67" i="2"/>
  <c r="O67" i="2"/>
  <c r="M67" i="2"/>
  <c r="L67" i="2"/>
  <c r="K67" i="2"/>
  <c r="J67" i="2"/>
  <c r="I67" i="2"/>
  <c r="H67" i="2"/>
  <c r="G67" i="2"/>
  <c r="F67" i="2"/>
  <c r="E67" i="2"/>
  <c r="D67" i="2"/>
  <c r="C67" i="2"/>
  <c r="T66" i="2"/>
  <c r="S66" i="2"/>
  <c r="R66" i="2"/>
  <c r="P66" i="2"/>
  <c r="O66" i="2"/>
  <c r="Q66" i="2" s="1"/>
  <c r="M66" i="2"/>
  <c r="N66" i="2" s="1"/>
  <c r="L66" i="2"/>
  <c r="K66" i="2"/>
  <c r="J66" i="2"/>
  <c r="I66" i="2"/>
  <c r="H66" i="2"/>
  <c r="G66" i="2"/>
  <c r="F66" i="2"/>
  <c r="E66" i="2"/>
  <c r="D66" i="2"/>
  <c r="C66" i="2"/>
  <c r="S65" i="2"/>
  <c r="R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S64" i="2"/>
  <c r="R64" i="2"/>
  <c r="Q64" i="2"/>
  <c r="P64" i="2"/>
  <c r="O64" i="2"/>
  <c r="M64" i="2"/>
  <c r="L64" i="2"/>
  <c r="N64" i="2" s="1"/>
  <c r="K64" i="2"/>
  <c r="J64" i="2"/>
  <c r="I64" i="2"/>
  <c r="H64" i="2"/>
  <c r="G64" i="2"/>
  <c r="F64" i="2"/>
  <c r="E64" i="2"/>
  <c r="D64" i="2"/>
  <c r="C64" i="2"/>
  <c r="S63" i="2"/>
  <c r="T63" i="2" s="1"/>
  <c r="R63" i="2"/>
  <c r="P63" i="2"/>
  <c r="Q63" i="2" s="1"/>
  <c r="O63" i="2"/>
  <c r="M63" i="2"/>
  <c r="L63" i="2"/>
  <c r="K63" i="2"/>
  <c r="J63" i="2"/>
  <c r="I63" i="2"/>
  <c r="H63" i="2"/>
  <c r="G63" i="2"/>
  <c r="F63" i="2"/>
  <c r="E63" i="2"/>
  <c r="D63" i="2"/>
  <c r="C63" i="2"/>
  <c r="T62" i="2"/>
  <c r="S62" i="2"/>
  <c r="R62" i="2"/>
  <c r="P62" i="2"/>
  <c r="O62" i="2"/>
  <c r="M62" i="2"/>
  <c r="L62" i="2"/>
  <c r="K62" i="2"/>
  <c r="J62" i="2"/>
  <c r="I62" i="2"/>
  <c r="H62" i="2"/>
  <c r="G62" i="2"/>
  <c r="F62" i="2"/>
  <c r="E62" i="2"/>
  <c r="D62" i="2"/>
  <c r="C62" i="2"/>
  <c r="S61" i="2"/>
  <c r="R61" i="2"/>
  <c r="P61" i="2"/>
  <c r="O61" i="2"/>
  <c r="Q61" i="2" s="1"/>
  <c r="M61" i="2"/>
  <c r="L61" i="2"/>
  <c r="N61" i="2" s="1"/>
  <c r="K61" i="2"/>
  <c r="J61" i="2"/>
  <c r="I61" i="2"/>
  <c r="H61" i="2"/>
  <c r="G61" i="2"/>
  <c r="F61" i="2"/>
  <c r="E61" i="2"/>
  <c r="D61" i="2"/>
  <c r="C61" i="2"/>
  <c r="S60" i="2"/>
  <c r="R60" i="2"/>
  <c r="P60" i="2"/>
  <c r="Q60" i="2" s="1"/>
  <c r="O60" i="2"/>
  <c r="M60" i="2"/>
  <c r="L60" i="2"/>
  <c r="K60" i="2"/>
  <c r="J60" i="2"/>
  <c r="I60" i="2"/>
  <c r="H60" i="2"/>
  <c r="G60" i="2"/>
  <c r="F60" i="2"/>
  <c r="E60" i="2"/>
  <c r="D60" i="2"/>
  <c r="C60" i="2"/>
  <c r="S59" i="2"/>
  <c r="T59" i="2" s="1"/>
  <c r="R59" i="2"/>
  <c r="P59" i="2"/>
  <c r="O59" i="2"/>
  <c r="Q59" i="2" s="1"/>
  <c r="M59" i="2"/>
  <c r="L59" i="2"/>
  <c r="K59" i="2"/>
  <c r="J59" i="2"/>
  <c r="I59" i="2"/>
  <c r="H59" i="2"/>
  <c r="G59" i="2"/>
  <c r="F59" i="2"/>
  <c r="E59" i="2"/>
  <c r="D59" i="2"/>
  <c r="C59" i="2"/>
  <c r="T58" i="2"/>
  <c r="S58" i="2"/>
  <c r="R58" i="2"/>
  <c r="P58" i="2"/>
  <c r="O58" i="2"/>
  <c r="Q58" i="2" s="1"/>
  <c r="M58" i="2"/>
  <c r="N58" i="2" s="1"/>
  <c r="L58" i="2"/>
  <c r="K58" i="2"/>
  <c r="J58" i="2"/>
  <c r="I58" i="2"/>
  <c r="H58" i="2"/>
  <c r="G58" i="2"/>
  <c r="F58" i="2"/>
  <c r="E58" i="2"/>
  <c r="D58" i="2"/>
  <c r="C58" i="2"/>
  <c r="S57" i="2"/>
  <c r="R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S56" i="2"/>
  <c r="R56" i="2"/>
  <c r="P56" i="2"/>
  <c r="O56" i="2"/>
  <c r="Q56" i="2" s="1"/>
  <c r="M56" i="2"/>
  <c r="L56" i="2"/>
  <c r="N56" i="2" s="1"/>
  <c r="K56" i="2"/>
  <c r="J56" i="2"/>
  <c r="I56" i="2"/>
  <c r="H56" i="2"/>
  <c r="G56" i="2"/>
  <c r="F56" i="2"/>
  <c r="E56" i="2"/>
  <c r="D56" i="2"/>
  <c r="C56" i="2"/>
  <c r="S55" i="2"/>
  <c r="T55" i="2" s="1"/>
  <c r="R55" i="2"/>
  <c r="P55" i="2"/>
  <c r="O55" i="2"/>
  <c r="Q55" i="2" s="1"/>
  <c r="M55" i="2"/>
  <c r="L55" i="2"/>
  <c r="N55" i="2" s="1"/>
  <c r="K55" i="2"/>
  <c r="J55" i="2"/>
  <c r="I55" i="2"/>
  <c r="H55" i="2"/>
  <c r="G55" i="2"/>
  <c r="F55" i="2"/>
  <c r="E55" i="2"/>
  <c r="D55" i="2"/>
  <c r="C55" i="2"/>
  <c r="T54" i="2"/>
  <c r="S54" i="2"/>
  <c r="R54" i="2"/>
  <c r="P54" i="2"/>
  <c r="O54" i="2"/>
  <c r="Q54" i="2" s="1"/>
  <c r="M54" i="2"/>
  <c r="L54" i="2"/>
  <c r="K54" i="2"/>
  <c r="J54" i="2"/>
  <c r="I54" i="2"/>
  <c r="H54" i="2"/>
  <c r="G54" i="2"/>
  <c r="F54" i="2"/>
  <c r="E54" i="2"/>
  <c r="D54" i="2"/>
  <c r="C54" i="2"/>
  <c r="S53" i="2"/>
  <c r="R53" i="2"/>
  <c r="P53" i="2"/>
  <c r="O53" i="2"/>
  <c r="Q53" i="2" s="1"/>
  <c r="M53" i="2"/>
  <c r="L53" i="2"/>
  <c r="N53" i="2" s="1"/>
  <c r="K53" i="2"/>
  <c r="J53" i="2"/>
  <c r="I53" i="2"/>
  <c r="H53" i="2"/>
  <c r="G53" i="2"/>
  <c r="F53" i="2"/>
  <c r="E53" i="2"/>
  <c r="D53" i="2"/>
  <c r="C53" i="2"/>
  <c r="S52" i="2"/>
  <c r="R52" i="2"/>
  <c r="P52" i="2"/>
  <c r="O52" i="2"/>
  <c r="Q52" i="2" s="1"/>
  <c r="M52" i="2"/>
  <c r="L52" i="2"/>
  <c r="N52" i="2" s="1"/>
  <c r="K52" i="2"/>
  <c r="J52" i="2"/>
  <c r="I52" i="2"/>
  <c r="H52" i="2"/>
  <c r="G52" i="2"/>
  <c r="F52" i="2"/>
  <c r="E52" i="2"/>
  <c r="D52" i="2"/>
  <c r="C52" i="2"/>
  <c r="S51" i="2"/>
  <c r="T51" i="2" s="1"/>
  <c r="R51" i="2"/>
  <c r="P51" i="2"/>
  <c r="O51" i="2"/>
  <c r="Q51" i="2" s="1"/>
  <c r="M51" i="2"/>
  <c r="L51" i="2"/>
  <c r="N51" i="2" s="1"/>
  <c r="K51" i="2"/>
  <c r="J51" i="2"/>
  <c r="I51" i="2"/>
  <c r="H51" i="2"/>
  <c r="G51" i="2"/>
  <c r="F51" i="2"/>
  <c r="E51" i="2"/>
  <c r="D51" i="2"/>
  <c r="C51" i="2"/>
  <c r="T50" i="2"/>
  <c r="S50" i="2"/>
  <c r="R50" i="2"/>
  <c r="P50" i="2"/>
  <c r="O50" i="2"/>
  <c r="Q50" i="2" s="1"/>
  <c r="M50" i="2"/>
  <c r="L50" i="2"/>
  <c r="K50" i="2"/>
  <c r="J50" i="2"/>
  <c r="I50" i="2"/>
  <c r="H50" i="2"/>
  <c r="G50" i="2"/>
  <c r="F50" i="2"/>
  <c r="E50" i="2"/>
  <c r="D50" i="2"/>
  <c r="C50" i="2"/>
  <c r="S49" i="2"/>
  <c r="R49" i="2"/>
  <c r="P49" i="2"/>
  <c r="O49" i="2"/>
  <c r="M49" i="2"/>
  <c r="L49" i="2"/>
  <c r="N49" i="2" s="1"/>
  <c r="K49" i="2"/>
  <c r="J49" i="2"/>
  <c r="I49" i="2"/>
  <c r="H49" i="2"/>
  <c r="G49" i="2"/>
  <c r="F49" i="2"/>
  <c r="E49" i="2"/>
  <c r="D49" i="2"/>
  <c r="C49" i="2"/>
  <c r="S48" i="2"/>
  <c r="R48" i="2"/>
  <c r="P48" i="2"/>
  <c r="O48" i="2"/>
  <c r="Q48" i="2" s="1"/>
  <c r="M48" i="2"/>
  <c r="L48" i="2"/>
  <c r="N48" i="2" s="1"/>
  <c r="K48" i="2"/>
  <c r="J48" i="2"/>
  <c r="I48" i="2"/>
  <c r="H48" i="2"/>
  <c r="G48" i="2"/>
  <c r="F48" i="2"/>
  <c r="E48" i="2"/>
  <c r="D48" i="2"/>
  <c r="C48" i="2"/>
  <c r="S47" i="2"/>
  <c r="T47" i="2" s="1"/>
  <c r="R47" i="2"/>
  <c r="P47" i="2"/>
  <c r="O47" i="2"/>
  <c r="Q47" i="2" s="1"/>
  <c r="M47" i="2"/>
  <c r="L47" i="2"/>
  <c r="N47" i="2" s="1"/>
  <c r="K47" i="2"/>
  <c r="J47" i="2"/>
  <c r="I47" i="2"/>
  <c r="H47" i="2"/>
  <c r="G47" i="2"/>
  <c r="F47" i="2"/>
  <c r="E47" i="2"/>
  <c r="D47" i="2"/>
  <c r="C47" i="2"/>
  <c r="T46" i="2"/>
  <c r="S46" i="2"/>
  <c r="R46" i="2"/>
  <c r="P46" i="2"/>
  <c r="O46" i="2"/>
  <c r="Q46" i="2" s="1"/>
  <c r="M46" i="2"/>
  <c r="N46" i="2" s="1"/>
  <c r="L46" i="2"/>
  <c r="K46" i="2"/>
  <c r="J46" i="2"/>
  <c r="I46" i="2"/>
  <c r="H46" i="2"/>
  <c r="G46" i="2"/>
  <c r="F46" i="2"/>
  <c r="E46" i="2"/>
  <c r="D46" i="2"/>
  <c r="C46" i="2"/>
  <c r="S45" i="2"/>
  <c r="R45" i="2"/>
  <c r="T45" i="2" s="1"/>
  <c r="P45" i="2"/>
  <c r="O45" i="2"/>
  <c r="Q45" i="2" s="1"/>
  <c r="M45" i="2"/>
  <c r="N45" i="2" s="1"/>
  <c r="L45" i="2"/>
  <c r="K45" i="2"/>
  <c r="J45" i="2"/>
  <c r="I45" i="2"/>
  <c r="H45" i="2"/>
  <c r="G45" i="2"/>
  <c r="F45" i="2"/>
  <c r="E45" i="2"/>
  <c r="D45" i="2"/>
  <c r="C45" i="2"/>
  <c r="S44" i="2"/>
  <c r="R44" i="2"/>
  <c r="T44" i="2" s="1"/>
  <c r="P44" i="2"/>
  <c r="O44" i="2"/>
  <c r="Q44" i="2" s="1"/>
  <c r="M44" i="2"/>
  <c r="L44" i="2"/>
  <c r="K44" i="2"/>
  <c r="J44" i="2"/>
  <c r="I44" i="2"/>
  <c r="H44" i="2"/>
  <c r="G44" i="2"/>
  <c r="F44" i="2"/>
  <c r="E44" i="2"/>
  <c r="D44" i="2"/>
  <c r="C44" i="2"/>
  <c r="S43" i="2"/>
  <c r="R43" i="2"/>
  <c r="P43" i="2"/>
  <c r="O43" i="2"/>
  <c r="Q43" i="2" s="1"/>
  <c r="M43" i="2"/>
  <c r="L43" i="2"/>
  <c r="K43" i="2"/>
  <c r="J43" i="2"/>
  <c r="I43" i="2"/>
  <c r="H43" i="2"/>
  <c r="G43" i="2"/>
  <c r="F43" i="2"/>
  <c r="E43" i="2"/>
  <c r="D43" i="2"/>
  <c r="C43" i="2"/>
  <c r="S42" i="2"/>
  <c r="R42" i="2"/>
  <c r="T42" i="2" s="1"/>
  <c r="P42" i="2"/>
  <c r="O42" i="2"/>
  <c r="Q42" i="2" s="1"/>
  <c r="M42" i="2"/>
  <c r="N42" i="2" s="1"/>
  <c r="L42" i="2"/>
  <c r="K42" i="2"/>
  <c r="J42" i="2"/>
  <c r="I42" i="2"/>
  <c r="H42" i="2"/>
  <c r="G42" i="2"/>
  <c r="F42" i="2"/>
  <c r="E42" i="2"/>
  <c r="D42" i="2"/>
  <c r="C42" i="2"/>
  <c r="S41" i="2"/>
  <c r="R41" i="2"/>
  <c r="T41" i="2" s="1"/>
  <c r="P41" i="2"/>
  <c r="O41" i="2"/>
  <c r="Q41" i="2" s="1"/>
  <c r="N41" i="2"/>
  <c r="M41" i="2"/>
  <c r="L41" i="2"/>
  <c r="K41" i="2"/>
  <c r="J41" i="2"/>
  <c r="I41" i="2"/>
  <c r="H41" i="2"/>
  <c r="G41" i="2"/>
  <c r="F41" i="2"/>
  <c r="E41" i="2"/>
  <c r="D41" i="2"/>
  <c r="C41" i="2"/>
  <c r="S40" i="2"/>
  <c r="R40" i="2"/>
  <c r="T40" i="2" s="1"/>
  <c r="P40" i="2"/>
  <c r="O40" i="2"/>
  <c r="Q40" i="2" s="1"/>
  <c r="M40" i="2"/>
  <c r="L40" i="2"/>
  <c r="N40" i="2" s="1"/>
  <c r="K40" i="2"/>
  <c r="J40" i="2"/>
  <c r="I40" i="2"/>
  <c r="H40" i="2"/>
  <c r="G40" i="2"/>
  <c r="F40" i="2"/>
  <c r="E40" i="2"/>
  <c r="D40" i="2"/>
  <c r="C40" i="2"/>
  <c r="S39" i="2"/>
  <c r="T39" i="2" s="1"/>
  <c r="R39" i="2"/>
  <c r="P39" i="2"/>
  <c r="O39" i="2"/>
  <c r="Q39" i="2" s="1"/>
  <c r="M39" i="2"/>
  <c r="L39" i="2"/>
  <c r="N39" i="2" s="1"/>
  <c r="K39" i="2"/>
  <c r="J39" i="2"/>
  <c r="I39" i="2"/>
  <c r="H39" i="2"/>
  <c r="G39" i="2"/>
  <c r="F39" i="2"/>
  <c r="E39" i="2"/>
  <c r="D39" i="2"/>
  <c r="C39" i="2"/>
  <c r="S38" i="2"/>
  <c r="R38" i="2"/>
  <c r="T38" i="2" s="1"/>
  <c r="P38" i="2"/>
  <c r="O38" i="2"/>
  <c r="Q38" i="2" s="1"/>
  <c r="M38" i="2"/>
  <c r="N38" i="2" s="1"/>
  <c r="L38" i="2"/>
  <c r="K38" i="2"/>
  <c r="J38" i="2"/>
  <c r="I38" i="2"/>
  <c r="H38" i="2"/>
  <c r="G38" i="2"/>
  <c r="F38" i="2"/>
  <c r="E38" i="2"/>
  <c r="D38" i="2"/>
  <c r="C38" i="2"/>
  <c r="S37" i="2"/>
  <c r="R37" i="2"/>
  <c r="T37" i="2" s="1"/>
  <c r="P37" i="2"/>
  <c r="O37" i="2"/>
  <c r="Q37" i="2" s="1"/>
  <c r="M37" i="2"/>
  <c r="N37" i="2" s="1"/>
  <c r="L37" i="2"/>
  <c r="K37" i="2"/>
  <c r="J37" i="2"/>
  <c r="I37" i="2"/>
  <c r="H37" i="2"/>
  <c r="G37" i="2"/>
  <c r="F37" i="2"/>
  <c r="E37" i="2"/>
  <c r="D37" i="2"/>
  <c r="C37" i="2"/>
  <c r="S36" i="2"/>
  <c r="R36" i="2"/>
  <c r="T36" i="2" s="1"/>
  <c r="P36" i="2"/>
  <c r="O36" i="2"/>
  <c r="Q36" i="2" s="1"/>
  <c r="M36" i="2"/>
  <c r="L36" i="2"/>
  <c r="N36" i="2" s="1"/>
  <c r="K36" i="2"/>
  <c r="J36" i="2"/>
  <c r="I36" i="2"/>
  <c r="H36" i="2"/>
  <c r="G36" i="2"/>
  <c r="F36" i="2"/>
  <c r="E36" i="2"/>
  <c r="D36" i="2"/>
  <c r="C36" i="2"/>
  <c r="S35" i="2"/>
  <c r="R35" i="2"/>
  <c r="T35" i="2" s="1"/>
  <c r="P35" i="2"/>
  <c r="O35" i="2"/>
  <c r="Q35" i="2" s="1"/>
  <c r="M35" i="2"/>
  <c r="L35" i="2"/>
  <c r="N35" i="2" s="1"/>
  <c r="K35" i="2"/>
  <c r="J35" i="2"/>
  <c r="I35" i="2"/>
  <c r="H35" i="2"/>
  <c r="G35" i="2"/>
  <c r="F35" i="2"/>
  <c r="E35" i="2"/>
  <c r="D35" i="2"/>
  <c r="C35" i="2"/>
  <c r="T34" i="2"/>
  <c r="S34" i="2"/>
  <c r="R34" i="2"/>
  <c r="P34" i="2"/>
  <c r="O34" i="2"/>
  <c r="Q34" i="2" s="1"/>
  <c r="M34" i="2"/>
  <c r="L34" i="2"/>
  <c r="K34" i="2"/>
  <c r="J34" i="2"/>
  <c r="I34" i="2"/>
  <c r="H34" i="2"/>
  <c r="G34" i="2"/>
  <c r="F34" i="2"/>
  <c r="E34" i="2"/>
  <c r="D34" i="2"/>
  <c r="C34" i="2"/>
  <c r="S31" i="2"/>
  <c r="R31" i="2"/>
  <c r="T31" i="2" s="1"/>
  <c r="P31" i="2"/>
  <c r="O31" i="2"/>
  <c r="Q31" i="2" s="1"/>
  <c r="M31" i="2"/>
  <c r="L31" i="2"/>
  <c r="N31" i="2" s="1"/>
  <c r="K31" i="2"/>
  <c r="J31" i="2"/>
  <c r="I31" i="2"/>
  <c r="H31" i="2"/>
  <c r="G31" i="2"/>
  <c r="F31" i="2"/>
  <c r="E31" i="2"/>
  <c r="D31" i="2"/>
  <c r="C31" i="2"/>
  <c r="S30" i="2"/>
  <c r="R30" i="2"/>
  <c r="P30" i="2"/>
  <c r="O30" i="2"/>
  <c r="Q30" i="2" s="1"/>
  <c r="M30" i="2"/>
  <c r="L30" i="2"/>
  <c r="N30" i="2" s="1"/>
  <c r="K30" i="2"/>
  <c r="J30" i="2"/>
  <c r="I30" i="2"/>
  <c r="H30" i="2"/>
  <c r="G30" i="2"/>
  <c r="F30" i="2"/>
  <c r="E30" i="2"/>
  <c r="D30" i="2"/>
  <c r="C30" i="2"/>
  <c r="S29" i="2"/>
  <c r="T29" i="2" s="1"/>
  <c r="R29" i="2"/>
  <c r="P29" i="2"/>
  <c r="O29" i="2"/>
  <c r="Q29" i="2" s="1"/>
  <c r="M29" i="2"/>
  <c r="L29" i="2"/>
  <c r="N29" i="2" s="1"/>
  <c r="K29" i="2"/>
  <c r="J29" i="2"/>
  <c r="I29" i="2"/>
  <c r="H29" i="2"/>
  <c r="G29" i="2"/>
  <c r="F29" i="2"/>
  <c r="E29" i="2"/>
  <c r="D29" i="2"/>
  <c r="C29" i="2"/>
  <c r="S28" i="2"/>
  <c r="R28" i="2"/>
  <c r="T28" i="2" s="1"/>
  <c r="P28" i="2"/>
  <c r="O28" i="2"/>
  <c r="M28" i="2"/>
  <c r="L28" i="2"/>
  <c r="K28" i="2"/>
  <c r="J28" i="2"/>
  <c r="I28" i="2"/>
  <c r="H28" i="2"/>
  <c r="G28" i="2"/>
  <c r="F28" i="2"/>
  <c r="E28" i="2"/>
  <c r="D28" i="2"/>
  <c r="C28" i="2"/>
  <c r="S27" i="2"/>
  <c r="R27" i="2"/>
  <c r="P27" i="2"/>
  <c r="O27" i="2"/>
  <c r="Q27" i="2" s="1"/>
  <c r="M27" i="2"/>
  <c r="L27" i="2"/>
  <c r="N27" i="2" s="1"/>
  <c r="K27" i="2"/>
  <c r="J27" i="2"/>
  <c r="I27" i="2"/>
  <c r="H27" i="2"/>
  <c r="G27" i="2"/>
  <c r="F27" i="2"/>
  <c r="E27" i="2"/>
  <c r="D27" i="2"/>
  <c r="C27" i="2"/>
  <c r="S26" i="2"/>
  <c r="R26" i="2"/>
  <c r="T26" i="2" s="1"/>
  <c r="P26" i="2"/>
  <c r="Q26" i="2" s="1"/>
  <c r="O26" i="2"/>
  <c r="M26" i="2"/>
  <c r="L26" i="2"/>
  <c r="N26" i="2" s="1"/>
  <c r="K26" i="2"/>
  <c r="J26" i="2"/>
  <c r="I26" i="2"/>
  <c r="H26" i="2"/>
  <c r="G26" i="2"/>
  <c r="F26" i="2"/>
  <c r="E26" i="2"/>
  <c r="D26" i="2"/>
  <c r="C26" i="2"/>
  <c r="S25" i="2"/>
  <c r="R25" i="2"/>
  <c r="P25" i="2"/>
  <c r="Q25" i="2" s="1"/>
  <c r="O25" i="2"/>
  <c r="M25" i="2"/>
  <c r="L25" i="2"/>
  <c r="N25" i="2" s="1"/>
  <c r="K25" i="2"/>
  <c r="J25" i="2"/>
  <c r="I25" i="2"/>
  <c r="H25" i="2"/>
  <c r="G25" i="2"/>
  <c r="F25" i="2"/>
  <c r="E25" i="2"/>
  <c r="D25" i="2"/>
  <c r="C25" i="2"/>
  <c r="S24" i="2"/>
  <c r="R24" i="2"/>
  <c r="T24" i="2" s="1"/>
  <c r="P24" i="2"/>
  <c r="O24" i="2"/>
  <c r="Q24" i="2" s="1"/>
  <c r="M24" i="2"/>
  <c r="L24" i="2"/>
  <c r="K24" i="2"/>
  <c r="J24" i="2"/>
  <c r="I24" i="2"/>
  <c r="H24" i="2"/>
  <c r="G24" i="2"/>
  <c r="F24" i="2"/>
  <c r="E24" i="2"/>
  <c r="D24" i="2"/>
  <c r="C24" i="2"/>
  <c r="S23" i="2"/>
  <c r="R23" i="2"/>
  <c r="T23" i="2" s="1"/>
  <c r="P23" i="2"/>
  <c r="O23" i="2"/>
  <c r="M23" i="2"/>
  <c r="L23" i="2"/>
  <c r="N23" i="2" s="1"/>
  <c r="K23" i="2"/>
  <c r="J23" i="2"/>
  <c r="I23" i="2"/>
  <c r="H23" i="2"/>
  <c r="G23" i="2"/>
  <c r="F23" i="2"/>
  <c r="E23" i="2"/>
  <c r="D23" i="2"/>
  <c r="C23" i="2"/>
  <c r="S22" i="2"/>
  <c r="R22" i="2"/>
  <c r="T22" i="2" s="1"/>
  <c r="P22" i="2"/>
  <c r="O22" i="2"/>
  <c r="Q22" i="2" s="1"/>
  <c r="M22" i="2"/>
  <c r="L22" i="2"/>
  <c r="N22" i="2" s="1"/>
  <c r="K22" i="2"/>
  <c r="J22" i="2"/>
  <c r="I22" i="2"/>
  <c r="H22" i="2"/>
  <c r="G22" i="2"/>
  <c r="F22" i="2"/>
  <c r="E22" i="2"/>
  <c r="D22" i="2"/>
  <c r="C22" i="2"/>
  <c r="S21" i="2"/>
  <c r="R21" i="2"/>
  <c r="Q21" i="2"/>
  <c r="P21" i="2"/>
  <c r="O21" i="2"/>
  <c r="M21" i="2"/>
  <c r="L21" i="2"/>
  <c r="N21" i="2" s="1"/>
  <c r="K21" i="2"/>
  <c r="J21" i="2"/>
  <c r="I21" i="2"/>
  <c r="H21" i="2"/>
  <c r="G21" i="2"/>
  <c r="F21" i="2"/>
  <c r="E21" i="2"/>
  <c r="D21" i="2"/>
  <c r="C21" i="2"/>
  <c r="S20" i="2"/>
  <c r="R20" i="2"/>
  <c r="T20" i="2" s="1"/>
  <c r="P20" i="2"/>
  <c r="O20" i="2"/>
  <c r="Q20" i="2" s="1"/>
  <c r="M20" i="2"/>
  <c r="L20" i="2"/>
  <c r="K20" i="2"/>
  <c r="J20" i="2"/>
  <c r="I20" i="2"/>
  <c r="H20" i="2"/>
  <c r="G20" i="2"/>
  <c r="F20" i="2"/>
  <c r="E20" i="2"/>
  <c r="D20" i="2"/>
  <c r="C20" i="2"/>
  <c r="S19" i="2"/>
  <c r="R19" i="2"/>
  <c r="T19" i="2" s="1"/>
  <c r="P19" i="2"/>
  <c r="O19" i="2"/>
  <c r="M19" i="2"/>
  <c r="L19" i="2"/>
  <c r="N19" i="2" s="1"/>
  <c r="K19" i="2"/>
  <c r="J19" i="2"/>
  <c r="I19" i="2"/>
  <c r="H19" i="2"/>
  <c r="G19" i="2"/>
  <c r="F19" i="2"/>
  <c r="E19" i="2"/>
  <c r="D19" i="2"/>
  <c r="C19" i="2"/>
  <c r="S18" i="2"/>
  <c r="R18" i="2"/>
  <c r="T18" i="2" s="1"/>
  <c r="P18" i="2"/>
  <c r="O18" i="2"/>
  <c r="Q18" i="2" s="1"/>
  <c r="M18" i="2"/>
  <c r="L18" i="2"/>
  <c r="N18" i="2" s="1"/>
  <c r="K18" i="2"/>
  <c r="J18" i="2"/>
  <c r="I18" i="2"/>
  <c r="H18" i="2"/>
  <c r="G18" i="2"/>
  <c r="F18" i="2"/>
  <c r="E18" i="2"/>
  <c r="D18" i="2"/>
  <c r="C18" i="2"/>
  <c r="S17" i="2"/>
  <c r="R17" i="2"/>
  <c r="P17" i="2"/>
  <c r="O17" i="2"/>
  <c r="Q17" i="2" s="1"/>
  <c r="M17" i="2"/>
  <c r="L17" i="2"/>
  <c r="N17" i="2" s="1"/>
  <c r="K17" i="2"/>
  <c r="J17" i="2"/>
  <c r="I17" i="2"/>
  <c r="H17" i="2"/>
  <c r="G17" i="2"/>
  <c r="F17" i="2"/>
  <c r="E17" i="2"/>
  <c r="D17" i="2"/>
  <c r="C17" i="2"/>
  <c r="S15" i="2"/>
  <c r="R15" i="2"/>
  <c r="T15" i="2" s="1"/>
  <c r="P15" i="2"/>
  <c r="O15" i="2"/>
  <c r="Q15" i="2" s="1"/>
  <c r="M15" i="2"/>
  <c r="L15" i="2"/>
  <c r="K15" i="2"/>
  <c r="J15" i="2"/>
  <c r="I15" i="2"/>
  <c r="H15" i="2"/>
  <c r="G15" i="2"/>
  <c r="F15" i="2"/>
  <c r="E15" i="2"/>
  <c r="D15" i="2"/>
  <c r="C15" i="2"/>
  <c r="S14" i="2"/>
  <c r="R14" i="2"/>
  <c r="T14" i="2" s="1"/>
  <c r="P14" i="2"/>
  <c r="O14" i="2"/>
  <c r="Q14" i="2" s="1"/>
  <c r="M14" i="2"/>
  <c r="L14" i="2"/>
  <c r="N14" i="2" s="1"/>
  <c r="K14" i="2"/>
  <c r="J14" i="2"/>
  <c r="I14" i="2"/>
  <c r="H14" i="2"/>
  <c r="G14" i="2"/>
  <c r="F14" i="2"/>
  <c r="E14" i="2"/>
  <c r="D14" i="2"/>
  <c r="C14" i="2"/>
  <c r="S13" i="2"/>
  <c r="R13" i="2"/>
  <c r="T13" i="2" s="1"/>
  <c r="P13" i="2"/>
  <c r="O13" i="2"/>
  <c r="Q13" i="2" s="1"/>
  <c r="M13" i="2"/>
  <c r="L13" i="2"/>
  <c r="N13" i="2" s="1"/>
  <c r="K13" i="2"/>
  <c r="J13" i="2"/>
  <c r="I13" i="2"/>
  <c r="H13" i="2"/>
  <c r="G13" i="2"/>
  <c r="F13" i="2"/>
  <c r="E13" i="2"/>
  <c r="D13" i="2"/>
  <c r="C13" i="2"/>
  <c r="S12" i="2"/>
  <c r="R12" i="2"/>
  <c r="P12" i="2"/>
  <c r="O12" i="2"/>
  <c r="Q12" i="2" s="1"/>
  <c r="M12" i="2"/>
  <c r="L12" i="2"/>
  <c r="N12" i="2" s="1"/>
  <c r="K12" i="2"/>
  <c r="J12" i="2"/>
  <c r="I12" i="2"/>
  <c r="H12" i="2"/>
  <c r="G12" i="2"/>
  <c r="F12" i="2"/>
  <c r="E12" i="2"/>
  <c r="D12" i="2"/>
  <c r="C12" i="2"/>
  <c r="S11" i="2"/>
  <c r="R11" i="2"/>
  <c r="T11" i="2" s="1"/>
  <c r="P11" i="2"/>
  <c r="O11" i="2"/>
  <c r="Q11" i="2" s="1"/>
  <c r="M11" i="2"/>
  <c r="N11" i="2" s="1"/>
  <c r="L11" i="2"/>
  <c r="K11" i="2"/>
  <c r="J11" i="2"/>
  <c r="I11" i="2"/>
  <c r="H11" i="2"/>
  <c r="G11" i="2"/>
  <c r="F11" i="2"/>
  <c r="E11" i="2"/>
  <c r="D11" i="2"/>
  <c r="C11" i="2"/>
  <c r="S10" i="2"/>
  <c r="R10" i="2"/>
  <c r="T10" i="2" s="1"/>
  <c r="P10" i="2"/>
  <c r="O10" i="2"/>
  <c r="Q10" i="2" s="1"/>
  <c r="M10" i="2"/>
  <c r="L10" i="2"/>
  <c r="N10" i="2" s="1"/>
  <c r="K10" i="2"/>
  <c r="J10" i="2"/>
  <c r="I10" i="2"/>
  <c r="H10" i="2"/>
  <c r="G10" i="2"/>
  <c r="F10" i="2"/>
  <c r="E10" i="2"/>
  <c r="D10" i="2"/>
  <c r="C10" i="2"/>
  <c r="S9" i="2"/>
  <c r="R9" i="2"/>
  <c r="T9" i="2" s="1"/>
  <c r="P9" i="2"/>
  <c r="O9" i="2"/>
  <c r="Q9" i="2" s="1"/>
  <c r="M9" i="2"/>
  <c r="L9" i="2"/>
  <c r="K9" i="2"/>
  <c r="J9" i="2"/>
  <c r="I9" i="2"/>
  <c r="H9" i="2"/>
  <c r="G9" i="2"/>
  <c r="F9" i="2"/>
  <c r="E9" i="2"/>
  <c r="D9" i="2"/>
  <c r="C9" i="2"/>
  <c r="S8" i="2"/>
  <c r="R8" i="2"/>
  <c r="T8" i="2" s="1"/>
  <c r="P8" i="2"/>
  <c r="O8" i="2"/>
  <c r="Q8" i="2" s="1"/>
  <c r="M8" i="2"/>
  <c r="L8" i="2"/>
  <c r="K8" i="2"/>
  <c r="J8" i="2"/>
  <c r="I8" i="2"/>
  <c r="H8" i="2"/>
  <c r="G8" i="2"/>
  <c r="F8" i="2"/>
  <c r="E8" i="2"/>
  <c r="D8" i="2"/>
  <c r="C8" i="2"/>
  <c r="S7" i="2"/>
  <c r="T7" i="2" s="1"/>
  <c r="R7" i="2"/>
  <c r="P7" i="2"/>
  <c r="O7" i="2"/>
  <c r="Q7" i="2" s="1"/>
  <c r="M7" i="2"/>
  <c r="N7" i="2" s="1"/>
  <c r="L7" i="2"/>
  <c r="K7" i="2"/>
  <c r="J7" i="2"/>
  <c r="I7" i="2"/>
  <c r="H7" i="2"/>
  <c r="G7" i="2"/>
  <c r="F7" i="2"/>
  <c r="E7" i="2"/>
  <c r="D7" i="2"/>
  <c r="C7" i="2"/>
  <c r="S6" i="2"/>
  <c r="R6" i="2"/>
  <c r="T6" i="2" s="1"/>
  <c r="P6" i="2"/>
  <c r="O6" i="2"/>
  <c r="Q6" i="2" s="1"/>
  <c r="M6" i="2"/>
  <c r="L6" i="2"/>
  <c r="N6" i="2" s="1"/>
  <c r="K6" i="2"/>
  <c r="J6" i="2"/>
  <c r="I6" i="2"/>
  <c r="H6" i="2"/>
  <c r="G6" i="2"/>
  <c r="F6" i="2"/>
  <c r="E6" i="2"/>
  <c r="D6" i="2"/>
  <c r="C6" i="2"/>
  <c r="W92" i="5"/>
  <c r="U92" i="5"/>
  <c r="Y92" i="5" s="1"/>
  <c r="Q92" i="5"/>
  <c r="O92" i="5"/>
  <c r="K92" i="5"/>
  <c r="I92" i="5"/>
  <c r="G92" i="5"/>
  <c r="E92" i="5"/>
  <c r="C92" i="5"/>
  <c r="W91" i="5"/>
  <c r="U91" i="5"/>
  <c r="Q91" i="5"/>
  <c r="O91" i="5"/>
  <c r="S91" i="5" s="1"/>
  <c r="K91" i="5"/>
  <c r="I91" i="5"/>
  <c r="G91" i="5"/>
  <c r="E91" i="5"/>
  <c r="C91" i="5"/>
  <c r="W90" i="5"/>
  <c r="U90" i="5"/>
  <c r="Y90" i="5" s="1"/>
  <c r="Q90" i="5"/>
  <c r="O90" i="5"/>
  <c r="K90" i="5"/>
  <c r="I90" i="5"/>
  <c r="M90" i="5" s="1"/>
  <c r="G90" i="5"/>
  <c r="E90" i="5"/>
  <c r="C90" i="5"/>
  <c r="W89" i="5"/>
  <c r="U89" i="5"/>
  <c r="Y89" i="5" s="1"/>
  <c r="Q89" i="5"/>
  <c r="O89" i="5"/>
  <c r="K89" i="5"/>
  <c r="I89" i="5"/>
  <c r="G89" i="5"/>
  <c r="E89" i="5"/>
  <c r="C89" i="5"/>
  <c r="W88" i="5"/>
  <c r="U88" i="5"/>
  <c r="Q88" i="5"/>
  <c r="O88" i="5"/>
  <c r="K88" i="5"/>
  <c r="I88" i="5"/>
  <c r="G88" i="5"/>
  <c r="E88" i="5"/>
  <c r="C88" i="5"/>
  <c r="W87" i="5"/>
  <c r="U87" i="5"/>
  <c r="Q87" i="5"/>
  <c r="O87" i="5"/>
  <c r="S87" i="5" s="1"/>
  <c r="K87" i="5"/>
  <c r="I87" i="5"/>
  <c r="G87" i="5"/>
  <c r="E87" i="5"/>
  <c r="C87" i="5"/>
  <c r="W86" i="5"/>
  <c r="U86" i="5"/>
  <c r="Y86" i="5" s="1"/>
  <c r="Q86" i="5"/>
  <c r="O86" i="5"/>
  <c r="S86" i="5" s="1"/>
  <c r="K86" i="5"/>
  <c r="I86" i="5"/>
  <c r="M86" i="5" s="1"/>
  <c r="G86" i="5"/>
  <c r="E86" i="5"/>
  <c r="C86" i="5"/>
  <c r="W85" i="5"/>
  <c r="U85" i="5"/>
  <c r="Q85" i="5"/>
  <c r="O85" i="5"/>
  <c r="K85" i="5"/>
  <c r="I85" i="5"/>
  <c r="M85" i="5" s="1"/>
  <c r="G85" i="5"/>
  <c r="E85" i="5"/>
  <c r="C85" i="5"/>
  <c r="W84" i="5"/>
  <c r="U84" i="5"/>
  <c r="Y84" i="5" s="1"/>
  <c r="Q84" i="5"/>
  <c r="O84" i="5"/>
  <c r="K84" i="5"/>
  <c r="I84" i="5"/>
  <c r="G84" i="5"/>
  <c r="E84" i="5"/>
  <c r="C84" i="5"/>
  <c r="W83" i="5"/>
  <c r="U83" i="5"/>
  <c r="Q83" i="5"/>
  <c r="O83" i="5"/>
  <c r="S83" i="5" s="1"/>
  <c r="K83" i="5"/>
  <c r="I83" i="5"/>
  <c r="G83" i="5"/>
  <c r="E83" i="5"/>
  <c r="C83" i="5"/>
  <c r="W82" i="5"/>
  <c r="U82" i="5"/>
  <c r="Q82" i="5"/>
  <c r="O82" i="5"/>
  <c r="K82" i="5"/>
  <c r="I82" i="5"/>
  <c r="M82" i="5" s="1"/>
  <c r="G82" i="5"/>
  <c r="E82" i="5"/>
  <c r="C82" i="5"/>
  <c r="W81" i="5"/>
  <c r="U81" i="5"/>
  <c r="Y81" i="5" s="1"/>
  <c r="Q81" i="5"/>
  <c r="O81" i="5"/>
  <c r="K81" i="5"/>
  <c r="I81" i="5"/>
  <c r="G81" i="5"/>
  <c r="E81" i="5"/>
  <c r="C81" i="5"/>
  <c r="W80" i="5"/>
  <c r="U80" i="5"/>
  <c r="Q80" i="5"/>
  <c r="O80" i="5"/>
  <c r="S80" i="5" s="1"/>
  <c r="K80" i="5"/>
  <c r="I80" i="5"/>
  <c r="G80" i="5"/>
  <c r="E80" i="5"/>
  <c r="C80" i="5"/>
  <c r="W79" i="5"/>
  <c r="U79" i="5"/>
  <c r="Q79" i="5"/>
  <c r="O79" i="5"/>
  <c r="K79" i="5"/>
  <c r="I79" i="5"/>
  <c r="G79" i="5"/>
  <c r="E79" i="5"/>
  <c r="C79" i="5"/>
  <c r="W78" i="5"/>
  <c r="U78" i="5"/>
  <c r="Q78" i="5"/>
  <c r="O78" i="5"/>
  <c r="K78" i="5"/>
  <c r="I78" i="5"/>
  <c r="G78" i="5"/>
  <c r="E78" i="5"/>
  <c r="C78" i="5"/>
  <c r="W77" i="5"/>
  <c r="U77" i="5"/>
  <c r="Y77" i="5" s="1"/>
  <c r="Q77" i="5"/>
  <c r="S77" i="5" s="1"/>
  <c r="O77" i="5"/>
  <c r="K77" i="5"/>
  <c r="I77" i="5"/>
  <c r="G77" i="5"/>
  <c r="E77" i="5"/>
  <c r="C77" i="5"/>
  <c r="W76" i="5"/>
  <c r="U76" i="5"/>
  <c r="Q76" i="5"/>
  <c r="O76" i="5"/>
  <c r="S76" i="5" s="1"/>
  <c r="K76" i="5"/>
  <c r="I76" i="5"/>
  <c r="G76" i="5"/>
  <c r="E76" i="5"/>
  <c r="C76" i="5"/>
  <c r="W75" i="5"/>
  <c r="U75" i="5"/>
  <c r="Q75" i="5"/>
  <c r="O75" i="5"/>
  <c r="K75" i="5"/>
  <c r="I75" i="5"/>
  <c r="G75" i="5"/>
  <c r="E75" i="5"/>
  <c r="C75" i="5"/>
  <c r="W74" i="5"/>
  <c r="U74" i="5"/>
  <c r="Q74" i="5"/>
  <c r="O74" i="5"/>
  <c r="K74" i="5"/>
  <c r="I74" i="5"/>
  <c r="G74" i="5"/>
  <c r="E74" i="5"/>
  <c r="C74" i="5"/>
  <c r="W73" i="5"/>
  <c r="U73" i="5"/>
  <c r="Q73" i="5"/>
  <c r="S73" i="5" s="1"/>
  <c r="O73" i="5"/>
  <c r="K73" i="5"/>
  <c r="I73" i="5"/>
  <c r="G73" i="5"/>
  <c r="E73" i="5"/>
  <c r="C73" i="5"/>
  <c r="W72" i="5"/>
  <c r="U72" i="5"/>
  <c r="Q72" i="5"/>
  <c r="O72" i="5"/>
  <c r="S72" i="5" s="1"/>
  <c r="K72" i="5"/>
  <c r="I72" i="5"/>
  <c r="G72" i="5"/>
  <c r="E72" i="5"/>
  <c r="C72" i="5"/>
  <c r="W71" i="5"/>
  <c r="U71" i="5"/>
  <c r="Q71" i="5"/>
  <c r="S71" i="5" s="1"/>
  <c r="O71" i="5"/>
  <c r="K71" i="5"/>
  <c r="I71" i="5"/>
  <c r="G71" i="5"/>
  <c r="E71" i="5"/>
  <c r="C71" i="5"/>
  <c r="W70" i="5"/>
  <c r="U70" i="5"/>
  <c r="Q70" i="5"/>
  <c r="O70" i="5"/>
  <c r="S70" i="5" s="1"/>
  <c r="K70" i="5"/>
  <c r="I70" i="5"/>
  <c r="G70" i="5"/>
  <c r="E70" i="5"/>
  <c r="C70" i="5"/>
  <c r="W69" i="5"/>
  <c r="U69" i="5"/>
  <c r="Q69" i="5"/>
  <c r="O69" i="5"/>
  <c r="K69" i="5"/>
  <c r="I69" i="5"/>
  <c r="G69" i="5"/>
  <c r="E69" i="5"/>
  <c r="C69" i="5"/>
  <c r="W68" i="5"/>
  <c r="U68" i="5"/>
  <c r="Y68" i="5" s="1"/>
  <c r="Q68" i="5"/>
  <c r="O68" i="5"/>
  <c r="K68" i="5"/>
  <c r="I68" i="5"/>
  <c r="G68" i="5"/>
  <c r="E68" i="5"/>
  <c r="C68" i="5"/>
  <c r="W67" i="5"/>
  <c r="U67" i="5"/>
  <c r="Q67" i="5"/>
  <c r="O67" i="5"/>
  <c r="K67" i="5"/>
  <c r="I67" i="5"/>
  <c r="G67" i="5"/>
  <c r="E67" i="5"/>
  <c r="C67" i="5"/>
  <c r="W66" i="5"/>
  <c r="U66" i="5"/>
  <c r="Q66" i="5"/>
  <c r="O66" i="5"/>
  <c r="K66" i="5"/>
  <c r="I66" i="5"/>
  <c r="M66" i="5" s="1"/>
  <c r="G66" i="5"/>
  <c r="E66" i="5"/>
  <c r="C66" i="5"/>
  <c r="W65" i="5"/>
  <c r="U65" i="5"/>
  <c r="Q65" i="5"/>
  <c r="O65" i="5"/>
  <c r="K65" i="5"/>
  <c r="I65" i="5"/>
  <c r="G65" i="5"/>
  <c r="E65" i="5"/>
  <c r="C65" i="5"/>
  <c r="W64" i="5"/>
  <c r="Y64" i="5" s="1"/>
  <c r="U64" i="5"/>
  <c r="Q64" i="5"/>
  <c r="O64" i="5"/>
  <c r="S64" i="5" s="1"/>
  <c r="K64" i="5"/>
  <c r="I64" i="5"/>
  <c r="M64" i="5" s="1"/>
  <c r="G64" i="5"/>
  <c r="E64" i="5"/>
  <c r="C64" i="5"/>
  <c r="W63" i="5"/>
  <c r="U63" i="5"/>
  <c r="Y63" i="5" s="1"/>
  <c r="Q63" i="5"/>
  <c r="O63" i="5"/>
  <c r="S63" i="5" s="1"/>
  <c r="K63" i="5"/>
  <c r="I63" i="5"/>
  <c r="G63" i="5"/>
  <c r="E63" i="5"/>
  <c r="C63" i="5"/>
  <c r="W62" i="5"/>
  <c r="U62" i="5"/>
  <c r="Q62" i="5"/>
  <c r="O62" i="5"/>
  <c r="S62" i="5" s="1"/>
  <c r="K62" i="5"/>
  <c r="I62" i="5"/>
  <c r="G62" i="5"/>
  <c r="E62" i="5"/>
  <c r="C62" i="5"/>
  <c r="W61" i="5"/>
  <c r="U61" i="5"/>
  <c r="Y61" i="5" s="1"/>
  <c r="Q61" i="5"/>
  <c r="S61" i="5" s="1"/>
  <c r="O61" i="5"/>
  <c r="K61" i="5"/>
  <c r="I61" i="5"/>
  <c r="M61" i="5" s="1"/>
  <c r="G61" i="5"/>
  <c r="E61" i="5"/>
  <c r="C61" i="5"/>
  <c r="W60" i="5"/>
  <c r="U60" i="5"/>
  <c r="Q60" i="5"/>
  <c r="O60" i="5"/>
  <c r="S60" i="5" s="1"/>
  <c r="K60" i="5"/>
  <c r="I60" i="5"/>
  <c r="G60" i="5"/>
  <c r="E60" i="5"/>
  <c r="C60" i="5"/>
  <c r="W59" i="5"/>
  <c r="U59" i="5"/>
  <c r="Q59" i="5"/>
  <c r="O59" i="5"/>
  <c r="K59" i="5"/>
  <c r="I59" i="5"/>
  <c r="G59" i="5"/>
  <c r="E59" i="5"/>
  <c r="C59" i="5"/>
  <c r="W58" i="5"/>
  <c r="U58" i="5"/>
  <c r="Y58" i="5" s="1"/>
  <c r="Q58" i="5"/>
  <c r="O58" i="5"/>
  <c r="K58" i="5"/>
  <c r="I58" i="5"/>
  <c r="M58" i="5" s="1"/>
  <c r="G58" i="5"/>
  <c r="E58" i="5"/>
  <c r="C58" i="5"/>
  <c r="W57" i="5"/>
  <c r="U57" i="5"/>
  <c r="Q57" i="5"/>
  <c r="O57" i="5"/>
  <c r="K57" i="5"/>
  <c r="I57" i="5"/>
  <c r="G57" i="5"/>
  <c r="E57" i="5"/>
  <c r="C57" i="5"/>
  <c r="W56" i="5"/>
  <c r="Y56" i="5" s="1"/>
  <c r="U56" i="5"/>
  <c r="Q56" i="5"/>
  <c r="O56" i="5"/>
  <c r="S56" i="5" s="1"/>
  <c r="K56" i="5"/>
  <c r="I56" i="5"/>
  <c r="G56" i="5"/>
  <c r="E56" i="5"/>
  <c r="C56" i="5"/>
  <c r="W55" i="5"/>
  <c r="U55" i="5"/>
  <c r="Q55" i="5"/>
  <c r="O55" i="5"/>
  <c r="K55" i="5"/>
  <c r="I55" i="5"/>
  <c r="G55" i="5"/>
  <c r="E55" i="5"/>
  <c r="C55" i="5"/>
  <c r="W54" i="5"/>
  <c r="U54" i="5"/>
  <c r="Q54" i="5"/>
  <c r="O54" i="5"/>
  <c r="K54" i="5"/>
  <c r="I54" i="5"/>
  <c r="M54" i="5" s="1"/>
  <c r="G54" i="5"/>
  <c r="E54" i="5"/>
  <c r="C54" i="5"/>
  <c r="W53" i="5"/>
  <c r="Y53" i="5" s="1"/>
  <c r="U53" i="5"/>
  <c r="Q53" i="5"/>
  <c r="O53" i="5"/>
  <c r="K53" i="5"/>
  <c r="I53" i="5"/>
  <c r="G53" i="5"/>
  <c r="E53" i="5"/>
  <c r="C53" i="5"/>
  <c r="W52" i="5"/>
  <c r="U52" i="5"/>
  <c r="Q52" i="5"/>
  <c r="O52" i="5"/>
  <c r="S52" i="5" s="1"/>
  <c r="K52" i="5"/>
  <c r="I52" i="5"/>
  <c r="G52" i="5"/>
  <c r="E52" i="5"/>
  <c r="C52" i="5"/>
  <c r="W51" i="5"/>
  <c r="Y51" i="5" s="1"/>
  <c r="U51" i="5"/>
  <c r="Q51" i="5"/>
  <c r="O51" i="5"/>
  <c r="S51" i="5" s="1"/>
  <c r="K51" i="5"/>
  <c r="I51" i="5"/>
  <c r="M51" i="5" s="1"/>
  <c r="G51" i="5"/>
  <c r="E51" i="5"/>
  <c r="C51" i="5"/>
  <c r="W50" i="5"/>
  <c r="U50" i="5"/>
  <c r="Q50" i="5"/>
  <c r="O50" i="5"/>
  <c r="K50" i="5"/>
  <c r="I50" i="5"/>
  <c r="M50" i="5" s="1"/>
  <c r="G50" i="5"/>
  <c r="E50" i="5"/>
  <c r="C50" i="5"/>
  <c r="W49" i="5"/>
  <c r="U49" i="5"/>
  <c r="Q49" i="5"/>
  <c r="O49" i="5"/>
  <c r="S49" i="5" s="1"/>
  <c r="K49" i="5"/>
  <c r="I49" i="5"/>
  <c r="G49" i="5"/>
  <c r="E49" i="5"/>
  <c r="C49" i="5"/>
  <c r="W48" i="5"/>
  <c r="U48" i="5"/>
  <c r="Q48" i="5"/>
  <c r="O48" i="5"/>
  <c r="K48" i="5"/>
  <c r="I48" i="5"/>
  <c r="M48" i="5" s="1"/>
  <c r="G48" i="5"/>
  <c r="E48" i="5"/>
  <c r="C48" i="5"/>
  <c r="W47" i="5"/>
  <c r="U47" i="5"/>
  <c r="Q47" i="5"/>
  <c r="O47" i="5"/>
  <c r="K47" i="5"/>
  <c r="I47" i="5"/>
  <c r="G47" i="5"/>
  <c r="E47" i="5"/>
  <c r="C47" i="5"/>
  <c r="W46" i="5"/>
  <c r="U46" i="5"/>
  <c r="Q46" i="5"/>
  <c r="O46" i="5"/>
  <c r="S46" i="5" s="1"/>
  <c r="K46" i="5"/>
  <c r="I46" i="5"/>
  <c r="M46" i="5" s="1"/>
  <c r="G46" i="5"/>
  <c r="E46" i="5"/>
  <c r="C46" i="5"/>
  <c r="W45" i="5"/>
  <c r="Y45" i="5" s="1"/>
  <c r="U45" i="5"/>
  <c r="Q45" i="5"/>
  <c r="O45" i="5"/>
  <c r="K45" i="5"/>
  <c r="I45" i="5"/>
  <c r="M45" i="5" s="1"/>
  <c r="G45" i="5"/>
  <c r="E45" i="5"/>
  <c r="C45" i="5"/>
  <c r="W44" i="5"/>
  <c r="U44" i="5"/>
  <c r="Q44" i="5"/>
  <c r="O44" i="5"/>
  <c r="S44" i="5" s="1"/>
  <c r="K44" i="5"/>
  <c r="I44" i="5"/>
  <c r="G44" i="5"/>
  <c r="E44" i="5"/>
  <c r="C44" i="5"/>
  <c r="W43" i="5"/>
  <c r="Y43" i="5" s="1"/>
  <c r="U43" i="5"/>
  <c r="Q43" i="5"/>
  <c r="O43" i="5"/>
  <c r="S43" i="5" s="1"/>
  <c r="K43" i="5"/>
  <c r="I43" i="5"/>
  <c r="M43" i="5" s="1"/>
  <c r="G43" i="5"/>
  <c r="E43" i="5"/>
  <c r="C43" i="5"/>
  <c r="W42" i="5"/>
  <c r="U42" i="5"/>
  <c r="Q42" i="5"/>
  <c r="O42" i="5"/>
  <c r="K42" i="5"/>
  <c r="I42" i="5"/>
  <c r="G42" i="5"/>
  <c r="E42" i="5"/>
  <c r="C42" i="5"/>
  <c r="W41" i="5"/>
  <c r="U41" i="5"/>
  <c r="Q41" i="5"/>
  <c r="O41" i="5"/>
  <c r="S41" i="5" s="1"/>
  <c r="K41" i="5"/>
  <c r="I41" i="5"/>
  <c r="G41" i="5"/>
  <c r="E41" i="5"/>
  <c r="C41" i="5"/>
  <c r="W40" i="5"/>
  <c r="Y40" i="5" s="1"/>
  <c r="U40" i="5"/>
  <c r="Q40" i="5"/>
  <c r="O40" i="5"/>
  <c r="K40" i="5"/>
  <c r="I40" i="5"/>
  <c r="M40" i="5" s="1"/>
  <c r="G40" i="5"/>
  <c r="E40" i="5"/>
  <c r="C40" i="5"/>
  <c r="W39" i="5"/>
  <c r="U39" i="5"/>
  <c r="Q39" i="5"/>
  <c r="O39" i="5"/>
  <c r="S39" i="5" s="1"/>
  <c r="K39" i="5"/>
  <c r="I39" i="5"/>
  <c r="G39" i="5"/>
  <c r="E39" i="5"/>
  <c r="C39" i="5"/>
  <c r="W38" i="5"/>
  <c r="Y38" i="5" s="1"/>
  <c r="U38" i="5"/>
  <c r="Q38" i="5"/>
  <c r="O38" i="5"/>
  <c r="S38" i="5" s="1"/>
  <c r="K38" i="5"/>
  <c r="I38" i="5"/>
  <c r="G38" i="5"/>
  <c r="E38" i="5"/>
  <c r="C38" i="5"/>
  <c r="W37" i="5"/>
  <c r="U37" i="5"/>
  <c r="Q37" i="5"/>
  <c r="S37" i="5" s="1"/>
  <c r="O37" i="5"/>
  <c r="K37" i="5"/>
  <c r="I37" i="5"/>
  <c r="G37" i="5"/>
  <c r="E37" i="5"/>
  <c r="C37" i="5"/>
  <c r="W36" i="5"/>
  <c r="U36" i="5"/>
  <c r="Q36" i="5"/>
  <c r="O36" i="5"/>
  <c r="K36" i="5"/>
  <c r="I36" i="5"/>
  <c r="G36" i="5"/>
  <c r="E36" i="5"/>
  <c r="C36" i="5"/>
  <c r="W33" i="5"/>
  <c r="U33" i="5"/>
  <c r="Q33" i="5"/>
  <c r="O33" i="5"/>
  <c r="S33" i="5" s="1"/>
  <c r="K33" i="5"/>
  <c r="I33" i="5"/>
  <c r="G33" i="5"/>
  <c r="E33" i="5"/>
  <c r="C33" i="5"/>
  <c r="W32" i="5"/>
  <c r="U32" i="5"/>
  <c r="Q32" i="5"/>
  <c r="O32" i="5"/>
  <c r="K32" i="5"/>
  <c r="I32" i="5"/>
  <c r="G32" i="5"/>
  <c r="E32" i="5"/>
  <c r="C32" i="5"/>
  <c r="W31" i="5"/>
  <c r="U31" i="5"/>
  <c r="Y31" i="5" s="1"/>
  <c r="Q31" i="5"/>
  <c r="O31" i="5"/>
  <c r="K31" i="5"/>
  <c r="I31" i="5"/>
  <c r="G31" i="5"/>
  <c r="E31" i="5"/>
  <c r="C31" i="5"/>
  <c r="W30" i="5"/>
  <c r="U30" i="5"/>
  <c r="Q30" i="5"/>
  <c r="S30" i="5" s="1"/>
  <c r="O30" i="5"/>
  <c r="K30" i="5"/>
  <c r="I30" i="5"/>
  <c r="G30" i="5"/>
  <c r="E30" i="5"/>
  <c r="C30" i="5"/>
  <c r="W29" i="5"/>
  <c r="U29" i="5"/>
  <c r="Y29" i="5" s="1"/>
  <c r="Q29" i="5"/>
  <c r="O29" i="5"/>
  <c r="K29" i="5"/>
  <c r="I29" i="5"/>
  <c r="G29" i="5"/>
  <c r="E29" i="5"/>
  <c r="C29" i="5"/>
  <c r="W28" i="5"/>
  <c r="U28" i="5"/>
  <c r="Q28" i="5"/>
  <c r="O28" i="5"/>
  <c r="K28" i="5"/>
  <c r="I28" i="5"/>
  <c r="M28" i="5" s="1"/>
  <c r="G28" i="5"/>
  <c r="E28" i="5"/>
  <c r="C28" i="5"/>
  <c r="W27" i="5"/>
  <c r="U27" i="5"/>
  <c r="Q27" i="5"/>
  <c r="S27" i="5" s="1"/>
  <c r="O27" i="5"/>
  <c r="K27" i="5"/>
  <c r="I27" i="5"/>
  <c r="G27" i="5"/>
  <c r="E27" i="5"/>
  <c r="C27" i="5"/>
  <c r="W26" i="5"/>
  <c r="U26" i="5"/>
  <c r="Q26" i="5"/>
  <c r="O26" i="5"/>
  <c r="K26" i="5"/>
  <c r="I26" i="5"/>
  <c r="G26" i="5"/>
  <c r="E26" i="5"/>
  <c r="C26" i="5"/>
  <c r="W25" i="5"/>
  <c r="U25" i="5"/>
  <c r="Q25" i="5"/>
  <c r="O25" i="5"/>
  <c r="K25" i="5"/>
  <c r="I25" i="5"/>
  <c r="M25" i="5" s="1"/>
  <c r="G25" i="5"/>
  <c r="E25" i="5"/>
  <c r="C25" i="5"/>
  <c r="W24" i="5"/>
  <c r="U24" i="5"/>
  <c r="Q24" i="5"/>
  <c r="O24" i="5"/>
  <c r="K24" i="5"/>
  <c r="I24" i="5"/>
  <c r="G24" i="5"/>
  <c r="E24" i="5"/>
  <c r="C24" i="5"/>
  <c r="W23" i="5"/>
  <c r="U23" i="5"/>
  <c r="Y23" i="5" s="1"/>
  <c r="Q23" i="5"/>
  <c r="O23" i="5"/>
  <c r="K23" i="5"/>
  <c r="I23" i="5"/>
  <c r="G23" i="5"/>
  <c r="E23" i="5"/>
  <c r="C23" i="5"/>
  <c r="W22" i="5"/>
  <c r="U22" i="5"/>
  <c r="Q22" i="5"/>
  <c r="S22" i="5" s="1"/>
  <c r="O22" i="5"/>
  <c r="K22" i="5"/>
  <c r="I22" i="5"/>
  <c r="M22" i="5" s="1"/>
  <c r="G22" i="5"/>
  <c r="E22" i="5"/>
  <c r="C22" i="5"/>
  <c r="W21" i="5"/>
  <c r="Y21" i="5" s="1"/>
  <c r="U21" i="5"/>
  <c r="Q21" i="5"/>
  <c r="O21" i="5"/>
  <c r="K21" i="5"/>
  <c r="I21" i="5"/>
  <c r="G21" i="5"/>
  <c r="E21" i="5"/>
  <c r="C21" i="5"/>
  <c r="W20" i="5"/>
  <c r="U20" i="5"/>
  <c r="Q20" i="5"/>
  <c r="S20" i="5" s="1"/>
  <c r="O20" i="5"/>
  <c r="K20" i="5"/>
  <c r="I20" i="5"/>
  <c r="M20" i="5" s="1"/>
  <c r="G20" i="5"/>
  <c r="E20" i="5"/>
  <c r="C20" i="5"/>
  <c r="W19" i="5"/>
  <c r="U19" i="5"/>
  <c r="Y19" i="5" s="1"/>
  <c r="Q19" i="5"/>
  <c r="O19" i="5"/>
  <c r="S19" i="5" s="1"/>
  <c r="K19" i="5"/>
  <c r="I19" i="5"/>
  <c r="G19" i="5"/>
  <c r="E19" i="5"/>
  <c r="C19" i="5"/>
  <c r="W17" i="5"/>
  <c r="U17" i="5"/>
  <c r="Q17" i="5"/>
  <c r="O17" i="5"/>
  <c r="K17" i="5"/>
  <c r="I17" i="5"/>
  <c r="M17" i="5" s="1"/>
  <c r="G17" i="5"/>
  <c r="E17" i="5"/>
  <c r="C17" i="5"/>
  <c r="W16" i="5"/>
  <c r="U16" i="5"/>
  <c r="Y16" i="5" s="1"/>
  <c r="Q16" i="5"/>
  <c r="O16" i="5"/>
  <c r="K16" i="5"/>
  <c r="I16" i="5"/>
  <c r="G16" i="5"/>
  <c r="E16" i="5"/>
  <c r="C16" i="5"/>
  <c r="W15" i="5"/>
  <c r="U15" i="5"/>
  <c r="Q15" i="5"/>
  <c r="O15" i="5"/>
  <c r="K15" i="5"/>
  <c r="I15" i="5"/>
  <c r="G15" i="5"/>
  <c r="E15" i="5"/>
  <c r="C15" i="5"/>
  <c r="W14" i="5"/>
  <c r="U14" i="5"/>
  <c r="Q14" i="5"/>
  <c r="O14" i="5"/>
  <c r="K14" i="5"/>
  <c r="I14" i="5"/>
  <c r="G14" i="5"/>
  <c r="E14" i="5"/>
  <c r="C14" i="5"/>
  <c r="W13" i="5"/>
  <c r="U13" i="5"/>
  <c r="Q13" i="5"/>
  <c r="O13" i="5"/>
  <c r="K13" i="5"/>
  <c r="I13" i="5"/>
  <c r="G13" i="5"/>
  <c r="E13" i="5"/>
  <c r="C13" i="5"/>
  <c r="W12" i="5"/>
  <c r="U12" i="5"/>
  <c r="Q12" i="5"/>
  <c r="O12" i="5"/>
  <c r="K12" i="5"/>
  <c r="I12" i="5"/>
  <c r="M12" i="5" s="1"/>
  <c r="G12" i="5"/>
  <c r="E12" i="5"/>
  <c r="C12" i="5"/>
  <c r="W11" i="5"/>
  <c r="U11" i="5"/>
  <c r="Y11" i="5" s="1"/>
  <c r="Q11" i="5"/>
  <c r="O11" i="5"/>
  <c r="K11" i="5"/>
  <c r="I11" i="5"/>
  <c r="G11" i="5"/>
  <c r="E11" i="5"/>
  <c r="C11" i="5"/>
  <c r="W10" i="5"/>
  <c r="U10" i="5"/>
  <c r="Y10" i="5" s="1"/>
  <c r="Q10" i="5"/>
  <c r="O10" i="5"/>
  <c r="S10" i="5" s="1"/>
  <c r="K10" i="5"/>
  <c r="I10" i="5"/>
  <c r="G10" i="5"/>
  <c r="E10" i="5"/>
  <c r="C10" i="5"/>
  <c r="W9" i="5"/>
  <c r="U9" i="5"/>
  <c r="Q9" i="5"/>
  <c r="O9" i="5"/>
  <c r="S9" i="5" s="1"/>
  <c r="K9" i="5"/>
  <c r="I9" i="5"/>
  <c r="M9" i="5" s="1"/>
  <c r="G9" i="5"/>
  <c r="E9" i="5"/>
  <c r="C9" i="5"/>
  <c r="W8" i="5"/>
  <c r="U8" i="5"/>
  <c r="R8" i="5"/>
  <c r="Q8" i="5"/>
  <c r="O8" i="5"/>
  <c r="S8" i="5" s="1"/>
  <c r="K8" i="5"/>
  <c r="I8" i="5"/>
  <c r="G8" i="5"/>
  <c r="E8" i="5"/>
  <c r="C8" i="5"/>
  <c r="X7" i="5"/>
  <c r="X21" i="5" s="1"/>
  <c r="V7" i="5"/>
  <c r="V13" i="5" s="1"/>
  <c r="R7" i="5"/>
  <c r="R30" i="5" s="1"/>
  <c r="P7" i="5"/>
  <c r="P27" i="5" s="1"/>
  <c r="L7" i="5"/>
  <c r="L70" i="5" s="1"/>
  <c r="J7" i="5"/>
  <c r="J13" i="5" s="1"/>
  <c r="H7" i="5"/>
  <c r="H20" i="5" s="1"/>
  <c r="F7" i="5"/>
  <c r="D7" i="5"/>
  <c r="D15" i="5" s="1"/>
  <c r="T6" i="5"/>
  <c r="Q92" i="4"/>
  <c r="O92" i="4"/>
  <c r="M92" i="4"/>
  <c r="K92" i="4"/>
  <c r="I92" i="4"/>
  <c r="G92" i="4"/>
  <c r="E92" i="4"/>
  <c r="C92" i="4"/>
  <c r="Q91" i="4"/>
  <c r="O91" i="4"/>
  <c r="M91" i="4"/>
  <c r="K91" i="4"/>
  <c r="I91" i="4"/>
  <c r="G91" i="4"/>
  <c r="E91" i="4"/>
  <c r="C91" i="4"/>
  <c r="Q90" i="4"/>
  <c r="O90" i="4"/>
  <c r="M90" i="4"/>
  <c r="K90" i="4"/>
  <c r="I90" i="4"/>
  <c r="G90" i="4"/>
  <c r="E90" i="4"/>
  <c r="C90" i="4"/>
  <c r="Q89" i="4"/>
  <c r="O89" i="4"/>
  <c r="M89" i="4"/>
  <c r="K89" i="4"/>
  <c r="I89" i="4"/>
  <c r="G89" i="4"/>
  <c r="E89" i="4"/>
  <c r="C89" i="4"/>
  <c r="Q88" i="4"/>
  <c r="O88" i="4"/>
  <c r="M88" i="4"/>
  <c r="K88" i="4"/>
  <c r="I88" i="4"/>
  <c r="G88" i="4"/>
  <c r="E88" i="4"/>
  <c r="C88" i="4"/>
  <c r="Q87" i="4"/>
  <c r="O87" i="4"/>
  <c r="M87" i="4"/>
  <c r="K87" i="4"/>
  <c r="I87" i="4"/>
  <c r="G87" i="4"/>
  <c r="E87" i="4"/>
  <c r="C87" i="4"/>
  <c r="Q86" i="4"/>
  <c r="O86" i="4"/>
  <c r="M86" i="4"/>
  <c r="K86" i="4"/>
  <c r="I86" i="4"/>
  <c r="G86" i="4"/>
  <c r="E86" i="4"/>
  <c r="C86" i="4"/>
  <c r="Q85" i="4"/>
  <c r="O85" i="4"/>
  <c r="M85" i="4"/>
  <c r="K85" i="4"/>
  <c r="I85" i="4"/>
  <c r="G85" i="4"/>
  <c r="E85" i="4"/>
  <c r="C85" i="4"/>
  <c r="Q84" i="4"/>
  <c r="O84" i="4"/>
  <c r="M84" i="4"/>
  <c r="K84" i="4"/>
  <c r="I84" i="4"/>
  <c r="G84" i="4"/>
  <c r="E84" i="4"/>
  <c r="C84" i="4"/>
  <c r="Q83" i="4"/>
  <c r="O83" i="4"/>
  <c r="M83" i="4"/>
  <c r="K83" i="4"/>
  <c r="I83" i="4"/>
  <c r="G83" i="4"/>
  <c r="E83" i="4"/>
  <c r="C83" i="4"/>
  <c r="Q82" i="4"/>
  <c r="O82" i="4"/>
  <c r="M82" i="4"/>
  <c r="K82" i="4"/>
  <c r="I82" i="4"/>
  <c r="G82" i="4"/>
  <c r="E82" i="4"/>
  <c r="C82" i="4"/>
  <c r="Q81" i="4"/>
  <c r="O81" i="4"/>
  <c r="M81" i="4"/>
  <c r="K81" i="4"/>
  <c r="I81" i="4"/>
  <c r="G81" i="4"/>
  <c r="E81" i="4"/>
  <c r="C81" i="4"/>
  <c r="Q80" i="4"/>
  <c r="O80" i="4"/>
  <c r="M80" i="4"/>
  <c r="K80" i="4"/>
  <c r="I80" i="4"/>
  <c r="G80" i="4"/>
  <c r="E80" i="4"/>
  <c r="C80" i="4"/>
  <c r="Q79" i="4"/>
  <c r="O79" i="4"/>
  <c r="M79" i="4"/>
  <c r="K79" i="4"/>
  <c r="I79" i="4"/>
  <c r="G79" i="4"/>
  <c r="E79" i="4"/>
  <c r="C79" i="4"/>
  <c r="Q78" i="4"/>
  <c r="O78" i="4"/>
  <c r="M78" i="4"/>
  <c r="K78" i="4"/>
  <c r="I78" i="4"/>
  <c r="G78" i="4"/>
  <c r="E78" i="4"/>
  <c r="C78" i="4"/>
  <c r="Q77" i="4"/>
  <c r="O77" i="4"/>
  <c r="M77" i="4"/>
  <c r="K77" i="4"/>
  <c r="I77" i="4"/>
  <c r="G77" i="4"/>
  <c r="E77" i="4"/>
  <c r="C77" i="4"/>
  <c r="Q76" i="4"/>
  <c r="O76" i="4"/>
  <c r="M76" i="4"/>
  <c r="K76" i="4"/>
  <c r="I76" i="4"/>
  <c r="G76" i="4"/>
  <c r="E76" i="4"/>
  <c r="C76" i="4"/>
  <c r="Q75" i="4"/>
  <c r="O75" i="4"/>
  <c r="M75" i="4"/>
  <c r="K75" i="4"/>
  <c r="I75" i="4"/>
  <c r="G75" i="4"/>
  <c r="E75" i="4"/>
  <c r="C75" i="4"/>
  <c r="Q74" i="4"/>
  <c r="O74" i="4"/>
  <c r="M74" i="4"/>
  <c r="K74" i="4"/>
  <c r="I74" i="4"/>
  <c r="G74" i="4"/>
  <c r="E74" i="4"/>
  <c r="C74" i="4"/>
  <c r="Q73" i="4"/>
  <c r="O73" i="4"/>
  <c r="M73" i="4"/>
  <c r="K73" i="4"/>
  <c r="I73" i="4"/>
  <c r="G73" i="4"/>
  <c r="E73" i="4"/>
  <c r="C73" i="4"/>
  <c r="Q72" i="4"/>
  <c r="O72" i="4"/>
  <c r="M72" i="4"/>
  <c r="K72" i="4"/>
  <c r="I72" i="4"/>
  <c r="G72" i="4"/>
  <c r="E72" i="4"/>
  <c r="C72" i="4"/>
  <c r="Q71" i="4"/>
  <c r="O71" i="4"/>
  <c r="M71" i="4"/>
  <c r="K71" i="4"/>
  <c r="I71" i="4"/>
  <c r="G71" i="4"/>
  <c r="E71" i="4"/>
  <c r="C71" i="4"/>
  <c r="Q70" i="4"/>
  <c r="O70" i="4"/>
  <c r="M70" i="4"/>
  <c r="K70" i="4"/>
  <c r="I70" i="4"/>
  <c r="G70" i="4"/>
  <c r="E70" i="4"/>
  <c r="C70" i="4"/>
  <c r="Q69" i="4"/>
  <c r="O69" i="4"/>
  <c r="M69" i="4"/>
  <c r="K69" i="4"/>
  <c r="I69" i="4"/>
  <c r="G69" i="4"/>
  <c r="E69" i="4"/>
  <c r="C69" i="4"/>
  <c r="Q68" i="4"/>
  <c r="O68" i="4"/>
  <c r="M68" i="4"/>
  <c r="K68" i="4"/>
  <c r="I68" i="4"/>
  <c r="G68" i="4"/>
  <c r="E68" i="4"/>
  <c r="C68" i="4"/>
  <c r="Q67" i="4"/>
  <c r="O67" i="4"/>
  <c r="M67" i="4"/>
  <c r="K67" i="4"/>
  <c r="I67" i="4"/>
  <c r="G67" i="4"/>
  <c r="E67" i="4"/>
  <c r="C67" i="4"/>
  <c r="Q66" i="4"/>
  <c r="O66" i="4"/>
  <c r="M66" i="4"/>
  <c r="K66" i="4"/>
  <c r="I66" i="4"/>
  <c r="G66" i="4"/>
  <c r="E66" i="4"/>
  <c r="C66" i="4"/>
  <c r="Q65" i="4"/>
  <c r="O65" i="4"/>
  <c r="M65" i="4"/>
  <c r="K65" i="4"/>
  <c r="I65" i="4"/>
  <c r="G65" i="4"/>
  <c r="E65" i="4"/>
  <c r="C65" i="4"/>
  <c r="Q64" i="4"/>
  <c r="O64" i="4"/>
  <c r="M64" i="4"/>
  <c r="K64" i="4"/>
  <c r="I64" i="4"/>
  <c r="G64" i="4"/>
  <c r="E64" i="4"/>
  <c r="C64" i="4"/>
  <c r="Q63" i="4"/>
  <c r="O63" i="4"/>
  <c r="M63" i="4"/>
  <c r="K63" i="4"/>
  <c r="I63" i="4"/>
  <c r="G63" i="4"/>
  <c r="E63" i="4"/>
  <c r="C63" i="4"/>
  <c r="Q62" i="4"/>
  <c r="O62" i="4"/>
  <c r="M62" i="4"/>
  <c r="K62" i="4"/>
  <c r="I62" i="4"/>
  <c r="G62" i="4"/>
  <c r="E62" i="4"/>
  <c r="C62" i="4"/>
  <c r="Q61" i="4"/>
  <c r="O61" i="4"/>
  <c r="M61" i="4"/>
  <c r="K61" i="4"/>
  <c r="I61" i="4"/>
  <c r="G61" i="4"/>
  <c r="E61" i="4"/>
  <c r="C61" i="4"/>
  <c r="Q60" i="4"/>
  <c r="O60" i="4"/>
  <c r="M60" i="4"/>
  <c r="K60" i="4"/>
  <c r="I60" i="4"/>
  <c r="G60" i="4"/>
  <c r="E60" i="4"/>
  <c r="C60" i="4"/>
  <c r="Q59" i="4"/>
  <c r="O59" i="4"/>
  <c r="M59" i="4"/>
  <c r="K59" i="4"/>
  <c r="I59" i="4"/>
  <c r="G59" i="4"/>
  <c r="E59" i="4"/>
  <c r="C59" i="4"/>
  <c r="Q58" i="4"/>
  <c r="O58" i="4"/>
  <c r="M58" i="4"/>
  <c r="K58" i="4"/>
  <c r="I58" i="4"/>
  <c r="G58" i="4"/>
  <c r="E58" i="4"/>
  <c r="C58" i="4"/>
  <c r="Q57" i="4"/>
  <c r="O57" i="4"/>
  <c r="M57" i="4"/>
  <c r="K57" i="4"/>
  <c r="I57" i="4"/>
  <c r="G57" i="4"/>
  <c r="E57" i="4"/>
  <c r="C57" i="4"/>
  <c r="Q56" i="4"/>
  <c r="O56" i="4"/>
  <c r="M56" i="4"/>
  <c r="K56" i="4"/>
  <c r="I56" i="4"/>
  <c r="G56" i="4"/>
  <c r="E56" i="4"/>
  <c r="C56" i="4"/>
  <c r="Q55" i="4"/>
  <c r="O55" i="4"/>
  <c r="M55" i="4"/>
  <c r="K55" i="4"/>
  <c r="I55" i="4"/>
  <c r="G55" i="4"/>
  <c r="E55" i="4"/>
  <c r="C55" i="4"/>
  <c r="Q54" i="4"/>
  <c r="O54" i="4"/>
  <c r="M54" i="4"/>
  <c r="K54" i="4"/>
  <c r="I54" i="4"/>
  <c r="G54" i="4"/>
  <c r="E54" i="4"/>
  <c r="C54" i="4"/>
  <c r="Q53" i="4"/>
  <c r="O53" i="4"/>
  <c r="M53" i="4"/>
  <c r="K53" i="4"/>
  <c r="I53" i="4"/>
  <c r="G53" i="4"/>
  <c r="E53" i="4"/>
  <c r="C53" i="4"/>
  <c r="Q52" i="4"/>
  <c r="O52" i="4"/>
  <c r="M52" i="4"/>
  <c r="K52" i="4"/>
  <c r="I52" i="4"/>
  <c r="G52" i="4"/>
  <c r="E52" i="4"/>
  <c r="C52" i="4"/>
  <c r="Q51" i="4"/>
  <c r="O51" i="4"/>
  <c r="M51" i="4"/>
  <c r="K51" i="4"/>
  <c r="I51" i="4"/>
  <c r="G51" i="4"/>
  <c r="E51" i="4"/>
  <c r="C51" i="4"/>
  <c r="Q50" i="4"/>
  <c r="O50" i="4"/>
  <c r="M50" i="4"/>
  <c r="K50" i="4"/>
  <c r="I50" i="4"/>
  <c r="G50" i="4"/>
  <c r="E50" i="4"/>
  <c r="C50" i="4"/>
  <c r="Q49" i="4"/>
  <c r="O49" i="4"/>
  <c r="M49" i="4"/>
  <c r="K49" i="4"/>
  <c r="I49" i="4"/>
  <c r="G49" i="4"/>
  <c r="E49" i="4"/>
  <c r="C49" i="4"/>
  <c r="Q48" i="4"/>
  <c r="O48" i="4"/>
  <c r="M48" i="4"/>
  <c r="K48" i="4"/>
  <c r="I48" i="4"/>
  <c r="G48" i="4"/>
  <c r="E48" i="4"/>
  <c r="C48" i="4"/>
  <c r="Q47" i="4"/>
  <c r="O47" i="4"/>
  <c r="M47" i="4"/>
  <c r="K47" i="4"/>
  <c r="I47" i="4"/>
  <c r="G47" i="4"/>
  <c r="E47" i="4"/>
  <c r="C47" i="4"/>
  <c r="Q46" i="4"/>
  <c r="O46" i="4"/>
  <c r="M46" i="4"/>
  <c r="K46" i="4"/>
  <c r="I46" i="4"/>
  <c r="G46" i="4"/>
  <c r="E46" i="4"/>
  <c r="C46" i="4"/>
  <c r="Q45" i="4"/>
  <c r="O45" i="4"/>
  <c r="M45" i="4"/>
  <c r="K45" i="4"/>
  <c r="I45" i="4"/>
  <c r="G45" i="4"/>
  <c r="E45" i="4"/>
  <c r="C45" i="4"/>
  <c r="Q44" i="4"/>
  <c r="O44" i="4"/>
  <c r="M44" i="4"/>
  <c r="K44" i="4"/>
  <c r="I44" i="4"/>
  <c r="G44" i="4"/>
  <c r="E44" i="4"/>
  <c r="C44" i="4"/>
  <c r="Q43" i="4"/>
  <c r="O43" i="4"/>
  <c r="M43" i="4"/>
  <c r="K43" i="4"/>
  <c r="I43" i="4"/>
  <c r="G43" i="4"/>
  <c r="E43" i="4"/>
  <c r="C43" i="4"/>
  <c r="Q42" i="4"/>
  <c r="O42" i="4"/>
  <c r="M42" i="4"/>
  <c r="K42" i="4"/>
  <c r="I42" i="4"/>
  <c r="G42" i="4"/>
  <c r="E42" i="4"/>
  <c r="C42" i="4"/>
  <c r="Q41" i="4"/>
  <c r="O41" i="4"/>
  <c r="M41" i="4"/>
  <c r="K41" i="4"/>
  <c r="I41" i="4"/>
  <c r="G41" i="4"/>
  <c r="E41" i="4"/>
  <c r="C41" i="4"/>
  <c r="Q40" i="4"/>
  <c r="O40" i="4"/>
  <c r="M40" i="4"/>
  <c r="K40" i="4"/>
  <c r="I40" i="4"/>
  <c r="G40" i="4"/>
  <c r="E40" i="4"/>
  <c r="C40" i="4"/>
  <c r="Q39" i="4"/>
  <c r="O39" i="4"/>
  <c r="M39" i="4"/>
  <c r="K39" i="4"/>
  <c r="I39" i="4"/>
  <c r="G39" i="4"/>
  <c r="E39" i="4"/>
  <c r="C39" i="4"/>
  <c r="Q38" i="4"/>
  <c r="O38" i="4"/>
  <c r="M38" i="4"/>
  <c r="K38" i="4"/>
  <c r="I38" i="4"/>
  <c r="G38" i="4"/>
  <c r="E38" i="4"/>
  <c r="C38" i="4"/>
  <c r="Q37" i="4"/>
  <c r="O37" i="4"/>
  <c r="M37" i="4"/>
  <c r="K37" i="4"/>
  <c r="I37" i="4"/>
  <c r="G37" i="4"/>
  <c r="E37" i="4"/>
  <c r="C37" i="4"/>
  <c r="Q36" i="4"/>
  <c r="O36" i="4"/>
  <c r="M36" i="4"/>
  <c r="K36" i="4"/>
  <c r="I36" i="4"/>
  <c r="G36" i="4"/>
  <c r="E36" i="4"/>
  <c r="C36" i="4"/>
  <c r="Q33" i="4"/>
  <c r="O33" i="4"/>
  <c r="M33" i="4"/>
  <c r="K33" i="4"/>
  <c r="I33" i="4"/>
  <c r="G33" i="4"/>
  <c r="E33" i="4"/>
  <c r="C33" i="4"/>
  <c r="Q32" i="4"/>
  <c r="O32" i="4"/>
  <c r="M32" i="4"/>
  <c r="K32" i="4"/>
  <c r="I32" i="4"/>
  <c r="G32" i="4"/>
  <c r="E32" i="4"/>
  <c r="C32" i="4"/>
  <c r="Q31" i="4"/>
  <c r="O31" i="4"/>
  <c r="M31" i="4"/>
  <c r="K31" i="4"/>
  <c r="I31" i="4"/>
  <c r="G31" i="4"/>
  <c r="E31" i="4"/>
  <c r="C31" i="4"/>
  <c r="Q30" i="4"/>
  <c r="O30" i="4"/>
  <c r="M30" i="4"/>
  <c r="K30" i="4"/>
  <c r="I30" i="4"/>
  <c r="G30" i="4"/>
  <c r="E30" i="4"/>
  <c r="C30" i="4"/>
  <c r="Q29" i="4"/>
  <c r="O29" i="4"/>
  <c r="M29" i="4"/>
  <c r="K29" i="4"/>
  <c r="I29" i="4"/>
  <c r="G29" i="4"/>
  <c r="E29" i="4"/>
  <c r="C29" i="4"/>
  <c r="Q28" i="4"/>
  <c r="O28" i="4"/>
  <c r="M28" i="4"/>
  <c r="K28" i="4"/>
  <c r="I28" i="4"/>
  <c r="G28" i="4"/>
  <c r="E28" i="4"/>
  <c r="C28" i="4"/>
  <c r="Q27" i="4"/>
  <c r="O27" i="4"/>
  <c r="M27" i="4"/>
  <c r="K27" i="4"/>
  <c r="I27" i="4"/>
  <c r="G27" i="4"/>
  <c r="E27" i="4"/>
  <c r="C27" i="4"/>
  <c r="Q26" i="4"/>
  <c r="O26" i="4"/>
  <c r="M26" i="4"/>
  <c r="K26" i="4"/>
  <c r="I26" i="4"/>
  <c r="G26" i="4"/>
  <c r="E26" i="4"/>
  <c r="C26" i="4"/>
  <c r="Q25" i="4"/>
  <c r="O25" i="4"/>
  <c r="M25" i="4"/>
  <c r="K25" i="4"/>
  <c r="I25" i="4"/>
  <c r="G25" i="4"/>
  <c r="E25" i="4"/>
  <c r="C25" i="4"/>
  <c r="Q24" i="4"/>
  <c r="O24" i="4"/>
  <c r="M24" i="4"/>
  <c r="K24" i="4"/>
  <c r="I24" i="4"/>
  <c r="G24" i="4"/>
  <c r="E24" i="4"/>
  <c r="C24" i="4"/>
  <c r="Q23" i="4"/>
  <c r="O23" i="4"/>
  <c r="M23" i="4"/>
  <c r="K23" i="4"/>
  <c r="I23" i="4"/>
  <c r="G23" i="4"/>
  <c r="E23" i="4"/>
  <c r="C23" i="4"/>
  <c r="Q22" i="4"/>
  <c r="O22" i="4"/>
  <c r="M22" i="4"/>
  <c r="K22" i="4"/>
  <c r="I22" i="4"/>
  <c r="G22" i="4"/>
  <c r="E22" i="4"/>
  <c r="C22" i="4"/>
  <c r="Q21" i="4"/>
  <c r="O21" i="4"/>
  <c r="M21" i="4"/>
  <c r="K21" i="4"/>
  <c r="I21" i="4"/>
  <c r="G21" i="4"/>
  <c r="E21" i="4"/>
  <c r="C21" i="4"/>
  <c r="Q20" i="4"/>
  <c r="O20" i="4"/>
  <c r="M20" i="4"/>
  <c r="K20" i="4"/>
  <c r="I20" i="4"/>
  <c r="G20" i="4"/>
  <c r="E20" i="4"/>
  <c r="C20" i="4"/>
  <c r="Q19" i="4"/>
  <c r="O19" i="4"/>
  <c r="M19" i="4"/>
  <c r="K19" i="4"/>
  <c r="I19" i="4"/>
  <c r="G19" i="4"/>
  <c r="E19" i="4"/>
  <c r="C19" i="4"/>
  <c r="Q17" i="4"/>
  <c r="O17" i="4"/>
  <c r="M17" i="4"/>
  <c r="K17" i="4"/>
  <c r="I17" i="4"/>
  <c r="G17" i="4"/>
  <c r="E17" i="4"/>
  <c r="C17" i="4"/>
  <c r="Q16" i="4"/>
  <c r="O16" i="4"/>
  <c r="M16" i="4"/>
  <c r="K16" i="4"/>
  <c r="I16" i="4"/>
  <c r="G16" i="4"/>
  <c r="E16" i="4"/>
  <c r="C16" i="4"/>
  <c r="Q15" i="4"/>
  <c r="O15" i="4"/>
  <c r="M15" i="4"/>
  <c r="K15" i="4"/>
  <c r="I15" i="4"/>
  <c r="G15" i="4"/>
  <c r="E15" i="4"/>
  <c r="C15" i="4"/>
  <c r="Q14" i="4"/>
  <c r="O14" i="4"/>
  <c r="M14" i="4"/>
  <c r="K14" i="4"/>
  <c r="I14" i="4"/>
  <c r="G14" i="4"/>
  <c r="E14" i="4"/>
  <c r="C14" i="4"/>
  <c r="Q13" i="4"/>
  <c r="O13" i="4"/>
  <c r="M13" i="4"/>
  <c r="K13" i="4"/>
  <c r="I13" i="4"/>
  <c r="G13" i="4"/>
  <c r="E13" i="4"/>
  <c r="C13" i="4"/>
  <c r="Q12" i="4"/>
  <c r="O12" i="4"/>
  <c r="M12" i="4"/>
  <c r="K12" i="4"/>
  <c r="I12" i="4"/>
  <c r="G12" i="4"/>
  <c r="E12" i="4"/>
  <c r="C12" i="4"/>
  <c r="Q11" i="4"/>
  <c r="O11" i="4"/>
  <c r="M11" i="4"/>
  <c r="K11" i="4"/>
  <c r="I11" i="4"/>
  <c r="G11" i="4"/>
  <c r="E11" i="4"/>
  <c r="C11" i="4"/>
  <c r="Q10" i="4"/>
  <c r="O10" i="4"/>
  <c r="M10" i="4"/>
  <c r="K10" i="4"/>
  <c r="I10" i="4"/>
  <c r="G10" i="4"/>
  <c r="E10" i="4"/>
  <c r="C10" i="4"/>
  <c r="Q9" i="4"/>
  <c r="O9" i="4"/>
  <c r="M9" i="4"/>
  <c r="K9" i="4"/>
  <c r="I9" i="4"/>
  <c r="G9" i="4"/>
  <c r="E9" i="4"/>
  <c r="C9" i="4"/>
  <c r="Q8" i="4"/>
  <c r="O8" i="4"/>
  <c r="M8" i="4"/>
  <c r="K8" i="4"/>
  <c r="I8" i="4"/>
  <c r="G8" i="4"/>
  <c r="E8" i="4"/>
  <c r="C8" i="4"/>
  <c r="R6" i="4"/>
  <c r="R88" i="4" s="1"/>
  <c r="P6" i="4"/>
  <c r="P13" i="4" s="1"/>
  <c r="N6" i="4"/>
  <c r="N38" i="4" s="1"/>
  <c r="L6" i="4"/>
  <c r="L89" i="4" s="1"/>
  <c r="J6" i="4"/>
  <c r="J66" i="4" s="1"/>
  <c r="H6" i="4"/>
  <c r="H10" i="4" s="1"/>
  <c r="F6" i="4"/>
  <c r="F48" i="4" s="1"/>
  <c r="D6" i="4"/>
  <c r="U92" i="3"/>
  <c r="T92" i="3"/>
  <c r="K92" i="3"/>
  <c r="I92" i="3"/>
  <c r="G92" i="3"/>
  <c r="E92" i="3"/>
  <c r="C92" i="3"/>
  <c r="U91" i="3"/>
  <c r="T91" i="3"/>
  <c r="K91" i="3"/>
  <c r="I91" i="3"/>
  <c r="G91" i="3"/>
  <c r="E91" i="3"/>
  <c r="C91" i="3"/>
  <c r="U90" i="3"/>
  <c r="T90" i="3"/>
  <c r="K90" i="3"/>
  <c r="I90" i="3"/>
  <c r="G90" i="3"/>
  <c r="E90" i="3"/>
  <c r="C90" i="3"/>
  <c r="U89" i="3"/>
  <c r="T89" i="3"/>
  <c r="K89" i="3"/>
  <c r="I89" i="3"/>
  <c r="G89" i="3"/>
  <c r="E89" i="3"/>
  <c r="C89" i="3"/>
  <c r="U88" i="3"/>
  <c r="T88" i="3"/>
  <c r="K88" i="3"/>
  <c r="I88" i="3"/>
  <c r="G88" i="3"/>
  <c r="E88" i="3"/>
  <c r="C88" i="3"/>
  <c r="U87" i="3"/>
  <c r="T87" i="3"/>
  <c r="K87" i="3"/>
  <c r="I87" i="3"/>
  <c r="G87" i="3"/>
  <c r="E87" i="3"/>
  <c r="C87" i="3"/>
  <c r="U86" i="3"/>
  <c r="T86" i="3"/>
  <c r="K86" i="3"/>
  <c r="I86" i="3"/>
  <c r="G86" i="3"/>
  <c r="E86" i="3"/>
  <c r="C86" i="3"/>
  <c r="U85" i="3"/>
  <c r="T85" i="3"/>
  <c r="K85" i="3"/>
  <c r="I85" i="3"/>
  <c r="G85" i="3"/>
  <c r="E85" i="3"/>
  <c r="C85" i="3"/>
  <c r="U84" i="3"/>
  <c r="T84" i="3"/>
  <c r="K84" i="3"/>
  <c r="I84" i="3"/>
  <c r="G84" i="3"/>
  <c r="E84" i="3"/>
  <c r="D84" i="3"/>
  <c r="C84" i="3"/>
  <c r="U83" i="3"/>
  <c r="T83" i="3"/>
  <c r="K83" i="3"/>
  <c r="I83" i="3"/>
  <c r="G83" i="3"/>
  <c r="E83" i="3"/>
  <c r="C83" i="3"/>
  <c r="U82" i="3"/>
  <c r="T82" i="3"/>
  <c r="K82" i="3"/>
  <c r="I82" i="3"/>
  <c r="G82" i="3"/>
  <c r="E82" i="3"/>
  <c r="C82" i="3"/>
  <c r="U81" i="3"/>
  <c r="T81" i="3"/>
  <c r="K81" i="3"/>
  <c r="I81" i="3"/>
  <c r="G81" i="3"/>
  <c r="E81" i="3"/>
  <c r="C81" i="3"/>
  <c r="U80" i="3"/>
  <c r="T80" i="3"/>
  <c r="K80" i="3"/>
  <c r="I80" i="3"/>
  <c r="G80" i="3"/>
  <c r="E80" i="3"/>
  <c r="C80" i="3"/>
  <c r="U79" i="3"/>
  <c r="T79" i="3"/>
  <c r="K79" i="3"/>
  <c r="I79" i="3"/>
  <c r="G79" i="3"/>
  <c r="E79" i="3"/>
  <c r="C79" i="3"/>
  <c r="U78" i="3"/>
  <c r="T78" i="3"/>
  <c r="K78" i="3"/>
  <c r="I78" i="3"/>
  <c r="G78" i="3"/>
  <c r="E78" i="3"/>
  <c r="C78" i="3"/>
  <c r="U77" i="3"/>
  <c r="T77" i="3"/>
  <c r="K77" i="3"/>
  <c r="I77" i="3"/>
  <c r="G77" i="3"/>
  <c r="E77" i="3"/>
  <c r="C77" i="3"/>
  <c r="U76" i="3"/>
  <c r="T76" i="3"/>
  <c r="K76" i="3"/>
  <c r="I76" i="3"/>
  <c r="G76" i="3"/>
  <c r="E76" i="3"/>
  <c r="C76" i="3"/>
  <c r="U75" i="3"/>
  <c r="T75" i="3"/>
  <c r="K75" i="3"/>
  <c r="I75" i="3"/>
  <c r="G75" i="3"/>
  <c r="E75" i="3"/>
  <c r="C75" i="3"/>
  <c r="U74" i="3"/>
  <c r="T74" i="3"/>
  <c r="K74" i="3"/>
  <c r="I74" i="3"/>
  <c r="G74" i="3"/>
  <c r="E74" i="3"/>
  <c r="C74" i="3"/>
  <c r="U73" i="3"/>
  <c r="T73" i="3"/>
  <c r="K73" i="3"/>
  <c r="I73" i="3"/>
  <c r="G73" i="3"/>
  <c r="E73" i="3"/>
  <c r="C73" i="3"/>
  <c r="U72" i="3"/>
  <c r="T72" i="3"/>
  <c r="K72" i="3"/>
  <c r="I72" i="3"/>
  <c r="G72" i="3"/>
  <c r="E72" i="3"/>
  <c r="C72" i="3"/>
  <c r="U71" i="3"/>
  <c r="T71" i="3"/>
  <c r="K71" i="3"/>
  <c r="I71" i="3"/>
  <c r="G71" i="3"/>
  <c r="E71" i="3"/>
  <c r="C71" i="3"/>
  <c r="U70" i="3"/>
  <c r="T70" i="3"/>
  <c r="K70" i="3"/>
  <c r="I70" i="3"/>
  <c r="G70" i="3"/>
  <c r="E70" i="3"/>
  <c r="C70" i="3"/>
  <c r="U69" i="3"/>
  <c r="T69" i="3"/>
  <c r="K69" i="3"/>
  <c r="I69" i="3"/>
  <c r="G69" i="3"/>
  <c r="E69" i="3"/>
  <c r="C69" i="3"/>
  <c r="U68" i="3"/>
  <c r="T68" i="3"/>
  <c r="K68" i="3"/>
  <c r="I68" i="3"/>
  <c r="G68" i="3"/>
  <c r="E68" i="3"/>
  <c r="C68" i="3"/>
  <c r="U67" i="3"/>
  <c r="T67" i="3"/>
  <c r="K67" i="3"/>
  <c r="I67" i="3"/>
  <c r="G67" i="3"/>
  <c r="E67" i="3"/>
  <c r="C67" i="3"/>
  <c r="U66" i="3"/>
  <c r="T66" i="3"/>
  <c r="K66" i="3"/>
  <c r="I66" i="3"/>
  <c r="G66" i="3"/>
  <c r="E66" i="3"/>
  <c r="C66" i="3"/>
  <c r="U65" i="3"/>
  <c r="T65" i="3"/>
  <c r="K65" i="3"/>
  <c r="I65" i="3"/>
  <c r="G65" i="3"/>
  <c r="E65" i="3"/>
  <c r="C65" i="3"/>
  <c r="U64" i="3"/>
  <c r="T64" i="3"/>
  <c r="K64" i="3"/>
  <c r="I64" i="3"/>
  <c r="G64" i="3"/>
  <c r="E64" i="3"/>
  <c r="C64" i="3"/>
  <c r="U63" i="3"/>
  <c r="T63" i="3"/>
  <c r="K63" i="3"/>
  <c r="I63" i="3"/>
  <c r="G63" i="3"/>
  <c r="E63" i="3"/>
  <c r="C63" i="3"/>
  <c r="U62" i="3"/>
  <c r="T62" i="3"/>
  <c r="K62" i="3"/>
  <c r="I62" i="3"/>
  <c r="G62" i="3"/>
  <c r="E62" i="3"/>
  <c r="C62" i="3"/>
  <c r="U61" i="3"/>
  <c r="T61" i="3"/>
  <c r="K61" i="3"/>
  <c r="I61" i="3"/>
  <c r="G61" i="3"/>
  <c r="E61" i="3"/>
  <c r="C61" i="3"/>
  <c r="U60" i="3"/>
  <c r="T60" i="3"/>
  <c r="K60" i="3"/>
  <c r="I60" i="3"/>
  <c r="G60" i="3"/>
  <c r="E60" i="3"/>
  <c r="C60" i="3"/>
  <c r="U59" i="3"/>
  <c r="T59" i="3"/>
  <c r="K59" i="3"/>
  <c r="I59" i="3"/>
  <c r="G59" i="3"/>
  <c r="E59" i="3"/>
  <c r="C59" i="3"/>
  <c r="U58" i="3"/>
  <c r="T58" i="3"/>
  <c r="K58" i="3"/>
  <c r="I58" i="3"/>
  <c r="G58" i="3"/>
  <c r="E58" i="3"/>
  <c r="C58" i="3"/>
  <c r="U57" i="3"/>
  <c r="T57" i="3"/>
  <c r="K57" i="3"/>
  <c r="I57" i="3"/>
  <c r="G57" i="3"/>
  <c r="E57" i="3"/>
  <c r="C57" i="3"/>
  <c r="U56" i="3"/>
  <c r="T56" i="3"/>
  <c r="K56" i="3"/>
  <c r="I56" i="3"/>
  <c r="G56" i="3"/>
  <c r="E56" i="3"/>
  <c r="C56" i="3"/>
  <c r="U55" i="3"/>
  <c r="T55" i="3"/>
  <c r="K55" i="3"/>
  <c r="I55" i="3"/>
  <c r="G55" i="3"/>
  <c r="E55" i="3"/>
  <c r="C55" i="3"/>
  <c r="U54" i="3"/>
  <c r="T54" i="3"/>
  <c r="K54" i="3"/>
  <c r="I54" i="3"/>
  <c r="G54" i="3"/>
  <c r="E54" i="3"/>
  <c r="C54" i="3"/>
  <c r="U53" i="3"/>
  <c r="T53" i="3"/>
  <c r="K53" i="3"/>
  <c r="I53" i="3"/>
  <c r="G53" i="3"/>
  <c r="E53" i="3"/>
  <c r="C53" i="3"/>
  <c r="U52" i="3"/>
  <c r="T52" i="3"/>
  <c r="K52" i="3"/>
  <c r="I52" i="3"/>
  <c r="G52" i="3"/>
  <c r="E52" i="3"/>
  <c r="C52" i="3"/>
  <c r="U51" i="3"/>
  <c r="T51" i="3"/>
  <c r="K51" i="3"/>
  <c r="I51" i="3"/>
  <c r="G51" i="3"/>
  <c r="E51" i="3"/>
  <c r="C51" i="3"/>
  <c r="U50" i="3"/>
  <c r="T50" i="3"/>
  <c r="K50" i="3"/>
  <c r="I50" i="3"/>
  <c r="G50" i="3"/>
  <c r="E50" i="3"/>
  <c r="C50" i="3"/>
  <c r="U49" i="3"/>
  <c r="T49" i="3"/>
  <c r="K49" i="3"/>
  <c r="I49" i="3"/>
  <c r="G49" i="3"/>
  <c r="E49" i="3"/>
  <c r="C49" i="3"/>
  <c r="U48" i="3"/>
  <c r="T48" i="3"/>
  <c r="K48" i="3"/>
  <c r="I48" i="3"/>
  <c r="G48" i="3"/>
  <c r="E48" i="3"/>
  <c r="C48" i="3"/>
  <c r="U47" i="3"/>
  <c r="T47" i="3"/>
  <c r="K47" i="3"/>
  <c r="I47" i="3"/>
  <c r="G47" i="3"/>
  <c r="E47" i="3"/>
  <c r="C47" i="3"/>
  <c r="U46" i="3"/>
  <c r="T46" i="3"/>
  <c r="K46" i="3"/>
  <c r="I46" i="3"/>
  <c r="G46" i="3"/>
  <c r="E46" i="3"/>
  <c r="C46" i="3"/>
  <c r="U45" i="3"/>
  <c r="T45" i="3"/>
  <c r="K45" i="3"/>
  <c r="I45" i="3"/>
  <c r="G45" i="3"/>
  <c r="E45" i="3"/>
  <c r="C45" i="3"/>
  <c r="U44" i="3"/>
  <c r="T44" i="3"/>
  <c r="K44" i="3"/>
  <c r="I44" i="3"/>
  <c r="G44" i="3"/>
  <c r="E44" i="3"/>
  <c r="C44" i="3"/>
  <c r="U43" i="3"/>
  <c r="T43" i="3"/>
  <c r="K43" i="3"/>
  <c r="I43" i="3"/>
  <c r="G43" i="3"/>
  <c r="E43" i="3"/>
  <c r="C43" i="3"/>
  <c r="U42" i="3"/>
  <c r="T42" i="3"/>
  <c r="K42" i="3"/>
  <c r="I42" i="3"/>
  <c r="G42" i="3"/>
  <c r="E42" i="3"/>
  <c r="C42" i="3"/>
  <c r="U41" i="3"/>
  <c r="T41" i="3"/>
  <c r="K41" i="3"/>
  <c r="I41" i="3"/>
  <c r="G41" i="3"/>
  <c r="E41" i="3"/>
  <c r="C41" i="3"/>
  <c r="U40" i="3"/>
  <c r="T40" i="3"/>
  <c r="K40" i="3"/>
  <c r="I40" i="3"/>
  <c r="G40" i="3"/>
  <c r="E40" i="3"/>
  <c r="C40" i="3"/>
  <c r="U39" i="3"/>
  <c r="T39" i="3"/>
  <c r="K39" i="3"/>
  <c r="I39" i="3"/>
  <c r="G39" i="3"/>
  <c r="E39" i="3"/>
  <c r="C39" i="3"/>
  <c r="U38" i="3"/>
  <c r="T38" i="3"/>
  <c r="K38" i="3"/>
  <c r="I38" i="3"/>
  <c r="G38" i="3"/>
  <c r="E38" i="3"/>
  <c r="C38" i="3"/>
  <c r="U37" i="3"/>
  <c r="T37" i="3"/>
  <c r="K37" i="3"/>
  <c r="I37" i="3"/>
  <c r="G37" i="3"/>
  <c r="E37" i="3"/>
  <c r="C37" i="3"/>
  <c r="U36" i="3"/>
  <c r="T36" i="3"/>
  <c r="K36" i="3"/>
  <c r="I36" i="3"/>
  <c r="G36" i="3"/>
  <c r="E36" i="3"/>
  <c r="C36" i="3"/>
  <c r="U35" i="3"/>
  <c r="T35" i="3"/>
  <c r="U34" i="3"/>
  <c r="T34" i="3"/>
  <c r="U33" i="3"/>
  <c r="T33" i="3"/>
  <c r="K33" i="3"/>
  <c r="I33" i="3"/>
  <c r="G33" i="3"/>
  <c r="E33" i="3"/>
  <c r="C33" i="3"/>
  <c r="U32" i="3"/>
  <c r="T32" i="3"/>
  <c r="K32" i="3"/>
  <c r="I32" i="3"/>
  <c r="G32" i="3"/>
  <c r="E32" i="3"/>
  <c r="C32" i="3"/>
  <c r="U31" i="3"/>
  <c r="T31" i="3"/>
  <c r="K31" i="3"/>
  <c r="I31" i="3"/>
  <c r="G31" i="3"/>
  <c r="E31" i="3"/>
  <c r="C31" i="3"/>
  <c r="U30" i="3"/>
  <c r="T30" i="3"/>
  <c r="K30" i="3"/>
  <c r="I30" i="3"/>
  <c r="G30" i="3"/>
  <c r="E30" i="3"/>
  <c r="C30" i="3"/>
  <c r="U29" i="3"/>
  <c r="T29" i="3"/>
  <c r="K29" i="3"/>
  <c r="I29" i="3"/>
  <c r="G29" i="3"/>
  <c r="E29" i="3"/>
  <c r="C29" i="3"/>
  <c r="U28" i="3"/>
  <c r="T28" i="3"/>
  <c r="K28" i="3"/>
  <c r="I28" i="3"/>
  <c r="G28" i="3"/>
  <c r="E28" i="3"/>
  <c r="C28" i="3"/>
  <c r="U27" i="3"/>
  <c r="T27" i="3"/>
  <c r="K27" i="3"/>
  <c r="I27" i="3"/>
  <c r="G27" i="3"/>
  <c r="E27" i="3"/>
  <c r="C27" i="3"/>
  <c r="U26" i="3"/>
  <c r="T26" i="3"/>
  <c r="K26" i="3"/>
  <c r="I26" i="3"/>
  <c r="G26" i="3"/>
  <c r="E26" i="3"/>
  <c r="C26" i="3"/>
  <c r="U25" i="3"/>
  <c r="T25" i="3"/>
  <c r="K25" i="3"/>
  <c r="I25" i="3"/>
  <c r="G25" i="3"/>
  <c r="E25" i="3"/>
  <c r="C25" i="3"/>
  <c r="U24" i="3"/>
  <c r="T24" i="3"/>
  <c r="K24" i="3"/>
  <c r="I24" i="3"/>
  <c r="G24" i="3"/>
  <c r="E24" i="3"/>
  <c r="C24" i="3"/>
  <c r="U23" i="3"/>
  <c r="T23" i="3"/>
  <c r="K23" i="3"/>
  <c r="I23" i="3"/>
  <c r="G23" i="3"/>
  <c r="E23" i="3"/>
  <c r="C23" i="3"/>
  <c r="U22" i="3"/>
  <c r="T22" i="3"/>
  <c r="K22" i="3"/>
  <c r="I22" i="3"/>
  <c r="G22" i="3"/>
  <c r="E22" i="3"/>
  <c r="C22" i="3"/>
  <c r="U21" i="3"/>
  <c r="T21" i="3"/>
  <c r="K21" i="3"/>
  <c r="I21" i="3"/>
  <c r="G21" i="3"/>
  <c r="E21" i="3"/>
  <c r="C21" i="3"/>
  <c r="U20" i="3"/>
  <c r="T20" i="3"/>
  <c r="K20" i="3"/>
  <c r="I20" i="3"/>
  <c r="G20" i="3"/>
  <c r="E20" i="3"/>
  <c r="C20" i="3"/>
  <c r="U19" i="3"/>
  <c r="T19" i="3"/>
  <c r="K19" i="3"/>
  <c r="I19" i="3"/>
  <c r="G19" i="3"/>
  <c r="E19" i="3"/>
  <c r="C19" i="3"/>
  <c r="U18" i="3"/>
  <c r="T18" i="3"/>
  <c r="U17" i="3"/>
  <c r="T17" i="3"/>
  <c r="K17" i="3"/>
  <c r="I17" i="3"/>
  <c r="G17" i="3"/>
  <c r="E17" i="3"/>
  <c r="C17" i="3"/>
  <c r="K16" i="3"/>
  <c r="I16" i="3"/>
  <c r="G16" i="3"/>
  <c r="E16" i="3"/>
  <c r="C16" i="3"/>
  <c r="K15" i="3"/>
  <c r="I15" i="3"/>
  <c r="G15" i="3"/>
  <c r="E15" i="3"/>
  <c r="C15" i="3"/>
  <c r="K14" i="3"/>
  <c r="I14" i="3"/>
  <c r="G14" i="3"/>
  <c r="E14" i="3"/>
  <c r="C14" i="3"/>
  <c r="K13" i="3"/>
  <c r="I13" i="3"/>
  <c r="G13" i="3"/>
  <c r="E13" i="3"/>
  <c r="C13" i="3"/>
  <c r="K12" i="3"/>
  <c r="I12" i="3"/>
  <c r="G12" i="3"/>
  <c r="E12" i="3"/>
  <c r="C12" i="3"/>
  <c r="K11" i="3"/>
  <c r="I11" i="3"/>
  <c r="G11" i="3"/>
  <c r="E11" i="3"/>
  <c r="C11" i="3"/>
  <c r="K10" i="3"/>
  <c r="I10" i="3"/>
  <c r="G10" i="3"/>
  <c r="E10" i="3"/>
  <c r="C10" i="3"/>
  <c r="K9" i="3"/>
  <c r="I9" i="3"/>
  <c r="G9" i="3"/>
  <c r="E9" i="3"/>
  <c r="C9" i="3"/>
  <c r="K8" i="3"/>
  <c r="I8" i="3"/>
  <c r="G8" i="3"/>
  <c r="E8" i="3"/>
  <c r="C8" i="3"/>
  <c r="L6" i="3"/>
  <c r="L92" i="3" s="1"/>
  <c r="J6" i="3"/>
  <c r="J82" i="3" s="1"/>
  <c r="H6" i="3"/>
  <c r="H85" i="3" s="1"/>
  <c r="F6" i="3"/>
  <c r="F82" i="3" s="1"/>
  <c r="D6" i="3"/>
  <c r="D80" i="3" s="1"/>
  <c r="K7" i="9"/>
  <c r="J7" i="9"/>
  <c r="I7" i="9"/>
  <c r="H7" i="9"/>
  <c r="E7" i="9"/>
  <c r="D7" i="9"/>
  <c r="C7" i="9"/>
  <c r="B7" i="9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I16" i="7"/>
  <c r="B16" i="7"/>
  <c r="I15" i="7"/>
  <c r="B15" i="7"/>
  <c r="I14" i="7"/>
  <c r="B14" i="7"/>
  <c r="I13" i="7"/>
  <c r="B13" i="7"/>
  <c r="I12" i="7"/>
  <c r="B12" i="7"/>
  <c r="I11" i="7"/>
  <c r="B11" i="7"/>
  <c r="I10" i="7"/>
  <c r="B10" i="7"/>
  <c r="I9" i="7"/>
  <c r="B9" i="7"/>
  <c r="I8" i="7"/>
  <c r="B8" i="7"/>
  <c r="I7" i="7"/>
  <c r="B7" i="7"/>
  <c r="I6" i="7"/>
  <c r="B6" i="7"/>
  <c r="I5" i="7"/>
  <c r="B5" i="7"/>
  <c r="I4" i="7"/>
  <c r="B4" i="7"/>
  <c r="I3" i="7"/>
  <c r="B3" i="7"/>
  <c r="I2" i="7"/>
  <c r="J2" i="7" s="1"/>
  <c r="B2" i="7"/>
  <c r="Y15" i="5" l="1"/>
  <c r="S65" i="5"/>
  <c r="Y14" i="5"/>
  <c r="S15" i="5"/>
  <c r="S16" i="5"/>
  <c r="M19" i="5"/>
  <c r="Y22" i="5"/>
  <c r="M26" i="5"/>
  <c r="S32" i="5"/>
  <c r="Y47" i="5"/>
  <c r="M60" i="5"/>
  <c r="S66" i="5"/>
  <c r="M68" i="5"/>
  <c r="Y80" i="5"/>
  <c r="S82" i="5"/>
  <c r="Y88" i="5"/>
  <c r="Y8" i="5"/>
  <c r="Y9" i="5"/>
  <c r="Y25" i="5"/>
  <c r="S26" i="5"/>
  <c r="M29" i="5"/>
  <c r="Y32" i="5"/>
  <c r="M62" i="5"/>
  <c r="Y67" i="5"/>
  <c r="S69" i="5"/>
  <c r="M71" i="5"/>
  <c r="M79" i="5"/>
  <c r="Y83" i="5"/>
  <c r="S85" i="5"/>
  <c r="M87" i="5"/>
  <c r="Y65" i="5"/>
  <c r="S13" i="5"/>
  <c r="Y26" i="5"/>
  <c r="Y36" i="5"/>
  <c r="M41" i="5"/>
  <c r="M57" i="5"/>
  <c r="Y69" i="5"/>
  <c r="S79" i="5"/>
  <c r="M88" i="5"/>
  <c r="Y12" i="5"/>
  <c r="S14" i="5"/>
  <c r="M16" i="5"/>
  <c r="D32" i="3"/>
  <c r="J58" i="3"/>
  <c r="D22" i="3"/>
  <c r="D11" i="3"/>
  <c r="D20" i="3"/>
  <c r="J10" i="5"/>
  <c r="Y28" i="5"/>
  <c r="Y44" i="5"/>
  <c r="M49" i="5"/>
  <c r="Y52" i="5"/>
  <c r="S75" i="5"/>
  <c r="M84" i="5"/>
  <c r="M92" i="5"/>
  <c r="N15" i="2"/>
  <c r="N20" i="2"/>
  <c r="N24" i="2"/>
  <c r="N28" i="2"/>
  <c r="N34" i="2"/>
  <c r="N43" i="2"/>
  <c r="N44" i="2"/>
  <c r="T71" i="2"/>
  <c r="T75" i="2"/>
  <c r="T81" i="2"/>
  <c r="L37" i="3"/>
  <c r="L39" i="3"/>
  <c r="L41" i="3"/>
  <c r="L43" i="3"/>
  <c r="L45" i="3"/>
  <c r="L47" i="3"/>
  <c r="L56" i="3"/>
  <c r="Y13" i="5"/>
  <c r="M15" i="5"/>
  <c r="S24" i="5"/>
  <c r="S31" i="5"/>
  <c r="Y37" i="5"/>
  <c r="S48" i="5"/>
  <c r="Y62" i="5"/>
  <c r="Y82" i="5"/>
  <c r="S84" i="5"/>
  <c r="Q28" i="2"/>
  <c r="N59" i="2"/>
  <c r="N60" i="2"/>
  <c r="N63" i="2"/>
  <c r="N67" i="2"/>
  <c r="R14" i="5"/>
  <c r="Y24" i="5"/>
  <c r="S57" i="5"/>
  <c r="Q19" i="2"/>
  <c r="N50" i="2"/>
  <c r="N54" i="2"/>
  <c r="N62" i="2"/>
  <c r="N89" i="2"/>
  <c r="D30" i="3"/>
  <c r="D62" i="3"/>
  <c r="Y55" i="5"/>
  <c r="M67" i="5"/>
  <c r="Q62" i="2"/>
  <c r="N74" i="2"/>
  <c r="D28" i="3"/>
  <c r="D37" i="3"/>
  <c r="D39" i="3"/>
  <c r="D41" i="3"/>
  <c r="D43" i="3"/>
  <c r="D45" i="3"/>
  <c r="D47" i="3"/>
  <c r="Y48" i="5"/>
  <c r="M53" i="5"/>
  <c r="S59" i="5"/>
  <c r="M80" i="5"/>
  <c r="M81" i="5"/>
  <c r="Y85" i="5"/>
  <c r="M89" i="5"/>
  <c r="T27" i="2"/>
  <c r="T30" i="2"/>
  <c r="Q49" i="2"/>
  <c r="Q65" i="2"/>
  <c r="Q74" i="2"/>
  <c r="D15" i="3"/>
  <c r="D26" i="3"/>
  <c r="S11" i="5"/>
  <c r="P16" i="5"/>
  <c r="T12" i="2"/>
  <c r="T17" i="2"/>
  <c r="T21" i="2"/>
  <c r="T25" i="2"/>
  <c r="D24" i="3"/>
  <c r="J60" i="3"/>
  <c r="J61" i="3"/>
  <c r="D76" i="3"/>
  <c r="R11" i="5"/>
  <c r="S12" i="5"/>
  <c r="M24" i="5"/>
  <c r="Y27" i="5"/>
  <c r="P28" i="5"/>
  <c r="M30" i="5"/>
  <c r="M39" i="5"/>
  <c r="S53" i="5"/>
  <c r="M55" i="5"/>
  <c r="Y59" i="5"/>
  <c r="S68" i="5"/>
  <c r="S74" i="5"/>
  <c r="Y79" i="5"/>
  <c r="S81" i="5"/>
  <c r="M83" i="5"/>
  <c r="S89" i="5"/>
  <c r="M91" i="5"/>
  <c r="N8" i="2"/>
  <c r="N9" i="2"/>
  <c r="T43" i="2"/>
  <c r="T48" i="2"/>
  <c r="T49" i="2"/>
  <c r="T52" i="2"/>
  <c r="T53" i="2"/>
  <c r="T56" i="2"/>
  <c r="T57" i="2"/>
  <c r="T60" i="2"/>
  <c r="T61" i="2"/>
  <c r="T64" i="2"/>
  <c r="T65" i="2"/>
  <c r="Q81" i="2"/>
  <c r="T89" i="2"/>
  <c r="J10" i="4"/>
  <c r="X27" i="5"/>
  <c r="Y49" i="5"/>
  <c r="Y70" i="5"/>
  <c r="J12" i="5"/>
  <c r="M21" i="5"/>
  <c r="P23" i="5"/>
  <c r="H24" i="5"/>
  <c r="H27" i="5"/>
  <c r="S28" i="5"/>
  <c r="X31" i="5"/>
  <c r="M36" i="5"/>
  <c r="Y42" i="5"/>
  <c r="S45" i="5"/>
  <c r="M47" i="5"/>
  <c r="Y50" i="5"/>
  <c r="Y66" i="5"/>
  <c r="Y87" i="5"/>
  <c r="S88" i="5"/>
  <c r="Y91" i="5"/>
  <c r="S92" i="5"/>
  <c r="X24" i="5"/>
  <c r="Y57" i="5"/>
  <c r="J9" i="5"/>
  <c r="R13" i="5"/>
  <c r="S23" i="5"/>
  <c r="M27" i="5"/>
  <c r="S54" i="5"/>
  <c r="M56" i="5"/>
  <c r="Y71" i="5"/>
  <c r="M74" i="5"/>
  <c r="Y75" i="5"/>
  <c r="Y41" i="5"/>
  <c r="S67" i="5"/>
  <c r="R10" i="5"/>
  <c r="J14" i="5"/>
  <c r="P15" i="5"/>
  <c r="S29" i="5"/>
  <c r="M31" i="5"/>
  <c r="S36" i="5"/>
  <c r="H37" i="5"/>
  <c r="S47" i="5"/>
  <c r="S55" i="5"/>
  <c r="S25" i="5"/>
  <c r="J11" i="5"/>
  <c r="P17" i="5"/>
  <c r="Y20" i="5"/>
  <c r="S21" i="5"/>
  <c r="S40" i="5"/>
  <c r="M42" i="5"/>
  <c r="Y72" i="5"/>
  <c r="M75" i="5"/>
  <c r="Y76" i="5"/>
  <c r="M78" i="5"/>
  <c r="Y74" i="5"/>
  <c r="J8" i="5"/>
  <c r="R12" i="5"/>
  <c r="M13" i="5"/>
  <c r="S17" i="5"/>
  <c r="Y33" i="5"/>
  <c r="Y46" i="5"/>
  <c r="Y54" i="5"/>
  <c r="Y60" i="5"/>
  <c r="S90" i="5"/>
  <c r="R9" i="5"/>
  <c r="Y17" i="5"/>
  <c r="M23" i="5"/>
  <c r="Y30" i="5"/>
  <c r="M38" i="5"/>
  <c r="Y39" i="5"/>
  <c r="S42" i="5"/>
  <c r="M44" i="5"/>
  <c r="S50" i="5"/>
  <c r="M52" i="5"/>
  <c r="S58" i="5"/>
  <c r="M59" i="5"/>
  <c r="R61" i="5"/>
  <c r="L62" i="5"/>
  <c r="M63" i="5"/>
  <c r="Y73" i="5"/>
  <c r="S78" i="5"/>
  <c r="L29" i="4"/>
  <c r="L11" i="4"/>
  <c r="H15" i="4"/>
  <c r="L44" i="4"/>
  <c r="J46" i="4"/>
  <c r="L23" i="4"/>
  <c r="L14" i="4"/>
  <c r="L26" i="4"/>
  <c r="J28" i="4"/>
  <c r="H36" i="4"/>
  <c r="R82" i="4"/>
  <c r="L10" i="4"/>
  <c r="L57" i="4"/>
  <c r="F65" i="4"/>
  <c r="N83" i="4"/>
  <c r="L85" i="4"/>
  <c r="L17" i="4"/>
  <c r="L63" i="4"/>
  <c r="L8" i="4"/>
  <c r="J9" i="4"/>
  <c r="L12" i="4"/>
  <c r="J13" i="4"/>
  <c r="R14" i="4"/>
  <c r="P61" i="4"/>
  <c r="J12" i="4"/>
  <c r="N20" i="4"/>
  <c r="L21" i="4"/>
  <c r="J22" i="4"/>
  <c r="J40" i="4"/>
  <c r="L73" i="4"/>
  <c r="P90" i="4"/>
  <c r="J32" i="4"/>
  <c r="L9" i="4"/>
  <c r="L13" i="4"/>
  <c r="J14" i="4"/>
  <c r="L79" i="4"/>
  <c r="J11" i="3"/>
  <c r="J74" i="3"/>
  <c r="J76" i="3"/>
  <c r="D52" i="3"/>
  <c r="J69" i="3"/>
  <c r="L72" i="3"/>
  <c r="J79" i="3"/>
  <c r="D92" i="3"/>
  <c r="J15" i="3"/>
  <c r="J77" i="3"/>
  <c r="L10" i="3"/>
  <c r="L14" i="3"/>
  <c r="H57" i="3"/>
  <c r="J66" i="3"/>
  <c r="L70" i="3"/>
  <c r="L78" i="3"/>
  <c r="J63" i="3"/>
  <c r="H89" i="3"/>
  <c r="D10" i="3"/>
  <c r="D14" i="3"/>
  <c r="L20" i="3"/>
  <c r="L22" i="3"/>
  <c r="L24" i="3"/>
  <c r="L26" i="3"/>
  <c r="L28" i="3"/>
  <c r="L30" i="3"/>
  <c r="L32" i="3"/>
  <c r="J50" i="3"/>
  <c r="L54" i="3"/>
  <c r="L62" i="3"/>
  <c r="D78" i="3"/>
  <c r="J90" i="3"/>
  <c r="D68" i="3"/>
  <c r="J85" i="3"/>
  <c r="L88" i="3"/>
  <c r="J53" i="3"/>
  <c r="D60" i="3"/>
  <c r="H73" i="3"/>
  <c r="L86" i="3"/>
  <c r="F80" i="3"/>
  <c r="F9" i="3"/>
  <c r="H25" i="3"/>
  <c r="H27" i="3"/>
  <c r="H38" i="3"/>
  <c r="H42" i="3"/>
  <c r="F55" i="3"/>
  <c r="F71" i="3"/>
  <c r="H83" i="3"/>
  <c r="F90" i="3"/>
  <c r="J35" i="3"/>
  <c r="J103" i="3"/>
  <c r="J94" i="3"/>
  <c r="J98" i="3"/>
  <c r="J102" i="3"/>
  <c r="J95" i="3"/>
  <c r="J99" i="3"/>
  <c r="J101" i="3"/>
  <c r="J96" i="3"/>
  <c r="J100" i="3"/>
  <c r="J104" i="3"/>
  <c r="J97" i="3"/>
  <c r="J93" i="3"/>
  <c r="J92" i="3"/>
  <c r="F49" i="3"/>
  <c r="L50" i="3"/>
  <c r="F52" i="3"/>
  <c r="J54" i="3"/>
  <c r="D56" i="3"/>
  <c r="J57" i="3"/>
  <c r="H61" i="3"/>
  <c r="F65" i="3"/>
  <c r="L66" i="3"/>
  <c r="F68" i="3"/>
  <c r="J70" i="3"/>
  <c r="D72" i="3"/>
  <c r="J73" i="3"/>
  <c r="H77" i="3"/>
  <c r="F81" i="3"/>
  <c r="L82" i="3"/>
  <c r="F84" i="3"/>
  <c r="J86" i="3"/>
  <c r="D88" i="3"/>
  <c r="J89" i="3"/>
  <c r="N35" i="4"/>
  <c r="N93" i="4"/>
  <c r="N101" i="4"/>
  <c r="N103" i="4"/>
  <c r="N100" i="4"/>
  <c r="N98" i="4"/>
  <c r="N95" i="4"/>
  <c r="N104" i="4"/>
  <c r="N99" i="4"/>
  <c r="N97" i="4"/>
  <c r="N94" i="4"/>
  <c r="N102" i="4"/>
  <c r="N96" i="4"/>
  <c r="N90" i="4"/>
  <c r="N68" i="4"/>
  <c r="N65" i="4"/>
  <c r="N61" i="4"/>
  <c r="N58" i="4"/>
  <c r="N36" i="4"/>
  <c r="N31" i="4"/>
  <c r="N27" i="4"/>
  <c r="N24" i="4"/>
  <c r="N87" i="4"/>
  <c r="N84" i="4"/>
  <c r="N81" i="4"/>
  <c r="N71" i="4"/>
  <c r="N55" i="4"/>
  <c r="N52" i="4"/>
  <c r="N49" i="4"/>
  <c r="N39" i="4"/>
  <c r="N21" i="4"/>
  <c r="N17" i="4"/>
  <c r="N91" i="4"/>
  <c r="N78" i="4"/>
  <c r="N75" i="4"/>
  <c r="N59" i="4"/>
  <c r="N46" i="4"/>
  <c r="N43" i="4"/>
  <c r="N25" i="4"/>
  <c r="N88" i="4"/>
  <c r="N82" i="4"/>
  <c r="N72" i="4"/>
  <c r="N69" i="4"/>
  <c r="N66" i="4"/>
  <c r="N62" i="4"/>
  <c r="N56" i="4"/>
  <c r="N50" i="4"/>
  <c r="N40" i="4"/>
  <c r="N37" i="4"/>
  <c r="N32" i="4"/>
  <c r="N28" i="4"/>
  <c r="N22" i="4"/>
  <c r="N85" i="4"/>
  <c r="N73" i="4"/>
  <c r="N53" i="4"/>
  <c r="N41" i="4"/>
  <c r="N19" i="4"/>
  <c r="N92" i="4"/>
  <c r="N89" i="4"/>
  <c r="N79" i="4"/>
  <c r="N76" i="4"/>
  <c r="N63" i="4"/>
  <c r="N60" i="4"/>
  <c r="N57" i="4"/>
  <c r="N47" i="4"/>
  <c r="N44" i="4"/>
  <c r="N29" i="4"/>
  <c r="N26" i="4"/>
  <c r="N23" i="4"/>
  <c r="N77" i="4"/>
  <c r="N48" i="4"/>
  <c r="N30" i="4"/>
  <c r="N70" i="4"/>
  <c r="N54" i="4"/>
  <c r="N42" i="4"/>
  <c r="N13" i="4"/>
  <c r="N10" i="4"/>
  <c r="N80" i="4"/>
  <c r="N64" i="4"/>
  <c r="N33" i="4"/>
  <c r="N16" i="4"/>
  <c r="N14" i="4"/>
  <c r="N86" i="4"/>
  <c r="N74" i="4"/>
  <c r="N51" i="4"/>
  <c r="N11" i="4"/>
  <c r="N8" i="4"/>
  <c r="N45" i="4"/>
  <c r="H12" i="3"/>
  <c r="H19" i="3"/>
  <c r="H21" i="3"/>
  <c r="H23" i="3"/>
  <c r="H33" i="3"/>
  <c r="H44" i="3"/>
  <c r="H46" i="3"/>
  <c r="H51" i="3"/>
  <c r="H67" i="3"/>
  <c r="F74" i="3"/>
  <c r="F87" i="3"/>
  <c r="L35" i="3"/>
  <c r="L102" i="3"/>
  <c r="L104" i="3"/>
  <c r="L97" i="3"/>
  <c r="L101" i="3"/>
  <c r="L94" i="3"/>
  <c r="L98" i="3"/>
  <c r="L96" i="3"/>
  <c r="L95" i="3"/>
  <c r="L99" i="3"/>
  <c r="L103" i="3"/>
  <c r="L100" i="3"/>
  <c r="L93" i="3"/>
  <c r="L91" i="3"/>
  <c r="L89" i="3"/>
  <c r="L87" i="3"/>
  <c r="L85" i="3"/>
  <c r="L83" i="3"/>
  <c r="L81" i="3"/>
  <c r="L79" i="3"/>
  <c r="L77" i="3"/>
  <c r="L75" i="3"/>
  <c r="L73" i="3"/>
  <c r="L71" i="3"/>
  <c r="L69" i="3"/>
  <c r="L67" i="3"/>
  <c r="L65" i="3"/>
  <c r="L63" i="3"/>
  <c r="L61" i="3"/>
  <c r="L59" i="3"/>
  <c r="L57" i="3"/>
  <c r="L55" i="3"/>
  <c r="L53" i="3"/>
  <c r="L51" i="3"/>
  <c r="L49" i="3"/>
  <c r="J8" i="3"/>
  <c r="H9" i="3"/>
  <c r="F10" i="3"/>
  <c r="L11" i="3"/>
  <c r="J12" i="3"/>
  <c r="H13" i="3"/>
  <c r="F14" i="3"/>
  <c r="L15" i="3"/>
  <c r="J16" i="3"/>
  <c r="H17" i="3"/>
  <c r="J19" i="3"/>
  <c r="F20" i="3"/>
  <c r="J21" i="3"/>
  <c r="F22" i="3"/>
  <c r="J23" i="3"/>
  <c r="F24" i="3"/>
  <c r="J25" i="3"/>
  <c r="F26" i="3"/>
  <c r="J27" i="3"/>
  <c r="F28" i="3"/>
  <c r="J29" i="3"/>
  <c r="F30" i="3"/>
  <c r="J31" i="3"/>
  <c r="F32" i="3"/>
  <c r="J33" i="3"/>
  <c r="J36" i="3"/>
  <c r="F37" i="3"/>
  <c r="J38" i="3"/>
  <c r="F39" i="3"/>
  <c r="J40" i="3"/>
  <c r="F41" i="3"/>
  <c r="J42" i="3"/>
  <c r="F43" i="3"/>
  <c r="J44" i="3"/>
  <c r="F45" i="3"/>
  <c r="J46" i="3"/>
  <c r="F47" i="3"/>
  <c r="J48" i="3"/>
  <c r="D50" i="3"/>
  <c r="J51" i="3"/>
  <c r="H55" i="3"/>
  <c r="F59" i="3"/>
  <c r="L60" i="3"/>
  <c r="F62" i="3"/>
  <c r="J64" i="3"/>
  <c r="D66" i="3"/>
  <c r="J67" i="3"/>
  <c r="H71" i="3"/>
  <c r="F75" i="3"/>
  <c r="L76" i="3"/>
  <c r="F78" i="3"/>
  <c r="J80" i="3"/>
  <c r="D82" i="3"/>
  <c r="J83" i="3"/>
  <c r="H87" i="3"/>
  <c r="F91" i="3"/>
  <c r="P35" i="4"/>
  <c r="P99" i="4"/>
  <c r="P101" i="4"/>
  <c r="P94" i="4"/>
  <c r="P96" i="4"/>
  <c r="P104" i="4"/>
  <c r="P93" i="4"/>
  <c r="P97" i="4"/>
  <c r="P98" i="4"/>
  <c r="P95" i="4"/>
  <c r="P103" i="4"/>
  <c r="P100" i="4"/>
  <c r="P102" i="4"/>
  <c r="P91" i="4"/>
  <c r="P78" i="4"/>
  <c r="P75" i="4"/>
  <c r="P59" i="4"/>
  <c r="P46" i="4"/>
  <c r="P43" i="4"/>
  <c r="P25" i="4"/>
  <c r="P88" i="4"/>
  <c r="P82" i="4"/>
  <c r="P72" i="4"/>
  <c r="P69" i="4"/>
  <c r="P66" i="4"/>
  <c r="P62" i="4"/>
  <c r="P56" i="4"/>
  <c r="P50" i="4"/>
  <c r="P40" i="4"/>
  <c r="P37" i="4"/>
  <c r="P32" i="4"/>
  <c r="P28" i="4"/>
  <c r="P22" i="4"/>
  <c r="P85" i="4"/>
  <c r="P73" i="4"/>
  <c r="P53" i="4"/>
  <c r="P41" i="4"/>
  <c r="P19" i="4"/>
  <c r="P92" i="4"/>
  <c r="P89" i="4"/>
  <c r="P79" i="4"/>
  <c r="P76" i="4"/>
  <c r="P63" i="4"/>
  <c r="P60" i="4"/>
  <c r="P57" i="4"/>
  <c r="P47" i="4"/>
  <c r="P44" i="4"/>
  <c r="P29" i="4"/>
  <c r="P26" i="4"/>
  <c r="P23" i="4"/>
  <c r="P86" i="4"/>
  <c r="P83" i="4"/>
  <c r="P70" i="4"/>
  <c r="P67" i="4"/>
  <c r="P64" i="4"/>
  <c r="P54" i="4"/>
  <c r="P51" i="4"/>
  <c r="P38" i="4"/>
  <c r="P33" i="4"/>
  <c r="P30" i="4"/>
  <c r="P20" i="4"/>
  <c r="P16" i="4"/>
  <c r="P80" i="4"/>
  <c r="P77" i="4"/>
  <c r="P74" i="4"/>
  <c r="P48" i="4"/>
  <c r="P45" i="4"/>
  <c r="P42" i="4"/>
  <c r="P65" i="4"/>
  <c r="P36" i="4"/>
  <c r="P24" i="4"/>
  <c r="P17" i="4"/>
  <c r="P81" i="4"/>
  <c r="P14" i="4"/>
  <c r="P87" i="4"/>
  <c r="P52" i="4"/>
  <c r="P11" i="4"/>
  <c r="P8" i="4"/>
  <c r="P68" i="4"/>
  <c r="P58" i="4"/>
  <c r="P39" i="4"/>
  <c r="P27" i="4"/>
  <c r="P21" i="4"/>
  <c r="P15" i="4"/>
  <c r="P84" i="4"/>
  <c r="P31" i="4"/>
  <c r="P12" i="4"/>
  <c r="P9" i="4"/>
  <c r="P10" i="4"/>
  <c r="N67" i="4"/>
  <c r="H49" i="3"/>
  <c r="F53" i="3"/>
  <c r="F56" i="3"/>
  <c r="H65" i="3"/>
  <c r="F69" i="3"/>
  <c r="F72" i="3"/>
  <c r="H81" i="3"/>
  <c r="F85" i="3"/>
  <c r="F88" i="3"/>
  <c r="D8" i="3"/>
  <c r="L8" i="3"/>
  <c r="J9" i="3"/>
  <c r="H10" i="3"/>
  <c r="F11" i="3"/>
  <c r="D12" i="3"/>
  <c r="L12" i="3"/>
  <c r="J13" i="3"/>
  <c r="H14" i="3"/>
  <c r="F15" i="3"/>
  <c r="D16" i="3"/>
  <c r="L16" i="3"/>
  <c r="J17" i="3"/>
  <c r="D19" i="3"/>
  <c r="L19" i="3"/>
  <c r="H20" i="3"/>
  <c r="D21" i="3"/>
  <c r="L21" i="3"/>
  <c r="H22" i="3"/>
  <c r="D23" i="3"/>
  <c r="L23" i="3"/>
  <c r="H24" i="3"/>
  <c r="D25" i="3"/>
  <c r="L25" i="3"/>
  <c r="H26" i="3"/>
  <c r="D27" i="3"/>
  <c r="L27" i="3"/>
  <c r="H28" i="3"/>
  <c r="D29" i="3"/>
  <c r="L29" i="3"/>
  <c r="H30" i="3"/>
  <c r="D31" i="3"/>
  <c r="L31" i="3"/>
  <c r="H32" i="3"/>
  <c r="D33" i="3"/>
  <c r="L33" i="3"/>
  <c r="D36" i="3"/>
  <c r="L36" i="3"/>
  <c r="H37" i="3"/>
  <c r="D38" i="3"/>
  <c r="L38" i="3"/>
  <c r="H39" i="3"/>
  <c r="D40" i="3"/>
  <c r="L40" i="3"/>
  <c r="H41" i="3"/>
  <c r="D42" i="3"/>
  <c r="L42" i="3"/>
  <c r="H43" i="3"/>
  <c r="D44" i="3"/>
  <c r="L44" i="3"/>
  <c r="H45" i="3"/>
  <c r="D46" i="3"/>
  <c r="L46" i="3"/>
  <c r="H47" i="3"/>
  <c r="D48" i="3"/>
  <c r="L48" i="3"/>
  <c r="F50" i="3"/>
  <c r="J52" i="3"/>
  <c r="D54" i="3"/>
  <c r="J55" i="3"/>
  <c r="H59" i="3"/>
  <c r="F63" i="3"/>
  <c r="L64" i="3"/>
  <c r="F66" i="3"/>
  <c r="J68" i="3"/>
  <c r="D70" i="3"/>
  <c r="J71" i="3"/>
  <c r="H75" i="3"/>
  <c r="F79" i="3"/>
  <c r="L80" i="3"/>
  <c r="J84" i="3"/>
  <c r="D86" i="3"/>
  <c r="J87" i="3"/>
  <c r="H91" i="3"/>
  <c r="P71" i="4"/>
  <c r="F35" i="3"/>
  <c r="F96" i="3"/>
  <c r="F100" i="3"/>
  <c r="F104" i="3"/>
  <c r="F101" i="3"/>
  <c r="F97" i="3"/>
  <c r="F103" i="3"/>
  <c r="F94" i="3"/>
  <c r="F98" i="3"/>
  <c r="F102" i="3"/>
  <c r="F95" i="3"/>
  <c r="F99" i="3"/>
  <c r="F93" i="3"/>
  <c r="F61" i="3"/>
  <c r="F77" i="3"/>
  <c r="H8" i="3"/>
  <c r="F17" i="3"/>
  <c r="H29" i="3"/>
  <c r="F58" i="3"/>
  <c r="J49" i="3"/>
  <c r="H53" i="3"/>
  <c r="F57" i="3"/>
  <c r="L58" i="3"/>
  <c r="F60" i="3"/>
  <c r="J62" i="3"/>
  <c r="D64" i="3"/>
  <c r="J65" i="3"/>
  <c r="H69" i="3"/>
  <c r="F73" i="3"/>
  <c r="L74" i="3"/>
  <c r="F76" i="3"/>
  <c r="J78" i="3"/>
  <c r="J81" i="3"/>
  <c r="F89" i="3"/>
  <c r="L90" i="3"/>
  <c r="F92" i="3"/>
  <c r="N9" i="4"/>
  <c r="N12" i="4"/>
  <c r="N15" i="4"/>
  <c r="P49" i="4"/>
  <c r="F64" i="3"/>
  <c r="F35" i="5"/>
  <c r="F98" i="5"/>
  <c r="F102" i="5"/>
  <c r="F93" i="5"/>
  <c r="F95" i="5"/>
  <c r="F97" i="5"/>
  <c r="F99" i="5"/>
  <c r="F101" i="5"/>
  <c r="F103" i="5"/>
  <c r="F94" i="5"/>
  <c r="F96" i="5"/>
  <c r="F100" i="5"/>
  <c r="F104" i="5"/>
  <c r="F92" i="5"/>
  <c r="F91" i="5"/>
  <c r="F90" i="5"/>
  <c r="F89" i="5"/>
  <c r="F88" i="5"/>
  <c r="F87" i="5"/>
  <c r="F86" i="5"/>
  <c r="F85" i="5"/>
  <c r="F84" i="5"/>
  <c r="F83" i="5"/>
  <c r="F82" i="5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0" i="5"/>
  <c r="F29" i="5"/>
  <c r="F28" i="5"/>
  <c r="F27" i="5"/>
  <c r="F26" i="5"/>
  <c r="F25" i="5"/>
  <c r="F24" i="5"/>
  <c r="F23" i="5"/>
  <c r="F22" i="5"/>
  <c r="F21" i="5"/>
  <c r="F20" i="5"/>
  <c r="F19" i="5"/>
  <c r="F17" i="5"/>
  <c r="F16" i="5"/>
  <c r="F15" i="5"/>
  <c r="F33" i="5"/>
  <c r="F32" i="5"/>
  <c r="F31" i="5"/>
  <c r="F14" i="5"/>
  <c r="F13" i="5"/>
  <c r="F12" i="5"/>
  <c r="F11" i="5"/>
  <c r="F10" i="5"/>
  <c r="F9" i="5"/>
  <c r="F8" i="5"/>
  <c r="H35" i="3"/>
  <c r="H100" i="3"/>
  <c r="H95" i="3"/>
  <c r="H99" i="3"/>
  <c r="H103" i="3"/>
  <c r="H96" i="3"/>
  <c r="H104" i="3"/>
  <c r="H94" i="3"/>
  <c r="H98" i="3"/>
  <c r="H97" i="3"/>
  <c r="H101" i="3"/>
  <c r="H102" i="3"/>
  <c r="H93" i="3"/>
  <c r="H92" i="3"/>
  <c r="H90" i="3"/>
  <c r="H88" i="3"/>
  <c r="H86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F13" i="3"/>
  <c r="H16" i="3"/>
  <c r="H31" i="3"/>
  <c r="H36" i="3"/>
  <c r="H40" i="3"/>
  <c r="H48" i="3"/>
  <c r="D35" i="3"/>
  <c r="D94" i="3"/>
  <c r="D98" i="3"/>
  <c r="D97" i="3"/>
  <c r="D101" i="3"/>
  <c r="D104" i="3"/>
  <c r="D102" i="3"/>
  <c r="D100" i="3"/>
  <c r="D95" i="3"/>
  <c r="D99" i="3"/>
  <c r="D103" i="3"/>
  <c r="D96" i="3"/>
  <c r="D93" i="3"/>
  <c r="D91" i="3"/>
  <c r="D89" i="3"/>
  <c r="D87" i="3"/>
  <c r="D85" i="3"/>
  <c r="D83" i="3"/>
  <c r="D81" i="3"/>
  <c r="D79" i="3"/>
  <c r="D77" i="3"/>
  <c r="D75" i="3"/>
  <c r="D73" i="3"/>
  <c r="D71" i="3"/>
  <c r="D69" i="3"/>
  <c r="D67" i="3"/>
  <c r="D65" i="3"/>
  <c r="D63" i="3"/>
  <c r="D61" i="3"/>
  <c r="D59" i="3"/>
  <c r="D57" i="3"/>
  <c r="D55" i="3"/>
  <c r="D53" i="3"/>
  <c r="D51" i="3"/>
  <c r="D49" i="3"/>
  <c r="F8" i="3"/>
  <c r="D9" i="3"/>
  <c r="L9" i="3"/>
  <c r="J10" i="3"/>
  <c r="H11" i="3"/>
  <c r="F12" i="3"/>
  <c r="D13" i="3"/>
  <c r="L13" i="3"/>
  <c r="J14" i="3"/>
  <c r="H15" i="3"/>
  <c r="F16" i="3"/>
  <c r="D17" i="3"/>
  <c r="L17" i="3"/>
  <c r="F19" i="3"/>
  <c r="J20" i="3"/>
  <c r="F21" i="3"/>
  <c r="J22" i="3"/>
  <c r="F23" i="3"/>
  <c r="J24" i="3"/>
  <c r="F25" i="3"/>
  <c r="J26" i="3"/>
  <c r="F27" i="3"/>
  <c r="J28" i="3"/>
  <c r="F29" i="3"/>
  <c r="J30" i="3"/>
  <c r="F31" i="3"/>
  <c r="J32" i="3"/>
  <c r="F33" i="3"/>
  <c r="F36" i="3"/>
  <c r="J37" i="3"/>
  <c r="F38" i="3"/>
  <c r="J39" i="3"/>
  <c r="F40" i="3"/>
  <c r="J41" i="3"/>
  <c r="F42" i="3"/>
  <c r="J43" i="3"/>
  <c r="F44" i="3"/>
  <c r="J45" i="3"/>
  <c r="F46" i="3"/>
  <c r="J47" i="3"/>
  <c r="F48" i="3"/>
  <c r="F51" i="3"/>
  <c r="L52" i="3"/>
  <c r="F54" i="3"/>
  <c r="J56" i="3"/>
  <c r="D58" i="3"/>
  <c r="J59" i="3"/>
  <c r="H63" i="3"/>
  <c r="F67" i="3"/>
  <c r="L68" i="3"/>
  <c r="F70" i="3"/>
  <c r="J72" i="3"/>
  <c r="D74" i="3"/>
  <c r="J75" i="3"/>
  <c r="H79" i="3"/>
  <c r="F83" i="3"/>
  <c r="L84" i="3"/>
  <c r="F86" i="3"/>
  <c r="J88" i="3"/>
  <c r="D90" i="3"/>
  <c r="J91" i="3"/>
  <c r="P55" i="4"/>
  <c r="R35" i="4"/>
  <c r="R97" i="4"/>
  <c r="R95" i="4"/>
  <c r="R94" i="4"/>
  <c r="R102" i="4"/>
  <c r="R99" i="4"/>
  <c r="R104" i="4"/>
  <c r="R96" i="4"/>
  <c r="R100" i="4"/>
  <c r="R93" i="4"/>
  <c r="R101" i="4"/>
  <c r="R98" i="4"/>
  <c r="R103" i="4"/>
  <c r="R85" i="4"/>
  <c r="R73" i="4"/>
  <c r="R53" i="4"/>
  <c r="R41" i="4"/>
  <c r="R19" i="4"/>
  <c r="R92" i="4"/>
  <c r="R89" i="4"/>
  <c r="R79" i="4"/>
  <c r="R76" i="4"/>
  <c r="R63" i="4"/>
  <c r="R60" i="4"/>
  <c r="R57" i="4"/>
  <c r="R47" i="4"/>
  <c r="R44" i="4"/>
  <c r="R29" i="4"/>
  <c r="R26" i="4"/>
  <c r="R23" i="4"/>
  <c r="R86" i="4"/>
  <c r="R83" i="4"/>
  <c r="R70" i="4"/>
  <c r="R67" i="4"/>
  <c r="R64" i="4"/>
  <c r="R54" i="4"/>
  <c r="R51" i="4"/>
  <c r="R38" i="4"/>
  <c r="R33" i="4"/>
  <c r="R30" i="4"/>
  <c r="R20" i="4"/>
  <c r="R16" i="4"/>
  <c r="R80" i="4"/>
  <c r="R77" i="4"/>
  <c r="R74" i="4"/>
  <c r="R48" i="4"/>
  <c r="R45" i="4"/>
  <c r="R42" i="4"/>
  <c r="R90" i="4"/>
  <c r="R68" i="4"/>
  <c r="R65" i="4"/>
  <c r="R61" i="4"/>
  <c r="R58" i="4"/>
  <c r="R36" i="4"/>
  <c r="R31" i="4"/>
  <c r="R27" i="4"/>
  <c r="R24" i="4"/>
  <c r="R87" i="4"/>
  <c r="R84" i="4"/>
  <c r="R81" i="4"/>
  <c r="R71" i="4"/>
  <c r="R55" i="4"/>
  <c r="R52" i="4"/>
  <c r="R49" i="4"/>
  <c r="R39" i="4"/>
  <c r="R21" i="4"/>
  <c r="R17" i="4"/>
  <c r="R10" i="4"/>
  <c r="R13" i="4"/>
  <c r="R25" i="4"/>
  <c r="F30" i="4"/>
  <c r="R37" i="4"/>
  <c r="R43" i="4"/>
  <c r="J59" i="4"/>
  <c r="R66" i="4"/>
  <c r="J69" i="4"/>
  <c r="J75" i="4"/>
  <c r="L92" i="4"/>
  <c r="D82" i="4"/>
  <c r="D35" i="4"/>
  <c r="R56" i="4"/>
  <c r="R62" i="4"/>
  <c r="R72" i="4"/>
  <c r="R78" i="4"/>
  <c r="J88" i="4"/>
  <c r="M8" i="5"/>
  <c r="F85" i="4"/>
  <c r="F35" i="4"/>
  <c r="F81" i="4"/>
  <c r="F49" i="4"/>
  <c r="F88" i="4"/>
  <c r="F72" i="4"/>
  <c r="F56" i="4"/>
  <c r="F40" i="4"/>
  <c r="F22" i="4"/>
  <c r="F89" i="4"/>
  <c r="F73" i="4"/>
  <c r="F57" i="4"/>
  <c r="F41" i="4"/>
  <c r="F23" i="4"/>
  <c r="R9" i="4"/>
  <c r="R12" i="4"/>
  <c r="F31" i="4"/>
  <c r="L41" i="4"/>
  <c r="L47" i="4"/>
  <c r="R50" i="4"/>
  <c r="L53" i="4"/>
  <c r="J82" i="4"/>
  <c r="R91" i="4"/>
  <c r="H90" i="4"/>
  <c r="H35" i="4"/>
  <c r="H91" i="4"/>
  <c r="H59" i="4"/>
  <c r="H25" i="4"/>
  <c r="H82" i="4"/>
  <c r="H50" i="4"/>
  <c r="H73" i="4"/>
  <c r="H41" i="4"/>
  <c r="H63" i="4"/>
  <c r="H29" i="4"/>
  <c r="H86" i="4"/>
  <c r="H64" i="4"/>
  <c r="H54" i="4"/>
  <c r="H30" i="4"/>
  <c r="H20" i="4"/>
  <c r="H77" i="4"/>
  <c r="H45" i="4"/>
  <c r="F14" i="4"/>
  <c r="R15" i="4"/>
  <c r="J25" i="4"/>
  <c r="R32" i="4"/>
  <c r="J37" i="4"/>
  <c r="J43" i="4"/>
  <c r="L60" i="4"/>
  <c r="L76" i="4"/>
  <c r="M11" i="5"/>
  <c r="J35" i="4"/>
  <c r="J97" i="4"/>
  <c r="J94" i="4"/>
  <c r="J102" i="4"/>
  <c r="J99" i="4"/>
  <c r="J104" i="4"/>
  <c r="J96" i="4"/>
  <c r="J93" i="4"/>
  <c r="J101" i="4"/>
  <c r="J98" i="4"/>
  <c r="J95" i="4"/>
  <c r="J100" i="4"/>
  <c r="J103" i="4"/>
  <c r="J85" i="4"/>
  <c r="J73" i="4"/>
  <c r="J53" i="4"/>
  <c r="J41" i="4"/>
  <c r="J19" i="4"/>
  <c r="J92" i="4"/>
  <c r="J89" i="4"/>
  <c r="J79" i="4"/>
  <c r="J76" i="4"/>
  <c r="J63" i="4"/>
  <c r="J60" i="4"/>
  <c r="J57" i="4"/>
  <c r="J47" i="4"/>
  <c r="J44" i="4"/>
  <c r="J29" i="4"/>
  <c r="J26" i="4"/>
  <c r="J23" i="4"/>
  <c r="J86" i="4"/>
  <c r="J83" i="4"/>
  <c r="J70" i="4"/>
  <c r="J67" i="4"/>
  <c r="J64" i="4"/>
  <c r="J54" i="4"/>
  <c r="J51" i="4"/>
  <c r="J38" i="4"/>
  <c r="J33" i="4"/>
  <c r="J30" i="4"/>
  <c r="J20" i="4"/>
  <c r="J16" i="4"/>
  <c r="J80" i="4"/>
  <c r="J77" i="4"/>
  <c r="J74" i="4"/>
  <c r="J48" i="4"/>
  <c r="J45" i="4"/>
  <c r="J42" i="4"/>
  <c r="J90" i="4"/>
  <c r="J68" i="4"/>
  <c r="J65" i="4"/>
  <c r="J61" i="4"/>
  <c r="J58" i="4"/>
  <c r="J36" i="4"/>
  <c r="J31" i="4"/>
  <c r="J27" i="4"/>
  <c r="J24" i="4"/>
  <c r="J87" i="4"/>
  <c r="J84" i="4"/>
  <c r="J81" i="4"/>
  <c r="J71" i="4"/>
  <c r="J55" i="4"/>
  <c r="J52" i="4"/>
  <c r="J49" i="4"/>
  <c r="J39" i="4"/>
  <c r="J21" i="4"/>
  <c r="J17" i="4"/>
  <c r="J15" i="4"/>
  <c r="L19" i="4"/>
  <c r="R22" i="4"/>
  <c r="R28" i="4"/>
  <c r="R40" i="4"/>
  <c r="R46" i="4"/>
  <c r="J56" i="4"/>
  <c r="J62" i="4"/>
  <c r="J72" i="4"/>
  <c r="J78" i="4"/>
  <c r="L35" i="4"/>
  <c r="L95" i="4"/>
  <c r="L103" i="4"/>
  <c r="L93" i="4"/>
  <c r="L100" i="4"/>
  <c r="L97" i="4"/>
  <c r="L94" i="4"/>
  <c r="L102" i="4"/>
  <c r="L98" i="4"/>
  <c r="L99" i="4"/>
  <c r="L104" i="4"/>
  <c r="L101" i="4"/>
  <c r="L96" i="4"/>
  <c r="L86" i="4"/>
  <c r="L83" i="4"/>
  <c r="L70" i="4"/>
  <c r="L67" i="4"/>
  <c r="L64" i="4"/>
  <c r="L54" i="4"/>
  <c r="L51" i="4"/>
  <c r="L38" i="4"/>
  <c r="L33" i="4"/>
  <c r="L30" i="4"/>
  <c r="L20" i="4"/>
  <c r="L16" i="4"/>
  <c r="L80" i="4"/>
  <c r="L77" i="4"/>
  <c r="L74" i="4"/>
  <c r="L48" i="4"/>
  <c r="L45" i="4"/>
  <c r="L42" i="4"/>
  <c r="L90" i="4"/>
  <c r="L68" i="4"/>
  <c r="L65" i="4"/>
  <c r="L61" i="4"/>
  <c r="L58" i="4"/>
  <c r="L36" i="4"/>
  <c r="L31" i="4"/>
  <c r="L27" i="4"/>
  <c r="L24" i="4"/>
  <c r="L87" i="4"/>
  <c r="L84" i="4"/>
  <c r="L81" i="4"/>
  <c r="L71" i="4"/>
  <c r="L55" i="4"/>
  <c r="L52" i="4"/>
  <c r="L49" i="4"/>
  <c r="L39" i="4"/>
  <c r="L91" i="4"/>
  <c r="L78" i="4"/>
  <c r="L75" i="4"/>
  <c r="L59" i="4"/>
  <c r="L46" i="4"/>
  <c r="L43" i="4"/>
  <c r="L25" i="4"/>
  <c r="L88" i="4"/>
  <c r="L82" i="4"/>
  <c r="L72" i="4"/>
  <c r="L69" i="4"/>
  <c r="L66" i="4"/>
  <c r="L62" i="4"/>
  <c r="L56" i="4"/>
  <c r="L50" i="4"/>
  <c r="L40" i="4"/>
  <c r="L37" i="4"/>
  <c r="L32" i="4"/>
  <c r="L28" i="4"/>
  <c r="L22" i="4"/>
  <c r="L15" i="4"/>
  <c r="J8" i="4"/>
  <c r="R8" i="4"/>
  <c r="J11" i="4"/>
  <c r="R11" i="4"/>
  <c r="F13" i="4"/>
  <c r="J50" i="4"/>
  <c r="R59" i="4"/>
  <c r="F64" i="4"/>
  <c r="H68" i="4"/>
  <c r="R69" i="4"/>
  <c r="R75" i="4"/>
  <c r="F80" i="4"/>
  <c r="J91" i="4"/>
  <c r="D35" i="5"/>
  <c r="D93" i="5"/>
  <c r="D95" i="5"/>
  <c r="D97" i="5"/>
  <c r="D99" i="5"/>
  <c r="D101" i="5"/>
  <c r="D103" i="5"/>
  <c r="D94" i="5"/>
  <c r="D96" i="5"/>
  <c r="D98" i="5"/>
  <c r="D100" i="5"/>
  <c r="D102" i="5"/>
  <c r="D104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2" i="5"/>
  <c r="D63" i="5"/>
  <c r="D78" i="5"/>
  <c r="D75" i="5"/>
  <c r="D66" i="5"/>
  <c r="D61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3" i="5"/>
  <c r="D32" i="5"/>
  <c r="D31" i="5"/>
  <c r="D73" i="5"/>
  <c r="D64" i="5"/>
  <c r="D76" i="5"/>
  <c r="D70" i="5"/>
  <c r="D59" i="5"/>
  <c r="D71" i="5"/>
  <c r="D69" i="5"/>
  <c r="D62" i="5"/>
  <c r="D77" i="5"/>
  <c r="D74" i="5"/>
  <c r="D60" i="5"/>
  <c r="D68" i="5"/>
  <c r="D30" i="5"/>
  <c r="D29" i="5"/>
  <c r="D28" i="5"/>
  <c r="D27" i="5"/>
  <c r="D26" i="5"/>
  <c r="D25" i="5"/>
  <c r="D24" i="5"/>
  <c r="D23" i="5"/>
  <c r="D22" i="5"/>
  <c r="D21" i="5"/>
  <c r="D20" i="5"/>
  <c r="D19" i="5"/>
  <c r="D17" i="5"/>
  <c r="D16" i="5"/>
  <c r="D67" i="5"/>
  <c r="D65" i="5"/>
  <c r="D14" i="5"/>
  <c r="D13" i="5"/>
  <c r="D12" i="5"/>
  <c r="D11" i="5"/>
  <c r="D10" i="5"/>
  <c r="D9" i="5"/>
  <c r="D8" i="5"/>
  <c r="X35" i="5"/>
  <c r="X93" i="5"/>
  <c r="X95" i="5"/>
  <c r="X97" i="5"/>
  <c r="X99" i="5"/>
  <c r="X101" i="5"/>
  <c r="X103" i="5"/>
  <c r="X94" i="5"/>
  <c r="X96" i="5"/>
  <c r="X98" i="5"/>
  <c r="X100" i="5"/>
  <c r="X102" i="5"/>
  <c r="X104" i="5"/>
  <c r="X77" i="5"/>
  <c r="X76" i="5"/>
  <c r="X75" i="5"/>
  <c r="X74" i="5"/>
  <c r="X73" i="5"/>
  <c r="X72" i="5"/>
  <c r="X71" i="5"/>
  <c r="X70" i="5"/>
  <c r="X92" i="5"/>
  <c r="X91" i="5"/>
  <c r="X90" i="5"/>
  <c r="X89" i="5"/>
  <c r="X88" i="5"/>
  <c r="X87" i="5"/>
  <c r="X86" i="5"/>
  <c r="X85" i="5"/>
  <c r="X84" i="5"/>
  <c r="X83" i="5"/>
  <c r="X82" i="5"/>
  <c r="X81" i="5"/>
  <c r="X80" i="5"/>
  <c r="X79" i="5"/>
  <c r="X78" i="5"/>
  <c r="X68" i="5"/>
  <c r="X58" i="5"/>
  <c r="X67" i="5"/>
  <c r="X61" i="5"/>
  <c r="X66" i="5"/>
  <c r="X64" i="5"/>
  <c r="X59" i="5"/>
  <c r="X62" i="5"/>
  <c r="X60" i="5"/>
  <c r="X56" i="5"/>
  <c r="X54" i="5"/>
  <c r="X52" i="5"/>
  <c r="X50" i="5"/>
  <c r="X48" i="5"/>
  <c r="X46" i="5"/>
  <c r="X44" i="5"/>
  <c r="X42" i="5"/>
  <c r="X40" i="5"/>
  <c r="X30" i="5"/>
  <c r="X38" i="5"/>
  <c r="X37" i="5"/>
  <c r="X36" i="5"/>
  <c r="X65" i="5"/>
  <c r="X57" i="5"/>
  <c r="X55" i="5"/>
  <c r="X53" i="5"/>
  <c r="X51" i="5"/>
  <c r="X49" i="5"/>
  <c r="X47" i="5"/>
  <c r="X45" i="5"/>
  <c r="X43" i="5"/>
  <c r="X41" i="5"/>
  <c r="X33" i="5"/>
  <c r="X15" i="5"/>
  <c r="X63" i="5"/>
  <c r="X39" i="5"/>
  <c r="X32" i="5"/>
  <c r="X25" i="5"/>
  <c r="X22" i="5"/>
  <c r="X16" i="5"/>
  <c r="X13" i="5"/>
  <c r="Z13" i="5" s="1"/>
  <c r="X12" i="5"/>
  <c r="X11" i="5"/>
  <c r="X10" i="5"/>
  <c r="X9" i="5"/>
  <c r="X8" i="5"/>
  <c r="X28" i="5"/>
  <c r="X17" i="5"/>
  <c r="X69" i="5"/>
  <c r="X23" i="5"/>
  <c r="X19" i="5"/>
  <c r="X14" i="5"/>
  <c r="X26" i="5"/>
  <c r="X29" i="5"/>
  <c r="X20" i="5"/>
  <c r="M10" i="5"/>
  <c r="M14" i="5"/>
  <c r="H35" i="5"/>
  <c r="H94" i="5"/>
  <c r="H96" i="5"/>
  <c r="H98" i="5"/>
  <c r="H100" i="5"/>
  <c r="H102" i="5"/>
  <c r="H104" i="5"/>
  <c r="H93" i="5"/>
  <c r="H95" i="5"/>
  <c r="H97" i="5"/>
  <c r="H99" i="5"/>
  <c r="H101" i="5"/>
  <c r="H103" i="5"/>
  <c r="H78" i="5"/>
  <c r="H77" i="5"/>
  <c r="H76" i="5"/>
  <c r="H75" i="5"/>
  <c r="H74" i="5"/>
  <c r="H73" i="5"/>
  <c r="H72" i="5"/>
  <c r="H71" i="5"/>
  <c r="H64" i="5"/>
  <c r="H70" i="5"/>
  <c r="H59" i="5"/>
  <c r="H69" i="5"/>
  <c r="H62" i="5"/>
  <c r="H91" i="5"/>
  <c r="H89" i="5"/>
  <c r="H87" i="5"/>
  <c r="H85" i="5"/>
  <c r="H83" i="5"/>
  <c r="H81" i="5"/>
  <c r="H79" i="5"/>
  <c r="H68" i="5"/>
  <c r="H65" i="5"/>
  <c r="H67" i="5"/>
  <c r="H60" i="5"/>
  <c r="H63" i="5"/>
  <c r="H86" i="5"/>
  <c r="H33" i="5"/>
  <c r="H92" i="5"/>
  <c r="H66" i="5"/>
  <c r="H58" i="5"/>
  <c r="H56" i="5"/>
  <c r="H54" i="5"/>
  <c r="H52" i="5"/>
  <c r="H50" i="5"/>
  <c r="H48" i="5"/>
  <c r="H46" i="5"/>
  <c r="H44" i="5"/>
  <c r="H42" i="5"/>
  <c r="H32" i="5"/>
  <c r="H82" i="5"/>
  <c r="H40" i="5"/>
  <c r="H88" i="5"/>
  <c r="H31" i="5"/>
  <c r="H61" i="5"/>
  <c r="H84" i="5"/>
  <c r="H57" i="5"/>
  <c r="H55" i="5"/>
  <c r="H53" i="5"/>
  <c r="H51" i="5"/>
  <c r="H49" i="5"/>
  <c r="H47" i="5"/>
  <c r="H45" i="5"/>
  <c r="H43" i="5"/>
  <c r="H41" i="5"/>
  <c r="L8" i="5"/>
  <c r="N8" i="5" s="1"/>
  <c r="L9" i="5"/>
  <c r="N9" i="5" s="1"/>
  <c r="L10" i="5"/>
  <c r="L11" i="5"/>
  <c r="L12" i="5"/>
  <c r="L13" i="5"/>
  <c r="N13" i="5" s="1"/>
  <c r="L14" i="5"/>
  <c r="N14" i="5" s="1"/>
  <c r="H19" i="5"/>
  <c r="P22" i="5"/>
  <c r="P25" i="5"/>
  <c r="H29" i="5"/>
  <c r="M33" i="5"/>
  <c r="V36" i="5"/>
  <c r="H90" i="5"/>
  <c r="J35" i="5"/>
  <c r="J93" i="5"/>
  <c r="J101" i="5"/>
  <c r="J97" i="5"/>
  <c r="J103" i="5"/>
  <c r="J94" i="5"/>
  <c r="J96" i="5"/>
  <c r="J98" i="5"/>
  <c r="J100" i="5"/>
  <c r="J102" i="5"/>
  <c r="J104" i="5"/>
  <c r="J99" i="5"/>
  <c r="J95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N70" i="5" s="1"/>
  <c r="J69" i="5"/>
  <c r="J68" i="5"/>
  <c r="J67" i="5"/>
  <c r="J62" i="5"/>
  <c r="J65" i="5"/>
  <c r="J60" i="5"/>
  <c r="J63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3" i="5"/>
  <c r="J32" i="5"/>
  <c r="J31" i="5"/>
  <c r="J66" i="5"/>
  <c r="J61" i="5"/>
  <c r="J64" i="5"/>
  <c r="J59" i="5"/>
  <c r="J30" i="5"/>
  <c r="J29" i="5"/>
  <c r="J28" i="5"/>
  <c r="J27" i="5"/>
  <c r="J26" i="5"/>
  <c r="J25" i="5"/>
  <c r="J24" i="5"/>
  <c r="J23" i="5"/>
  <c r="J22" i="5"/>
  <c r="J21" i="5"/>
  <c r="J20" i="5"/>
  <c r="J19" i="5"/>
  <c r="J17" i="5"/>
  <c r="J16" i="5"/>
  <c r="J15" i="5"/>
  <c r="H15" i="5"/>
  <c r="H17" i="5"/>
  <c r="H23" i="5"/>
  <c r="H26" i="5"/>
  <c r="H38" i="5"/>
  <c r="L35" i="5"/>
  <c r="L93" i="5"/>
  <c r="L95" i="5"/>
  <c r="L97" i="5"/>
  <c r="L99" i="5"/>
  <c r="L101" i="5"/>
  <c r="L103" i="5"/>
  <c r="L94" i="5"/>
  <c r="L96" i="5"/>
  <c r="L98" i="5"/>
  <c r="L100" i="5"/>
  <c r="L102" i="5"/>
  <c r="L104" i="5"/>
  <c r="L92" i="5"/>
  <c r="L91" i="5"/>
  <c r="L90" i="5"/>
  <c r="L89" i="5"/>
  <c r="L88" i="5"/>
  <c r="L87" i="5"/>
  <c r="L86" i="5"/>
  <c r="L85" i="5"/>
  <c r="L84" i="5"/>
  <c r="L83" i="5"/>
  <c r="L82" i="5"/>
  <c r="L81" i="5"/>
  <c r="L80" i="5"/>
  <c r="L79" i="5"/>
  <c r="L78" i="5"/>
  <c r="L71" i="5"/>
  <c r="L68" i="5"/>
  <c r="L60" i="5"/>
  <c r="L74" i="5"/>
  <c r="L67" i="5"/>
  <c r="L63" i="5"/>
  <c r="L77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3" i="5"/>
  <c r="L32" i="5"/>
  <c r="L31" i="5"/>
  <c r="L30" i="5"/>
  <c r="L72" i="5"/>
  <c r="L66" i="5"/>
  <c r="L61" i="5"/>
  <c r="L75" i="5"/>
  <c r="L64" i="5"/>
  <c r="L59" i="5"/>
  <c r="L76" i="5"/>
  <c r="L73" i="5"/>
  <c r="L65" i="5"/>
  <c r="L69" i="5"/>
  <c r="L29" i="5"/>
  <c r="L28" i="5"/>
  <c r="L27" i="5"/>
  <c r="L26" i="5"/>
  <c r="L25" i="5"/>
  <c r="L24" i="5"/>
  <c r="L23" i="5"/>
  <c r="L22" i="5"/>
  <c r="L21" i="5"/>
  <c r="L20" i="5"/>
  <c r="L19" i="5"/>
  <c r="L17" i="5"/>
  <c r="L16" i="5"/>
  <c r="V8" i="5"/>
  <c r="V9" i="5"/>
  <c r="Z9" i="5" s="1"/>
  <c r="V10" i="5"/>
  <c r="V11" i="5"/>
  <c r="Z11" i="5" s="1"/>
  <c r="V12" i="5"/>
  <c r="H16" i="5"/>
  <c r="P21" i="5"/>
  <c r="H36" i="5"/>
  <c r="P35" i="5"/>
  <c r="P94" i="5"/>
  <c r="P96" i="5"/>
  <c r="P100" i="5"/>
  <c r="P93" i="5"/>
  <c r="P95" i="5"/>
  <c r="P97" i="5"/>
  <c r="P99" i="5"/>
  <c r="P101" i="5"/>
  <c r="P103" i="5"/>
  <c r="P98" i="5"/>
  <c r="P102" i="5"/>
  <c r="P104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7" i="5"/>
  <c r="P76" i="5"/>
  <c r="P75" i="5"/>
  <c r="P74" i="5"/>
  <c r="P73" i="5"/>
  <c r="P72" i="5"/>
  <c r="P71" i="5"/>
  <c r="P78" i="5"/>
  <c r="P61" i="5"/>
  <c r="P66" i="5"/>
  <c r="P64" i="5"/>
  <c r="P59" i="5"/>
  <c r="P62" i="5"/>
  <c r="P70" i="5"/>
  <c r="P69" i="5"/>
  <c r="P65" i="5"/>
  <c r="T65" i="5" s="1"/>
  <c r="P60" i="5"/>
  <c r="P30" i="5"/>
  <c r="T30" i="5" s="1"/>
  <c r="P67" i="5"/>
  <c r="P57" i="5"/>
  <c r="P55" i="5"/>
  <c r="P53" i="5"/>
  <c r="P51" i="5"/>
  <c r="P49" i="5"/>
  <c r="P47" i="5"/>
  <c r="P45" i="5"/>
  <c r="P43" i="5"/>
  <c r="P41" i="5"/>
  <c r="P38" i="5"/>
  <c r="P37" i="5"/>
  <c r="P63" i="5"/>
  <c r="P36" i="5"/>
  <c r="T36" i="5" s="1"/>
  <c r="P39" i="5"/>
  <c r="P33" i="5"/>
  <c r="P32" i="5"/>
  <c r="P68" i="5"/>
  <c r="P58" i="5"/>
  <c r="P56" i="5"/>
  <c r="P54" i="5"/>
  <c r="P52" i="5"/>
  <c r="T52" i="5" s="1"/>
  <c r="P50" i="5"/>
  <c r="P48" i="5"/>
  <c r="P46" i="5"/>
  <c r="P44" i="5"/>
  <c r="P42" i="5"/>
  <c r="P31" i="5"/>
  <c r="P14" i="5"/>
  <c r="T14" i="5" s="1"/>
  <c r="H22" i="5"/>
  <c r="P24" i="5"/>
  <c r="H28" i="5"/>
  <c r="P40" i="5"/>
  <c r="H80" i="5"/>
  <c r="R35" i="5"/>
  <c r="R94" i="5"/>
  <c r="R96" i="5"/>
  <c r="R98" i="5"/>
  <c r="R100" i="5"/>
  <c r="R102" i="5"/>
  <c r="R104" i="5"/>
  <c r="R93" i="5"/>
  <c r="R95" i="5"/>
  <c r="R97" i="5"/>
  <c r="R99" i="5"/>
  <c r="R101" i="5"/>
  <c r="R103" i="5"/>
  <c r="R92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59" i="5"/>
  <c r="R62" i="5"/>
  <c r="R65" i="5"/>
  <c r="R60" i="5"/>
  <c r="R63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3" i="5"/>
  <c r="R32" i="5"/>
  <c r="R31" i="5"/>
  <c r="R58" i="5"/>
  <c r="R66" i="5"/>
  <c r="R64" i="5"/>
  <c r="R29" i="5"/>
  <c r="R28" i="5"/>
  <c r="R27" i="5"/>
  <c r="T27" i="5" s="1"/>
  <c r="R26" i="5"/>
  <c r="R25" i="5"/>
  <c r="R24" i="5"/>
  <c r="R23" i="5"/>
  <c r="T23" i="5" s="1"/>
  <c r="R22" i="5"/>
  <c r="R21" i="5"/>
  <c r="R20" i="5"/>
  <c r="R19" i="5"/>
  <c r="R17" i="5"/>
  <c r="T17" i="5" s="1"/>
  <c r="R16" i="5"/>
  <c r="T16" i="5" s="1"/>
  <c r="R15" i="5"/>
  <c r="H8" i="5"/>
  <c r="P8" i="5"/>
  <c r="T8" i="5" s="1"/>
  <c r="H9" i="5"/>
  <c r="P9" i="5"/>
  <c r="H10" i="5"/>
  <c r="P10" i="5"/>
  <c r="H11" i="5"/>
  <c r="P11" i="5"/>
  <c r="T11" i="5" s="1"/>
  <c r="H12" i="5"/>
  <c r="P12" i="5"/>
  <c r="H13" i="5"/>
  <c r="P13" i="5"/>
  <c r="H14" i="5"/>
  <c r="L15" i="5"/>
  <c r="P20" i="5"/>
  <c r="H25" i="5"/>
  <c r="P29" i="5"/>
  <c r="H39" i="5"/>
  <c r="V35" i="5"/>
  <c r="V95" i="5"/>
  <c r="V99" i="5"/>
  <c r="V94" i="5"/>
  <c r="V96" i="5"/>
  <c r="Z96" i="5" s="1"/>
  <c r="V98" i="5"/>
  <c r="V100" i="5"/>
  <c r="V102" i="5"/>
  <c r="V104" i="5"/>
  <c r="V101" i="5"/>
  <c r="Z101" i="5" s="1"/>
  <c r="V93" i="5"/>
  <c r="V103" i="5"/>
  <c r="Z103" i="5" s="1"/>
  <c r="V97" i="5"/>
  <c r="V77" i="5"/>
  <c r="Z77" i="5" s="1"/>
  <c r="V76" i="5"/>
  <c r="Z76" i="5" s="1"/>
  <c r="V75" i="5"/>
  <c r="V74" i="5"/>
  <c r="Z74" i="5" s="1"/>
  <c r="V73" i="5"/>
  <c r="V72" i="5"/>
  <c r="V71" i="5"/>
  <c r="Z71" i="5" s="1"/>
  <c r="V70" i="5"/>
  <c r="V69" i="5"/>
  <c r="Z69" i="5" s="1"/>
  <c r="V68" i="5"/>
  <c r="V67" i="5"/>
  <c r="Z67" i="5" s="1"/>
  <c r="V66" i="5"/>
  <c r="Z66" i="5" s="1"/>
  <c r="V65" i="5"/>
  <c r="V64" i="5"/>
  <c r="V63" i="5"/>
  <c r="Z63" i="5" s="1"/>
  <c r="V62" i="5"/>
  <c r="V61" i="5"/>
  <c r="V60" i="5"/>
  <c r="V59" i="5"/>
  <c r="V58" i="5"/>
  <c r="Z58" i="5" s="1"/>
  <c r="V92" i="5"/>
  <c r="Z92" i="5" s="1"/>
  <c r="V90" i="5"/>
  <c r="V88" i="5"/>
  <c r="V86" i="5"/>
  <c r="V84" i="5"/>
  <c r="Z84" i="5" s="1"/>
  <c r="V82" i="5"/>
  <c r="V80" i="5"/>
  <c r="V78" i="5"/>
  <c r="V57" i="5"/>
  <c r="V56" i="5"/>
  <c r="Z56" i="5" s="1"/>
  <c r="V55" i="5"/>
  <c r="V54" i="5"/>
  <c r="Z54" i="5" s="1"/>
  <c r="V53" i="5"/>
  <c r="Z53" i="5" s="1"/>
  <c r="V52" i="5"/>
  <c r="V51" i="5"/>
  <c r="Z51" i="5" s="1"/>
  <c r="V50" i="5"/>
  <c r="Z50" i="5" s="1"/>
  <c r="V49" i="5"/>
  <c r="V48" i="5"/>
  <c r="V47" i="5"/>
  <c r="Z47" i="5" s="1"/>
  <c r="V46" i="5"/>
  <c r="V45" i="5"/>
  <c r="V44" i="5"/>
  <c r="V43" i="5"/>
  <c r="V42" i="5"/>
  <c r="V41" i="5"/>
  <c r="V40" i="5"/>
  <c r="Z40" i="5" s="1"/>
  <c r="V39" i="5"/>
  <c r="V91" i="5"/>
  <c r="Z91" i="5" s="1"/>
  <c r="V89" i="5"/>
  <c r="Z89" i="5" s="1"/>
  <c r="V87" i="5"/>
  <c r="V85" i="5"/>
  <c r="V83" i="5"/>
  <c r="Z83" i="5" s="1"/>
  <c r="V81" i="5"/>
  <c r="Z81" i="5" s="1"/>
  <c r="V79" i="5"/>
  <c r="V32" i="5"/>
  <c r="Z32" i="5" s="1"/>
  <c r="V31" i="5"/>
  <c r="V29" i="5"/>
  <c r="V28" i="5"/>
  <c r="V27" i="5"/>
  <c r="V26" i="5"/>
  <c r="Z26" i="5" s="1"/>
  <c r="V25" i="5"/>
  <c r="V24" i="5"/>
  <c r="V23" i="5"/>
  <c r="Z23" i="5" s="1"/>
  <c r="V22" i="5"/>
  <c r="V21" i="5"/>
  <c r="Z21" i="5" s="1"/>
  <c r="V20" i="5"/>
  <c r="V19" i="5"/>
  <c r="Z19" i="5" s="1"/>
  <c r="V17" i="5"/>
  <c r="V16" i="5"/>
  <c r="V15" i="5"/>
  <c r="Z15" i="5" s="1"/>
  <c r="V14" i="5"/>
  <c r="V30" i="5"/>
  <c r="Z30" i="5" s="1"/>
  <c r="V38" i="5"/>
  <c r="V37" i="5"/>
  <c r="Z37" i="5" s="1"/>
  <c r="P19" i="5"/>
  <c r="H21" i="5"/>
  <c r="P26" i="5"/>
  <c r="H30" i="5"/>
  <c r="V33" i="5"/>
  <c r="M37" i="5"/>
  <c r="M32" i="5"/>
  <c r="M72" i="5"/>
  <c r="M77" i="5"/>
  <c r="Q57" i="2"/>
  <c r="M65" i="5"/>
  <c r="M69" i="5"/>
  <c r="M76" i="5"/>
  <c r="Y78" i="5"/>
  <c r="M70" i="5"/>
  <c r="M73" i="5"/>
  <c r="Q23" i="2"/>
  <c r="H40" i="4"/>
  <c r="H72" i="4"/>
  <c r="H9" i="4"/>
  <c r="H14" i="4"/>
  <c r="H19" i="4"/>
  <c r="H24" i="4"/>
  <c r="H28" i="4"/>
  <c r="H33" i="4"/>
  <c r="H39" i="4"/>
  <c r="H44" i="4"/>
  <c r="H49" i="4"/>
  <c r="H53" i="4"/>
  <c r="H58" i="4"/>
  <c r="H62" i="4"/>
  <c r="H67" i="4"/>
  <c r="H71" i="4"/>
  <c r="H76" i="4"/>
  <c r="H81" i="4"/>
  <c r="H85" i="4"/>
  <c r="H98" i="4"/>
  <c r="H104" i="4"/>
  <c r="H94" i="4"/>
  <c r="H102" i="4"/>
  <c r="H96" i="4"/>
  <c r="H99" i="4"/>
  <c r="H97" i="4"/>
  <c r="H101" i="4"/>
  <c r="H100" i="4"/>
  <c r="H93" i="4"/>
  <c r="H103" i="4"/>
  <c r="H95" i="4"/>
  <c r="H13" i="4"/>
  <c r="H48" i="4"/>
  <c r="H80" i="4"/>
  <c r="H8" i="4"/>
  <c r="H12" i="4"/>
  <c r="H17" i="4"/>
  <c r="H23" i="4"/>
  <c r="H27" i="4"/>
  <c r="H32" i="4"/>
  <c r="H38" i="4"/>
  <c r="H43" i="4"/>
  <c r="H47" i="4"/>
  <c r="H52" i="4"/>
  <c r="H57" i="4"/>
  <c r="H61" i="4"/>
  <c r="H66" i="4"/>
  <c r="H70" i="4"/>
  <c r="H75" i="4"/>
  <c r="H79" i="4"/>
  <c r="H84" i="4"/>
  <c r="H89" i="4"/>
  <c r="H22" i="4"/>
  <c r="H56" i="4"/>
  <c r="H88" i="4"/>
  <c r="H11" i="4"/>
  <c r="H16" i="4"/>
  <c r="H21" i="4"/>
  <c r="H26" i="4"/>
  <c r="H31" i="4"/>
  <c r="H37" i="4"/>
  <c r="H42" i="4"/>
  <c r="H46" i="4"/>
  <c r="H51" i="4"/>
  <c r="H55" i="4"/>
  <c r="H60" i="4"/>
  <c r="H65" i="4"/>
  <c r="H69" i="4"/>
  <c r="H74" i="4"/>
  <c r="H78" i="4"/>
  <c r="H83" i="4"/>
  <c r="H87" i="4"/>
  <c r="H92" i="4"/>
  <c r="F12" i="4"/>
  <c r="F21" i="4"/>
  <c r="F29" i="4"/>
  <c r="F39" i="4"/>
  <c r="F47" i="4"/>
  <c r="F55" i="4"/>
  <c r="F63" i="4"/>
  <c r="F71" i="4"/>
  <c r="F79" i="4"/>
  <c r="F87" i="4"/>
  <c r="F11" i="4"/>
  <c r="F20" i="4"/>
  <c r="F28" i="4"/>
  <c r="F38" i="4"/>
  <c r="F46" i="4"/>
  <c r="F54" i="4"/>
  <c r="F62" i="4"/>
  <c r="F70" i="4"/>
  <c r="F78" i="4"/>
  <c r="F86" i="4"/>
  <c r="F10" i="4"/>
  <c r="F19" i="4"/>
  <c r="F27" i="4"/>
  <c r="F37" i="4"/>
  <c r="F45" i="4"/>
  <c r="F53" i="4"/>
  <c r="F61" i="4"/>
  <c r="F69" i="4"/>
  <c r="F77" i="4"/>
  <c r="F95" i="4"/>
  <c r="F103" i="4"/>
  <c r="F94" i="4"/>
  <c r="F102" i="4"/>
  <c r="F93" i="4"/>
  <c r="F101" i="4"/>
  <c r="F100" i="4"/>
  <c r="F98" i="4"/>
  <c r="F96" i="4"/>
  <c r="F99" i="4"/>
  <c r="F97" i="4"/>
  <c r="F104" i="4"/>
  <c r="F9" i="4"/>
  <c r="F17" i="4"/>
  <c r="F26" i="4"/>
  <c r="F36" i="4"/>
  <c r="F44" i="4"/>
  <c r="F52" i="4"/>
  <c r="F60" i="4"/>
  <c r="F68" i="4"/>
  <c r="F76" i="4"/>
  <c r="F84" i="4"/>
  <c r="F92" i="4"/>
  <c r="F8" i="4"/>
  <c r="F16" i="4"/>
  <c r="F25" i="4"/>
  <c r="F33" i="4"/>
  <c r="F43" i="4"/>
  <c r="F51" i="4"/>
  <c r="F59" i="4"/>
  <c r="F67" i="4"/>
  <c r="F75" i="4"/>
  <c r="F83" i="4"/>
  <c r="F91" i="4"/>
  <c r="F15" i="4"/>
  <c r="F24" i="4"/>
  <c r="F32" i="4"/>
  <c r="F42" i="4"/>
  <c r="F50" i="4"/>
  <c r="F58" i="4"/>
  <c r="F66" i="4"/>
  <c r="F74" i="4"/>
  <c r="F82" i="4"/>
  <c r="F90" i="4"/>
  <c r="D39" i="4"/>
  <c r="D8" i="4"/>
  <c r="D12" i="4"/>
  <c r="D19" i="4"/>
  <c r="D21" i="4"/>
  <c r="D24" i="4"/>
  <c r="D26" i="4"/>
  <c r="D30" i="4"/>
  <c r="D33" i="4"/>
  <c r="D37" i="4"/>
  <c r="D41" i="4"/>
  <c r="D44" i="4"/>
  <c r="D46" i="4"/>
  <c r="D50" i="4"/>
  <c r="D53" i="4"/>
  <c r="D55" i="4"/>
  <c r="D57" i="4"/>
  <c r="D62" i="4"/>
  <c r="D64" i="4"/>
  <c r="D66" i="4"/>
  <c r="D69" i="4"/>
  <c r="D70" i="4"/>
  <c r="D73" i="4"/>
  <c r="D75" i="4"/>
  <c r="D77" i="4"/>
  <c r="D79" i="4"/>
  <c r="D80" i="4"/>
  <c r="D81" i="4"/>
  <c r="D83" i="4"/>
  <c r="D84" i="4"/>
  <c r="D87" i="4"/>
  <c r="D88" i="4"/>
  <c r="D89" i="4"/>
  <c r="D90" i="4"/>
  <c r="D91" i="4"/>
  <c r="D92" i="4"/>
  <c r="D11" i="4"/>
  <c r="D15" i="4"/>
  <c r="D29" i="4"/>
  <c r="D86" i="4"/>
  <c r="D10" i="4"/>
  <c r="D13" i="4"/>
  <c r="D16" i="4"/>
  <c r="D20" i="4"/>
  <c r="D23" i="4"/>
  <c r="D28" i="4"/>
  <c r="D32" i="4"/>
  <c r="D38" i="4"/>
  <c r="D40" i="4"/>
  <c r="D43" i="4"/>
  <c r="D48" i="4"/>
  <c r="D52" i="4"/>
  <c r="D56" i="4"/>
  <c r="D58" i="4"/>
  <c r="D60" i="4"/>
  <c r="D68" i="4"/>
  <c r="D72" i="4"/>
  <c r="D94" i="4"/>
  <c r="D95" i="4"/>
  <c r="D96" i="4"/>
  <c r="D97" i="4"/>
  <c r="D99" i="4"/>
  <c r="D100" i="4"/>
  <c r="D102" i="4"/>
  <c r="D103" i="4"/>
  <c r="D104" i="4"/>
  <c r="D93" i="4"/>
  <c r="D98" i="4"/>
  <c r="D101" i="4"/>
  <c r="D9" i="4"/>
  <c r="D14" i="4"/>
  <c r="D17" i="4"/>
  <c r="D22" i="4"/>
  <c r="D25" i="4"/>
  <c r="D27" i="4"/>
  <c r="D31" i="4"/>
  <c r="D36" i="4"/>
  <c r="D42" i="4"/>
  <c r="D45" i="4"/>
  <c r="D47" i="4"/>
  <c r="D49" i="4"/>
  <c r="D51" i="4"/>
  <c r="D54" i="4"/>
  <c r="D59" i="4"/>
  <c r="D61" i="4"/>
  <c r="D63" i="4"/>
  <c r="D65" i="4"/>
  <c r="D67" i="4"/>
  <c r="D71" i="4"/>
  <c r="D74" i="4"/>
  <c r="D76" i="4"/>
  <c r="D78" i="4"/>
  <c r="D85" i="4"/>
  <c r="J9" i="7"/>
  <c r="J13" i="7"/>
  <c r="J5" i="7"/>
  <c r="J6" i="7"/>
  <c r="J14" i="7"/>
  <c r="J10" i="7"/>
  <c r="J11" i="7"/>
  <c r="J15" i="7"/>
  <c r="J3" i="7"/>
  <c r="J7" i="7"/>
  <c r="J12" i="7"/>
  <c r="J16" i="7"/>
  <c r="J8" i="7"/>
  <c r="J4" i="7"/>
  <c r="C30" i="7"/>
  <c r="C22" i="7"/>
  <c r="C38" i="7"/>
  <c r="C18" i="7"/>
  <c r="C26" i="7"/>
  <c r="C34" i="7"/>
  <c r="C42" i="7"/>
  <c r="C50" i="7"/>
  <c r="C58" i="7"/>
  <c r="C66" i="7"/>
  <c r="C82" i="7"/>
  <c r="C62" i="7"/>
  <c r="C7" i="7"/>
  <c r="C13" i="7"/>
  <c r="C19" i="7"/>
  <c r="C27" i="7"/>
  <c r="C35" i="7"/>
  <c r="C43" i="7"/>
  <c r="C51" i="7"/>
  <c r="C59" i="7"/>
  <c r="C67" i="7"/>
  <c r="C83" i="7"/>
  <c r="C91" i="7"/>
  <c r="C94" i="7"/>
  <c r="C3" i="7"/>
  <c r="C11" i="7"/>
  <c r="C20" i="7"/>
  <c r="C28" i="7"/>
  <c r="C36" i="7"/>
  <c r="C44" i="7"/>
  <c r="C52" i="7"/>
  <c r="C60" i="7"/>
  <c r="C84" i="7"/>
  <c r="C92" i="7"/>
  <c r="C54" i="7"/>
  <c r="C4" i="7"/>
  <c r="C6" i="7"/>
  <c r="C8" i="7"/>
  <c r="C10" i="7"/>
  <c r="C14" i="7"/>
  <c r="C16" i="7"/>
  <c r="C21" i="7"/>
  <c r="C29" i="7"/>
  <c r="C37" i="7"/>
  <c r="C45" i="7"/>
  <c r="C53" i="7"/>
  <c r="C61" i="7"/>
  <c r="C77" i="7"/>
  <c r="C85" i="7"/>
  <c r="C93" i="7"/>
  <c r="C78" i="7"/>
  <c r="C23" i="7"/>
  <c r="C31" i="7"/>
  <c r="C39" i="7"/>
  <c r="C47" i="7"/>
  <c r="C55" i="7"/>
  <c r="C63" i="7"/>
  <c r="C79" i="7"/>
  <c r="C87" i="7"/>
  <c r="C95" i="7"/>
  <c r="C86" i="7"/>
  <c r="C24" i="7"/>
  <c r="C32" i="7"/>
  <c r="C40" i="7"/>
  <c r="C48" i="7"/>
  <c r="C56" i="7"/>
  <c r="C64" i="7"/>
  <c r="C80" i="7"/>
  <c r="C96" i="7"/>
  <c r="C46" i="7"/>
  <c r="C5" i="7"/>
  <c r="C9" i="7"/>
  <c r="C15" i="7"/>
  <c r="C17" i="7"/>
  <c r="C25" i="7"/>
  <c r="C33" i="7"/>
  <c r="C41" i="7"/>
  <c r="C49" i="7"/>
  <c r="C57" i="7"/>
  <c r="C65" i="7"/>
  <c r="C81" i="7"/>
  <c r="C97" i="7"/>
  <c r="C69" i="7"/>
  <c r="C12" i="7"/>
  <c r="C70" i="7"/>
  <c r="C71" i="7"/>
  <c r="C73" i="7"/>
  <c r="C75" i="7"/>
  <c r="C98" i="7"/>
  <c r="C90" i="7"/>
  <c r="C89" i="7"/>
  <c r="C74" i="7"/>
  <c r="C72" i="7"/>
  <c r="C88" i="7"/>
  <c r="C2" i="7"/>
  <c r="C68" i="7"/>
  <c r="C76" i="7"/>
  <c r="T28" i="5" l="1"/>
  <c r="T15" i="5"/>
  <c r="Z12" i="5"/>
  <c r="N12" i="5"/>
  <c r="Z31" i="5"/>
  <c r="T61" i="5"/>
  <c r="N11" i="5"/>
  <c r="Z14" i="5"/>
  <c r="Z39" i="5"/>
  <c r="Z88" i="5"/>
  <c r="Z94" i="5"/>
  <c r="T10" i="5"/>
  <c r="Z10" i="5"/>
  <c r="N19" i="5"/>
  <c r="N27" i="5"/>
  <c r="N77" i="5"/>
  <c r="N95" i="5"/>
  <c r="N10" i="5"/>
  <c r="Z70" i="5"/>
  <c r="Z33" i="5"/>
  <c r="Z55" i="5"/>
  <c r="T49" i="5"/>
  <c r="T79" i="5"/>
  <c r="T87" i="5"/>
  <c r="T96" i="5"/>
  <c r="N103" i="5"/>
  <c r="Z99" i="5"/>
  <c r="Z25" i="5"/>
  <c r="Z73" i="5"/>
  <c r="T31" i="5"/>
  <c r="Z8" i="5"/>
  <c r="N21" i="5"/>
  <c r="N29" i="5"/>
  <c r="Z42" i="5"/>
  <c r="Z104" i="5"/>
  <c r="T19" i="5"/>
  <c r="Z27" i="5"/>
  <c r="Z85" i="5"/>
  <c r="Z60" i="5"/>
  <c r="Z68" i="5"/>
  <c r="N41" i="5"/>
  <c r="N57" i="5"/>
  <c r="Z24" i="5"/>
  <c r="Z79" i="5"/>
  <c r="Z90" i="5"/>
  <c r="Z72" i="5"/>
  <c r="N31" i="5"/>
  <c r="N49" i="5"/>
  <c r="N85" i="5"/>
  <c r="Z49" i="5"/>
  <c r="Z65" i="5"/>
  <c r="Z95" i="5"/>
  <c r="T13" i="5"/>
  <c r="T9" i="5"/>
  <c r="T56" i="5"/>
  <c r="T37" i="5"/>
  <c r="T53" i="5"/>
  <c r="T81" i="5"/>
  <c r="T89" i="5"/>
  <c r="T35" i="5"/>
  <c r="N33" i="5"/>
  <c r="N43" i="5"/>
  <c r="N51" i="5"/>
  <c r="N63" i="5"/>
  <c r="N71" i="5"/>
  <c r="N79" i="5"/>
  <c r="N87" i="5"/>
  <c r="N104" i="5"/>
  <c r="T22" i="5"/>
  <c r="Z43" i="5"/>
  <c r="Z59" i="5"/>
  <c r="Z75" i="5"/>
  <c r="T12" i="5"/>
  <c r="T68" i="5"/>
  <c r="T83" i="5"/>
  <c r="T91" i="5"/>
  <c r="T21" i="5"/>
  <c r="N23" i="5"/>
  <c r="N65" i="5"/>
  <c r="N100" i="5"/>
  <c r="Z20" i="5"/>
  <c r="Z28" i="5"/>
  <c r="Z87" i="5"/>
  <c r="Z52" i="5"/>
  <c r="Z82" i="5"/>
  <c r="Z100" i="5"/>
  <c r="N62" i="5"/>
  <c r="Z61" i="5"/>
  <c r="Z38" i="5"/>
  <c r="Z22" i="5"/>
  <c r="Z46" i="5"/>
  <c r="T24" i="5"/>
  <c r="T39" i="5"/>
  <c r="T47" i="5"/>
  <c r="T60" i="5"/>
  <c r="T102" i="5"/>
  <c r="Z48" i="5"/>
  <c r="Z64" i="5"/>
  <c r="Z93" i="5"/>
  <c r="T54" i="5"/>
  <c r="T63" i="5"/>
  <c r="T51" i="5"/>
  <c r="T69" i="5"/>
  <c r="T71" i="5"/>
  <c r="T80" i="5"/>
  <c r="T88" i="5"/>
  <c r="T103" i="5"/>
  <c r="T94" i="5"/>
  <c r="N20" i="5"/>
  <c r="N28" i="5"/>
  <c r="N32" i="5"/>
  <c r="N42" i="5"/>
  <c r="N50" i="5"/>
  <c r="N58" i="5"/>
  <c r="N78" i="5"/>
  <c r="N86" i="5"/>
  <c r="N99" i="5"/>
  <c r="N97" i="5"/>
  <c r="T25" i="5"/>
  <c r="N69" i="5"/>
  <c r="T26" i="5"/>
  <c r="T78" i="5"/>
  <c r="N101" i="5"/>
  <c r="Z17" i="5"/>
  <c r="Z78" i="5"/>
  <c r="T42" i="5"/>
  <c r="T58" i="5"/>
  <c r="T38" i="5"/>
  <c r="T55" i="5"/>
  <c r="T62" i="5"/>
  <c r="T73" i="5"/>
  <c r="T82" i="5"/>
  <c r="T90" i="5"/>
  <c r="T99" i="5"/>
  <c r="N22" i="5"/>
  <c r="N30" i="5"/>
  <c r="N36" i="5"/>
  <c r="N44" i="5"/>
  <c r="N52" i="5"/>
  <c r="N60" i="5"/>
  <c r="N72" i="5"/>
  <c r="N80" i="5"/>
  <c r="N88" i="5"/>
  <c r="N102" i="5"/>
  <c r="N93" i="5"/>
  <c r="Z35" i="5"/>
  <c r="Z41" i="5"/>
  <c r="T70" i="5"/>
  <c r="Z80" i="5"/>
  <c r="Z102" i="5"/>
  <c r="T44" i="5"/>
  <c r="T41" i="5"/>
  <c r="T57" i="5"/>
  <c r="T59" i="5"/>
  <c r="T74" i="5"/>
  <c r="T97" i="5"/>
  <c r="N59" i="5"/>
  <c r="N37" i="5"/>
  <c r="N45" i="5"/>
  <c r="N53" i="5"/>
  <c r="N73" i="5"/>
  <c r="N81" i="5"/>
  <c r="N89" i="5"/>
  <c r="N35" i="5"/>
  <c r="T101" i="5"/>
  <c r="Z44" i="5"/>
  <c r="T29" i="5"/>
  <c r="T40" i="5"/>
  <c r="T46" i="5"/>
  <c r="T32" i="5"/>
  <c r="T43" i="5"/>
  <c r="T67" i="5"/>
  <c r="T64" i="5"/>
  <c r="T75" i="5"/>
  <c r="T84" i="5"/>
  <c r="T92" i="5"/>
  <c r="T95" i="5"/>
  <c r="N15" i="5"/>
  <c r="N24" i="5"/>
  <c r="N64" i="5"/>
  <c r="N38" i="5"/>
  <c r="N46" i="5"/>
  <c r="N54" i="5"/>
  <c r="N74" i="5"/>
  <c r="N82" i="5"/>
  <c r="N90" i="5"/>
  <c r="N98" i="5"/>
  <c r="Z57" i="5"/>
  <c r="T72" i="5"/>
  <c r="Z29" i="5"/>
  <c r="Z45" i="5"/>
  <c r="Z98" i="5"/>
  <c r="T48" i="5"/>
  <c r="T33" i="5"/>
  <c r="T45" i="5"/>
  <c r="T66" i="5"/>
  <c r="T76" i="5"/>
  <c r="T85" i="5"/>
  <c r="T104" i="5"/>
  <c r="T93" i="5"/>
  <c r="N16" i="5"/>
  <c r="N25" i="5"/>
  <c r="N61" i="5"/>
  <c r="N39" i="5"/>
  <c r="N47" i="5"/>
  <c r="N55" i="5"/>
  <c r="N67" i="5"/>
  <c r="N75" i="5"/>
  <c r="N83" i="5"/>
  <c r="N91" i="5"/>
  <c r="N96" i="5"/>
  <c r="Z36" i="5"/>
  <c r="T98" i="5"/>
  <c r="Z16" i="5"/>
  <c r="Z86" i="5"/>
  <c r="Z62" i="5"/>
  <c r="Z97" i="5"/>
  <c r="T20" i="5"/>
  <c r="T50" i="5"/>
  <c r="T77" i="5"/>
  <c r="T86" i="5"/>
  <c r="T100" i="5"/>
  <c r="N17" i="5"/>
  <c r="N26" i="5"/>
  <c r="N66" i="5"/>
  <c r="N40" i="5"/>
  <c r="N48" i="5"/>
  <c r="N56" i="5"/>
  <c r="N68" i="5"/>
  <c r="N76" i="5"/>
  <c r="N84" i="5"/>
  <c r="N92" i="5"/>
  <c r="N94" i="5"/>
  <c r="K3" i="7"/>
  <c r="K8" i="7"/>
  <c r="K14" i="7"/>
  <c r="K5" i="7"/>
  <c r="K11" i="7"/>
  <c r="K4" i="7"/>
  <c r="K12" i="7"/>
  <c r="K16" i="7"/>
  <c r="K2" i="7"/>
  <c r="K6" i="7"/>
  <c r="K9" i="7"/>
  <c r="K15" i="7"/>
  <c r="K7" i="7"/>
  <c r="K10" i="7"/>
  <c r="K13" i="7"/>
  <c r="D95" i="7"/>
  <c r="D79" i="7"/>
  <c r="D71" i="7"/>
  <c r="D63" i="7"/>
  <c r="D12" i="7"/>
  <c r="D13" i="7"/>
  <c r="D92" i="7"/>
  <c r="D84" i="7"/>
  <c r="D76" i="7"/>
  <c r="D68" i="7"/>
  <c r="D60" i="7"/>
  <c r="D52" i="7"/>
  <c r="D44" i="7"/>
  <c r="D36" i="7"/>
  <c r="D28" i="7"/>
  <c r="D20" i="7"/>
  <c r="D89" i="7"/>
  <c r="D81" i="7"/>
  <c r="D73" i="7"/>
  <c r="D65" i="7"/>
  <c r="D57" i="7"/>
  <c r="D2" i="7"/>
  <c r="D97" i="7"/>
  <c r="D5" i="7"/>
  <c r="D94" i="7"/>
  <c r="D86" i="7"/>
  <c r="D78" i="7"/>
  <c r="D70" i="7"/>
  <c r="D62" i="7"/>
  <c r="D54" i="7"/>
  <c r="D46" i="7"/>
  <c r="D38" i="7"/>
  <c r="D30" i="7"/>
  <c r="D22" i="7"/>
  <c r="D67" i="7"/>
  <c r="D59" i="7"/>
  <c r="D51" i="7"/>
  <c r="D43" i="7"/>
  <c r="D35" i="7"/>
  <c r="D27" i="7"/>
  <c r="D19" i="7"/>
  <c r="D14" i="7"/>
  <c r="D10" i="7"/>
  <c r="D91" i="7"/>
  <c r="D83" i="7"/>
  <c r="D75" i="7"/>
  <c r="D96" i="7"/>
  <c r="D88" i="7"/>
  <c r="D80" i="7"/>
  <c r="D72" i="7"/>
  <c r="D64" i="7"/>
  <c r="D56" i="7"/>
  <c r="D48" i="7"/>
  <c r="D40" i="7"/>
  <c r="D32" i="7"/>
  <c r="D24" i="7"/>
  <c r="D85" i="7"/>
  <c r="D77" i="7"/>
  <c r="D69" i="7"/>
  <c r="D61" i="7"/>
  <c r="D53" i="7"/>
  <c r="D37" i="7"/>
  <c r="D29" i="7"/>
  <c r="D21" i="7"/>
  <c r="D15" i="7"/>
  <c r="D3" i="7"/>
  <c r="D93" i="7"/>
  <c r="D45" i="7"/>
  <c r="D11" i="7"/>
  <c r="D7" i="7"/>
  <c r="D25" i="7"/>
  <c r="D9" i="7"/>
  <c r="D98" i="7"/>
  <c r="D90" i="7"/>
  <c r="D82" i="7"/>
  <c r="D74" i="7"/>
  <c r="D66" i="7"/>
  <c r="D58" i="7"/>
  <c r="D50" i="7"/>
  <c r="D42" i="7"/>
  <c r="D34" i="7"/>
  <c r="D26" i="7"/>
  <c r="D18" i="7"/>
  <c r="D87" i="7"/>
  <c r="D55" i="7"/>
  <c r="D47" i="7"/>
  <c r="D39" i="7"/>
  <c r="D31" i="7"/>
  <c r="D23" i="7"/>
  <c r="D16" i="7"/>
  <c r="D8" i="7"/>
  <c r="D4" i="7"/>
  <c r="D49" i="7"/>
  <c r="D41" i="7"/>
  <c r="D33" i="7"/>
  <c r="D17" i="7"/>
  <c r="D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Tien Montalvo</author>
  </authors>
  <commentList>
    <comment ref="P6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pulled from Portal 2 August 2018</t>
        </r>
      </text>
    </comment>
    <comment ref="B3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10 Jan 2017 - Jordan B.</t>
        </r>
      </text>
    </comment>
    <comment ref="B36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20 Jan 2017 - Simon I.</t>
        </r>
      </text>
    </comment>
    <comment ref="B48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2:1:6 G</t>
        </r>
      </text>
    </comment>
    <comment ref="A67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CDM-6</t>
        </r>
      </text>
    </comment>
    <comment ref="A69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CDM-4</t>
        </r>
      </text>
    </comment>
    <comment ref="B88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29 Aug 2017 - Simon I.</t>
        </r>
      </text>
    </comment>
    <comment ref="B89" authorId="0" shapeId="0" xr:uid="{00000000-0006-0000-0300-000008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1 tonne blend sheet 12 November 2017 - TJ B.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Tien Montalvo</author>
  </authors>
  <commentList>
    <comment ref="B33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10 Jan 2017 - Jordan B.</t>
        </r>
      </text>
    </comment>
    <comment ref="B36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20 Jan 2017 - Simon I.</t>
        </r>
      </text>
    </comment>
    <comment ref="B48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2:1:6 G</t>
        </r>
      </text>
    </comment>
    <comment ref="A67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CDM-6</t>
        </r>
      </text>
    </comment>
    <comment ref="A69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CDM-4</t>
        </r>
      </text>
    </comment>
    <comment ref="B88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29 Aug 2017 - Simon I.</t>
        </r>
      </text>
    </comment>
    <comment ref="B89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1 tonne blend sheet 12 November 2017 - TJ B.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Tien Montalvo</author>
  </authors>
  <commentList>
    <comment ref="B3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10 Jan 2017 - Jordan B.</t>
        </r>
      </text>
    </comment>
    <comment ref="B36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20 Jan 2017 - Simon I.</t>
        </r>
      </text>
    </comment>
    <comment ref="B48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2:1:6 G</t>
        </r>
      </text>
    </comment>
    <comment ref="A67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CDM-6</t>
        </r>
      </text>
    </comment>
    <comment ref="A69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CDM-4</t>
        </r>
      </text>
    </comment>
    <comment ref="B88" authorId="0" shapeId="0" xr:uid="{00000000-0006-0000-0500-000006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29 Aug 2017 - Simon I.</t>
        </r>
      </text>
    </comment>
    <comment ref="B89" authorId="0" shapeId="0" xr:uid="{00000000-0006-0000-0500-000007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1 tonne blend sheet 12 November 2017 - TJ B.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Tien Montalvo</author>
  </authors>
  <commentList>
    <comment ref="B3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10 Jan 2017 - Jordan B.</t>
        </r>
      </text>
    </comment>
    <comment ref="B34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20 Jan 2017 - Simon I.</t>
        </r>
      </text>
    </comment>
    <comment ref="B46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2:1:6 G</t>
        </r>
      </text>
    </comment>
    <comment ref="A6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CDM-6</t>
        </r>
      </text>
    </comment>
    <comment ref="A67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CDM-4</t>
        </r>
      </text>
    </comment>
    <comment ref="B86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29 Aug 2017 - Simon I.</t>
        </r>
      </text>
    </comment>
    <comment ref="B87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1 tonne blend sheet 12 November 2017 - TJ B.</t>
        </r>
      </text>
    </comment>
  </commentList>
</comments>
</file>

<file path=xl/sharedStrings.xml><?xml version="1.0" encoding="utf-8"?>
<sst xmlns="http://schemas.openxmlformats.org/spreadsheetml/2006/main" count="771" uniqueCount="197">
  <si>
    <t>ASC (IV)</t>
  </si>
  <si>
    <t>Expandomix</t>
  </si>
  <si>
    <t>Expandomix HT</t>
  </si>
  <si>
    <t>Expandomix LWL</t>
  </si>
  <si>
    <t>Glacial Mix</t>
  </si>
  <si>
    <t>LCS 1820</t>
  </si>
  <si>
    <t>LITEmix 1325 (AB)</t>
  </si>
  <si>
    <t>LITEmix 1400 (AB)</t>
  </si>
  <si>
    <t>PRODUCTIONmix 1600</t>
  </si>
  <si>
    <t>Proteus Core</t>
  </si>
  <si>
    <t>Proteus GLS @ 1300 (CDM-2)</t>
  </si>
  <si>
    <t>Proteus GLS @ 1350 (CDM-2)</t>
  </si>
  <si>
    <t>Proteus GLS @ 1400 (CDM-2)</t>
  </si>
  <si>
    <t>Proteus GLS @ 1400 (CDM-5)</t>
  </si>
  <si>
    <t>Proteus LCS</t>
  </si>
  <si>
    <t>Proteus Pro</t>
  </si>
  <si>
    <t>RAS II</t>
  </si>
  <si>
    <t>SanSeal</t>
  </si>
  <si>
    <t>SanSeal HT</t>
  </si>
  <si>
    <t>SSi</t>
  </si>
  <si>
    <t>Superlite 13</t>
  </si>
  <si>
    <t>Superlite 13 (CDM-5)</t>
  </si>
  <si>
    <t>SUPERLITEmix 1160 (CDM-5)</t>
  </si>
  <si>
    <t>SURFACEmix SLW</t>
  </si>
  <si>
    <t>SurfLite</t>
  </si>
  <si>
    <t>Thermal 40</t>
  </si>
  <si>
    <t>Thermal 40 EXP</t>
  </si>
  <si>
    <t>Thermal 40 Lite</t>
  </si>
  <si>
    <t>THERMAmix EC</t>
  </si>
  <si>
    <t>ThixLite HT (AB)</t>
  </si>
  <si>
    <t>LCS 1600</t>
  </si>
  <si>
    <t>SUPERLITEmix PRO</t>
  </si>
  <si>
    <t>BASE BLEND</t>
  </si>
  <si>
    <t>LEAD</t>
  </si>
  <si>
    <t>PUP</t>
  </si>
  <si>
    <t>P_TANK (m³)</t>
  </si>
  <si>
    <t>LAYDOWN (m³)</t>
  </si>
  <si>
    <t>WIGHT SILO (m³)</t>
  </si>
  <si>
    <t>QuickThree Quick Stand Silo (m³)</t>
  </si>
  <si>
    <t>SILO (m³)</t>
  </si>
  <si>
    <t>BULK DENSITY (T/m³)</t>
  </si>
  <si>
    <t>BULK EQUIPMENT BLEND CAPACITIES (T)</t>
  </si>
  <si>
    <t>TOTAL</t>
  </si>
  <si>
    <t>LBT</t>
  </si>
  <si>
    <t>Bulk Trailers</t>
  </si>
  <si>
    <t>Freuhauf &amp; Retessa</t>
  </si>
  <si>
    <t>B-Trains</t>
  </si>
  <si>
    <t>Cement Pig LBT (m³)</t>
  </si>
  <si>
    <t>Tandem (m³)</t>
  </si>
  <si>
    <t>Tridem (m³)</t>
  </si>
  <si>
    <t>LBT (m³)</t>
  </si>
  <si>
    <t>Advance (m³)</t>
  </si>
  <si>
    <t>Freuhauf (m³)</t>
  </si>
  <si>
    <t>SUPERLITEmix 1100x</t>
  </si>
  <si>
    <t>SUPERLITEmix 1100X</t>
  </si>
  <si>
    <t>Ciment Fondu</t>
  </si>
  <si>
    <t>EXPANDOmix PRO HT</t>
  </si>
  <si>
    <t>EXPANDOmix PRO LT</t>
  </si>
  <si>
    <t>iBond</t>
  </si>
  <si>
    <t>iPrime</t>
  </si>
  <si>
    <t>0:1:0 'A'</t>
  </si>
  <si>
    <t>0:1:0 'C'</t>
  </si>
  <si>
    <t>0:1:0 'G'</t>
  </si>
  <si>
    <t>Expandomix HT (SK)</t>
  </si>
  <si>
    <t>iPrime (SK)</t>
  </si>
  <si>
    <t>LDP-C-0117</t>
  </si>
  <si>
    <t>LDP-C-0517</t>
  </si>
  <si>
    <t>LDP-C-0618</t>
  </si>
  <si>
    <t>LDP-C-1616</t>
  </si>
  <si>
    <t>LITEmix 1325 (SK)</t>
  </si>
  <si>
    <t>LITEmix 1400 (SK)</t>
  </si>
  <si>
    <t>LITEmix EC</t>
  </si>
  <si>
    <t>PRODUCTIONmix 1600 (SK)</t>
  </si>
  <si>
    <t>PRODUCTIONmix 1725</t>
  </si>
  <si>
    <t>PRODUCTIONmix EC</t>
  </si>
  <si>
    <t>PRODUCTIONmix EC (SK)</t>
  </si>
  <si>
    <t>PRODUCTIONmix HZ</t>
  </si>
  <si>
    <t>PRODUCTIONmix LW</t>
  </si>
  <si>
    <t>PRODUCTIONmix LW (SK)</t>
  </si>
  <si>
    <t>PRODUCTIONmix LW PRO</t>
  </si>
  <si>
    <t>PRODUCTIONmix THX</t>
  </si>
  <si>
    <t>SUPERLITEmix 1160</t>
  </si>
  <si>
    <t>SUPERLITEmix 1160X</t>
  </si>
  <si>
    <t>SUPERLITEmix PRO (CDM-2)</t>
  </si>
  <si>
    <t>SUPERLITEmix PRO HT</t>
  </si>
  <si>
    <t>SURFACEmix LW (SK)</t>
  </si>
  <si>
    <t>SURFACEmix PRO</t>
  </si>
  <si>
    <t>SURFACEmix THX</t>
  </si>
  <si>
    <t>SurfLite (SK)</t>
  </si>
  <si>
    <t>THERMAmix LT</t>
  </si>
  <si>
    <t>THERMAmix PRO</t>
  </si>
  <si>
    <t>THERMAmix SLW</t>
  </si>
  <si>
    <t>THERMAmix THX</t>
  </si>
  <si>
    <t>ThixLite HT (SK)</t>
  </si>
  <si>
    <t>EXPANDOmix PRO HT (SK)</t>
  </si>
  <si>
    <t>EXPANDOmix PRO LT (SK)</t>
  </si>
  <si>
    <t>SUPERLITE 13</t>
  </si>
  <si>
    <t>SUPERLITE 13 (CDM-5)</t>
  </si>
  <si>
    <t>SUPERLITEmix PRO X</t>
  </si>
  <si>
    <t>SURFACEmix LW PRO</t>
  </si>
  <si>
    <t>SURFACEmix LW PRO (SK)</t>
  </si>
  <si>
    <t>BPC</t>
  </si>
  <si>
    <t>Jason List</t>
  </si>
  <si>
    <t>bulk density</t>
  </si>
  <si>
    <t>0:1:0 Whipstock</t>
  </si>
  <si>
    <t>0:1:X 'G'</t>
  </si>
  <si>
    <t>1:1:X 'G'</t>
  </si>
  <si>
    <t>2:1:X 'G'</t>
  </si>
  <si>
    <t>Proteus GLS @ 1300 (CDM:2)</t>
  </si>
  <si>
    <t>Proteus GLS @ 1350 (CDM:2)</t>
  </si>
  <si>
    <t>Proteus GLS @ 1400 (CDM:2)</t>
  </si>
  <si>
    <t>Proteus GLS @ 1400 (CDM:5)</t>
  </si>
  <si>
    <t>Blend</t>
  </si>
  <si>
    <t>Density</t>
  </si>
  <si>
    <t>1:1:X 'G' (SK)</t>
  </si>
  <si>
    <t>2:1:X 'G' (SK)</t>
  </si>
  <si>
    <t>PRODUCTIONmix 1500 PRO</t>
  </si>
  <si>
    <t>SURFACEmix LW</t>
  </si>
  <si>
    <t>Cement Blends</t>
  </si>
  <si>
    <t>Choose a Cement Blend</t>
  </si>
  <si>
    <t>Pick from the drop down list or begin typing the name of the blend</t>
  </si>
  <si>
    <t>Vessels</t>
  </si>
  <si>
    <t>P Tank</t>
  </si>
  <si>
    <t>Silo</t>
  </si>
  <si>
    <t>Laydown (3 Vessels)</t>
  </si>
  <si>
    <t>Mega Silo</t>
  </si>
  <si>
    <t>Blend Train Silo (LLB)</t>
  </si>
  <si>
    <r>
      <t xml:space="preserve">Pig </t>
    </r>
    <r>
      <rPr>
        <i/>
        <sz val="11"/>
        <color theme="1"/>
        <rFont val="Calibri"/>
        <family val="2"/>
        <scheme val="minor"/>
      </rPr>
      <t>LBT</t>
    </r>
  </si>
  <si>
    <r>
      <t xml:space="preserve">Bulker (Tandem) </t>
    </r>
    <r>
      <rPr>
        <i/>
        <sz val="11"/>
        <color theme="1"/>
        <rFont val="Calibri"/>
        <family val="2"/>
        <scheme val="minor"/>
      </rPr>
      <t>Freuhauf</t>
    </r>
  </si>
  <si>
    <r>
      <t xml:space="preserve">Bulker (Tandem) </t>
    </r>
    <r>
      <rPr>
        <i/>
        <sz val="11"/>
        <color theme="1"/>
        <rFont val="Calibri"/>
        <family val="2"/>
        <scheme val="minor"/>
      </rPr>
      <t>Retessa</t>
    </r>
  </si>
  <si>
    <r>
      <t xml:space="preserve">Bulker (Tandem) </t>
    </r>
    <r>
      <rPr>
        <i/>
        <sz val="11"/>
        <color theme="1"/>
        <rFont val="Calibri"/>
        <family val="2"/>
        <scheme val="minor"/>
      </rPr>
      <t>LBT</t>
    </r>
  </si>
  <si>
    <r>
      <t xml:space="preserve">Bulker (Tridem) </t>
    </r>
    <r>
      <rPr>
        <i/>
        <sz val="11"/>
        <color theme="1"/>
        <rFont val="Calibri"/>
        <family val="2"/>
        <scheme val="minor"/>
      </rPr>
      <t>LBT</t>
    </r>
  </si>
  <si>
    <r>
      <t xml:space="preserve">B Train </t>
    </r>
    <r>
      <rPr>
        <i/>
        <sz val="11"/>
        <color theme="1"/>
        <rFont val="Calibri"/>
        <family val="2"/>
        <scheme val="minor"/>
      </rPr>
      <t>Freuhauf</t>
    </r>
  </si>
  <si>
    <r>
      <t xml:space="preserve">B Train </t>
    </r>
    <r>
      <rPr>
        <i/>
        <sz val="11"/>
        <color theme="1"/>
        <rFont val="Calibri"/>
        <family val="2"/>
        <scheme val="minor"/>
      </rPr>
      <t>LBT</t>
    </r>
  </si>
  <si>
    <r>
      <t xml:space="preserve">B Train </t>
    </r>
    <r>
      <rPr>
        <i/>
        <sz val="11"/>
        <color theme="1"/>
        <rFont val="Calibri"/>
        <family val="2"/>
        <scheme val="minor"/>
      </rPr>
      <t>Advance</t>
    </r>
  </si>
  <si>
    <t>B Train Advance</t>
  </si>
  <si>
    <t>Pig LBT</t>
  </si>
  <si>
    <t>B Train Freuhauf</t>
  </si>
  <si>
    <t>Bulker (Tandem) LBT</t>
  </si>
  <si>
    <t>Bulker (Tridem) LBT</t>
  </si>
  <si>
    <t>B Train LBT</t>
  </si>
  <si>
    <t>Pick from the drop down list or begin typing the name of the vessel</t>
  </si>
  <si>
    <t>Click on the dropdown arrows before starting to type</t>
  </si>
  <si>
    <t>Choose a Vessel</t>
  </si>
  <si>
    <t>Bulker (Tandem) Retessa</t>
  </si>
  <si>
    <t>Date</t>
  </si>
  <si>
    <t>Notes</t>
  </si>
  <si>
    <t>Added road ban bulker loading limits as per Sam Smith's request</t>
  </si>
  <si>
    <t>Road ban Bulker Weight Limits</t>
  </si>
  <si>
    <t>Tandem Bulker</t>
  </si>
  <si>
    <t>Tridem Bulker</t>
  </si>
  <si>
    <t>Front Pod</t>
  </si>
  <si>
    <t>Middle Pod</t>
  </si>
  <si>
    <t>Back Pod</t>
  </si>
  <si>
    <t>Total</t>
  </si>
  <si>
    <t>CDM-4</t>
  </si>
  <si>
    <t>Densified Fume</t>
  </si>
  <si>
    <t>Flyash</t>
  </si>
  <si>
    <t>Flyash (SK)</t>
  </si>
  <si>
    <t>Gypsum</t>
  </si>
  <si>
    <t>Intercem</t>
  </si>
  <si>
    <t>LCC-9</t>
  </si>
  <si>
    <t>Silica Flour</t>
  </si>
  <si>
    <t>LCG-1 (Cal Carb 0)</t>
  </si>
  <si>
    <t>LCG-2 (Cal Carb 325 Mesh Ultra-Fine)</t>
  </si>
  <si>
    <t>LCG-4 (Cal Carb Poultry Grit)</t>
  </si>
  <si>
    <t>LCG-5 (Cal Carb Super Cal Medium)</t>
  </si>
  <si>
    <t>Added CDM-4, Densified Fume, Flyash, Flyash (SK), Gypsum, Intercem, LCC-9, LCG-1, LCG-2, LCG-4, LCG-5 and Silica Flour on request</t>
  </si>
  <si>
    <t>*Note: These capacity values are for estimates only, use your best judgement</t>
  </si>
  <si>
    <t>For transportation compliance weight limits, see "Bulker loading limits"</t>
  </si>
  <si>
    <r>
      <t xml:space="preserve">*Note: Bulk densities can vary </t>
    </r>
    <r>
      <rPr>
        <b/>
        <u/>
        <sz val="18"/>
        <color rgb="FFFF0000"/>
        <rFont val="Calibri"/>
        <family val="2"/>
        <scheme val="minor"/>
      </rPr>
      <t>considerably</t>
    </r>
    <r>
      <rPr>
        <b/>
        <sz val="18"/>
        <color rgb="FFFF0000"/>
        <rFont val="Calibri"/>
        <family val="2"/>
        <scheme val="minor"/>
      </rPr>
      <t xml:space="preserve"> e.g. spheres will be very fluffy and take up a lot of room initially </t>
    </r>
  </si>
  <si>
    <t>when blowing into a vessel (low bulk density)  but will compact and take up less room if left undisturbed (higher bulk density)</t>
  </si>
  <si>
    <t>This applies to all materials and cement blends, not just spheres</t>
  </si>
  <si>
    <t>Added bulk density for LDP-C-0618 as per Ronny's results sent via email</t>
  </si>
  <si>
    <t>STATIONARY BULK EQUIPMENT BLEND CAPACITIES (Tonne)</t>
  </si>
  <si>
    <t>QuickThree Quick Stand Silo (Mega Silo)</t>
  </si>
  <si>
    <t>Cement Pig LBT</t>
  </si>
  <si>
    <t>WEIGHT/BLEND TRAIN SILO BLEND CAPACITIES (Tonne)</t>
  </si>
  <si>
    <t>Estevan</t>
  </si>
  <si>
    <t>Fort St John</t>
  </si>
  <si>
    <t>Grande Prairie</t>
  </si>
  <si>
    <t>Swift Current</t>
  </si>
  <si>
    <t>Red Deer</t>
  </si>
  <si>
    <t>Lac La Biche</t>
  </si>
  <si>
    <t>Lloydminster</t>
  </si>
  <si>
    <t>TRANSPORT BULK EQUIPMENT BLEND CAPACITIES (Tonne)</t>
  </si>
  <si>
    <t>Tandem</t>
  </si>
  <si>
    <t>Tridem</t>
  </si>
  <si>
    <t>Hid all 100% capacity columns and volume columns. Deleted m3 to avoid confusion. Hid bulk densities columns</t>
  </si>
  <si>
    <t>Contact T'ien Montalvo with any questions or concerns</t>
  </si>
  <si>
    <t>Edmonton</t>
  </si>
  <si>
    <t>Changed blend train capacity to 70% of vessel volume as per Blair Fisher's request and changed Edson to Edmonton with blend train</t>
  </si>
  <si>
    <t>Fixed bug which did not look up capacity numbers under "Weigh silo &amp; blend train"</t>
  </si>
  <si>
    <t>Weigh Silo (EST/FSJ)</t>
  </si>
  <si>
    <t>Blend Train Silo (GP/LLD/RD/SC/EDM)</t>
  </si>
  <si>
    <t>Vessel volume (m3)</t>
  </si>
  <si>
    <t>vessel volume (m3)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</si>
</sst>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0000FF"/>
      <name val="Inherit"/>
    </font>
    <font>
      <sz val="11"/>
      <name val="Inherit"/>
    </font>
    <font>
      <b/>
      <sz val="2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u/>
      <sz val="18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Inherit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0" fontId="2" fillId="0" borderId="0"/>
    <xf numFmtId="0" fontId="7" fillId="0" borderId="0"/>
    <xf numFmtId="0" fontId="10" fillId="0" borderId="0" applyNumberFormat="0" applyFill="0" applyBorder="0" applyAlignment="0" applyProtection="0"/>
  </cellStyleXfs>
  <cellXfs count="253">
    <xf numFmtId="0" fontId="0" fillId="0" borderId="0" xfId="0"/>
    <xf numFmtId="0" fontId="0" fillId="0" borderId="0" xfId="0" applyFill="1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164" fontId="3" fillId="0" borderId="0" xfId="0" applyNumberFormat="1" applyFont="1" applyAlignment="1">
      <alignment horizontal="center" vertical="center"/>
    </xf>
    <xf numFmtId="164" fontId="3" fillId="0" borderId="0" xfId="0" applyNumberFormat="1" applyFont="1"/>
    <xf numFmtId="164" fontId="0" fillId="0" borderId="0" xfId="0" applyNumberFormat="1"/>
    <xf numFmtId="164" fontId="3" fillId="0" borderId="1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6" fillId="0" borderId="7" xfId="1" applyFont="1" applyFill="1" applyBorder="1" applyAlignment="1">
      <alignment horizontal="left" vertical="center"/>
    </xf>
    <xf numFmtId="0" fontId="6" fillId="0" borderId="8" xfId="1" applyFont="1" applyFill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6" fillId="2" borderId="8" xfId="1" applyFont="1" applyFill="1" applyBorder="1" applyAlignment="1">
      <alignment horizontal="left" vertical="center"/>
    </xf>
    <xf numFmtId="0" fontId="6" fillId="0" borderId="9" xfId="1" applyFont="1" applyFill="1" applyBorder="1" applyAlignment="1">
      <alignment horizontal="left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64" fontId="3" fillId="0" borderId="13" xfId="0" applyNumberFormat="1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 wrapText="1"/>
    </xf>
    <xf numFmtId="164" fontId="3" fillId="0" borderId="12" xfId="0" applyNumberFormat="1" applyFont="1" applyBorder="1" applyAlignment="1">
      <alignment horizontal="center" vertical="center"/>
    </xf>
    <xf numFmtId="164" fontId="3" fillId="0" borderId="15" xfId="0" applyNumberFormat="1" applyFont="1" applyBorder="1" applyAlignment="1">
      <alignment horizontal="center" vertical="center"/>
    </xf>
    <xf numFmtId="164" fontId="3" fillId="0" borderId="10" xfId="0" applyNumberFormat="1" applyFont="1" applyBorder="1" applyAlignment="1">
      <alignment horizontal="center" vertical="center"/>
    </xf>
    <xf numFmtId="164" fontId="3" fillId="0" borderId="11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 wrapText="1"/>
    </xf>
    <xf numFmtId="164" fontId="1" fillId="0" borderId="9" xfId="0" applyNumberFormat="1" applyFont="1" applyBorder="1" applyAlignment="1">
      <alignment horizontal="center" vertical="center"/>
    </xf>
    <xf numFmtId="164" fontId="1" fillId="0" borderId="22" xfId="0" applyNumberFormat="1" applyFont="1" applyBorder="1" applyAlignment="1">
      <alignment horizontal="center" vertical="center"/>
    </xf>
    <xf numFmtId="164" fontId="3" fillId="0" borderId="23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3" fillId="0" borderId="22" xfId="0" applyNumberFormat="1" applyFon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 wrapText="1"/>
    </xf>
    <xf numFmtId="164" fontId="1" fillId="0" borderId="14" xfId="0" applyNumberFormat="1" applyFont="1" applyBorder="1" applyAlignment="1">
      <alignment horizontal="center" vertical="center" wrapText="1"/>
    </xf>
    <xf numFmtId="164" fontId="0" fillId="0" borderId="19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9" fontId="1" fillId="0" borderId="45" xfId="0" applyNumberFormat="1" applyFont="1" applyBorder="1" applyAlignment="1">
      <alignment horizontal="center" vertical="center" wrapText="1"/>
    </xf>
    <xf numFmtId="9" fontId="1" fillId="0" borderId="43" xfId="0" applyNumberFormat="1" applyFont="1" applyBorder="1" applyAlignment="1">
      <alignment horizontal="center" vertical="center" wrapText="1"/>
    </xf>
    <xf numFmtId="1" fontId="1" fillId="0" borderId="48" xfId="0" applyNumberFormat="1" applyFont="1" applyBorder="1" applyAlignment="1">
      <alignment horizontal="center" vertical="center"/>
    </xf>
    <xf numFmtId="164" fontId="1" fillId="0" borderId="11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4" fontId="1" fillId="0" borderId="3" xfId="0" applyNumberFormat="1" applyFont="1" applyBorder="1" applyAlignment="1">
      <alignment horizontal="center" vertical="center"/>
    </xf>
    <xf numFmtId="164" fontId="1" fillId="0" borderId="48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9" fontId="1" fillId="3" borderId="45" xfId="0" applyNumberFormat="1" applyFont="1" applyFill="1" applyBorder="1" applyAlignment="1">
      <alignment horizontal="center" vertical="center" wrapText="1"/>
    </xf>
    <xf numFmtId="9" fontId="1" fillId="3" borderId="47" xfId="0" applyNumberFormat="1" applyFont="1" applyFill="1" applyBorder="1" applyAlignment="1">
      <alignment horizontal="center" vertical="center" wrapText="1"/>
    </xf>
    <xf numFmtId="2" fontId="3" fillId="0" borderId="40" xfId="0" applyNumberFormat="1" applyFont="1" applyFill="1" applyBorder="1" applyAlignment="1">
      <alignment horizontal="center" vertical="center"/>
    </xf>
    <xf numFmtId="0" fontId="3" fillId="0" borderId="40" xfId="0" applyFont="1" applyFill="1" applyBorder="1" applyAlignment="1">
      <alignment horizontal="center" vertical="center"/>
    </xf>
    <xf numFmtId="2" fontId="3" fillId="0" borderId="41" xfId="0" applyNumberFormat="1" applyFont="1" applyFill="1" applyBorder="1" applyAlignment="1">
      <alignment horizontal="center" vertical="center"/>
    </xf>
    <xf numFmtId="9" fontId="1" fillId="0" borderId="1" xfId="0" applyNumberFormat="1" applyFont="1" applyBorder="1" applyAlignment="1">
      <alignment horizontal="center" vertical="center" wrapText="1"/>
    </xf>
    <xf numFmtId="9" fontId="1" fillId="0" borderId="46" xfId="0" applyNumberFormat="1" applyFont="1" applyFill="1" applyBorder="1" applyAlignment="1">
      <alignment horizontal="center" vertical="center" wrapText="1"/>
    </xf>
    <xf numFmtId="9" fontId="1" fillId="3" borderId="1" xfId="0" applyNumberFormat="1" applyFont="1" applyFill="1" applyBorder="1" applyAlignment="1">
      <alignment horizontal="center" vertical="center" wrapText="1"/>
    </xf>
    <xf numFmtId="9" fontId="1" fillId="0" borderId="10" xfId="0" applyNumberFormat="1" applyFont="1" applyBorder="1" applyAlignment="1">
      <alignment horizontal="center" vertical="center" wrapText="1"/>
    </xf>
    <xf numFmtId="9" fontId="1" fillId="3" borderId="2" xfId="0" applyNumberFormat="1" applyFont="1" applyFill="1" applyBorder="1" applyAlignment="1">
      <alignment horizontal="center" vertical="center" wrapText="1"/>
    </xf>
    <xf numFmtId="9" fontId="1" fillId="3" borderId="46" xfId="0" applyNumberFormat="1" applyFont="1" applyFill="1" applyBorder="1" applyAlignment="1">
      <alignment horizontal="center" vertical="center" wrapText="1"/>
    </xf>
    <xf numFmtId="9" fontId="1" fillId="0" borderId="10" xfId="0" applyNumberFormat="1" applyFont="1" applyBorder="1" applyAlignment="1">
      <alignment horizontal="center" vertical="center"/>
    </xf>
    <xf numFmtId="9" fontId="1" fillId="3" borderId="2" xfId="0" applyNumberFormat="1" applyFont="1" applyFill="1" applyBorder="1" applyAlignment="1">
      <alignment horizontal="center" vertical="center"/>
    </xf>
    <xf numFmtId="2" fontId="3" fillId="0" borderId="39" xfId="0" applyNumberFormat="1" applyFont="1" applyFill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8" xfId="0" applyFont="1" applyBorder="1" applyAlignment="1">
      <alignment horizontal="left" vertical="center"/>
    </xf>
    <xf numFmtId="0" fontId="10" fillId="0" borderId="0" xfId="3"/>
    <xf numFmtId="0" fontId="11" fillId="0" borderId="58" xfId="0" applyFont="1" applyBorder="1" applyAlignment="1">
      <alignment horizontal="left" vertical="center" indent="2"/>
    </xf>
    <xf numFmtId="0" fontId="12" fillId="0" borderId="0" xfId="0" applyFont="1" applyBorder="1" applyAlignment="1">
      <alignment horizontal="center" vertical="center"/>
    </xf>
    <xf numFmtId="0" fontId="1" fillId="0" borderId="0" xfId="0" applyFont="1"/>
    <xf numFmtId="0" fontId="5" fillId="0" borderId="36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4" fillId="0" borderId="32" xfId="1" applyFont="1" applyFill="1" applyBorder="1" applyAlignment="1">
      <alignment horizontal="center" vertical="center"/>
    </xf>
    <xf numFmtId="0" fontId="1" fillId="0" borderId="60" xfId="0" applyFont="1" applyBorder="1" applyAlignment="1">
      <alignment horizontal="center" vertical="center"/>
    </xf>
    <xf numFmtId="0" fontId="1" fillId="0" borderId="61" xfId="0" applyFont="1" applyBorder="1" applyAlignment="1">
      <alignment horizontal="center" vertical="center"/>
    </xf>
    <xf numFmtId="0" fontId="1" fillId="0" borderId="62" xfId="0" applyFont="1" applyBorder="1" applyAlignment="1">
      <alignment horizontal="center" vertical="center"/>
    </xf>
    <xf numFmtId="0" fontId="1" fillId="0" borderId="63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0" fillId="3" borderId="0" xfId="0" applyFill="1" applyBorder="1"/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59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164" fontId="1" fillId="0" borderId="59" xfId="0" applyNumberFormat="1" applyFont="1" applyBorder="1" applyAlignment="1">
      <alignment horizontal="center" vertical="center"/>
    </xf>
    <xf numFmtId="164" fontId="1" fillId="0" borderId="64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60" xfId="0" applyNumberFormat="1" applyFont="1" applyBorder="1" applyAlignment="1">
      <alignment horizontal="center" vertical="center"/>
    </xf>
    <xf numFmtId="164" fontId="1" fillId="0" borderId="63" xfId="0" applyNumberFormat="1" applyFont="1" applyBorder="1" applyAlignment="1">
      <alignment horizontal="center" vertical="center"/>
    </xf>
    <xf numFmtId="164" fontId="3" fillId="0" borderId="52" xfId="0" applyNumberFormat="1" applyFont="1" applyFill="1" applyBorder="1" applyAlignment="1">
      <alignment horizontal="center" vertical="center"/>
    </xf>
    <xf numFmtId="164" fontId="3" fillId="0" borderId="54" xfId="0" applyNumberFormat="1" applyFont="1" applyFill="1" applyBorder="1" applyAlignment="1">
      <alignment horizontal="center" vertical="center"/>
    </xf>
    <xf numFmtId="164" fontId="3" fillId="0" borderId="55" xfId="0" applyNumberFormat="1" applyFont="1" applyFill="1" applyBorder="1" applyAlignment="1">
      <alignment horizontal="center" vertical="center"/>
    </xf>
    <xf numFmtId="164" fontId="0" fillId="0" borderId="54" xfId="0" applyNumberFormat="1" applyFill="1" applyBorder="1" applyAlignment="1">
      <alignment horizontal="center" vertical="center"/>
    </xf>
    <xf numFmtId="164" fontId="3" fillId="0" borderId="10" xfId="0" applyNumberFormat="1" applyFont="1" applyFill="1" applyBorder="1" applyAlignment="1">
      <alignment horizontal="center" vertical="center"/>
    </xf>
    <xf numFmtId="164" fontId="3" fillId="0" borderId="2" xfId="0" applyNumberFormat="1" applyFont="1" applyFill="1" applyBorder="1" applyAlignment="1">
      <alignment horizontal="center" vertical="center"/>
    </xf>
    <xf numFmtId="164" fontId="3" fillId="0" borderId="5" xfId="0" applyNumberFormat="1" applyFont="1" applyFill="1" applyBorder="1" applyAlignment="1">
      <alignment horizontal="center" vertical="center"/>
    </xf>
    <xf numFmtId="164" fontId="0" fillId="0" borderId="2" xfId="0" applyNumberFormat="1" applyFill="1" applyBorder="1" applyAlignment="1">
      <alignment horizontal="center" vertical="center"/>
    </xf>
    <xf numFmtId="164" fontId="3" fillId="0" borderId="11" xfId="0" applyNumberFormat="1" applyFont="1" applyFill="1" applyBorder="1" applyAlignment="1">
      <alignment horizontal="center" vertical="center"/>
    </xf>
    <xf numFmtId="164" fontId="3" fillId="0" borderId="4" xfId="0" applyNumberFormat="1" applyFont="1" applyFill="1" applyBorder="1" applyAlignment="1">
      <alignment horizontal="center" vertical="center"/>
    </xf>
    <xf numFmtId="164" fontId="3" fillId="0" borderId="6" xfId="0" applyNumberFormat="1" applyFont="1" applyFill="1" applyBorder="1" applyAlignment="1">
      <alignment horizontal="center" vertical="center"/>
    </xf>
    <xf numFmtId="164" fontId="0" fillId="0" borderId="4" xfId="0" applyNumberFormat="1" applyFill="1" applyBorder="1" applyAlignment="1">
      <alignment horizontal="center" vertical="center"/>
    </xf>
    <xf numFmtId="164" fontId="3" fillId="0" borderId="20" xfId="0" applyNumberFormat="1" applyFont="1" applyFill="1" applyBorder="1" applyAlignment="1">
      <alignment horizontal="center" vertical="center"/>
    </xf>
    <xf numFmtId="164" fontId="3" fillId="0" borderId="39" xfId="0" applyNumberFormat="1" applyFont="1" applyFill="1" applyBorder="1" applyAlignment="1">
      <alignment horizontal="center" vertical="center"/>
    </xf>
    <xf numFmtId="164" fontId="3" fillId="0" borderId="49" xfId="0" applyNumberFormat="1" applyFont="1" applyFill="1" applyBorder="1" applyAlignment="1">
      <alignment horizontal="center" vertical="center"/>
    </xf>
    <xf numFmtId="164" fontId="3" fillId="0" borderId="8" xfId="0" applyNumberFormat="1" applyFont="1" applyFill="1" applyBorder="1" applyAlignment="1">
      <alignment horizontal="center" vertical="center"/>
    </xf>
    <xf numFmtId="164" fontId="3" fillId="0" borderId="7" xfId="0" applyNumberFormat="1" applyFont="1" applyFill="1" applyBorder="1" applyAlignment="1">
      <alignment horizontal="center" vertical="center"/>
    </xf>
    <xf numFmtId="164" fontId="3" fillId="0" borderId="35" xfId="0" applyNumberFormat="1" applyFont="1" applyFill="1" applyBorder="1" applyAlignment="1">
      <alignment horizontal="center" vertical="center"/>
    </xf>
    <xf numFmtId="164" fontId="3" fillId="0" borderId="21" xfId="0" applyNumberFormat="1" applyFont="1" applyFill="1" applyBorder="1" applyAlignment="1">
      <alignment horizontal="center" vertical="center"/>
    </xf>
    <xf numFmtId="164" fontId="3" fillId="0" borderId="9" xfId="0" applyNumberFormat="1" applyFont="1" applyFill="1" applyBorder="1" applyAlignment="1">
      <alignment horizontal="center" vertical="center"/>
    </xf>
    <xf numFmtId="164" fontId="3" fillId="0" borderId="38" xfId="0" applyNumberFormat="1" applyFont="1" applyFill="1" applyBorder="1" applyAlignment="1">
      <alignment horizontal="center" vertical="center"/>
    </xf>
    <xf numFmtId="164" fontId="3" fillId="0" borderId="51" xfId="0" applyNumberFormat="1" applyFont="1" applyFill="1" applyBorder="1" applyAlignment="1">
      <alignment horizontal="center" vertical="center"/>
    </xf>
    <xf numFmtId="164" fontId="3" fillId="0" borderId="22" xfId="0" applyNumberFormat="1" applyFont="1" applyFill="1" applyBorder="1" applyAlignment="1">
      <alignment horizontal="center" vertical="center"/>
    </xf>
    <xf numFmtId="164" fontId="3" fillId="0" borderId="12" xfId="0" applyNumberFormat="1" applyFont="1" applyFill="1" applyBorder="1" applyAlignment="1">
      <alignment horizontal="center" vertical="center"/>
    </xf>
    <xf numFmtId="164" fontId="3" fillId="0" borderId="15" xfId="0" applyNumberFormat="1" applyFont="1" applyFill="1" applyBorder="1" applyAlignment="1">
      <alignment horizontal="center" vertical="center"/>
    </xf>
    <xf numFmtId="164" fontId="3" fillId="0" borderId="19" xfId="0" applyNumberFormat="1" applyFont="1" applyFill="1" applyBorder="1" applyAlignment="1">
      <alignment horizontal="center" vertical="center"/>
    </xf>
    <xf numFmtId="164" fontId="3" fillId="0" borderId="13" xfId="0" applyNumberFormat="1" applyFont="1" applyFill="1" applyBorder="1" applyAlignment="1">
      <alignment horizontal="center" vertical="center"/>
    </xf>
    <xf numFmtId="164" fontId="3" fillId="0" borderId="1" xfId="0" applyNumberFormat="1" applyFont="1" applyFill="1" applyBorder="1" applyAlignment="1">
      <alignment horizontal="center" vertical="center"/>
    </xf>
    <xf numFmtId="164" fontId="3" fillId="0" borderId="3" xfId="0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164" fontId="0" fillId="0" borderId="52" xfId="0" applyNumberFormat="1" applyFill="1" applyBorder="1" applyAlignment="1">
      <alignment horizontal="center"/>
    </xf>
    <xf numFmtId="164" fontId="0" fillId="0" borderId="53" xfId="0" applyNumberFormat="1" applyFill="1" applyBorder="1" applyAlignment="1">
      <alignment horizontal="center"/>
    </xf>
    <xf numFmtId="164" fontId="0" fillId="0" borderId="10" xfId="0" applyNumberFormat="1" applyFill="1" applyBorder="1" applyAlignment="1">
      <alignment horizontal="center"/>
    </xf>
    <xf numFmtId="164" fontId="0" fillId="0" borderId="1" xfId="0" applyNumberFormat="1" applyFill="1" applyBorder="1" applyAlignment="1">
      <alignment horizontal="center"/>
    </xf>
    <xf numFmtId="164" fontId="0" fillId="0" borderId="11" xfId="0" applyNumberFormat="1" applyFill="1" applyBorder="1" applyAlignment="1">
      <alignment horizontal="center"/>
    </xf>
    <xf numFmtId="164" fontId="0" fillId="0" borderId="3" xfId="0" applyNumberFormat="1" applyFill="1" applyBorder="1" applyAlignment="1">
      <alignment horizontal="center"/>
    </xf>
    <xf numFmtId="164" fontId="3" fillId="0" borderId="23" xfId="0" applyNumberFormat="1" applyFont="1" applyFill="1" applyBorder="1" applyAlignment="1">
      <alignment horizontal="center" vertical="center"/>
    </xf>
    <xf numFmtId="164" fontId="3" fillId="0" borderId="40" xfId="0" applyNumberFormat="1" applyFont="1" applyFill="1" applyBorder="1" applyAlignment="1">
      <alignment horizontal="center" vertical="center"/>
    </xf>
    <xf numFmtId="164" fontId="3" fillId="0" borderId="37" xfId="0" applyNumberFormat="1" applyFont="1" applyFill="1" applyBorder="1" applyAlignment="1">
      <alignment horizontal="center" vertical="center"/>
    </xf>
    <xf numFmtId="164" fontId="3" fillId="0" borderId="41" xfId="0" applyNumberFormat="1" applyFont="1" applyFill="1" applyBorder="1" applyAlignment="1">
      <alignment horizontal="center" vertical="center"/>
    </xf>
    <xf numFmtId="0" fontId="15" fillId="0" borderId="0" xfId="0" applyFont="1" applyFill="1" applyAlignment="1"/>
    <xf numFmtId="0" fontId="0" fillId="0" borderId="0" xfId="0" applyFill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0" fontId="16" fillId="0" borderId="0" xfId="0" applyFont="1" applyFill="1"/>
    <xf numFmtId="0" fontId="16" fillId="0" borderId="0" xfId="0" applyFont="1" applyFill="1" applyBorder="1" applyAlignment="1">
      <alignment horizontal="left" vertical="center"/>
    </xf>
    <xf numFmtId="15" fontId="0" fillId="0" borderId="0" xfId="0" applyNumberFormat="1"/>
    <xf numFmtId="0" fontId="0" fillId="2" borderId="0" xfId="0" applyFill="1"/>
    <xf numFmtId="0" fontId="0" fillId="5" borderId="1" xfId="0" applyFill="1" applyBorder="1"/>
    <xf numFmtId="9" fontId="1" fillId="5" borderId="1" xfId="0" applyNumberFormat="1" applyFont="1" applyFill="1" applyBorder="1" applyAlignment="1">
      <alignment horizontal="center"/>
    </xf>
    <xf numFmtId="0" fontId="1" fillId="5" borderId="1" xfId="0" applyFont="1" applyFill="1" applyBorder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6" fillId="0" borderId="30" xfId="1" applyFont="1" applyFill="1" applyBorder="1" applyAlignment="1">
      <alignment horizontal="left" vertical="center"/>
    </xf>
    <xf numFmtId="164" fontId="3" fillId="0" borderId="42" xfId="0" applyNumberFormat="1" applyFont="1" applyFill="1" applyBorder="1" applyAlignment="1">
      <alignment horizontal="center" vertical="center"/>
    </xf>
    <xf numFmtId="164" fontId="3" fillId="0" borderId="44" xfId="0" applyNumberFormat="1" applyFont="1" applyFill="1" applyBorder="1" applyAlignment="1">
      <alignment horizontal="center" vertical="center"/>
    </xf>
    <xf numFmtId="164" fontId="3" fillId="0" borderId="45" xfId="0" applyNumberFormat="1" applyFont="1" applyFill="1" applyBorder="1" applyAlignment="1">
      <alignment horizontal="center" vertical="center"/>
    </xf>
    <xf numFmtId="164" fontId="0" fillId="0" borderId="44" xfId="0" applyNumberFormat="1" applyFill="1" applyBorder="1" applyAlignment="1">
      <alignment horizontal="center" vertical="center"/>
    </xf>
    <xf numFmtId="0" fontId="0" fillId="0" borderId="20" xfId="0" applyBorder="1"/>
    <xf numFmtId="0" fontId="0" fillId="0" borderId="8" xfId="0" applyBorder="1"/>
    <xf numFmtId="0" fontId="0" fillId="0" borderId="9" xfId="0" applyBorder="1"/>
    <xf numFmtId="2" fontId="3" fillId="0" borderId="20" xfId="0" applyNumberFormat="1" applyFont="1" applyFill="1" applyBorder="1" applyAlignment="1">
      <alignment horizontal="center" vertical="center"/>
    </xf>
    <xf numFmtId="2" fontId="3" fillId="0" borderId="8" xfId="0" applyNumberFormat="1" applyFont="1" applyFill="1" applyBorder="1" applyAlignment="1">
      <alignment horizontal="center" vertical="center"/>
    </xf>
    <xf numFmtId="2" fontId="3" fillId="0" borderId="9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164" fontId="3" fillId="0" borderId="0" xfId="0" applyNumberFormat="1" applyFont="1" applyFill="1" applyAlignment="1">
      <alignment horizontal="center" vertical="center"/>
    </xf>
    <xf numFmtId="164" fontId="3" fillId="0" borderId="0" xfId="0" applyNumberFormat="1" applyFont="1" applyFill="1"/>
    <xf numFmtId="2" fontId="0" fillId="0" borderId="0" xfId="0" applyNumberFormat="1"/>
    <xf numFmtId="0" fontId="0" fillId="0" borderId="0" xfId="0" applyFill="1" applyBorder="1"/>
    <xf numFmtId="0" fontId="0" fillId="0" borderId="0" xfId="0" applyFill="1" applyBorder="1" applyAlignment="1">
      <alignment vertical="center"/>
    </xf>
    <xf numFmtId="0" fontId="1" fillId="6" borderId="32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1" fillId="7" borderId="59" xfId="0" applyFont="1" applyFill="1" applyBorder="1" applyAlignment="1">
      <alignment horizontal="center" vertical="center" wrapText="1"/>
    </xf>
    <xf numFmtId="0" fontId="3" fillId="0" borderId="8" xfId="0" applyFont="1" applyFill="1" applyBorder="1" applyAlignment="1">
      <alignment horizontal="center" vertical="center"/>
    </xf>
    <xf numFmtId="2" fontId="3" fillId="0" borderId="30" xfId="0" applyNumberFormat="1" applyFont="1" applyFill="1" applyBorder="1" applyAlignment="1">
      <alignment horizontal="center" vertical="center"/>
    </xf>
    <xf numFmtId="0" fontId="23" fillId="0" borderId="0" xfId="0" applyFont="1" applyFill="1"/>
    <xf numFmtId="0" fontId="24" fillId="0" borderId="0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13" fillId="0" borderId="0" xfId="0" applyFont="1" applyFill="1" applyAlignment="1">
      <alignment horizontal="left"/>
    </xf>
    <xf numFmtId="0" fontId="15" fillId="0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17" fillId="4" borderId="1" xfId="0" applyFont="1" applyFill="1" applyBorder="1" applyAlignment="1">
      <alignment horizontal="center"/>
    </xf>
    <xf numFmtId="0" fontId="5" fillId="0" borderId="28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4" fillId="0" borderId="31" xfId="1" applyFont="1" applyFill="1" applyBorder="1" applyAlignment="1">
      <alignment horizontal="center" vertical="center"/>
    </xf>
    <xf numFmtId="0" fontId="4" fillId="0" borderId="32" xfId="1" applyFont="1" applyFill="1" applyBorder="1" applyAlignment="1">
      <alignment horizontal="center" vertical="center"/>
    </xf>
    <xf numFmtId="0" fontId="4" fillId="0" borderId="38" xfId="1" applyFont="1" applyFill="1" applyBorder="1" applyAlignment="1">
      <alignment horizontal="center" vertical="center"/>
    </xf>
    <xf numFmtId="0" fontId="1" fillId="6" borderId="31" xfId="0" applyFont="1" applyFill="1" applyBorder="1" applyAlignment="1">
      <alignment horizontal="center" vertical="center" wrapText="1"/>
    </xf>
    <xf numFmtId="0" fontId="1" fillId="6" borderId="32" xfId="0" applyFont="1" applyFill="1" applyBorder="1" applyAlignment="1">
      <alignment horizontal="center" vertical="center" wrapText="1"/>
    </xf>
    <xf numFmtId="0" fontId="1" fillId="6" borderId="38" xfId="0" applyFont="1" applyFill="1" applyBorder="1" applyAlignment="1">
      <alignment horizontal="center" vertical="center" wrapText="1"/>
    </xf>
    <xf numFmtId="0" fontId="1" fillId="0" borderId="33" xfId="0" applyFont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 wrapText="1"/>
    </xf>
    <xf numFmtId="0" fontId="1" fillId="0" borderId="35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5" fillId="0" borderId="29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 wrapText="1"/>
    </xf>
    <xf numFmtId="0" fontId="1" fillId="0" borderId="49" xfId="0" applyFont="1" applyBorder="1" applyAlignment="1">
      <alignment horizontal="center" vertical="center" wrapText="1"/>
    </xf>
    <xf numFmtId="164" fontId="1" fillId="0" borderId="39" xfId="0" applyNumberFormat="1" applyFont="1" applyBorder="1" applyAlignment="1">
      <alignment horizontal="center" vertical="center" wrapText="1"/>
    </xf>
    <xf numFmtId="164" fontId="1" fillId="0" borderId="49" xfId="0" applyNumberFormat="1" applyFont="1" applyBorder="1" applyAlignment="1">
      <alignment horizontal="center" vertical="center" wrapText="1"/>
    </xf>
    <xf numFmtId="0" fontId="1" fillId="7" borderId="31" xfId="0" applyFont="1" applyFill="1" applyBorder="1" applyAlignment="1">
      <alignment horizontal="center" vertical="center" wrapText="1"/>
    </xf>
    <xf numFmtId="0" fontId="1" fillId="7" borderId="32" xfId="0" applyFont="1" applyFill="1" applyBorder="1" applyAlignment="1">
      <alignment horizontal="center" vertical="center" wrapText="1"/>
    </xf>
    <xf numFmtId="0" fontId="1" fillId="7" borderId="38" xfId="0" applyFont="1" applyFill="1" applyBorder="1" applyAlignment="1">
      <alignment horizontal="center" vertical="center" wrapText="1"/>
    </xf>
    <xf numFmtId="0" fontId="1" fillId="0" borderId="53" xfId="0" applyFont="1" applyBorder="1" applyAlignment="1">
      <alignment horizontal="center" vertical="center" wrapText="1"/>
    </xf>
    <xf numFmtId="0" fontId="1" fillId="0" borderId="56" xfId="0" applyFont="1" applyBorder="1" applyAlignment="1">
      <alignment horizontal="center" vertical="center" wrapText="1"/>
    </xf>
    <xf numFmtId="0" fontId="1" fillId="0" borderId="36" xfId="0" applyFont="1" applyBorder="1" applyAlignment="1">
      <alignment horizontal="center" vertical="center" wrapText="1"/>
    </xf>
    <xf numFmtId="0" fontId="1" fillId="0" borderId="52" xfId="0" applyFont="1" applyBorder="1" applyAlignment="1">
      <alignment horizontal="center" vertical="center" wrapText="1"/>
    </xf>
    <xf numFmtId="0" fontId="1" fillId="0" borderId="54" xfId="0" applyFont="1" applyBorder="1" applyAlignment="1">
      <alignment horizontal="center" vertical="center" wrapText="1"/>
    </xf>
    <xf numFmtId="0" fontId="1" fillId="0" borderId="50" xfId="0" applyFont="1" applyBorder="1" applyAlignment="1">
      <alignment horizontal="center" vertical="center" wrapText="1"/>
    </xf>
    <xf numFmtId="0" fontId="1" fillId="0" borderId="55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164" fontId="1" fillId="0" borderId="52" xfId="0" applyNumberFormat="1" applyFont="1" applyBorder="1" applyAlignment="1">
      <alignment horizontal="center" vertical="center" wrapText="1"/>
    </xf>
    <xf numFmtId="164" fontId="1" fillId="0" borderId="56" xfId="0" applyNumberFormat="1" applyFont="1" applyBorder="1" applyAlignment="1">
      <alignment horizontal="center" vertical="center" wrapText="1"/>
    </xf>
    <xf numFmtId="164" fontId="1" fillId="0" borderId="33" xfId="0" applyNumberFormat="1" applyFont="1" applyBorder="1" applyAlignment="1">
      <alignment horizontal="center" vertical="center" wrapText="1"/>
    </xf>
    <xf numFmtId="164" fontId="1" fillId="0" borderId="36" xfId="0" applyNumberFormat="1" applyFont="1" applyBorder="1" applyAlignment="1">
      <alignment horizontal="center" vertical="center" wrapText="1"/>
    </xf>
    <xf numFmtId="164" fontId="1" fillId="0" borderId="34" xfId="0" applyNumberFormat="1" applyFont="1" applyBorder="1" applyAlignment="1">
      <alignment horizontal="center" vertical="center" wrapText="1"/>
    </xf>
    <xf numFmtId="164" fontId="1" fillId="0" borderId="54" xfId="0" applyNumberFormat="1" applyFont="1" applyBorder="1" applyAlignment="1">
      <alignment horizontal="center" vertical="center" wrapText="1"/>
    </xf>
    <xf numFmtId="0" fontId="4" fillId="0" borderId="7" xfId="1" applyFont="1" applyFill="1" applyBorder="1" applyAlignment="1">
      <alignment horizontal="center" vertical="center"/>
    </xf>
    <xf numFmtId="0" fontId="4" fillId="0" borderId="8" xfId="1" applyFont="1" applyFill="1" applyBorder="1" applyAlignment="1">
      <alignment horizontal="center" vertical="center"/>
    </xf>
    <xf numFmtId="0" fontId="4" fillId="0" borderId="30" xfId="1" applyFont="1" applyFill="1" applyBorder="1" applyAlignment="1">
      <alignment horizontal="center" vertical="center"/>
    </xf>
    <xf numFmtId="0" fontId="4" fillId="0" borderId="9" xfId="1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 wrapText="1"/>
    </xf>
    <xf numFmtId="0" fontId="1" fillId="0" borderId="57" xfId="0" applyFont="1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 wrapText="1"/>
    </xf>
    <xf numFmtId="164" fontId="1" fillId="0" borderId="18" xfId="0" applyNumberFormat="1" applyFont="1" applyBorder="1" applyAlignment="1">
      <alignment horizontal="center" vertical="center" wrapText="1"/>
    </xf>
    <xf numFmtId="0" fontId="4" fillId="0" borderId="20" xfId="1" applyFont="1" applyFill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164" fontId="3" fillId="8" borderId="2" xfId="0" applyNumberFormat="1" applyFont="1" applyFill="1" applyBorder="1" applyAlignment="1">
      <alignment horizontal="center" vertical="center"/>
    </xf>
  </cellXfs>
  <cellStyles count="4">
    <cellStyle name="Hyperlink" xfId="3" builtinId="8"/>
    <cellStyle name="Normal" xfId="0" builtinId="0"/>
    <cellStyle name="Normal 2" xfId="1" xr:uid="{00000000-0005-0000-0000-000002000000}"/>
    <cellStyle name="Normal 2 2 2" xfId="2" xr:uid="{00000000-0005-0000-0000-000003000000}"/>
  </cellStyles>
  <dxfs count="8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9525</xdr:rowOff>
        </xdr:from>
        <xdr:to>
          <xdr:col>4</xdr:col>
          <xdr:colOff>1743075</xdr:colOff>
          <xdr:row>4</xdr:row>
          <xdr:rowOff>57150</xdr:rowOff>
        </xdr:to>
        <xdr:sp macro="" textlink="">
          <xdr:nvSpPr>
            <xdr:cNvPr id="6147" name="ComboBox1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9</xdr:row>
          <xdr:rowOff>0</xdr:rowOff>
        </xdr:from>
        <xdr:to>
          <xdr:col>4</xdr:col>
          <xdr:colOff>1752600</xdr:colOff>
          <xdr:row>10</xdr:row>
          <xdr:rowOff>76200</xdr:rowOff>
        </xdr:to>
        <xdr:sp macro="" textlink="">
          <xdr:nvSpPr>
            <xdr:cNvPr id="6151" name="ComboBox2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11</xdr:row>
          <xdr:rowOff>38100</xdr:rowOff>
        </xdr:from>
        <xdr:to>
          <xdr:col>4</xdr:col>
          <xdr:colOff>1533525</xdr:colOff>
          <xdr:row>15</xdr:row>
          <xdr:rowOff>180975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CAPACITY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12</xdr:row>
          <xdr:rowOff>85725</xdr:rowOff>
        </xdr:from>
        <xdr:to>
          <xdr:col>2</xdr:col>
          <xdr:colOff>561975</xdr:colOff>
          <xdr:row>13</xdr:row>
          <xdr:rowOff>152400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28575</xdr:colOff>
      <xdr:row>1</xdr:row>
      <xdr:rowOff>200024</xdr:rowOff>
    </xdr:from>
    <xdr:to>
      <xdr:col>5</xdr:col>
      <xdr:colOff>542925</xdr:colOff>
      <xdr:row>3</xdr:row>
      <xdr:rowOff>180974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0800000">
          <a:off x="4219575" y="657224"/>
          <a:ext cx="514350" cy="180975"/>
        </a:xfrm>
        <a:prstGeom prst="righ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28575</xdr:colOff>
      <xdr:row>9</xdr:row>
      <xdr:rowOff>57150</xdr:rowOff>
    </xdr:from>
    <xdr:to>
      <xdr:col>5</xdr:col>
      <xdr:colOff>542925</xdr:colOff>
      <xdr:row>10</xdr:row>
      <xdr:rowOff>47625</xdr:rowOff>
    </xdr:to>
    <xdr:sp macro="" textlink="">
      <xdr:nvSpPr>
        <xdr:cNvPr id="9" name="Right Arrow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 rot="10800000">
          <a:off x="4219575" y="1676400"/>
          <a:ext cx="514350" cy="180975"/>
        </a:xfrm>
        <a:prstGeom prst="righ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12</xdr:col>
      <xdr:colOff>9525</xdr:colOff>
      <xdr:row>0</xdr:row>
      <xdr:rowOff>295275</xdr:rowOff>
    </xdr:from>
    <xdr:to>
      <xdr:col>19</xdr:col>
      <xdr:colOff>286893</xdr:colOff>
      <xdr:row>12</xdr:row>
      <xdr:rowOff>85979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7725" y="295275"/>
          <a:ext cx="4544568" cy="19751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AppData/Local/Microsoft/Windows/INetCache/Content.Outlook/AppData/Engineering%20Applications/Other%20Stuff/Blend%20Data%20From%20Lab.xlsm" TargetMode="Externa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87"/>
  <sheetViews>
    <sheetView zoomScaleNormal="100" workbookViewId="0">
      <selection activeCell="F1" sqref="F1"/>
    </sheetView>
  </sheetViews>
  <sheetFormatPr defaultRowHeight="15" customHeight="1"/>
  <cols>
    <col min="5" max="5" width="26.28515625" customWidth="1"/>
    <col min="6" max="8" width="9.140625" customWidth="1"/>
    <col min="12" max="14" width="9.140625" customWidth="1"/>
  </cols>
  <sheetData>
    <row r="1" spans="1:26" ht="36">
      <c r="A1" s="185" t="s">
        <v>119</v>
      </c>
      <c r="B1" s="185"/>
      <c r="C1" s="185"/>
      <c r="D1" s="185"/>
      <c r="E1" s="185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.75">
      <c r="A2" s="186" t="s">
        <v>120</v>
      </c>
      <c r="B2" s="186"/>
      <c r="C2" s="186"/>
      <c r="D2" s="186"/>
      <c r="E2" s="186"/>
      <c r="F2" s="146"/>
      <c r="G2" s="146"/>
      <c r="H2" s="146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5" hidden="1" customHeight="1">
      <c r="A3" s="1"/>
      <c r="B3" s="182" t="s">
        <v>104</v>
      </c>
      <c r="C3" s="1"/>
      <c r="D3" s="1"/>
      <c r="E3" s="1"/>
      <c r="F3" s="1"/>
      <c r="G3" s="147"/>
      <c r="H3" s="147"/>
      <c r="I3" s="147"/>
      <c r="J3" s="147"/>
      <c r="K3" s="147"/>
      <c r="L3" s="147"/>
      <c r="M3" s="1">
        <f>MATCH(B3,'Stationary bulk equipment'!A8:A104,0)</f>
        <v>4</v>
      </c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5" customHeight="1">
      <c r="A4" s="185"/>
      <c r="B4" s="185"/>
      <c r="C4" s="185"/>
      <c r="D4" s="185"/>
      <c r="E4" s="185"/>
      <c r="F4" s="1"/>
      <c r="G4" s="184" t="s">
        <v>142</v>
      </c>
      <c r="H4" s="184"/>
      <c r="I4" s="184"/>
      <c r="J4" s="184"/>
      <c r="K4" s="184"/>
      <c r="L4" s="184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5.75">
      <c r="A5" s="1"/>
      <c r="B5" s="1"/>
      <c r="C5" s="1"/>
      <c r="D5" s="1"/>
      <c r="E5" s="1"/>
      <c r="F5" s="146"/>
      <c r="G5" s="184"/>
      <c r="H5" s="184"/>
      <c r="I5" s="184"/>
      <c r="J5" s="184"/>
      <c r="K5" s="184"/>
      <c r="L5" s="184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hidden="1" customHeight="1">
      <c r="A6" s="1"/>
      <c r="B6" s="148" t="s">
        <v>140</v>
      </c>
      <c r="C6" s="1"/>
      <c r="D6" s="1"/>
      <c r="E6" s="1"/>
      <c r="F6" s="1"/>
      <c r="G6" s="184"/>
      <c r="H6" s="184"/>
      <c r="I6" s="184"/>
      <c r="J6" s="184"/>
      <c r="K6" s="184"/>
      <c r="L6" s="184"/>
      <c r="M6" s="1">
        <f>IF(OR($B$6='Blends and Vessels List'!H11,$B$6='Blends and Vessels List'!H12,$B$6='Blends and Vessels List'!H13,$B$6='Blends and Vessels List'!H14,$B$6='Blends and Vessels List'!H15),MATCH('Input Sheet'!$B$6,'Stationary bulk equipment'!C2:L2,0),IF(OR($B$6='Blends and Vessels List'!H5,'Input Sheet'!$B$6='Blends and Vessels List'!H6,'Input Sheet'!$B$6='Blends and Vessels List'!H16),MATCH('Input Sheet'!$B$6,'Weigh silo &amp; blend train'!C3:R3,0),IF(OR('Input Sheet'!$B$6='Blends and Vessels List'!H2,'Input Sheet'!$B$6='Blends and Vessels List'!H3,'Input Sheet'!$B$6='Blends and Vessels List'!H4),MATCH($B$6,'Transport bulk equipment'!C2:Z2,0) + 4, IF(OR($B$6='Blends and Vessels List'!H7,'Input Sheet'!$B$6='Blends and Vessels List'!H8,'Input Sheet'!$B$6='Blends and Vessels List'!H10),MATCH('Input Sheet'!B6,'Transport bulk equipment'!C2:Z2,0), IF($B$6='Blends and Vessels List'!H9,MATCH('Input Sheet'!$B$6,'Transport bulk equipment'!C2:Z2,0) -1,0)))))</f>
        <v>17</v>
      </c>
      <c r="N6" s="1" t="str">
        <f>IF(OR($B$6='Blends and Vessels List'!H11,'Input Sheet'!$B$6='Blends and Vessels List'!H12,'Input Sheet'!$B$6='Blends and Vessels List'!H13,'Input Sheet'!$B$6='Blends and Vessels List'!H14,'Input Sheet'!$B$6='Blends and Vessels List'!H15),"Stationary bulk equipment",IF(OR($B$6='Blends and Vessels List'!H5,'Input Sheet'!$B$6='Blends and Vessels List'!H6,'Input Sheet'!$B$6='Blends and Vessels List'!H16),"Weigh silo &amp; blend train",IF(OR($B$6='Blends and Vessels List'!H2,'Input Sheet'!$B$6='Blends and Vessels List'!H3,'Input Sheet'!$B$6='Blends and Vessels List'!H4,'Input Sheet'!$B$6='Blends and Vessels List'!H7,'Input Sheet'!$B$6='Blends and Vessels List'!H8,'Input Sheet'!$B$6='Blends and Vessels List'!H9,'Input Sheet'!$B$6='Blends and Vessels List'!H10),"Transport bulk equipment",0)))</f>
        <v>Transport bulk equipment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5" customHeight="1">
      <c r="A7" s="185" t="s">
        <v>143</v>
      </c>
      <c r="B7" s="185"/>
      <c r="C7" s="185"/>
      <c r="D7" s="185"/>
      <c r="E7" s="185"/>
      <c r="F7" s="1"/>
      <c r="G7" s="184"/>
      <c r="H7" s="184"/>
      <c r="I7" s="184"/>
      <c r="J7" s="184"/>
      <c r="K7" s="184"/>
      <c r="L7" s="184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5" customHeight="1">
      <c r="A8" s="185"/>
      <c r="B8" s="185"/>
      <c r="C8" s="185"/>
      <c r="D8" s="185"/>
      <c r="E8" s="185"/>
      <c r="F8" s="1"/>
      <c r="G8" s="184"/>
      <c r="H8" s="184"/>
      <c r="I8" s="184"/>
      <c r="J8" s="184"/>
      <c r="K8" s="184"/>
      <c r="L8" s="184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5" customHeight="1">
      <c r="A9" s="186" t="s">
        <v>141</v>
      </c>
      <c r="B9" s="186"/>
      <c r="C9" s="186"/>
      <c r="D9" s="186"/>
      <c r="E9" s="186"/>
      <c r="F9" s="1"/>
      <c r="G9" s="184"/>
      <c r="H9" s="184"/>
      <c r="I9" s="184"/>
      <c r="J9" s="184"/>
      <c r="K9" s="184"/>
      <c r="L9" s="184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5" customHeight="1">
      <c r="A10" s="1"/>
      <c r="B10" s="148"/>
      <c r="C10" s="1"/>
      <c r="D10" s="1"/>
      <c r="E10" s="1"/>
      <c r="F10" s="1"/>
      <c r="G10" s="184"/>
      <c r="H10" s="184"/>
      <c r="I10" s="184"/>
      <c r="J10" s="184"/>
      <c r="K10" s="184"/>
      <c r="L10" s="184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5" customHeight="1">
      <c r="A11" s="1"/>
      <c r="B11" s="148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5" customHeight="1">
      <c r="A12" s="1"/>
      <c r="B12" s="14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5" customHeight="1">
      <c r="A13" s="1"/>
      <c r="B13" s="148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5" customHeight="1">
      <c r="A14" s="1"/>
      <c r="B14" s="148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5" customHeight="1">
      <c r="A15" s="1"/>
      <c r="B15" s="14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5" customHeight="1">
      <c r="A16" s="1"/>
      <c r="B16" s="148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5" customHeight="1">
      <c r="A17" s="1"/>
      <c r="B17" s="148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23.25">
      <c r="A18" s="149" t="s">
        <v>168</v>
      </c>
      <c r="B18" s="148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23.25">
      <c r="A19" s="1"/>
      <c r="B19" s="149" t="s">
        <v>169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23.25">
      <c r="A21" s="149" t="s">
        <v>170</v>
      </c>
      <c r="B21" s="148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23.25">
      <c r="A22" s="1"/>
      <c r="B22" s="150" t="s">
        <v>171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3.25">
      <c r="A23" s="1"/>
      <c r="B23" s="150" t="s">
        <v>172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" customHeight="1">
      <c r="A24" s="1"/>
      <c r="B24" s="148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" customHeight="1">
      <c r="A25" s="1"/>
      <c r="B25" s="148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" customHeight="1">
      <c r="A26" s="181" t="s">
        <v>189</v>
      </c>
      <c r="B26" s="148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" customHeight="1">
      <c r="A27" s="1"/>
      <c r="B27" s="148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" customHeight="1">
      <c r="A28" s="1"/>
      <c r="B28" s="148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" customHeight="1">
      <c r="A29" s="1"/>
      <c r="B29" s="148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" customHeight="1">
      <c r="A30" s="1"/>
      <c r="B30" s="148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" customHeight="1">
      <c r="A31" s="1"/>
      <c r="B31" s="148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" customHeight="1">
      <c r="A32" s="1"/>
      <c r="B32" s="148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" customHeight="1">
      <c r="A33" s="1"/>
      <c r="B33" s="148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" customHeight="1">
      <c r="A34" s="1"/>
      <c r="B34" s="148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" customHeight="1">
      <c r="A35" s="1"/>
      <c r="B35" s="148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" customHeight="1">
      <c r="A36" s="1"/>
      <c r="B36" s="148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" customHeight="1">
      <c r="A37" s="1"/>
      <c r="B37" s="148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" customHeight="1">
      <c r="A38" s="1"/>
      <c r="B38" s="148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" customHeight="1">
      <c r="A39" s="1"/>
      <c r="B39" s="148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" customHeight="1">
      <c r="A40" s="1"/>
      <c r="B40" s="148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" customHeight="1">
      <c r="A41" s="1"/>
      <c r="B41" s="148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" customHeight="1">
      <c r="A42" s="1"/>
      <c r="B42" s="148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" customHeight="1">
      <c r="A43" s="1"/>
      <c r="B43" s="148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" customHeight="1">
      <c r="A44" s="1"/>
      <c r="B44" s="148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" customHeight="1">
      <c r="A45" s="1"/>
      <c r="B45" s="148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" customHeight="1">
      <c r="A46" s="1"/>
      <c r="B46" s="148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" customHeight="1">
      <c r="A47" s="1"/>
      <c r="B47" s="148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" customHeight="1">
      <c r="A48" s="1"/>
      <c r="B48" s="148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" customHeight="1">
      <c r="A49" s="1"/>
      <c r="B49" s="148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" customHeight="1">
      <c r="A50" s="1"/>
      <c r="B50" s="148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" customHeight="1">
      <c r="A51" s="1"/>
      <c r="B51" s="148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" customHeight="1">
      <c r="A52" s="1"/>
      <c r="B52" s="148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" customHeight="1">
      <c r="A53" s="1"/>
      <c r="B53" s="148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" customHeight="1">
      <c r="A54" s="1"/>
      <c r="B54" s="148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" customHeight="1">
      <c r="A55" s="1"/>
      <c r="B55" s="148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" customHeight="1">
      <c r="A56" s="1"/>
      <c r="B56" s="148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" customHeight="1">
      <c r="A57" s="1"/>
      <c r="B57" s="148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" customHeight="1">
      <c r="A58" s="1"/>
      <c r="B58" s="148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" customHeight="1">
      <c r="A59" s="1"/>
      <c r="B59" s="148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" customHeight="1">
      <c r="A60" s="1"/>
      <c r="B60" s="148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" customHeight="1">
      <c r="A61" s="1"/>
      <c r="B61" s="148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" customHeight="1">
      <c r="A62" s="1"/>
      <c r="B62" s="148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" customHeight="1">
      <c r="A63" s="1"/>
      <c r="B63" s="148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" customHeight="1">
      <c r="A64" s="1"/>
      <c r="B64" s="148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" customHeight="1">
      <c r="A65" s="1"/>
      <c r="B65" s="148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" customHeight="1">
      <c r="A66" s="1"/>
      <c r="B66" s="148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" customHeight="1">
      <c r="A67" s="1"/>
      <c r="B67" s="148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" customHeight="1">
      <c r="A68" s="1"/>
      <c r="B68" s="148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" customHeight="1">
      <c r="A69" s="1"/>
      <c r="B69" s="148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" customHeight="1">
      <c r="A70" s="1"/>
      <c r="B70" s="148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" customHeight="1">
      <c r="A71" s="1"/>
      <c r="B71" s="148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" customHeight="1">
      <c r="A72" s="1"/>
      <c r="B72" s="148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" customHeight="1">
      <c r="A73" s="1"/>
      <c r="B73" s="148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" customHeight="1">
      <c r="A74" s="1"/>
      <c r="B74" s="148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" customHeight="1">
      <c r="A75" s="1"/>
      <c r="B75" s="148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" customHeight="1">
      <c r="A76" s="1"/>
      <c r="B76" s="148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" customHeight="1">
      <c r="A77" s="1"/>
      <c r="B77" s="148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" customHeight="1">
      <c r="A78" s="1"/>
      <c r="B78" s="148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" customHeight="1">
      <c r="A79" s="1"/>
      <c r="B79" s="148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" customHeight="1">
      <c r="A80" s="1"/>
      <c r="B80" s="148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2:2" ht="15" customHeight="1">
      <c r="B81" s="86"/>
    </row>
    <row r="82" spans="2:2" ht="15" customHeight="1">
      <c r="B82" s="86"/>
    </row>
    <row r="83" spans="2:2" ht="15" customHeight="1">
      <c r="B83" s="86"/>
    </row>
    <row r="84" spans="2:2" ht="15" customHeight="1">
      <c r="B84" s="86"/>
    </row>
    <row r="85" spans="2:2" ht="15" customHeight="1">
      <c r="B85" s="86"/>
    </row>
    <row r="86" spans="2:2" ht="15" customHeight="1">
      <c r="B86" s="86"/>
    </row>
    <row r="87" spans="2:2" ht="15" customHeight="1">
      <c r="B87" s="86"/>
    </row>
  </sheetData>
  <mergeCells count="6">
    <mergeCell ref="G4:L10"/>
    <mergeCell ref="A1:E1"/>
    <mergeCell ref="A4:E4"/>
    <mergeCell ref="A2:E2"/>
    <mergeCell ref="A9:E9"/>
    <mergeCell ref="A7:E8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7" r:id="rId4" name="ComboBox1">
          <controlPr autoLine="0" linkedCell="B3" listFillRange="DropDownList" r:id="rId5">
            <anchor moveWithCells="1">
              <from>
                <xdr:col>0</xdr:col>
                <xdr:colOff>28575</xdr:colOff>
                <xdr:row>3</xdr:row>
                <xdr:rowOff>9525</xdr:rowOff>
              </from>
              <to>
                <xdr:col>4</xdr:col>
                <xdr:colOff>1743075</xdr:colOff>
                <xdr:row>4</xdr:row>
                <xdr:rowOff>57150</xdr:rowOff>
              </to>
            </anchor>
          </controlPr>
        </control>
      </mc:Choice>
      <mc:Fallback>
        <control shapeId="6147" r:id="rId4" name="ComboBox1"/>
      </mc:Fallback>
    </mc:AlternateContent>
    <mc:AlternateContent xmlns:mc="http://schemas.openxmlformats.org/markup-compatibility/2006">
      <mc:Choice Requires="x14">
        <control shapeId="6151" r:id="rId6" name="ComboBox2">
          <controlPr autoLine="0" linkedCell="B6" listFillRange="VesselList" r:id="rId7">
            <anchor moveWithCells="1">
              <from>
                <xdr:col>0</xdr:col>
                <xdr:colOff>28575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76200</xdr:rowOff>
              </to>
            </anchor>
          </controlPr>
        </control>
      </mc:Choice>
      <mc:Fallback>
        <control shapeId="6151" r:id="rId6" name="ComboBox2"/>
      </mc:Fallback>
    </mc:AlternateContent>
    <mc:AlternateContent xmlns:mc="http://schemas.openxmlformats.org/markup-compatibility/2006">
      <mc:Choice Requires="x14">
        <control shapeId="6153" r:id="rId8" name="Button 9">
          <controlPr defaultSize="0" print="0" autoFill="0" autoPict="0" macro="[0]!ShowCapacity">
            <anchor moveWithCells="1" sizeWithCells="1">
              <from>
                <xdr:col>4</xdr:col>
                <xdr:colOff>161925</xdr:colOff>
                <xdr:row>11</xdr:row>
                <xdr:rowOff>38100</xdr:rowOff>
              </from>
              <to>
                <xdr:col>4</xdr:col>
                <xdr:colOff>1533525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4" r:id="rId9" name="Button 10">
          <controlPr defaultSize="0" print="0" autoFill="0" autoPict="0" macro="[0]!Sheet1.ClearComboBoxes">
            <anchor moveWithCells="1" sizeWithCells="1">
              <from>
                <xdr:col>1</xdr:col>
                <xdr:colOff>104775</xdr:colOff>
                <xdr:row>12</xdr:row>
                <xdr:rowOff>85725</xdr:rowOff>
              </from>
              <to>
                <xdr:col>2</xdr:col>
                <xdr:colOff>561975</xdr:colOff>
                <xdr:row>13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K98"/>
  <sheetViews>
    <sheetView workbookViewId="0">
      <selection activeCell="F26" sqref="F26"/>
    </sheetView>
  </sheetViews>
  <sheetFormatPr defaultRowHeight="15"/>
  <cols>
    <col min="1" max="1" width="26.42578125" bestFit="1" customWidth="1"/>
    <col min="8" max="8" width="24.85546875" bestFit="1" customWidth="1"/>
  </cols>
  <sheetData>
    <row r="1" spans="1:11" ht="15.75" thickBot="1">
      <c r="A1" s="87" t="s">
        <v>118</v>
      </c>
      <c r="H1" s="87" t="s">
        <v>121</v>
      </c>
    </row>
    <row r="2" spans="1:11" ht="15.75" customHeight="1" thickBot="1">
      <c r="A2" t="s">
        <v>60</v>
      </c>
      <c r="B2" s="85">
        <f>--ISNUMBER(IFERROR(SEARCH('Input Sheet'!$B$3,A2,1),""))</f>
        <v>0</v>
      </c>
      <c r="C2" s="85" t="str">
        <f>IF(B2=1,COUNTIF($B$2:B2,1),"")</f>
        <v/>
      </c>
      <c r="D2" s="85" t="str">
        <f>IFERROR(INDEX($A$2:$A$98,MATCH(ROWS($C$2:C2),$C$2:$C$98,0)),"")</f>
        <v>0:1:0 Whipstock</v>
      </c>
      <c r="H2" t="s">
        <v>134</v>
      </c>
      <c r="I2" s="85">
        <f>--ISNUMBER(IFERROR(SEARCH('Input Sheet'!$B$6,H2,1),""))</f>
        <v>0</v>
      </c>
      <c r="J2" s="85" t="str">
        <f>IF(I2=1,COUNTIF($I$2:I2,1),"")</f>
        <v/>
      </c>
      <c r="K2" s="85" t="str">
        <f>IFERROR(INDEX($H$2:$H$16,MATCH(ROWS($J$2:J2),$J$2:$J$16,0)),"")</f>
        <v>B Train LBT</v>
      </c>
    </row>
    <row r="3" spans="1:11" ht="15.75" thickBot="1">
      <c r="A3" t="s">
        <v>61</v>
      </c>
      <c r="B3" s="85">
        <f>--ISNUMBER(IFERROR(SEARCH('Input Sheet'!$B$3,A3,1),""))</f>
        <v>0</v>
      </c>
      <c r="C3" s="85" t="str">
        <f>IF(B3=1,COUNTIF($B$2:B3,1),"")</f>
        <v/>
      </c>
      <c r="D3" s="85" t="str">
        <f>IFERROR(INDEX($A$2:$A$98,MATCH(ROWS($C$2:C3),$C$2:$C$98,0)),"")</f>
        <v/>
      </c>
      <c r="H3" t="s">
        <v>132</v>
      </c>
      <c r="I3" s="85">
        <f>--ISNUMBER(IFERROR(SEARCH('Input Sheet'!$B$6,H3,1),""))</f>
        <v>0</v>
      </c>
      <c r="J3" s="85" t="str">
        <f>IF(I3=1,COUNTIF($I$2:I3,1),"")</f>
        <v/>
      </c>
      <c r="K3" s="85" t="str">
        <f>IFERROR(INDEX($H$2:$H$16,MATCH(ROWS($J$2:J3),$J$2:$J$16,0)),"")</f>
        <v/>
      </c>
    </row>
    <row r="4" spans="1:11" ht="15.75" thickBot="1">
      <c r="A4" t="s">
        <v>62</v>
      </c>
      <c r="B4" s="85">
        <f>--ISNUMBER(IFERROR(SEARCH('Input Sheet'!$B$3,A4,1),""))</f>
        <v>0</v>
      </c>
      <c r="C4" s="85" t="str">
        <f>IF(B4=1,COUNTIF($B$2:B4,1),"")</f>
        <v/>
      </c>
      <c r="D4" s="85" t="str">
        <f>IFERROR(INDEX($A$2:$A$98,MATCH(ROWS($C$2:C4),$C$2:$C$98,0)),"")</f>
        <v/>
      </c>
      <c r="H4" t="s">
        <v>133</v>
      </c>
      <c r="I4" s="85">
        <f>--ISNUMBER(IFERROR(SEARCH('Input Sheet'!$B$6,H4,1),""))</f>
        <v>1</v>
      </c>
      <c r="J4" s="85">
        <f>IF(I4=1,COUNTIF($I$2:I4,1),"")</f>
        <v>1</v>
      </c>
      <c r="K4" s="85" t="str">
        <f>IFERROR(INDEX($H$2:$H$16,MATCH(ROWS($J$2:J4),$J$2:$J$16,0)),"")</f>
        <v/>
      </c>
    </row>
    <row r="5" spans="1:11" ht="15.75" thickBot="1">
      <c r="A5" t="s">
        <v>104</v>
      </c>
      <c r="B5" s="85">
        <f>--ISNUMBER(IFERROR(SEARCH('Input Sheet'!$B$3,A5,1),""))</f>
        <v>1</v>
      </c>
      <c r="C5" s="85">
        <f>IF(B5=1,COUNTIF($B$2:B5,1),"")</f>
        <v>1</v>
      </c>
      <c r="D5" s="85" t="str">
        <f>IFERROR(INDEX($A$2:$A$98,MATCH(ROWS($C$2:C5),$C$2:$C$98,0)),"")</f>
        <v/>
      </c>
      <c r="H5" t="s">
        <v>194</v>
      </c>
      <c r="I5" s="85">
        <f>--ISNUMBER(IFERROR(SEARCH('Input Sheet'!$B$6,H5,1),""))</f>
        <v>0</v>
      </c>
      <c r="J5" s="85" t="str">
        <f>IF(I5=1,COUNTIF($I$2:I5,1),"")</f>
        <v/>
      </c>
      <c r="K5" s="85" t="str">
        <f>IFERROR(INDEX($H$2:$H$16,MATCH(ROWS($J$2:J5),$J$2:$J$16,0)),"")</f>
        <v/>
      </c>
    </row>
    <row r="6" spans="1:11" ht="15.75" thickBot="1">
      <c r="A6" t="s">
        <v>105</v>
      </c>
      <c r="B6" s="85">
        <f>--ISNUMBER(IFERROR(SEARCH('Input Sheet'!$B$3,A6,1),""))</f>
        <v>0</v>
      </c>
      <c r="C6" s="85" t="str">
        <f>IF(B6=1,COUNTIF($B$2:B6,1),"")</f>
        <v/>
      </c>
      <c r="D6" s="85" t="str">
        <f>IFERROR(INDEX($A$2:$A$98,MATCH(ROWS($C$2:C6),$C$2:$C$98,0)),"")</f>
        <v/>
      </c>
      <c r="H6" t="s">
        <v>126</v>
      </c>
      <c r="I6" s="85">
        <f>--ISNUMBER(IFERROR(SEARCH('Input Sheet'!$B$6,H6,1),""))</f>
        <v>0</v>
      </c>
      <c r="J6" s="85" t="str">
        <f>IF(I6=1,COUNTIF($I$2:I6,1),"")</f>
        <v/>
      </c>
      <c r="K6" s="85" t="str">
        <f>IFERROR(INDEX($H$2:$H$16,MATCH(ROWS($J$2:J6),$J$2:$J$16,0)),"")</f>
        <v/>
      </c>
    </row>
    <row r="7" spans="1:11" ht="15.75" thickBot="1">
      <c r="A7" t="s">
        <v>106</v>
      </c>
      <c r="B7" s="85">
        <f>--ISNUMBER(IFERROR(SEARCH('Input Sheet'!$B$3,A7,1),""))</f>
        <v>0</v>
      </c>
      <c r="C7" s="85" t="str">
        <f>IF(B7=1,COUNTIF($B$2:B7,1),"")</f>
        <v/>
      </c>
      <c r="D7" s="85" t="str">
        <f>IFERROR(INDEX($A$2:$A$98,MATCH(ROWS($C$2:C7),$C$2:$C$98,0)),"")</f>
        <v/>
      </c>
      <c r="H7" t="s">
        <v>128</v>
      </c>
      <c r="I7" s="85">
        <f>--ISNUMBER(IFERROR(SEARCH('Input Sheet'!$B$6,H7,1),""))</f>
        <v>0</v>
      </c>
      <c r="J7" s="85" t="str">
        <f>IF(I7=1,COUNTIF($I$2:I7,1),"")</f>
        <v/>
      </c>
      <c r="K7" s="85" t="str">
        <f>IFERROR(INDEX($H$2:$H$16,MATCH(ROWS($J$2:J7),$J$2:$J$16,0)),"")</f>
        <v/>
      </c>
    </row>
    <row r="8" spans="1:11" ht="15.75" thickBot="1">
      <c r="A8" t="s">
        <v>114</v>
      </c>
      <c r="B8" s="85">
        <f>--ISNUMBER(IFERROR(SEARCH('Input Sheet'!$B$3,A8,1),""))</f>
        <v>0</v>
      </c>
      <c r="C8" s="85" t="str">
        <f>IF(B8=1,COUNTIF($B$2:B8,1),"")</f>
        <v/>
      </c>
      <c r="D8" s="85" t="str">
        <f>IFERROR(INDEX($A$2:$A$98,MATCH(ROWS($C$2:C8),$C$2:$C$98,0)),"")</f>
        <v/>
      </c>
      <c r="H8" t="s">
        <v>130</v>
      </c>
      <c r="I8" s="85">
        <f>--ISNUMBER(IFERROR(SEARCH('Input Sheet'!$B$6,H8,1),""))</f>
        <v>0</v>
      </c>
      <c r="J8" s="85" t="str">
        <f>IF(I8=1,COUNTIF($I$2:I8,1),"")</f>
        <v/>
      </c>
      <c r="K8" s="85" t="str">
        <f>IFERROR(INDEX($H$2:$H$16,MATCH(ROWS($J$2:J8),$J$2:$J$16,0)),"")</f>
        <v/>
      </c>
    </row>
    <row r="9" spans="1:11" ht="15.75" thickBot="1">
      <c r="A9" t="s">
        <v>107</v>
      </c>
      <c r="B9" s="85">
        <f>--ISNUMBER(IFERROR(SEARCH('Input Sheet'!$B$3,A9,1),""))</f>
        <v>0</v>
      </c>
      <c r="C9" s="85" t="str">
        <f>IF(B9=1,COUNTIF($B$2:B9,1),"")</f>
        <v/>
      </c>
      <c r="D9" s="85" t="str">
        <f>IFERROR(INDEX($A$2:$A$98,MATCH(ROWS($C$2:C9),$C$2:$C$98,0)),"")</f>
        <v/>
      </c>
      <c r="H9" t="s">
        <v>129</v>
      </c>
      <c r="I9" s="85">
        <f>--ISNUMBER(IFERROR(SEARCH('Input Sheet'!$B$6,H9,1),""))</f>
        <v>0</v>
      </c>
      <c r="J9" s="85" t="str">
        <f>IF(I9=1,COUNTIF($I$2:I9,1),"")</f>
        <v/>
      </c>
      <c r="K9" s="85" t="str">
        <f>IFERROR(INDEX($H$2:$H$16,MATCH(ROWS($J$2:J9),$J$2:$J$16,0)),"")</f>
        <v/>
      </c>
    </row>
    <row r="10" spans="1:11" ht="15.75" thickBot="1">
      <c r="A10" t="s">
        <v>115</v>
      </c>
      <c r="B10" s="85">
        <f>--ISNUMBER(IFERROR(SEARCH('Input Sheet'!$B$3,A10,1),""))</f>
        <v>0</v>
      </c>
      <c r="C10" s="85" t="str">
        <f>IF(B10=1,COUNTIF($B$2:B10,1),"")</f>
        <v/>
      </c>
      <c r="D10" s="85" t="str">
        <f>IFERROR(INDEX($A$2:$A$98,MATCH(ROWS($C$2:C10),$C$2:$C$98,0)),"")</f>
        <v/>
      </c>
      <c r="H10" t="s">
        <v>131</v>
      </c>
      <c r="I10" s="85">
        <f>--ISNUMBER(IFERROR(SEARCH('Input Sheet'!$B$6,H10,1),""))</f>
        <v>0</v>
      </c>
      <c r="J10" s="85" t="str">
        <f>IF(I10=1,COUNTIF($I$2:I10,1),"")</f>
        <v/>
      </c>
      <c r="K10" s="85" t="str">
        <f>IFERROR(INDEX($H$2:$H$16,MATCH(ROWS($J$2:J10),$J$2:$J$16,0)),"")</f>
        <v/>
      </c>
    </row>
    <row r="11" spans="1:11" ht="15.75" thickBot="1">
      <c r="A11" t="s">
        <v>0</v>
      </c>
      <c r="B11" s="85">
        <f>--ISNUMBER(IFERROR(SEARCH('Input Sheet'!$B$3,A11,1),""))</f>
        <v>0</v>
      </c>
      <c r="C11" s="85" t="str">
        <f>IF(B11=1,COUNTIF($B$2:B11,1),"")</f>
        <v/>
      </c>
      <c r="D11" s="85" t="str">
        <f>IFERROR(INDEX($A$2:$A$98,MATCH(ROWS($C$2:C11),$C$2:$C$98,0)),"")</f>
        <v/>
      </c>
      <c r="H11" t="s">
        <v>124</v>
      </c>
      <c r="I11" s="85">
        <f>--ISNUMBER(IFERROR(SEARCH('Input Sheet'!$B$6,H11,1),""))</f>
        <v>0</v>
      </c>
      <c r="J11" s="85" t="str">
        <f>IF(I11=1,COUNTIF($I$2:I11,1),"")</f>
        <v/>
      </c>
      <c r="K11" s="85" t="str">
        <f>IFERROR(INDEX($H$2:$H$16,MATCH(ROWS($J$2:J11),$J$2:$J$16,0)),"")</f>
        <v/>
      </c>
    </row>
    <row r="12" spans="1:11" ht="15.75" thickBot="1">
      <c r="A12" t="s">
        <v>55</v>
      </c>
      <c r="B12" s="85">
        <f>--ISNUMBER(IFERROR(SEARCH('Input Sheet'!$B$3,A12,1),""))</f>
        <v>0</v>
      </c>
      <c r="C12" s="85" t="str">
        <f>IF(B12=1,COUNTIF($B$2:B12,1),"")</f>
        <v/>
      </c>
      <c r="D12" s="85" t="str">
        <f>IFERROR(INDEX($A$2:$A$98,MATCH(ROWS($C$2:C12),$C$2:$C$98,0)),"")</f>
        <v/>
      </c>
      <c r="H12" t="s">
        <v>125</v>
      </c>
      <c r="I12" s="85">
        <f>--ISNUMBER(IFERROR(SEARCH('Input Sheet'!$B$6,H12,1),""))</f>
        <v>0</v>
      </c>
      <c r="J12" s="85" t="str">
        <f>IF(I12=1,COUNTIF($I$2:I12,1),"")</f>
        <v/>
      </c>
      <c r="K12" s="85" t="str">
        <f>IFERROR(INDEX($H$2:$H$16,MATCH(ROWS($J$2:J12),$J$2:$J$16,0)),"")</f>
        <v/>
      </c>
    </row>
    <row r="13" spans="1:11" ht="15.75" thickBot="1">
      <c r="A13" t="s">
        <v>1</v>
      </c>
      <c r="B13" s="85">
        <f>--ISNUMBER(IFERROR(SEARCH('Input Sheet'!$B$3,A13,1),""))</f>
        <v>0</v>
      </c>
      <c r="C13" s="85" t="str">
        <f>IF(B13=1,COUNTIF($B$2:B13,1),"")</f>
        <v/>
      </c>
      <c r="D13" s="85" t="str">
        <f>IFERROR(INDEX($A$2:$A$98,MATCH(ROWS($C$2:C13),$C$2:$C$98,0)),"")</f>
        <v/>
      </c>
      <c r="H13" t="s">
        <v>122</v>
      </c>
      <c r="I13" s="85">
        <f>--ISNUMBER(IFERROR(SEARCH('Input Sheet'!$B$6,H13,1),""))</f>
        <v>0</v>
      </c>
      <c r="J13" s="85" t="str">
        <f>IF(I13=1,COUNTIF($I$2:I13,1),"")</f>
        <v/>
      </c>
      <c r="K13" s="85" t="str">
        <f>IFERROR(INDEX($H$2:$H$16,MATCH(ROWS($J$2:J13),$J$2:$J$16,0)),"")</f>
        <v/>
      </c>
    </row>
    <row r="14" spans="1:11" ht="15.75" thickBot="1">
      <c r="A14" t="s">
        <v>2</v>
      </c>
      <c r="B14" s="85">
        <f>--ISNUMBER(IFERROR(SEARCH('Input Sheet'!$B$3,A14,1),""))</f>
        <v>0</v>
      </c>
      <c r="C14" s="85" t="str">
        <f>IF(B14=1,COUNTIF($B$2:B14,1),"")</f>
        <v/>
      </c>
      <c r="D14" s="85" t="str">
        <f>IFERROR(INDEX($A$2:$A$98,MATCH(ROWS($C$2:C14),$C$2:$C$98,0)),"")</f>
        <v/>
      </c>
      <c r="H14" t="s">
        <v>127</v>
      </c>
      <c r="I14" s="85">
        <f>--ISNUMBER(IFERROR(SEARCH('Input Sheet'!$B$6,H14,1),""))</f>
        <v>0</v>
      </c>
      <c r="J14" s="85" t="str">
        <f>IF(I14=1,COUNTIF($I$2:I14,1),"")</f>
        <v/>
      </c>
      <c r="K14" s="85" t="str">
        <f>IFERROR(INDEX($H$2:$H$16,MATCH(ROWS($J$2:J14),$J$2:$J$16,0)),"")</f>
        <v/>
      </c>
    </row>
    <row r="15" spans="1:11" ht="15.75" thickBot="1">
      <c r="A15" t="s">
        <v>63</v>
      </c>
      <c r="B15" s="85">
        <f>--ISNUMBER(IFERROR(SEARCH('Input Sheet'!$B$3,A15,1),""))</f>
        <v>0</v>
      </c>
      <c r="C15" s="85" t="str">
        <f>IF(B15=1,COUNTIF($B$2:B15,1),"")</f>
        <v/>
      </c>
      <c r="D15" s="85" t="str">
        <f>IFERROR(INDEX($A$2:$A$98,MATCH(ROWS($C$2:C15),$C$2:$C$98,0)),"")</f>
        <v/>
      </c>
      <c r="H15" t="s">
        <v>123</v>
      </c>
      <c r="I15" s="85">
        <f>--ISNUMBER(IFERROR(SEARCH('Input Sheet'!$B$6,H15,1),""))</f>
        <v>0</v>
      </c>
      <c r="J15" s="85" t="str">
        <f>IF(I15=1,COUNTIF($I$2:I15,1),"")</f>
        <v/>
      </c>
      <c r="K15" s="85" t="str">
        <f>IFERROR(INDEX($H$2:$H$16,MATCH(ROWS($J$2:J15),$J$2:$J$16,0)),"")</f>
        <v/>
      </c>
    </row>
    <row r="16" spans="1:11" ht="15.75" thickBot="1">
      <c r="A16" t="s">
        <v>3</v>
      </c>
      <c r="B16" s="85">
        <f>--ISNUMBER(IFERROR(SEARCH('Input Sheet'!$B$3,A16,1),""))</f>
        <v>0</v>
      </c>
      <c r="C16" s="85" t="str">
        <f>IF(B16=1,COUNTIF($B$2:B16,1),"")</f>
        <v/>
      </c>
      <c r="D16" s="85" t="str">
        <f>IFERROR(INDEX($A$2:$A$98,MATCH(ROWS($C$2:C16),$C$2:$C$98,0)),"")</f>
        <v/>
      </c>
      <c r="H16" t="s">
        <v>193</v>
      </c>
      <c r="I16" s="85">
        <f>--ISNUMBER(IFERROR(SEARCH('Input Sheet'!$B$6,H16,1),""))</f>
        <v>0</v>
      </c>
      <c r="J16" s="85" t="str">
        <f>IF(I16=1,COUNTIF($I$2:I16,1),"")</f>
        <v/>
      </c>
      <c r="K16" s="85" t="str">
        <f>IFERROR(INDEX($H$2:$H$16,MATCH(ROWS($J$2:J16),$J$2:$J$16,0)),"")</f>
        <v/>
      </c>
    </row>
    <row r="17" spans="1:4" ht="15.75" thickBot="1">
      <c r="A17" t="s">
        <v>56</v>
      </c>
      <c r="B17" s="85">
        <f>--ISNUMBER(IFERROR(SEARCH('Input Sheet'!$B$3,A17,1),""))</f>
        <v>0</v>
      </c>
      <c r="C17" s="85" t="str">
        <f>IF(B17=1,COUNTIF($B$2:B17,1),"")</f>
        <v/>
      </c>
      <c r="D17" s="85" t="str">
        <f>IFERROR(INDEX($A$2:$A$98,MATCH(ROWS($C$2:C17),$C$2:$C$98,0)),"")</f>
        <v/>
      </c>
    </row>
    <row r="18" spans="1:4" ht="15.75" thickBot="1">
      <c r="A18" t="s">
        <v>94</v>
      </c>
      <c r="B18" s="85">
        <f>--ISNUMBER(IFERROR(SEARCH('Input Sheet'!$B$3,A18,1),""))</f>
        <v>0</v>
      </c>
      <c r="C18" s="85" t="str">
        <f>IF(B18=1,COUNTIF($B$2:B18,1),"")</f>
        <v/>
      </c>
      <c r="D18" s="85" t="str">
        <f>IFERROR(INDEX($A$2:$A$98,MATCH(ROWS($C$2:C18),$C$2:$C$98,0)),"")</f>
        <v/>
      </c>
    </row>
    <row r="19" spans="1:4" ht="15.75" thickBot="1">
      <c r="A19" t="s">
        <v>57</v>
      </c>
      <c r="B19" s="85">
        <f>--ISNUMBER(IFERROR(SEARCH('Input Sheet'!$B$3,A19,1),""))</f>
        <v>0</v>
      </c>
      <c r="C19" s="85" t="str">
        <f>IF(B19=1,COUNTIF($B$2:B19,1),"")</f>
        <v/>
      </c>
      <c r="D19" s="85" t="str">
        <f>IFERROR(INDEX($A$2:$A$98,MATCH(ROWS($C$2:C19),$C$2:$C$98,0)),"")</f>
        <v/>
      </c>
    </row>
    <row r="20" spans="1:4" ht="15.75" thickBot="1">
      <c r="A20" t="s">
        <v>95</v>
      </c>
      <c r="B20" s="85">
        <f>--ISNUMBER(IFERROR(SEARCH('Input Sheet'!$B$3,A20,1),""))</f>
        <v>0</v>
      </c>
      <c r="C20" s="85" t="str">
        <f>IF(B20=1,COUNTIF($B$2:B20,1),"")</f>
        <v/>
      </c>
      <c r="D20" s="85" t="str">
        <f>IFERROR(INDEX($A$2:$A$98,MATCH(ROWS($C$2:C20),$C$2:$C$98,0)),"")</f>
        <v/>
      </c>
    </row>
    <row r="21" spans="1:4" ht="15.75" thickBot="1">
      <c r="A21" t="s">
        <v>4</v>
      </c>
      <c r="B21" s="85">
        <f>--ISNUMBER(IFERROR(SEARCH('Input Sheet'!$B$3,A21,1),""))</f>
        <v>0</v>
      </c>
      <c r="C21" s="85" t="str">
        <f>IF(B21=1,COUNTIF($B$2:B21,1),"")</f>
        <v/>
      </c>
      <c r="D21" s="85" t="str">
        <f>IFERROR(INDEX($A$2:$A$98,MATCH(ROWS($C$2:C21),$C$2:$C$98,0)),"")</f>
        <v/>
      </c>
    </row>
    <row r="22" spans="1:4" ht="15.75" thickBot="1">
      <c r="A22" t="s">
        <v>58</v>
      </c>
      <c r="B22" s="85">
        <f>--ISNUMBER(IFERROR(SEARCH('Input Sheet'!$B$3,A22,1),""))</f>
        <v>0</v>
      </c>
      <c r="C22" s="85" t="str">
        <f>IF(B22=1,COUNTIF($B$2:B22,1),"")</f>
        <v/>
      </c>
      <c r="D22" s="85" t="str">
        <f>IFERROR(INDEX($A$2:$A$98,MATCH(ROWS($C$2:C22),$C$2:$C$98,0)),"")</f>
        <v/>
      </c>
    </row>
    <row r="23" spans="1:4" ht="15.75" thickBot="1">
      <c r="A23" t="s">
        <v>59</v>
      </c>
      <c r="B23" s="85">
        <f>--ISNUMBER(IFERROR(SEARCH('Input Sheet'!$B$3,A23,1),""))</f>
        <v>0</v>
      </c>
      <c r="C23" s="85" t="str">
        <f>IF(B23=1,COUNTIF($B$2:B23,1),"")</f>
        <v/>
      </c>
      <c r="D23" s="85" t="str">
        <f>IFERROR(INDEX($A$2:$A$98,MATCH(ROWS($C$2:C23),$C$2:$C$98,0)),"")</f>
        <v/>
      </c>
    </row>
    <row r="24" spans="1:4" ht="15.75" thickBot="1">
      <c r="A24" t="s">
        <v>64</v>
      </c>
      <c r="B24" s="85">
        <f>--ISNUMBER(IFERROR(SEARCH('Input Sheet'!$B$3,A24,1),""))</f>
        <v>0</v>
      </c>
      <c r="C24" s="85" t="str">
        <f>IF(B24=1,COUNTIF($B$2:B24,1),"")</f>
        <v/>
      </c>
      <c r="D24" s="85" t="str">
        <f>IFERROR(INDEX($A$2:$A$98,MATCH(ROWS($C$2:C24),$C$2:$C$98,0)),"")</f>
        <v/>
      </c>
    </row>
    <row r="25" spans="1:4" ht="15.75" thickBot="1">
      <c r="A25" t="s">
        <v>30</v>
      </c>
      <c r="B25" s="85">
        <f>--ISNUMBER(IFERROR(SEARCH('Input Sheet'!$B$3,A25,1),""))</f>
        <v>0</v>
      </c>
      <c r="C25" s="85" t="str">
        <f>IF(B25=1,COUNTIF($B$2:B25,1),"")</f>
        <v/>
      </c>
      <c r="D25" s="85" t="str">
        <f>IFERROR(INDEX($A$2:$A$98,MATCH(ROWS($C$2:C25),$C$2:$C$98,0)),"")</f>
        <v/>
      </c>
    </row>
    <row r="26" spans="1:4" ht="15.75" thickBot="1">
      <c r="A26" t="s">
        <v>5</v>
      </c>
      <c r="B26" s="85">
        <f>--ISNUMBER(IFERROR(SEARCH('Input Sheet'!$B$3,A26,1),""))</f>
        <v>0</v>
      </c>
      <c r="C26" s="85" t="str">
        <f>IF(B26=1,COUNTIF($B$2:B26,1),"")</f>
        <v/>
      </c>
      <c r="D26" s="85" t="str">
        <f>IFERROR(INDEX($A$2:$A$98,MATCH(ROWS($C$2:C26),$C$2:$C$98,0)),"")</f>
        <v/>
      </c>
    </row>
    <row r="27" spans="1:4" ht="15.75" thickBot="1">
      <c r="A27" t="s">
        <v>65</v>
      </c>
      <c r="B27" s="85">
        <f>--ISNUMBER(IFERROR(SEARCH('Input Sheet'!$B$3,A27,1),""))</f>
        <v>0</v>
      </c>
      <c r="C27" s="85" t="str">
        <f>IF(B27=1,COUNTIF($B$2:B27,1),"")</f>
        <v/>
      </c>
      <c r="D27" s="85" t="str">
        <f>IFERROR(INDEX($A$2:$A$98,MATCH(ROWS($C$2:C27),$C$2:$C$98,0)),"")</f>
        <v/>
      </c>
    </row>
    <row r="28" spans="1:4" ht="15.75" thickBot="1">
      <c r="A28" t="s">
        <v>66</v>
      </c>
      <c r="B28" s="85">
        <f>--ISNUMBER(IFERROR(SEARCH('Input Sheet'!$B$3,A28,1),""))</f>
        <v>0</v>
      </c>
      <c r="C28" s="85" t="str">
        <f>IF(B28=1,COUNTIF($B$2:B28,1),"")</f>
        <v/>
      </c>
      <c r="D28" s="85" t="str">
        <f>IFERROR(INDEX($A$2:$A$98,MATCH(ROWS($C$2:C28),$C$2:$C$98,0)),"")</f>
        <v/>
      </c>
    </row>
    <row r="29" spans="1:4" ht="15.75" thickBot="1">
      <c r="A29" t="s">
        <v>67</v>
      </c>
      <c r="B29" s="85">
        <f>--ISNUMBER(IFERROR(SEARCH('Input Sheet'!$B$3,A29,1),""))</f>
        <v>0</v>
      </c>
      <c r="C29" s="85" t="str">
        <f>IF(B29=1,COUNTIF($B$2:B29,1),"")</f>
        <v/>
      </c>
      <c r="D29" s="85" t="str">
        <f>IFERROR(INDEX($A$2:$A$98,MATCH(ROWS($C$2:C29),$C$2:$C$98,0)),"")</f>
        <v/>
      </c>
    </row>
    <row r="30" spans="1:4" ht="15.75" thickBot="1">
      <c r="A30" t="s">
        <v>68</v>
      </c>
      <c r="B30" s="85">
        <f>--ISNUMBER(IFERROR(SEARCH('Input Sheet'!$B$3,A30,1),""))</f>
        <v>0</v>
      </c>
      <c r="C30" s="85" t="str">
        <f>IF(B30=1,COUNTIF($B$2:B30,1),"")</f>
        <v/>
      </c>
      <c r="D30" s="85" t="str">
        <f>IFERROR(INDEX($A$2:$A$98,MATCH(ROWS($C$2:C30),$C$2:$C$98,0)),"")</f>
        <v/>
      </c>
    </row>
    <row r="31" spans="1:4" ht="15.75" thickBot="1">
      <c r="A31" t="s">
        <v>6</v>
      </c>
      <c r="B31" s="85">
        <f>--ISNUMBER(IFERROR(SEARCH('Input Sheet'!$B$3,A31,1),""))</f>
        <v>0</v>
      </c>
      <c r="C31" s="85" t="str">
        <f>IF(B31=1,COUNTIF($B$2:B31,1),"")</f>
        <v/>
      </c>
      <c r="D31" s="85" t="str">
        <f>IFERROR(INDEX($A$2:$A$98,MATCH(ROWS($C$2:C31),$C$2:$C$98,0)),"")</f>
        <v/>
      </c>
    </row>
    <row r="32" spans="1:4" ht="15.75" thickBot="1">
      <c r="A32" t="s">
        <v>69</v>
      </c>
      <c r="B32" s="85">
        <f>--ISNUMBER(IFERROR(SEARCH('Input Sheet'!$B$3,A32,1),""))</f>
        <v>0</v>
      </c>
      <c r="C32" s="85" t="str">
        <f>IF(B32=1,COUNTIF($B$2:B32,1),"")</f>
        <v/>
      </c>
      <c r="D32" s="85" t="str">
        <f>IFERROR(INDEX($A$2:$A$98,MATCH(ROWS($C$2:C32),$C$2:$C$98,0)),"")</f>
        <v/>
      </c>
    </row>
    <row r="33" spans="1:4" ht="15.75" thickBot="1">
      <c r="A33" t="s">
        <v>7</v>
      </c>
      <c r="B33" s="85">
        <f>--ISNUMBER(IFERROR(SEARCH('Input Sheet'!$B$3,A33,1),""))</f>
        <v>0</v>
      </c>
      <c r="C33" s="85" t="str">
        <f>IF(B33=1,COUNTIF($B$2:B33,1),"")</f>
        <v/>
      </c>
      <c r="D33" s="85" t="str">
        <f>IFERROR(INDEX($A$2:$A$98,MATCH(ROWS($C$2:C33),$C$2:$C$98,0)),"")</f>
        <v/>
      </c>
    </row>
    <row r="34" spans="1:4" ht="15.75" thickBot="1">
      <c r="A34" t="s">
        <v>70</v>
      </c>
      <c r="B34" s="85">
        <f>--ISNUMBER(IFERROR(SEARCH('Input Sheet'!$B$3,A34,1),""))</f>
        <v>0</v>
      </c>
      <c r="C34" s="85" t="str">
        <f>IF(B34=1,COUNTIF($B$2:B34,1),"")</f>
        <v/>
      </c>
      <c r="D34" s="85" t="str">
        <f>IFERROR(INDEX($A$2:$A$98,MATCH(ROWS($C$2:C34),$C$2:$C$98,0)),"")</f>
        <v/>
      </c>
    </row>
    <row r="35" spans="1:4" ht="15.75" thickBot="1">
      <c r="A35" t="s">
        <v>71</v>
      </c>
      <c r="B35" s="85">
        <f>--ISNUMBER(IFERROR(SEARCH('Input Sheet'!$B$3,A35,1),""))</f>
        <v>0</v>
      </c>
      <c r="C35" s="85" t="str">
        <f>IF(B35=1,COUNTIF($B$2:B35,1),"")</f>
        <v/>
      </c>
      <c r="D35" s="85" t="str">
        <f>IFERROR(INDEX($A$2:$A$98,MATCH(ROWS($C$2:C35),$C$2:$C$98,0)),"")</f>
        <v/>
      </c>
    </row>
    <row r="36" spans="1:4" ht="15.75" thickBot="1">
      <c r="A36" t="s">
        <v>116</v>
      </c>
      <c r="B36" s="85">
        <f>--ISNUMBER(IFERROR(SEARCH('Input Sheet'!$B$3,A36,1),""))</f>
        <v>0</v>
      </c>
      <c r="C36" s="85" t="str">
        <f>IF(B36=1,COUNTIF($B$2:B36,1),"")</f>
        <v/>
      </c>
      <c r="D36" s="85" t="str">
        <f>IFERROR(INDEX($A$2:$A$98,MATCH(ROWS($C$2:C36),$C$2:$C$98,0)),"")</f>
        <v/>
      </c>
    </row>
    <row r="37" spans="1:4" ht="15.75" thickBot="1">
      <c r="A37" t="s">
        <v>8</v>
      </c>
      <c r="B37" s="85">
        <f>--ISNUMBER(IFERROR(SEARCH('Input Sheet'!$B$3,A37,1),""))</f>
        <v>0</v>
      </c>
      <c r="C37" s="85" t="str">
        <f>IF(B37=1,COUNTIF($B$2:B37,1),"")</f>
        <v/>
      </c>
      <c r="D37" s="85" t="str">
        <f>IFERROR(INDEX($A$2:$A$98,MATCH(ROWS($C$2:C37),$C$2:$C$98,0)),"")</f>
        <v/>
      </c>
    </row>
    <row r="38" spans="1:4" ht="15.75" thickBot="1">
      <c r="A38" t="s">
        <v>72</v>
      </c>
      <c r="B38" s="85">
        <f>--ISNUMBER(IFERROR(SEARCH('Input Sheet'!$B$3,A38,1),""))</f>
        <v>0</v>
      </c>
      <c r="C38" s="85" t="str">
        <f>IF(B38=1,COUNTIF($B$2:B38,1),"")</f>
        <v/>
      </c>
      <c r="D38" s="85" t="str">
        <f>IFERROR(INDEX($A$2:$A$98,MATCH(ROWS($C$2:C38),$C$2:$C$98,0)),"")</f>
        <v/>
      </c>
    </row>
    <row r="39" spans="1:4" ht="15.75" thickBot="1">
      <c r="A39" t="s">
        <v>73</v>
      </c>
      <c r="B39" s="85">
        <f>--ISNUMBER(IFERROR(SEARCH('Input Sheet'!$B$3,A39,1),""))</f>
        <v>0</v>
      </c>
      <c r="C39" s="85" t="str">
        <f>IF(B39=1,COUNTIF($B$2:B39,1),"")</f>
        <v/>
      </c>
      <c r="D39" s="85" t="str">
        <f>IFERROR(INDEX($A$2:$A$98,MATCH(ROWS($C$2:C39),$C$2:$C$98,0)),"")</f>
        <v/>
      </c>
    </row>
    <row r="40" spans="1:4" ht="15.75" thickBot="1">
      <c r="A40" t="s">
        <v>74</v>
      </c>
      <c r="B40" s="85">
        <f>--ISNUMBER(IFERROR(SEARCH('Input Sheet'!$B$3,A40,1),""))</f>
        <v>0</v>
      </c>
      <c r="C40" s="85" t="str">
        <f>IF(B40=1,COUNTIF($B$2:B40,1),"")</f>
        <v/>
      </c>
      <c r="D40" s="85" t="str">
        <f>IFERROR(INDEX($A$2:$A$98,MATCH(ROWS($C$2:C40),$C$2:$C$98,0)),"")</f>
        <v/>
      </c>
    </row>
    <row r="41" spans="1:4" ht="15.75" thickBot="1">
      <c r="A41" t="s">
        <v>75</v>
      </c>
      <c r="B41" s="85">
        <f>--ISNUMBER(IFERROR(SEARCH('Input Sheet'!$B$3,A41,1),""))</f>
        <v>0</v>
      </c>
      <c r="C41" s="85" t="str">
        <f>IF(B41=1,COUNTIF($B$2:B41,1),"")</f>
        <v/>
      </c>
      <c r="D41" s="85" t="str">
        <f>IFERROR(INDEX($A$2:$A$98,MATCH(ROWS($C$2:C41),$C$2:$C$98,0)),"")</f>
        <v/>
      </c>
    </row>
    <row r="42" spans="1:4" ht="15.75" thickBot="1">
      <c r="A42" t="s">
        <v>76</v>
      </c>
      <c r="B42" s="85">
        <f>--ISNUMBER(IFERROR(SEARCH('Input Sheet'!$B$3,A42,1),""))</f>
        <v>0</v>
      </c>
      <c r="C42" s="85" t="str">
        <f>IF(B42=1,COUNTIF($B$2:B42,1),"")</f>
        <v/>
      </c>
      <c r="D42" s="85" t="str">
        <f>IFERROR(INDEX($A$2:$A$98,MATCH(ROWS($C$2:C42),$C$2:$C$98,0)),"")</f>
        <v/>
      </c>
    </row>
    <row r="43" spans="1:4" ht="15.75" thickBot="1">
      <c r="A43" t="s">
        <v>77</v>
      </c>
      <c r="B43" s="85">
        <f>--ISNUMBER(IFERROR(SEARCH('Input Sheet'!$B$3,A43,1),""))</f>
        <v>0</v>
      </c>
      <c r="C43" s="85" t="str">
        <f>IF(B43=1,COUNTIF($B$2:B43,1),"")</f>
        <v/>
      </c>
      <c r="D43" s="85" t="str">
        <f>IFERROR(INDEX($A$2:$A$98,MATCH(ROWS($C$2:C43),$C$2:$C$98,0)),"")</f>
        <v/>
      </c>
    </row>
    <row r="44" spans="1:4" ht="15.75" thickBot="1">
      <c r="A44" t="s">
        <v>78</v>
      </c>
      <c r="B44" s="85">
        <f>--ISNUMBER(IFERROR(SEARCH('Input Sheet'!$B$3,A44,1),""))</f>
        <v>0</v>
      </c>
      <c r="C44" s="85" t="str">
        <f>IF(B44=1,COUNTIF($B$2:B44,1),"")</f>
        <v/>
      </c>
      <c r="D44" s="85" t="str">
        <f>IFERROR(INDEX($A$2:$A$98,MATCH(ROWS($C$2:C44),$C$2:$C$98,0)),"")</f>
        <v/>
      </c>
    </row>
    <row r="45" spans="1:4" ht="15.75" thickBot="1">
      <c r="A45" t="s">
        <v>79</v>
      </c>
      <c r="B45" s="85">
        <f>--ISNUMBER(IFERROR(SEARCH('Input Sheet'!$B$3,A45,1),""))</f>
        <v>0</v>
      </c>
      <c r="C45" s="85" t="str">
        <f>IF(B45=1,COUNTIF($B$2:B45,1),"")</f>
        <v/>
      </c>
      <c r="D45" s="85" t="str">
        <f>IFERROR(INDEX($A$2:$A$98,MATCH(ROWS($C$2:C45),$C$2:$C$98,0)),"")</f>
        <v/>
      </c>
    </row>
    <row r="46" spans="1:4" ht="15.75" thickBot="1">
      <c r="A46" t="s">
        <v>80</v>
      </c>
      <c r="B46" s="85">
        <f>--ISNUMBER(IFERROR(SEARCH('Input Sheet'!$B$3,A46,1),""))</f>
        <v>0</v>
      </c>
      <c r="C46" s="85" t="str">
        <f>IF(B46=1,COUNTIF($B$2:B46,1),"")</f>
        <v/>
      </c>
      <c r="D46" s="85" t="str">
        <f>IFERROR(INDEX($A$2:$A$98,MATCH(ROWS($C$2:C46),$C$2:$C$98,0)),"")</f>
        <v/>
      </c>
    </row>
    <row r="47" spans="1:4" ht="15.75" thickBot="1">
      <c r="A47" t="s">
        <v>9</v>
      </c>
      <c r="B47" s="85">
        <f>--ISNUMBER(IFERROR(SEARCH('Input Sheet'!$B$3,A47,1),""))</f>
        <v>0</v>
      </c>
      <c r="C47" s="85" t="str">
        <f>IF(B47=1,COUNTIF($B$2:B47,1),"")</f>
        <v/>
      </c>
      <c r="D47" s="85" t="str">
        <f>IFERROR(INDEX($A$2:$A$98,MATCH(ROWS($C$2:C47),$C$2:$C$98,0)),"")</f>
        <v/>
      </c>
    </row>
    <row r="48" spans="1:4" ht="15.75" thickBot="1">
      <c r="A48" t="s">
        <v>10</v>
      </c>
      <c r="B48" s="85">
        <f>--ISNUMBER(IFERROR(SEARCH('Input Sheet'!$B$3,A48,1),""))</f>
        <v>0</v>
      </c>
      <c r="C48" s="85" t="str">
        <f>IF(B48=1,COUNTIF($B$2:B48,1),"")</f>
        <v/>
      </c>
      <c r="D48" s="85" t="str">
        <f>IFERROR(INDEX($A$2:$A$98,MATCH(ROWS($C$2:C48),$C$2:$C$98,0)),"")</f>
        <v/>
      </c>
    </row>
    <row r="49" spans="1:4" ht="15.75" thickBot="1">
      <c r="A49" t="s">
        <v>11</v>
      </c>
      <c r="B49" s="85">
        <f>--ISNUMBER(IFERROR(SEARCH('Input Sheet'!$B$3,A49,1),""))</f>
        <v>0</v>
      </c>
      <c r="C49" s="85" t="str">
        <f>IF(B49=1,COUNTIF($B$2:B49,1),"")</f>
        <v/>
      </c>
      <c r="D49" s="85" t="str">
        <f>IFERROR(INDEX($A$2:$A$98,MATCH(ROWS($C$2:C49),$C$2:$C$98,0)),"")</f>
        <v/>
      </c>
    </row>
    <row r="50" spans="1:4" ht="15.75" thickBot="1">
      <c r="A50" t="s">
        <v>12</v>
      </c>
      <c r="B50" s="85">
        <f>--ISNUMBER(IFERROR(SEARCH('Input Sheet'!$B$3,A50,1),""))</f>
        <v>0</v>
      </c>
      <c r="C50" s="85" t="str">
        <f>IF(B50=1,COUNTIF($B$2:B50,1),"")</f>
        <v/>
      </c>
      <c r="D50" s="85" t="str">
        <f>IFERROR(INDEX($A$2:$A$98,MATCH(ROWS($C$2:C50),$C$2:$C$98,0)),"")</f>
        <v/>
      </c>
    </row>
    <row r="51" spans="1:4" ht="15.75" thickBot="1">
      <c r="A51" t="s">
        <v>13</v>
      </c>
      <c r="B51" s="85">
        <f>--ISNUMBER(IFERROR(SEARCH('Input Sheet'!$B$3,A51,1),""))</f>
        <v>0</v>
      </c>
      <c r="C51" s="85" t="str">
        <f>IF(B51=1,COUNTIF($B$2:B51,1),"")</f>
        <v/>
      </c>
      <c r="D51" s="85" t="str">
        <f>IFERROR(INDEX($A$2:$A$98,MATCH(ROWS($C$2:C51),$C$2:$C$98,0)),"")</f>
        <v/>
      </c>
    </row>
    <row r="52" spans="1:4" ht="15.75" thickBot="1">
      <c r="A52" t="s">
        <v>14</v>
      </c>
      <c r="B52" s="85">
        <f>--ISNUMBER(IFERROR(SEARCH('Input Sheet'!$B$3,A52,1),""))</f>
        <v>0</v>
      </c>
      <c r="C52" s="85" t="str">
        <f>IF(B52=1,COUNTIF($B$2:B52,1),"")</f>
        <v/>
      </c>
      <c r="D52" s="85" t="str">
        <f>IFERROR(INDEX($A$2:$A$98,MATCH(ROWS($C$2:C52),$C$2:$C$98,0)),"")</f>
        <v/>
      </c>
    </row>
    <row r="53" spans="1:4" ht="15.75" thickBot="1">
      <c r="A53" t="s">
        <v>15</v>
      </c>
      <c r="B53" s="85">
        <f>--ISNUMBER(IFERROR(SEARCH('Input Sheet'!$B$3,A53,1),""))</f>
        <v>0</v>
      </c>
      <c r="C53" s="85" t="str">
        <f>IF(B53=1,COUNTIF($B$2:B53,1),"")</f>
        <v/>
      </c>
      <c r="D53" s="85" t="str">
        <f>IFERROR(INDEX($A$2:$A$98,MATCH(ROWS($C$2:C53),$C$2:$C$98,0)),"")</f>
        <v/>
      </c>
    </row>
    <row r="54" spans="1:4" ht="15.75" thickBot="1">
      <c r="A54" t="s">
        <v>16</v>
      </c>
      <c r="B54" s="85">
        <f>--ISNUMBER(IFERROR(SEARCH('Input Sheet'!$B$3,A54,1),""))</f>
        <v>0</v>
      </c>
      <c r="C54" s="85" t="str">
        <f>IF(B54=1,COUNTIF($B$2:B54,1),"")</f>
        <v/>
      </c>
      <c r="D54" s="85" t="str">
        <f>IFERROR(INDEX($A$2:$A$98,MATCH(ROWS($C$2:C54),$C$2:$C$98,0)),"")</f>
        <v/>
      </c>
    </row>
    <row r="55" spans="1:4" ht="15.75" thickBot="1">
      <c r="A55" t="s">
        <v>17</v>
      </c>
      <c r="B55" s="85">
        <f>--ISNUMBER(IFERROR(SEARCH('Input Sheet'!$B$3,A55,1),""))</f>
        <v>0</v>
      </c>
      <c r="C55" s="85" t="str">
        <f>IF(B55=1,COUNTIF($B$2:B55,1),"")</f>
        <v/>
      </c>
      <c r="D55" s="85" t="str">
        <f>IFERROR(INDEX($A$2:$A$98,MATCH(ROWS($C$2:C55),$C$2:$C$98,0)),"")</f>
        <v/>
      </c>
    </row>
    <row r="56" spans="1:4" ht="15.75" thickBot="1">
      <c r="A56" t="s">
        <v>18</v>
      </c>
      <c r="B56" s="85">
        <f>--ISNUMBER(IFERROR(SEARCH('Input Sheet'!$B$3,A56,1),""))</f>
        <v>0</v>
      </c>
      <c r="C56" s="85" t="str">
        <f>IF(B56=1,COUNTIF($B$2:B56,1),"")</f>
        <v/>
      </c>
      <c r="D56" s="85" t="str">
        <f>IFERROR(INDEX($A$2:$A$98,MATCH(ROWS($C$2:C56),$C$2:$C$98,0)),"")</f>
        <v/>
      </c>
    </row>
    <row r="57" spans="1:4" ht="15.75" thickBot="1">
      <c r="A57" t="s">
        <v>19</v>
      </c>
      <c r="B57" s="85">
        <f>--ISNUMBER(IFERROR(SEARCH('Input Sheet'!$B$3,A57,1),""))</f>
        <v>0</v>
      </c>
      <c r="C57" s="85" t="str">
        <f>IF(B57=1,COUNTIF($B$2:B57,1),"")</f>
        <v/>
      </c>
      <c r="D57" s="85" t="str">
        <f>IFERROR(INDEX($A$2:$A$98,MATCH(ROWS($C$2:C57),$C$2:$C$98,0)),"")</f>
        <v/>
      </c>
    </row>
    <row r="58" spans="1:4" ht="15.75" thickBot="1">
      <c r="A58" t="s">
        <v>20</v>
      </c>
      <c r="B58" s="85">
        <f>--ISNUMBER(IFERROR(SEARCH('Input Sheet'!$B$3,A58,1),""))</f>
        <v>0</v>
      </c>
      <c r="C58" s="85" t="str">
        <f>IF(B58=1,COUNTIF($B$2:B58,1),"")</f>
        <v/>
      </c>
      <c r="D58" s="85" t="str">
        <f>IFERROR(INDEX($A$2:$A$98,MATCH(ROWS($C$2:C58),$C$2:$C$98,0)),"")</f>
        <v/>
      </c>
    </row>
    <row r="59" spans="1:4" ht="15.75" thickBot="1">
      <c r="A59" t="s">
        <v>21</v>
      </c>
      <c r="B59" s="85">
        <f>--ISNUMBER(IFERROR(SEARCH('Input Sheet'!$B$3,A59,1),""))</f>
        <v>0</v>
      </c>
      <c r="C59" s="85" t="str">
        <f>IF(B59=1,COUNTIF($B$2:B59,1),"")</f>
        <v/>
      </c>
      <c r="D59" s="85" t="str">
        <f>IFERROR(INDEX($A$2:$A$98,MATCH(ROWS($C$2:C59),$C$2:$C$98,0)),"")</f>
        <v/>
      </c>
    </row>
    <row r="60" spans="1:4" ht="15.75" thickBot="1">
      <c r="A60" t="s">
        <v>53</v>
      </c>
      <c r="B60" s="85">
        <f>--ISNUMBER(IFERROR(SEARCH('Input Sheet'!$B$3,A60,1),""))</f>
        <v>0</v>
      </c>
      <c r="C60" s="85" t="str">
        <f>IF(B60=1,COUNTIF($B$2:B60,1),"")</f>
        <v/>
      </c>
      <c r="D60" s="85" t="str">
        <f>IFERROR(INDEX($A$2:$A$98,MATCH(ROWS($C$2:C60),$C$2:$C$98,0)),"")</f>
        <v/>
      </c>
    </row>
    <row r="61" spans="1:4" ht="15.75" thickBot="1">
      <c r="A61" t="s">
        <v>81</v>
      </c>
      <c r="B61" s="85">
        <f>--ISNUMBER(IFERROR(SEARCH('Input Sheet'!$B$3,A61,1),""))</f>
        <v>0</v>
      </c>
      <c r="C61" s="85" t="str">
        <f>IF(B61=1,COUNTIF($B$2:B61,1),"")</f>
        <v/>
      </c>
      <c r="D61" s="85" t="str">
        <f>IFERROR(INDEX($A$2:$A$98,MATCH(ROWS($C$2:C61),$C$2:$C$98,0)),"")</f>
        <v/>
      </c>
    </row>
    <row r="62" spans="1:4" ht="15.75" thickBot="1">
      <c r="A62" t="s">
        <v>22</v>
      </c>
      <c r="B62" s="85">
        <f>--ISNUMBER(IFERROR(SEARCH('Input Sheet'!$B$3,A62,1),""))</f>
        <v>0</v>
      </c>
      <c r="C62" s="85" t="str">
        <f>IF(B62=1,COUNTIF($B$2:B62,1),"")</f>
        <v/>
      </c>
      <c r="D62" s="85" t="str">
        <f>IFERROR(INDEX($A$2:$A$98,MATCH(ROWS($C$2:C62),$C$2:$C$98,0)),"")</f>
        <v/>
      </c>
    </row>
    <row r="63" spans="1:4" ht="15.75" thickBot="1">
      <c r="A63" t="s">
        <v>82</v>
      </c>
      <c r="B63" s="85">
        <f>--ISNUMBER(IFERROR(SEARCH('Input Sheet'!$B$3,A63,1),""))</f>
        <v>0</v>
      </c>
      <c r="C63" s="85" t="str">
        <f>IF(B63=1,COUNTIF($B$2:B63,1),"")</f>
        <v/>
      </c>
      <c r="D63" s="85" t="str">
        <f>IFERROR(INDEX($A$2:$A$98,MATCH(ROWS($C$2:C63),$C$2:$C$98,0)),"")</f>
        <v/>
      </c>
    </row>
    <row r="64" spans="1:4" ht="15.75" thickBot="1">
      <c r="A64" t="s">
        <v>31</v>
      </c>
      <c r="B64" s="85">
        <f>--ISNUMBER(IFERROR(SEARCH('Input Sheet'!$B$3,A64,1),""))</f>
        <v>0</v>
      </c>
      <c r="C64" s="85" t="str">
        <f>IF(B64=1,COUNTIF($B$2:B64,1),"")</f>
        <v/>
      </c>
      <c r="D64" s="85" t="str">
        <f>IFERROR(INDEX($A$2:$A$98,MATCH(ROWS($C$2:C64),$C$2:$C$98,0)),"")</f>
        <v/>
      </c>
    </row>
    <row r="65" spans="1:4" ht="15.75" thickBot="1">
      <c r="A65" t="s">
        <v>83</v>
      </c>
      <c r="B65" s="85">
        <f>--ISNUMBER(IFERROR(SEARCH('Input Sheet'!$B$3,A65,1),""))</f>
        <v>0</v>
      </c>
      <c r="C65" s="85" t="str">
        <f>IF(B65=1,COUNTIF($B$2:B65,1),"")</f>
        <v/>
      </c>
      <c r="D65" s="85" t="str">
        <f>IFERROR(INDEX($A$2:$A$98,MATCH(ROWS($C$2:C65),$C$2:$C$98,0)),"")</f>
        <v/>
      </c>
    </row>
    <row r="66" spans="1:4" ht="15.75" thickBot="1">
      <c r="A66" t="s">
        <v>84</v>
      </c>
      <c r="B66" s="85">
        <f>--ISNUMBER(IFERROR(SEARCH('Input Sheet'!$B$3,A66,1),""))</f>
        <v>0</v>
      </c>
      <c r="C66" s="85" t="str">
        <f>IF(B66=1,COUNTIF($B$2:B66,1),"")</f>
        <v/>
      </c>
      <c r="D66" s="85" t="str">
        <f>IFERROR(INDEX($A$2:$A$98,MATCH(ROWS($C$2:C66),$C$2:$C$98,0)),"")</f>
        <v/>
      </c>
    </row>
    <row r="67" spans="1:4" ht="15.75" thickBot="1">
      <c r="A67" t="s">
        <v>98</v>
      </c>
      <c r="B67" s="85">
        <f>--ISNUMBER(IFERROR(SEARCH('Input Sheet'!$B$3,A67,1),""))</f>
        <v>0</v>
      </c>
      <c r="C67" s="85" t="str">
        <f>IF(B67=1,COUNTIF($B$2:B67,1),"")</f>
        <v/>
      </c>
      <c r="D67" s="85" t="str">
        <f>IFERROR(INDEX($A$2:$A$98,MATCH(ROWS($C$2:C67),$C$2:$C$98,0)),"")</f>
        <v/>
      </c>
    </row>
    <row r="68" spans="1:4" ht="15.75" thickBot="1">
      <c r="A68" t="s">
        <v>117</v>
      </c>
      <c r="B68" s="85">
        <f>--ISNUMBER(IFERROR(SEARCH('Input Sheet'!$B$3,A68,1),""))</f>
        <v>0</v>
      </c>
      <c r="C68" s="85" t="str">
        <f>IF(B68=1,COUNTIF($B$2:B68,1),"")</f>
        <v/>
      </c>
      <c r="D68" s="85" t="str">
        <f>IFERROR(INDEX($A$2:$A$98,MATCH(ROWS($C$2:C68),$C$2:$C$98,0)),"")</f>
        <v/>
      </c>
    </row>
    <row r="69" spans="1:4" ht="15.75" thickBot="1">
      <c r="A69" t="s">
        <v>85</v>
      </c>
      <c r="B69" s="85">
        <f>--ISNUMBER(IFERROR(SEARCH('Input Sheet'!$B$3,A69,1),""))</f>
        <v>0</v>
      </c>
      <c r="C69" s="85" t="str">
        <f>IF(B69=1,COUNTIF($B$2:B69,1),"")</f>
        <v/>
      </c>
      <c r="D69" s="85" t="str">
        <f>IFERROR(INDEX($A$2:$A$98,MATCH(ROWS($C$2:C69),$C$2:$C$98,0)),"")</f>
        <v/>
      </c>
    </row>
    <row r="70" spans="1:4" ht="15.75" thickBot="1">
      <c r="A70" t="s">
        <v>99</v>
      </c>
      <c r="B70" s="85">
        <f>--ISNUMBER(IFERROR(SEARCH('Input Sheet'!$B$3,A70,1),""))</f>
        <v>0</v>
      </c>
      <c r="C70" s="85" t="str">
        <f>IF(B70=1,COUNTIF($B$2:B70,1),"")</f>
        <v/>
      </c>
      <c r="D70" s="85" t="str">
        <f>IFERROR(INDEX($A$2:$A$98,MATCH(ROWS($C$2:C70),$C$2:$C$98,0)),"")</f>
        <v/>
      </c>
    </row>
    <row r="71" spans="1:4" ht="15.75" thickBot="1">
      <c r="A71" t="s">
        <v>100</v>
      </c>
      <c r="B71" s="85">
        <f>--ISNUMBER(IFERROR(SEARCH('Input Sheet'!$B$3,A71,1),""))</f>
        <v>0</v>
      </c>
      <c r="C71" s="85" t="str">
        <f>IF(B71=1,COUNTIF($B$2:B71,1),"")</f>
        <v/>
      </c>
      <c r="D71" s="85" t="str">
        <f>IFERROR(INDEX($A$2:$A$98,MATCH(ROWS($C$2:C71),$C$2:$C$98,0)),"")</f>
        <v/>
      </c>
    </row>
    <row r="72" spans="1:4" ht="15.75" thickBot="1">
      <c r="A72" t="s">
        <v>86</v>
      </c>
      <c r="B72" s="85">
        <f>--ISNUMBER(IFERROR(SEARCH('Input Sheet'!$B$3,A72,1),""))</f>
        <v>0</v>
      </c>
      <c r="C72" s="85" t="str">
        <f>IF(B72=1,COUNTIF($B$2:B72,1),"")</f>
        <v/>
      </c>
      <c r="D72" s="85" t="str">
        <f>IFERROR(INDEX($A$2:$A$98,MATCH(ROWS($C$2:C72),$C$2:$C$98,0)),"")</f>
        <v/>
      </c>
    </row>
    <row r="73" spans="1:4" ht="15.75" thickBot="1">
      <c r="A73" t="s">
        <v>23</v>
      </c>
      <c r="B73" s="85">
        <f>--ISNUMBER(IFERROR(SEARCH('Input Sheet'!$B$3,A73,1),""))</f>
        <v>0</v>
      </c>
      <c r="C73" s="85" t="str">
        <f>IF(B73=1,COUNTIF($B$2:B73,1),"")</f>
        <v/>
      </c>
      <c r="D73" s="85" t="str">
        <f>IFERROR(INDEX($A$2:$A$98,MATCH(ROWS($C$2:C73),$C$2:$C$98,0)),"")</f>
        <v/>
      </c>
    </row>
    <row r="74" spans="1:4" ht="15.75" thickBot="1">
      <c r="A74" t="s">
        <v>87</v>
      </c>
      <c r="B74" s="85">
        <f>--ISNUMBER(IFERROR(SEARCH('Input Sheet'!$B$3,A74,1),""))</f>
        <v>0</v>
      </c>
      <c r="C74" s="85" t="str">
        <f>IF(B74=1,COUNTIF($B$2:B74,1),"")</f>
        <v/>
      </c>
      <c r="D74" s="85" t="str">
        <f>IFERROR(INDEX($A$2:$A$98,MATCH(ROWS($C$2:C74),$C$2:$C$98,0)),"")</f>
        <v/>
      </c>
    </row>
    <row r="75" spans="1:4" ht="15.75" thickBot="1">
      <c r="A75" t="s">
        <v>24</v>
      </c>
      <c r="B75" s="85">
        <f>--ISNUMBER(IFERROR(SEARCH('Input Sheet'!$B$3,A75,1),""))</f>
        <v>0</v>
      </c>
      <c r="C75" s="85" t="str">
        <f>IF(B75=1,COUNTIF($B$2:B75,1),"")</f>
        <v/>
      </c>
      <c r="D75" s="85" t="str">
        <f>IFERROR(INDEX($A$2:$A$98,MATCH(ROWS($C$2:C75),$C$2:$C$98,0)),"")</f>
        <v/>
      </c>
    </row>
    <row r="76" spans="1:4" ht="15.75" thickBot="1">
      <c r="A76" t="s">
        <v>88</v>
      </c>
      <c r="B76" s="85">
        <f>--ISNUMBER(IFERROR(SEARCH('Input Sheet'!$B$3,A76,1),""))</f>
        <v>0</v>
      </c>
      <c r="C76" s="85" t="str">
        <f>IF(B76=1,COUNTIF($B$2:B76,1),"")</f>
        <v/>
      </c>
      <c r="D76" s="85" t="str">
        <f>IFERROR(INDEX($A$2:$A$98,MATCH(ROWS($C$2:C76),$C$2:$C$98,0)),"")</f>
        <v/>
      </c>
    </row>
    <row r="77" spans="1:4" ht="15.75" thickBot="1">
      <c r="A77" t="s">
        <v>25</v>
      </c>
      <c r="B77" s="85">
        <f>--ISNUMBER(IFERROR(SEARCH('Input Sheet'!$B$3,A77,1),""))</f>
        <v>0</v>
      </c>
      <c r="C77" s="85" t="str">
        <f>IF(B77=1,COUNTIF($B$2:B77,1),"")</f>
        <v/>
      </c>
      <c r="D77" s="85" t="str">
        <f>IFERROR(INDEX($A$2:$A$98,MATCH(ROWS($C$2:C77),$C$2:$C$98,0)),"")</f>
        <v/>
      </c>
    </row>
    <row r="78" spans="1:4" ht="15.75" thickBot="1">
      <c r="A78" t="s">
        <v>26</v>
      </c>
      <c r="B78" s="85">
        <f>--ISNUMBER(IFERROR(SEARCH('Input Sheet'!$B$3,A78,1),""))</f>
        <v>0</v>
      </c>
      <c r="C78" s="85" t="str">
        <f>IF(B78=1,COUNTIF($B$2:B78,1),"")</f>
        <v/>
      </c>
      <c r="D78" s="85" t="str">
        <f>IFERROR(INDEX($A$2:$A$98,MATCH(ROWS($C$2:C78),$C$2:$C$98,0)),"")</f>
        <v/>
      </c>
    </row>
    <row r="79" spans="1:4" ht="15.75" thickBot="1">
      <c r="A79" t="s">
        <v>27</v>
      </c>
      <c r="B79" s="85">
        <f>--ISNUMBER(IFERROR(SEARCH('Input Sheet'!$B$3,A79,1),""))</f>
        <v>0</v>
      </c>
      <c r="C79" s="85" t="str">
        <f>IF(B79=1,COUNTIF($B$2:B79,1),"")</f>
        <v/>
      </c>
      <c r="D79" s="85" t="str">
        <f>IFERROR(INDEX($A$2:$A$98,MATCH(ROWS($C$2:C79),$C$2:$C$98,0)),"")</f>
        <v/>
      </c>
    </row>
    <row r="80" spans="1:4" ht="15.75" thickBot="1">
      <c r="A80" t="s">
        <v>28</v>
      </c>
      <c r="B80" s="85">
        <f>--ISNUMBER(IFERROR(SEARCH('Input Sheet'!$B$3,A80,1),""))</f>
        <v>0</v>
      </c>
      <c r="C80" s="85" t="str">
        <f>IF(B80=1,COUNTIF($B$2:B80,1),"")</f>
        <v/>
      </c>
      <c r="D80" s="85" t="str">
        <f>IFERROR(INDEX($A$2:$A$98,MATCH(ROWS($C$2:C80),$C$2:$C$98,0)),"")</f>
        <v/>
      </c>
    </row>
    <row r="81" spans="1:4" ht="15.75" thickBot="1">
      <c r="A81" t="s">
        <v>89</v>
      </c>
      <c r="B81" s="85">
        <f>--ISNUMBER(IFERROR(SEARCH('Input Sheet'!$B$3,A81,1),""))</f>
        <v>0</v>
      </c>
      <c r="C81" s="85" t="str">
        <f>IF(B81=1,COUNTIF($B$2:B81,1),"")</f>
        <v/>
      </c>
      <c r="D81" s="85" t="str">
        <f>IFERROR(INDEX($A$2:$A$98,MATCH(ROWS($C$2:C81),$C$2:$C$98,0)),"")</f>
        <v/>
      </c>
    </row>
    <row r="82" spans="1:4" ht="15.75" thickBot="1">
      <c r="A82" t="s">
        <v>90</v>
      </c>
      <c r="B82" s="85">
        <f>--ISNUMBER(IFERROR(SEARCH('Input Sheet'!$B$3,A82,1),""))</f>
        <v>0</v>
      </c>
      <c r="C82" s="85" t="str">
        <f>IF(B82=1,COUNTIF($B$2:B82,1),"")</f>
        <v/>
      </c>
      <c r="D82" s="85" t="str">
        <f>IFERROR(INDEX($A$2:$A$98,MATCH(ROWS($C$2:C82),$C$2:$C$98,0)),"")</f>
        <v/>
      </c>
    </row>
    <row r="83" spans="1:4" ht="15.75" thickBot="1">
      <c r="A83" t="s">
        <v>91</v>
      </c>
      <c r="B83" s="85">
        <f>--ISNUMBER(IFERROR(SEARCH('Input Sheet'!$B$3,A83,1),""))</f>
        <v>0</v>
      </c>
      <c r="C83" s="85" t="str">
        <f>IF(B83=1,COUNTIF($B$2:B83,1),"")</f>
        <v/>
      </c>
      <c r="D83" s="85" t="str">
        <f>IFERROR(INDEX($A$2:$A$98,MATCH(ROWS($C$2:C83),$C$2:$C$98,0)),"")</f>
        <v/>
      </c>
    </row>
    <row r="84" spans="1:4" ht="15.75" thickBot="1">
      <c r="A84" t="s">
        <v>92</v>
      </c>
      <c r="B84" s="85">
        <f>--ISNUMBER(IFERROR(SEARCH('Input Sheet'!$B$3,A84,1),""))</f>
        <v>0</v>
      </c>
      <c r="C84" s="85" t="str">
        <f>IF(B84=1,COUNTIF($B$2:B84,1),"")</f>
        <v/>
      </c>
      <c r="D84" s="85" t="str">
        <f>IFERROR(INDEX($A$2:$A$98,MATCH(ROWS($C$2:C84),$C$2:$C$98,0)),"")</f>
        <v/>
      </c>
    </row>
    <row r="85" spans="1:4" ht="15.75" thickBot="1">
      <c r="A85" t="s">
        <v>29</v>
      </c>
      <c r="B85" s="85">
        <f>--ISNUMBER(IFERROR(SEARCH('Input Sheet'!$B$3,A85,1),""))</f>
        <v>0</v>
      </c>
      <c r="C85" s="85" t="str">
        <f>IF(B85=1,COUNTIF($B$2:B85,1),"")</f>
        <v/>
      </c>
      <c r="D85" s="85" t="str">
        <f>IFERROR(INDEX($A$2:$A$98,MATCH(ROWS($C$2:C85),$C$2:$C$98,0)),"")</f>
        <v/>
      </c>
    </row>
    <row r="86" spans="1:4" ht="15.75" thickBot="1">
      <c r="A86" t="s">
        <v>93</v>
      </c>
      <c r="B86" s="85">
        <f>--ISNUMBER(IFERROR(SEARCH('Input Sheet'!$B$3,A86,1),""))</f>
        <v>0</v>
      </c>
      <c r="C86" s="85" t="str">
        <f>IF(B86=1,COUNTIF($B$2:B86,1),"")</f>
        <v/>
      </c>
      <c r="D86" s="85" t="str">
        <f>IFERROR(INDEX($A$2:$A$98,MATCH(ROWS($C$2:C86),$C$2:$C$98,0)),"")</f>
        <v/>
      </c>
    </row>
    <row r="87" spans="1:4" ht="15.75" thickBot="1">
      <c r="A87" t="s">
        <v>155</v>
      </c>
      <c r="B87" s="85">
        <f>--ISNUMBER(IFERROR(SEARCH('Input Sheet'!$B$3,A87,1),""))</f>
        <v>0</v>
      </c>
      <c r="C87" s="85" t="str">
        <f>IF(B87=1,COUNTIF($B$2:B87,1),"")</f>
        <v/>
      </c>
      <c r="D87" s="85" t="str">
        <f>IFERROR(INDEX($A$2:$A$98,MATCH(ROWS($C$2:C87),$C$2:$C$98,0)),"")</f>
        <v/>
      </c>
    </row>
    <row r="88" spans="1:4" ht="15.75" thickBot="1">
      <c r="A88" t="s">
        <v>156</v>
      </c>
      <c r="B88" s="85">
        <f>--ISNUMBER(IFERROR(SEARCH('Input Sheet'!$B$3,A88,1),""))</f>
        <v>0</v>
      </c>
      <c r="C88" s="85" t="str">
        <f>IF(B88=1,COUNTIF($B$2:B88,1),"")</f>
        <v/>
      </c>
      <c r="D88" s="85" t="str">
        <f>IFERROR(INDEX($A$2:$A$98,MATCH(ROWS($C$2:C88),$C$2:$C$98,0)),"")</f>
        <v/>
      </c>
    </row>
    <row r="89" spans="1:4" ht="15.75" thickBot="1">
      <c r="A89" t="s">
        <v>157</v>
      </c>
      <c r="B89" s="85">
        <f>--ISNUMBER(IFERROR(SEARCH('Input Sheet'!$B$3,A89,1),""))</f>
        <v>0</v>
      </c>
      <c r="C89" s="85" t="str">
        <f>IF(B89=1,COUNTIF($B$2:B89,1),"")</f>
        <v/>
      </c>
      <c r="D89" s="85" t="str">
        <f>IFERROR(INDEX($A$2:$A$98,MATCH(ROWS($C$2:C89),$C$2:$C$98,0)),"")</f>
        <v/>
      </c>
    </row>
    <row r="90" spans="1:4" ht="15.75" thickBot="1">
      <c r="A90" t="s">
        <v>158</v>
      </c>
      <c r="B90" s="85">
        <f>--ISNUMBER(IFERROR(SEARCH('Input Sheet'!$B$3,A90,1),""))</f>
        <v>0</v>
      </c>
      <c r="C90" s="85" t="str">
        <f>IF(B90=1,COUNTIF($B$2:B90,1),"")</f>
        <v/>
      </c>
      <c r="D90" s="85" t="str">
        <f>IFERROR(INDEX($A$2:$A$98,MATCH(ROWS($C$2:C90),$C$2:$C$98,0)),"")</f>
        <v/>
      </c>
    </row>
    <row r="91" spans="1:4" ht="15.75" thickBot="1">
      <c r="A91" t="s">
        <v>159</v>
      </c>
      <c r="B91" s="85">
        <f>--ISNUMBER(IFERROR(SEARCH('Input Sheet'!$B$3,A91,1),""))</f>
        <v>0</v>
      </c>
      <c r="C91" s="85" t="str">
        <f>IF(B91=1,COUNTIF($B$2:B91,1),"")</f>
        <v/>
      </c>
      <c r="D91" s="85" t="str">
        <f>IFERROR(INDEX($A$2:$A$98,MATCH(ROWS($C$2:C91),$C$2:$C$98,0)),"")</f>
        <v/>
      </c>
    </row>
    <row r="92" spans="1:4" ht="15.75" thickBot="1">
      <c r="A92" t="s">
        <v>160</v>
      </c>
      <c r="B92" s="85">
        <f>--ISNUMBER(IFERROR(SEARCH('Input Sheet'!$B$3,A92,1),""))</f>
        <v>0</v>
      </c>
      <c r="C92" s="85" t="str">
        <f>IF(B92=1,COUNTIF($B$2:B92,1),"")</f>
        <v/>
      </c>
      <c r="D92" s="85" t="str">
        <f>IFERROR(INDEX($A$2:$A$98,MATCH(ROWS($C$2:C92),$C$2:$C$98,0)),"")</f>
        <v/>
      </c>
    </row>
    <row r="93" spans="1:4" ht="15.75" thickBot="1">
      <c r="A93" t="s">
        <v>161</v>
      </c>
      <c r="B93" s="85">
        <f>--ISNUMBER(IFERROR(SEARCH('Input Sheet'!$B$3,A93,1),""))</f>
        <v>0</v>
      </c>
      <c r="C93" s="85" t="str">
        <f>IF(B93=1,COUNTIF($B$2:B93,1),"")</f>
        <v/>
      </c>
      <c r="D93" s="85" t="str">
        <f>IFERROR(INDEX($A$2:$A$98,MATCH(ROWS($C$2:C93),$C$2:$C$98,0)),"")</f>
        <v/>
      </c>
    </row>
    <row r="94" spans="1:4" ht="15.75" thickBot="1">
      <c r="A94" t="s">
        <v>163</v>
      </c>
      <c r="B94" s="85">
        <f>--ISNUMBER(IFERROR(SEARCH('Input Sheet'!$B$3,A94,1),""))</f>
        <v>0</v>
      </c>
      <c r="C94" s="85" t="str">
        <f>IF(B94=1,COUNTIF($B$2:B94,1),"")</f>
        <v/>
      </c>
      <c r="D94" s="85" t="str">
        <f>IFERROR(INDEX($A$2:$A$98,MATCH(ROWS($C$2:C94),$C$2:$C$98,0)),"")</f>
        <v/>
      </c>
    </row>
    <row r="95" spans="1:4" ht="15.75" thickBot="1">
      <c r="A95" t="s">
        <v>164</v>
      </c>
      <c r="B95" s="85">
        <f>--ISNUMBER(IFERROR(SEARCH('Input Sheet'!$B$3,A95,1),""))</f>
        <v>0</v>
      </c>
      <c r="C95" s="85" t="str">
        <f>IF(B95=1,COUNTIF($B$2:B95,1),"")</f>
        <v/>
      </c>
      <c r="D95" s="85" t="str">
        <f>IFERROR(INDEX($A$2:$A$98,MATCH(ROWS($C$2:C95),$C$2:$C$98,0)),"")</f>
        <v/>
      </c>
    </row>
    <row r="96" spans="1:4" ht="15.75" thickBot="1">
      <c r="A96" t="s">
        <v>165</v>
      </c>
      <c r="B96" s="85">
        <f>--ISNUMBER(IFERROR(SEARCH('Input Sheet'!$B$3,A96,1),""))</f>
        <v>0</v>
      </c>
      <c r="C96" s="85" t="str">
        <f>IF(B96=1,COUNTIF($B$2:B96,1),"")</f>
        <v/>
      </c>
      <c r="D96" s="85" t="str">
        <f>IFERROR(INDEX($A$2:$A$98,MATCH(ROWS($C$2:C96),$C$2:$C$98,0)),"")</f>
        <v/>
      </c>
    </row>
    <row r="97" spans="1:4" ht="15.75" thickBot="1">
      <c r="A97" t="s">
        <v>166</v>
      </c>
      <c r="B97" s="85">
        <f>--ISNUMBER(IFERROR(SEARCH('Input Sheet'!$B$3,A97,1),""))</f>
        <v>0</v>
      </c>
      <c r="C97" s="85" t="str">
        <f>IF(B97=1,COUNTIF($B$2:B97,1),"")</f>
        <v/>
      </c>
      <c r="D97" s="85" t="str">
        <f>IFERROR(INDEX($A$2:$A$98,MATCH(ROWS($C$2:C97),$C$2:$C$98,0)),"")</f>
        <v/>
      </c>
    </row>
    <row r="98" spans="1:4" ht="15.75" thickBot="1">
      <c r="A98" t="s">
        <v>162</v>
      </c>
      <c r="B98" s="85">
        <f>--ISNUMBER(IFERROR(SEARCH('Input Sheet'!$B$3,A98,1),""))</f>
        <v>0</v>
      </c>
      <c r="C98" s="85" t="str">
        <f>IF(B98=1,COUNTIF($B$2:B98,1),"")</f>
        <v/>
      </c>
      <c r="D98" s="85" t="str">
        <f>IFERROR(INDEX($A$2:$A$98,MATCH(ROWS($C$2:C98),$C$2:$C$98,0)),"")</f>
        <v/>
      </c>
    </row>
  </sheetData>
  <sheetProtection algorithmName="SHA-512" hashValue="ord+MRWD7gs1vHGRIauXPLjNab98sHXtGEzU+FeXIdPHqye7wexiytZB7JxntJXzhUrQGd1iG2kBOjl17hdgug==" saltValue="pbWi6+tv3Z4brQXGE9vpGQ==" spinCount="100000" sheet="1" objects="1" scenarios="1"/>
  <sortState xmlns:xlrd2="http://schemas.microsoft.com/office/spreadsheetml/2017/richdata2" ref="H2:H16">
    <sortCondition ref="H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K7"/>
  <sheetViews>
    <sheetView tabSelected="1" zoomScale="180" zoomScaleNormal="180" workbookViewId="0">
      <selection activeCell="E3" sqref="E3"/>
    </sheetView>
  </sheetViews>
  <sheetFormatPr defaultRowHeight="15"/>
  <cols>
    <col min="1" max="1" width="11.28515625" bestFit="1" customWidth="1"/>
    <col min="6" max="6" width="9" customWidth="1"/>
    <col min="7" max="7" width="11.28515625" bestFit="1" customWidth="1"/>
  </cols>
  <sheetData>
    <row r="1" spans="1:11">
      <c r="A1" s="187" t="s">
        <v>148</v>
      </c>
      <c r="B1" s="188"/>
      <c r="C1" s="188"/>
      <c r="D1" s="188"/>
      <c r="E1" s="188"/>
      <c r="F1" s="188"/>
      <c r="G1" s="188"/>
      <c r="H1" s="188"/>
      <c r="I1" s="188"/>
      <c r="J1" s="188"/>
      <c r="K1" s="188"/>
    </row>
    <row r="2" spans="1:11">
      <c r="A2" s="189" t="s">
        <v>149</v>
      </c>
      <c r="B2" s="189"/>
      <c r="C2" s="189"/>
      <c r="D2" s="189"/>
      <c r="E2" s="189"/>
      <c r="F2" s="152"/>
      <c r="G2" s="189" t="s">
        <v>150</v>
      </c>
      <c r="H2" s="189"/>
      <c r="I2" s="189"/>
      <c r="J2" s="189"/>
      <c r="K2" s="189"/>
    </row>
    <row r="3" spans="1:11">
      <c r="A3" s="153"/>
      <c r="B3" s="154">
        <v>1</v>
      </c>
      <c r="C3" s="154">
        <v>0.9</v>
      </c>
      <c r="D3" s="154">
        <v>0.75</v>
      </c>
      <c r="E3" s="154">
        <v>0.5</v>
      </c>
      <c r="F3" s="152"/>
      <c r="G3" s="153"/>
      <c r="H3" s="154">
        <v>1</v>
      </c>
      <c r="I3" s="154">
        <v>0.9</v>
      </c>
      <c r="J3" s="154">
        <v>0.75</v>
      </c>
      <c r="K3" s="154">
        <v>0.5</v>
      </c>
    </row>
    <row r="4" spans="1:11">
      <c r="A4" s="155" t="s">
        <v>151</v>
      </c>
      <c r="B4" s="156">
        <v>7</v>
      </c>
      <c r="C4" s="156">
        <v>5</v>
      </c>
      <c r="D4" s="156">
        <v>4</v>
      </c>
      <c r="E4" s="156">
        <v>2.5</v>
      </c>
      <c r="F4" s="152"/>
      <c r="G4" s="155" t="s">
        <v>151</v>
      </c>
      <c r="H4" s="156">
        <v>7.5</v>
      </c>
      <c r="I4" s="156">
        <v>6.5</v>
      </c>
      <c r="J4" s="156">
        <v>4</v>
      </c>
      <c r="K4" s="156">
        <v>1.5</v>
      </c>
    </row>
    <row r="5" spans="1:11">
      <c r="A5" s="155" t="s">
        <v>152</v>
      </c>
      <c r="B5" s="156">
        <v>5.5</v>
      </c>
      <c r="C5" s="156">
        <v>5.5</v>
      </c>
      <c r="D5" s="156">
        <v>3.5</v>
      </c>
      <c r="E5" s="156">
        <v>1.5</v>
      </c>
      <c r="F5" s="152"/>
      <c r="G5" s="155" t="s">
        <v>152</v>
      </c>
      <c r="H5" s="156">
        <v>9</v>
      </c>
      <c r="I5" s="156">
        <v>7</v>
      </c>
      <c r="J5" s="156">
        <v>5</v>
      </c>
      <c r="K5" s="156">
        <v>2</v>
      </c>
    </row>
    <row r="6" spans="1:11">
      <c r="A6" s="155" t="s">
        <v>153</v>
      </c>
      <c r="B6" s="156">
        <v>9</v>
      </c>
      <c r="C6" s="156">
        <v>7</v>
      </c>
      <c r="D6" s="156">
        <v>5</v>
      </c>
      <c r="E6" s="156">
        <v>2</v>
      </c>
      <c r="F6" s="152"/>
      <c r="G6" s="155" t="s">
        <v>153</v>
      </c>
      <c r="H6" s="156">
        <v>9.5</v>
      </c>
      <c r="I6" s="156">
        <v>7.5</v>
      </c>
      <c r="J6" s="156">
        <v>6</v>
      </c>
      <c r="K6" s="156">
        <v>3</v>
      </c>
    </row>
    <row r="7" spans="1:11">
      <c r="A7" s="155" t="s">
        <v>154</v>
      </c>
      <c r="B7" s="157">
        <f>SUM(B4:B6)</f>
        <v>21.5</v>
      </c>
      <c r="C7" s="157">
        <f>SUM(C4:C6)</f>
        <v>17.5</v>
      </c>
      <c r="D7" s="157">
        <f>SUM(D4:D6)</f>
        <v>12.5</v>
      </c>
      <c r="E7" s="157">
        <f>SUM(E4:E6)</f>
        <v>6</v>
      </c>
      <c r="F7" s="152"/>
      <c r="G7" s="155" t="s">
        <v>154</v>
      </c>
      <c r="H7" s="157">
        <f>SUM(H4:H6)</f>
        <v>26</v>
      </c>
      <c r="I7" s="157">
        <f>SUM(I4:I6)</f>
        <v>21</v>
      </c>
      <c r="J7" s="157">
        <f>SUM(J4:J6)</f>
        <v>15</v>
      </c>
      <c r="K7" s="157">
        <f>SUM(K4:K6)</f>
        <v>6.5</v>
      </c>
    </row>
  </sheetData>
  <sheetProtection algorithmName="SHA-512" hashValue="JCUrspqlVo9E3LrheSDpNjhB4Cjpm8R/8+PdkTUfGZaE/BrCUyxVK1vxnxpv4OFKu7qeLo46quBQG97JGiJQSw==" saltValue="X+JXmeJXGI62jJpFEfMq+Q==" spinCount="100000" sheet="1" objects="1" scenarios="1"/>
  <mergeCells count="3">
    <mergeCell ref="A1:K1"/>
    <mergeCell ref="A2:E2"/>
    <mergeCell ref="G2:K2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U229"/>
  <sheetViews>
    <sheetView zoomScaleNormal="100" workbookViewId="0">
      <pane ySplit="6" topLeftCell="A40" activePane="bottomLeft" state="frozen"/>
      <selection activeCell="E33" sqref="E33"/>
      <selection pane="bottomLeft" activeCell="L6" sqref="L6"/>
    </sheetView>
  </sheetViews>
  <sheetFormatPr defaultRowHeight="15"/>
  <cols>
    <col min="1" max="1" width="25.85546875" customWidth="1"/>
    <col min="2" max="2" width="8.7109375" customWidth="1"/>
    <col min="3" max="3" width="6.140625" customWidth="1"/>
    <col min="4" max="4" width="6.7109375" customWidth="1"/>
    <col min="5" max="5" width="7.7109375" customWidth="1"/>
    <col min="6" max="6" width="10.5703125" customWidth="1"/>
    <col min="7" max="7" width="7.140625" customWidth="1"/>
    <col min="8" max="8" width="6.7109375" customWidth="1"/>
    <col min="9" max="9" width="7.140625" customWidth="1"/>
    <col min="10" max="10" width="11.42578125" customWidth="1"/>
    <col min="11" max="11" width="7.42578125" customWidth="1"/>
    <col min="12" max="12" width="8.7109375" customWidth="1"/>
    <col min="14" max="14" width="9.140625" customWidth="1"/>
    <col min="15" max="15" width="11.42578125" customWidth="1"/>
    <col min="16" max="16" width="18.5703125" hidden="1" customWidth="1"/>
    <col min="17" max="21" width="0" hidden="1" customWidth="1"/>
  </cols>
  <sheetData>
    <row r="1" spans="1:21" ht="24" customHeight="1" thickBot="1">
      <c r="A1" s="191" t="s">
        <v>174</v>
      </c>
      <c r="B1" s="190"/>
      <c r="C1" s="192"/>
      <c r="D1" s="192"/>
      <c r="E1" s="192"/>
      <c r="F1" s="192"/>
      <c r="G1" s="192"/>
      <c r="H1" s="192"/>
      <c r="I1" s="192"/>
      <c r="J1" s="192"/>
      <c r="K1" s="192"/>
      <c r="L1" s="193"/>
      <c r="N1" s="174"/>
      <c r="O1" s="175"/>
    </row>
    <row r="2" spans="1:21" ht="24" hidden="1" customHeight="1" thickBot="1">
      <c r="A2" s="95"/>
      <c r="B2" s="88"/>
      <c r="C2" s="190" t="s">
        <v>122</v>
      </c>
      <c r="D2" s="190"/>
      <c r="E2" s="190" t="s">
        <v>124</v>
      </c>
      <c r="F2" s="190"/>
      <c r="G2" s="190" t="s">
        <v>123</v>
      </c>
      <c r="H2" s="190"/>
      <c r="I2" s="190" t="s">
        <v>125</v>
      </c>
      <c r="J2" s="190"/>
      <c r="K2" s="190" t="s">
        <v>136</v>
      </c>
      <c r="L2" s="204"/>
      <c r="N2" s="96"/>
      <c r="O2" s="97"/>
    </row>
    <row r="3" spans="1:21" ht="24" customHeight="1">
      <c r="A3" s="194" t="s">
        <v>32</v>
      </c>
      <c r="B3" s="197" t="s">
        <v>40</v>
      </c>
      <c r="C3" s="200" t="s">
        <v>122</v>
      </c>
      <c r="D3" s="201"/>
      <c r="E3" s="200" t="s">
        <v>124</v>
      </c>
      <c r="F3" s="201"/>
      <c r="G3" s="200" t="s">
        <v>123</v>
      </c>
      <c r="H3" s="201"/>
      <c r="I3" s="200" t="s">
        <v>175</v>
      </c>
      <c r="J3" s="201"/>
      <c r="K3" s="200" t="s">
        <v>176</v>
      </c>
      <c r="L3" s="201"/>
    </row>
    <row r="4" spans="1:21" s="2" customFormat="1" ht="37.5" customHeight="1">
      <c r="A4" s="195"/>
      <c r="B4" s="198"/>
      <c r="C4" s="202"/>
      <c r="D4" s="203"/>
      <c r="E4" s="202"/>
      <c r="F4" s="203"/>
      <c r="G4" s="202"/>
      <c r="H4" s="203"/>
      <c r="I4" s="202"/>
      <c r="J4" s="203"/>
      <c r="K4" s="202"/>
      <c r="L4" s="203"/>
    </row>
    <row r="5" spans="1:21" s="2" customFormat="1" ht="19.5" customHeight="1">
      <c r="A5" s="195"/>
      <c r="B5" s="198"/>
      <c r="C5" s="73">
        <v>1</v>
      </c>
      <c r="D5" s="75">
        <v>0.75</v>
      </c>
      <c r="E5" s="73">
        <v>1</v>
      </c>
      <c r="F5" s="75">
        <v>0.75</v>
      </c>
      <c r="G5" s="73">
        <v>1</v>
      </c>
      <c r="H5" s="75">
        <v>0.75</v>
      </c>
      <c r="I5" s="73">
        <v>1</v>
      </c>
      <c r="J5" s="75">
        <v>0.75</v>
      </c>
      <c r="K5" s="73">
        <v>1</v>
      </c>
      <c r="L5" s="74">
        <v>0.75</v>
      </c>
    </row>
    <row r="6" spans="1:21" s="3" customFormat="1" ht="15.75" customHeight="1" thickBot="1">
      <c r="A6" s="196"/>
      <c r="B6" s="199"/>
      <c r="C6" s="79">
        <v>30</v>
      </c>
      <c r="D6" s="80">
        <f>C6*D5</f>
        <v>22.5</v>
      </c>
      <c r="E6" s="79">
        <v>83.7</v>
      </c>
      <c r="F6" s="80">
        <f>E6*F5</f>
        <v>62.775000000000006</v>
      </c>
      <c r="G6" s="79">
        <v>59.4</v>
      </c>
      <c r="H6" s="80">
        <f>G6*H5</f>
        <v>44.55</v>
      </c>
      <c r="I6" s="79">
        <v>80.7</v>
      </c>
      <c r="J6" s="80">
        <f>I6*J5</f>
        <v>60.525000000000006</v>
      </c>
      <c r="K6" s="79">
        <v>113</v>
      </c>
      <c r="L6" s="81">
        <f>K6*L5</f>
        <v>84.75</v>
      </c>
      <c r="M6" s="183" t="s">
        <v>195</v>
      </c>
      <c r="P6" s="82" t="s">
        <v>101</v>
      </c>
      <c r="Q6" s="82" t="s">
        <v>103</v>
      </c>
      <c r="R6" s="84" t="s">
        <v>102</v>
      </c>
      <c r="T6" s="82" t="s">
        <v>112</v>
      </c>
      <c r="U6" s="82" t="s">
        <v>113</v>
      </c>
    </row>
    <row r="7" spans="1:21" s="3" customFormat="1" ht="15.75" customHeight="1" thickBot="1">
      <c r="A7" s="90"/>
      <c r="B7" s="176"/>
      <c r="C7" s="91"/>
      <c r="D7" s="92"/>
      <c r="E7" s="91"/>
      <c r="F7" s="92"/>
      <c r="G7" s="91"/>
      <c r="H7" s="92"/>
      <c r="I7" s="91"/>
      <c r="J7" s="92"/>
      <c r="K7" s="93"/>
      <c r="L7" s="94"/>
      <c r="P7" s="82"/>
      <c r="Q7" s="82"/>
      <c r="R7" s="84"/>
      <c r="T7" s="82"/>
      <c r="U7" s="82"/>
    </row>
    <row r="8" spans="1:21">
      <c r="A8" s="13" t="s">
        <v>60</v>
      </c>
      <c r="B8" s="166">
        <v>1.44</v>
      </c>
      <c r="C8" s="106">
        <f>B8*$C$6</f>
        <v>43.199999999999996</v>
      </c>
      <c r="D8" s="107">
        <f>B8*$D$6</f>
        <v>32.4</v>
      </c>
      <c r="E8" s="106">
        <f>B8*$E$6</f>
        <v>120.52800000000001</v>
      </c>
      <c r="F8" s="107">
        <f>B8*$F$6</f>
        <v>90.396000000000001</v>
      </c>
      <c r="G8" s="106">
        <f>B8*$G$6</f>
        <v>85.536000000000001</v>
      </c>
      <c r="H8" s="107">
        <f>B8*$H$6</f>
        <v>64.151999999999987</v>
      </c>
      <c r="I8" s="106">
        <f>B8*$I$6</f>
        <v>116.208</v>
      </c>
      <c r="J8" s="107">
        <f>B8*$J$6</f>
        <v>87.156000000000006</v>
      </c>
      <c r="K8" s="108">
        <f>B8*$K$6</f>
        <v>162.72</v>
      </c>
      <c r="L8" s="109">
        <f>B8*$L$6</f>
        <v>122.03999999999999</v>
      </c>
      <c r="M8" s="1"/>
    </row>
    <row r="9" spans="1:21">
      <c r="A9" s="14" t="s">
        <v>61</v>
      </c>
      <c r="B9" s="167">
        <v>1.51</v>
      </c>
      <c r="C9" s="110">
        <f t="shared" ref="C9:C78" si="0">B9*$C$6</f>
        <v>45.3</v>
      </c>
      <c r="D9" s="111">
        <f t="shared" ref="D9:D78" si="1">B9*$D$6</f>
        <v>33.975000000000001</v>
      </c>
      <c r="E9" s="110">
        <f t="shared" ref="E9:E78" si="2">B9*$E$6</f>
        <v>126.387</v>
      </c>
      <c r="F9" s="111">
        <f t="shared" ref="F9:F78" si="3">B9*$F$6</f>
        <v>94.790250000000015</v>
      </c>
      <c r="G9" s="110">
        <f t="shared" ref="G9:G78" si="4">B9*$G$6</f>
        <v>89.694000000000003</v>
      </c>
      <c r="H9" s="111">
        <f t="shared" ref="H9:H78" si="5">B9*$H$6</f>
        <v>67.270499999999998</v>
      </c>
      <c r="I9" s="110">
        <f t="shared" ref="I9:I78" si="6">B9*$I$6</f>
        <v>121.857</v>
      </c>
      <c r="J9" s="111">
        <f t="shared" ref="J9:J78" si="7">B9*$J$6</f>
        <v>91.392750000000007</v>
      </c>
      <c r="K9" s="112">
        <f t="shared" ref="K9:K78" si="8">B9*$K$6</f>
        <v>170.63</v>
      </c>
      <c r="L9" s="113">
        <f t="shared" ref="L9:L78" si="9">B9*$L$6</f>
        <v>127.9725</v>
      </c>
      <c r="M9" s="1"/>
    </row>
    <row r="10" spans="1:21">
      <c r="A10" s="14" t="s">
        <v>62</v>
      </c>
      <c r="B10" s="167">
        <v>1.44</v>
      </c>
      <c r="C10" s="110">
        <f t="shared" si="0"/>
        <v>43.199999999999996</v>
      </c>
      <c r="D10" s="111">
        <f t="shared" si="1"/>
        <v>32.4</v>
      </c>
      <c r="E10" s="110">
        <f t="shared" si="2"/>
        <v>120.52800000000001</v>
      </c>
      <c r="F10" s="111">
        <f t="shared" si="3"/>
        <v>90.396000000000001</v>
      </c>
      <c r="G10" s="110">
        <f t="shared" si="4"/>
        <v>85.536000000000001</v>
      </c>
      <c r="H10" s="111">
        <f t="shared" si="5"/>
        <v>64.151999999999987</v>
      </c>
      <c r="I10" s="110">
        <f t="shared" si="6"/>
        <v>116.208</v>
      </c>
      <c r="J10" s="111">
        <f t="shared" si="7"/>
        <v>87.156000000000006</v>
      </c>
      <c r="K10" s="112">
        <f t="shared" si="8"/>
        <v>162.72</v>
      </c>
      <c r="L10" s="113">
        <f t="shared" si="9"/>
        <v>122.03999999999999</v>
      </c>
      <c r="M10" s="1"/>
    </row>
    <row r="11" spans="1:21">
      <c r="A11" s="14" t="s">
        <v>104</v>
      </c>
      <c r="B11" s="167">
        <v>1.44</v>
      </c>
      <c r="C11" s="110">
        <f t="shared" si="0"/>
        <v>43.199999999999996</v>
      </c>
      <c r="D11" s="111">
        <f t="shared" si="1"/>
        <v>32.4</v>
      </c>
      <c r="E11" s="110">
        <f t="shared" si="2"/>
        <v>120.52800000000001</v>
      </c>
      <c r="F11" s="111">
        <f t="shared" si="3"/>
        <v>90.396000000000001</v>
      </c>
      <c r="G11" s="110">
        <f t="shared" si="4"/>
        <v>85.536000000000001</v>
      </c>
      <c r="H11" s="111">
        <f t="shared" si="5"/>
        <v>64.151999999999987</v>
      </c>
      <c r="I11" s="110">
        <f t="shared" si="6"/>
        <v>116.208</v>
      </c>
      <c r="J11" s="111">
        <f t="shared" si="7"/>
        <v>87.156000000000006</v>
      </c>
      <c r="K11" s="112">
        <f>B11*$K$6</f>
        <v>162.72</v>
      </c>
      <c r="L11" s="113">
        <f t="shared" si="9"/>
        <v>122.03999999999999</v>
      </c>
      <c r="M11" s="1"/>
    </row>
    <row r="12" spans="1:21">
      <c r="A12" s="14" t="s">
        <v>105</v>
      </c>
      <c r="B12" s="167">
        <v>1.44</v>
      </c>
      <c r="C12" s="110">
        <f>B12*$C$6</f>
        <v>43.199999999999996</v>
      </c>
      <c r="D12" s="111">
        <f t="shared" si="1"/>
        <v>32.4</v>
      </c>
      <c r="E12" s="110">
        <f>B12*$E$6</f>
        <v>120.52800000000001</v>
      </c>
      <c r="F12" s="111">
        <f t="shared" si="3"/>
        <v>90.396000000000001</v>
      </c>
      <c r="G12" s="110">
        <f>B12*$G$6</f>
        <v>85.536000000000001</v>
      </c>
      <c r="H12" s="111">
        <f t="shared" si="5"/>
        <v>64.151999999999987</v>
      </c>
      <c r="I12" s="110">
        <f>B12*$I$6</f>
        <v>116.208</v>
      </c>
      <c r="J12" s="111">
        <f t="shared" si="7"/>
        <v>87.156000000000006</v>
      </c>
      <c r="K12" s="112">
        <f t="shared" si="8"/>
        <v>162.72</v>
      </c>
      <c r="L12" s="113">
        <f t="shared" si="9"/>
        <v>122.03999999999999</v>
      </c>
      <c r="M12" s="1"/>
    </row>
    <row r="13" spans="1:21">
      <c r="A13" s="14" t="s">
        <v>106</v>
      </c>
      <c r="B13" s="167">
        <v>1.29</v>
      </c>
      <c r="C13" s="110">
        <f t="shared" si="0"/>
        <v>38.700000000000003</v>
      </c>
      <c r="D13" s="111">
        <f t="shared" si="1"/>
        <v>29.025000000000002</v>
      </c>
      <c r="E13" s="110">
        <f t="shared" si="2"/>
        <v>107.97300000000001</v>
      </c>
      <c r="F13" s="111">
        <f t="shared" si="3"/>
        <v>80.97975000000001</v>
      </c>
      <c r="G13" s="110">
        <f t="shared" si="4"/>
        <v>76.626000000000005</v>
      </c>
      <c r="H13" s="111">
        <f t="shared" si="5"/>
        <v>57.469499999999996</v>
      </c>
      <c r="I13" s="110">
        <f t="shared" si="6"/>
        <v>104.10300000000001</v>
      </c>
      <c r="J13" s="111">
        <f t="shared" si="7"/>
        <v>78.077250000000006</v>
      </c>
      <c r="K13" s="112">
        <f t="shared" si="8"/>
        <v>145.77000000000001</v>
      </c>
      <c r="L13" s="113">
        <f t="shared" si="9"/>
        <v>109.3275</v>
      </c>
      <c r="M13" s="1"/>
    </row>
    <row r="14" spans="1:21">
      <c r="A14" s="14" t="s">
        <v>114</v>
      </c>
      <c r="B14" s="167">
        <v>1.35</v>
      </c>
      <c r="C14" s="110">
        <f t="shared" si="0"/>
        <v>40.5</v>
      </c>
      <c r="D14" s="111">
        <f t="shared" si="1"/>
        <v>30.375000000000004</v>
      </c>
      <c r="E14" s="110">
        <f t="shared" si="2"/>
        <v>112.995</v>
      </c>
      <c r="F14" s="111">
        <f t="shared" si="3"/>
        <v>84.746250000000018</v>
      </c>
      <c r="G14" s="110">
        <f t="shared" si="4"/>
        <v>80.19</v>
      </c>
      <c r="H14" s="111">
        <f t="shared" si="5"/>
        <v>60.142499999999998</v>
      </c>
      <c r="I14" s="110">
        <f t="shared" si="6"/>
        <v>108.94500000000001</v>
      </c>
      <c r="J14" s="111">
        <f t="shared" si="7"/>
        <v>81.708750000000009</v>
      </c>
      <c r="K14" s="112">
        <f t="shared" si="8"/>
        <v>152.55000000000001</v>
      </c>
      <c r="L14" s="113">
        <f t="shared" si="9"/>
        <v>114.41250000000001</v>
      </c>
      <c r="M14" s="1"/>
    </row>
    <row r="15" spans="1:21">
      <c r="A15" s="14" t="s">
        <v>107</v>
      </c>
      <c r="B15" s="167">
        <v>1.1599999999999999</v>
      </c>
      <c r="C15" s="110">
        <f t="shared" si="0"/>
        <v>34.799999999999997</v>
      </c>
      <c r="D15" s="111">
        <f t="shared" si="1"/>
        <v>26.099999999999998</v>
      </c>
      <c r="E15" s="110">
        <f t="shared" si="2"/>
        <v>97.091999999999999</v>
      </c>
      <c r="F15" s="111">
        <f t="shared" si="3"/>
        <v>72.819000000000003</v>
      </c>
      <c r="G15" s="110">
        <f t="shared" si="4"/>
        <v>68.903999999999996</v>
      </c>
      <c r="H15" s="111">
        <f t="shared" si="5"/>
        <v>51.67799999999999</v>
      </c>
      <c r="I15" s="110">
        <f t="shared" si="6"/>
        <v>93.611999999999995</v>
      </c>
      <c r="J15" s="111">
        <f t="shared" si="7"/>
        <v>70.209000000000003</v>
      </c>
      <c r="K15" s="112">
        <f t="shared" si="8"/>
        <v>131.07999999999998</v>
      </c>
      <c r="L15" s="113">
        <f t="shared" si="9"/>
        <v>98.309999999999988</v>
      </c>
      <c r="M15" s="1"/>
    </row>
    <row r="16" spans="1:21">
      <c r="A16" s="14" t="s">
        <v>115</v>
      </c>
      <c r="B16" s="167">
        <v>1.36</v>
      </c>
      <c r="C16" s="110">
        <f>B16*$C$6</f>
        <v>40.800000000000004</v>
      </c>
      <c r="D16" s="111">
        <f t="shared" si="1"/>
        <v>30.6</v>
      </c>
      <c r="E16" s="110">
        <f t="shared" si="2"/>
        <v>113.83200000000001</v>
      </c>
      <c r="F16" s="111">
        <f t="shared" si="3"/>
        <v>85.374000000000009</v>
      </c>
      <c r="G16" s="110">
        <f t="shared" si="4"/>
        <v>80.784000000000006</v>
      </c>
      <c r="H16" s="111">
        <f t="shared" si="5"/>
        <v>60.588000000000001</v>
      </c>
      <c r="I16" s="110">
        <f t="shared" si="6"/>
        <v>109.75200000000001</v>
      </c>
      <c r="J16" s="111">
        <f t="shared" si="7"/>
        <v>82.314000000000007</v>
      </c>
      <c r="K16" s="112">
        <f t="shared" si="8"/>
        <v>153.68</v>
      </c>
      <c r="L16" s="113">
        <f t="shared" si="9"/>
        <v>115.26</v>
      </c>
      <c r="M16" s="1"/>
    </row>
    <row r="17" spans="1:21">
      <c r="A17" s="14" t="s">
        <v>0</v>
      </c>
      <c r="B17" s="167">
        <v>1.35</v>
      </c>
      <c r="C17" s="110">
        <f t="shared" si="0"/>
        <v>40.5</v>
      </c>
      <c r="D17" s="111">
        <f t="shared" si="1"/>
        <v>30.375000000000004</v>
      </c>
      <c r="E17" s="110">
        <f t="shared" si="2"/>
        <v>112.995</v>
      </c>
      <c r="F17" s="111">
        <f t="shared" si="3"/>
        <v>84.746250000000018</v>
      </c>
      <c r="G17" s="110">
        <f t="shared" si="4"/>
        <v>80.19</v>
      </c>
      <c r="H17" s="111">
        <f t="shared" si="5"/>
        <v>60.142499999999998</v>
      </c>
      <c r="I17" s="110">
        <f t="shared" si="6"/>
        <v>108.94500000000001</v>
      </c>
      <c r="J17" s="111">
        <f t="shared" si="7"/>
        <v>81.708750000000009</v>
      </c>
      <c r="K17" s="112">
        <f t="shared" si="8"/>
        <v>152.55000000000001</v>
      </c>
      <c r="L17" s="113">
        <f t="shared" si="9"/>
        <v>114.41250000000001</v>
      </c>
      <c r="M17" s="1"/>
      <c r="P17" t="s">
        <v>0</v>
      </c>
      <c r="Q17">
        <v>1.35</v>
      </c>
      <c r="R17" t="s">
        <v>0</v>
      </c>
      <c r="T17" t="str">
        <f t="shared" ref="T17:T39" si="10">IF(AND(A17=P17,A17=R17,P17=R17),"Yes","No")</f>
        <v>Yes</v>
      </c>
      <c r="U17" t="str">
        <f t="shared" ref="U17:U39" si="11">IF(B17=Q17,"Yes","No")</f>
        <v>Yes</v>
      </c>
    </row>
    <row r="18" spans="1:21">
      <c r="A18" s="14" t="s">
        <v>55</v>
      </c>
      <c r="B18" s="167"/>
      <c r="C18" s="110"/>
      <c r="D18" s="111"/>
      <c r="E18" s="110"/>
      <c r="F18" s="111"/>
      <c r="G18" s="110"/>
      <c r="H18" s="111"/>
      <c r="I18" s="110"/>
      <c r="J18" s="111"/>
      <c r="K18" s="112"/>
      <c r="L18" s="113"/>
      <c r="M18" s="1"/>
      <c r="P18" t="s">
        <v>55</v>
      </c>
      <c r="R18" t="s">
        <v>55</v>
      </c>
      <c r="T18" t="str">
        <f t="shared" si="10"/>
        <v>Yes</v>
      </c>
      <c r="U18" t="str">
        <f t="shared" si="11"/>
        <v>Yes</v>
      </c>
    </row>
    <row r="19" spans="1:21">
      <c r="A19" s="14" t="s">
        <v>1</v>
      </c>
      <c r="B19" s="167">
        <v>1.42</v>
      </c>
      <c r="C19" s="110">
        <f t="shared" si="0"/>
        <v>42.599999999999994</v>
      </c>
      <c r="D19" s="111">
        <f t="shared" si="1"/>
        <v>31.95</v>
      </c>
      <c r="E19" s="110">
        <f t="shared" si="2"/>
        <v>118.854</v>
      </c>
      <c r="F19" s="111">
        <f t="shared" si="3"/>
        <v>89.140500000000003</v>
      </c>
      <c r="G19" s="110">
        <f t="shared" si="4"/>
        <v>84.347999999999999</v>
      </c>
      <c r="H19" s="111">
        <f t="shared" si="5"/>
        <v>63.260999999999996</v>
      </c>
      <c r="I19" s="110">
        <f t="shared" si="6"/>
        <v>114.59399999999999</v>
      </c>
      <c r="J19" s="111">
        <f t="shared" si="7"/>
        <v>85.94550000000001</v>
      </c>
      <c r="K19" s="112">
        <f t="shared" si="8"/>
        <v>160.45999999999998</v>
      </c>
      <c r="L19" s="113">
        <f t="shared" si="9"/>
        <v>120.345</v>
      </c>
      <c r="M19" s="1"/>
      <c r="P19" t="s">
        <v>1</v>
      </c>
      <c r="Q19">
        <v>1.42</v>
      </c>
      <c r="R19" t="s">
        <v>1</v>
      </c>
      <c r="T19" t="str">
        <f t="shared" si="10"/>
        <v>Yes</v>
      </c>
      <c r="U19" t="str">
        <f t="shared" si="11"/>
        <v>Yes</v>
      </c>
    </row>
    <row r="20" spans="1:21">
      <c r="A20" s="14" t="s">
        <v>2</v>
      </c>
      <c r="B20" s="179">
        <v>1.22</v>
      </c>
      <c r="C20" s="110">
        <f>B20*$C$6</f>
        <v>36.6</v>
      </c>
      <c r="D20" s="111">
        <f t="shared" si="1"/>
        <v>27.45</v>
      </c>
      <c r="E20" s="110">
        <f t="shared" si="2"/>
        <v>102.114</v>
      </c>
      <c r="F20" s="111">
        <f t="shared" si="3"/>
        <v>76.58550000000001</v>
      </c>
      <c r="G20" s="110">
        <f t="shared" si="4"/>
        <v>72.468000000000004</v>
      </c>
      <c r="H20" s="111">
        <f t="shared" si="5"/>
        <v>54.350999999999992</v>
      </c>
      <c r="I20" s="110">
        <f t="shared" si="6"/>
        <v>98.454000000000008</v>
      </c>
      <c r="J20" s="111">
        <f t="shared" si="7"/>
        <v>73.840500000000006</v>
      </c>
      <c r="K20" s="112">
        <f t="shared" si="8"/>
        <v>137.85999999999999</v>
      </c>
      <c r="L20" s="113">
        <f>B20*$L$6</f>
        <v>103.395</v>
      </c>
      <c r="M20" s="1"/>
      <c r="P20" t="s">
        <v>2</v>
      </c>
      <c r="Q20">
        <v>1.22</v>
      </c>
      <c r="R20" t="s">
        <v>2</v>
      </c>
      <c r="T20" t="str">
        <f t="shared" si="10"/>
        <v>Yes</v>
      </c>
      <c r="U20" t="str">
        <f t="shared" si="11"/>
        <v>Yes</v>
      </c>
    </row>
    <row r="21" spans="1:21">
      <c r="A21" s="14" t="s">
        <v>63</v>
      </c>
      <c r="B21" s="179">
        <v>1.28</v>
      </c>
      <c r="C21" s="110">
        <f t="shared" si="0"/>
        <v>38.4</v>
      </c>
      <c r="D21" s="111">
        <f t="shared" si="1"/>
        <v>28.8</v>
      </c>
      <c r="E21" s="110">
        <f t="shared" si="2"/>
        <v>107.13600000000001</v>
      </c>
      <c r="F21" s="111">
        <f t="shared" si="3"/>
        <v>80.352000000000004</v>
      </c>
      <c r="G21" s="110">
        <f t="shared" si="4"/>
        <v>76.031999999999996</v>
      </c>
      <c r="H21" s="111">
        <f t="shared" si="5"/>
        <v>57.024000000000001</v>
      </c>
      <c r="I21" s="110">
        <f t="shared" si="6"/>
        <v>103.29600000000001</v>
      </c>
      <c r="J21" s="111">
        <f t="shared" si="7"/>
        <v>77.472000000000008</v>
      </c>
      <c r="K21" s="112">
        <f t="shared" si="8"/>
        <v>144.64000000000001</v>
      </c>
      <c r="L21" s="113">
        <f t="shared" si="9"/>
        <v>108.48</v>
      </c>
      <c r="M21" s="1"/>
      <c r="P21" t="s">
        <v>63</v>
      </c>
      <c r="Q21">
        <v>1.28</v>
      </c>
      <c r="R21" t="s">
        <v>63</v>
      </c>
      <c r="T21" t="str">
        <f t="shared" si="10"/>
        <v>Yes</v>
      </c>
      <c r="U21" t="str">
        <f t="shared" si="11"/>
        <v>Yes</v>
      </c>
    </row>
    <row r="22" spans="1:21">
      <c r="A22" s="14" t="s">
        <v>3</v>
      </c>
      <c r="B22" s="179">
        <v>1.42</v>
      </c>
      <c r="C22" s="110">
        <f t="shared" si="0"/>
        <v>42.599999999999994</v>
      </c>
      <c r="D22" s="111">
        <f t="shared" si="1"/>
        <v>31.95</v>
      </c>
      <c r="E22" s="110">
        <f t="shared" si="2"/>
        <v>118.854</v>
      </c>
      <c r="F22" s="111">
        <f t="shared" si="3"/>
        <v>89.140500000000003</v>
      </c>
      <c r="G22" s="110">
        <f t="shared" si="4"/>
        <v>84.347999999999999</v>
      </c>
      <c r="H22" s="111">
        <f t="shared" si="5"/>
        <v>63.260999999999996</v>
      </c>
      <c r="I22" s="110">
        <f t="shared" si="6"/>
        <v>114.59399999999999</v>
      </c>
      <c r="J22" s="111">
        <f t="shared" si="7"/>
        <v>85.94550000000001</v>
      </c>
      <c r="K22" s="112">
        <f t="shared" si="8"/>
        <v>160.45999999999998</v>
      </c>
      <c r="L22" s="113">
        <f t="shared" si="9"/>
        <v>120.345</v>
      </c>
      <c r="M22" s="1"/>
      <c r="P22" t="s">
        <v>3</v>
      </c>
      <c r="Q22">
        <v>1.42</v>
      </c>
      <c r="R22" t="s">
        <v>3</v>
      </c>
      <c r="T22" t="str">
        <f t="shared" si="10"/>
        <v>Yes</v>
      </c>
      <c r="U22" t="str">
        <f t="shared" si="11"/>
        <v>Yes</v>
      </c>
    </row>
    <row r="23" spans="1:21">
      <c r="A23" s="14" t="s">
        <v>56</v>
      </c>
      <c r="B23" s="179">
        <v>0.92</v>
      </c>
      <c r="C23" s="110">
        <f t="shared" si="0"/>
        <v>27.6</v>
      </c>
      <c r="D23" s="111">
        <f t="shared" si="1"/>
        <v>20.7</v>
      </c>
      <c r="E23" s="110">
        <f t="shared" si="2"/>
        <v>77.004000000000005</v>
      </c>
      <c r="F23" s="111">
        <f t="shared" si="3"/>
        <v>57.753000000000007</v>
      </c>
      <c r="G23" s="110">
        <f t="shared" si="4"/>
        <v>54.648000000000003</v>
      </c>
      <c r="H23" s="111">
        <f t="shared" si="5"/>
        <v>40.985999999999997</v>
      </c>
      <c r="I23" s="110">
        <f t="shared" si="6"/>
        <v>74.244</v>
      </c>
      <c r="J23" s="111">
        <f t="shared" si="7"/>
        <v>55.683000000000007</v>
      </c>
      <c r="K23" s="112">
        <f t="shared" si="8"/>
        <v>103.96000000000001</v>
      </c>
      <c r="L23" s="113">
        <f t="shared" si="9"/>
        <v>77.97</v>
      </c>
      <c r="M23" s="1"/>
      <c r="P23" t="s">
        <v>56</v>
      </c>
      <c r="Q23">
        <v>0.92</v>
      </c>
      <c r="R23" t="s">
        <v>56</v>
      </c>
      <c r="T23" t="str">
        <f t="shared" si="10"/>
        <v>Yes</v>
      </c>
      <c r="U23" t="str">
        <f t="shared" si="11"/>
        <v>Yes</v>
      </c>
    </row>
    <row r="24" spans="1:21">
      <c r="A24" s="14" t="s">
        <v>94</v>
      </c>
      <c r="B24" s="179">
        <v>0.92</v>
      </c>
      <c r="C24" s="110">
        <f>B24*$C$6</f>
        <v>27.6</v>
      </c>
      <c r="D24" s="111">
        <f>B24*$D$6</f>
        <v>20.7</v>
      </c>
      <c r="E24" s="110">
        <f>B24*$E$6</f>
        <v>77.004000000000005</v>
      </c>
      <c r="F24" s="111">
        <f>B24*$F$6</f>
        <v>57.753000000000007</v>
      </c>
      <c r="G24" s="110">
        <f>B24*$G$6</f>
        <v>54.648000000000003</v>
      </c>
      <c r="H24" s="111">
        <f>B24*$H$6</f>
        <v>40.985999999999997</v>
      </c>
      <c r="I24" s="110">
        <f>B24*$I$6</f>
        <v>74.244</v>
      </c>
      <c r="J24" s="111">
        <f>B24*$J$6</f>
        <v>55.683000000000007</v>
      </c>
      <c r="K24" s="112">
        <f>B24*$K$6</f>
        <v>103.96000000000001</v>
      </c>
      <c r="L24" s="113">
        <f>B24*$L$6</f>
        <v>77.97</v>
      </c>
      <c r="M24" s="1"/>
      <c r="P24" t="s">
        <v>94</v>
      </c>
      <c r="Q24">
        <v>0.92</v>
      </c>
      <c r="R24" t="s">
        <v>94</v>
      </c>
      <c r="T24" t="str">
        <f t="shared" si="10"/>
        <v>Yes</v>
      </c>
      <c r="U24" t="str">
        <f t="shared" si="11"/>
        <v>Yes</v>
      </c>
    </row>
    <row r="25" spans="1:21">
      <c r="A25" s="14" t="s">
        <v>57</v>
      </c>
      <c r="B25" s="179">
        <v>0.92</v>
      </c>
      <c r="C25" s="110">
        <f>B25*$C$6</f>
        <v>27.6</v>
      </c>
      <c r="D25" s="111">
        <f>B25*$D$6</f>
        <v>20.7</v>
      </c>
      <c r="E25" s="110">
        <f>B25*$E$6</f>
        <v>77.004000000000005</v>
      </c>
      <c r="F25" s="111">
        <f>B25*$F$6</f>
        <v>57.753000000000007</v>
      </c>
      <c r="G25" s="110">
        <f>B25*$G$6</f>
        <v>54.648000000000003</v>
      </c>
      <c r="H25" s="111">
        <f>B25*$H$6</f>
        <v>40.985999999999997</v>
      </c>
      <c r="I25" s="110">
        <f>B25*$I$6</f>
        <v>74.244</v>
      </c>
      <c r="J25" s="111">
        <f>B25*$J$6</f>
        <v>55.683000000000007</v>
      </c>
      <c r="K25" s="112">
        <f>B25*$K$6</f>
        <v>103.96000000000001</v>
      </c>
      <c r="L25" s="113">
        <f>B25*$L$6</f>
        <v>77.97</v>
      </c>
      <c r="M25" s="1"/>
      <c r="P25" t="s">
        <v>57</v>
      </c>
      <c r="Q25">
        <v>0.92</v>
      </c>
      <c r="R25" t="s">
        <v>57</v>
      </c>
      <c r="T25" t="str">
        <f t="shared" si="10"/>
        <v>Yes</v>
      </c>
      <c r="U25" t="str">
        <f t="shared" si="11"/>
        <v>Yes</v>
      </c>
    </row>
    <row r="26" spans="1:21">
      <c r="A26" s="14" t="s">
        <v>95</v>
      </c>
      <c r="B26" s="179">
        <v>0.92</v>
      </c>
      <c r="C26" s="110">
        <f>B26*$C$6</f>
        <v>27.6</v>
      </c>
      <c r="D26" s="111">
        <f>B26*$D$6</f>
        <v>20.7</v>
      </c>
      <c r="E26" s="110">
        <f>B26*$E$6</f>
        <v>77.004000000000005</v>
      </c>
      <c r="F26" s="111">
        <f>B26*$F$6</f>
        <v>57.753000000000007</v>
      </c>
      <c r="G26" s="110">
        <f>B26*$G$6</f>
        <v>54.648000000000003</v>
      </c>
      <c r="H26" s="111">
        <f>B26*$H$6</f>
        <v>40.985999999999997</v>
      </c>
      <c r="I26" s="110">
        <f>B26*$I$6</f>
        <v>74.244</v>
      </c>
      <c r="J26" s="111">
        <f>B26*$J$6</f>
        <v>55.683000000000007</v>
      </c>
      <c r="K26" s="112">
        <f>B26*$K$6</f>
        <v>103.96000000000001</v>
      </c>
      <c r="L26" s="113">
        <f>B26*$L$6</f>
        <v>77.97</v>
      </c>
      <c r="M26" s="1"/>
      <c r="P26" t="s">
        <v>95</v>
      </c>
      <c r="Q26">
        <v>0.92</v>
      </c>
      <c r="R26" t="s">
        <v>95</v>
      </c>
      <c r="T26" t="str">
        <f t="shared" si="10"/>
        <v>Yes</v>
      </c>
      <c r="U26" t="str">
        <f t="shared" si="11"/>
        <v>Yes</v>
      </c>
    </row>
    <row r="27" spans="1:21">
      <c r="A27" s="14" t="s">
        <v>4</v>
      </c>
      <c r="B27" s="179">
        <v>1.52</v>
      </c>
      <c r="C27" s="110">
        <f t="shared" si="0"/>
        <v>45.6</v>
      </c>
      <c r="D27" s="111">
        <f t="shared" si="1"/>
        <v>34.200000000000003</v>
      </c>
      <c r="E27" s="110">
        <f t="shared" si="2"/>
        <v>127.224</v>
      </c>
      <c r="F27" s="111">
        <f t="shared" si="3"/>
        <v>95.418000000000006</v>
      </c>
      <c r="G27" s="110">
        <f t="shared" si="4"/>
        <v>90.287999999999997</v>
      </c>
      <c r="H27" s="111">
        <f t="shared" si="5"/>
        <v>67.715999999999994</v>
      </c>
      <c r="I27" s="110">
        <f t="shared" si="6"/>
        <v>122.664</v>
      </c>
      <c r="J27" s="111">
        <f t="shared" si="7"/>
        <v>91.998000000000005</v>
      </c>
      <c r="K27" s="112">
        <f t="shared" si="8"/>
        <v>171.76</v>
      </c>
      <c r="L27" s="113">
        <f t="shared" si="9"/>
        <v>128.82</v>
      </c>
      <c r="M27" s="1"/>
      <c r="P27" s="14" t="s">
        <v>4</v>
      </c>
      <c r="Q27">
        <v>1.52</v>
      </c>
      <c r="R27" t="s">
        <v>4</v>
      </c>
      <c r="T27" t="str">
        <f t="shared" si="10"/>
        <v>Yes</v>
      </c>
      <c r="U27" t="str">
        <f t="shared" si="11"/>
        <v>Yes</v>
      </c>
    </row>
    <row r="28" spans="1:21">
      <c r="A28" s="14" t="s">
        <v>58</v>
      </c>
      <c r="B28" s="179">
        <v>1.24</v>
      </c>
      <c r="C28" s="110">
        <f t="shared" si="0"/>
        <v>37.200000000000003</v>
      </c>
      <c r="D28" s="111">
        <f t="shared" si="1"/>
        <v>27.9</v>
      </c>
      <c r="E28" s="110">
        <f t="shared" si="2"/>
        <v>103.788</v>
      </c>
      <c r="F28" s="111">
        <f t="shared" si="3"/>
        <v>77.841000000000008</v>
      </c>
      <c r="G28" s="110">
        <f t="shared" si="4"/>
        <v>73.655999999999992</v>
      </c>
      <c r="H28" s="111">
        <f t="shared" si="5"/>
        <v>55.241999999999997</v>
      </c>
      <c r="I28" s="110">
        <f t="shared" si="6"/>
        <v>100.068</v>
      </c>
      <c r="J28" s="111">
        <f t="shared" si="7"/>
        <v>75.051000000000002</v>
      </c>
      <c r="K28" s="112">
        <f t="shared" si="8"/>
        <v>140.12</v>
      </c>
      <c r="L28" s="113">
        <f t="shared" si="9"/>
        <v>105.09</v>
      </c>
      <c r="M28" s="1"/>
      <c r="P28" t="s">
        <v>58</v>
      </c>
      <c r="Q28">
        <v>1.24</v>
      </c>
      <c r="R28" t="s">
        <v>58</v>
      </c>
      <c r="T28" t="str">
        <f t="shared" si="10"/>
        <v>Yes</v>
      </c>
      <c r="U28" t="str">
        <f t="shared" si="11"/>
        <v>Yes</v>
      </c>
    </row>
    <row r="29" spans="1:21">
      <c r="A29" s="16" t="s">
        <v>59</v>
      </c>
      <c r="B29" s="179">
        <v>1.19</v>
      </c>
      <c r="C29" s="110">
        <f t="shared" si="0"/>
        <v>35.699999999999996</v>
      </c>
      <c r="D29" s="111">
        <f t="shared" si="1"/>
        <v>26.774999999999999</v>
      </c>
      <c r="E29" s="110">
        <f t="shared" si="2"/>
        <v>99.602999999999994</v>
      </c>
      <c r="F29" s="111">
        <f t="shared" si="3"/>
        <v>74.702250000000006</v>
      </c>
      <c r="G29" s="110">
        <f t="shared" si="4"/>
        <v>70.685999999999993</v>
      </c>
      <c r="H29" s="111">
        <f t="shared" si="5"/>
        <v>53.014499999999991</v>
      </c>
      <c r="I29" s="110">
        <f t="shared" si="6"/>
        <v>96.033000000000001</v>
      </c>
      <c r="J29" s="111">
        <f t="shared" si="7"/>
        <v>72.024749999999997</v>
      </c>
      <c r="K29" s="112">
        <f t="shared" si="8"/>
        <v>134.47</v>
      </c>
      <c r="L29" s="113">
        <f t="shared" si="9"/>
        <v>100.85249999999999</v>
      </c>
      <c r="M29" s="1"/>
      <c r="P29" t="s">
        <v>59</v>
      </c>
      <c r="Q29">
        <v>1.19</v>
      </c>
      <c r="R29" t="s">
        <v>59</v>
      </c>
      <c r="T29" t="str">
        <f t="shared" si="10"/>
        <v>Yes</v>
      </c>
      <c r="U29" t="str">
        <f t="shared" si="11"/>
        <v>Yes</v>
      </c>
    </row>
    <row r="30" spans="1:21">
      <c r="A30" s="16" t="s">
        <v>64</v>
      </c>
      <c r="B30" s="179">
        <v>1.25</v>
      </c>
      <c r="C30" s="110">
        <f t="shared" si="0"/>
        <v>37.5</v>
      </c>
      <c r="D30" s="111">
        <f t="shared" si="1"/>
        <v>28.125</v>
      </c>
      <c r="E30" s="110">
        <f t="shared" si="2"/>
        <v>104.625</v>
      </c>
      <c r="F30" s="111">
        <f t="shared" si="3"/>
        <v>78.46875</v>
      </c>
      <c r="G30" s="110">
        <f t="shared" si="4"/>
        <v>74.25</v>
      </c>
      <c r="H30" s="111">
        <f t="shared" si="5"/>
        <v>55.6875</v>
      </c>
      <c r="I30" s="110">
        <f t="shared" si="6"/>
        <v>100.875</v>
      </c>
      <c r="J30" s="111">
        <f t="shared" si="7"/>
        <v>75.65625</v>
      </c>
      <c r="K30" s="112">
        <f t="shared" si="8"/>
        <v>141.25</v>
      </c>
      <c r="L30" s="113">
        <f t="shared" si="9"/>
        <v>105.9375</v>
      </c>
      <c r="M30" s="1"/>
      <c r="P30" t="s">
        <v>64</v>
      </c>
      <c r="Q30">
        <v>1.25</v>
      </c>
      <c r="R30" t="s">
        <v>64</v>
      </c>
      <c r="T30" t="str">
        <f t="shared" si="10"/>
        <v>Yes</v>
      </c>
      <c r="U30" t="str">
        <f t="shared" si="11"/>
        <v>Yes</v>
      </c>
    </row>
    <row r="31" spans="1:21">
      <c r="A31" s="16" t="s">
        <v>30</v>
      </c>
      <c r="B31" s="179">
        <v>1.19</v>
      </c>
      <c r="C31" s="110">
        <f t="shared" si="0"/>
        <v>35.699999999999996</v>
      </c>
      <c r="D31" s="111">
        <f t="shared" si="1"/>
        <v>26.774999999999999</v>
      </c>
      <c r="E31" s="110">
        <f t="shared" si="2"/>
        <v>99.602999999999994</v>
      </c>
      <c r="F31" s="111">
        <f t="shared" si="3"/>
        <v>74.702250000000006</v>
      </c>
      <c r="G31" s="110">
        <f t="shared" si="4"/>
        <v>70.685999999999993</v>
      </c>
      <c r="H31" s="111">
        <f t="shared" si="5"/>
        <v>53.014499999999991</v>
      </c>
      <c r="I31" s="110">
        <f t="shared" si="6"/>
        <v>96.033000000000001</v>
      </c>
      <c r="J31" s="111">
        <f t="shared" si="7"/>
        <v>72.024749999999997</v>
      </c>
      <c r="K31" s="112">
        <f t="shared" si="8"/>
        <v>134.47</v>
      </c>
      <c r="L31" s="113">
        <f t="shared" si="9"/>
        <v>100.85249999999999</v>
      </c>
      <c r="M31" s="1"/>
      <c r="P31" t="s">
        <v>30</v>
      </c>
      <c r="Q31">
        <v>1.19</v>
      </c>
      <c r="R31" t="s">
        <v>30</v>
      </c>
      <c r="T31" t="str">
        <f t="shared" si="10"/>
        <v>Yes</v>
      </c>
      <c r="U31" t="str">
        <f t="shared" si="11"/>
        <v>Yes</v>
      </c>
    </row>
    <row r="32" spans="1:21">
      <c r="A32" s="14" t="s">
        <v>5</v>
      </c>
      <c r="B32" s="179">
        <v>1.41</v>
      </c>
      <c r="C32" s="110">
        <f t="shared" si="0"/>
        <v>42.3</v>
      </c>
      <c r="D32" s="111">
        <f t="shared" si="1"/>
        <v>31.724999999999998</v>
      </c>
      <c r="E32" s="110">
        <f t="shared" si="2"/>
        <v>118.017</v>
      </c>
      <c r="F32" s="111">
        <f t="shared" si="3"/>
        <v>88.512749999999997</v>
      </c>
      <c r="G32" s="110">
        <f t="shared" si="4"/>
        <v>83.753999999999991</v>
      </c>
      <c r="H32" s="111">
        <f t="shared" si="5"/>
        <v>62.815499999999993</v>
      </c>
      <c r="I32" s="110">
        <f t="shared" si="6"/>
        <v>113.78699999999999</v>
      </c>
      <c r="J32" s="111">
        <f t="shared" si="7"/>
        <v>85.340249999999997</v>
      </c>
      <c r="K32" s="112">
        <f t="shared" si="8"/>
        <v>159.32999999999998</v>
      </c>
      <c r="L32" s="113">
        <f t="shared" si="9"/>
        <v>119.49749999999999</v>
      </c>
      <c r="M32" s="1"/>
      <c r="P32" t="s">
        <v>5</v>
      </c>
      <c r="Q32">
        <v>1.41</v>
      </c>
      <c r="R32" t="s">
        <v>5</v>
      </c>
      <c r="T32" t="str">
        <f t="shared" si="10"/>
        <v>Yes</v>
      </c>
      <c r="U32" t="str">
        <f t="shared" si="11"/>
        <v>Yes</v>
      </c>
    </row>
    <row r="33" spans="1:21">
      <c r="A33" s="14" t="s">
        <v>65</v>
      </c>
      <c r="B33" s="179">
        <v>1.7190000000000001</v>
      </c>
      <c r="C33" s="110">
        <f t="shared" si="0"/>
        <v>51.57</v>
      </c>
      <c r="D33" s="111">
        <f t="shared" si="1"/>
        <v>38.677500000000002</v>
      </c>
      <c r="E33" s="110">
        <f t="shared" si="2"/>
        <v>143.88030000000001</v>
      </c>
      <c r="F33" s="111">
        <f t="shared" si="3"/>
        <v>107.91022500000001</v>
      </c>
      <c r="G33" s="110">
        <f t="shared" si="4"/>
        <v>102.1086</v>
      </c>
      <c r="H33" s="111">
        <f t="shared" si="5"/>
        <v>76.581450000000004</v>
      </c>
      <c r="I33" s="110">
        <f t="shared" si="6"/>
        <v>138.72330000000002</v>
      </c>
      <c r="J33" s="111">
        <f t="shared" si="7"/>
        <v>104.04247500000001</v>
      </c>
      <c r="K33" s="112">
        <f t="shared" si="8"/>
        <v>194.24700000000001</v>
      </c>
      <c r="L33" s="113">
        <f t="shared" si="9"/>
        <v>145.68525</v>
      </c>
      <c r="M33" s="1"/>
      <c r="P33" t="s">
        <v>65</v>
      </c>
      <c r="Q33">
        <v>1.7190000000000001</v>
      </c>
      <c r="R33" t="s">
        <v>65</v>
      </c>
      <c r="T33" t="str">
        <f t="shared" si="10"/>
        <v>Yes</v>
      </c>
      <c r="U33" t="str">
        <f t="shared" si="11"/>
        <v>Yes</v>
      </c>
    </row>
    <row r="34" spans="1:21">
      <c r="A34" s="14" t="s">
        <v>66</v>
      </c>
      <c r="B34" s="179"/>
      <c r="C34" s="110"/>
      <c r="D34" s="111"/>
      <c r="E34" s="110"/>
      <c r="F34" s="111"/>
      <c r="G34" s="110"/>
      <c r="H34" s="111"/>
      <c r="I34" s="110"/>
      <c r="J34" s="111"/>
      <c r="K34" s="112"/>
      <c r="L34" s="113"/>
      <c r="M34" s="1"/>
      <c r="P34" t="s">
        <v>66</v>
      </c>
      <c r="R34" t="s">
        <v>66</v>
      </c>
      <c r="T34" t="str">
        <f t="shared" si="10"/>
        <v>Yes</v>
      </c>
      <c r="U34" t="str">
        <f t="shared" si="11"/>
        <v>Yes</v>
      </c>
    </row>
    <row r="35" spans="1:21">
      <c r="A35" s="14" t="s">
        <v>67</v>
      </c>
      <c r="B35" s="179">
        <v>1.17</v>
      </c>
      <c r="C35" s="110">
        <f t="shared" ref="C35" si="12">B35*$C$6</f>
        <v>35.099999999999994</v>
      </c>
      <c r="D35" s="111">
        <f t="shared" ref="D35" si="13">B35*$D$6</f>
        <v>26.324999999999999</v>
      </c>
      <c r="E35" s="110">
        <f t="shared" ref="E35" si="14">B35*$E$6</f>
        <v>97.929000000000002</v>
      </c>
      <c r="F35" s="111">
        <f t="shared" ref="F35" si="15">B35*$F$6</f>
        <v>73.446750000000009</v>
      </c>
      <c r="G35" s="110">
        <f t="shared" ref="G35" si="16">B35*$G$6</f>
        <v>69.49799999999999</v>
      </c>
      <c r="H35" s="111">
        <f t="shared" ref="H35" si="17">B35*$H$6</f>
        <v>52.123499999999993</v>
      </c>
      <c r="I35" s="110">
        <f t="shared" ref="I35" si="18">B35*$I$6</f>
        <v>94.418999999999997</v>
      </c>
      <c r="J35" s="111">
        <f t="shared" ref="J35" si="19">B35*$J$6</f>
        <v>70.814250000000001</v>
      </c>
      <c r="K35" s="112">
        <f t="shared" ref="K35" si="20">B35*$K$6</f>
        <v>132.20999999999998</v>
      </c>
      <c r="L35" s="113">
        <f t="shared" ref="L35" si="21">B35*$L$6</f>
        <v>99.157499999999999</v>
      </c>
      <c r="M35" s="1"/>
      <c r="P35" t="s">
        <v>67</v>
      </c>
      <c r="R35" t="s">
        <v>67</v>
      </c>
      <c r="T35" t="str">
        <f t="shared" si="10"/>
        <v>Yes</v>
      </c>
      <c r="U35" t="str">
        <f t="shared" si="11"/>
        <v>No</v>
      </c>
    </row>
    <row r="36" spans="1:21">
      <c r="A36" s="14" t="s">
        <v>68</v>
      </c>
      <c r="B36" s="179">
        <v>0.92</v>
      </c>
      <c r="C36" s="110">
        <f>B36*$C$6</f>
        <v>27.6</v>
      </c>
      <c r="D36" s="111">
        <f>B36*$D$6</f>
        <v>20.7</v>
      </c>
      <c r="E36" s="110">
        <f>B36*$E$6</f>
        <v>77.004000000000005</v>
      </c>
      <c r="F36" s="111">
        <f>B36*$F$6</f>
        <v>57.753000000000007</v>
      </c>
      <c r="G36" s="110">
        <f>B36*$G$6</f>
        <v>54.648000000000003</v>
      </c>
      <c r="H36" s="111">
        <f>B36*$H$6</f>
        <v>40.985999999999997</v>
      </c>
      <c r="I36" s="110">
        <f>B36*$I$6</f>
        <v>74.244</v>
      </c>
      <c r="J36" s="111">
        <f>B36*$J$6</f>
        <v>55.683000000000007</v>
      </c>
      <c r="K36" s="112">
        <f>B36*$K$6</f>
        <v>103.96000000000001</v>
      </c>
      <c r="L36" s="113">
        <f>B36*$L$6</f>
        <v>77.97</v>
      </c>
      <c r="M36" s="1"/>
      <c r="P36" t="s">
        <v>68</v>
      </c>
      <c r="Q36">
        <v>0.92</v>
      </c>
      <c r="R36" t="s">
        <v>68</v>
      </c>
      <c r="T36" t="str">
        <f t="shared" si="10"/>
        <v>Yes</v>
      </c>
      <c r="U36" t="str">
        <f t="shared" si="11"/>
        <v>Yes</v>
      </c>
    </row>
    <row r="37" spans="1:21">
      <c r="A37" s="14" t="s">
        <v>6</v>
      </c>
      <c r="B37" s="167">
        <v>1.1074999999999999</v>
      </c>
      <c r="C37" s="110">
        <f t="shared" si="0"/>
        <v>33.224999999999994</v>
      </c>
      <c r="D37" s="111">
        <f t="shared" si="1"/>
        <v>24.918749999999999</v>
      </c>
      <c r="E37" s="110">
        <f t="shared" si="2"/>
        <v>92.697749999999999</v>
      </c>
      <c r="F37" s="111">
        <f t="shared" si="3"/>
        <v>69.523312500000003</v>
      </c>
      <c r="G37" s="110">
        <f t="shared" si="4"/>
        <v>65.785499999999999</v>
      </c>
      <c r="H37" s="111">
        <f t="shared" si="5"/>
        <v>49.339124999999996</v>
      </c>
      <c r="I37" s="110">
        <f t="shared" si="6"/>
        <v>89.375249999999994</v>
      </c>
      <c r="J37" s="111">
        <f t="shared" si="7"/>
        <v>67.031437499999996</v>
      </c>
      <c r="K37" s="112">
        <f t="shared" si="8"/>
        <v>125.14749999999999</v>
      </c>
      <c r="L37" s="113">
        <f t="shared" si="9"/>
        <v>93.860624999999999</v>
      </c>
      <c r="M37" s="1"/>
      <c r="P37" t="s">
        <v>6</v>
      </c>
      <c r="Q37">
        <v>1.1074999999999999</v>
      </c>
      <c r="R37" t="s">
        <v>6</v>
      </c>
      <c r="T37" t="str">
        <f t="shared" si="10"/>
        <v>Yes</v>
      </c>
      <c r="U37" t="str">
        <f t="shared" si="11"/>
        <v>Yes</v>
      </c>
    </row>
    <row r="38" spans="1:21">
      <c r="A38" s="14" t="s">
        <v>69</v>
      </c>
      <c r="B38" s="167">
        <v>1.0528999999999999</v>
      </c>
      <c r="C38" s="110">
        <f t="shared" si="0"/>
        <v>31.587</v>
      </c>
      <c r="D38" s="111">
        <f t="shared" si="1"/>
        <v>23.690249999999999</v>
      </c>
      <c r="E38" s="110">
        <f t="shared" si="2"/>
        <v>88.12773</v>
      </c>
      <c r="F38" s="111">
        <f t="shared" si="3"/>
        <v>66.095797500000003</v>
      </c>
      <c r="G38" s="110">
        <f t="shared" si="4"/>
        <v>62.542259999999999</v>
      </c>
      <c r="H38" s="111">
        <f t="shared" si="5"/>
        <v>46.906694999999992</v>
      </c>
      <c r="I38" s="110">
        <f t="shared" si="6"/>
        <v>84.969030000000004</v>
      </c>
      <c r="J38" s="111">
        <f t="shared" si="7"/>
        <v>63.726772500000003</v>
      </c>
      <c r="K38" s="112">
        <f t="shared" si="8"/>
        <v>118.9777</v>
      </c>
      <c r="L38" s="113">
        <f t="shared" si="9"/>
        <v>89.233274999999992</v>
      </c>
      <c r="M38" s="1"/>
      <c r="P38" t="s">
        <v>69</v>
      </c>
      <c r="Q38">
        <v>1.0528999999999999</v>
      </c>
      <c r="R38" t="s">
        <v>69</v>
      </c>
      <c r="T38" t="str">
        <f t="shared" si="10"/>
        <v>Yes</v>
      </c>
      <c r="U38" t="str">
        <f t="shared" si="11"/>
        <v>Yes</v>
      </c>
    </row>
    <row r="39" spans="1:21">
      <c r="A39" s="14" t="s">
        <v>7</v>
      </c>
      <c r="B39" s="167">
        <v>1.1157999999999999</v>
      </c>
      <c r="C39" s="110">
        <f t="shared" si="0"/>
        <v>33.473999999999997</v>
      </c>
      <c r="D39" s="111">
        <f t="shared" si="1"/>
        <v>25.105499999999999</v>
      </c>
      <c r="E39" s="110">
        <f t="shared" si="2"/>
        <v>93.39246</v>
      </c>
      <c r="F39" s="111">
        <f t="shared" si="3"/>
        <v>70.044345000000007</v>
      </c>
      <c r="G39" s="110">
        <f t="shared" si="4"/>
        <v>66.278519999999986</v>
      </c>
      <c r="H39" s="111">
        <f t="shared" si="5"/>
        <v>49.70888999999999</v>
      </c>
      <c r="I39" s="110">
        <f t="shared" si="6"/>
        <v>90.045059999999992</v>
      </c>
      <c r="J39" s="111">
        <f t="shared" si="7"/>
        <v>67.533794999999998</v>
      </c>
      <c r="K39" s="112">
        <f t="shared" si="8"/>
        <v>126.08539999999999</v>
      </c>
      <c r="L39" s="113">
        <f t="shared" si="9"/>
        <v>94.564049999999995</v>
      </c>
      <c r="M39" s="1"/>
      <c r="P39" t="s">
        <v>7</v>
      </c>
      <c r="Q39">
        <v>1.1157999999999999</v>
      </c>
      <c r="R39" t="s">
        <v>7</v>
      </c>
      <c r="T39" t="str">
        <f t="shared" si="10"/>
        <v>Yes</v>
      </c>
      <c r="U39" t="str">
        <f t="shared" si="11"/>
        <v>Yes</v>
      </c>
    </row>
    <row r="40" spans="1:21">
      <c r="A40" s="14" t="s">
        <v>70</v>
      </c>
      <c r="B40" s="167">
        <v>1.1284000000000001</v>
      </c>
      <c r="C40" s="110">
        <f t="shared" si="0"/>
        <v>33.852000000000004</v>
      </c>
      <c r="D40" s="111">
        <f t="shared" si="1"/>
        <v>25.389000000000003</v>
      </c>
      <c r="E40" s="110">
        <f t="shared" si="2"/>
        <v>94.447080000000014</v>
      </c>
      <c r="F40" s="111">
        <f t="shared" si="3"/>
        <v>70.835310000000007</v>
      </c>
      <c r="G40" s="110">
        <f t="shared" si="4"/>
        <v>67.026960000000003</v>
      </c>
      <c r="H40" s="111">
        <f t="shared" si="5"/>
        <v>50.270220000000002</v>
      </c>
      <c r="I40" s="110">
        <f t="shared" si="6"/>
        <v>91.061880000000002</v>
      </c>
      <c r="J40" s="111">
        <f t="shared" si="7"/>
        <v>68.296410000000009</v>
      </c>
      <c r="K40" s="112">
        <f t="shared" si="8"/>
        <v>127.50920000000001</v>
      </c>
      <c r="L40" s="113">
        <f t="shared" si="9"/>
        <v>95.631900000000002</v>
      </c>
      <c r="M40" s="1"/>
      <c r="P40" t="s">
        <v>70</v>
      </c>
      <c r="Q40">
        <v>1.1284000000000001</v>
      </c>
      <c r="R40" t="s">
        <v>70</v>
      </c>
      <c r="T40" t="str">
        <f t="shared" ref="T40:T71" si="22">IF(AND(A40=P40,A40=R40,P40=R40),"Yes","No")</f>
        <v>Yes</v>
      </c>
      <c r="U40" t="str">
        <f t="shared" ref="U40:U71" si="23">IF(B40=Q40,"Yes","No")</f>
        <v>Yes</v>
      </c>
    </row>
    <row r="41" spans="1:21">
      <c r="A41" s="14" t="s">
        <v>71</v>
      </c>
      <c r="B41" s="167">
        <v>1.44</v>
      </c>
      <c r="C41" s="110">
        <f t="shared" si="0"/>
        <v>43.199999999999996</v>
      </c>
      <c r="D41" s="111">
        <f t="shared" si="1"/>
        <v>32.4</v>
      </c>
      <c r="E41" s="110">
        <f t="shared" si="2"/>
        <v>120.52800000000001</v>
      </c>
      <c r="F41" s="111">
        <f t="shared" si="3"/>
        <v>90.396000000000001</v>
      </c>
      <c r="G41" s="110">
        <f t="shared" si="4"/>
        <v>85.536000000000001</v>
      </c>
      <c r="H41" s="111">
        <f t="shared" si="5"/>
        <v>64.151999999999987</v>
      </c>
      <c r="I41" s="110">
        <f t="shared" si="6"/>
        <v>116.208</v>
      </c>
      <c r="J41" s="111">
        <f t="shared" si="7"/>
        <v>87.156000000000006</v>
      </c>
      <c r="K41" s="112">
        <f t="shared" si="8"/>
        <v>162.72</v>
      </c>
      <c r="L41" s="113">
        <f t="shared" si="9"/>
        <v>122.03999999999999</v>
      </c>
      <c r="M41" s="1"/>
      <c r="P41" t="s">
        <v>71</v>
      </c>
      <c r="Q41">
        <v>1.44</v>
      </c>
      <c r="R41" t="s">
        <v>71</v>
      </c>
      <c r="T41" t="str">
        <f t="shared" si="22"/>
        <v>Yes</v>
      </c>
      <c r="U41" t="str">
        <f t="shared" si="23"/>
        <v>Yes</v>
      </c>
    </row>
    <row r="42" spans="1:21">
      <c r="A42" s="83" t="s">
        <v>116</v>
      </c>
      <c r="B42" s="167">
        <v>1.2170000000000001</v>
      </c>
      <c r="C42" s="110">
        <f t="shared" si="0"/>
        <v>36.510000000000005</v>
      </c>
      <c r="D42" s="111">
        <f t="shared" si="1"/>
        <v>27.3825</v>
      </c>
      <c r="E42" s="110">
        <f t="shared" si="2"/>
        <v>101.86290000000001</v>
      </c>
      <c r="F42" s="111">
        <f t="shared" si="3"/>
        <v>76.397175000000018</v>
      </c>
      <c r="G42" s="110">
        <f t="shared" si="4"/>
        <v>72.2898</v>
      </c>
      <c r="H42" s="111">
        <f t="shared" si="5"/>
        <v>54.217350000000003</v>
      </c>
      <c r="I42" s="110">
        <f t="shared" si="6"/>
        <v>98.211900000000014</v>
      </c>
      <c r="J42" s="111">
        <f t="shared" si="7"/>
        <v>73.658925000000011</v>
      </c>
      <c r="K42" s="112">
        <f t="shared" si="8"/>
        <v>137.52100000000002</v>
      </c>
      <c r="L42" s="113">
        <f t="shared" si="9"/>
        <v>103.14075000000001</v>
      </c>
      <c r="M42" s="1"/>
      <c r="P42" t="s">
        <v>116</v>
      </c>
      <c r="Q42">
        <v>1.2170000000000001</v>
      </c>
      <c r="R42" t="s">
        <v>116</v>
      </c>
      <c r="T42" t="str">
        <f t="shared" si="22"/>
        <v>Yes</v>
      </c>
      <c r="U42" t="str">
        <f t="shared" si="23"/>
        <v>Yes</v>
      </c>
    </row>
    <row r="43" spans="1:21">
      <c r="A43" s="15" t="s">
        <v>8</v>
      </c>
      <c r="B43" s="167">
        <v>1.1633</v>
      </c>
      <c r="C43" s="110">
        <f t="shared" si="0"/>
        <v>34.899000000000001</v>
      </c>
      <c r="D43" s="111">
        <f t="shared" si="1"/>
        <v>26.174250000000001</v>
      </c>
      <c r="E43" s="110">
        <f t="shared" si="2"/>
        <v>97.368210000000005</v>
      </c>
      <c r="F43" s="111">
        <f t="shared" si="3"/>
        <v>73.026157500000011</v>
      </c>
      <c r="G43" s="110">
        <f t="shared" si="4"/>
        <v>69.100020000000001</v>
      </c>
      <c r="H43" s="111">
        <f t="shared" si="5"/>
        <v>51.825014999999993</v>
      </c>
      <c r="I43" s="110">
        <f t="shared" si="6"/>
        <v>93.878309999999999</v>
      </c>
      <c r="J43" s="111">
        <f t="shared" si="7"/>
        <v>70.408732500000013</v>
      </c>
      <c r="K43" s="112">
        <f t="shared" si="8"/>
        <v>131.4529</v>
      </c>
      <c r="L43" s="113">
        <f t="shared" si="9"/>
        <v>98.589675</v>
      </c>
      <c r="M43" s="1"/>
      <c r="P43" t="s">
        <v>8</v>
      </c>
      <c r="Q43">
        <v>1.1633</v>
      </c>
      <c r="R43" t="s">
        <v>8</v>
      </c>
      <c r="T43" t="str">
        <f t="shared" si="22"/>
        <v>Yes</v>
      </c>
      <c r="U43" t="str">
        <f t="shared" si="23"/>
        <v>Yes</v>
      </c>
    </row>
    <row r="44" spans="1:21">
      <c r="A44" s="15" t="s">
        <v>72</v>
      </c>
      <c r="B44" s="167">
        <v>1.1771</v>
      </c>
      <c r="C44" s="110">
        <f t="shared" si="0"/>
        <v>35.313000000000002</v>
      </c>
      <c r="D44" s="111">
        <f t="shared" si="1"/>
        <v>26.484750000000002</v>
      </c>
      <c r="E44" s="110">
        <f t="shared" si="2"/>
        <v>98.523270000000011</v>
      </c>
      <c r="F44" s="111">
        <f t="shared" si="3"/>
        <v>73.892452500000005</v>
      </c>
      <c r="G44" s="110">
        <f t="shared" si="4"/>
        <v>69.919740000000004</v>
      </c>
      <c r="H44" s="111">
        <f t="shared" si="5"/>
        <v>52.439805</v>
      </c>
      <c r="I44" s="110">
        <f t="shared" si="6"/>
        <v>94.991970000000009</v>
      </c>
      <c r="J44" s="111">
        <f t="shared" si="7"/>
        <v>71.243977500000014</v>
      </c>
      <c r="K44" s="112">
        <f t="shared" si="8"/>
        <v>133.01230000000001</v>
      </c>
      <c r="L44" s="113">
        <f t="shared" si="9"/>
        <v>99.759225000000001</v>
      </c>
      <c r="M44" s="1"/>
      <c r="P44" t="s">
        <v>72</v>
      </c>
      <c r="Q44">
        <v>1.1771</v>
      </c>
      <c r="R44" t="s">
        <v>72</v>
      </c>
      <c r="T44" t="str">
        <f t="shared" si="22"/>
        <v>Yes</v>
      </c>
      <c r="U44" t="str">
        <f t="shared" si="23"/>
        <v>Yes</v>
      </c>
    </row>
    <row r="45" spans="1:21">
      <c r="A45" s="15" t="s">
        <v>73</v>
      </c>
      <c r="B45" s="167">
        <v>1.1659999999999999</v>
      </c>
      <c r="C45" s="110">
        <f t="shared" ref="C45:C52" si="24">B45*$C$6</f>
        <v>34.979999999999997</v>
      </c>
      <c r="D45" s="111">
        <f t="shared" ref="D45:D52" si="25">B45*$D$6</f>
        <v>26.234999999999999</v>
      </c>
      <c r="E45" s="110">
        <f t="shared" ref="E45:E52" si="26">B45*$E$6</f>
        <v>97.594200000000001</v>
      </c>
      <c r="F45" s="111">
        <f t="shared" ref="F45:F52" si="27">B45*$F$6</f>
        <v>73.195650000000001</v>
      </c>
      <c r="G45" s="110">
        <f t="shared" ref="G45:G52" si="28">B45*$G$6</f>
        <v>69.26039999999999</v>
      </c>
      <c r="H45" s="111">
        <f t="shared" ref="H45:H52" si="29">B45*$H$6</f>
        <v>51.945299999999996</v>
      </c>
      <c r="I45" s="110">
        <f t="shared" ref="I45:I52" si="30">B45*$I$6</f>
        <v>94.096199999999996</v>
      </c>
      <c r="J45" s="111">
        <f t="shared" ref="J45:J52" si="31">B45*$J$6</f>
        <v>70.572150000000008</v>
      </c>
      <c r="K45" s="112">
        <f t="shared" ref="K45:K52" si="32">B45*$K$6</f>
        <v>131.75799999999998</v>
      </c>
      <c r="L45" s="113">
        <f t="shared" ref="L45:L52" si="33">B45*$L$6</f>
        <v>98.8185</v>
      </c>
      <c r="M45" s="1"/>
      <c r="P45" t="s">
        <v>73</v>
      </c>
      <c r="Q45">
        <v>1.1659999999999999</v>
      </c>
      <c r="R45" t="s">
        <v>73</v>
      </c>
      <c r="T45" t="str">
        <f t="shared" si="22"/>
        <v>Yes</v>
      </c>
      <c r="U45" t="str">
        <f t="shared" si="23"/>
        <v>Yes</v>
      </c>
    </row>
    <row r="46" spans="1:21">
      <c r="A46" s="15" t="s">
        <v>74</v>
      </c>
      <c r="B46" s="167">
        <v>1.125</v>
      </c>
      <c r="C46" s="110">
        <f t="shared" si="24"/>
        <v>33.75</v>
      </c>
      <c r="D46" s="111">
        <f t="shared" si="25"/>
        <v>25.3125</v>
      </c>
      <c r="E46" s="110">
        <f t="shared" si="26"/>
        <v>94.162500000000009</v>
      </c>
      <c r="F46" s="111">
        <f t="shared" si="27"/>
        <v>70.621875000000003</v>
      </c>
      <c r="G46" s="110">
        <f t="shared" si="28"/>
        <v>66.825000000000003</v>
      </c>
      <c r="H46" s="111">
        <f t="shared" si="29"/>
        <v>50.118749999999999</v>
      </c>
      <c r="I46" s="110">
        <f t="shared" si="30"/>
        <v>90.787500000000009</v>
      </c>
      <c r="J46" s="111">
        <f t="shared" si="31"/>
        <v>68.090625000000003</v>
      </c>
      <c r="K46" s="112">
        <f t="shared" si="32"/>
        <v>127.125</v>
      </c>
      <c r="L46" s="113">
        <f t="shared" si="33"/>
        <v>95.34375</v>
      </c>
      <c r="M46" s="1"/>
      <c r="P46" t="s">
        <v>74</v>
      </c>
      <c r="Q46">
        <v>1.125</v>
      </c>
      <c r="R46" t="s">
        <v>74</v>
      </c>
      <c r="T46" t="str">
        <f t="shared" si="22"/>
        <v>Yes</v>
      </c>
      <c r="U46" t="str">
        <f t="shared" si="23"/>
        <v>Yes</v>
      </c>
    </row>
    <row r="47" spans="1:21">
      <c r="A47" s="15" t="s">
        <v>75</v>
      </c>
      <c r="B47" s="167">
        <v>1.125</v>
      </c>
      <c r="C47" s="110">
        <f t="shared" si="24"/>
        <v>33.75</v>
      </c>
      <c r="D47" s="111">
        <f t="shared" si="25"/>
        <v>25.3125</v>
      </c>
      <c r="E47" s="110">
        <f t="shared" si="26"/>
        <v>94.162500000000009</v>
      </c>
      <c r="F47" s="111">
        <f t="shared" si="27"/>
        <v>70.621875000000003</v>
      </c>
      <c r="G47" s="110">
        <f t="shared" si="28"/>
        <v>66.825000000000003</v>
      </c>
      <c r="H47" s="111">
        <f t="shared" si="29"/>
        <v>50.118749999999999</v>
      </c>
      <c r="I47" s="110">
        <f t="shared" si="30"/>
        <v>90.787500000000009</v>
      </c>
      <c r="J47" s="111">
        <f t="shared" si="31"/>
        <v>68.090625000000003</v>
      </c>
      <c r="K47" s="112">
        <f t="shared" si="32"/>
        <v>127.125</v>
      </c>
      <c r="L47" s="113">
        <f t="shared" si="33"/>
        <v>95.34375</v>
      </c>
      <c r="M47" s="1"/>
      <c r="P47" t="s">
        <v>75</v>
      </c>
      <c r="Q47">
        <v>1.125</v>
      </c>
      <c r="R47" t="s">
        <v>75</v>
      </c>
      <c r="T47" t="str">
        <f t="shared" si="22"/>
        <v>Yes</v>
      </c>
      <c r="U47" t="str">
        <f t="shared" si="23"/>
        <v>Yes</v>
      </c>
    </row>
    <row r="48" spans="1:21">
      <c r="A48" s="15" t="s">
        <v>76</v>
      </c>
      <c r="B48" s="167">
        <v>1.1599999999999999</v>
      </c>
      <c r="C48" s="110">
        <f t="shared" si="24"/>
        <v>34.799999999999997</v>
      </c>
      <c r="D48" s="111">
        <f t="shared" si="25"/>
        <v>26.099999999999998</v>
      </c>
      <c r="E48" s="110">
        <f t="shared" si="26"/>
        <v>97.091999999999999</v>
      </c>
      <c r="F48" s="111">
        <f t="shared" si="27"/>
        <v>72.819000000000003</v>
      </c>
      <c r="G48" s="110">
        <f t="shared" si="28"/>
        <v>68.903999999999996</v>
      </c>
      <c r="H48" s="111">
        <f t="shared" si="29"/>
        <v>51.67799999999999</v>
      </c>
      <c r="I48" s="110">
        <f t="shared" si="30"/>
        <v>93.611999999999995</v>
      </c>
      <c r="J48" s="111">
        <f t="shared" si="31"/>
        <v>70.209000000000003</v>
      </c>
      <c r="K48" s="112">
        <f t="shared" si="32"/>
        <v>131.07999999999998</v>
      </c>
      <c r="L48" s="113">
        <f t="shared" si="33"/>
        <v>98.309999999999988</v>
      </c>
      <c r="M48" s="1"/>
      <c r="P48" t="s">
        <v>76</v>
      </c>
      <c r="Q48">
        <v>1.1599999999999999</v>
      </c>
      <c r="R48" t="s">
        <v>76</v>
      </c>
      <c r="T48" t="str">
        <f t="shared" si="22"/>
        <v>Yes</v>
      </c>
      <c r="U48" t="str">
        <f t="shared" si="23"/>
        <v>Yes</v>
      </c>
    </row>
    <row r="49" spans="1:21">
      <c r="A49" s="15" t="s">
        <v>77</v>
      </c>
      <c r="B49" s="167">
        <v>1.19</v>
      </c>
      <c r="C49" s="110">
        <f t="shared" si="24"/>
        <v>35.699999999999996</v>
      </c>
      <c r="D49" s="111">
        <f t="shared" si="25"/>
        <v>26.774999999999999</v>
      </c>
      <c r="E49" s="110">
        <f t="shared" si="26"/>
        <v>99.602999999999994</v>
      </c>
      <c r="F49" s="111">
        <f t="shared" si="27"/>
        <v>74.702250000000006</v>
      </c>
      <c r="G49" s="110">
        <f t="shared" si="28"/>
        <v>70.685999999999993</v>
      </c>
      <c r="H49" s="111">
        <f t="shared" si="29"/>
        <v>53.014499999999991</v>
      </c>
      <c r="I49" s="110">
        <f t="shared" si="30"/>
        <v>96.033000000000001</v>
      </c>
      <c r="J49" s="111">
        <f t="shared" si="31"/>
        <v>72.024749999999997</v>
      </c>
      <c r="K49" s="112">
        <f t="shared" si="32"/>
        <v>134.47</v>
      </c>
      <c r="L49" s="113">
        <f t="shared" si="33"/>
        <v>100.85249999999999</v>
      </c>
      <c r="M49" s="1"/>
      <c r="P49" t="s">
        <v>77</v>
      </c>
      <c r="Q49">
        <v>1.19</v>
      </c>
      <c r="R49" t="s">
        <v>77</v>
      </c>
      <c r="T49" t="str">
        <f t="shared" si="22"/>
        <v>Yes</v>
      </c>
      <c r="U49" t="str">
        <f t="shared" si="23"/>
        <v>Yes</v>
      </c>
    </row>
    <row r="50" spans="1:21">
      <c r="A50" s="15" t="s">
        <v>78</v>
      </c>
      <c r="B50" s="167">
        <v>1.19</v>
      </c>
      <c r="C50" s="110">
        <f t="shared" si="24"/>
        <v>35.699999999999996</v>
      </c>
      <c r="D50" s="111">
        <f t="shared" si="25"/>
        <v>26.774999999999999</v>
      </c>
      <c r="E50" s="110">
        <f t="shared" si="26"/>
        <v>99.602999999999994</v>
      </c>
      <c r="F50" s="111">
        <f t="shared" si="27"/>
        <v>74.702250000000006</v>
      </c>
      <c r="G50" s="110">
        <f t="shared" si="28"/>
        <v>70.685999999999993</v>
      </c>
      <c r="H50" s="111">
        <f t="shared" si="29"/>
        <v>53.014499999999991</v>
      </c>
      <c r="I50" s="110">
        <f t="shared" si="30"/>
        <v>96.033000000000001</v>
      </c>
      <c r="J50" s="111">
        <f t="shared" si="31"/>
        <v>72.024749999999997</v>
      </c>
      <c r="K50" s="112">
        <f t="shared" si="32"/>
        <v>134.47</v>
      </c>
      <c r="L50" s="113">
        <f t="shared" si="33"/>
        <v>100.85249999999999</v>
      </c>
      <c r="M50" s="1"/>
      <c r="P50" t="s">
        <v>78</v>
      </c>
      <c r="Q50">
        <v>1.19</v>
      </c>
      <c r="R50" t="s">
        <v>78</v>
      </c>
      <c r="T50" t="str">
        <f t="shared" si="22"/>
        <v>Yes</v>
      </c>
      <c r="U50" t="str">
        <f t="shared" si="23"/>
        <v>Yes</v>
      </c>
    </row>
    <row r="51" spans="1:21">
      <c r="A51" s="15" t="s">
        <v>79</v>
      </c>
      <c r="B51" s="167">
        <v>1.1911</v>
      </c>
      <c r="C51" s="110">
        <f t="shared" si="24"/>
        <v>35.733000000000004</v>
      </c>
      <c r="D51" s="111">
        <f t="shared" si="25"/>
        <v>26.79975</v>
      </c>
      <c r="E51" s="110">
        <f t="shared" si="26"/>
        <v>99.695070000000001</v>
      </c>
      <c r="F51" s="111">
        <f t="shared" si="27"/>
        <v>74.771302500000004</v>
      </c>
      <c r="G51" s="110">
        <f t="shared" si="28"/>
        <v>70.751339999999999</v>
      </c>
      <c r="H51" s="111">
        <f t="shared" si="29"/>
        <v>53.063504999999999</v>
      </c>
      <c r="I51" s="110">
        <f t="shared" si="30"/>
        <v>96.121770000000012</v>
      </c>
      <c r="J51" s="111">
        <f t="shared" si="31"/>
        <v>72.091327500000006</v>
      </c>
      <c r="K51" s="112">
        <f t="shared" si="32"/>
        <v>134.5943</v>
      </c>
      <c r="L51" s="113">
        <f t="shared" si="33"/>
        <v>100.94572500000001</v>
      </c>
      <c r="M51" s="1"/>
      <c r="P51" t="s">
        <v>79</v>
      </c>
      <c r="Q51">
        <v>1.1911</v>
      </c>
      <c r="R51" t="s">
        <v>79</v>
      </c>
      <c r="T51" t="str">
        <f t="shared" si="22"/>
        <v>Yes</v>
      </c>
      <c r="U51" t="str">
        <f t="shared" si="23"/>
        <v>Yes</v>
      </c>
    </row>
    <row r="52" spans="1:21">
      <c r="A52" s="15" t="s">
        <v>80</v>
      </c>
      <c r="B52" s="167">
        <v>1.091</v>
      </c>
      <c r="C52" s="110">
        <f t="shared" si="24"/>
        <v>32.729999999999997</v>
      </c>
      <c r="D52" s="111">
        <f t="shared" si="25"/>
        <v>24.547499999999999</v>
      </c>
      <c r="E52" s="110">
        <f t="shared" si="26"/>
        <v>91.316699999999997</v>
      </c>
      <c r="F52" s="111">
        <f t="shared" si="27"/>
        <v>68.487525000000005</v>
      </c>
      <c r="G52" s="110">
        <f t="shared" si="28"/>
        <v>64.805399999999992</v>
      </c>
      <c r="H52" s="111">
        <f t="shared" si="29"/>
        <v>48.604049999999994</v>
      </c>
      <c r="I52" s="110">
        <f t="shared" si="30"/>
        <v>88.043700000000001</v>
      </c>
      <c r="J52" s="111">
        <f t="shared" si="31"/>
        <v>66.032775000000001</v>
      </c>
      <c r="K52" s="112">
        <f t="shared" si="32"/>
        <v>123.283</v>
      </c>
      <c r="L52" s="113">
        <f t="shared" si="33"/>
        <v>92.462249999999997</v>
      </c>
      <c r="M52" s="1"/>
      <c r="P52" t="s">
        <v>80</v>
      </c>
      <c r="Q52">
        <v>1.091</v>
      </c>
      <c r="R52" t="s">
        <v>80</v>
      </c>
      <c r="T52" t="str">
        <f t="shared" si="22"/>
        <v>Yes</v>
      </c>
      <c r="U52" t="str">
        <f t="shared" si="23"/>
        <v>Yes</v>
      </c>
    </row>
    <row r="53" spans="1:21">
      <c r="A53" s="16" t="s">
        <v>9</v>
      </c>
      <c r="B53" s="179">
        <v>1.33</v>
      </c>
      <c r="C53" s="110">
        <f t="shared" si="0"/>
        <v>39.900000000000006</v>
      </c>
      <c r="D53" s="111">
        <f t="shared" si="1"/>
        <v>29.925000000000001</v>
      </c>
      <c r="E53" s="110">
        <f t="shared" si="2"/>
        <v>111.32100000000001</v>
      </c>
      <c r="F53" s="111">
        <f t="shared" si="3"/>
        <v>83.490750000000006</v>
      </c>
      <c r="G53" s="110">
        <f t="shared" si="4"/>
        <v>79.001999999999995</v>
      </c>
      <c r="H53" s="111">
        <f t="shared" si="5"/>
        <v>59.2515</v>
      </c>
      <c r="I53" s="110">
        <f t="shared" si="6"/>
        <v>107.331</v>
      </c>
      <c r="J53" s="111">
        <f t="shared" si="7"/>
        <v>80.498250000000013</v>
      </c>
      <c r="K53" s="112">
        <f t="shared" si="8"/>
        <v>150.29000000000002</v>
      </c>
      <c r="L53" s="113">
        <f t="shared" si="9"/>
        <v>112.7175</v>
      </c>
      <c r="M53" s="1"/>
      <c r="P53" t="s">
        <v>9</v>
      </c>
      <c r="Q53">
        <v>1.33</v>
      </c>
      <c r="R53" t="s">
        <v>9</v>
      </c>
      <c r="T53" t="str">
        <f t="shared" si="22"/>
        <v>Yes</v>
      </c>
      <c r="U53" t="str">
        <f t="shared" si="23"/>
        <v>Yes</v>
      </c>
    </row>
    <row r="54" spans="1:21">
      <c r="A54" s="16" t="s">
        <v>108</v>
      </c>
      <c r="B54" s="167">
        <v>0.87480000000000002</v>
      </c>
      <c r="C54" s="110">
        <f t="shared" si="0"/>
        <v>26.244</v>
      </c>
      <c r="D54" s="111">
        <f t="shared" si="1"/>
        <v>19.683</v>
      </c>
      <c r="E54" s="110">
        <f t="shared" si="2"/>
        <v>73.220759999999999</v>
      </c>
      <c r="F54" s="111">
        <f t="shared" si="3"/>
        <v>54.91557000000001</v>
      </c>
      <c r="G54" s="110">
        <f t="shared" si="4"/>
        <v>51.963120000000004</v>
      </c>
      <c r="H54" s="111">
        <f t="shared" si="5"/>
        <v>38.972339999999996</v>
      </c>
      <c r="I54" s="110">
        <f t="shared" si="6"/>
        <v>70.596360000000004</v>
      </c>
      <c r="J54" s="111">
        <f t="shared" si="7"/>
        <v>52.947270000000003</v>
      </c>
      <c r="K54" s="112">
        <f t="shared" si="8"/>
        <v>98.852400000000003</v>
      </c>
      <c r="L54" s="113">
        <f t="shared" si="9"/>
        <v>74.139300000000006</v>
      </c>
      <c r="M54" s="1"/>
      <c r="P54" t="s">
        <v>108</v>
      </c>
      <c r="Q54">
        <v>0.87480000000000002</v>
      </c>
      <c r="R54" t="s">
        <v>108</v>
      </c>
      <c r="T54" t="str">
        <f t="shared" si="22"/>
        <v>Yes</v>
      </c>
      <c r="U54" t="str">
        <f t="shared" si="23"/>
        <v>Yes</v>
      </c>
    </row>
    <row r="55" spans="1:21">
      <c r="A55" s="16" t="s">
        <v>109</v>
      </c>
      <c r="B55" s="167">
        <v>0.88529999999999998</v>
      </c>
      <c r="C55" s="110">
        <f t="shared" si="0"/>
        <v>26.558999999999997</v>
      </c>
      <c r="D55" s="111">
        <f t="shared" si="1"/>
        <v>19.919249999999998</v>
      </c>
      <c r="E55" s="110">
        <f t="shared" si="2"/>
        <v>74.099609999999998</v>
      </c>
      <c r="F55" s="111">
        <f t="shared" si="3"/>
        <v>55.574707500000002</v>
      </c>
      <c r="G55" s="110">
        <f t="shared" si="4"/>
        <v>52.586819999999996</v>
      </c>
      <c r="H55" s="111">
        <f t="shared" si="5"/>
        <v>39.440114999999999</v>
      </c>
      <c r="I55" s="110">
        <f t="shared" si="6"/>
        <v>71.443709999999996</v>
      </c>
      <c r="J55" s="111">
        <f t="shared" si="7"/>
        <v>53.5827825</v>
      </c>
      <c r="K55" s="112">
        <f t="shared" si="8"/>
        <v>100.0389</v>
      </c>
      <c r="L55" s="113">
        <f t="shared" si="9"/>
        <v>75.029174999999995</v>
      </c>
      <c r="M55" s="1"/>
      <c r="P55" t="s">
        <v>109</v>
      </c>
      <c r="Q55">
        <v>0.88529999999999998</v>
      </c>
      <c r="R55" t="s">
        <v>109</v>
      </c>
      <c r="T55" t="str">
        <f t="shared" si="22"/>
        <v>Yes</v>
      </c>
      <c r="U55" t="str">
        <f t="shared" si="23"/>
        <v>Yes</v>
      </c>
    </row>
    <row r="56" spans="1:21">
      <c r="A56" s="16" t="s">
        <v>110</v>
      </c>
      <c r="B56" s="167">
        <v>0.89229999999999998</v>
      </c>
      <c r="C56" s="110">
        <f t="shared" si="0"/>
        <v>26.768999999999998</v>
      </c>
      <c r="D56" s="111">
        <f t="shared" si="1"/>
        <v>20.076750000000001</v>
      </c>
      <c r="E56" s="110">
        <f t="shared" si="2"/>
        <v>74.685510000000008</v>
      </c>
      <c r="F56" s="111">
        <f t="shared" si="3"/>
        <v>56.014132500000002</v>
      </c>
      <c r="G56" s="110">
        <f t="shared" si="4"/>
        <v>53.00262</v>
      </c>
      <c r="H56" s="111">
        <f t="shared" si="5"/>
        <v>39.751964999999998</v>
      </c>
      <c r="I56" s="110">
        <f t="shared" si="6"/>
        <v>72.008610000000004</v>
      </c>
      <c r="J56" s="111">
        <f t="shared" si="7"/>
        <v>54.006457500000003</v>
      </c>
      <c r="K56" s="112">
        <f t="shared" si="8"/>
        <v>100.82989999999999</v>
      </c>
      <c r="L56" s="113">
        <f t="shared" si="9"/>
        <v>75.622424999999993</v>
      </c>
      <c r="M56" s="1"/>
      <c r="P56" t="s">
        <v>110</v>
      </c>
      <c r="Q56">
        <v>0.89229999999999998</v>
      </c>
      <c r="R56" t="s">
        <v>110</v>
      </c>
      <c r="T56" t="str">
        <f t="shared" si="22"/>
        <v>Yes</v>
      </c>
      <c r="U56" t="str">
        <f t="shared" si="23"/>
        <v>Yes</v>
      </c>
    </row>
    <row r="57" spans="1:21">
      <c r="A57" s="16" t="s">
        <v>111</v>
      </c>
      <c r="B57" s="167">
        <v>0.92049999999999998</v>
      </c>
      <c r="C57" s="110">
        <f t="shared" si="0"/>
        <v>27.614999999999998</v>
      </c>
      <c r="D57" s="111">
        <f t="shared" si="1"/>
        <v>20.71125</v>
      </c>
      <c r="E57" s="110">
        <f t="shared" si="2"/>
        <v>77.045850000000002</v>
      </c>
      <c r="F57" s="111">
        <f t="shared" si="3"/>
        <v>57.784387500000001</v>
      </c>
      <c r="G57" s="110">
        <f t="shared" si="4"/>
        <v>54.677699999999994</v>
      </c>
      <c r="H57" s="111">
        <f t="shared" si="5"/>
        <v>41.008274999999998</v>
      </c>
      <c r="I57" s="110">
        <f t="shared" si="6"/>
        <v>74.284350000000003</v>
      </c>
      <c r="J57" s="111">
        <f t="shared" si="7"/>
        <v>55.713262500000006</v>
      </c>
      <c r="K57" s="112">
        <f t="shared" si="8"/>
        <v>104.01649999999999</v>
      </c>
      <c r="L57" s="113">
        <f t="shared" si="9"/>
        <v>78.012375000000006</v>
      </c>
      <c r="M57" s="1"/>
      <c r="P57" t="s">
        <v>111</v>
      </c>
      <c r="Q57">
        <v>0.92049999999999998</v>
      </c>
      <c r="R57" t="s">
        <v>111</v>
      </c>
      <c r="T57" t="str">
        <f t="shared" si="22"/>
        <v>Yes</v>
      </c>
      <c r="U57" t="str">
        <f t="shared" si="23"/>
        <v>Yes</v>
      </c>
    </row>
    <row r="58" spans="1:21">
      <c r="A58" s="16" t="s">
        <v>14</v>
      </c>
      <c r="B58" s="179">
        <v>1.32</v>
      </c>
      <c r="C58" s="110">
        <f t="shared" si="0"/>
        <v>39.6</v>
      </c>
      <c r="D58" s="111">
        <f t="shared" si="1"/>
        <v>29.700000000000003</v>
      </c>
      <c r="E58" s="110">
        <f t="shared" si="2"/>
        <v>110.48400000000001</v>
      </c>
      <c r="F58" s="111">
        <f t="shared" si="3"/>
        <v>82.863000000000014</v>
      </c>
      <c r="G58" s="110">
        <f t="shared" si="4"/>
        <v>78.408000000000001</v>
      </c>
      <c r="H58" s="111">
        <f t="shared" si="5"/>
        <v>58.805999999999997</v>
      </c>
      <c r="I58" s="110">
        <f t="shared" si="6"/>
        <v>106.52400000000002</v>
      </c>
      <c r="J58" s="111">
        <f t="shared" si="7"/>
        <v>79.893000000000015</v>
      </c>
      <c r="K58" s="112">
        <f t="shared" si="8"/>
        <v>149.16</v>
      </c>
      <c r="L58" s="113">
        <f t="shared" si="9"/>
        <v>111.87</v>
      </c>
      <c r="M58" s="1"/>
      <c r="P58" t="s">
        <v>14</v>
      </c>
      <c r="Q58">
        <v>1.32</v>
      </c>
      <c r="R58" t="s">
        <v>14</v>
      </c>
      <c r="T58" t="str">
        <f t="shared" si="22"/>
        <v>Yes</v>
      </c>
      <c r="U58" t="str">
        <f t="shared" si="23"/>
        <v>Yes</v>
      </c>
    </row>
    <row r="59" spans="1:21">
      <c r="A59" s="16" t="s">
        <v>15</v>
      </c>
      <c r="B59" s="179">
        <v>1.33</v>
      </c>
      <c r="C59" s="110">
        <f t="shared" si="0"/>
        <v>39.900000000000006</v>
      </c>
      <c r="D59" s="111">
        <f t="shared" si="1"/>
        <v>29.925000000000001</v>
      </c>
      <c r="E59" s="110">
        <f t="shared" si="2"/>
        <v>111.32100000000001</v>
      </c>
      <c r="F59" s="111">
        <f t="shared" si="3"/>
        <v>83.490750000000006</v>
      </c>
      <c r="G59" s="110">
        <f t="shared" si="4"/>
        <v>79.001999999999995</v>
      </c>
      <c r="H59" s="111">
        <f t="shared" si="5"/>
        <v>59.2515</v>
      </c>
      <c r="I59" s="110">
        <f t="shared" si="6"/>
        <v>107.331</v>
      </c>
      <c r="J59" s="111">
        <f t="shared" si="7"/>
        <v>80.498250000000013</v>
      </c>
      <c r="K59" s="112">
        <f t="shared" si="8"/>
        <v>150.29000000000002</v>
      </c>
      <c r="L59" s="113">
        <f t="shared" si="9"/>
        <v>112.7175</v>
      </c>
      <c r="M59" s="1"/>
      <c r="P59" t="s">
        <v>15</v>
      </c>
      <c r="Q59">
        <v>1.33</v>
      </c>
      <c r="R59" t="s">
        <v>15</v>
      </c>
      <c r="T59" t="str">
        <f t="shared" si="22"/>
        <v>Yes</v>
      </c>
      <c r="U59" t="str">
        <f t="shared" si="23"/>
        <v>Yes</v>
      </c>
    </row>
    <row r="60" spans="1:21">
      <c r="A60" s="14" t="s">
        <v>16</v>
      </c>
      <c r="B60" s="179">
        <v>1.25</v>
      </c>
      <c r="C60" s="110">
        <f t="shared" si="0"/>
        <v>37.5</v>
      </c>
      <c r="D60" s="111">
        <f t="shared" si="1"/>
        <v>28.125</v>
      </c>
      <c r="E60" s="110">
        <f t="shared" si="2"/>
        <v>104.625</v>
      </c>
      <c r="F60" s="111">
        <f t="shared" si="3"/>
        <v>78.46875</v>
      </c>
      <c r="G60" s="110">
        <f t="shared" si="4"/>
        <v>74.25</v>
      </c>
      <c r="H60" s="111">
        <f t="shared" si="5"/>
        <v>55.6875</v>
      </c>
      <c r="I60" s="110">
        <f t="shared" si="6"/>
        <v>100.875</v>
      </c>
      <c r="J60" s="111">
        <f t="shared" si="7"/>
        <v>75.65625</v>
      </c>
      <c r="K60" s="112">
        <f t="shared" si="8"/>
        <v>141.25</v>
      </c>
      <c r="L60" s="113">
        <f t="shared" si="9"/>
        <v>105.9375</v>
      </c>
      <c r="M60" s="1"/>
      <c r="P60" t="s">
        <v>16</v>
      </c>
      <c r="Q60">
        <v>1.25</v>
      </c>
      <c r="R60" t="s">
        <v>16</v>
      </c>
      <c r="T60" t="str">
        <f t="shared" si="22"/>
        <v>Yes</v>
      </c>
      <c r="U60" t="str">
        <f t="shared" si="23"/>
        <v>Yes</v>
      </c>
    </row>
    <row r="61" spans="1:21">
      <c r="A61" s="14" t="s">
        <v>17</v>
      </c>
      <c r="B61" s="179">
        <v>1.01</v>
      </c>
      <c r="C61" s="110">
        <f t="shared" si="0"/>
        <v>30.3</v>
      </c>
      <c r="D61" s="111">
        <f t="shared" si="1"/>
        <v>22.725000000000001</v>
      </c>
      <c r="E61" s="110">
        <f t="shared" si="2"/>
        <v>84.537000000000006</v>
      </c>
      <c r="F61" s="111">
        <f t="shared" si="3"/>
        <v>63.402750000000005</v>
      </c>
      <c r="G61" s="110">
        <f t="shared" si="4"/>
        <v>59.994</v>
      </c>
      <c r="H61" s="111">
        <f t="shared" si="5"/>
        <v>44.9955</v>
      </c>
      <c r="I61" s="110">
        <f t="shared" si="6"/>
        <v>81.507000000000005</v>
      </c>
      <c r="J61" s="111">
        <f t="shared" si="7"/>
        <v>61.130250000000004</v>
      </c>
      <c r="K61" s="112">
        <f t="shared" si="8"/>
        <v>114.13</v>
      </c>
      <c r="L61" s="113">
        <f t="shared" si="9"/>
        <v>85.597499999999997</v>
      </c>
      <c r="M61" s="1"/>
      <c r="P61" t="s">
        <v>17</v>
      </c>
      <c r="Q61">
        <v>1.01</v>
      </c>
      <c r="R61" t="s">
        <v>17</v>
      </c>
      <c r="T61" t="str">
        <f t="shared" si="22"/>
        <v>Yes</v>
      </c>
      <c r="U61" t="str">
        <f t="shared" si="23"/>
        <v>Yes</v>
      </c>
    </row>
    <row r="62" spans="1:21">
      <c r="A62" s="17" t="s">
        <v>18</v>
      </c>
      <c r="B62" s="179">
        <v>0.72</v>
      </c>
      <c r="C62" s="110">
        <f t="shared" si="0"/>
        <v>21.599999999999998</v>
      </c>
      <c r="D62" s="111">
        <f t="shared" si="1"/>
        <v>16.2</v>
      </c>
      <c r="E62" s="110">
        <f t="shared" si="2"/>
        <v>60.264000000000003</v>
      </c>
      <c r="F62" s="111">
        <f t="shared" si="3"/>
        <v>45.198</v>
      </c>
      <c r="G62" s="110">
        <f t="shared" si="4"/>
        <v>42.768000000000001</v>
      </c>
      <c r="H62" s="111">
        <f t="shared" si="5"/>
        <v>32.075999999999993</v>
      </c>
      <c r="I62" s="110">
        <f t="shared" si="6"/>
        <v>58.103999999999999</v>
      </c>
      <c r="J62" s="111">
        <f t="shared" si="7"/>
        <v>43.578000000000003</v>
      </c>
      <c r="K62" s="112">
        <f t="shared" si="8"/>
        <v>81.36</v>
      </c>
      <c r="L62" s="113">
        <f t="shared" si="9"/>
        <v>61.019999999999996</v>
      </c>
      <c r="M62" s="1"/>
      <c r="P62" t="s">
        <v>18</v>
      </c>
      <c r="Q62">
        <v>0.72</v>
      </c>
      <c r="R62" t="s">
        <v>18</v>
      </c>
      <c r="T62" t="str">
        <f t="shared" si="22"/>
        <v>Yes</v>
      </c>
      <c r="U62" t="str">
        <f t="shared" si="23"/>
        <v>Yes</v>
      </c>
    </row>
    <row r="63" spans="1:21">
      <c r="A63" s="16" t="s">
        <v>19</v>
      </c>
      <c r="B63" s="179">
        <v>1.41</v>
      </c>
      <c r="C63" s="110">
        <f t="shared" si="0"/>
        <v>42.3</v>
      </c>
      <c r="D63" s="111">
        <f t="shared" si="1"/>
        <v>31.724999999999998</v>
      </c>
      <c r="E63" s="110">
        <f t="shared" si="2"/>
        <v>118.017</v>
      </c>
      <c r="F63" s="111">
        <f t="shared" si="3"/>
        <v>88.512749999999997</v>
      </c>
      <c r="G63" s="110">
        <f t="shared" si="4"/>
        <v>83.753999999999991</v>
      </c>
      <c r="H63" s="111">
        <f t="shared" si="5"/>
        <v>62.815499999999993</v>
      </c>
      <c r="I63" s="110">
        <f t="shared" si="6"/>
        <v>113.78699999999999</v>
      </c>
      <c r="J63" s="111">
        <f t="shared" si="7"/>
        <v>85.340249999999997</v>
      </c>
      <c r="K63" s="112">
        <f t="shared" si="8"/>
        <v>159.32999999999998</v>
      </c>
      <c r="L63" s="113">
        <f t="shared" si="9"/>
        <v>119.49749999999999</v>
      </c>
      <c r="M63" s="1"/>
      <c r="P63" t="s">
        <v>19</v>
      </c>
      <c r="Q63">
        <v>1.41</v>
      </c>
      <c r="R63" t="s">
        <v>19</v>
      </c>
      <c r="T63" t="str">
        <f t="shared" si="22"/>
        <v>Yes</v>
      </c>
      <c r="U63" t="str">
        <f t="shared" si="23"/>
        <v>Yes</v>
      </c>
    </row>
    <row r="64" spans="1:21">
      <c r="A64" s="14" t="s">
        <v>20</v>
      </c>
      <c r="B64" s="167">
        <v>0.93479999999999996</v>
      </c>
      <c r="C64" s="110">
        <f t="shared" si="0"/>
        <v>28.044</v>
      </c>
      <c r="D64" s="111">
        <f t="shared" si="1"/>
        <v>21.032999999999998</v>
      </c>
      <c r="E64" s="110">
        <f t="shared" si="2"/>
        <v>78.242760000000004</v>
      </c>
      <c r="F64" s="111">
        <f t="shared" si="3"/>
        <v>58.682070000000003</v>
      </c>
      <c r="G64" s="110">
        <f t="shared" si="4"/>
        <v>55.527119999999996</v>
      </c>
      <c r="H64" s="111">
        <f t="shared" si="5"/>
        <v>41.645339999999997</v>
      </c>
      <c r="I64" s="110">
        <f t="shared" si="6"/>
        <v>75.438360000000003</v>
      </c>
      <c r="J64" s="111">
        <f t="shared" si="7"/>
        <v>56.578770000000006</v>
      </c>
      <c r="K64" s="112">
        <f t="shared" si="8"/>
        <v>105.63239999999999</v>
      </c>
      <c r="L64" s="113">
        <f t="shared" si="9"/>
        <v>79.224299999999999</v>
      </c>
      <c r="M64" s="1"/>
      <c r="P64" t="s">
        <v>20</v>
      </c>
      <c r="Q64">
        <v>0.93479999999999996</v>
      </c>
      <c r="R64" t="s">
        <v>96</v>
      </c>
      <c r="T64" t="str">
        <f t="shared" si="22"/>
        <v>Yes</v>
      </c>
      <c r="U64" t="str">
        <f t="shared" si="23"/>
        <v>Yes</v>
      </c>
    </row>
    <row r="65" spans="1:21">
      <c r="A65" s="14" t="s">
        <v>21</v>
      </c>
      <c r="B65" s="167">
        <v>0.89559999999999995</v>
      </c>
      <c r="C65" s="110">
        <f t="shared" si="0"/>
        <v>26.867999999999999</v>
      </c>
      <c r="D65" s="111">
        <f t="shared" si="1"/>
        <v>20.151</v>
      </c>
      <c r="E65" s="110">
        <f t="shared" si="2"/>
        <v>74.96172</v>
      </c>
      <c r="F65" s="111">
        <f t="shared" si="3"/>
        <v>56.221290000000003</v>
      </c>
      <c r="G65" s="110">
        <f t="shared" si="4"/>
        <v>53.198639999999997</v>
      </c>
      <c r="H65" s="111">
        <f t="shared" si="5"/>
        <v>39.898979999999995</v>
      </c>
      <c r="I65" s="110">
        <f t="shared" si="6"/>
        <v>72.274919999999995</v>
      </c>
      <c r="J65" s="111">
        <f t="shared" si="7"/>
        <v>54.206189999999999</v>
      </c>
      <c r="K65" s="112">
        <f t="shared" si="8"/>
        <v>101.2028</v>
      </c>
      <c r="L65" s="113">
        <f t="shared" si="9"/>
        <v>75.90209999999999</v>
      </c>
      <c r="M65" s="1"/>
      <c r="P65" t="s">
        <v>21</v>
      </c>
      <c r="Q65">
        <v>0.89559999999999995</v>
      </c>
      <c r="R65" t="s">
        <v>97</v>
      </c>
      <c r="T65" t="str">
        <f t="shared" si="22"/>
        <v>Yes</v>
      </c>
      <c r="U65" t="str">
        <f t="shared" si="23"/>
        <v>Yes</v>
      </c>
    </row>
    <row r="66" spans="1:21">
      <c r="A66" s="14" t="s">
        <v>53</v>
      </c>
      <c r="B66" s="167">
        <v>0.503</v>
      </c>
      <c r="C66" s="110">
        <f t="shared" si="0"/>
        <v>15.09</v>
      </c>
      <c r="D66" s="111">
        <f t="shared" si="1"/>
        <v>11.317500000000001</v>
      </c>
      <c r="E66" s="110">
        <f t="shared" si="2"/>
        <v>42.101100000000002</v>
      </c>
      <c r="F66" s="111">
        <f t="shared" si="3"/>
        <v>31.575825000000002</v>
      </c>
      <c r="G66" s="110">
        <f t="shared" si="4"/>
        <v>29.8782</v>
      </c>
      <c r="H66" s="111">
        <f t="shared" si="5"/>
        <v>22.408649999999998</v>
      </c>
      <c r="I66" s="110">
        <f t="shared" si="6"/>
        <v>40.592100000000002</v>
      </c>
      <c r="J66" s="111">
        <f t="shared" si="7"/>
        <v>30.444075000000002</v>
      </c>
      <c r="K66" s="112">
        <f t="shared" si="8"/>
        <v>56.838999999999999</v>
      </c>
      <c r="L66" s="113">
        <f t="shared" si="9"/>
        <v>42.629249999999999</v>
      </c>
      <c r="M66" s="1"/>
      <c r="P66" t="s">
        <v>54</v>
      </c>
      <c r="Q66">
        <v>0.503</v>
      </c>
      <c r="R66" t="s">
        <v>54</v>
      </c>
      <c r="T66" t="str">
        <f t="shared" si="22"/>
        <v>Yes</v>
      </c>
      <c r="U66" t="str">
        <f t="shared" si="23"/>
        <v>Yes</v>
      </c>
    </row>
    <row r="67" spans="1:21">
      <c r="A67" s="83" t="s">
        <v>81</v>
      </c>
      <c r="B67" s="167">
        <v>0.74490000000000001</v>
      </c>
      <c r="C67" s="110">
        <f t="shared" si="0"/>
        <v>22.347000000000001</v>
      </c>
      <c r="D67" s="111">
        <f t="shared" si="1"/>
        <v>16.760249999999999</v>
      </c>
      <c r="E67" s="110">
        <f t="shared" si="2"/>
        <v>62.348130000000005</v>
      </c>
      <c r="F67" s="111">
        <f t="shared" si="3"/>
        <v>46.761097500000005</v>
      </c>
      <c r="G67" s="110">
        <f t="shared" si="4"/>
        <v>44.247059999999998</v>
      </c>
      <c r="H67" s="111">
        <f t="shared" si="5"/>
        <v>33.185294999999996</v>
      </c>
      <c r="I67" s="110">
        <f t="shared" si="6"/>
        <v>60.113430000000001</v>
      </c>
      <c r="J67" s="111">
        <f t="shared" si="7"/>
        <v>45.085072500000003</v>
      </c>
      <c r="K67" s="112">
        <f t="shared" si="8"/>
        <v>84.173699999999997</v>
      </c>
      <c r="L67" s="113">
        <f t="shared" si="9"/>
        <v>63.130274999999997</v>
      </c>
      <c r="M67" s="1"/>
      <c r="P67" t="s">
        <v>81</v>
      </c>
      <c r="Q67">
        <v>0.74490000000000001</v>
      </c>
      <c r="R67" t="s">
        <v>81</v>
      </c>
      <c r="T67" t="str">
        <f t="shared" si="22"/>
        <v>Yes</v>
      </c>
      <c r="U67" t="str">
        <f t="shared" si="23"/>
        <v>Yes</v>
      </c>
    </row>
    <row r="68" spans="1:21">
      <c r="A68" s="83" t="s">
        <v>22</v>
      </c>
      <c r="B68" s="167">
        <v>0.74960000000000004</v>
      </c>
      <c r="C68" s="110">
        <f t="shared" si="0"/>
        <v>22.488</v>
      </c>
      <c r="D68" s="111">
        <f t="shared" si="1"/>
        <v>16.866</v>
      </c>
      <c r="E68" s="110">
        <f t="shared" si="2"/>
        <v>62.741520000000008</v>
      </c>
      <c r="F68" s="111">
        <f t="shared" si="3"/>
        <v>47.056140000000006</v>
      </c>
      <c r="G68" s="110">
        <f t="shared" si="4"/>
        <v>44.526240000000001</v>
      </c>
      <c r="H68" s="111">
        <f t="shared" si="5"/>
        <v>33.394680000000001</v>
      </c>
      <c r="I68" s="110">
        <f t="shared" si="6"/>
        <v>60.492720000000006</v>
      </c>
      <c r="J68" s="111">
        <f t="shared" si="7"/>
        <v>45.369540000000008</v>
      </c>
      <c r="K68" s="112">
        <f t="shared" si="8"/>
        <v>84.704800000000006</v>
      </c>
      <c r="L68" s="113">
        <f t="shared" si="9"/>
        <v>63.528600000000004</v>
      </c>
      <c r="M68" s="1"/>
      <c r="P68" t="s">
        <v>22</v>
      </c>
      <c r="Q68">
        <v>0.74960000000000004</v>
      </c>
      <c r="R68" t="s">
        <v>22</v>
      </c>
      <c r="T68" t="str">
        <f t="shared" si="22"/>
        <v>Yes</v>
      </c>
      <c r="U68" t="str">
        <f t="shared" si="23"/>
        <v>Yes</v>
      </c>
    </row>
    <row r="69" spans="1:21">
      <c r="A69" s="83" t="s">
        <v>82</v>
      </c>
      <c r="B69" s="167">
        <v>0.57699999999999996</v>
      </c>
      <c r="C69" s="110">
        <f>B69*$C$6</f>
        <v>17.309999999999999</v>
      </c>
      <c r="D69" s="111">
        <f>B69*$D$6</f>
        <v>12.982499999999998</v>
      </c>
      <c r="E69" s="110">
        <f>B69*$E$6</f>
        <v>48.294899999999998</v>
      </c>
      <c r="F69" s="111">
        <f>B69*$F$6</f>
        <v>36.221175000000002</v>
      </c>
      <c r="G69" s="110">
        <f>B69*$G$6</f>
        <v>34.273799999999994</v>
      </c>
      <c r="H69" s="111">
        <f>B69*$H$6</f>
        <v>25.705349999999996</v>
      </c>
      <c r="I69" s="110">
        <f>B69*$I$6</f>
        <v>46.563899999999997</v>
      </c>
      <c r="J69" s="111">
        <f>B69*$J$6</f>
        <v>34.922924999999999</v>
      </c>
      <c r="K69" s="112">
        <f>B69*$K$6</f>
        <v>65.200999999999993</v>
      </c>
      <c r="L69" s="113">
        <f>B69*$L$6</f>
        <v>48.900749999999995</v>
      </c>
      <c r="M69" s="1"/>
      <c r="P69" t="s">
        <v>82</v>
      </c>
      <c r="Q69">
        <v>0.57699999999999996</v>
      </c>
      <c r="R69" t="s">
        <v>82</v>
      </c>
      <c r="T69" t="str">
        <f t="shared" si="22"/>
        <v>Yes</v>
      </c>
      <c r="U69" t="str">
        <f t="shared" si="23"/>
        <v>Yes</v>
      </c>
    </row>
    <row r="70" spans="1:21">
      <c r="A70" s="15" t="s">
        <v>31</v>
      </c>
      <c r="B70" s="167">
        <v>0.73</v>
      </c>
      <c r="C70" s="110">
        <f t="shared" si="0"/>
        <v>21.9</v>
      </c>
      <c r="D70" s="111">
        <f t="shared" si="1"/>
        <v>16.425000000000001</v>
      </c>
      <c r="E70" s="110">
        <f t="shared" si="2"/>
        <v>61.100999999999999</v>
      </c>
      <c r="F70" s="111">
        <f t="shared" si="3"/>
        <v>45.825750000000006</v>
      </c>
      <c r="G70" s="110">
        <f t="shared" si="4"/>
        <v>43.361999999999995</v>
      </c>
      <c r="H70" s="111">
        <f t="shared" si="5"/>
        <v>32.521499999999996</v>
      </c>
      <c r="I70" s="110">
        <f t="shared" si="6"/>
        <v>58.911000000000001</v>
      </c>
      <c r="J70" s="111">
        <f t="shared" si="7"/>
        <v>44.183250000000001</v>
      </c>
      <c r="K70" s="112">
        <f t="shared" si="8"/>
        <v>82.49</v>
      </c>
      <c r="L70" s="113">
        <f t="shared" si="9"/>
        <v>61.8675</v>
      </c>
      <c r="M70" s="1"/>
      <c r="P70" t="s">
        <v>31</v>
      </c>
      <c r="Q70">
        <v>0.73</v>
      </c>
      <c r="R70" t="s">
        <v>31</v>
      </c>
      <c r="T70" t="str">
        <f t="shared" si="22"/>
        <v>Yes</v>
      </c>
      <c r="U70" t="str">
        <f t="shared" si="23"/>
        <v>Yes</v>
      </c>
    </row>
    <row r="71" spans="1:21">
      <c r="A71" s="15" t="s">
        <v>83</v>
      </c>
      <c r="B71" s="167">
        <v>0.625</v>
      </c>
      <c r="C71" s="110">
        <f>B71*$C$6</f>
        <v>18.75</v>
      </c>
      <c r="D71" s="111">
        <f>B71*$D$6</f>
        <v>14.0625</v>
      </c>
      <c r="E71" s="110">
        <f>B71*$E$6</f>
        <v>52.3125</v>
      </c>
      <c r="F71" s="111">
        <f>B71*$F$6</f>
        <v>39.234375</v>
      </c>
      <c r="G71" s="110">
        <f>B71*$G$6</f>
        <v>37.125</v>
      </c>
      <c r="H71" s="111">
        <f>B71*$H$6</f>
        <v>27.84375</v>
      </c>
      <c r="I71" s="110">
        <f>B71*$I$6</f>
        <v>50.4375</v>
      </c>
      <c r="J71" s="111">
        <f>B71*$J$6</f>
        <v>37.828125</v>
      </c>
      <c r="K71" s="112">
        <f>B71*$K$6</f>
        <v>70.625</v>
      </c>
      <c r="L71" s="113">
        <f>B71*$L$6</f>
        <v>52.96875</v>
      </c>
      <c r="M71" s="1"/>
      <c r="P71" t="s">
        <v>83</v>
      </c>
      <c r="Q71">
        <v>0.625</v>
      </c>
      <c r="R71" t="s">
        <v>83</v>
      </c>
      <c r="T71" t="str">
        <f t="shared" si="22"/>
        <v>Yes</v>
      </c>
      <c r="U71" t="str">
        <f t="shared" si="23"/>
        <v>Yes</v>
      </c>
    </row>
    <row r="72" spans="1:21">
      <c r="A72" s="15" t="s">
        <v>84</v>
      </c>
      <c r="B72" s="167">
        <v>0.78700000000000003</v>
      </c>
      <c r="C72" s="110">
        <f>B72*$C$6</f>
        <v>23.61</v>
      </c>
      <c r="D72" s="111">
        <f>B72*$D$6</f>
        <v>17.7075</v>
      </c>
      <c r="E72" s="110">
        <f>B72*$E$6</f>
        <v>65.871900000000011</v>
      </c>
      <c r="F72" s="111">
        <f>B72*$F$6</f>
        <v>49.403925000000008</v>
      </c>
      <c r="G72" s="110">
        <f>B72*$G$6</f>
        <v>46.747799999999998</v>
      </c>
      <c r="H72" s="111">
        <f>B72*$H$6</f>
        <v>35.060850000000002</v>
      </c>
      <c r="I72" s="110">
        <f>B72*$I$6</f>
        <v>63.510900000000007</v>
      </c>
      <c r="J72" s="111">
        <f>B72*$J$6</f>
        <v>47.633175000000008</v>
      </c>
      <c r="K72" s="112">
        <f>B72*$K$6</f>
        <v>88.930999999999997</v>
      </c>
      <c r="L72" s="113">
        <f>B72*$L$6</f>
        <v>66.698250000000002</v>
      </c>
      <c r="M72" s="1"/>
      <c r="P72" t="s">
        <v>84</v>
      </c>
      <c r="Q72">
        <v>0.78700000000000003</v>
      </c>
      <c r="R72" t="s">
        <v>84</v>
      </c>
      <c r="T72" t="str">
        <f t="shared" ref="T72:T92" si="34">IF(AND(A72=P72,A72=R72,P72=R72),"Yes","No")</f>
        <v>Yes</v>
      </c>
      <c r="U72" t="str">
        <f t="shared" ref="U72:U92" si="35">IF(B72=Q72,"Yes","No")</f>
        <v>Yes</v>
      </c>
    </row>
    <row r="73" spans="1:21">
      <c r="A73" s="15" t="s">
        <v>98</v>
      </c>
      <c r="B73" s="167">
        <v>0.57099999999999995</v>
      </c>
      <c r="C73" s="110">
        <f>B73*$C$6</f>
        <v>17.13</v>
      </c>
      <c r="D73" s="111">
        <f>B73*$D$6</f>
        <v>12.847499999999998</v>
      </c>
      <c r="E73" s="110">
        <f>B73*$E$6</f>
        <v>47.792699999999996</v>
      </c>
      <c r="F73" s="111">
        <f>B73*$F$6</f>
        <v>35.844524999999997</v>
      </c>
      <c r="G73" s="110">
        <f>B73*$G$6</f>
        <v>33.917399999999994</v>
      </c>
      <c r="H73" s="111">
        <f>B73*$H$6</f>
        <v>25.438049999999997</v>
      </c>
      <c r="I73" s="110">
        <f>B73*$I$6</f>
        <v>46.079699999999995</v>
      </c>
      <c r="J73" s="111">
        <f>B73*$J$6</f>
        <v>34.559775000000002</v>
      </c>
      <c r="K73" s="112">
        <f>B73*$K$6</f>
        <v>64.522999999999996</v>
      </c>
      <c r="L73" s="113">
        <f>B73*$L$6</f>
        <v>48.392249999999997</v>
      </c>
      <c r="M73" s="1"/>
      <c r="P73" t="s">
        <v>98</v>
      </c>
      <c r="Q73">
        <v>0.57099999999999995</v>
      </c>
      <c r="R73" t="s">
        <v>98</v>
      </c>
      <c r="T73" t="str">
        <f t="shared" si="34"/>
        <v>Yes</v>
      </c>
      <c r="U73" t="str">
        <f t="shared" si="35"/>
        <v>Yes</v>
      </c>
    </row>
    <row r="74" spans="1:21">
      <c r="A74" s="83" t="s">
        <v>117</v>
      </c>
      <c r="B74" s="167">
        <v>1.1499999999999999</v>
      </c>
      <c r="C74" s="110">
        <f t="shared" si="0"/>
        <v>34.5</v>
      </c>
      <c r="D74" s="111">
        <f t="shared" si="1"/>
        <v>25.874999999999996</v>
      </c>
      <c r="E74" s="110">
        <f t="shared" si="2"/>
        <v>96.254999999999995</v>
      </c>
      <c r="F74" s="111">
        <f t="shared" si="3"/>
        <v>72.191249999999997</v>
      </c>
      <c r="G74" s="110">
        <f t="shared" si="4"/>
        <v>68.309999999999988</v>
      </c>
      <c r="H74" s="111">
        <f t="shared" si="5"/>
        <v>51.232499999999995</v>
      </c>
      <c r="I74" s="110">
        <f t="shared" si="6"/>
        <v>92.804999999999993</v>
      </c>
      <c r="J74" s="111">
        <f t="shared" si="7"/>
        <v>69.603750000000005</v>
      </c>
      <c r="K74" s="112">
        <f t="shared" si="8"/>
        <v>129.94999999999999</v>
      </c>
      <c r="L74" s="113">
        <f t="shared" si="9"/>
        <v>97.462499999999991</v>
      </c>
      <c r="M74" s="1"/>
      <c r="P74" t="s">
        <v>117</v>
      </c>
      <c r="Q74">
        <v>1.1499999999999999</v>
      </c>
      <c r="R74" t="s">
        <v>117</v>
      </c>
      <c r="T74" t="str">
        <f t="shared" si="34"/>
        <v>Yes</v>
      </c>
      <c r="U74" t="str">
        <f t="shared" si="35"/>
        <v>Yes</v>
      </c>
    </row>
    <row r="75" spans="1:21">
      <c r="A75" s="83" t="s">
        <v>85</v>
      </c>
      <c r="B75" s="167">
        <v>1.17</v>
      </c>
      <c r="C75" s="110">
        <f t="shared" si="0"/>
        <v>35.099999999999994</v>
      </c>
      <c r="D75" s="111">
        <f t="shared" si="1"/>
        <v>26.324999999999999</v>
      </c>
      <c r="E75" s="110">
        <f t="shared" si="2"/>
        <v>97.929000000000002</v>
      </c>
      <c r="F75" s="111">
        <f t="shared" si="3"/>
        <v>73.446750000000009</v>
      </c>
      <c r="G75" s="110">
        <f t="shared" si="4"/>
        <v>69.49799999999999</v>
      </c>
      <c r="H75" s="111">
        <f t="shared" si="5"/>
        <v>52.123499999999993</v>
      </c>
      <c r="I75" s="110">
        <f t="shared" si="6"/>
        <v>94.418999999999997</v>
      </c>
      <c r="J75" s="111">
        <f t="shared" si="7"/>
        <v>70.814250000000001</v>
      </c>
      <c r="K75" s="112">
        <f t="shared" si="8"/>
        <v>132.20999999999998</v>
      </c>
      <c r="L75" s="113">
        <f t="shared" si="9"/>
        <v>99.157499999999999</v>
      </c>
      <c r="M75" s="1"/>
      <c r="P75" t="s">
        <v>85</v>
      </c>
      <c r="Q75">
        <v>1.17</v>
      </c>
      <c r="R75" t="s">
        <v>85</v>
      </c>
      <c r="T75" t="str">
        <f t="shared" si="34"/>
        <v>Yes</v>
      </c>
      <c r="U75" t="str">
        <f t="shared" si="35"/>
        <v>Yes</v>
      </c>
    </row>
    <row r="76" spans="1:21">
      <c r="A76" s="83" t="s">
        <v>99</v>
      </c>
      <c r="B76" s="167">
        <v>1.1904999999999999</v>
      </c>
      <c r="C76" s="110">
        <f>B76*$C$6</f>
        <v>35.714999999999996</v>
      </c>
      <c r="D76" s="111">
        <f>B76*$D$6</f>
        <v>26.786249999999999</v>
      </c>
      <c r="E76" s="110">
        <f>B76*$E$6</f>
        <v>99.644849999999991</v>
      </c>
      <c r="F76" s="111">
        <f>B76*$F$6</f>
        <v>74.7336375</v>
      </c>
      <c r="G76" s="110">
        <f>B76*$G$6</f>
        <v>70.715699999999998</v>
      </c>
      <c r="H76" s="111">
        <f>B76*$H$6</f>
        <v>53.036774999999992</v>
      </c>
      <c r="I76" s="110">
        <f>B76*$I$6</f>
        <v>96.073349999999991</v>
      </c>
      <c r="J76" s="111">
        <f>B76*$J$6</f>
        <v>72.055012500000004</v>
      </c>
      <c r="K76" s="112">
        <f>B76*$K$6</f>
        <v>134.5265</v>
      </c>
      <c r="L76" s="113">
        <f>B76*$L$6</f>
        <v>100.89487499999998</v>
      </c>
      <c r="M76" s="1"/>
      <c r="P76" t="s">
        <v>99</v>
      </c>
      <c r="Q76">
        <v>1.1904999999999999</v>
      </c>
      <c r="R76" t="s">
        <v>99</v>
      </c>
      <c r="T76" t="str">
        <f t="shared" si="34"/>
        <v>Yes</v>
      </c>
      <c r="U76" t="str">
        <f t="shared" si="35"/>
        <v>Yes</v>
      </c>
    </row>
    <row r="77" spans="1:21">
      <c r="A77" s="83" t="s">
        <v>100</v>
      </c>
      <c r="B77" s="167">
        <v>1.2</v>
      </c>
      <c r="C77" s="110">
        <f>B77*$C$6</f>
        <v>36</v>
      </c>
      <c r="D77" s="111">
        <f>B77*$D$6</f>
        <v>27</v>
      </c>
      <c r="E77" s="110">
        <f>B77*$E$6</f>
        <v>100.44</v>
      </c>
      <c r="F77" s="111">
        <f>B77*$F$6</f>
        <v>75.33</v>
      </c>
      <c r="G77" s="110">
        <f>B77*$G$6</f>
        <v>71.28</v>
      </c>
      <c r="H77" s="111">
        <f>B77*$H$6</f>
        <v>53.459999999999994</v>
      </c>
      <c r="I77" s="110">
        <f>B77*$I$6</f>
        <v>96.84</v>
      </c>
      <c r="J77" s="111">
        <f>B77*$J$6</f>
        <v>72.63000000000001</v>
      </c>
      <c r="K77" s="112">
        <f>B77*$K$6</f>
        <v>135.6</v>
      </c>
      <c r="L77" s="113">
        <f>B77*$L$6</f>
        <v>101.7</v>
      </c>
      <c r="M77" s="1"/>
      <c r="P77" t="s">
        <v>100</v>
      </c>
      <c r="Q77">
        <v>1.2</v>
      </c>
      <c r="R77" t="s">
        <v>100</v>
      </c>
      <c r="T77" t="str">
        <f t="shared" si="34"/>
        <v>Yes</v>
      </c>
      <c r="U77" t="str">
        <f t="shared" si="35"/>
        <v>Yes</v>
      </c>
    </row>
    <row r="78" spans="1:21">
      <c r="A78" s="83" t="s">
        <v>86</v>
      </c>
      <c r="B78" s="167">
        <v>1.22</v>
      </c>
      <c r="C78" s="110">
        <f t="shared" si="0"/>
        <v>36.6</v>
      </c>
      <c r="D78" s="111">
        <f t="shared" si="1"/>
        <v>27.45</v>
      </c>
      <c r="E78" s="110">
        <f t="shared" si="2"/>
        <v>102.114</v>
      </c>
      <c r="F78" s="111">
        <f t="shared" si="3"/>
        <v>76.58550000000001</v>
      </c>
      <c r="G78" s="110">
        <f t="shared" si="4"/>
        <v>72.468000000000004</v>
      </c>
      <c r="H78" s="111">
        <f t="shared" si="5"/>
        <v>54.350999999999992</v>
      </c>
      <c r="I78" s="110">
        <f t="shared" si="6"/>
        <v>98.454000000000008</v>
      </c>
      <c r="J78" s="111">
        <f t="shared" si="7"/>
        <v>73.840500000000006</v>
      </c>
      <c r="K78" s="112">
        <f t="shared" si="8"/>
        <v>137.85999999999999</v>
      </c>
      <c r="L78" s="113">
        <f t="shared" si="9"/>
        <v>103.395</v>
      </c>
      <c r="M78" s="1"/>
      <c r="P78" t="s">
        <v>86</v>
      </c>
      <c r="Q78">
        <v>1.22</v>
      </c>
      <c r="R78" t="s">
        <v>86</v>
      </c>
      <c r="T78" t="str">
        <f t="shared" si="34"/>
        <v>Yes</v>
      </c>
      <c r="U78" t="str">
        <f t="shared" si="35"/>
        <v>Yes</v>
      </c>
    </row>
    <row r="79" spans="1:21">
      <c r="A79" s="15" t="s">
        <v>23</v>
      </c>
      <c r="B79" s="167">
        <v>0.71050000000000002</v>
      </c>
      <c r="C79" s="110">
        <f t="shared" ref="C79:C93" si="36">B79*$C$6</f>
        <v>21.315000000000001</v>
      </c>
      <c r="D79" s="111">
        <f t="shared" ref="D79:D93" si="37">B79*$D$6</f>
        <v>15.98625</v>
      </c>
      <c r="E79" s="110">
        <f t="shared" ref="E79:E93" si="38">B79*$E$6</f>
        <v>59.468850000000003</v>
      </c>
      <c r="F79" s="111">
        <f t="shared" ref="F79:F93" si="39">B79*$F$6</f>
        <v>44.601637500000002</v>
      </c>
      <c r="G79" s="110">
        <f t="shared" ref="G79:G93" si="40">B79*$G$6</f>
        <v>42.203699999999998</v>
      </c>
      <c r="H79" s="111">
        <f t="shared" ref="H79:H91" si="41">B79*$H$6</f>
        <v>31.652774999999998</v>
      </c>
      <c r="I79" s="110">
        <f t="shared" ref="I79:I93" si="42">B79*$I$6</f>
        <v>57.337350000000001</v>
      </c>
      <c r="J79" s="111">
        <f t="shared" ref="J79:J93" si="43">B79*$J$6</f>
        <v>43.003012500000004</v>
      </c>
      <c r="K79" s="112">
        <f t="shared" ref="K79:K93" si="44">B79*$K$6</f>
        <v>80.286500000000004</v>
      </c>
      <c r="L79" s="113">
        <f t="shared" ref="L79:L93" si="45">B79*$L$6</f>
        <v>60.214874999999999</v>
      </c>
      <c r="M79" s="1"/>
      <c r="P79" t="s">
        <v>23</v>
      </c>
      <c r="Q79">
        <v>0.71050000000000002</v>
      </c>
      <c r="R79" t="s">
        <v>23</v>
      </c>
      <c r="T79" t="str">
        <f t="shared" si="34"/>
        <v>Yes</v>
      </c>
      <c r="U79" t="str">
        <f t="shared" si="35"/>
        <v>Yes</v>
      </c>
    </row>
    <row r="80" spans="1:21">
      <c r="A80" s="15" t="s">
        <v>87</v>
      </c>
      <c r="B80" s="167">
        <v>1.1659999999999999</v>
      </c>
      <c r="C80" s="110">
        <f>B80*$C$6</f>
        <v>34.979999999999997</v>
      </c>
      <c r="D80" s="111">
        <f>B80*$D$6</f>
        <v>26.234999999999999</v>
      </c>
      <c r="E80" s="110">
        <f>B80*$E$6</f>
        <v>97.594200000000001</v>
      </c>
      <c r="F80" s="111">
        <f>B80*$F$6</f>
        <v>73.195650000000001</v>
      </c>
      <c r="G80" s="110">
        <f>B80*$G$6</f>
        <v>69.26039999999999</v>
      </c>
      <c r="H80" s="111">
        <f>B80*$H$6</f>
        <v>51.945299999999996</v>
      </c>
      <c r="I80" s="110">
        <f>B80*$I$6</f>
        <v>94.096199999999996</v>
      </c>
      <c r="J80" s="111">
        <f>B80*$J$6</f>
        <v>70.572150000000008</v>
      </c>
      <c r="K80" s="112">
        <f>B80*$K$6</f>
        <v>131.75799999999998</v>
      </c>
      <c r="L80" s="113">
        <f>B80*$L$6</f>
        <v>98.8185</v>
      </c>
      <c r="M80" s="1"/>
      <c r="P80" t="s">
        <v>87</v>
      </c>
      <c r="Q80">
        <v>1.1659999999999999</v>
      </c>
      <c r="R80" t="s">
        <v>87</v>
      </c>
      <c r="T80" t="str">
        <f t="shared" si="34"/>
        <v>Yes</v>
      </c>
      <c r="U80" t="str">
        <f t="shared" si="35"/>
        <v>Yes</v>
      </c>
    </row>
    <row r="81" spans="1:21">
      <c r="A81" s="14" t="s">
        <v>24</v>
      </c>
      <c r="B81" s="167">
        <v>1.254</v>
      </c>
      <c r="C81" s="110">
        <f t="shared" si="36"/>
        <v>37.619999999999997</v>
      </c>
      <c r="D81" s="111">
        <f t="shared" si="37"/>
        <v>28.215</v>
      </c>
      <c r="E81" s="110">
        <f t="shared" si="38"/>
        <v>104.9598</v>
      </c>
      <c r="F81" s="111">
        <f t="shared" si="39"/>
        <v>78.719850000000008</v>
      </c>
      <c r="G81" s="110">
        <f t="shared" si="40"/>
        <v>74.4876</v>
      </c>
      <c r="H81" s="111">
        <f t="shared" si="41"/>
        <v>55.865699999999997</v>
      </c>
      <c r="I81" s="110">
        <f t="shared" si="42"/>
        <v>101.1978</v>
      </c>
      <c r="J81" s="111">
        <f t="shared" si="43"/>
        <v>75.898350000000008</v>
      </c>
      <c r="K81" s="112">
        <f t="shared" si="44"/>
        <v>141.702</v>
      </c>
      <c r="L81" s="113">
        <f t="shared" si="45"/>
        <v>106.2765</v>
      </c>
      <c r="M81" s="1"/>
      <c r="P81" t="s">
        <v>24</v>
      </c>
      <c r="Q81">
        <v>1.254</v>
      </c>
      <c r="R81" t="s">
        <v>24</v>
      </c>
      <c r="T81" t="str">
        <f t="shared" si="34"/>
        <v>Yes</v>
      </c>
      <c r="U81" t="str">
        <f t="shared" si="35"/>
        <v>Yes</v>
      </c>
    </row>
    <row r="82" spans="1:21">
      <c r="A82" s="14" t="s">
        <v>88</v>
      </c>
      <c r="B82" s="167">
        <v>1.37</v>
      </c>
      <c r="C82" s="110">
        <f t="shared" si="36"/>
        <v>41.1</v>
      </c>
      <c r="D82" s="111">
        <f t="shared" si="37"/>
        <v>30.825000000000003</v>
      </c>
      <c r="E82" s="110">
        <f t="shared" si="38"/>
        <v>114.66900000000001</v>
      </c>
      <c r="F82" s="111">
        <f t="shared" si="39"/>
        <v>86.001750000000015</v>
      </c>
      <c r="G82" s="110">
        <f t="shared" si="40"/>
        <v>81.378</v>
      </c>
      <c r="H82" s="111">
        <f t="shared" si="41"/>
        <v>61.033500000000004</v>
      </c>
      <c r="I82" s="110">
        <f t="shared" si="42"/>
        <v>110.55900000000001</v>
      </c>
      <c r="J82" s="111">
        <f t="shared" si="43"/>
        <v>82.919250000000019</v>
      </c>
      <c r="K82" s="112">
        <f t="shared" si="44"/>
        <v>154.81</v>
      </c>
      <c r="L82" s="113">
        <f t="shared" si="45"/>
        <v>116.10750000000002</v>
      </c>
      <c r="M82" s="1"/>
      <c r="P82" t="s">
        <v>88</v>
      </c>
      <c r="Q82">
        <v>1.37</v>
      </c>
      <c r="R82" t="s">
        <v>88</v>
      </c>
      <c r="T82" t="str">
        <f t="shared" si="34"/>
        <v>Yes</v>
      </c>
      <c r="U82" t="str">
        <f t="shared" si="35"/>
        <v>Yes</v>
      </c>
    </row>
    <row r="83" spans="1:21">
      <c r="A83" s="14" t="s">
        <v>25</v>
      </c>
      <c r="B83" s="167">
        <v>1.35</v>
      </c>
      <c r="C83" s="110">
        <f t="shared" si="36"/>
        <v>40.5</v>
      </c>
      <c r="D83" s="111">
        <f t="shared" si="37"/>
        <v>30.375000000000004</v>
      </c>
      <c r="E83" s="110">
        <f t="shared" si="38"/>
        <v>112.995</v>
      </c>
      <c r="F83" s="111">
        <f t="shared" si="39"/>
        <v>84.746250000000018</v>
      </c>
      <c r="G83" s="110">
        <f t="shared" si="40"/>
        <v>80.19</v>
      </c>
      <c r="H83" s="111">
        <f t="shared" si="41"/>
        <v>60.142499999999998</v>
      </c>
      <c r="I83" s="110">
        <f t="shared" si="42"/>
        <v>108.94500000000001</v>
      </c>
      <c r="J83" s="111">
        <f t="shared" si="43"/>
        <v>81.708750000000009</v>
      </c>
      <c r="K83" s="112">
        <f t="shared" si="44"/>
        <v>152.55000000000001</v>
      </c>
      <c r="L83" s="113">
        <f t="shared" si="45"/>
        <v>114.41250000000001</v>
      </c>
      <c r="M83" s="1"/>
      <c r="P83" t="s">
        <v>25</v>
      </c>
      <c r="Q83">
        <v>1.35</v>
      </c>
      <c r="R83" t="s">
        <v>25</v>
      </c>
      <c r="T83" t="str">
        <f t="shared" si="34"/>
        <v>Yes</v>
      </c>
      <c r="U83" t="str">
        <f t="shared" si="35"/>
        <v>Yes</v>
      </c>
    </row>
    <row r="84" spans="1:21">
      <c r="A84" s="14" t="s">
        <v>26</v>
      </c>
      <c r="B84" s="167">
        <v>1.34</v>
      </c>
      <c r="C84" s="110">
        <f t="shared" si="36"/>
        <v>40.200000000000003</v>
      </c>
      <c r="D84" s="111">
        <f t="shared" si="37"/>
        <v>30.150000000000002</v>
      </c>
      <c r="E84" s="110">
        <f t="shared" si="38"/>
        <v>112.15800000000002</v>
      </c>
      <c r="F84" s="111">
        <f t="shared" si="39"/>
        <v>84.118500000000012</v>
      </c>
      <c r="G84" s="110">
        <f t="shared" si="40"/>
        <v>79.596000000000004</v>
      </c>
      <c r="H84" s="111">
        <f t="shared" si="41"/>
        <v>59.697000000000003</v>
      </c>
      <c r="I84" s="110">
        <f t="shared" si="42"/>
        <v>108.13800000000001</v>
      </c>
      <c r="J84" s="111">
        <f t="shared" si="43"/>
        <v>81.103500000000011</v>
      </c>
      <c r="K84" s="112">
        <f t="shared" si="44"/>
        <v>151.42000000000002</v>
      </c>
      <c r="L84" s="113">
        <f t="shared" si="45"/>
        <v>113.56500000000001</v>
      </c>
      <c r="M84" s="1"/>
      <c r="P84" t="s">
        <v>26</v>
      </c>
      <c r="Q84">
        <v>1.34</v>
      </c>
      <c r="R84" t="s">
        <v>26</v>
      </c>
      <c r="T84" t="str">
        <f t="shared" si="34"/>
        <v>Yes</v>
      </c>
      <c r="U84" t="str">
        <f t="shared" si="35"/>
        <v>Yes</v>
      </c>
    </row>
    <row r="85" spans="1:21">
      <c r="A85" s="14" t="s">
        <v>27</v>
      </c>
      <c r="B85" s="167">
        <v>1.35</v>
      </c>
      <c r="C85" s="110">
        <f t="shared" si="36"/>
        <v>40.5</v>
      </c>
      <c r="D85" s="111">
        <f t="shared" si="37"/>
        <v>30.375000000000004</v>
      </c>
      <c r="E85" s="110">
        <f t="shared" si="38"/>
        <v>112.995</v>
      </c>
      <c r="F85" s="111">
        <f t="shared" si="39"/>
        <v>84.746250000000018</v>
      </c>
      <c r="G85" s="110">
        <f t="shared" si="40"/>
        <v>80.19</v>
      </c>
      <c r="H85" s="111">
        <f t="shared" si="41"/>
        <v>60.142499999999998</v>
      </c>
      <c r="I85" s="110">
        <f t="shared" si="42"/>
        <v>108.94500000000001</v>
      </c>
      <c r="J85" s="111">
        <f t="shared" si="43"/>
        <v>81.708750000000009</v>
      </c>
      <c r="K85" s="112">
        <f t="shared" si="44"/>
        <v>152.55000000000001</v>
      </c>
      <c r="L85" s="113">
        <f t="shared" si="45"/>
        <v>114.41250000000001</v>
      </c>
      <c r="M85" s="1"/>
      <c r="P85" t="s">
        <v>27</v>
      </c>
      <c r="Q85">
        <v>1.35</v>
      </c>
      <c r="R85" t="s">
        <v>27</v>
      </c>
      <c r="T85" t="str">
        <f t="shared" si="34"/>
        <v>Yes</v>
      </c>
      <c r="U85" t="str">
        <f t="shared" si="35"/>
        <v>Yes</v>
      </c>
    </row>
    <row r="86" spans="1:21">
      <c r="A86" s="15" t="s">
        <v>28</v>
      </c>
      <c r="B86" s="167">
        <v>1.29</v>
      </c>
      <c r="C86" s="110">
        <f t="shared" si="36"/>
        <v>38.700000000000003</v>
      </c>
      <c r="D86" s="111">
        <f t="shared" si="37"/>
        <v>29.025000000000002</v>
      </c>
      <c r="E86" s="110">
        <f t="shared" si="38"/>
        <v>107.97300000000001</v>
      </c>
      <c r="F86" s="111">
        <f t="shared" si="39"/>
        <v>80.97975000000001</v>
      </c>
      <c r="G86" s="110">
        <f t="shared" si="40"/>
        <v>76.626000000000005</v>
      </c>
      <c r="H86" s="111">
        <f t="shared" si="41"/>
        <v>57.469499999999996</v>
      </c>
      <c r="I86" s="110">
        <f t="shared" si="42"/>
        <v>104.10300000000001</v>
      </c>
      <c r="J86" s="111">
        <f t="shared" si="43"/>
        <v>78.077250000000006</v>
      </c>
      <c r="K86" s="112">
        <f t="shared" si="44"/>
        <v>145.77000000000001</v>
      </c>
      <c r="L86" s="113">
        <f>B86*$L$6</f>
        <v>109.3275</v>
      </c>
      <c r="M86" s="1"/>
      <c r="P86" t="s">
        <v>28</v>
      </c>
      <c r="Q86">
        <v>1.29</v>
      </c>
      <c r="R86" t="s">
        <v>28</v>
      </c>
      <c r="T86" t="str">
        <f t="shared" si="34"/>
        <v>Yes</v>
      </c>
      <c r="U86" t="str">
        <f t="shared" si="35"/>
        <v>Yes</v>
      </c>
    </row>
    <row r="87" spans="1:21">
      <c r="A87" s="14" t="s">
        <v>89</v>
      </c>
      <c r="B87" s="167">
        <v>1.21</v>
      </c>
      <c r="C87" s="110">
        <f t="shared" si="36"/>
        <v>36.299999999999997</v>
      </c>
      <c r="D87" s="111">
        <f t="shared" si="37"/>
        <v>27.224999999999998</v>
      </c>
      <c r="E87" s="110">
        <f t="shared" si="38"/>
        <v>101.277</v>
      </c>
      <c r="F87" s="111">
        <f t="shared" si="39"/>
        <v>75.957750000000004</v>
      </c>
      <c r="G87" s="110">
        <f t="shared" si="40"/>
        <v>71.873999999999995</v>
      </c>
      <c r="H87" s="111">
        <f t="shared" si="41"/>
        <v>53.905499999999996</v>
      </c>
      <c r="I87" s="110">
        <f t="shared" si="42"/>
        <v>97.647000000000006</v>
      </c>
      <c r="J87" s="111">
        <f t="shared" si="43"/>
        <v>73.235250000000008</v>
      </c>
      <c r="K87" s="112">
        <f>B87*$K$6</f>
        <v>136.72999999999999</v>
      </c>
      <c r="L87" s="113">
        <f t="shared" si="45"/>
        <v>102.5475</v>
      </c>
      <c r="M87" s="1"/>
      <c r="P87" t="s">
        <v>89</v>
      </c>
      <c r="Q87">
        <v>1.21</v>
      </c>
      <c r="R87" t="s">
        <v>89</v>
      </c>
      <c r="T87" t="str">
        <f t="shared" si="34"/>
        <v>Yes</v>
      </c>
      <c r="U87" t="str">
        <f t="shared" si="35"/>
        <v>Yes</v>
      </c>
    </row>
    <row r="88" spans="1:21">
      <c r="A88" s="14" t="s">
        <v>90</v>
      </c>
      <c r="B88" s="167">
        <v>1.1000000000000001</v>
      </c>
      <c r="C88" s="110">
        <f t="shared" si="36"/>
        <v>33</v>
      </c>
      <c r="D88" s="111">
        <f t="shared" si="37"/>
        <v>24.750000000000004</v>
      </c>
      <c r="E88" s="110">
        <f t="shared" si="38"/>
        <v>92.070000000000007</v>
      </c>
      <c r="F88" s="111">
        <f t="shared" si="39"/>
        <v>69.052500000000009</v>
      </c>
      <c r="G88" s="110">
        <f t="shared" si="40"/>
        <v>65.34</v>
      </c>
      <c r="H88" s="111">
        <f t="shared" si="41"/>
        <v>49.005000000000003</v>
      </c>
      <c r="I88" s="110">
        <f t="shared" si="42"/>
        <v>88.77000000000001</v>
      </c>
      <c r="J88" s="111">
        <f t="shared" si="43"/>
        <v>66.577500000000015</v>
      </c>
      <c r="K88" s="112">
        <f>B88*$K$6</f>
        <v>124.30000000000001</v>
      </c>
      <c r="L88" s="113">
        <f t="shared" si="45"/>
        <v>93.225000000000009</v>
      </c>
      <c r="M88" s="1"/>
      <c r="P88" t="s">
        <v>90</v>
      </c>
      <c r="Q88">
        <v>1.1000000000000001</v>
      </c>
      <c r="R88" t="s">
        <v>90</v>
      </c>
      <c r="T88" t="str">
        <f t="shared" si="34"/>
        <v>Yes</v>
      </c>
      <c r="U88" t="str">
        <f t="shared" si="35"/>
        <v>Yes</v>
      </c>
    </row>
    <row r="89" spans="1:21">
      <c r="A89" s="14" t="s">
        <v>91</v>
      </c>
      <c r="B89" s="167">
        <v>0.68</v>
      </c>
      <c r="C89" s="110">
        <f t="shared" si="36"/>
        <v>20.400000000000002</v>
      </c>
      <c r="D89" s="111">
        <f t="shared" si="37"/>
        <v>15.3</v>
      </c>
      <c r="E89" s="110">
        <f t="shared" si="38"/>
        <v>56.916000000000004</v>
      </c>
      <c r="F89" s="111">
        <f t="shared" si="39"/>
        <v>42.687000000000005</v>
      </c>
      <c r="G89" s="110">
        <f t="shared" si="40"/>
        <v>40.392000000000003</v>
      </c>
      <c r="H89" s="111">
        <f t="shared" si="41"/>
        <v>30.294</v>
      </c>
      <c r="I89" s="110">
        <f t="shared" si="42"/>
        <v>54.876000000000005</v>
      </c>
      <c r="J89" s="111">
        <f t="shared" si="43"/>
        <v>41.157000000000004</v>
      </c>
      <c r="K89" s="112">
        <f>B89*$K$6</f>
        <v>76.84</v>
      </c>
      <c r="L89" s="113">
        <f t="shared" si="45"/>
        <v>57.63</v>
      </c>
      <c r="M89" s="1"/>
      <c r="P89" t="s">
        <v>91</v>
      </c>
      <c r="Q89" s="67">
        <v>0.68</v>
      </c>
      <c r="R89" t="s">
        <v>91</v>
      </c>
      <c r="T89" t="str">
        <f t="shared" si="34"/>
        <v>Yes</v>
      </c>
      <c r="U89" t="str">
        <f t="shared" si="35"/>
        <v>Yes</v>
      </c>
    </row>
    <row r="90" spans="1:21">
      <c r="A90" s="14" t="s">
        <v>92</v>
      </c>
      <c r="B90" s="167">
        <v>1.2270000000000001</v>
      </c>
      <c r="C90" s="110">
        <f>B90*$C$6</f>
        <v>36.81</v>
      </c>
      <c r="D90" s="111">
        <f>B90*$D$6</f>
        <v>27.607500000000002</v>
      </c>
      <c r="E90" s="110">
        <f>B90*$E$6</f>
        <v>102.69990000000001</v>
      </c>
      <c r="F90" s="111">
        <f>B90*$F$6</f>
        <v>77.02492500000001</v>
      </c>
      <c r="G90" s="110">
        <f>B90*$G$6</f>
        <v>72.883800000000008</v>
      </c>
      <c r="H90" s="111">
        <f>B90*$H$6</f>
        <v>54.662849999999999</v>
      </c>
      <c r="I90" s="110">
        <f>B90*$I$6</f>
        <v>99.018900000000016</v>
      </c>
      <c r="J90" s="111">
        <f>B90*$J$6</f>
        <v>74.264175000000009</v>
      </c>
      <c r="K90" s="112">
        <f>B90*$K$6</f>
        <v>138.65100000000001</v>
      </c>
      <c r="L90" s="113">
        <f>B90*$L$6</f>
        <v>103.98825000000001</v>
      </c>
      <c r="M90" s="1"/>
      <c r="P90" t="s">
        <v>92</v>
      </c>
      <c r="Q90">
        <v>1.2270000000000001</v>
      </c>
      <c r="R90" t="s">
        <v>92</v>
      </c>
      <c r="T90" t="str">
        <f t="shared" si="34"/>
        <v>Yes</v>
      </c>
      <c r="U90" t="str">
        <f t="shared" si="35"/>
        <v>Yes</v>
      </c>
    </row>
    <row r="91" spans="1:21">
      <c r="A91" s="14" t="s">
        <v>29</v>
      </c>
      <c r="B91" s="167">
        <v>1.1100000000000001</v>
      </c>
      <c r="C91" s="110">
        <f t="shared" si="36"/>
        <v>33.300000000000004</v>
      </c>
      <c r="D91" s="111">
        <f t="shared" si="37"/>
        <v>24.975000000000001</v>
      </c>
      <c r="E91" s="110">
        <f t="shared" si="38"/>
        <v>92.907000000000011</v>
      </c>
      <c r="F91" s="111">
        <f t="shared" si="39"/>
        <v>69.680250000000015</v>
      </c>
      <c r="G91" s="110">
        <f t="shared" si="40"/>
        <v>65.933999999999997</v>
      </c>
      <c r="H91" s="111">
        <f t="shared" si="41"/>
        <v>49.450499999999998</v>
      </c>
      <c r="I91" s="110">
        <f t="shared" si="42"/>
        <v>89.577000000000012</v>
      </c>
      <c r="J91" s="111">
        <f t="shared" si="43"/>
        <v>67.182750000000013</v>
      </c>
      <c r="K91" s="112">
        <f t="shared" si="44"/>
        <v>125.43</v>
      </c>
      <c r="L91" s="113">
        <f t="shared" si="45"/>
        <v>94.072500000000005</v>
      </c>
      <c r="M91" s="1"/>
      <c r="P91" t="s">
        <v>29</v>
      </c>
      <c r="Q91">
        <v>1.1100000000000001</v>
      </c>
      <c r="R91" t="s">
        <v>29</v>
      </c>
      <c r="T91" t="str">
        <f t="shared" si="34"/>
        <v>Yes</v>
      </c>
      <c r="U91" t="str">
        <f t="shared" si="35"/>
        <v>Yes</v>
      </c>
    </row>
    <row r="92" spans="1:21" ht="15.75" thickBot="1">
      <c r="A92" s="158" t="s">
        <v>93</v>
      </c>
      <c r="B92" s="180">
        <v>1.26</v>
      </c>
      <c r="C92" s="159">
        <f t="shared" si="36"/>
        <v>37.799999999999997</v>
      </c>
      <c r="D92" s="160">
        <f t="shared" si="37"/>
        <v>28.35</v>
      </c>
      <c r="E92" s="159">
        <f t="shared" si="38"/>
        <v>105.462</v>
      </c>
      <c r="F92" s="160">
        <f t="shared" si="39"/>
        <v>79.096500000000006</v>
      </c>
      <c r="G92" s="159">
        <f t="shared" si="40"/>
        <v>74.843999999999994</v>
      </c>
      <c r="H92" s="160">
        <f>B92*$H$6</f>
        <v>56.132999999999996</v>
      </c>
      <c r="I92" s="159">
        <f t="shared" si="42"/>
        <v>101.682</v>
      </c>
      <c r="J92" s="160">
        <f t="shared" si="43"/>
        <v>76.261500000000012</v>
      </c>
      <c r="K92" s="161">
        <f t="shared" si="44"/>
        <v>142.38</v>
      </c>
      <c r="L92" s="162">
        <f t="shared" si="45"/>
        <v>106.785</v>
      </c>
      <c r="M92" s="1"/>
      <c r="P92" t="s">
        <v>93</v>
      </c>
      <c r="Q92">
        <v>1.26</v>
      </c>
      <c r="R92" t="s">
        <v>93</v>
      </c>
      <c r="T92" t="str">
        <f t="shared" si="34"/>
        <v>Yes</v>
      </c>
      <c r="U92" t="str">
        <f t="shared" si="35"/>
        <v>Yes</v>
      </c>
    </row>
    <row r="93" spans="1:21">
      <c r="A93" s="163" t="s">
        <v>155</v>
      </c>
      <c r="B93" s="166">
        <v>0.1657574084549932</v>
      </c>
      <c r="C93" s="106">
        <f t="shared" si="36"/>
        <v>4.9727222536497964</v>
      </c>
      <c r="D93" s="107">
        <f t="shared" si="37"/>
        <v>3.7295416902373471</v>
      </c>
      <c r="E93" s="106">
        <f t="shared" si="38"/>
        <v>13.873895087682932</v>
      </c>
      <c r="F93" s="107">
        <f t="shared" si="39"/>
        <v>10.405421315762199</v>
      </c>
      <c r="G93" s="106">
        <f t="shared" si="40"/>
        <v>9.8459900622265959</v>
      </c>
      <c r="H93" s="107">
        <f>B93*$H$6</f>
        <v>7.3844925466699465</v>
      </c>
      <c r="I93" s="106">
        <f t="shared" si="42"/>
        <v>13.376622862317952</v>
      </c>
      <c r="J93" s="107">
        <f t="shared" si="43"/>
        <v>10.032467146738465</v>
      </c>
      <c r="K93" s="106">
        <f t="shared" si="44"/>
        <v>18.730587155414231</v>
      </c>
      <c r="L93" s="109">
        <f t="shared" si="45"/>
        <v>14.047940366560674</v>
      </c>
      <c r="M93" s="1"/>
    </row>
    <row r="94" spans="1:21">
      <c r="A94" s="164" t="s">
        <v>156</v>
      </c>
      <c r="B94" s="167">
        <v>0.91072212774912253</v>
      </c>
      <c r="C94" s="110">
        <f t="shared" ref="C94:C104" si="46">B94*$C$6</f>
        <v>27.321663832473675</v>
      </c>
      <c r="D94" s="111">
        <f t="shared" ref="D94:D104" si="47">B94*$D$6</f>
        <v>20.491247874355256</v>
      </c>
      <c r="E94" s="110">
        <f t="shared" ref="E94:E104" si="48">B94*$E$6</f>
        <v>76.227442092601564</v>
      </c>
      <c r="F94" s="111">
        <f t="shared" ref="F94:F104" si="49">B94*$F$6</f>
        <v>57.170581569451173</v>
      </c>
      <c r="G94" s="110">
        <f t="shared" ref="G94:G104" si="50">B94*$G$6</f>
        <v>54.096894388297876</v>
      </c>
      <c r="H94" s="111">
        <f t="shared" ref="H94:H104" si="51">B94*$H$6</f>
        <v>40.572670791223409</v>
      </c>
      <c r="I94" s="110">
        <f t="shared" ref="I94:I104" si="52">B94*$I$6</f>
        <v>73.495275709354189</v>
      </c>
      <c r="J94" s="111">
        <f t="shared" ref="J94:J104" si="53">B94*$J$6</f>
        <v>55.121456782015649</v>
      </c>
      <c r="K94" s="110">
        <f t="shared" ref="K94:K104" si="54">B94*$K$6</f>
        <v>102.91160043565084</v>
      </c>
      <c r="L94" s="113">
        <f t="shared" ref="L94:L104" si="55">B94*$L$6</f>
        <v>77.183700326738133</v>
      </c>
      <c r="M94" s="1"/>
    </row>
    <row r="95" spans="1:21">
      <c r="A95" s="164" t="s">
        <v>157</v>
      </c>
      <c r="B95" s="167">
        <v>1.1316789732309016</v>
      </c>
      <c r="C95" s="110">
        <f t="shared" si="46"/>
        <v>33.950369196927049</v>
      </c>
      <c r="D95" s="111">
        <f t="shared" si="47"/>
        <v>25.462776897695285</v>
      </c>
      <c r="E95" s="110">
        <f t="shared" si="48"/>
        <v>94.72153005942647</v>
      </c>
      <c r="F95" s="111">
        <f t="shared" si="49"/>
        <v>71.041147544569853</v>
      </c>
      <c r="G95" s="110">
        <f t="shared" si="50"/>
        <v>67.221731009915558</v>
      </c>
      <c r="H95" s="111">
        <f t="shared" si="51"/>
        <v>50.416298257436665</v>
      </c>
      <c r="I95" s="110">
        <f t="shared" si="52"/>
        <v>91.326493139733756</v>
      </c>
      <c r="J95" s="111">
        <f t="shared" si="53"/>
        <v>68.494869854800328</v>
      </c>
      <c r="K95" s="110">
        <f t="shared" si="54"/>
        <v>127.87972397509188</v>
      </c>
      <c r="L95" s="113">
        <f t="shared" si="55"/>
        <v>95.909792981318915</v>
      </c>
      <c r="M95" s="1"/>
    </row>
    <row r="96" spans="1:21">
      <c r="A96" s="164" t="s">
        <v>158</v>
      </c>
      <c r="B96" s="167">
        <v>1.1835437137892695</v>
      </c>
      <c r="C96" s="110">
        <f t="shared" si="46"/>
        <v>35.506311413678084</v>
      </c>
      <c r="D96" s="111">
        <f t="shared" si="47"/>
        <v>26.629733560258565</v>
      </c>
      <c r="E96" s="110">
        <f t="shared" si="48"/>
        <v>99.062608844161858</v>
      </c>
      <c r="F96" s="111">
        <f t="shared" si="49"/>
        <v>74.296956633121397</v>
      </c>
      <c r="G96" s="110">
        <f t="shared" si="50"/>
        <v>70.302496599082602</v>
      </c>
      <c r="H96" s="111">
        <f t="shared" si="51"/>
        <v>52.726872449311955</v>
      </c>
      <c r="I96" s="110">
        <f t="shared" si="52"/>
        <v>95.511977702794056</v>
      </c>
      <c r="J96" s="111">
        <f t="shared" si="53"/>
        <v>71.633983277095538</v>
      </c>
      <c r="K96" s="110">
        <f t="shared" si="54"/>
        <v>133.74043965818746</v>
      </c>
      <c r="L96" s="113">
        <f t="shared" si="55"/>
        <v>100.30532974364058</v>
      </c>
      <c r="M96" s="1"/>
    </row>
    <row r="97" spans="1:13">
      <c r="A97" s="164" t="s">
        <v>159</v>
      </c>
      <c r="B97" s="167">
        <v>1.2397176750480181</v>
      </c>
      <c r="C97" s="110">
        <f t="shared" si="46"/>
        <v>37.19153025144054</v>
      </c>
      <c r="D97" s="111">
        <f t="shared" si="47"/>
        <v>27.893647688580408</v>
      </c>
      <c r="E97" s="110">
        <f t="shared" si="48"/>
        <v>103.76436940151912</v>
      </c>
      <c r="F97" s="111">
        <f t="shared" si="49"/>
        <v>77.823277051139343</v>
      </c>
      <c r="G97" s="110">
        <f t="shared" si="50"/>
        <v>73.639229897852275</v>
      </c>
      <c r="H97" s="111">
        <f t="shared" si="51"/>
        <v>55.229422423389202</v>
      </c>
      <c r="I97" s="110">
        <f t="shared" si="52"/>
        <v>100.04521637637507</v>
      </c>
      <c r="J97" s="111">
        <f t="shared" si="53"/>
        <v>75.033912282281307</v>
      </c>
      <c r="K97" s="110">
        <f t="shared" si="54"/>
        <v>140.08809728042604</v>
      </c>
      <c r="L97" s="113">
        <f t="shared" si="55"/>
        <v>105.06607296031953</v>
      </c>
      <c r="M97" s="1"/>
    </row>
    <row r="98" spans="1:13">
      <c r="A98" s="164" t="s">
        <v>160</v>
      </c>
      <c r="B98" s="167">
        <v>1.2061623752127208</v>
      </c>
      <c r="C98" s="110">
        <f t="shared" si="46"/>
        <v>36.184871256381626</v>
      </c>
      <c r="D98" s="111">
        <f t="shared" si="47"/>
        <v>27.13865344228622</v>
      </c>
      <c r="E98" s="110">
        <f t="shared" si="48"/>
        <v>100.95579080530474</v>
      </c>
      <c r="F98" s="111">
        <f t="shared" si="49"/>
        <v>75.716843103978562</v>
      </c>
      <c r="G98" s="110">
        <f t="shared" si="50"/>
        <v>71.646045087635613</v>
      </c>
      <c r="H98" s="111">
        <f t="shared" si="51"/>
        <v>53.734533815726714</v>
      </c>
      <c r="I98" s="110">
        <f t="shared" si="52"/>
        <v>97.337303679666576</v>
      </c>
      <c r="J98" s="111">
        <f t="shared" si="53"/>
        <v>73.002977759749939</v>
      </c>
      <c r="K98" s="110">
        <f t="shared" si="54"/>
        <v>136.29634839903747</v>
      </c>
      <c r="L98" s="113">
        <f t="shared" si="55"/>
        <v>102.22226129927809</v>
      </c>
      <c r="M98" s="1"/>
    </row>
    <row r="99" spans="1:13">
      <c r="A99" s="164" t="s">
        <v>161</v>
      </c>
      <c r="B99" s="167">
        <v>1.7579362704959842</v>
      </c>
      <c r="C99" s="110">
        <f t="shared" si="46"/>
        <v>52.738088114879524</v>
      </c>
      <c r="D99" s="111">
        <f t="shared" si="47"/>
        <v>39.553566086159648</v>
      </c>
      <c r="E99" s="110">
        <f t="shared" si="48"/>
        <v>147.13926584051387</v>
      </c>
      <c r="F99" s="111">
        <f t="shared" si="49"/>
        <v>110.35444938038542</v>
      </c>
      <c r="G99" s="110">
        <f t="shared" si="50"/>
        <v>104.42141446746146</v>
      </c>
      <c r="H99" s="111">
        <f t="shared" si="51"/>
        <v>78.316060850596088</v>
      </c>
      <c r="I99" s="110">
        <f t="shared" si="52"/>
        <v>141.86545702902592</v>
      </c>
      <c r="J99" s="111">
        <f t="shared" si="53"/>
        <v>106.39909277176946</v>
      </c>
      <c r="K99" s="110">
        <f t="shared" si="54"/>
        <v>198.64679856604621</v>
      </c>
      <c r="L99" s="113">
        <f t="shared" si="55"/>
        <v>148.98509892453467</v>
      </c>
      <c r="M99" s="1"/>
    </row>
    <row r="100" spans="1:13">
      <c r="A100" s="164" t="s">
        <v>163</v>
      </c>
      <c r="B100" s="167">
        <v>1.3364108982652865</v>
      </c>
      <c r="C100" s="110">
        <f t="shared" si="46"/>
        <v>40.092326947958597</v>
      </c>
      <c r="D100" s="111">
        <f t="shared" si="47"/>
        <v>30.069245210968944</v>
      </c>
      <c r="E100" s="110">
        <f t="shared" si="48"/>
        <v>111.85759218480449</v>
      </c>
      <c r="F100" s="111">
        <f t="shared" si="49"/>
        <v>83.893194138603363</v>
      </c>
      <c r="G100" s="110">
        <f t="shared" si="50"/>
        <v>79.382807356958011</v>
      </c>
      <c r="H100" s="111">
        <f t="shared" si="51"/>
        <v>59.537105517718508</v>
      </c>
      <c r="I100" s="110">
        <f t="shared" si="52"/>
        <v>107.84835949000862</v>
      </c>
      <c r="J100" s="111">
        <f t="shared" si="53"/>
        <v>80.886269617506471</v>
      </c>
      <c r="K100" s="110">
        <f t="shared" si="54"/>
        <v>151.01443150397736</v>
      </c>
      <c r="L100" s="113">
        <f t="shared" si="55"/>
        <v>113.26082362798303</v>
      </c>
      <c r="M100" s="1"/>
    </row>
    <row r="101" spans="1:13">
      <c r="A101" s="164" t="s">
        <v>164</v>
      </c>
      <c r="B101" s="167">
        <v>1.0587719727775353</v>
      </c>
      <c r="C101" s="110">
        <f t="shared" si="46"/>
        <v>31.76315918332606</v>
      </c>
      <c r="D101" s="111">
        <f t="shared" si="47"/>
        <v>23.822369387494543</v>
      </c>
      <c r="E101" s="110">
        <f t="shared" si="48"/>
        <v>88.619214121479715</v>
      </c>
      <c r="F101" s="111">
        <f t="shared" si="49"/>
        <v>66.464410591109782</v>
      </c>
      <c r="G101" s="110">
        <f t="shared" si="50"/>
        <v>62.891055182985596</v>
      </c>
      <c r="H101" s="111">
        <f t="shared" si="51"/>
        <v>47.168291387239194</v>
      </c>
      <c r="I101" s="110">
        <f t="shared" si="52"/>
        <v>85.442898203147109</v>
      </c>
      <c r="J101" s="111">
        <f t="shared" si="53"/>
        <v>64.082173652360325</v>
      </c>
      <c r="K101" s="110">
        <f t="shared" si="54"/>
        <v>119.64123292386149</v>
      </c>
      <c r="L101" s="113">
        <f t="shared" si="55"/>
        <v>89.730924692896124</v>
      </c>
      <c r="M101" s="1"/>
    </row>
    <row r="102" spans="1:13">
      <c r="A102" s="164" t="s">
        <v>165</v>
      </c>
      <c r="B102" s="167">
        <v>1.5652853005297418</v>
      </c>
      <c r="C102" s="110">
        <f t="shared" si="46"/>
        <v>46.958559015892256</v>
      </c>
      <c r="D102" s="111">
        <f t="shared" si="47"/>
        <v>35.21891926191919</v>
      </c>
      <c r="E102" s="110">
        <f t="shared" si="48"/>
        <v>131.01437965433939</v>
      </c>
      <c r="F102" s="111">
        <f t="shared" si="49"/>
        <v>98.260784740754545</v>
      </c>
      <c r="G102" s="110">
        <f t="shared" si="50"/>
        <v>92.977946851466655</v>
      </c>
      <c r="H102" s="111">
        <f t="shared" si="51"/>
        <v>69.733460138599995</v>
      </c>
      <c r="I102" s="110">
        <f t="shared" si="52"/>
        <v>126.31852375275017</v>
      </c>
      <c r="J102" s="111">
        <f t="shared" si="53"/>
        <v>94.738892814562632</v>
      </c>
      <c r="K102" s="110">
        <f t="shared" si="54"/>
        <v>176.87723895986082</v>
      </c>
      <c r="L102" s="113">
        <f t="shared" si="55"/>
        <v>132.65792921989561</v>
      </c>
      <c r="M102" s="1"/>
    </row>
    <row r="103" spans="1:13">
      <c r="A103" s="164" t="s">
        <v>166</v>
      </c>
      <c r="B103" s="167">
        <v>1.5849563177482056</v>
      </c>
      <c r="C103" s="110">
        <f t="shared" si="46"/>
        <v>47.548689532446168</v>
      </c>
      <c r="D103" s="111">
        <f t="shared" si="47"/>
        <v>35.661517149334628</v>
      </c>
      <c r="E103" s="110">
        <f t="shared" si="48"/>
        <v>132.66084379552481</v>
      </c>
      <c r="F103" s="111">
        <f t="shared" si="49"/>
        <v>99.495632846643616</v>
      </c>
      <c r="G103" s="110">
        <f t="shared" si="50"/>
        <v>94.146405274243406</v>
      </c>
      <c r="H103" s="111">
        <f t="shared" si="51"/>
        <v>70.609803955682551</v>
      </c>
      <c r="I103" s="110">
        <f t="shared" si="52"/>
        <v>127.90597484228019</v>
      </c>
      <c r="J103" s="111">
        <f t="shared" si="53"/>
        <v>95.929481131710148</v>
      </c>
      <c r="K103" s="110">
        <f t="shared" si="54"/>
        <v>179.10006390554722</v>
      </c>
      <c r="L103" s="113">
        <f t="shared" si="55"/>
        <v>134.32504792916043</v>
      </c>
      <c r="M103" s="1"/>
    </row>
    <row r="104" spans="1:13" ht="15.75" thickBot="1">
      <c r="A104" s="165" t="s">
        <v>162</v>
      </c>
      <c r="B104" s="168">
        <v>1.1478180554985224</v>
      </c>
      <c r="C104" s="114">
        <f t="shared" si="46"/>
        <v>34.434541664955674</v>
      </c>
      <c r="D104" s="115">
        <f t="shared" si="47"/>
        <v>25.825906248716755</v>
      </c>
      <c r="E104" s="114">
        <f t="shared" si="48"/>
        <v>96.072371245226336</v>
      </c>
      <c r="F104" s="115">
        <f t="shared" si="49"/>
        <v>72.054278433919748</v>
      </c>
      <c r="G104" s="114">
        <f t="shared" si="50"/>
        <v>68.180392496612228</v>
      </c>
      <c r="H104" s="115">
        <f t="shared" si="51"/>
        <v>51.135294372459171</v>
      </c>
      <c r="I104" s="114">
        <f t="shared" si="52"/>
        <v>92.628917078730765</v>
      </c>
      <c r="J104" s="115">
        <f t="shared" si="53"/>
        <v>69.471687809048078</v>
      </c>
      <c r="K104" s="114">
        <f t="shared" si="54"/>
        <v>129.70344027133305</v>
      </c>
      <c r="L104" s="117">
        <f t="shared" si="55"/>
        <v>97.277580203499781</v>
      </c>
      <c r="M104" s="1"/>
    </row>
    <row r="105" spans="1:13">
      <c r="A105" s="4"/>
      <c r="B105" s="169"/>
      <c r="C105" s="169"/>
      <c r="D105" s="169"/>
      <c r="E105" s="169"/>
      <c r="F105" s="169"/>
      <c r="G105" s="169"/>
      <c r="H105" s="169"/>
      <c r="I105" s="169"/>
      <c r="J105" s="169"/>
      <c r="K105" s="169"/>
      <c r="L105" s="1"/>
      <c r="M105" s="1"/>
    </row>
    <row r="106" spans="1:13">
      <c r="A106" s="4"/>
      <c r="B106" s="169"/>
      <c r="C106" s="169"/>
      <c r="D106" s="169"/>
      <c r="E106" s="169"/>
      <c r="F106" s="169"/>
      <c r="G106" s="169"/>
      <c r="H106" s="169"/>
      <c r="I106" s="169"/>
      <c r="J106" s="169"/>
      <c r="K106" s="169"/>
      <c r="L106" s="1"/>
      <c r="M106" s="1"/>
    </row>
    <row r="107" spans="1:13">
      <c r="A107" s="4"/>
      <c r="B107" s="169"/>
      <c r="C107" s="169"/>
      <c r="D107" s="169"/>
      <c r="E107" s="169"/>
      <c r="F107" s="169"/>
      <c r="G107" s="169"/>
      <c r="H107" s="169"/>
      <c r="I107" s="169"/>
      <c r="J107" s="169"/>
      <c r="K107" s="169"/>
      <c r="L107" s="1"/>
      <c r="M107" s="1"/>
    </row>
    <row r="108" spans="1:13">
      <c r="A108" s="4"/>
      <c r="B108" s="169"/>
      <c r="C108" s="169"/>
      <c r="D108" s="169"/>
      <c r="E108" s="169"/>
      <c r="F108" s="169"/>
      <c r="G108" s="169"/>
      <c r="H108" s="169"/>
      <c r="I108" s="169"/>
      <c r="J108" s="169"/>
      <c r="K108" s="169"/>
      <c r="L108" s="1"/>
      <c r="M108" s="1"/>
    </row>
    <row r="109" spans="1:13">
      <c r="A109" s="4"/>
      <c r="B109" s="169"/>
      <c r="C109" s="169"/>
      <c r="D109" s="169"/>
      <c r="E109" s="169"/>
      <c r="F109" s="169"/>
      <c r="G109" s="169"/>
      <c r="H109" s="169"/>
      <c r="I109" s="169"/>
      <c r="J109" s="169"/>
      <c r="K109" s="169"/>
      <c r="L109" s="1"/>
      <c r="M109" s="1"/>
    </row>
    <row r="110" spans="1:13">
      <c r="A110" s="4"/>
      <c r="B110" s="169"/>
      <c r="C110" s="169"/>
      <c r="D110" s="169"/>
      <c r="E110" s="169"/>
      <c r="F110" s="169"/>
      <c r="G110" s="169"/>
      <c r="H110" s="169"/>
      <c r="I110" s="169"/>
      <c r="J110" s="169"/>
      <c r="K110" s="169"/>
      <c r="L110" s="1"/>
      <c r="M110" s="1"/>
    </row>
    <row r="111" spans="1:13">
      <c r="A111" s="4"/>
      <c r="B111" s="169"/>
      <c r="C111" s="169"/>
      <c r="D111" s="169"/>
      <c r="E111" s="169"/>
      <c r="F111" s="169"/>
      <c r="G111" s="169"/>
      <c r="H111" s="169"/>
      <c r="I111" s="169"/>
      <c r="J111" s="169"/>
      <c r="K111" s="169"/>
      <c r="L111" s="1"/>
      <c r="M111" s="1"/>
    </row>
    <row r="112" spans="1:13">
      <c r="A112" s="4"/>
      <c r="B112" s="169"/>
      <c r="C112" s="169"/>
      <c r="D112" s="169"/>
      <c r="E112" s="169"/>
      <c r="F112" s="169"/>
      <c r="G112" s="169"/>
      <c r="H112" s="169"/>
      <c r="I112" s="169"/>
      <c r="J112" s="169"/>
      <c r="K112" s="169"/>
      <c r="L112" s="1"/>
      <c r="M112" s="1"/>
    </row>
    <row r="113" spans="1:13">
      <c r="A113" s="4"/>
      <c r="B113" s="169"/>
      <c r="C113" s="169"/>
      <c r="D113" s="169"/>
      <c r="E113" s="169"/>
      <c r="F113" s="169"/>
      <c r="G113" s="169"/>
      <c r="H113" s="169"/>
      <c r="I113" s="169"/>
      <c r="J113" s="169"/>
      <c r="K113" s="169"/>
      <c r="L113" s="1"/>
      <c r="M113" s="1"/>
    </row>
    <row r="114" spans="1:13">
      <c r="A114" s="4"/>
      <c r="B114" s="169"/>
      <c r="C114" s="169"/>
      <c r="D114" s="169"/>
      <c r="E114" s="169"/>
      <c r="F114" s="169"/>
      <c r="G114" s="169"/>
      <c r="H114" s="169"/>
      <c r="I114" s="169"/>
      <c r="J114" s="169"/>
      <c r="K114" s="169"/>
      <c r="L114" s="1"/>
      <c r="M114" s="1"/>
    </row>
    <row r="115" spans="1:13">
      <c r="A115" s="4"/>
      <c r="B115" s="169"/>
      <c r="C115" s="169"/>
      <c r="D115" s="169"/>
      <c r="E115" s="169"/>
      <c r="F115" s="169"/>
      <c r="G115" s="169"/>
      <c r="H115" s="169"/>
      <c r="I115" s="169"/>
      <c r="J115" s="169"/>
      <c r="K115" s="169"/>
      <c r="L115" s="1"/>
      <c r="M115" s="1"/>
    </row>
    <row r="116" spans="1:13">
      <c r="A116" s="4"/>
      <c r="B116" s="169"/>
      <c r="C116" s="169"/>
      <c r="D116" s="169"/>
      <c r="E116" s="169"/>
      <c r="F116" s="169"/>
      <c r="G116" s="169"/>
      <c r="H116" s="169"/>
      <c r="I116" s="169"/>
      <c r="J116" s="169"/>
      <c r="K116" s="169"/>
      <c r="L116" s="1"/>
      <c r="M116" s="1"/>
    </row>
    <row r="117" spans="1:13">
      <c r="A117" s="4"/>
      <c r="B117" s="169"/>
      <c r="C117" s="169"/>
      <c r="D117" s="169"/>
      <c r="E117" s="169"/>
      <c r="F117" s="169"/>
      <c r="G117" s="169"/>
      <c r="H117" s="169"/>
      <c r="I117" s="169"/>
      <c r="J117" s="169"/>
      <c r="K117" s="169"/>
      <c r="L117" s="1"/>
      <c r="M117" s="1"/>
    </row>
    <row r="118" spans="1:13">
      <c r="A118" s="4"/>
      <c r="B118" s="169"/>
      <c r="C118" s="169"/>
      <c r="D118" s="169"/>
      <c r="E118" s="169"/>
      <c r="F118" s="169"/>
      <c r="G118" s="169"/>
      <c r="H118" s="169"/>
      <c r="I118" s="169"/>
      <c r="J118" s="169"/>
      <c r="K118" s="169"/>
      <c r="L118" s="1"/>
      <c r="M118" s="1"/>
    </row>
    <row r="119" spans="1:13">
      <c r="A119" s="4"/>
      <c r="B119" s="169"/>
      <c r="C119" s="169"/>
      <c r="D119" s="169"/>
      <c r="E119" s="169"/>
      <c r="F119" s="169"/>
      <c r="G119" s="169"/>
      <c r="H119" s="169"/>
      <c r="I119" s="169"/>
      <c r="J119" s="169"/>
      <c r="K119" s="169"/>
      <c r="L119" s="1"/>
      <c r="M119" s="1"/>
    </row>
    <row r="120" spans="1:13">
      <c r="A120" s="4"/>
      <c r="B120" s="169"/>
      <c r="C120" s="169"/>
      <c r="D120" s="169"/>
      <c r="E120" s="169"/>
      <c r="F120" s="169"/>
      <c r="G120" s="169"/>
      <c r="H120" s="169"/>
      <c r="I120" s="169"/>
      <c r="J120" s="169"/>
      <c r="K120" s="169"/>
      <c r="L120" s="1"/>
      <c r="M120" s="1"/>
    </row>
    <row r="121" spans="1:13">
      <c r="A121" s="4"/>
      <c r="B121" s="170"/>
      <c r="C121" s="170"/>
      <c r="D121" s="170"/>
      <c r="E121" s="170"/>
      <c r="F121" s="170"/>
      <c r="G121" s="170"/>
      <c r="H121" s="170"/>
      <c r="I121" s="170"/>
      <c r="J121" s="170"/>
      <c r="K121" s="170"/>
      <c r="L121" s="1"/>
      <c r="M121" s="1"/>
    </row>
    <row r="122" spans="1:13">
      <c r="A122" s="4"/>
      <c r="B122" s="170"/>
      <c r="C122" s="170"/>
      <c r="D122" s="170"/>
      <c r="E122" s="170"/>
      <c r="F122" s="170"/>
      <c r="G122" s="170"/>
      <c r="H122" s="170"/>
      <c r="I122" s="170"/>
      <c r="J122" s="170"/>
      <c r="K122" s="170"/>
      <c r="L122" s="1"/>
      <c r="M122" s="1"/>
    </row>
    <row r="123" spans="1:13">
      <c r="A123" s="4"/>
      <c r="B123" s="170"/>
      <c r="C123" s="170"/>
      <c r="D123" s="170"/>
      <c r="E123" s="170"/>
      <c r="F123" s="170"/>
      <c r="G123" s="170"/>
      <c r="H123" s="170"/>
      <c r="I123" s="170"/>
      <c r="J123" s="170"/>
      <c r="K123" s="170"/>
      <c r="L123" s="1"/>
      <c r="M123" s="1"/>
    </row>
    <row r="124" spans="1:13">
      <c r="A124" s="4"/>
      <c r="B124" s="170"/>
      <c r="C124" s="170"/>
      <c r="D124" s="170"/>
      <c r="E124" s="170"/>
      <c r="F124" s="170"/>
      <c r="G124" s="170"/>
      <c r="H124" s="170"/>
      <c r="I124" s="170"/>
      <c r="J124" s="170"/>
      <c r="K124" s="170"/>
      <c r="L124" s="1"/>
      <c r="M124" s="1"/>
    </row>
    <row r="125" spans="1:13">
      <c r="A125" s="4"/>
      <c r="B125" s="170"/>
      <c r="C125" s="170"/>
      <c r="D125" s="170"/>
      <c r="E125" s="170"/>
      <c r="F125" s="170"/>
      <c r="G125" s="170"/>
      <c r="H125" s="170"/>
      <c r="I125" s="170"/>
      <c r="J125" s="170"/>
      <c r="K125" s="170"/>
      <c r="L125" s="1"/>
      <c r="M125" s="1"/>
    </row>
    <row r="126" spans="1:13">
      <c r="A126" s="4"/>
      <c r="B126" s="170"/>
      <c r="C126" s="170"/>
      <c r="D126" s="170"/>
      <c r="E126" s="170"/>
      <c r="F126" s="170"/>
      <c r="G126" s="170"/>
      <c r="H126" s="170"/>
      <c r="I126" s="170"/>
      <c r="J126" s="170"/>
      <c r="K126" s="170"/>
      <c r="L126" s="1"/>
      <c r="M126" s="1"/>
    </row>
    <row r="127" spans="1:13">
      <c r="A127" s="4"/>
      <c r="B127" s="170"/>
      <c r="C127" s="170"/>
      <c r="D127" s="170"/>
      <c r="E127" s="170"/>
      <c r="F127" s="170"/>
      <c r="G127" s="170"/>
      <c r="H127" s="170"/>
      <c r="I127" s="170"/>
      <c r="J127" s="170"/>
      <c r="K127" s="170"/>
      <c r="L127" s="1"/>
      <c r="M127" s="1"/>
    </row>
    <row r="128" spans="1:13">
      <c r="A128" s="4"/>
      <c r="B128" s="170"/>
      <c r="C128" s="170"/>
      <c r="D128" s="170"/>
      <c r="E128" s="170"/>
      <c r="F128" s="170"/>
      <c r="G128" s="170"/>
      <c r="H128" s="170"/>
      <c r="I128" s="170"/>
      <c r="J128" s="170"/>
      <c r="K128" s="170"/>
      <c r="L128" s="1"/>
      <c r="M128" s="1"/>
    </row>
    <row r="129" spans="1:13">
      <c r="A129" s="4"/>
      <c r="B129" s="170"/>
      <c r="C129" s="170"/>
      <c r="D129" s="170"/>
      <c r="E129" s="170"/>
      <c r="F129" s="170"/>
      <c r="G129" s="170"/>
      <c r="H129" s="170"/>
      <c r="I129" s="170"/>
      <c r="J129" s="170"/>
      <c r="K129" s="170"/>
      <c r="L129" s="1"/>
      <c r="M129" s="1"/>
    </row>
    <row r="130" spans="1:13">
      <c r="A130" s="4"/>
      <c r="B130" s="170"/>
      <c r="C130" s="170"/>
      <c r="D130" s="170"/>
      <c r="E130" s="170"/>
      <c r="F130" s="170"/>
      <c r="G130" s="170"/>
      <c r="H130" s="170"/>
      <c r="I130" s="170"/>
      <c r="J130" s="170"/>
      <c r="K130" s="170"/>
      <c r="L130" s="1"/>
      <c r="M130" s="1"/>
    </row>
    <row r="131" spans="1:13">
      <c r="A131" s="4"/>
      <c r="B131" s="170"/>
      <c r="C131" s="170"/>
      <c r="D131" s="170"/>
      <c r="E131" s="170"/>
      <c r="F131" s="170"/>
      <c r="G131" s="170"/>
      <c r="H131" s="170"/>
      <c r="I131" s="170"/>
      <c r="J131" s="170"/>
      <c r="K131" s="170"/>
      <c r="L131" s="1"/>
      <c r="M131" s="1"/>
    </row>
    <row r="132" spans="1:13">
      <c r="A132" s="4"/>
      <c r="B132" s="170"/>
      <c r="C132" s="170"/>
      <c r="D132" s="170"/>
      <c r="E132" s="170"/>
      <c r="F132" s="170"/>
      <c r="G132" s="170"/>
      <c r="H132" s="170"/>
      <c r="I132" s="170"/>
      <c r="J132" s="170"/>
      <c r="K132" s="170"/>
      <c r="L132" s="1"/>
      <c r="M132" s="1"/>
    </row>
    <row r="133" spans="1:13">
      <c r="A133" s="4"/>
      <c r="B133" s="170"/>
      <c r="C133" s="170"/>
      <c r="D133" s="170"/>
      <c r="E133" s="170"/>
      <c r="F133" s="170"/>
      <c r="G133" s="170"/>
      <c r="H133" s="170"/>
      <c r="I133" s="170"/>
      <c r="J133" s="170"/>
      <c r="K133" s="170"/>
      <c r="L133" s="1"/>
      <c r="M133" s="1"/>
    </row>
    <row r="134" spans="1:13">
      <c r="A134" s="4"/>
      <c r="B134" s="170"/>
      <c r="C134" s="170"/>
      <c r="D134" s="170"/>
      <c r="E134" s="170"/>
      <c r="F134" s="170"/>
      <c r="G134" s="170"/>
      <c r="H134" s="170"/>
      <c r="I134" s="170"/>
      <c r="J134" s="170"/>
      <c r="K134" s="170"/>
      <c r="L134" s="1"/>
      <c r="M134" s="1"/>
    </row>
    <row r="135" spans="1:13">
      <c r="A135" s="4"/>
      <c r="B135" s="170"/>
      <c r="C135" s="170"/>
      <c r="D135" s="170"/>
      <c r="E135" s="170"/>
      <c r="F135" s="170"/>
      <c r="G135" s="170"/>
      <c r="H135" s="170"/>
      <c r="I135" s="170"/>
      <c r="J135" s="170"/>
      <c r="K135" s="170"/>
      <c r="L135" s="1"/>
      <c r="M135" s="1"/>
    </row>
    <row r="136" spans="1:13">
      <c r="A136" s="4"/>
      <c r="B136" s="170"/>
      <c r="C136" s="170"/>
      <c r="D136" s="170"/>
      <c r="E136" s="170"/>
      <c r="F136" s="170"/>
      <c r="G136" s="170"/>
      <c r="H136" s="170"/>
      <c r="I136" s="170"/>
      <c r="J136" s="170"/>
      <c r="K136" s="170"/>
      <c r="L136" s="1"/>
      <c r="M136" s="1"/>
    </row>
    <row r="137" spans="1:13">
      <c r="A137" s="4"/>
      <c r="B137" s="170"/>
      <c r="C137" s="170"/>
      <c r="D137" s="170"/>
      <c r="E137" s="170"/>
      <c r="F137" s="170"/>
      <c r="G137" s="170"/>
      <c r="H137" s="170"/>
      <c r="I137" s="170"/>
      <c r="J137" s="170"/>
      <c r="K137" s="170"/>
      <c r="L137" s="1"/>
      <c r="M137" s="1"/>
    </row>
    <row r="138" spans="1:13">
      <c r="A138" s="4"/>
      <c r="B138" s="170"/>
      <c r="C138" s="170"/>
      <c r="D138" s="170"/>
      <c r="E138" s="170"/>
      <c r="F138" s="170"/>
      <c r="G138" s="170"/>
      <c r="H138" s="170"/>
      <c r="I138" s="170"/>
      <c r="J138" s="170"/>
      <c r="K138" s="170"/>
      <c r="L138" s="1"/>
      <c r="M138" s="1"/>
    </row>
    <row r="139" spans="1:13">
      <c r="A139" s="4"/>
      <c r="B139" s="170"/>
      <c r="C139" s="170"/>
      <c r="D139" s="170"/>
      <c r="E139" s="170"/>
      <c r="F139" s="170"/>
      <c r="G139" s="170"/>
      <c r="H139" s="170"/>
      <c r="I139" s="170"/>
      <c r="J139" s="170"/>
      <c r="K139" s="170"/>
      <c r="L139" s="1"/>
      <c r="M139" s="1"/>
    </row>
    <row r="140" spans="1:13">
      <c r="A140" s="4"/>
      <c r="B140" s="170"/>
      <c r="C140" s="170"/>
      <c r="D140" s="170"/>
      <c r="E140" s="170"/>
      <c r="F140" s="170"/>
      <c r="G140" s="170"/>
      <c r="H140" s="170"/>
      <c r="I140" s="170"/>
      <c r="J140" s="170"/>
      <c r="K140" s="170"/>
      <c r="L140" s="1"/>
      <c r="M140" s="1"/>
    </row>
    <row r="141" spans="1:13">
      <c r="A141" s="4"/>
      <c r="B141" s="170"/>
      <c r="C141" s="170"/>
      <c r="D141" s="170"/>
      <c r="E141" s="170"/>
      <c r="F141" s="170"/>
      <c r="G141" s="170"/>
      <c r="H141" s="170"/>
      <c r="I141" s="170"/>
      <c r="J141" s="170"/>
      <c r="K141" s="170"/>
      <c r="L141" s="1"/>
      <c r="M141" s="1"/>
    </row>
    <row r="142" spans="1:13">
      <c r="A142" s="4"/>
      <c r="B142" s="170"/>
      <c r="C142" s="170"/>
      <c r="D142" s="170"/>
      <c r="E142" s="170"/>
      <c r="F142" s="170"/>
      <c r="G142" s="170"/>
      <c r="H142" s="170"/>
      <c r="I142" s="170"/>
      <c r="J142" s="170"/>
      <c r="K142" s="170"/>
      <c r="L142" s="1"/>
      <c r="M142" s="1"/>
    </row>
    <row r="143" spans="1:13">
      <c r="A143" s="4"/>
      <c r="B143" s="170"/>
      <c r="C143" s="170"/>
      <c r="D143" s="170"/>
      <c r="E143" s="170"/>
      <c r="F143" s="170"/>
      <c r="G143" s="170"/>
      <c r="H143" s="170"/>
      <c r="I143" s="170"/>
      <c r="J143" s="170"/>
      <c r="K143" s="170"/>
      <c r="L143" s="1"/>
      <c r="M143" s="1"/>
    </row>
    <row r="144" spans="1:13">
      <c r="A144" s="4"/>
      <c r="B144" s="170"/>
      <c r="C144" s="170"/>
      <c r="D144" s="170"/>
      <c r="E144" s="170"/>
      <c r="F144" s="170"/>
      <c r="G144" s="170"/>
      <c r="H144" s="170"/>
      <c r="I144" s="170"/>
      <c r="J144" s="170"/>
      <c r="K144" s="170"/>
      <c r="L144" s="1"/>
      <c r="M144" s="1"/>
    </row>
    <row r="145" spans="1:13">
      <c r="A145" s="4"/>
      <c r="B145" s="170"/>
      <c r="C145" s="170"/>
      <c r="D145" s="170"/>
      <c r="E145" s="170"/>
      <c r="F145" s="170"/>
      <c r="G145" s="170"/>
      <c r="H145" s="170"/>
      <c r="I145" s="170"/>
      <c r="J145" s="170"/>
      <c r="K145" s="170"/>
      <c r="L145" s="1"/>
      <c r="M145" s="1"/>
    </row>
    <row r="146" spans="1:13">
      <c r="A146" s="4"/>
      <c r="B146" s="170"/>
      <c r="C146" s="170"/>
      <c r="D146" s="170"/>
      <c r="E146" s="170"/>
      <c r="F146" s="170"/>
      <c r="G146" s="170"/>
      <c r="H146" s="170"/>
      <c r="I146" s="170"/>
      <c r="J146" s="170"/>
      <c r="K146" s="170"/>
      <c r="L146" s="1"/>
      <c r="M146" s="1"/>
    </row>
    <row r="147" spans="1:13">
      <c r="A147" s="4"/>
      <c r="B147" s="170"/>
      <c r="C147" s="170"/>
      <c r="D147" s="170"/>
      <c r="E147" s="170"/>
      <c r="F147" s="170"/>
      <c r="G147" s="170"/>
      <c r="H147" s="170"/>
      <c r="I147" s="170"/>
      <c r="J147" s="170"/>
      <c r="K147" s="170"/>
      <c r="L147" s="1"/>
      <c r="M147" s="1"/>
    </row>
    <row r="148" spans="1:13">
      <c r="A148" s="4"/>
      <c r="B148" s="170"/>
      <c r="C148" s="170"/>
      <c r="D148" s="170"/>
      <c r="E148" s="170"/>
      <c r="F148" s="170"/>
      <c r="G148" s="170"/>
      <c r="H148" s="170"/>
      <c r="I148" s="170"/>
      <c r="J148" s="170"/>
      <c r="K148" s="170"/>
      <c r="L148" s="1"/>
      <c r="M148" s="1"/>
    </row>
    <row r="149" spans="1:13">
      <c r="A149" s="4"/>
      <c r="B149" s="170"/>
      <c r="C149" s="170"/>
      <c r="D149" s="170"/>
      <c r="E149" s="170"/>
      <c r="F149" s="170"/>
      <c r="G149" s="170"/>
      <c r="H149" s="170"/>
      <c r="I149" s="170"/>
      <c r="J149" s="170"/>
      <c r="K149" s="170"/>
      <c r="L149" s="1"/>
      <c r="M149" s="1"/>
    </row>
    <row r="150" spans="1:13">
      <c r="A150" s="4"/>
      <c r="B150" s="170"/>
      <c r="C150" s="170"/>
      <c r="D150" s="170"/>
      <c r="E150" s="170"/>
      <c r="F150" s="170"/>
      <c r="G150" s="170"/>
      <c r="H150" s="170"/>
      <c r="I150" s="170"/>
      <c r="J150" s="170"/>
      <c r="K150" s="170"/>
      <c r="L150" s="1"/>
      <c r="M150" s="1"/>
    </row>
    <row r="151" spans="1:13">
      <c r="A151" s="4"/>
      <c r="B151" s="170"/>
      <c r="C151" s="170"/>
      <c r="D151" s="170"/>
      <c r="E151" s="170"/>
      <c r="F151" s="170"/>
      <c r="G151" s="170"/>
      <c r="H151" s="170"/>
      <c r="I151" s="170"/>
      <c r="J151" s="170"/>
      <c r="K151" s="170"/>
      <c r="L151" s="1"/>
      <c r="M151" s="1"/>
    </row>
    <row r="152" spans="1:13">
      <c r="A152" s="4"/>
      <c r="B152" s="170"/>
      <c r="C152" s="170"/>
      <c r="D152" s="170"/>
      <c r="E152" s="170"/>
      <c r="F152" s="170"/>
      <c r="G152" s="170"/>
      <c r="H152" s="170"/>
      <c r="I152" s="170"/>
      <c r="J152" s="170"/>
      <c r="K152" s="170"/>
      <c r="L152" s="1"/>
      <c r="M152" s="1"/>
    </row>
    <row r="153" spans="1:13">
      <c r="A153" s="4"/>
      <c r="B153" s="170"/>
      <c r="C153" s="170"/>
      <c r="D153" s="170"/>
      <c r="E153" s="170"/>
      <c r="F153" s="170"/>
      <c r="G153" s="170"/>
      <c r="H153" s="170"/>
      <c r="I153" s="170"/>
      <c r="J153" s="170"/>
      <c r="K153" s="170"/>
      <c r="L153" s="1"/>
      <c r="M153" s="1"/>
    </row>
    <row r="154" spans="1:13">
      <c r="A154" s="4"/>
      <c r="B154" s="170"/>
      <c r="C154" s="170"/>
      <c r="D154" s="170"/>
      <c r="E154" s="170"/>
      <c r="F154" s="170"/>
      <c r="G154" s="170"/>
      <c r="H154" s="170"/>
      <c r="I154" s="170"/>
      <c r="J154" s="170"/>
      <c r="K154" s="170"/>
      <c r="L154" s="1"/>
      <c r="M154" s="1"/>
    </row>
    <row r="155" spans="1:13">
      <c r="A155" s="4"/>
      <c r="B155" s="170"/>
      <c r="C155" s="170"/>
      <c r="D155" s="170"/>
      <c r="E155" s="170"/>
      <c r="F155" s="170"/>
      <c r="G155" s="170"/>
      <c r="H155" s="170"/>
      <c r="I155" s="170"/>
      <c r="J155" s="170"/>
      <c r="K155" s="170"/>
      <c r="L155" s="1"/>
      <c r="M155" s="1"/>
    </row>
    <row r="156" spans="1:13">
      <c r="A156" s="4"/>
      <c r="B156" s="170"/>
      <c r="C156" s="170"/>
      <c r="D156" s="170"/>
      <c r="E156" s="170"/>
      <c r="F156" s="170"/>
      <c r="G156" s="170"/>
      <c r="H156" s="170"/>
      <c r="I156" s="170"/>
      <c r="J156" s="170"/>
      <c r="K156" s="170"/>
      <c r="L156" s="1"/>
      <c r="M156" s="1"/>
    </row>
    <row r="157" spans="1:13">
      <c r="A157" s="4"/>
      <c r="B157" s="170"/>
      <c r="C157" s="170"/>
      <c r="D157" s="170"/>
      <c r="E157" s="170"/>
      <c r="F157" s="170"/>
      <c r="G157" s="170"/>
      <c r="H157" s="170"/>
      <c r="I157" s="170"/>
      <c r="J157" s="170"/>
      <c r="K157" s="170"/>
      <c r="L157" s="1"/>
      <c r="M157" s="1"/>
    </row>
    <row r="158" spans="1:13">
      <c r="A158" s="4"/>
      <c r="B158" s="170"/>
      <c r="C158" s="170"/>
      <c r="D158" s="170"/>
      <c r="E158" s="170"/>
      <c r="F158" s="170"/>
      <c r="G158" s="170"/>
      <c r="H158" s="170"/>
      <c r="I158" s="170"/>
      <c r="J158" s="170"/>
      <c r="K158" s="170"/>
      <c r="L158" s="1"/>
      <c r="M158" s="1"/>
    </row>
    <row r="159" spans="1:13">
      <c r="A159" s="4"/>
      <c r="B159" s="170"/>
      <c r="C159" s="170"/>
      <c r="D159" s="170"/>
      <c r="E159" s="170"/>
      <c r="F159" s="170"/>
      <c r="G159" s="170"/>
      <c r="H159" s="170"/>
      <c r="I159" s="170"/>
      <c r="J159" s="170"/>
      <c r="K159" s="170"/>
      <c r="L159" s="1"/>
      <c r="M159" s="1"/>
    </row>
    <row r="160" spans="1:13">
      <c r="A160" s="4"/>
      <c r="B160" s="170"/>
      <c r="C160" s="170"/>
      <c r="D160" s="170"/>
      <c r="E160" s="170"/>
      <c r="F160" s="170"/>
      <c r="G160" s="170"/>
      <c r="H160" s="170"/>
      <c r="I160" s="170"/>
      <c r="J160" s="170"/>
      <c r="K160" s="170"/>
      <c r="L160" s="1"/>
      <c r="M160" s="1"/>
    </row>
    <row r="161" spans="1:13">
      <c r="A161" s="4"/>
      <c r="B161" s="170"/>
      <c r="C161" s="170"/>
      <c r="D161" s="170"/>
      <c r="E161" s="170"/>
      <c r="F161" s="170"/>
      <c r="G161" s="170"/>
      <c r="H161" s="170"/>
      <c r="I161" s="170"/>
      <c r="J161" s="170"/>
      <c r="K161" s="170"/>
      <c r="L161" s="1"/>
      <c r="M161" s="1"/>
    </row>
    <row r="162" spans="1:13">
      <c r="A162" s="4"/>
      <c r="B162" s="170"/>
      <c r="C162" s="170"/>
      <c r="D162" s="170"/>
      <c r="E162" s="170"/>
      <c r="F162" s="170"/>
      <c r="G162" s="170"/>
      <c r="H162" s="170"/>
      <c r="I162" s="170"/>
      <c r="J162" s="170"/>
      <c r="K162" s="170"/>
      <c r="L162" s="1"/>
      <c r="M162" s="1"/>
    </row>
    <row r="163" spans="1:13">
      <c r="A163" s="4"/>
      <c r="B163" s="170"/>
      <c r="C163" s="170"/>
      <c r="D163" s="170"/>
      <c r="E163" s="170"/>
      <c r="F163" s="170"/>
      <c r="G163" s="170"/>
      <c r="H163" s="170"/>
      <c r="I163" s="170"/>
      <c r="J163" s="170"/>
      <c r="K163" s="170"/>
      <c r="L163" s="1"/>
      <c r="M163" s="1"/>
    </row>
    <row r="164" spans="1:13">
      <c r="A164" s="4"/>
      <c r="B164" s="170"/>
      <c r="C164" s="170"/>
      <c r="D164" s="170"/>
      <c r="E164" s="170"/>
      <c r="F164" s="170"/>
      <c r="G164" s="170"/>
      <c r="H164" s="170"/>
      <c r="I164" s="170"/>
      <c r="J164" s="170"/>
      <c r="K164" s="170"/>
      <c r="L164" s="1"/>
      <c r="M164" s="1"/>
    </row>
    <row r="165" spans="1:13">
      <c r="A165" s="4"/>
      <c r="B165" s="170"/>
      <c r="C165" s="170"/>
      <c r="D165" s="170"/>
      <c r="E165" s="170"/>
      <c r="F165" s="170"/>
      <c r="G165" s="170"/>
      <c r="H165" s="170"/>
      <c r="I165" s="170"/>
      <c r="J165" s="170"/>
      <c r="K165" s="170"/>
      <c r="L165" s="1"/>
      <c r="M165" s="1"/>
    </row>
    <row r="166" spans="1:13">
      <c r="A166" s="4"/>
      <c r="B166" s="170"/>
      <c r="C166" s="170"/>
      <c r="D166" s="170"/>
      <c r="E166" s="170"/>
      <c r="F166" s="170"/>
      <c r="G166" s="170"/>
      <c r="H166" s="170"/>
      <c r="I166" s="170"/>
      <c r="J166" s="170"/>
      <c r="K166" s="170"/>
      <c r="L166" s="1"/>
      <c r="M166" s="1"/>
    </row>
    <row r="167" spans="1:13">
      <c r="A167" s="4"/>
      <c r="B167" s="170"/>
      <c r="C167" s="170"/>
      <c r="D167" s="170"/>
      <c r="E167" s="170"/>
      <c r="F167" s="170"/>
      <c r="G167" s="170"/>
      <c r="H167" s="170"/>
      <c r="I167" s="170"/>
      <c r="J167" s="170"/>
      <c r="K167" s="170"/>
      <c r="L167" s="1"/>
      <c r="M167" s="1"/>
    </row>
    <row r="168" spans="1:13">
      <c r="A168" s="4"/>
      <c r="B168" s="170"/>
      <c r="C168" s="170"/>
      <c r="D168" s="170"/>
      <c r="E168" s="170"/>
      <c r="F168" s="170"/>
      <c r="G168" s="170"/>
      <c r="H168" s="170"/>
      <c r="I168" s="170"/>
      <c r="J168" s="170"/>
      <c r="K168" s="170"/>
      <c r="L168" s="1"/>
      <c r="M168" s="1"/>
    </row>
    <row r="169" spans="1:13">
      <c r="A169" s="4"/>
      <c r="B169" s="170"/>
      <c r="C169" s="170"/>
      <c r="D169" s="170"/>
      <c r="E169" s="170"/>
      <c r="F169" s="170"/>
      <c r="G169" s="170"/>
      <c r="H169" s="170"/>
      <c r="I169" s="170"/>
      <c r="J169" s="170"/>
      <c r="K169" s="170"/>
      <c r="L169" s="1"/>
      <c r="M169" s="1"/>
    </row>
    <row r="170" spans="1:13">
      <c r="A170" s="4"/>
      <c r="B170" s="170"/>
      <c r="C170" s="170"/>
      <c r="D170" s="170"/>
      <c r="E170" s="170"/>
      <c r="F170" s="170"/>
      <c r="G170" s="170"/>
      <c r="H170" s="170"/>
      <c r="I170" s="170"/>
      <c r="J170" s="170"/>
      <c r="K170" s="170"/>
      <c r="L170" s="1"/>
      <c r="M170" s="1"/>
    </row>
    <row r="171" spans="1:13">
      <c r="A171" s="4"/>
      <c r="B171" s="170"/>
      <c r="C171" s="170"/>
      <c r="D171" s="170"/>
      <c r="E171" s="170"/>
      <c r="F171" s="170"/>
      <c r="G171" s="170"/>
      <c r="H171" s="170"/>
      <c r="I171" s="170"/>
      <c r="J171" s="170"/>
      <c r="K171" s="170"/>
      <c r="L171" s="1"/>
      <c r="M171" s="1"/>
    </row>
    <row r="172" spans="1:13">
      <c r="A172" s="4"/>
      <c r="B172" s="170"/>
      <c r="C172" s="170"/>
      <c r="D172" s="170"/>
      <c r="E172" s="170"/>
      <c r="F172" s="170"/>
      <c r="G172" s="170"/>
      <c r="H172" s="170"/>
      <c r="I172" s="170"/>
      <c r="J172" s="170"/>
      <c r="K172" s="170"/>
      <c r="L172" s="1"/>
      <c r="M172" s="1"/>
    </row>
    <row r="173" spans="1:13">
      <c r="A173" s="4"/>
      <c r="B173" s="170"/>
      <c r="C173" s="170"/>
      <c r="D173" s="170"/>
      <c r="E173" s="170"/>
      <c r="F173" s="170"/>
      <c r="G173" s="170"/>
      <c r="H173" s="170"/>
      <c r="I173" s="170"/>
      <c r="J173" s="170"/>
      <c r="K173" s="170"/>
      <c r="L173" s="1"/>
      <c r="M173" s="1"/>
    </row>
    <row r="174" spans="1:13">
      <c r="A174" s="4"/>
      <c r="B174" s="170"/>
      <c r="C174" s="170"/>
      <c r="D174" s="170"/>
      <c r="E174" s="170"/>
      <c r="F174" s="170"/>
      <c r="G174" s="170"/>
      <c r="H174" s="170"/>
      <c r="I174" s="170"/>
      <c r="J174" s="170"/>
      <c r="K174" s="170"/>
      <c r="L174" s="1"/>
      <c r="M174" s="1"/>
    </row>
    <row r="175" spans="1:13">
      <c r="A175" s="4"/>
      <c r="B175" s="170"/>
      <c r="C175" s="170"/>
      <c r="D175" s="170"/>
      <c r="E175" s="170"/>
      <c r="F175" s="170"/>
      <c r="G175" s="170"/>
      <c r="H175" s="170"/>
      <c r="I175" s="170"/>
      <c r="J175" s="170"/>
      <c r="K175" s="170"/>
      <c r="L175" s="1"/>
      <c r="M175" s="1"/>
    </row>
    <row r="176" spans="1:13">
      <c r="A176" s="4"/>
      <c r="B176" s="170"/>
      <c r="C176" s="170"/>
      <c r="D176" s="170"/>
      <c r="E176" s="170"/>
      <c r="F176" s="170"/>
      <c r="G176" s="170"/>
      <c r="H176" s="170"/>
      <c r="I176" s="170"/>
      <c r="J176" s="170"/>
      <c r="K176" s="170"/>
      <c r="L176" s="1"/>
      <c r="M176" s="1"/>
    </row>
    <row r="177" spans="1:13">
      <c r="A177" s="4"/>
      <c r="B177" s="170"/>
      <c r="C177" s="170"/>
      <c r="D177" s="170"/>
      <c r="E177" s="170"/>
      <c r="F177" s="170"/>
      <c r="G177" s="170"/>
      <c r="H177" s="170"/>
      <c r="I177" s="170"/>
      <c r="J177" s="170"/>
      <c r="K177" s="170"/>
      <c r="L177" s="1"/>
      <c r="M177" s="1"/>
    </row>
    <row r="178" spans="1:13">
      <c r="A178" s="4"/>
      <c r="B178" s="170"/>
      <c r="C178" s="170"/>
      <c r="D178" s="170"/>
      <c r="E178" s="170"/>
      <c r="F178" s="170"/>
      <c r="G178" s="170"/>
      <c r="H178" s="170"/>
      <c r="I178" s="170"/>
      <c r="J178" s="170"/>
      <c r="K178" s="170"/>
      <c r="L178" s="1"/>
      <c r="M178" s="1"/>
    </row>
    <row r="179" spans="1:13">
      <c r="A179" s="4"/>
      <c r="B179" s="170"/>
      <c r="C179" s="170"/>
      <c r="D179" s="170"/>
      <c r="E179" s="170"/>
      <c r="F179" s="170"/>
      <c r="G179" s="170"/>
      <c r="H179" s="170"/>
      <c r="I179" s="170"/>
      <c r="J179" s="170"/>
      <c r="K179" s="170"/>
      <c r="L179" s="1"/>
      <c r="M179" s="1"/>
    </row>
    <row r="180" spans="1:13">
      <c r="A180" s="4"/>
      <c r="B180" s="170"/>
      <c r="C180" s="170"/>
      <c r="D180" s="170"/>
      <c r="E180" s="170"/>
      <c r="F180" s="170"/>
      <c r="G180" s="170"/>
      <c r="H180" s="170"/>
      <c r="I180" s="170"/>
      <c r="J180" s="170"/>
      <c r="K180" s="170"/>
      <c r="L180" s="1"/>
      <c r="M180" s="1"/>
    </row>
    <row r="181" spans="1:13">
      <c r="A181" s="4"/>
      <c r="B181" s="170"/>
      <c r="C181" s="170"/>
      <c r="D181" s="170"/>
      <c r="E181" s="170"/>
      <c r="F181" s="170"/>
      <c r="G181" s="170"/>
      <c r="H181" s="170"/>
      <c r="I181" s="170"/>
      <c r="J181" s="170"/>
      <c r="K181" s="170"/>
      <c r="L181" s="1"/>
      <c r="M181" s="1"/>
    </row>
    <row r="182" spans="1:13">
      <c r="A182" s="4"/>
      <c r="B182" s="170"/>
      <c r="C182" s="170"/>
      <c r="D182" s="170"/>
      <c r="E182" s="170"/>
      <c r="F182" s="170"/>
      <c r="G182" s="170"/>
      <c r="H182" s="170"/>
      <c r="I182" s="170"/>
      <c r="J182" s="170"/>
      <c r="K182" s="170"/>
      <c r="L182" s="1"/>
      <c r="M182" s="1"/>
    </row>
    <row r="183" spans="1:13">
      <c r="A183" s="4"/>
      <c r="B183" s="170"/>
      <c r="C183" s="170"/>
      <c r="D183" s="170"/>
      <c r="E183" s="170"/>
      <c r="F183" s="170"/>
      <c r="G183" s="170"/>
      <c r="H183" s="170"/>
      <c r="I183" s="170"/>
      <c r="J183" s="170"/>
      <c r="K183" s="170"/>
      <c r="L183" s="1"/>
      <c r="M183" s="1"/>
    </row>
    <row r="184" spans="1:13">
      <c r="A184" s="4"/>
      <c r="B184" s="170"/>
      <c r="C184" s="170"/>
      <c r="D184" s="170"/>
      <c r="E184" s="170"/>
      <c r="F184" s="170"/>
      <c r="G184" s="170"/>
      <c r="H184" s="170"/>
      <c r="I184" s="170"/>
      <c r="J184" s="170"/>
      <c r="K184" s="170"/>
      <c r="L184" s="1"/>
      <c r="M184" s="1"/>
    </row>
    <row r="185" spans="1:13">
      <c r="A185" s="4"/>
      <c r="B185" s="170"/>
      <c r="C185" s="170"/>
      <c r="D185" s="170"/>
      <c r="E185" s="170"/>
      <c r="F185" s="170"/>
      <c r="G185" s="170"/>
      <c r="H185" s="170"/>
      <c r="I185" s="170"/>
      <c r="J185" s="170"/>
      <c r="K185" s="170"/>
      <c r="L185" s="1"/>
      <c r="M185" s="1"/>
    </row>
    <row r="186" spans="1:13">
      <c r="A186" s="4"/>
      <c r="B186" s="170"/>
      <c r="C186" s="170"/>
      <c r="D186" s="170"/>
      <c r="E186" s="170"/>
      <c r="F186" s="170"/>
      <c r="G186" s="170"/>
      <c r="H186" s="170"/>
      <c r="I186" s="170"/>
      <c r="J186" s="170"/>
      <c r="K186" s="170"/>
      <c r="L186" s="1"/>
      <c r="M186" s="1"/>
    </row>
    <row r="187" spans="1:13">
      <c r="A187" s="4"/>
      <c r="B187" s="170"/>
      <c r="C187" s="170"/>
      <c r="D187" s="170"/>
      <c r="E187" s="170"/>
      <c r="F187" s="170"/>
      <c r="G187" s="170"/>
      <c r="H187" s="170"/>
      <c r="I187" s="170"/>
      <c r="J187" s="170"/>
      <c r="K187" s="170"/>
      <c r="L187" s="1"/>
      <c r="M187" s="1"/>
    </row>
    <row r="188" spans="1:13">
      <c r="A188" s="4"/>
      <c r="B188" s="170"/>
      <c r="C188" s="170"/>
      <c r="D188" s="170"/>
      <c r="E188" s="170"/>
      <c r="F188" s="170"/>
      <c r="G188" s="170"/>
      <c r="H188" s="170"/>
      <c r="I188" s="170"/>
      <c r="J188" s="170"/>
      <c r="K188" s="170"/>
      <c r="L188" s="1"/>
      <c r="M188" s="1"/>
    </row>
    <row r="189" spans="1:13">
      <c r="A189" s="4"/>
      <c r="B189" s="170"/>
      <c r="C189" s="170"/>
      <c r="D189" s="170"/>
      <c r="E189" s="170"/>
      <c r="F189" s="170"/>
      <c r="G189" s="170"/>
      <c r="H189" s="170"/>
      <c r="I189" s="170"/>
      <c r="J189" s="170"/>
      <c r="K189" s="170"/>
      <c r="L189" s="1"/>
      <c r="M189" s="1"/>
    </row>
    <row r="190" spans="1:13">
      <c r="A190" s="4"/>
      <c r="B190" s="170"/>
      <c r="C190" s="170"/>
      <c r="D190" s="170"/>
      <c r="E190" s="170"/>
      <c r="F190" s="170"/>
      <c r="G190" s="170"/>
      <c r="H190" s="170"/>
      <c r="I190" s="170"/>
      <c r="J190" s="170"/>
      <c r="K190" s="170"/>
      <c r="L190" s="1"/>
      <c r="M190" s="1"/>
    </row>
    <row r="191" spans="1:13">
      <c r="A191" s="4"/>
      <c r="B191" s="170"/>
      <c r="C191" s="170"/>
      <c r="D191" s="170"/>
      <c r="E191" s="170"/>
      <c r="F191" s="170"/>
      <c r="G191" s="170"/>
      <c r="H191" s="170"/>
      <c r="I191" s="170"/>
      <c r="J191" s="170"/>
      <c r="K191" s="170"/>
      <c r="L191" s="1"/>
      <c r="M191" s="1"/>
    </row>
    <row r="192" spans="1:13">
      <c r="A192" s="4"/>
      <c r="B192" s="170"/>
      <c r="C192" s="170"/>
      <c r="D192" s="170"/>
      <c r="E192" s="170"/>
      <c r="F192" s="170"/>
      <c r="G192" s="170"/>
      <c r="H192" s="170"/>
      <c r="I192" s="170"/>
      <c r="J192" s="170"/>
      <c r="K192" s="170"/>
      <c r="L192" s="1"/>
      <c r="M192" s="1"/>
    </row>
    <row r="193" spans="1:13">
      <c r="A193" s="4"/>
      <c r="B193" s="170"/>
      <c r="C193" s="170"/>
      <c r="D193" s="170"/>
      <c r="E193" s="170"/>
      <c r="F193" s="170"/>
      <c r="G193" s="170"/>
      <c r="H193" s="170"/>
      <c r="I193" s="170"/>
      <c r="J193" s="170"/>
      <c r="K193" s="170"/>
      <c r="L193" s="1"/>
      <c r="M193" s="1"/>
    </row>
    <row r="194" spans="1:13">
      <c r="A194" s="4"/>
      <c r="B194" s="170"/>
      <c r="C194" s="170"/>
      <c r="D194" s="170"/>
      <c r="E194" s="170"/>
      <c r="F194" s="170"/>
      <c r="G194" s="170"/>
      <c r="H194" s="170"/>
      <c r="I194" s="170"/>
      <c r="J194" s="170"/>
      <c r="K194" s="170"/>
      <c r="L194" s="1"/>
      <c r="M194" s="1"/>
    </row>
    <row r="195" spans="1:13">
      <c r="A195" s="4"/>
      <c r="B195" s="170"/>
      <c r="C195" s="170"/>
      <c r="D195" s="170"/>
      <c r="E195" s="170"/>
      <c r="F195" s="170"/>
      <c r="G195" s="170"/>
      <c r="H195" s="170"/>
      <c r="I195" s="170"/>
      <c r="J195" s="170"/>
      <c r="K195" s="170"/>
      <c r="L195" s="1"/>
      <c r="M195" s="1"/>
    </row>
    <row r="196" spans="1:13">
      <c r="A196" s="4"/>
      <c r="B196" s="170"/>
      <c r="C196" s="170"/>
      <c r="D196" s="170"/>
      <c r="E196" s="170"/>
      <c r="F196" s="170"/>
      <c r="G196" s="170"/>
      <c r="H196" s="170"/>
      <c r="I196" s="170"/>
      <c r="J196" s="170"/>
      <c r="K196" s="170"/>
      <c r="L196" s="1"/>
      <c r="M196" s="1"/>
    </row>
    <row r="197" spans="1:13">
      <c r="A197" s="4"/>
      <c r="B197" s="170"/>
      <c r="C197" s="170"/>
      <c r="D197" s="170"/>
      <c r="E197" s="170"/>
      <c r="F197" s="170"/>
      <c r="G197" s="170"/>
      <c r="H197" s="170"/>
      <c r="I197" s="170"/>
      <c r="J197" s="170"/>
      <c r="K197" s="170"/>
      <c r="L197" s="1"/>
      <c r="M197" s="1"/>
    </row>
    <row r="198" spans="1:13">
      <c r="A198" s="4"/>
      <c r="B198" s="170"/>
      <c r="C198" s="170"/>
      <c r="D198" s="170"/>
      <c r="E198" s="170"/>
      <c r="F198" s="170"/>
      <c r="G198" s="170"/>
      <c r="H198" s="170"/>
      <c r="I198" s="170"/>
      <c r="J198" s="170"/>
      <c r="K198" s="170"/>
      <c r="L198" s="1"/>
      <c r="M198" s="1"/>
    </row>
    <row r="199" spans="1:13">
      <c r="A199" s="4"/>
      <c r="B199" s="170"/>
      <c r="C199" s="170"/>
      <c r="D199" s="170"/>
      <c r="E199" s="170"/>
      <c r="F199" s="170"/>
      <c r="G199" s="170"/>
      <c r="H199" s="170"/>
      <c r="I199" s="170"/>
      <c r="J199" s="170"/>
      <c r="K199" s="170"/>
      <c r="L199" s="1"/>
      <c r="M199" s="1"/>
    </row>
    <row r="200" spans="1:13">
      <c r="A200" s="4"/>
      <c r="B200" s="170"/>
      <c r="C200" s="170"/>
      <c r="D200" s="170"/>
      <c r="E200" s="170"/>
      <c r="F200" s="170"/>
      <c r="G200" s="170"/>
      <c r="H200" s="170"/>
      <c r="I200" s="170"/>
      <c r="J200" s="170"/>
      <c r="K200" s="170"/>
      <c r="L200" s="1"/>
      <c r="M200" s="1"/>
    </row>
    <row r="201" spans="1:13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</row>
    <row r="202" spans="1:13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</row>
    <row r="203" spans="1:13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</row>
    <row r="204" spans="1:13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</row>
    <row r="205" spans="1:13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</row>
    <row r="206" spans="1:13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</row>
    <row r="207" spans="1:13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</row>
    <row r="208" spans="1:13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</row>
    <row r="209" spans="1:11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</row>
    <row r="210" spans="1:11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</row>
    <row r="211" spans="1:11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</row>
    <row r="212" spans="1:11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</row>
    <row r="213" spans="1:11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</row>
    <row r="214" spans="1:11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</row>
    <row r="215" spans="1:11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</row>
    <row r="216" spans="1:11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</row>
    <row r="217" spans="1:11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</row>
  </sheetData>
  <sheetProtection formatCells="0"/>
  <dataConsolidate link="1"/>
  <mergeCells count="13">
    <mergeCell ref="C2:D2"/>
    <mergeCell ref="E2:F2"/>
    <mergeCell ref="G2:H2"/>
    <mergeCell ref="A1:L1"/>
    <mergeCell ref="A3:A6"/>
    <mergeCell ref="B3:B6"/>
    <mergeCell ref="C3:D4"/>
    <mergeCell ref="E3:F4"/>
    <mergeCell ref="G3:H4"/>
    <mergeCell ref="I3:J4"/>
    <mergeCell ref="K3:L4"/>
    <mergeCell ref="I2:J2"/>
    <mergeCell ref="K2:L2"/>
  </mergeCells>
  <conditionalFormatting sqref="S125:S169 S93:S116">
    <cfRule type="expression" dxfId="7" priority="3">
      <formula>$S93="No"</formula>
    </cfRule>
    <cfRule type="expression" dxfId="6" priority="4">
      <formula>$S93="Yes"</formula>
    </cfRule>
  </conditionalFormatting>
  <conditionalFormatting sqref="R125:R169 R93:R116">
    <cfRule type="expression" dxfId="5" priority="5">
      <formula>$R93="No"</formula>
    </cfRule>
    <cfRule type="expression" dxfId="4" priority="6">
      <formula>$R93="Yes"</formula>
    </cfRule>
  </conditionalFormatting>
  <conditionalFormatting sqref="U8:U92">
    <cfRule type="expression" dxfId="3" priority="9">
      <formula>$U8="No"</formula>
    </cfRule>
    <cfRule type="expression" dxfId="2" priority="10">
      <formula>$U8="Yes"</formula>
    </cfRule>
  </conditionalFormatting>
  <conditionalFormatting sqref="T8:T92">
    <cfRule type="expression" dxfId="1" priority="13">
      <formula>$T8="No"</formula>
    </cfRule>
    <cfRule type="expression" dxfId="0" priority="14">
      <formula>$T8="Yes"</formula>
    </cfRule>
  </conditionalFormatting>
  <hyperlinks>
    <hyperlink ref="R6" r:id="rId1" xr:uid="{00000000-0004-0000-0300-000000000000}"/>
  </hyperlinks>
  <pageMargins left="0.7" right="0.7" top="0.75" bottom="0.75" header="0.3" footer="0.3"/>
  <pageSetup orientation="portrait" horizontalDpi="300" verticalDpi="300"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U220"/>
  <sheetViews>
    <sheetView zoomScaleNormal="100" workbookViewId="0">
      <pane ySplit="6" topLeftCell="A7" activePane="bottomLeft" state="frozen"/>
      <selection activeCell="E33" sqref="E33"/>
      <selection pane="bottomLeft" activeCell="S6" sqref="S6"/>
    </sheetView>
  </sheetViews>
  <sheetFormatPr defaultRowHeight="15"/>
  <cols>
    <col min="1" max="1" width="25.85546875" customWidth="1"/>
    <col min="2" max="2" width="8.7109375" customWidth="1"/>
    <col min="3" max="3" width="7.85546875" customWidth="1"/>
    <col min="4" max="4" width="9.7109375" customWidth="1"/>
    <col min="5" max="5" width="7.28515625" customWidth="1"/>
    <col min="6" max="6" width="7.7109375" customWidth="1"/>
    <col min="7" max="7" width="7.85546875" customWidth="1"/>
    <col min="8" max="10" width="7.28515625" customWidth="1"/>
    <col min="11" max="12" width="7.7109375" customWidth="1"/>
    <col min="13" max="13" width="7.140625" style="9" customWidth="1"/>
    <col min="14" max="14" width="6.85546875" style="9" customWidth="1"/>
    <col min="15" max="15" width="7.42578125" style="9" customWidth="1"/>
    <col min="16" max="16" width="12.7109375" style="9" customWidth="1"/>
    <col min="17" max="17" width="7" style="9" customWidth="1"/>
    <col min="18" max="18" width="7" customWidth="1"/>
    <col min="21" max="21" width="11.42578125" customWidth="1"/>
  </cols>
  <sheetData>
    <row r="1" spans="1:21" ht="24" customHeight="1" thickBot="1">
      <c r="A1" s="191" t="s">
        <v>177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204"/>
      <c r="T1" s="174"/>
      <c r="U1" s="177"/>
    </row>
    <row r="2" spans="1:21" ht="24" hidden="1" customHeight="1" thickBot="1">
      <c r="A2" s="95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9"/>
      <c r="T2" s="96"/>
      <c r="U2" s="98"/>
    </row>
    <row r="3" spans="1:21" ht="24" hidden="1" customHeight="1" thickBot="1">
      <c r="A3" s="95"/>
      <c r="B3" s="88"/>
      <c r="C3" s="190" t="s">
        <v>194</v>
      </c>
      <c r="D3" s="190"/>
      <c r="E3" s="190" t="s">
        <v>193</v>
      </c>
      <c r="F3" s="190"/>
      <c r="G3" s="190" t="s">
        <v>193</v>
      </c>
      <c r="H3" s="190"/>
      <c r="I3" s="190" t="s">
        <v>194</v>
      </c>
      <c r="J3" s="190"/>
      <c r="K3" s="190" t="s">
        <v>194</v>
      </c>
      <c r="L3" s="190"/>
      <c r="M3" s="190" t="s">
        <v>194</v>
      </c>
      <c r="N3" s="190"/>
      <c r="O3" s="190" t="s">
        <v>194</v>
      </c>
      <c r="P3" s="190"/>
      <c r="Q3" s="190" t="s">
        <v>126</v>
      </c>
      <c r="R3" s="204"/>
      <c r="T3" s="96"/>
      <c r="U3" s="98"/>
    </row>
    <row r="4" spans="1:21" ht="48" customHeight="1">
      <c r="A4" s="194" t="s">
        <v>32</v>
      </c>
      <c r="B4" s="209" t="s">
        <v>40</v>
      </c>
      <c r="C4" s="205" t="s">
        <v>190</v>
      </c>
      <c r="D4" s="206"/>
      <c r="E4" s="205" t="s">
        <v>178</v>
      </c>
      <c r="F4" s="206"/>
      <c r="G4" s="205" t="s">
        <v>179</v>
      </c>
      <c r="H4" s="206"/>
      <c r="I4" s="205" t="s">
        <v>180</v>
      </c>
      <c r="J4" s="206"/>
      <c r="K4" s="205" t="s">
        <v>181</v>
      </c>
      <c r="L4" s="206"/>
      <c r="M4" s="205" t="s">
        <v>182</v>
      </c>
      <c r="N4" s="206"/>
      <c r="O4" s="207" t="s">
        <v>184</v>
      </c>
      <c r="P4" s="208"/>
      <c r="Q4" s="207" t="s">
        <v>183</v>
      </c>
      <c r="R4" s="208"/>
    </row>
    <row r="5" spans="1:21" s="2" customFormat="1" ht="28.5" customHeight="1">
      <c r="A5" s="195"/>
      <c r="B5" s="210"/>
      <c r="C5" s="73">
        <v>1</v>
      </c>
      <c r="D5" s="74">
        <v>0.7</v>
      </c>
      <c r="E5" s="73">
        <v>1</v>
      </c>
      <c r="F5" s="74">
        <v>0.5</v>
      </c>
      <c r="G5" s="73">
        <v>1</v>
      </c>
      <c r="H5" s="74">
        <v>0.5</v>
      </c>
      <c r="I5" s="73">
        <v>1</v>
      </c>
      <c r="J5" s="74">
        <v>0.7</v>
      </c>
      <c r="K5" s="73">
        <v>1</v>
      </c>
      <c r="L5" s="74">
        <v>0.7</v>
      </c>
      <c r="M5" s="76">
        <v>1</v>
      </c>
      <c r="N5" s="77">
        <v>0.7</v>
      </c>
      <c r="O5" s="73">
        <v>1</v>
      </c>
      <c r="P5" s="74">
        <v>0.7</v>
      </c>
      <c r="Q5" s="73">
        <v>1</v>
      </c>
      <c r="R5" s="74">
        <v>0.7</v>
      </c>
    </row>
    <row r="6" spans="1:21" s="3" customFormat="1" ht="15.75" customHeight="1" thickBot="1">
      <c r="A6" s="196"/>
      <c r="B6" s="211"/>
      <c r="C6" s="60">
        <v>29.73</v>
      </c>
      <c r="D6" s="64">
        <f>C6*D5</f>
        <v>20.811</v>
      </c>
      <c r="E6" s="60">
        <v>15.9</v>
      </c>
      <c r="F6" s="64">
        <f>E6*F5</f>
        <v>7.95</v>
      </c>
      <c r="G6" s="60">
        <v>15.9</v>
      </c>
      <c r="H6" s="64">
        <f>G6*H5</f>
        <v>7.95</v>
      </c>
      <c r="I6" s="60">
        <v>29.73</v>
      </c>
      <c r="J6" s="64">
        <f>I6*J5</f>
        <v>20.811</v>
      </c>
      <c r="K6" s="60">
        <v>29.73</v>
      </c>
      <c r="L6" s="64">
        <f>K6*L5</f>
        <v>20.811</v>
      </c>
      <c r="M6" s="60">
        <v>29.73</v>
      </c>
      <c r="N6" s="64">
        <f>M6*N5</f>
        <v>20.811</v>
      </c>
      <c r="O6" s="60">
        <v>29.73</v>
      </c>
      <c r="P6" s="64">
        <f>O6*P5</f>
        <v>20.811</v>
      </c>
      <c r="Q6" s="60">
        <v>28.75</v>
      </c>
      <c r="R6" s="64">
        <f>Q6*R5</f>
        <v>20.125</v>
      </c>
      <c r="S6" s="183" t="s">
        <v>196</v>
      </c>
    </row>
    <row r="7" spans="1:21" s="3" customFormat="1" ht="15.75" customHeight="1" thickBot="1">
      <c r="A7" s="90"/>
      <c r="B7" s="178"/>
      <c r="C7" s="101"/>
      <c r="D7" s="102"/>
      <c r="E7" s="101"/>
      <c r="F7" s="102"/>
      <c r="G7" s="101"/>
      <c r="H7" s="103"/>
      <c r="I7" s="104"/>
      <c r="J7" s="105"/>
      <c r="K7" s="103"/>
      <c r="L7" s="102"/>
      <c r="M7" s="101"/>
      <c r="N7" s="102"/>
      <c r="O7" s="101"/>
      <c r="P7" s="102"/>
      <c r="Q7" s="101"/>
      <c r="R7" s="105"/>
    </row>
    <row r="8" spans="1:21">
      <c r="A8" s="13" t="s">
        <v>60</v>
      </c>
      <c r="B8" s="78">
        <v>1.44</v>
      </c>
      <c r="C8" s="118">
        <f t="shared" ref="C8:C39" si="0">B8*$C$6</f>
        <v>42.811199999999999</v>
      </c>
      <c r="D8" s="118">
        <f>B8*$D$6</f>
        <v>29.967839999999999</v>
      </c>
      <c r="E8" s="118">
        <f t="shared" ref="E8:E39" si="1">B8*$E$6</f>
        <v>22.896000000000001</v>
      </c>
      <c r="F8" s="118">
        <f>B8*$F$6</f>
        <v>11.448</v>
      </c>
      <c r="G8" s="118">
        <f t="shared" ref="G8:G39" si="2">B8*$G$6</f>
        <v>22.896000000000001</v>
      </c>
      <c r="H8" s="119">
        <f>B8*$H$6</f>
        <v>11.448</v>
      </c>
      <c r="I8" s="106">
        <f>B8*$I$6</f>
        <v>42.811199999999999</v>
      </c>
      <c r="J8" s="107">
        <f>B8*$J$6</f>
        <v>29.967839999999999</v>
      </c>
      <c r="K8" s="120">
        <f t="shared" ref="K8:K39" si="3">B8*$K$6</f>
        <v>42.811199999999999</v>
      </c>
      <c r="L8" s="118">
        <f>B8*$L$6</f>
        <v>29.967839999999999</v>
      </c>
      <c r="M8" s="118">
        <f t="shared" ref="M8:M39" si="4">B8*$M$6</f>
        <v>42.811199999999999</v>
      </c>
      <c r="N8" s="118">
        <f>B8*$N$6</f>
        <v>29.967839999999999</v>
      </c>
      <c r="O8" s="118">
        <f t="shared" ref="O8:O39" si="5">B8*$O$6</f>
        <v>42.811199999999999</v>
      </c>
      <c r="P8" s="120">
        <f>B8*$P$6</f>
        <v>29.967839999999999</v>
      </c>
      <c r="Q8" s="119">
        <f t="shared" ref="Q8:Q39" si="6">B8*$Q$6</f>
        <v>41.4</v>
      </c>
      <c r="R8" s="109">
        <f>B8*$R$6</f>
        <v>28.98</v>
      </c>
      <c r="S8" s="1"/>
      <c r="T8" s="173"/>
    </row>
    <row r="9" spans="1:21">
      <c r="A9" s="14" t="s">
        <v>61</v>
      </c>
      <c r="B9" s="67">
        <v>1.51</v>
      </c>
      <c r="C9" s="121">
        <f t="shared" si="0"/>
        <v>44.892299999999999</v>
      </c>
      <c r="D9" s="122">
        <f t="shared" ref="D9:D73" si="7">B9*$D$6</f>
        <v>31.424610000000001</v>
      </c>
      <c r="E9" s="121">
        <f t="shared" si="1"/>
        <v>24.009</v>
      </c>
      <c r="F9" s="122">
        <f t="shared" ref="F9:F73" si="8">B9*$F$6</f>
        <v>12.0045</v>
      </c>
      <c r="G9" s="121">
        <f t="shared" si="2"/>
        <v>24.009</v>
      </c>
      <c r="H9" s="123">
        <f t="shared" ref="H9:H73" si="9">B9*$H$6</f>
        <v>12.0045</v>
      </c>
      <c r="I9" s="110">
        <f t="shared" ref="I9:I73" si="10">B9*$I$6</f>
        <v>44.892299999999999</v>
      </c>
      <c r="J9" s="111">
        <f t="shared" ref="J9:J73" si="11">B9*$J$6</f>
        <v>31.424610000000001</v>
      </c>
      <c r="K9" s="124">
        <f t="shared" si="3"/>
        <v>44.892299999999999</v>
      </c>
      <c r="L9" s="122">
        <f t="shared" ref="L9:L73" si="12">B9*$L$6</f>
        <v>31.424610000000001</v>
      </c>
      <c r="M9" s="121">
        <f t="shared" si="4"/>
        <v>44.892299999999999</v>
      </c>
      <c r="N9" s="122">
        <f t="shared" ref="N9:N73" si="13">B9*$N$6</f>
        <v>31.424610000000001</v>
      </c>
      <c r="O9" s="121">
        <f t="shared" si="5"/>
        <v>44.892299999999999</v>
      </c>
      <c r="P9" s="142">
        <f t="shared" ref="P9:P73" si="14">B9*$P$6</f>
        <v>31.424610000000001</v>
      </c>
      <c r="Q9" s="143">
        <f t="shared" si="6"/>
        <v>43.412500000000001</v>
      </c>
      <c r="R9" s="113">
        <f t="shared" ref="R9:R73" si="15">B9*$R$6</f>
        <v>30.388750000000002</v>
      </c>
      <c r="S9" s="1"/>
    </row>
    <row r="10" spans="1:21">
      <c r="A10" s="14" t="s">
        <v>62</v>
      </c>
      <c r="B10" s="67">
        <v>1.44</v>
      </c>
      <c r="C10" s="121">
        <f t="shared" si="0"/>
        <v>42.811199999999999</v>
      </c>
      <c r="D10" s="122">
        <f t="shared" si="7"/>
        <v>29.967839999999999</v>
      </c>
      <c r="E10" s="121">
        <f t="shared" si="1"/>
        <v>22.896000000000001</v>
      </c>
      <c r="F10" s="122">
        <f t="shared" si="8"/>
        <v>11.448</v>
      </c>
      <c r="G10" s="121">
        <f t="shared" si="2"/>
        <v>22.896000000000001</v>
      </c>
      <c r="H10" s="123">
        <f t="shared" si="9"/>
        <v>11.448</v>
      </c>
      <c r="I10" s="110">
        <f t="shared" si="10"/>
        <v>42.811199999999999</v>
      </c>
      <c r="J10" s="111">
        <f t="shared" si="11"/>
        <v>29.967839999999999</v>
      </c>
      <c r="K10" s="124">
        <f t="shared" si="3"/>
        <v>42.811199999999999</v>
      </c>
      <c r="L10" s="122">
        <f t="shared" si="12"/>
        <v>29.967839999999999</v>
      </c>
      <c r="M10" s="121">
        <f t="shared" si="4"/>
        <v>42.811199999999999</v>
      </c>
      <c r="N10" s="122">
        <f t="shared" si="13"/>
        <v>29.967839999999999</v>
      </c>
      <c r="O10" s="121">
        <f t="shared" si="5"/>
        <v>42.811199999999999</v>
      </c>
      <c r="P10" s="142">
        <f t="shared" si="14"/>
        <v>29.967839999999999</v>
      </c>
      <c r="Q10" s="143">
        <f t="shared" si="6"/>
        <v>41.4</v>
      </c>
      <c r="R10" s="113">
        <f t="shared" si="15"/>
        <v>28.98</v>
      </c>
      <c r="S10" s="1"/>
    </row>
    <row r="11" spans="1:21">
      <c r="A11" s="14" t="s">
        <v>104</v>
      </c>
      <c r="B11" s="67">
        <v>1.44</v>
      </c>
      <c r="C11" s="121">
        <f t="shared" si="0"/>
        <v>42.811199999999999</v>
      </c>
      <c r="D11" s="122">
        <f t="shared" si="7"/>
        <v>29.967839999999999</v>
      </c>
      <c r="E11" s="121">
        <f t="shared" si="1"/>
        <v>22.896000000000001</v>
      </c>
      <c r="F11" s="122">
        <f t="shared" si="8"/>
        <v>11.448</v>
      </c>
      <c r="G11" s="121">
        <f t="shared" si="2"/>
        <v>22.896000000000001</v>
      </c>
      <c r="H11" s="123">
        <f t="shared" si="9"/>
        <v>11.448</v>
      </c>
      <c r="I11" s="110">
        <f t="shared" si="10"/>
        <v>42.811199999999999</v>
      </c>
      <c r="J11" s="111">
        <f t="shared" si="11"/>
        <v>29.967839999999999</v>
      </c>
      <c r="K11" s="124">
        <f t="shared" si="3"/>
        <v>42.811199999999999</v>
      </c>
      <c r="L11" s="122">
        <f t="shared" si="12"/>
        <v>29.967839999999999</v>
      </c>
      <c r="M11" s="121">
        <f t="shared" si="4"/>
        <v>42.811199999999999</v>
      </c>
      <c r="N11" s="122">
        <f t="shared" si="13"/>
        <v>29.967839999999999</v>
      </c>
      <c r="O11" s="121">
        <f t="shared" si="5"/>
        <v>42.811199999999999</v>
      </c>
      <c r="P11" s="142">
        <f t="shared" si="14"/>
        <v>29.967839999999999</v>
      </c>
      <c r="Q11" s="143">
        <f t="shared" si="6"/>
        <v>41.4</v>
      </c>
      <c r="R11" s="113">
        <f t="shared" si="15"/>
        <v>28.98</v>
      </c>
      <c r="S11" s="1"/>
    </row>
    <row r="12" spans="1:21">
      <c r="A12" s="14" t="s">
        <v>105</v>
      </c>
      <c r="B12" s="67">
        <v>1.44</v>
      </c>
      <c r="C12" s="121">
        <f t="shared" si="0"/>
        <v>42.811199999999999</v>
      </c>
      <c r="D12" s="122">
        <f t="shared" si="7"/>
        <v>29.967839999999999</v>
      </c>
      <c r="E12" s="121">
        <f t="shared" si="1"/>
        <v>22.896000000000001</v>
      </c>
      <c r="F12" s="122">
        <f t="shared" si="8"/>
        <v>11.448</v>
      </c>
      <c r="G12" s="121">
        <f t="shared" si="2"/>
        <v>22.896000000000001</v>
      </c>
      <c r="H12" s="123">
        <f t="shared" si="9"/>
        <v>11.448</v>
      </c>
      <c r="I12" s="110">
        <f t="shared" si="10"/>
        <v>42.811199999999999</v>
      </c>
      <c r="J12" s="111">
        <f t="shared" si="11"/>
        <v>29.967839999999999</v>
      </c>
      <c r="K12" s="124">
        <f t="shared" si="3"/>
        <v>42.811199999999999</v>
      </c>
      <c r="L12" s="122">
        <f t="shared" si="12"/>
        <v>29.967839999999999</v>
      </c>
      <c r="M12" s="121">
        <f t="shared" si="4"/>
        <v>42.811199999999999</v>
      </c>
      <c r="N12" s="122">
        <f t="shared" si="13"/>
        <v>29.967839999999999</v>
      </c>
      <c r="O12" s="121">
        <f t="shared" si="5"/>
        <v>42.811199999999999</v>
      </c>
      <c r="P12" s="142">
        <f t="shared" si="14"/>
        <v>29.967839999999999</v>
      </c>
      <c r="Q12" s="143">
        <f t="shared" si="6"/>
        <v>41.4</v>
      </c>
      <c r="R12" s="113">
        <f t="shared" si="15"/>
        <v>28.98</v>
      </c>
      <c r="S12" s="1"/>
    </row>
    <row r="13" spans="1:21">
      <c r="A13" s="14" t="s">
        <v>106</v>
      </c>
      <c r="B13" s="67">
        <v>1.29</v>
      </c>
      <c r="C13" s="121">
        <f t="shared" si="0"/>
        <v>38.351700000000001</v>
      </c>
      <c r="D13" s="122">
        <f t="shared" si="7"/>
        <v>26.84619</v>
      </c>
      <c r="E13" s="121">
        <f t="shared" si="1"/>
        <v>20.511000000000003</v>
      </c>
      <c r="F13" s="122">
        <f t="shared" si="8"/>
        <v>10.255500000000001</v>
      </c>
      <c r="G13" s="121">
        <f t="shared" si="2"/>
        <v>20.511000000000003</v>
      </c>
      <c r="H13" s="123">
        <f t="shared" si="9"/>
        <v>10.255500000000001</v>
      </c>
      <c r="I13" s="110">
        <f t="shared" si="10"/>
        <v>38.351700000000001</v>
      </c>
      <c r="J13" s="111">
        <f t="shared" si="11"/>
        <v>26.84619</v>
      </c>
      <c r="K13" s="124">
        <f t="shared" si="3"/>
        <v>38.351700000000001</v>
      </c>
      <c r="L13" s="122">
        <f t="shared" si="12"/>
        <v>26.84619</v>
      </c>
      <c r="M13" s="121">
        <f t="shared" si="4"/>
        <v>38.351700000000001</v>
      </c>
      <c r="N13" s="122">
        <f t="shared" si="13"/>
        <v>26.84619</v>
      </c>
      <c r="O13" s="121">
        <f t="shared" si="5"/>
        <v>38.351700000000001</v>
      </c>
      <c r="P13" s="142">
        <f t="shared" si="14"/>
        <v>26.84619</v>
      </c>
      <c r="Q13" s="143">
        <f t="shared" si="6"/>
        <v>37.087499999999999</v>
      </c>
      <c r="R13" s="113">
        <f t="shared" si="15"/>
        <v>25.96125</v>
      </c>
      <c r="S13" s="1"/>
    </row>
    <row r="14" spans="1:21">
      <c r="A14" s="14" t="s">
        <v>114</v>
      </c>
      <c r="B14" s="67">
        <v>1.35</v>
      </c>
      <c r="C14" s="121">
        <f t="shared" si="0"/>
        <v>40.1355</v>
      </c>
      <c r="D14" s="122">
        <f t="shared" si="7"/>
        <v>28.094850000000001</v>
      </c>
      <c r="E14" s="121">
        <f t="shared" si="1"/>
        <v>21.465000000000003</v>
      </c>
      <c r="F14" s="122">
        <f t="shared" si="8"/>
        <v>10.732500000000002</v>
      </c>
      <c r="G14" s="121">
        <f t="shared" si="2"/>
        <v>21.465000000000003</v>
      </c>
      <c r="H14" s="123">
        <f t="shared" si="9"/>
        <v>10.732500000000002</v>
      </c>
      <c r="I14" s="110">
        <f t="shared" si="10"/>
        <v>40.1355</v>
      </c>
      <c r="J14" s="111">
        <f t="shared" si="11"/>
        <v>28.094850000000001</v>
      </c>
      <c r="K14" s="124">
        <f t="shared" si="3"/>
        <v>40.1355</v>
      </c>
      <c r="L14" s="122">
        <f t="shared" si="12"/>
        <v>28.094850000000001</v>
      </c>
      <c r="M14" s="121">
        <f t="shared" si="4"/>
        <v>40.1355</v>
      </c>
      <c r="N14" s="122">
        <f t="shared" si="13"/>
        <v>28.094850000000001</v>
      </c>
      <c r="O14" s="121">
        <f t="shared" si="5"/>
        <v>40.1355</v>
      </c>
      <c r="P14" s="142">
        <f t="shared" si="14"/>
        <v>28.094850000000001</v>
      </c>
      <c r="Q14" s="143">
        <f t="shared" si="6"/>
        <v>38.8125</v>
      </c>
      <c r="R14" s="113">
        <f t="shared" si="15"/>
        <v>27.168750000000003</v>
      </c>
      <c r="S14" s="1"/>
    </row>
    <row r="15" spans="1:21">
      <c r="A15" s="14" t="s">
        <v>107</v>
      </c>
      <c r="B15" s="67">
        <v>1.1599999999999999</v>
      </c>
      <c r="C15" s="121">
        <f t="shared" si="0"/>
        <v>34.486799999999995</v>
      </c>
      <c r="D15" s="122">
        <f t="shared" si="7"/>
        <v>24.140759999999997</v>
      </c>
      <c r="E15" s="121">
        <f t="shared" si="1"/>
        <v>18.443999999999999</v>
      </c>
      <c r="F15" s="122">
        <f t="shared" si="8"/>
        <v>9.2219999999999995</v>
      </c>
      <c r="G15" s="121">
        <f t="shared" si="2"/>
        <v>18.443999999999999</v>
      </c>
      <c r="H15" s="123">
        <f t="shared" si="9"/>
        <v>9.2219999999999995</v>
      </c>
      <c r="I15" s="110">
        <f t="shared" si="10"/>
        <v>34.486799999999995</v>
      </c>
      <c r="J15" s="111">
        <f t="shared" si="11"/>
        <v>24.140759999999997</v>
      </c>
      <c r="K15" s="124">
        <f t="shared" si="3"/>
        <v>34.486799999999995</v>
      </c>
      <c r="L15" s="122">
        <f t="shared" si="12"/>
        <v>24.140759999999997</v>
      </c>
      <c r="M15" s="121">
        <f t="shared" si="4"/>
        <v>34.486799999999995</v>
      </c>
      <c r="N15" s="122">
        <f t="shared" si="13"/>
        <v>24.140759999999997</v>
      </c>
      <c r="O15" s="121">
        <f t="shared" si="5"/>
        <v>34.486799999999995</v>
      </c>
      <c r="P15" s="142">
        <f t="shared" si="14"/>
        <v>24.140759999999997</v>
      </c>
      <c r="Q15" s="143">
        <f t="shared" si="6"/>
        <v>33.349999999999994</v>
      </c>
      <c r="R15" s="113">
        <f t="shared" si="15"/>
        <v>23.344999999999999</v>
      </c>
      <c r="S15" s="1"/>
    </row>
    <row r="16" spans="1:21">
      <c r="A16" s="14" t="s">
        <v>115</v>
      </c>
      <c r="B16" s="67">
        <v>1.36</v>
      </c>
      <c r="C16" s="121">
        <f t="shared" si="0"/>
        <v>40.4328</v>
      </c>
      <c r="D16" s="122">
        <f t="shared" si="7"/>
        <v>28.302960000000002</v>
      </c>
      <c r="E16" s="121">
        <f t="shared" si="1"/>
        <v>21.624000000000002</v>
      </c>
      <c r="F16" s="122">
        <f t="shared" si="8"/>
        <v>10.812000000000001</v>
      </c>
      <c r="G16" s="121">
        <f t="shared" si="2"/>
        <v>21.624000000000002</v>
      </c>
      <c r="H16" s="123">
        <f t="shared" si="9"/>
        <v>10.812000000000001</v>
      </c>
      <c r="I16" s="110">
        <f t="shared" si="10"/>
        <v>40.4328</v>
      </c>
      <c r="J16" s="111">
        <f t="shared" si="11"/>
        <v>28.302960000000002</v>
      </c>
      <c r="K16" s="124">
        <f t="shared" si="3"/>
        <v>40.4328</v>
      </c>
      <c r="L16" s="122">
        <f t="shared" si="12"/>
        <v>28.302960000000002</v>
      </c>
      <c r="M16" s="121">
        <f t="shared" si="4"/>
        <v>40.4328</v>
      </c>
      <c r="N16" s="122">
        <f t="shared" si="13"/>
        <v>28.302960000000002</v>
      </c>
      <c r="O16" s="121">
        <f t="shared" si="5"/>
        <v>40.4328</v>
      </c>
      <c r="P16" s="142">
        <f t="shared" si="14"/>
        <v>28.302960000000002</v>
      </c>
      <c r="Q16" s="143">
        <f t="shared" si="6"/>
        <v>39.1</v>
      </c>
      <c r="R16" s="113">
        <f t="shared" si="15"/>
        <v>27.37</v>
      </c>
      <c r="S16" s="1"/>
    </row>
    <row r="17" spans="1:19">
      <c r="A17" s="14" t="s">
        <v>0</v>
      </c>
      <c r="B17" s="67">
        <v>1.35</v>
      </c>
      <c r="C17" s="121">
        <f t="shared" si="0"/>
        <v>40.1355</v>
      </c>
      <c r="D17" s="122">
        <f t="shared" si="7"/>
        <v>28.094850000000001</v>
      </c>
      <c r="E17" s="121">
        <f t="shared" si="1"/>
        <v>21.465000000000003</v>
      </c>
      <c r="F17" s="122">
        <f t="shared" si="8"/>
        <v>10.732500000000002</v>
      </c>
      <c r="G17" s="121">
        <f t="shared" si="2"/>
        <v>21.465000000000003</v>
      </c>
      <c r="H17" s="123">
        <f t="shared" si="9"/>
        <v>10.732500000000002</v>
      </c>
      <c r="I17" s="110">
        <f t="shared" si="10"/>
        <v>40.1355</v>
      </c>
      <c r="J17" s="111">
        <f t="shared" si="11"/>
        <v>28.094850000000001</v>
      </c>
      <c r="K17" s="124">
        <f t="shared" si="3"/>
        <v>40.1355</v>
      </c>
      <c r="L17" s="122">
        <f t="shared" si="12"/>
        <v>28.094850000000001</v>
      </c>
      <c r="M17" s="121">
        <f t="shared" si="4"/>
        <v>40.1355</v>
      </c>
      <c r="N17" s="122">
        <f t="shared" si="13"/>
        <v>28.094850000000001</v>
      </c>
      <c r="O17" s="121">
        <f t="shared" si="5"/>
        <v>40.1355</v>
      </c>
      <c r="P17" s="142">
        <f t="shared" si="14"/>
        <v>28.094850000000001</v>
      </c>
      <c r="Q17" s="143">
        <f t="shared" si="6"/>
        <v>38.8125</v>
      </c>
      <c r="R17" s="113">
        <f t="shared" si="15"/>
        <v>27.168750000000003</v>
      </c>
      <c r="S17" s="1"/>
    </row>
    <row r="18" spans="1:19">
      <c r="A18" s="14" t="s">
        <v>55</v>
      </c>
      <c r="B18" s="67"/>
      <c r="C18" s="121"/>
      <c r="D18" s="122"/>
      <c r="E18" s="121"/>
      <c r="F18" s="122"/>
      <c r="G18" s="121"/>
      <c r="H18" s="123"/>
      <c r="I18" s="110"/>
      <c r="J18" s="111"/>
      <c r="K18" s="124"/>
      <c r="L18" s="122"/>
      <c r="M18" s="121"/>
      <c r="N18" s="122"/>
      <c r="O18" s="121"/>
      <c r="P18" s="142"/>
      <c r="Q18" s="143"/>
      <c r="R18" s="113"/>
      <c r="S18" s="1"/>
    </row>
    <row r="19" spans="1:19">
      <c r="A19" s="14" t="s">
        <v>1</v>
      </c>
      <c r="B19" s="67">
        <v>1.42</v>
      </c>
      <c r="C19" s="121">
        <f t="shared" si="0"/>
        <v>42.2166</v>
      </c>
      <c r="D19" s="122">
        <f t="shared" si="7"/>
        <v>29.55162</v>
      </c>
      <c r="E19" s="121">
        <f t="shared" si="1"/>
        <v>22.577999999999999</v>
      </c>
      <c r="F19" s="122">
        <f t="shared" si="8"/>
        <v>11.289</v>
      </c>
      <c r="G19" s="121">
        <f t="shared" si="2"/>
        <v>22.577999999999999</v>
      </c>
      <c r="H19" s="123">
        <f t="shared" si="9"/>
        <v>11.289</v>
      </c>
      <c r="I19" s="110">
        <f t="shared" si="10"/>
        <v>42.2166</v>
      </c>
      <c r="J19" s="111">
        <f t="shared" si="11"/>
        <v>29.55162</v>
      </c>
      <c r="K19" s="124">
        <f t="shared" si="3"/>
        <v>42.2166</v>
      </c>
      <c r="L19" s="122">
        <f t="shared" si="12"/>
        <v>29.55162</v>
      </c>
      <c r="M19" s="121">
        <f t="shared" si="4"/>
        <v>42.2166</v>
      </c>
      <c r="N19" s="122">
        <f t="shared" si="13"/>
        <v>29.55162</v>
      </c>
      <c r="O19" s="121">
        <f t="shared" si="5"/>
        <v>42.2166</v>
      </c>
      <c r="P19" s="142">
        <f t="shared" si="14"/>
        <v>29.55162</v>
      </c>
      <c r="Q19" s="143">
        <f t="shared" si="6"/>
        <v>40.824999999999996</v>
      </c>
      <c r="R19" s="113">
        <f t="shared" si="15"/>
        <v>28.577499999999997</v>
      </c>
      <c r="S19" s="1"/>
    </row>
    <row r="20" spans="1:19">
      <c r="A20" s="14" t="s">
        <v>2</v>
      </c>
      <c r="B20" s="68">
        <v>1.22</v>
      </c>
      <c r="C20" s="121">
        <f t="shared" si="0"/>
        <v>36.270600000000002</v>
      </c>
      <c r="D20" s="122">
        <f t="shared" si="7"/>
        <v>25.389419999999998</v>
      </c>
      <c r="E20" s="121">
        <f t="shared" si="1"/>
        <v>19.398</v>
      </c>
      <c r="F20" s="122">
        <f t="shared" si="8"/>
        <v>9.6989999999999998</v>
      </c>
      <c r="G20" s="121">
        <f t="shared" si="2"/>
        <v>19.398</v>
      </c>
      <c r="H20" s="123">
        <f t="shared" si="9"/>
        <v>9.6989999999999998</v>
      </c>
      <c r="I20" s="110">
        <f t="shared" si="10"/>
        <v>36.270600000000002</v>
      </c>
      <c r="J20" s="111">
        <f t="shared" si="11"/>
        <v>25.389419999999998</v>
      </c>
      <c r="K20" s="124">
        <f t="shared" si="3"/>
        <v>36.270600000000002</v>
      </c>
      <c r="L20" s="122">
        <f t="shared" si="12"/>
        <v>25.389419999999998</v>
      </c>
      <c r="M20" s="121">
        <f t="shared" si="4"/>
        <v>36.270600000000002</v>
      </c>
      <c r="N20" s="122">
        <f t="shared" si="13"/>
        <v>25.389419999999998</v>
      </c>
      <c r="O20" s="121">
        <f t="shared" si="5"/>
        <v>36.270600000000002</v>
      </c>
      <c r="P20" s="142">
        <f t="shared" si="14"/>
        <v>25.389419999999998</v>
      </c>
      <c r="Q20" s="143">
        <f t="shared" si="6"/>
        <v>35.074999999999996</v>
      </c>
      <c r="R20" s="113">
        <f t="shared" si="15"/>
        <v>24.552499999999998</v>
      </c>
      <c r="S20" s="1"/>
    </row>
    <row r="21" spans="1:19">
      <c r="A21" s="14" t="s">
        <v>63</v>
      </c>
      <c r="B21" s="68">
        <v>1.28</v>
      </c>
      <c r="C21" s="121">
        <f t="shared" si="0"/>
        <v>38.054400000000001</v>
      </c>
      <c r="D21" s="122">
        <f t="shared" si="7"/>
        <v>26.638080000000002</v>
      </c>
      <c r="E21" s="121">
        <f t="shared" si="1"/>
        <v>20.352</v>
      </c>
      <c r="F21" s="122">
        <f t="shared" si="8"/>
        <v>10.176</v>
      </c>
      <c r="G21" s="121">
        <f t="shared" si="2"/>
        <v>20.352</v>
      </c>
      <c r="H21" s="123">
        <f t="shared" si="9"/>
        <v>10.176</v>
      </c>
      <c r="I21" s="110">
        <f t="shared" si="10"/>
        <v>38.054400000000001</v>
      </c>
      <c r="J21" s="111">
        <f t="shared" si="11"/>
        <v>26.638080000000002</v>
      </c>
      <c r="K21" s="124">
        <f t="shared" si="3"/>
        <v>38.054400000000001</v>
      </c>
      <c r="L21" s="122">
        <f t="shared" si="12"/>
        <v>26.638080000000002</v>
      </c>
      <c r="M21" s="121">
        <f t="shared" si="4"/>
        <v>38.054400000000001</v>
      </c>
      <c r="N21" s="122">
        <f t="shared" si="13"/>
        <v>26.638080000000002</v>
      </c>
      <c r="O21" s="121">
        <f t="shared" si="5"/>
        <v>38.054400000000001</v>
      </c>
      <c r="P21" s="142">
        <f t="shared" si="14"/>
        <v>26.638080000000002</v>
      </c>
      <c r="Q21" s="143">
        <f t="shared" si="6"/>
        <v>36.800000000000004</v>
      </c>
      <c r="R21" s="113">
        <f t="shared" si="15"/>
        <v>25.76</v>
      </c>
      <c r="S21" s="1"/>
    </row>
    <row r="22" spans="1:19">
      <c r="A22" s="14" t="s">
        <v>3</v>
      </c>
      <c r="B22" s="68">
        <v>1.42</v>
      </c>
      <c r="C22" s="121">
        <f t="shared" si="0"/>
        <v>42.2166</v>
      </c>
      <c r="D22" s="122">
        <f t="shared" si="7"/>
        <v>29.55162</v>
      </c>
      <c r="E22" s="121">
        <f t="shared" si="1"/>
        <v>22.577999999999999</v>
      </c>
      <c r="F22" s="122">
        <f t="shared" si="8"/>
        <v>11.289</v>
      </c>
      <c r="G22" s="121">
        <f t="shared" si="2"/>
        <v>22.577999999999999</v>
      </c>
      <c r="H22" s="123">
        <f t="shared" si="9"/>
        <v>11.289</v>
      </c>
      <c r="I22" s="110">
        <f t="shared" si="10"/>
        <v>42.2166</v>
      </c>
      <c r="J22" s="111">
        <f t="shared" si="11"/>
        <v>29.55162</v>
      </c>
      <c r="K22" s="124">
        <f t="shared" si="3"/>
        <v>42.2166</v>
      </c>
      <c r="L22" s="122">
        <f t="shared" si="12"/>
        <v>29.55162</v>
      </c>
      <c r="M22" s="121">
        <f t="shared" si="4"/>
        <v>42.2166</v>
      </c>
      <c r="N22" s="122">
        <f t="shared" si="13"/>
        <v>29.55162</v>
      </c>
      <c r="O22" s="121">
        <f t="shared" si="5"/>
        <v>42.2166</v>
      </c>
      <c r="P22" s="142">
        <f t="shared" si="14"/>
        <v>29.55162</v>
      </c>
      <c r="Q22" s="143">
        <f t="shared" si="6"/>
        <v>40.824999999999996</v>
      </c>
      <c r="R22" s="113">
        <f t="shared" si="15"/>
        <v>28.577499999999997</v>
      </c>
      <c r="S22" s="1"/>
    </row>
    <row r="23" spans="1:19">
      <c r="A23" s="14" t="s">
        <v>56</v>
      </c>
      <c r="B23" s="68">
        <v>0.92</v>
      </c>
      <c r="C23" s="121">
        <f t="shared" si="0"/>
        <v>27.351600000000001</v>
      </c>
      <c r="D23" s="122">
        <f t="shared" si="7"/>
        <v>19.14612</v>
      </c>
      <c r="E23" s="121">
        <f t="shared" si="1"/>
        <v>14.628</v>
      </c>
      <c r="F23" s="122">
        <f t="shared" si="8"/>
        <v>7.3140000000000001</v>
      </c>
      <c r="G23" s="121">
        <f t="shared" si="2"/>
        <v>14.628</v>
      </c>
      <c r="H23" s="123">
        <f t="shared" si="9"/>
        <v>7.3140000000000001</v>
      </c>
      <c r="I23" s="110">
        <f t="shared" si="10"/>
        <v>27.351600000000001</v>
      </c>
      <c r="J23" s="111">
        <f t="shared" si="11"/>
        <v>19.14612</v>
      </c>
      <c r="K23" s="124">
        <f t="shared" si="3"/>
        <v>27.351600000000001</v>
      </c>
      <c r="L23" s="122">
        <f t="shared" si="12"/>
        <v>19.14612</v>
      </c>
      <c r="M23" s="121">
        <f t="shared" si="4"/>
        <v>27.351600000000001</v>
      </c>
      <c r="N23" s="122">
        <f t="shared" si="13"/>
        <v>19.14612</v>
      </c>
      <c r="O23" s="121">
        <f t="shared" si="5"/>
        <v>27.351600000000001</v>
      </c>
      <c r="P23" s="142">
        <f t="shared" si="14"/>
        <v>19.14612</v>
      </c>
      <c r="Q23" s="143">
        <f t="shared" si="6"/>
        <v>26.450000000000003</v>
      </c>
      <c r="R23" s="113">
        <f t="shared" si="15"/>
        <v>18.515000000000001</v>
      </c>
      <c r="S23" s="1"/>
    </row>
    <row r="24" spans="1:19">
      <c r="A24" s="14" t="s">
        <v>94</v>
      </c>
      <c r="B24" s="68">
        <v>0.92</v>
      </c>
      <c r="C24" s="121">
        <f t="shared" si="0"/>
        <v>27.351600000000001</v>
      </c>
      <c r="D24" s="122">
        <f t="shared" si="7"/>
        <v>19.14612</v>
      </c>
      <c r="E24" s="121">
        <f t="shared" si="1"/>
        <v>14.628</v>
      </c>
      <c r="F24" s="122">
        <f t="shared" si="8"/>
        <v>7.3140000000000001</v>
      </c>
      <c r="G24" s="121">
        <f t="shared" si="2"/>
        <v>14.628</v>
      </c>
      <c r="H24" s="123">
        <f t="shared" si="9"/>
        <v>7.3140000000000001</v>
      </c>
      <c r="I24" s="110">
        <f t="shared" si="10"/>
        <v>27.351600000000001</v>
      </c>
      <c r="J24" s="111">
        <f t="shared" si="11"/>
        <v>19.14612</v>
      </c>
      <c r="K24" s="124">
        <f t="shared" si="3"/>
        <v>27.351600000000001</v>
      </c>
      <c r="L24" s="122">
        <f t="shared" si="12"/>
        <v>19.14612</v>
      </c>
      <c r="M24" s="121">
        <f t="shared" si="4"/>
        <v>27.351600000000001</v>
      </c>
      <c r="N24" s="122">
        <f t="shared" si="13"/>
        <v>19.14612</v>
      </c>
      <c r="O24" s="121">
        <f t="shared" si="5"/>
        <v>27.351600000000001</v>
      </c>
      <c r="P24" s="142">
        <f t="shared" si="14"/>
        <v>19.14612</v>
      </c>
      <c r="Q24" s="143">
        <f t="shared" si="6"/>
        <v>26.450000000000003</v>
      </c>
      <c r="R24" s="113">
        <f t="shared" si="15"/>
        <v>18.515000000000001</v>
      </c>
      <c r="S24" s="1"/>
    </row>
    <row r="25" spans="1:19">
      <c r="A25" s="14" t="s">
        <v>57</v>
      </c>
      <c r="B25" s="68">
        <v>0.92</v>
      </c>
      <c r="C25" s="121">
        <f t="shared" si="0"/>
        <v>27.351600000000001</v>
      </c>
      <c r="D25" s="122">
        <f t="shared" si="7"/>
        <v>19.14612</v>
      </c>
      <c r="E25" s="121">
        <f t="shared" si="1"/>
        <v>14.628</v>
      </c>
      <c r="F25" s="122">
        <f t="shared" si="8"/>
        <v>7.3140000000000001</v>
      </c>
      <c r="G25" s="121">
        <f t="shared" si="2"/>
        <v>14.628</v>
      </c>
      <c r="H25" s="123">
        <f t="shared" si="9"/>
        <v>7.3140000000000001</v>
      </c>
      <c r="I25" s="110">
        <f t="shared" si="10"/>
        <v>27.351600000000001</v>
      </c>
      <c r="J25" s="111">
        <f t="shared" si="11"/>
        <v>19.14612</v>
      </c>
      <c r="K25" s="124">
        <f t="shared" si="3"/>
        <v>27.351600000000001</v>
      </c>
      <c r="L25" s="122">
        <f t="shared" si="12"/>
        <v>19.14612</v>
      </c>
      <c r="M25" s="121">
        <f t="shared" si="4"/>
        <v>27.351600000000001</v>
      </c>
      <c r="N25" s="122">
        <f t="shared" si="13"/>
        <v>19.14612</v>
      </c>
      <c r="O25" s="121">
        <f t="shared" si="5"/>
        <v>27.351600000000001</v>
      </c>
      <c r="P25" s="142">
        <f t="shared" si="14"/>
        <v>19.14612</v>
      </c>
      <c r="Q25" s="143">
        <f t="shared" si="6"/>
        <v>26.450000000000003</v>
      </c>
      <c r="R25" s="113">
        <f t="shared" si="15"/>
        <v>18.515000000000001</v>
      </c>
      <c r="S25" s="1"/>
    </row>
    <row r="26" spans="1:19">
      <c r="A26" s="14" t="s">
        <v>95</v>
      </c>
      <c r="B26" s="68">
        <v>0.92</v>
      </c>
      <c r="C26" s="121">
        <f t="shared" si="0"/>
        <v>27.351600000000001</v>
      </c>
      <c r="D26" s="122">
        <f t="shared" si="7"/>
        <v>19.14612</v>
      </c>
      <c r="E26" s="121">
        <f t="shared" si="1"/>
        <v>14.628</v>
      </c>
      <c r="F26" s="122">
        <f t="shared" si="8"/>
        <v>7.3140000000000001</v>
      </c>
      <c r="G26" s="121">
        <f t="shared" si="2"/>
        <v>14.628</v>
      </c>
      <c r="H26" s="123">
        <f t="shared" si="9"/>
        <v>7.3140000000000001</v>
      </c>
      <c r="I26" s="110">
        <f t="shared" si="10"/>
        <v>27.351600000000001</v>
      </c>
      <c r="J26" s="111">
        <f t="shared" si="11"/>
        <v>19.14612</v>
      </c>
      <c r="K26" s="124">
        <f t="shared" si="3"/>
        <v>27.351600000000001</v>
      </c>
      <c r="L26" s="122">
        <f t="shared" si="12"/>
        <v>19.14612</v>
      </c>
      <c r="M26" s="121">
        <f t="shared" si="4"/>
        <v>27.351600000000001</v>
      </c>
      <c r="N26" s="122">
        <f t="shared" si="13"/>
        <v>19.14612</v>
      </c>
      <c r="O26" s="121">
        <f t="shared" si="5"/>
        <v>27.351600000000001</v>
      </c>
      <c r="P26" s="142">
        <f t="shared" si="14"/>
        <v>19.14612</v>
      </c>
      <c r="Q26" s="143">
        <f t="shared" si="6"/>
        <v>26.450000000000003</v>
      </c>
      <c r="R26" s="113">
        <f t="shared" si="15"/>
        <v>18.515000000000001</v>
      </c>
      <c r="S26" s="1"/>
    </row>
    <row r="27" spans="1:19">
      <c r="A27" s="14" t="s">
        <v>4</v>
      </c>
      <c r="B27" s="68">
        <v>1.52</v>
      </c>
      <c r="C27" s="121">
        <f t="shared" si="0"/>
        <v>45.189599999999999</v>
      </c>
      <c r="D27" s="122">
        <f t="shared" si="7"/>
        <v>31.632719999999999</v>
      </c>
      <c r="E27" s="121">
        <f t="shared" si="1"/>
        <v>24.167999999999999</v>
      </c>
      <c r="F27" s="122">
        <f t="shared" si="8"/>
        <v>12.084</v>
      </c>
      <c r="G27" s="121">
        <f t="shared" si="2"/>
        <v>24.167999999999999</v>
      </c>
      <c r="H27" s="123">
        <f t="shared" si="9"/>
        <v>12.084</v>
      </c>
      <c r="I27" s="110">
        <f t="shared" si="10"/>
        <v>45.189599999999999</v>
      </c>
      <c r="J27" s="111">
        <f t="shared" si="11"/>
        <v>31.632719999999999</v>
      </c>
      <c r="K27" s="124">
        <f t="shared" si="3"/>
        <v>45.189599999999999</v>
      </c>
      <c r="L27" s="122">
        <f t="shared" si="12"/>
        <v>31.632719999999999</v>
      </c>
      <c r="M27" s="121">
        <f t="shared" si="4"/>
        <v>45.189599999999999</v>
      </c>
      <c r="N27" s="122">
        <f t="shared" si="13"/>
        <v>31.632719999999999</v>
      </c>
      <c r="O27" s="121">
        <f t="shared" si="5"/>
        <v>45.189599999999999</v>
      </c>
      <c r="P27" s="142">
        <f t="shared" si="14"/>
        <v>31.632719999999999</v>
      </c>
      <c r="Q27" s="143">
        <f t="shared" si="6"/>
        <v>43.7</v>
      </c>
      <c r="R27" s="113">
        <f t="shared" si="15"/>
        <v>30.59</v>
      </c>
      <c r="S27" s="1"/>
    </row>
    <row r="28" spans="1:19">
      <c r="A28" s="14" t="s">
        <v>58</v>
      </c>
      <c r="B28" s="68">
        <v>1.24</v>
      </c>
      <c r="C28" s="121">
        <f t="shared" si="0"/>
        <v>36.865200000000002</v>
      </c>
      <c r="D28" s="122">
        <f t="shared" si="7"/>
        <v>25.80564</v>
      </c>
      <c r="E28" s="121">
        <f t="shared" si="1"/>
        <v>19.716000000000001</v>
      </c>
      <c r="F28" s="122">
        <f t="shared" si="8"/>
        <v>9.8580000000000005</v>
      </c>
      <c r="G28" s="121">
        <f t="shared" si="2"/>
        <v>19.716000000000001</v>
      </c>
      <c r="H28" s="123">
        <f t="shared" si="9"/>
        <v>9.8580000000000005</v>
      </c>
      <c r="I28" s="110">
        <f t="shared" si="10"/>
        <v>36.865200000000002</v>
      </c>
      <c r="J28" s="111">
        <f t="shared" si="11"/>
        <v>25.80564</v>
      </c>
      <c r="K28" s="124">
        <f t="shared" si="3"/>
        <v>36.865200000000002</v>
      </c>
      <c r="L28" s="122">
        <f t="shared" si="12"/>
        <v>25.80564</v>
      </c>
      <c r="M28" s="121">
        <f t="shared" si="4"/>
        <v>36.865200000000002</v>
      </c>
      <c r="N28" s="122">
        <f t="shared" si="13"/>
        <v>25.80564</v>
      </c>
      <c r="O28" s="121">
        <f t="shared" si="5"/>
        <v>36.865200000000002</v>
      </c>
      <c r="P28" s="142">
        <f t="shared" si="14"/>
        <v>25.80564</v>
      </c>
      <c r="Q28" s="143">
        <f t="shared" si="6"/>
        <v>35.65</v>
      </c>
      <c r="R28" s="113">
        <f t="shared" si="15"/>
        <v>24.954999999999998</v>
      </c>
      <c r="S28" s="1"/>
    </row>
    <row r="29" spans="1:19">
      <c r="A29" s="16" t="s">
        <v>59</v>
      </c>
      <c r="B29" s="68">
        <v>1.19</v>
      </c>
      <c r="C29" s="121">
        <f t="shared" si="0"/>
        <v>35.378700000000002</v>
      </c>
      <c r="D29" s="122">
        <f t="shared" si="7"/>
        <v>24.765089999999997</v>
      </c>
      <c r="E29" s="121">
        <f t="shared" si="1"/>
        <v>18.920999999999999</v>
      </c>
      <c r="F29" s="122">
        <f t="shared" si="8"/>
        <v>9.4604999999999997</v>
      </c>
      <c r="G29" s="121">
        <f t="shared" si="2"/>
        <v>18.920999999999999</v>
      </c>
      <c r="H29" s="123">
        <f t="shared" si="9"/>
        <v>9.4604999999999997</v>
      </c>
      <c r="I29" s="110">
        <f t="shared" si="10"/>
        <v>35.378700000000002</v>
      </c>
      <c r="J29" s="111">
        <f t="shared" si="11"/>
        <v>24.765089999999997</v>
      </c>
      <c r="K29" s="124">
        <f t="shared" si="3"/>
        <v>35.378700000000002</v>
      </c>
      <c r="L29" s="122">
        <f t="shared" si="12"/>
        <v>24.765089999999997</v>
      </c>
      <c r="M29" s="121">
        <f t="shared" si="4"/>
        <v>35.378700000000002</v>
      </c>
      <c r="N29" s="122">
        <f t="shared" si="13"/>
        <v>24.765089999999997</v>
      </c>
      <c r="O29" s="121">
        <f t="shared" si="5"/>
        <v>35.378700000000002</v>
      </c>
      <c r="P29" s="142">
        <f t="shared" si="14"/>
        <v>24.765089999999997</v>
      </c>
      <c r="Q29" s="143">
        <f t="shared" si="6"/>
        <v>34.212499999999999</v>
      </c>
      <c r="R29" s="113">
        <f>B29*$R$6</f>
        <v>23.94875</v>
      </c>
      <c r="S29" s="1"/>
    </row>
    <row r="30" spans="1:19">
      <c r="A30" s="16" t="s">
        <v>64</v>
      </c>
      <c r="B30" s="68">
        <v>1.25</v>
      </c>
      <c r="C30" s="121">
        <f t="shared" si="0"/>
        <v>37.162500000000001</v>
      </c>
      <c r="D30" s="122">
        <f t="shared" si="7"/>
        <v>26.013750000000002</v>
      </c>
      <c r="E30" s="121">
        <f t="shared" si="1"/>
        <v>19.875</v>
      </c>
      <c r="F30" s="122">
        <f t="shared" si="8"/>
        <v>9.9375</v>
      </c>
      <c r="G30" s="121">
        <f t="shared" si="2"/>
        <v>19.875</v>
      </c>
      <c r="H30" s="123">
        <f t="shared" si="9"/>
        <v>9.9375</v>
      </c>
      <c r="I30" s="110">
        <f t="shared" si="10"/>
        <v>37.162500000000001</v>
      </c>
      <c r="J30" s="111">
        <f t="shared" si="11"/>
        <v>26.013750000000002</v>
      </c>
      <c r="K30" s="124">
        <f t="shared" si="3"/>
        <v>37.162500000000001</v>
      </c>
      <c r="L30" s="122">
        <f t="shared" si="12"/>
        <v>26.013750000000002</v>
      </c>
      <c r="M30" s="121">
        <f t="shared" si="4"/>
        <v>37.162500000000001</v>
      </c>
      <c r="N30" s="122">
        <f t="shared" si="13"/>
        <v>26.013750000000002</v>
      </c>
      <c r="O30" s="121">
        <f t="shared" si="5"/>
        <v>37.162500000000001</v>
      </c>
      <c r="P30" s="142">
        <f t="shared" si="14"/>
        <v>26.013750000000002</v>
      </c>
      <c r="Q30" s="143">
        <f t="shared" si="6"/>
        <v>35.9375</v>
      </c>
      <c r="R30" s="113">
        <f t="shared" si="15"/>
        <v>25.15625</v>
      </c>
      <c r="S30" s="1"/>
    </row>
    <row r="31" spans="1:19">
      <c r="A31" s="16" t="s">
        <v>30</v>
      </c>
      <c r="B31" s="68">
        <v>1.19</v>
      </c>
      <c r="C31" s="121">
        <f t="shared" si="0"/>
        <v>35.378700000000002</v>
      </c>
      <c r="D31" s="122">
        <f t="shared" si="7"/>
        <v>24.765089999999997</v>
      </c>
      <c r="E31" s="121">
        <f t="shared" si="1"/>
        <v>18.920999999999999</v>
      </c>
      <c r="F31" s="122">
        <f t="shared" si="8"/>
        <v>9.4604999999999997</v>
      </c>
      <c r="G31" s="121">
        <f t="shared" si="2"/>
        <v>18.920999999999999</v>
      </c>
      <c r="H31" s="123">
        <f t="shared" si="9"/>
        <v>9.4604999999999997</v>
      </c>
      <c r="I31" s="110">
        <f t="shared" si="10"/>
        <v>35.378700000000002</v>
      </c>
      <c r="J31" s="111">
        <f t="shared" si="11"/>
        <v>24.765089999999997</v>
      </c>
      <c r="K31" s="124">
        <f t="shared" si="3"/>
        <v>35.378700000000002</v>
      </c>
      <c r="L31" s="122">
        <f t="shared" si="12"/>
        <v>24.765089999999997</v>
      </c>
      <c r="M31" s="121">
        <f t="shared" si="4"/>
        <v>35.378700000000002</v>
      </c>
      <c r="N31" s="122">
        <f t="shared" si="13"/>
        <v>24.765089999999997</v>
      </c>
      <c r="O31" s="121">
        <f t="shared" si="5"/>
        <v>35.378700000000002</v>
      </c>
      <c r="P31" s="142">
        <f t="shared" si="14"/>
        <v>24.765089999999997</v>
      </c>
      <c r="Q31" s="143">
        <f t="shared" si="6"/>
        <v>34.212499999999999</v>
      </c>
      <c r="R31" s="113">
        <f t="shared" si="15"/>
        <v>23.94875</v>
      </c>
      <c r="S31" s="1"/>
    </row>
    <row r="32" spans="1:19">
      <c r="A32" s="14" t="s">
        <v>5</v>
      </c>
      <c r="B32" s="68">
        <v>1.41</v>
      </c>
      <c r="C32" s="121">
        <f t="shared" si="0"/>
        <v>41.9193</v>
      </c>
      <c r="D32" s="122">
        <f t="shared" si="7"/>
        <v>29.343509999999998</v>
      </c>
      <c r="E32" s="121">
        <f t="shared" si="1"/>
        <v>22.419</v>
      </c>
      <c r="F32" s="122">
        <f t="shared" si="8"/>
        <v>11.2095</v>
      </c>
      <c r="G32" s="121">
        <f t="shared" si="2"/>
        <v>22.419</v>
      </c>
      <c r="H32" s="123">
        <f t="shared" si="9"/>
        <v>11.2095</v>
      </c>
      <c r="I32" s="110">
        <f t="shared" si="10"/>
        <v>41.9193</v>
      </c>
      <c r="J32" s="111">
        <f t="shared" si="11"/>
        <v>29.343509999999998</v>
      </c>
      <c r="K32" s="124">
        <f t="shared" si="3"/>
        <v>41.9193</v>
      </c>
      <c r="L32" s="122">
        <f t="shared" si="12"/>
        <v>29.343509999999998</v>
      </c>
      <c r="M32" s="121">
        <f t="shared" si="4"/>
        <v>41.9193</v>
      </c>
      <c r="N32" s="122">
        <f t="shared" si="13"/>
        <v>29.343509999999998</v>
      </c>
      <c r="O32" s="121">
        <f t="shared" si="5"/>
        <v>41.9193</v>
      </c>
      <c r="P32" s="142">
        <f t="shared" si="14"/>
        <v>29.343509999999998</v>
      </c>
      <c r="Q32" s="143">
        <f t="shared" si="6"/>
        <v>40.537499999999994</v>
      </c>
      <c r="R32" s="113">
        <f t="shared" si="15"/>
        <v>28.376249999999999</v>
      </c>
      <c r="S32" s="1"/>
    </row>
    <row r="33" spans="1:19">
      <c r="A33" s="14" t="s">
        <v>65</v>
      </c>
      <c r="B33" s="68">
        <v>1.7190000000000001</v>
      </c>
      <c r="C33" s="121">
        <f t="shared" si="0"/>
        <v>51.105870000000003</v>
      </c>
      <c r="D33" s="122">
        <f t="shared" si="7"/>
        <v>35.774109000000003</v>
      </c>
      <c r="E33" s="121">
        <f t="shared" si="1"/>
        <v>27.332100000000001</v>
      </c>
      <c r="F33" s="122">
        <f t="shared" si="8"/>
        <v>13.66605</v>
      </c>
      <c r="G33" s="121">
        <f t="shared" si="2"/>
        <v>27.332100000000001</v>
      </c>
      <c r="H33" s="123">
        <f t="shared" si="9"/>
        <v>13.66605</v>
      </c>
      <c r="I33" s="110">
        <f t="shared" si="10"/>
        <v>51.105870000000003</v>
      </c>
      <c r="J33" s="111">
        <f t="shared" si="11"/>
        <v>35.774109000000003</v>
      </c>
      <c r="K33" s="124">
        <f t="shared" si="3"/>
        <v>51.105870000000003</v>
      </c>
      <c r="L33" s="122">
        <f t="shared" si="12"/>
        <v>35.774109000000003</v>
      </c>
      <c r="M33" s="121">
        <f t="shared" si="4"/>
        <v>51.105870000000003</v>
      </c>
      <c r="N33" s="122">
        <f t="shared" si="13"/>
        <v>35.774109000000003</v>
      </c>
      <c r="O33" s="121">
        <f t="shared" si="5"/>
        <v>51.105870000000003</v>
      </c>
      <c r="P33" s="142">
        <f t="shared" si="14"/>
        <v>35.774109000000003</v>
      </c>
      <c r="Q33" s="143">
        <f t="shared" si="6"/>
        <v>49.421250000000001</v>
      </c>
      <c r="R33" s="113">
        <f t="shared" si="15"/>
        <v>34.594875000000002</v>
      </c>
      <c r="S33" s="1"/>
    </row>
    <row r="34" spans="1:19">
      <c r="A34" s="14" t="s">
        <v>66</v>
      </c>
      <c r="B34" s="68"/>
      <c r="C34" s="121"/>
      <c r="D34" s="122"/>
      <c r="E34" s="121"/>
      <c r="F34" s="122"/>
      <c r="G34" s="121"/>
      <c r="H34" s="123"/>
      <c r="I34" s="110"/>
      <c r="J34" s="111"/>
      <c r="K34" s="124"/>
      <c r="L34" s="122"/>
      <c r="M34" s="121"/>
      <c r="N34" s="122"/>
      <c r="O34" s="121"/>
      <c r="P34" s="142"/>
      <c r="Q34" s="143"/>
      <c r="R34" s="113"/>
      <c r="S34" s="1"/>
    </row>
    <row r="35" spans="1:19">
      <c r="A35" s="14" t="s">
        <v>67</v>
      </c>
      <c r="B35" s="68">
        <v>1.17</v>
      </c>
      <c r="C35" s="121">
        <f t="shared" ref="C35" si="16">B35*$C$6</f>
        <v>34.784099999999995</v>
      </c>
      <c r="D35" s="122">
        <f t="shared" ref="D35" si="17">B35*$D$6</f>
        <v>24.348869999999998</v>
      </c>
      <c r="E35" s="121">
        <f t="shared" ref="E35" si="18">B35*$E$6</f>
        <v>18.602999999999998</v>
      </c>
      <c r="F35" s="122">
        <f t="shared" ref="F35" si="19">B35*$F$6</f>
        <v>9.301499999999999</v>
      </c>
      <c r="G35" s="121">
        <f t="shared" ref="G35" si="20">B35*$G$6</f>
        <v>18.602999999999998</v>
      </c>
      <c r="H35" s="123">
        <f t="shared" ref="H35" si="21">B35*$H$6</f>
        <v>9.301499999999999</v>
      </c>
      <c r="I35" s="110">
        <f t="shared" ref="I35" si="22">B35*$I$6</f>
        <v>34.784099999999995</v>
      </c>
      <c r="J35" s="111">
        <f t="shared" ref="J35" si="23">B35*$J$6</f>
        <v>24.348869999999998</v>
      </c>
      <c r="K35" s="124">
        <f t="shared" ref="K35" si="24">B35*$K$6</f>
        <v>34.784099999999995</v>
      </c>
      <c r="L35" s="122">
        <f t="shared" ref="L35" si="25">B35*$L$6</f>
        <v>24.348869999999998</v>
      </c>
      <c r="M35" s="121">
        <f t="shared" ref="M35" si="26">B35*$M$6</f>
        <v>34.784099999999995</v>
      </c>
      <c r="N35" s="122">
        <f t="shared" ref="N35" si="27">B35*$N$6</f>
        <v>24.348869999999998</v>
      </c>
      <c r="O35" s="121">
        <f t="shared" ref="O35" si="28">B35*$O$6</f>
        <v>34.784099999999995</v>
      </c>
      <c r="P35" s="142">
        <f t="shared" ref="P35" si="29">B35*$P$6</f>
        <v>24.348869999999998</v>
      </c>
      <c r="Q35" s="143">
        <f t="shared" ref="Q35" si="30">B35*$Q$6</f>
        <v>33.637499999999996</v>
      </c>
      <c r="R35" s="113">
        <f t="shared" ref="R35" si="31">B35*$R$6</f>
        <v>23.546249999999997</v>
      </c>
      <c r="S35" s="1"/>
    </row>
    <row r="36" spans="1:19">
      <c r="A36" s="14" t="s">
        <v>68</v>
      </c>
      <c r="B36" s="68">
        <v>0.92</v>
      </c>
      <c r="C36" s="121">
        <f t="shared" si="0"/>
        <v>27.351600000000001</v>
      </c>
      <c r="D36" s="122">
        <f t="shared" si="7"/>
        <v>19.14612</v>
      </c>
      <c r="E36" s="121">
        <f t="shared" si="1"/>
        <v>14.628</v>
      </c>
      <c r="F36" s="122">
        <f t="shared" si="8"/>
        <v>7.3140000000000001</v>
      </c>
      <c r="G36" s="121">
        <f t="shared" si="2"/>
        <v>14.628</v>
      </c>
      <c r="H36" s="123">
        <f t="shared" si="9"/>
        <v>7.3140000000000001</v>
      </c>
      <c r="I36" s="110">
        <f t="shared" si="10"/>
        <v>27.351600000000001</v>
      </c>
      <c r="J36" s="111">
        <f t="shared" si="11"/>
        <v>19.14612</v>
      </c>
      <c r="K36" s="124">
        <f t="shared" si="3"/>
        <v>27.351600000000001</v>
      </c>
      <c r="L36" s="122">
        <f t="shared" si="12"/>
        <v>19.14612</v>
      </c>
      <c r="M36" s="121">
        <f t="shared" si="4"/>
        <v>27.351600000000001</v>
      </c>
      <c r="N36" s="122">
        <f t="shared" si="13"/>
        <v>19.14612</v>
      </c>
      <c r="O36" s="121">
        <f t="shared" si="5"/>
        <v>27.351600000000001</v>
      </c>
      <c r="P36" s="142">
        <f t="shared" si="14"/>
        <v>19.14612</v>
      </c>
      <c r="Q36" s="143">
        <f t="shared" si="6"/>
        <v>26.450000000000003</v>
      </c>
      <c r="R36" s="113">
        <f t="shared" si="15"/>
        <v>18.515000000000001</v>
      </c>
      <c r="S36" s="1"/>
    </row>
    <row r="37" spans="1:19">
      <c r="A37" s="14" t="s">
        <v>6</v>
      </c>
      <c r="B37" s="67">
        <v>1.1074999999999999</v>
      </c>
      <c r="C37" s="121">
        <f t="shared" si="0"/>
        <v>32.925975000000001</v>
      </c>
      <c r="D37" s="122">
        <f t="shared" si="7"/>
        <v>23.048182499999999</v>
      </c>
      <c r="E37" s="121">
        <f t="shared" si="1"/>
        <v>17.609249999999999</v>
      </c>
      <c r="F37" s="122">
        <f t="shared" si="8"/>
        <v>8.8046249999999997</v>
      </c>
      <c r="G37" s="121">
        <f t="shared" si="2"/>
        <v>17.609249999999999</v>
      </c>
      <c r="H37" s="123">
        <f t="shared" si="9"/>
        <v>8.8046249999999997</v>
      </c>
      <c r="I37" s="110">
        <f t="shared" si="10"/>
        <v>32.925975000000001</v>
      </c>
      <c r="J37" s="111">
        <f t="shared" si="11"/>
        <v>23.048182499999999</v>
      </c>
      <c r="K37" s="124">
        <f t="shared" si="3"/>
        <v>32.925975000000001</v>
      </c>
      <c r="L37" s="122">
        <f t="shared" si="12"/>
        <v>23.048182499999999</v>
      </c>
      <c r="M37" s="121">
        <f t="shared" si="4"/>
        <v>32.925975000000001</v>
      </c>
      <c r="N37" s="122">
        <f t="shared" si="13"/>
        <v>23.048182499999999</v>
      </c>
      <c r="O37" s="121">
        <f t="shared" si="5"/>
        <v>32.925975000000001</v>
      </c>
      <c r="P37" s="142">
        <f t="shared" si="14"/>
        <v>23.048182499999999</v>
      </c>
      <c r="Q37" s="143">
        <f t="shared" si="6"/>
        <v>31.840624999999999</v>
      </c>
      <c r="R37" s="113">
        <f t="shared" si="15"/>
        <v>22.288437499999997</v>
      </c>
      <c r="S37" s="1"/>
    </row>
    <row r="38" spans="1:19">
      <c r="A38" s="14" t="s">
        <v>69</v>
      </c>
      <c r="B38" s="67">
        <v>1.0528999999999999</v>
      </c>
      <c r="C38" s="121">
        <f t="shared" si="0"/>
        <v>31.302716999999998</v>
      </c>
      <c r="D38" s="122">
        <f t="shared" si="7"/>
        <v>21.9119019</v>
      </c>
      <c r="E38" s="121">
        <f t="shared" si="1"/>
        <v>16.741109999999999</v>
      </c>
      <c r="F38" s="122">
        <f t="shared" si="8"/>
        <v>8.3705549999999995</v>
      </c>
      <c r="G38" s="121">
        <f t="shared" si="2"/>
        <v>16.741109999999999</v>
      </c>
      <c r="H38" s="123">
        <f t="shared" si="9"/>
        <v>8.3705549999999995</v>
      </c>
      <c r="I38" s="110">
        <f t="shared" si="10"/>
        <v>31.302716999999998</v>
      </c>
      <c r="J38" s="111">
        <f t="shared" si="11"/>
        <v>21.9119019</v>
      </c>
      <c r="K38" s="124">
        <f t="shared" si="3"/>
        <v>31.302716999999998</v>
      </c>
      <c r="L38" s="122">
        <f t="shared" si="12"/>
        <v>21.9119019</v>
      </c>
      <c r="M38" s="121">
        <f t="shared" si="4"/>
        <v>31.302716999999998</v>
      </c>
      <c r="N38" s="122">
        <f t="shared" si="13"/>
        <v>21.9119019</v>
      </c>
      <c r="O38" s="121">
        <f t="shared" si="5"/>
        <v>31.302716999999998</v>
      </c>
      <c r="P38" s="142">
        <f t="shared" si="14"/>
        <v>21.9119019</v>
      </c>
      <c r="Q38" s="143">
        <f t="shared" si="6"/>
        <v>30.270875</v>
      </c>
      <c r="R38" s="113">
        <f t="shared" si="15"/>
        <v>21.189612499999999</v>
      </c>
      <c r="S38" s="1"/>
    </row>
    <row r="39" spans="1:19">
      <c r="A39" s="14" t="s">
        <v>7</v>
      </c>
      <c r="B39" s="67">
        <v>1.1157999999999999</v>
      </c>
      <c r="C39" s="121">
        <f t="shared" si="0"/>
        <v>33.172733999999998</v>
      </c>
      <c r="D39" s="122">
        <f t="shared" si="7"/>
        <v>23.220913799999998</v>
      </c>
      <c r="E39" s="121">
        <f t="shared" si="1"/>
        <v>17.741219999999998</v>
      </c>
      <c r="F39" s="122">
        <f t="shared" si="8"/>
        <v>8.8706099999999992</v>
      </c>
      <c r="G39" s="121">
        <f t="shared" si="2"/>
        <v>17.741219999999998</v>
      </c>
      <c r="H39" s="123">
        <f t="shared" si="9"/>
        <v>8.8706099999999992</v>
      </c>
      <c r="I39" s="110">
        <f t="shared" si="10"/>
        <v>33.172733999999998</v>
      </c>
      <c r="J39" s="111">
        <f t="shared" si="11"/>
        <v>23.220913799999998</v>
      </c>
      <c r="K39" s="124">
        <f t="shared" si="3"/>
        <v>33.172733999999998</v>
      </c>
      <c r="L39" s="122">
        <f t="shared" si="12"/>
        <v>23.220913799999998</v>
      </c>
      <c r="M39" s="121">
        <f t="shared" si="4"/>
        <v>33.172733999999998</v>
      </c>
      <c r="N39" s="122">
        <f t="shared" si="13"/>
        <v>23.220913799999998</v>
      </c>
      <c r="O39" s="121">
        <f t="shared" si="5"/>
        <v>33.172733999999998</v>
      </c>
      <c r="P39" s="142">
        <f t="shared" si="14"/>
        <v>23.220913799999998</v>
      </c>
      <c r="Q39" s="143">
        <f t="shared" si="6"/>
        <v>32.079249999999995</v>
      </c>
      <c r="R39" s="113">
        <f t="shared" si="15"/>
        <v>22.455474999999996</v>
      </c>
      <c r="S39" s="1"/>
    </row>
    <row r="40" spans="1:19">
      <c r="A40" s="14" t="s">
        <v>70</v>
      </c>
      <c r="B40" s="67">
        <v>1.1284000000000001</v>
      </c>
      <c r="C40" s="121">
        <f t="shared" ref="C40:C72" si="32">B40*$C$6</f>
        <v>33.547332000000004</v>
      </c>
      <c r="D40" s="122">
        <f t="shared" si="7"/>
        <v>23.483132400000002</v>
      </c>
      <c r="E40" s="121">
        <f t="shared" ref="E40:E72" si="33">B40*$E$6</f>
        <v>17.941560000000003</v>
      </c>
      <c r="F40" s="122">
        <f t="shared" si="8"/>
        <v>8.9707800000000013</v>
      </c>
      <c r="G40" s="121">
        <f t="shared" ref="G40:G72" si="34">B40*$G$6</f>
        <v>17.941560000000003</v>
      </c>
      <c r="H40" s="123">
        <f t="shared" si="9"/>
        <v>8.9707800000000013</v>
      </c>
      <c r="I40" s="110">
        <f t="shared" si="10"/>
        <v>33.547332000000004</v>
      </c>
      <c r="J40" s="111">
        <f t="shared" si="11"/>
        <v>23.483132400000002</v>
      </c>
      <c r="K40" s="124">
        <f t="shared" ref="K40:K72" si="35">B40*$K$6</f>
        <v>33.547332000000004</v>
      </c>
      <c r="L40" s="122">
        <f t="shared" si="12"/>
        <v>23.483132400000002</v>
      </c>
      <c r="M40" s="121">
        <f t="shared" ref="M40:M72" si="36">B40*$M$6</f>
        <v>33.547332000000004</v>
      </c>
      <c r="N40" s="122">
        <f t="shared" si="13"/>
        <v>23.483132400000002</v>
      </c>
      <c r="O40" s="121">
        <f t="shared" ref="O40:O72" si="37">B40*$O$6</f>
        <v>33.547332000000004</v>
      </c>
      <c r="P40" s="142">
        <f t="shared" si="14"/>
        <v>23.483132400000002</v>
      </c>
      <c r="Q40" s="143">
        <f t="shared" ref="Q40:Q72" si="38">B40*$Q$6</f>
        <v>32.441500000000005</v>
      </c>
      <c r="R40" s="113">
        <f t="shared" si="15"/>
        <v>22.709050000000001</v>
      </c>
      <c r="S40" s="1"/>
    </row>
    <row r="41" spans="1:19">
      <c r="A41" s="14" t="s">
        <v>71</v>
      </c>
      <c r="B41" s="67">
        <v>1.44</v>
      </c>
      <c r="C41" s="121">
        <f t="shared" si="32"/>
        <v>42.811199999999999</v>
      </c>
      <c r="D41" s="122">
        <f t="shared" si="7"/>
        <v>29.967839999999999</v>
      </c>
      <c r="E41" s="121">
        <f t="shared" si="33"/>
        <v>22.896000000000001</v>
      </c>
      <c r="F41" s="122">
        <f t="shared" si="8"/>
        <v>11.448</v>
      </c>
      <c r="G41" s="121">
        <f t="shared" si="34"/>
        <v>22.896000000000001</v>
      </c>
      <c r="H41" s="123">
        <f t="shared" si="9"/>
        <v>11.448</v>
      </c>
      <c r="I41" s="110">
        <f t="shared" si="10"/>
        <v>42.811199999999999</v>
      </c>
      <c r="J41" s="111">
        <f t="shared" si="11"/>
        <v>29.967839999999999</v>
      </c>
      <c r="K41" s="124">
        <f t="shared" si="35"/>
        <v>42.811199999999999</v>
      </c>
      <c r="L41" s="122">
        <f t="shared" si="12"/>
        <v>29.967839999999999</v>
      </c>
      <c r="M41" s="121">
        <f t="shared" si="36"/>
        <v>42.811199999999999</v>
      </c>
      <c r="N41" s="122">
        <f t="shared" si="13"/>
        <v>29.967839999999999</v>
      </c>
      <c r="O41" s="121">
        <f t="shared" si="37"/>
        <v>42.811199999999999</v>
      </c>
      <c r="P41" s="142">
        <f t="shared" si="14"/>
        <v>29.967839999999999</v>
      </c>
      <c r="Q41" s="143">
        <f t="shared" si="38"/>
        <v>41.4</v>
      </c>
      <c r="R41" s="113">
        <f t="shared" si="15"/>
        <v>28.98</v>
      </c>
      <c r="S41" s="1"/>
    </row>
    <row r="42" spans="1:19">
      <c r="A42" s="83" t="s">
        <v>116</v>
      </c>
      <c r="B42" s="67">
        <v>1.2170000000000001</v>
      </c>
      <c r="C42" s="121">
        <f t="shared" si="32"/>
        <v>36.18141</v>
      </c>
      <c r="D42" s="122">
        <f t="shared" si="7"/>
        <v>25.326987000000003</v>
      </c>
      <c r="E42" s="121">
        <f t="shared" si="33"/>
        <v>19.350300000000001</v>
      </c>
      <c r="F42" s="122">
        <f t="shared" si="8"/>
        <v>9.6751500000000004</v>
      </c>
      <c r="G42" s="121">
        <f t="shared" si="34"/>
        <v>19.350300000000001</v>
      </c>
      <c r="H42" s="123">
        <f t="shared" si="9"/>
        <v>9.6751500000000004</v>
      </c>
      <c r="I42" s="110">
        <f t="shared" si="10"/>
        <v>36.18141</v>
      </c>
      <c r="J42" s="111">
        <f t="shared" si="11"/>
        <v>25.326987000000003</v>
      </c>
      <c r="K42" s="124">
        <f t="shared" si="35"/>
        <v>36.18141</v>
      </c>
      <c r="L42" s="122">
        <f t="shared" si="12"/>
        <v>25.326987000000003</v>
      </c>
      <c r="M42" s="121">
        <f t="shared" si="36"/>
        <v>36.18141</v>
      </c>
      <c r="N42" s="122">
        <f t="shared" si="13"/>
        <v>25.326987000000003</v>
      </c>
      <c r="O42" s="121">
        <f t="shared" si="37"/>
        <v>36.18141</v>
      </c>
      <c r="P42" s="142">
        <f t="shared" si="14"/>
        <v>25.326987000000003</v>
      </c>
      <c r="Q42" s="143">
        <f t="shared" si="38"/>
        <v>34.988750000000003</v>
      </c>
      <c r="R42" s="113">
        <f t="shared" si="15"/>
        <v>24.492125000000001</v>
      </c>
      <c r="S42" s="1"/>
    </row>
    <row r="43" spans="1:19">
      <c r="A43" s="15" t="s">
        <v>8</v>
      </c>
      <c r="B43" s="67">
        <v>1.1633</v>
      </c>
      <c r="C43" s="121">
        <f t="shared" si="32"/>
        <v>34.584909000000003</v>
      </c>
      <c r="D43" s="122">
        <f t="shared" si="7"/>
        <v>24.2094363</v>
      </c>
      <c r="E43" s="121">
        <f t="shared" si="33"/>
        <v>18.496470000000002</v>
      </c>
      <c r="F43" s="122">
        <f t="shared" si="8"/>
        <v>9.2482350000000011</v>
      </c>
      <c r="G43" s="121">
        <f t="shared" si="34"/>
        <v>18.496470000000002</v>
      </c>
      <c r="H43" s="123">
        <f t="shared" si="9"/>
        <v>9.2482350000000011</v>
      </c>
      <c r="I43" s="110">
        <f t="shared" si="10"/>
        <v>34.584909000000003</v>
      </c>
      <c r="J43" s="111">
        <f t="shared" si="11"/>
        <v>24.2094363</v>
      </c>
      <c r="K43" s="124">
        <f t="shared" si="35"/>
        <v>34.584909000000003</v>
      </c>
      <c r="L43" s="122">
        <f t="shared" si="12"/>
        <v>24.2094363</v>
      </c>
      <c r="M43" s="121">
        <f t="shared" si="36"/>
        <v>34.584909000000003</v>
      </c>
      <c r="N43" s="122">
        <f t="shared" si="13"/>
        <v>24.2094363</v>
      </c>
      <c r="O43" s="121">
        <f t="shared" si="37"/>
        <v>34.584909000000003</v>
      </c>
      <c r="P43" s="142">
        <f t="shared" si="14"/>
        <v>24.2094363</v>
      </c>
      <c r="Q43" s="143">
        <f t="shared" si="38"/>
        <v>33.444875000000003</v>
      </c>
      <c r="R43" s="113">
        <f t="shared" si="15"/>
        <v>23.411412500000001</v>
      </c>
      <c r="S43" s="1"/>
    </row>
    <row r="44" spans="1:19">
      <c r="A44" s="15" t="s">
        <v>72</v>
      </c>
      <c r="B44" s="67">
        <v>1.1771</v>
      </c>
      <c r="C44" s="121">
        <f t="shared" si="32"/>
        <v>34.995183000000004</v>
      </c>
      <c r="D44" s="122">
        <f t="shared" si="7"/>
        <v>24.496628100000002</v>
      </c>
      <c r="E44" s="121">
        <f t="shared" si="33"/>
        <v>18.715890000000002</v>
      </c>
      <c r="F44" s="122">
        <f t="shared" si="8"/>
        <v>9.3579450000000008</v>
      </c>
      <c r="G44" s="121">
        <f t="shared" si="34"/>
        <v>18.715890000000002</v>
      </c>
      <c r="H44" s="123">
        <f t="shared" si="9"/>
        <v>9.3579450000000008</v>
      </c>
      <c r="I44" s="110">
        <f t="shared" si="10"/>
        <v>34.995183000000004</v>
      </c>
      <c r="J44" s="111">
        <f t="shared" si="11"/>
        <v>24.496628100000002</v>
      </c>
      <c r="K44" s="124">
        <f t="shared" si="35"/>
        <v>34.995183000000004</v>
      </c>
      <c r="L44" s="122">
        <f t="shared" si="12"/>
        <v>24.496628100000002</v>
      </c>
      <c r="M44" s="121">
        <f t="shared" si="36"/>
        <v>34.995183000000004</v>
      </c>
      <c r="N44" s="122">
        <f t="shared" si="13"/>
        <v>24.496628100000002</v>
      </c>
      <c r="O44" s="121">
        <f t="shared" si="37"/>
        <v>34.995183000000004</v>
      </c>
      <c r="P44" s="142">
        <f t="shared" si="14"/>
        <v>24.496628100000002</v>
      </c>
      <c r="Q44" s="143">
        <f t="shared" si="38"/>
        <v>33.841625000000001</v>
      </c>
      <c r="R44" s="113">
        <f t="shared" si="15"/>
        <v>23.689137500000001</v>
      </c>
      <c r="S44" s="1"/>
    </row>
    <row r="45" spans="1:19">
      <c r="A45" s="15" t="s">
        <v>73</v>
      </c>
      <c r="B45" s="67">
        <v>1.1659999999999999</v>
      </c>
      <c r="C45" s="121">
        <f t="shared" si="32"/>
        <v>34.665179999999999</v>
      </c>
      <c r="D45" s="122">
        <f t="shared" si="7"/>
        <v>24.265625999999997</v>
      </c>
      <c r="E45" s="121">
        <f t="shared" si="33"/>
        <v>18.539400000000001</v>
      </c>
      <c r="F45" s="122">
        <f t="shared" si="8"/>
        <v>9.2697000000000003</v>
      </c>
      <c r="G45" s="121">
        <f t="shared" si="34"/>
        <v>18.539400000000001</v>
      </c>
      <c r="H45" s="123">
        <f t="shared" si="9"/>
        <v>9.2697000000000003</v>
      </c>
      <c r="I45" s="110">
        <f t="shared" si="10"/>
        <v>34.665179999999999</v>
      </c>
      <c r="J45" s="111">
        <f t="shared" si="11"/>
        <v>24.265625999999997</v>
      </c>
      <c r="K45" s="124">
        <f t="shared" si="35"/>
        <v>34.665179999999999</v>
      </c>
      <c r="L45" s="122">
        <f t="shared" si="12"/>
        <v>24.265625999999997</v>
      </c>
      <c r="M45" s="121">
        <f t="shared" si="36"/>
        <v>34.665179999999999</v>
      </c>
      <c r="N45" s="122">
        <f t="shared" si="13"/>
        <v>24.265625999999997</v>
      </c>
      <c r="O45" s="121">
        <f t="shared" si="37"/>
        <v>34.665179999999999</v>
      </c>
      <c r="P45" s="142">
        <f t="shared" si="14"/>
        <v>24.265625999999997</v>
      </c>
      <c r="Q45" s="143">
        <f t="shared" si="38"/>
        <v>33.522500000000001</v>
      </c>
      <c r="R45" s="113">
        <f t="shared" si="15"/>
        <v>23.46575</v>
      </c>
      <c r="S45" s="1"/>
    </row>
    <row r="46" spans="1:19">
      <c r="A46" s="15" t="s">
        <v>74</v>
      </c>
      <c r="B46" s="67">
        <v>1.125</v>
      </c>
      <c r="C46" s="121">
        <f t="shared" si="32"/>
        <v>33.446249999999999</v>
      </c>
      <c r="D46" s="122">
        <f t="shared" si="7"/>
        <v>23.412375000000001</v>
      </c>
      <c r="E46" s="121">
        <f t="shared" si="33"/>
        <v>17.887499999999999</v>
      </c>
      <c r="F46" s="122">
        <f t="shared" si="8"/>
        <v>8.9437499999999996</v>
      </c>
      <c r="G46" s="121">
        <f t="shared" si="34"/>
        <v>17.887499999999999</v>
      </c>
      <c r="H46" s="123">
        <f t="shared" si="9"/>
        <v>8.9437499999999996</v>
      </c>
      <c r="I46" s="110">
        <f t="shared" si="10"/>
        <v>33.446249999999999</v>
      </c>
      <c r="J46" s="111">
        <f t="shared" si="11"/>
        <v>23.412375000000001</v>
      </c>
      <c r="K46" s="124">
        <f t="shared" si="35"/>
        <v>33.446249999999999</v>
      </c>
      <c r="L46" s="122">
        <f t="shared" si="12"/>
        <v>23.412375000000001</v>
      </c>
      <c r="M46" s="121">
        <f t="shared" si="36"/>
        <v>33.446249999999999</v>
      </c>
      <c r="N46" s="122">
        <f t="shared" si="13"/>
        <v>23.412375000000001</v>
      </c>
      <c r="O46" s="121">
        <f t="shared" si="37"/>
        <v>33.446249999999999</v>
      </c>
      <c r="P46" s="142">
        <f t="shared" si="14"/>
        <v>23.412375000000001</v>
      </c>
      <c r="Q46" s="143">
        <f t="shared" si="38"/>
        <v>32.34375</v>
      </c>
      <c r="R46" s="113">
        <f t="shared" si="15"/>
        <v>22.640625</v>
      </c>
      <c r="S46" s="1"/>
    </row>
    <row r="47" spans="1:19">
      <c r="A47" s="15" t="s">
        <v>75</v>
      </c>
      <c r="B47" s="67">
        <v>1.125</v>
      </c>
      <c r="C47" s="121">
        <f t="shared" si="32"/>
        <v>33.446249999999999</v>
      </c>
      <c r="D47" s="122">
        <f t="shared" si="7"/>
        <v>23.412375000000001</v>
      </c>
      <c r="E47" s="121">
        <f t="shared" si="33"/>
        <v>17.887499999999999</v>
      </c>
      <c r="F47" s="122">
        <f t="shared" si="8"/>
        <v>8.9437499999999996</v>
      </c>
      <c r="G47" s="121">
        <f t="shared" si="34"/>
        <v>17.887499999999999</v>
      </c>
      <c r="H47" s="123">
        <f t="shared" si="9"/>
        <v>8.9437499999999996</v>
      </c>
      <c r="I47" s="110">
        <f t="shared" si="10"/>
        <v>33.446249999999999</v>
      </c>
      <c r="J47" s="111">
        <f t="shared" si="11"/>
        <v>23.412375000000001</v>
      </c>
      <c r="K47" s="124">
        <f t="shared" si="35"/>
        <v>33.446249999999999</v>
      </c>
      <c r="L47" s="122">
        <f t="shared" si="12"/>
        <v>23.412375000000001</v>
      </c>
      <c r="M47" s="121">
        <f t="shared" si="36"/>
        <v>33.446249999999999</v>
      </c>
      <c r="N47" s="122">
        <f t="shared" si="13"/>
        <v>23.412375000000001</v>
      </c>
      <c r="O47" s="121">
        <f t="shared" si="37"/>
        <v>33.446249999999999</v>
      </c>
      <c r="P47" s="142">
        <f t="shared" si="14"/>
        <v>23.412375000000001</v>
      </c>
      <c r="Q47" s="143">
        <f t="shared" si="38"/>
        <v>32.34375</v>
      </c>
      <c r="R47" s="113">
        <f t="shared" si="15"/>
        <v>22.640625</v>
      </c>
      <c r="S47" s="1"/>
    </row>
    <row r="48" spans="1:19">
      <c r="A48" s="15" t="s">
        <v>76</v>
      </c>
      <c r="B48" s="67">
        <v>1.1599999999999999</v>
      </c>
      <c r="C48" s="121">
        <f t="shared" si="32"/>
        <v>34.486799999999995</v>
      </c>
      <c r="D48" s="122">
        <f t="shared" si="7"/>
        <v>24.140759999999997</v>
      </c>
      <c r="E48" s="121">
        <f t="shared" si="33"/>
        <v>18.443999999999999</v>
      </c>
      <c r="F48" s="122">
        <f t="shared" si="8"/>
        <v>9.2219999999999995</v>
      </c>
      <c r="G48" s="121">
        <f t="shared" si="34"/>
        <v>18.443999999999999</v>
      </c>
      <c r="H48" s="123">
        <f t="shared" si="9"/>
        <v>9.2219999999999995</v>
      </c>
      <c r="I48" s="110">
        <f t="shared" si="10"/>
        <v>34.486799999999995</v>
      </c>
      <c r="J48" s="111">
        <f t="shared" si="11"/>
        <v>24.140759999999997</v>
      </c>
      <c r="K48" s="124">
        <f t="shared" si="35"/>
        <v>34.486799999999995</v>
      </c>
      <c r="L48" s="122">
        <f t="shared" si="12"/>
        <v>24.140759999999997</v>
      </c>
      <c r="M48" s="121">
        <f t="shared" si="36"/>
        <v>34.486799999999995</v>
      </c>
      <c r="N48" s="122">
        <f t="shared" si="13"/>
        <v>24.140759999999997</v>
      </c>
      <c r="O48" s="121">
        <f t="shared" si="37"/>
        <v>34.486799999999995</v>
      </c>
      <c r="P48" s="142">
        <f t="shared" si="14"/>
        <v>24.140759999999997</v>
      </c>
      <c r="Q48" s="143">
        <f t="shared" si="38"/>
        <v>33.349999999999994</v>
      </c>
      <c r="R48" s="113">
        <f t="shared" si="15"/>
        <v>23.344999999999999</v>
      </c>
      <c r="S48" s="1"/>
    </row>
    <row r="49" spans="1:19">
      <c r="A49" s="15" t="s">
        <v>77</v>
      </c>
      <c r="B49" s="67">
        <v>1.19</v>
      </c>
      <c r="C49" s="121">
        <f t="shared" si="32"/>
        <v>35.378700000000002</v>
      </c>
      <c r="D49" s="122">
        <f t="shared" si="7"/>
        <v>24.765089999999997</v>
      </c>
      <c r="E49" s="121">
        <f t="shared" si="33"/>
        <v>18.920999999999999</v>
      </c>
      <c r="F49" s="122">
        <f t="shared" si="8"/>
        <v>9.4604999999999997</v>
      </c>
      <c r="G49" s="121">
        <f t="shared" si="34"/>
        <v>18.920999999999999</v>
      </c>
      <c r="H49" s="123">
        <f t="shared" si="9"/>
        <v>9.4604999999999997</v>
      </c>
      <c r="I49" s="110">
        <f t="shared" si="10"/>
        <v>35.378700000000002</v>
      </c>
      <c r="J49" s="111">
        <f t="shared" si="11"/>
        <v>24.765089999999997</v>
      </c>
      <c r="K49" s="124">
        <f t="shared" si="35"/>
        <v>35.378700000000002</v>
      </c>
      <c r="L49" s="122">
        <f t="shared" si="12"/>
        <v>24.765089999999997</v>
      </c>
      <c r="M49" s="121">
        <f t="shared" si="36"/>
        <v>35.378700000000002</v>
      </c>
      <c r="N49" s="122">
        <f t="shared" si="13"/>
        <v>24.765089999999997</v>
      </c>
      <c r="O49" s="121">
        <f t="shared" si="37"/>
        <v>35.378700000000002</v>
      </c>
      <c r="P49" s="142">
        <f t="shared" si="14"/>
        <v>24.765089999999997</v>
      </c>
      <c r="Q49" s="143">
        <f t="shared" si="38"/>
        <v>34.212499999999999</v>
      </c>
      <c r="R49" s="113">
        <f t="shared" si="15"/>
        <v>23.94875</v>
      </c>
      <c r="S49" s="1"/>
    </row>
    <row r="50" spans="1:19">
      <c r="A50" s="15" t="s">
        <v>78</v>
      </c>
      <c r="B50" s="67">
        <v>1.19</v>
      </c>
      <c r="C50" s="121">
        <f t="shared" si="32"/>
        <v>35.378700000000002</v>
      </c>
      <c r="D50" s="122">
        <f t="shared" si="7"/>
        <v>24.765089999999997</v>
      </c>
      <c r="E50" s="121">
        <f t="shared" si="33"/>
        <v>18.920999999999999</v>
      </c>
      <c r="F50" s="122">
        <f t="shared" si="8"/>
        <v>9.4604999999999997</v>
      </c>
      <c r="G50" s="121">
        <f t="shared" si="34"/>
        <v>18.920999999999999</v>
      </c>
      <c r="H50" s="123">
        <f t="shared" si="9"/>
        <v>9.4604999999999997</v>
      </c>
      <c r="I50" s="110">
        <f t="shared" si="10"/>
        <v>35.378700000000002</v>
      </c>
      <c r="J50" s="111">
        <f t="shared" si="11"/>
        <v>24.765089999999997</v>
      </c>
      <c r="K50" s="124">
        <f t="shared" si="35"/>
        <v>35.378700000000002</v>
      </c>
      <c r="L50" s="122">
        <f t="shared" si="12"/>
        <v>24.765089999999997</v>
      </c>
      <c r="M50" s="121">
        <f t="shared" si="36"/>
        <v>35.378700000000002</v>
      </c>
      <c r="N50" s="122">
        <f t="shared" si="13"/>
        <v>24.765089999999997</v>
      </c>
      <c r="O50" s="121">
        <f t="shared" si="37"/>
        <v>35.378700000000002</v>
      </c>
      <c r="P50" s="142">
        <f t="shared" si="14"/>
        <v>24.765089999999997</v>
      </c>
      <c r="Q50" s="143">
        <f t="shared" si="38"/>
        <v>34.212499999999999</v>
      </c>
      <c r="R50" s="113">
        <f t="shared" si="15"/>
        <v>23.94875</v>
      </c>
      <c r="S50" s="1"/>
    </row>
    <row r="51" spans="1:19">
      <c r="A51" s="15" t="s">
        <v>79</v>
      </c>
      <c r="B51" s="67">
        <v>1.1911</v>
      </c>
      <c r="C51" s="121">
        <f t="shared" si="32"/>
        <v>35.411403</v>
      </c>
      <c r="D51" s="122">
        <f t="shared" si="7"/>
        <v>24.787982100000001</v>
      </c>
      <c r="E51" s="121">
        <f t="shared" si="33"/>
        <v>18.938490000000002</v>
      </c>
      <c r="F51" s="122">
        <f t="shared" si="8"/>
        <v>9.4692450000000008</v>
      </c>
      <c r="G51" s="121">
        <f t="shared" si="34"/>
        <v>18.938490000000002</v>
      </c>
      <c r="H51" s="123">
        <f t="shared" si="9"/>
        <v>9.4692450000000008</v>
      </c>
      <c r="I51" s="110">
        <f t="shared" si="10"/>
        <v>35.411403</v>
      </c>
      <c r="J51" s="111">
        <f t="shared" si="11"/>
        <v>24.787982100000001</v>
      </c>
      <c r="K51" s="124">
        <f t="shared" si="35"/>
        <v>35.411403</v>
      </c>
      <c r="L51" s="122">
        <f t="shared" si="12"/>
        <v>24.787982100000001</v>
      </c>
      <c r="M51" s="121">
        <f t="shared" si="36"/>
        <v>35.411403</v>
      </c>
      <c r="N51" s="122">
        <f t="shared" si="13"/>
        <v>24.787982100000001</v>
      </c>
      <c r="O51" s="121">
        <f t="shared" si="37"/>
        <v>35.411403</v>
      </c>
      <c r="P51" s="142">
        <f t="shared" si="14"/>
        <v>24.787982100000001</v>
      </c>
      <c r="Q51" s="143">
        <f t="shared" si="38"/>
        <v>34.244125000000004</v>
      </c>
      <c r="R51" s="113">
        <f t="shared" si="15"/>
        <v>23.9708875</v>
      </c>
      <c r="S51" s="1"/>
    </row>
    <row r="52" spans="1:19">
      <c r="A52" s="15" t="s">
        <v>80</v>
      </c>
      <c r="B52" s="67">
        <v>1.091</v>
      </c>
      <c r="C52" s="121">
        <f t="shared" si="32"/>
        <v>32.435429999999997</v>
      </c>
      <c r="D52" s="122">
        <f t="shared" si="7"/>
        <v>22.704801</v>
      </c>
      <c r="E52" s="121">
        <f t="shared" si="33"/>
        <v>17.346900000000002</v>
      </c>
      <c r="F52" s="122">
        <f t="shared" si="8"/>
        <v>8.6734500000000008</v>
      </c>
      <c r="G52" s="121">
        <f t="shared" si="34"/>
        <v>17.346900000000002</v>
      </c>
      <c r="H52" s="123">
        <f t="shared" si="9"/>
        <v>8.6734500000000008</v>
      </c>
      <c r="I52" s="110">
        <f t="shared" si="10"/>
        <v>32.435429999999997</v>
      </c>
      <c r="J52" s="111">
        <f t="shared" si="11"/>
        <v>22.704801</v>
      </c>
      <c r="K52" s="124">
        <f t="shared" si="35"/>
        <v>32.435429999999997</v>
      </c>
      <c r="L52" s="122">
        <f t="shared" si="12"/>
        <v>22.704801</v>
      </c>
      <c r="M52" s="121">
        <f t="shared" si="36"/>
        <v>32.435429999999997</v>
      </c>
      <c r="N52" s="122">
        <f t="shared" si="13"/>
        <v>22.704801</v>
      </c>
      <c r="O52" s="121">
        <f t="shared" si="37"/>
        <v>32.435429999999997</v>
      </c>
      <c r="P52" s="142">
        <f t="shared" si="14"/>
        <v>22.704801</v>
      </c>
      <c r="Q52" s="143">
        <f t="shared" si="38"/>
        <v>31.366250000000001</v>
      </c>
      <c r="R52" s="113">
        <f t="shared" si="15"/>
        <v>21.956374999999998</v>
      </c>
      <c r="S52" s="1"/>
    </row>
    <row r="53" spans="1:19">
      <c r="A53" s="16" t="s">
        <v>9</v>
      </c>
      <c r="B53" s="68">
        <v>1.33</v>
      </c>
      <c r="C53" s="121">
        <f t="shared" si="32"/>
        <v>39.540900000000001</v>
      </c>
      <c r="D53" s="122">
        <f t="shared" si="7"/>
        <v>27.678630000000002</v>
      </c>
      <c r="E53" s="121">
        <f t="shared" si="33"/>
        <v>21.147000000000002</v>
      </c>
      <c r="F53" s="122">
        <f t="shared" si="8"/>
        <v>10.573500000000001</v>
      </c>
      <c r="G53" s="121">
        <f t="shared" si="34"/>
        <v>21.147000000000002</v>
      </c>
      <c r="H53" s="123">
        <f t="shared" si="9"/>
        <v>10.573500000000001</v>
      </c>
      <c r="I53" s="110">
        <f t="shared" si="10"/>
        <v>39.540900000000001</v>
      </c>
      <c r="J53" s="111">
        <f t="shared" si="11"/>
        <v>27.678630000000002</v>
      </c>
      <c r="K53" s="124">
        <f t="shared" si="35"/>
        <v>39.540900000000001</v>
      </c>
      <c r="L53" s="122">
        <f t="shared" si="12"/>
        <v>27.678630000000002</v>
      </c>
      <c r="M53" s="121">
        <f t="shared" si="36"/>
        <v>39.540900000000001</v>
      </c>
      <c r="N53" s="122">
        <f t="shared" si="13"/>
        <v>27.678630000000002</v>
      </c>
      <c r="O53" s="121">
        <f t="shared" si="37"/>
        <v>39.540900000000001</v>
      </c>
      <c r="P53" s="142">
        <f t="shared" si="14"/>
        <v>27.678630000000002</v>
      </c>
      <c r="Q53" s="143">
        <f t="shared" si="38"/>
        <v>38.237500000000004</v>
      </c>
      <c r="R53" s="113">
        <f t="shared" si="15"/>
        <v>26.766250000000003</v>
      </c>
      <c r="S53" s="1"/>
    </row>
    <row r="54" spans="1:19">
      <c r="A54" s="16" t="s">
        <v>108</v>
      </c>
      <c r="B54" s="67">
        <v>0.87480000000000002</v>
      </c>
      <c r="C54" s="121">
        <f t="shared" si="32"/>
        <v>26.007804</v>
      </c>
      <c r="D54" s="122">
        <f t="shared" si="7"/>
        <v>18.205462799999999</v>
      </c>
      <c r="E54" s="121">
        <f t="shared" si="33"/>
        <v>13.909320000000001</v>
      </c>
      <c r="F54" s="122">
        <f t="shared" si="8"/>
        <v>6.9546600000000005</v>
      </c>
      <c r="G54" s="121">
        <f t="shared" si="34"/>
        <v>13.909320000000001</v>
      </c>
      <c r="H54" s="123">
        <f t="shared" si="9"/>
        <v>6.9546600000000005</v>
      </c>
      <c r="I54" s="110">
        <f t="shared" si="10"/>
        <v>26.007804</v>
      </c>
      <c r="J54" s="111">
        <f t="shared" si="11"/>
        <v>18.205462799999999</v>
      </c>
      <c r="K54" s="124">
        <f t="shared" si="35"/>
        <v>26.007804</v>
      </c>
      <c r="L54" s="122">
        <f t="shared" si="12"/>
        <v>18.205462799999999</v>
      </c>
      <c r="M54" s="121">
        <f t="shared" si="36"/>
        <v>26.007804</v>
      </c>
      <c r="N54" s="122">
        <f t="shared" si="13"/>
        <v>18.205462799999999</v>
      </c>
      <c r="O54" s="121">
        <f t="shared" si="37"/>
        <v>26.007804</v>
      </c>
      <c r="P54" s="142">
        <f t="shared" si="14"/>
        <v>18.205462799999999</v>
      </c>
      <c r="Q54" s="143">
        <f t="shared" si="38"/>
        <v>25.150500000000001</v>
      </c>
      <c r="R54" s="113">
        <f t="shared" si="15"/>
        <v>17.605350000000001</v>
      </c>
      <c r="S54" s="1"/>
    </row>
    <row r="55" spans="1:19">
      <c r="A55" s="16" t="s">
        <v>109</v>
      </c>
      <c r="B55" s="67">
        <v>0.88529999999999998</v>
      </c>
      <c r="C55" s="121">
        <f t="shared" si="32"/>
        <v>26.319969</v>
      </c>
      <c r="D55" s="122">
        <f t="shared" si="7"/>
        <v>18.423978299999998</v>
      </c>
      <c r="E55" s="121">
        <f t="shared" si="33"/>
        <v>14.076269999999999</v>
      </c>
      <c r="F55" s="122">
        <f t="shared" si="8"/>
        <v>7.0381349999999996</v>
      </c>
      <c r="G55" s="121">
        <f t="shared" si="34"/>
        <v>14.076269999999999</v>
      </c>
      <c r="H55" s="123">
        <f t="shared" si="9"/>
        <v>7.0381349999999996</v>
      </c>
      <c r="I55" s="110">
        <f t="shared" si="10"/>
        <v>26.319969</v>
      </c>
      <c r="J55" s="111">
        <f t="shared" si="11"/>
        <v>18.423978299999998</v>
      </c>
      <c r="K55" s="124">
        <f t="shared" si="35"/>
        <v>26.319969</v>
      </c>
      <c r="L55" s="122">
        <f t="shared" si="12"/>
        <v>18.423978299999998</v>
      </c>
      <c r="M55" s="121">
        <f t="shared" si="36"/>
        <v>26.319969</v>
      </c>
      <c r="N55" s="122">
        <f t="shared" si="13"/>
        <v>18.423978299999998</v>
      </c>
      <c r="O55" s="121">
        <f t="shared" si="37"/>
        <v>26.319969</v>
      </c>
      <c r="P55" s="142">
        <f t="shared" si="14"/>
        <v>18.423978299999998</v>
      </c>
      <c r="Q55" s="143">
        <f t="shared" si="38"/>
        <v>25.452375</v>
      </c>
      <c r="R55" s="113">
        <f t="shared" si="15"/>
        <v>17.8166625</v>
      </c>
      <c r="S55" s="1"/>
    </row>
    <row r="56" spans="1:19">
      <c r="A56" s="16" t="s">
        <v>110</v>
      </c>
      <c r="B56" s="67">
        <v>0.89229999999999998</v>
      </c>
      <c r="C56" s="121">
        <f t="shared" si="32"/>
        <v>26.528078999999998</v>
      </c>
      <c r="D56" s="122">
        <f t="shared" si="7"/>
        <v>18.569655300000001</v>
      </c>
      <c r="E56" s="121">
        <f t="shared" si="33"/>
        <v>14.187570000000001</v>
      </c>
      <c r="F56" s="122">
        <f t="shared" si="8"/>
        <v>7.0937850000000005</v>
      </c>
      <c r="G56" s="121">
        <f t="shared" si="34"/>
        <v>14.187570000000001</v>
      </c>
      <c r="H56" s="123">
        <f t="shared" si="9"/>
        <v>7.0937850000000005</v>
      </c>
      <c r="I56" s="110">
        <f t="shared" si="10"/>
        <v>26.528078999999998</v>
      </c>
      <c r="J56" s="111">
        <f t="shared" si="11"/>
        <v>18.569655300000001</v>
      </c>
      <c r="K56" s="124">
        <f t="shared" si="35"/>
        <v>26.528078999999998</v>
      </c>
      <c r="L56" s="122">
        <f t="shared" si="12"/>
        <v>18.569655300000001</v>
      </c>
      <c r="M56" s="121">
        <f t="shared" si="36"/>
        <v>26.528078999999998</v>
      </c>
      <c r="N56" s="122">
        <f t="shared" si="13"/>
        <v>18.569655300000001</v>
      </c>
      <c r="O56" s="121">
        <f t="shared" si="37"/>
        <v>26.528078999999998</v>
      </c>
      <c r="P56" s="142">
        <f t="shared" si="14"/>
        <v>18.569655300000001</v>
      </c>
      <c r="Q56" s="143">
        <f t="shared" si="38"/>
        <v>25.653624999999998</v>
      </c>
      <c r="R56" s="113">
        <f t="shared" si="15"/>
        <v>17.957537500000001</v>
      </c>
      <c r="S56" s="1"/>
    </row>
    <row r="57" spans="1:19">
      <c r="A57" s="16" t="s">
        <v>111</v>
      </c>
      <c r="B57" s="67">
        <v>0.92049999999999998</v>
      </c>
      <c r="C57" s="121">
        <f t="shared" si="32"/>
        <v>27.366465000000002</v>
      </c>
      <c r="D57" s="122">
        <f t="shared" si="7"/>
        <v>19.156525500000001</v>
      </c>
      <c r="E57" s="121">
        <f t="shared" si="33"/>
        <v>14.635949999999999</v>
      </c>
      <c r="F57" s="122">
        <f t="shared" si="8"/>
        <v>7.3179749999999997</v>
      </c>
      <c r="G57" s="121">
        <f t="shared" si="34"/>
        <v>14.635949999999999</v>
      </c>
      <c r="H57" s="123">
        <f t="shared" si="9"/>
        <v>7.3179749999999997</v>
      </c>
      <c r="I57" s="110">
        <f t="shared" si="10"/>
        <v>27.366465000000002</v>
      </c>
      <c r="J57" s="111">
        <f t="shared" si="11"/>
        <v>19.156525500000001</v>
      </c>
      <c r="K57" s="124">
        <f t="shared" si="35"/>
        <v>27.366465000000002</v>
      </c>
      <c r="L57" s="122">
        <f t="shared" si="12"/>
        <v>19.156525500000001</v>
      </c>
      <c r="M57" s="121">
        <f t="shared" si="36"/>
        <v>27.366465000000002</v>
      </c>
      <c r="N57" s="122">
        <f t="shared" si="13"/>
        <v>19.156525500000001</v>
      </c>
      <c r="O57" s="121">
        <f t="shared" si="37"/>
        <v>27.366465000000002</v>
      </c>
      <c r="P57" s="142">
        <f t="shared" si="14"/>
        <v>19.156525500000001</v>
      </c>
      <c r="Q57" s="143">
        <f t="shared" si="38"/>
        <v>26.464375</v>
      </c>
      <c r="R57" s="113">
        <f t="shared" si="15"/>
        <v>18.525062500000001</v>
      </c>
      <c r="S57" s="1"/>
    </row>
    <row r="58" spans="1:19">
      <c r="A58" s="16" t="s">
        <v>14</v>
      </c>
      <c r="B58" s="68">
        <v>1.32</v>
      </c>
      <c r="C58" s="121">
        <f t="shared" si="32"/>
        <v>39.243600000000001</v>
      </c>
      <c r="D58" s="122">
        <f t="shared" si="7"/>
        <v>27.47052</v>
      </c>
      <c r="E58" s="121">
        <f t="shared" si="33"/>
        <v>20.988000000000003</v>
      </c>
      <c r="F58" s="122">
        <f t="shared" si="8"/>
        <v>10.494000000000002</v>
      </c>
      <c r="G58" s="121">
        <f t="shared" si="34"/>
        <v>20.988000000000003</v>
      </c>
      <c r="H58" s="123">
        <f t="shared" si="9"/>
        <v>10.494000000000002</v>
      </c>
      <c r="I58" s="110">
        <f t="shared" si="10"/>
        <v>39.243600000000001</v>
      </c>
      <c r="J58" s="111">
        <f t="shared" si="11"/>
        <v>27.47052</v>
      </c>
      <c r="K58" s="124">
        <f t="shared" si="35"/>
        <v>39.243600000000001</v>
      </c>
      <c r="L58" s="122">
        <f t="shared" si="12"/>
        <v>27.47052</v>
      </c>
      <c r="M58" s="121">
        <f t="shared" si="36"/>
        <v>39.243600000000001</v>
      </c>
      <c r="N58" s="122">
        <f t="shared" si="13"/>
        <v>27.47052</v>
      </c>
      <c r="O58" s="121">
        <f t="shared" si="37"/>
        <v>39.243600000000001</v>
      </c>
      <c r="P58" s="142">
        <f t="shared" si="14"/>
        <v>27.47052</v>
      </c>
      <c r="Q58" s="143">
        <f t="shared" si="38"/>
        <v>37.950000000000003</v>
      </c>
      <c r="R58" s="113">
        <f t="shared" si="15"/>
        <v>26.565000000000001</v>
      </c>
      <c r="S58" s="1"/>
    </row>
    <row r="59" spans="1:19">
      <c r="A59" s="16" t="s">
        <v>15</v>
      </c>
      <c r="B59" s="68">
        <v>1.33</v>
      </c>
      <c r="C59" s="121">
        <f t="shared" si="32"/>
        <v>39.540900000000001</v>
      </c>
      <c r="D59" s="122">
        <f t="shared" si="7"/>
        <v>27.678630000000002</v>
      </c>
      <c r="E59" s="121">
        <f t="shared" si="33"/>
        <v>21.147000000000002</v>
      </c>
      <c r="F59" s="122">
        <f t="shared" si="8"/>
        <v>10.573500000000001</v>
      </c>
      <c r="G59" s="121">
        <f t="shared" si="34"/>
        <v>21.147000000000002</v>
      </c>
      <c r="H59" s="123">
        <f t="shared" si="9"/>
        <v>10.573500000000001</v>
      </c>
      <c r="I59" s="110">
        <f t="shared" si="10"/>
        <v>39.540900000000001</v>
      </c>
      <c r="J59" s="111">
        <f t="shared" si="11"/>
        <v>27.678630000000002</v>
      </c>
      <c r="K59" s="124">
        <f t="shared" si="35"/>
        <v>39.540900000000001</v>
      </c>
      <c r="L59" s="122">
        <f t="shared" si="12"/>
        <v>27.678630000000002</v>
      </c>
      <c r="M59" s="121">
        <f t="shared" si="36"/>
        <v>39.540900000000001</v>
      </c>
      <c r="N59" s="122">
        <f t="shared" si="13"/>
        <v>27.678630000000002</v>
      </c>
      <c r="O59" s="121">
        <f t="shared" si="37"/>
        <v>39.540900000000001</v>
      </c>
      <c r="P59" s="142">
        <f t="shared" si="14"/>
        <v>27.678630000000002</v>
      </c>
      <c r="Q59" s="143">
        <f t="shared" si="38"/>
        <v>38.237500000000004</v>
      </c>
      <c r="R59" s="113">
        <f t="shared" si="15"/>
        <v>26.766250000000003</v>
      </c>
      <c r="S59" s="1"/>
    </row>
    <row r="60" spans="1:19">
      <c r="A60" s="14" t="s">
        <v>16</v>
      </c>
      <c r="B60" s="68">
        <v>1.25</v>
      </c>
      <c r="C60" s="121">
        <f t="shared" si="32"/>
        <v>37.162500000000001</v>
      </c>
      <c r="D60" s="122">
        <f t="shared" si="7"/>
        <v>26.013750000000002</v>
      </c>
      <c r="E60" s="121">
        <f t="shared" si="33"/>
        <v>19.875</v>
      </c>
      <c r="F60" s="122">
        <f t="shared" si="8"/>
        <v>9.9375</v>
      </c>
      <c r="G60" s="121">
        <f t="shared" si="34"/>
        <v>19.875</v>
      </c>
      <c r="H60" s="123">
        <f t="shared" si="9"/>
        <v>9.9375</v>
      </c>
      <c r="I60" s="110">
        <f t="shared" si="10"/>
        <v>37.162500000000001</v>
      </c>
      <c r="J60" s="111">
        <f t="shared" si="11"/>
        <v>26.013750000000002</v>
      </c>
      <c r="K60" s="124">
        <f t="shared" si="35"/>
        <v>37.162500000000001</v>
      </c>
      <c r="L60" s="122">
        <f t="shared" si="12"/>
        <v>26.013750000000002</v>
      </c>
      <c r="M60" s="121">
        <f t="shared" si="36"/>
        <v>37.162500000000001</v>
      </c>
      <c r="N60" s="122">
        <f t="shared" si="13"/>
        <v>26.013750000000002</v>
      </c>
      <c r="O60" s="121">
        <f t="shared" si="37"/>
        <v>37.162500000000001</v>
      </c>
      <c r="P60" s="142">
        <f t="shared" si="14"/>
        <v>26.013750000000002</v>
      </c>
      <c r="Q60" s="143">
        <f t="shared" si="38"/>
        <v>35.9375</v>
      </c>
      <c r="R60" s="113">
        <f t="shared" si="15"/>
        <v>25.15625</v>
      </c>
      <c r="S60" s="1"/>
    </row>
    <row r="61" spans="1:19">
      <c r="A61" s="14" t="s">
        <v>17</v>
      </c>
      <c r="B61" s="68">
        <v>1.01</v>
      </c>
      <c r="C61" s="121">
        <f t="shared" si="32"/>
        <v>30.0273</v>
      </c>
      <c r="D61" s="122">
        <f t="shared" si="7"/>
        <v>21.019110000000001</v>
      </c>
      <c r="E61" s="121">
        <f t="shared" si="33"/>
        <v>16.059000000000001</v>
      </c>
      <c r="F61" s="122">
        <f t="shared" si="8"/>
        <v>8.0295000000000005</v>
      </c>
      <c r="G61" s="121">
        <f t="shared" si="34"/>
        <v>16.059000000000001</v>
      </c>
      <c r="H61" s="123">
        <f t="shared" si="9"/>
        <v>8.0295000000000005</v>
      </c>
      <c r="I61" s="110">
        <f t="shared" si="10"/>
        <v>30.0273</v>
      </c>
      <c r="J61" s="111">
        <f t="shared" si="11"/>
        <v>21.019110000000001</v>
      </c>
      <c r="K61" s="124">
        <f t="shared" si="35"/>
        <v>30.0273</v>
      </c>
      <c r="L61" s="122">
        <f t="shared" si="12"/>
        <v>21.019110000000001</v>
      </c>
      <c r="M61" s="121">
        <f t="shared" si="36"/>
        <v>30.0273</v>
      </c>
      <c r="N61" s="122">
        <f t="shared" si="13"/>
        <v>21.019110000000001</v>
      </c>
      <c r="O61" s="121">
        <f t="shared" si="37"/>
        <v>30.0273</v>
      </c>
      <c r="P61" s="142">
        <f t="shared" si="14"/>
        <v>21.019110000000001</v>
      </c>
      <c r="Q61" s="143">
        <f t="shared" si="38"/>
        <v>29.037500000000001</v>
      </c>
      <c r="R61" s="113">
        <f t="shared" si="15"/>
        <v>20.326250000000002</v>
      </c>
      <c r="S61" s="1"/>
    </row>
    <row r="62" spans="1:19">
      <c r="A62" s="17" t="s">
        <v>18</v>
      </c>
      <c r="B62" s="68">
        <v>0.72</v>
      </c>
      <c r="C62" s="121">
        <f t="shared" si="32"/>
        <v>21.4056</v>
      </c>
      <c r="D62" s="122">
        <f t="shared" si="7"/>
        <v>14.983919999999999</v>
      </c>
      <c r="E62" s="121">
        <f t="shared" si="33"/>
        <v>11.448</v>
      </c>
      <c r="F62" s="122">
        <f t="shared" si="8"/>
        <v>5.7240000000000002</v>
      </c>
      <c r="G62" s="121">
        <f t="shared" si="34"/>
        <v>11.448</v>
      </c>
      <c r="H62" s="123">
        <f t="shared" si="9"/>
        <v>5.7240000000000002</v>
      </c>
      <c r="I62" s="110">
        <f t="shared" si="10"/>
        <v>21.4056</v>
      </c>
      <c r="J62" s="111">
        <f t="shared" si="11"/>
        <v>14.983919999999999</v>
      </c>
      <c r="K62" s="124">
        <f t="shared" si="35"/>
        <v>21.4056</v>
      </c>
      <c r="L62" s="122">
        <f t="shared" si="12"/>
        <v>14.983919999999999</v>
      </c>
      <c r="M62" s="121">
        <f t="shared" si="36"/>
        <v>21.4056</v>
      </c>
      <c r="N62" s="122">
        <f t="shared" si="13"/>
        <v>14.983919999999999</v>
      </c>
      <c r="O62" s="121">
        <f t="shared" si="37"/>
        <v>21.4056</v>
      </c>
      <c r="P62" s="142">
        <f t="shared" si="14"/>
        <v>14.983919999999999</v>
      </c>
      <c r="Q62" s="143">
        <f t="shared" si="38"/>
        <v>20.7</v>
      </c>
      <c r="R62" s="113">
        <f t="shared" si="15"/>
        <v>14.49</v>
      </c>
      <c r="S62" s="1"/>
    </row>
    <row r="63" spans="1:19">
      <c r="A63" s="16" t="s">
        <v>19</v>
      </c>
      <c r="B63" s="68">
        <v>1.41</v>
      </c>
      <c r="C63" s="121">
        <f t="shared" si="32"/>
        <v>41.9193</v>
      </c>
      <c r="D63" s="122">
        <f t="shared" si="7"/>
        <v>29.343509999999998</v>
      </c>
      <c r="E63" s="121">
        <f t="shared" si="33"/>
        <v>22.419</v>
      </c>
      <c r="F63" s="122">
        <f t="shared" si="8"/>
        <v>11.2095</v>
      </c>
      <c r="G63" s="121">
        <f t="shared" si="34"/>
        <v>22.419</v>
      </c>
      <c r="H63" s="123">
        <f t="shared" si="9"/>
        <v>11.2095</v>
      </c>
      <c r="I63" s="110">
        <f t="shared" si="10"/>
        <v>41.9193</v>
      </c>
      <c r="J63" s="111">
        <f t="shared" si="11"/>
        <v>29.343509999999998</v>
      </c>
      <c r="K63" s="124">
        <f t="shared" si="35"/>
        <v>41.9193</v>
      </c>
      <c r="L63" s="122">
        <f t="shared" si="12"/>
        <v>29.343509999999998</v>
      </c>
      <c r="M63" s="121">
        <f t="shared" si="36"/>
        <v>41.9193</v>
      </c>
      <c r="N63" s="122">
        <f t="shared" si="13"/>
        <v>29.343509999999998</v>
      </c>
      <c r="O63" s="121">
        <f t="shared" si="37"/>
        <v>41.9193</v>
      </c>
      <c r="P63" s="142">
        <f t="shared" si="14"/>
        <v>29.343509999999998</v>
      </c>
      <c r="Q63" s="143">
        <f t="shared" si="38"/>
        <v>40.537499999999994</v>
      </c>
      <c r="R63" s="113">
        <f t="shared" si="15"/>
        <v>28.376249999999999</v>
      </c>
      <c r="S63" s="1"/>
    </row>
    <row r="64" spans="1:19">
      <c r="A64" s="14" t="s">
        <v>20</v>
      </c>
      <c r="B64" s="67">
        <v>0.93479999999999996</v>
      </c>
      <c r="C64" s="121">
        <f t="shared" si="32"/>
        <v>27.791604</v>
      </c>
      <c r="D64" s="122">
        <f t="shared" si="7"/>
        <v>19.4541228</v>
      </c>
      <c r="E64" s="121">
        <f t="shared" si="33"/>
        <v>14.86332</v>
      </c>
      <c r="F64" s="122">
        <f t="shared" si="8"/>
        <v>7.4316599999999999</v>
      </c>
      <c r="G64" s="121">
        <f t="shared" si="34"/>
        <v>14.86332</v>
      </c>
      <c r="H64" s="123">
        <f t="shared" si="9"/>
        <v>7.4316599999999999</v>
      </c>
      <c r="I64" s="110">
        <f t="shared" si="10"/>
        <v>27.791604</v>
      </c>
      <c r="J64" s="111">
        <f t="shared" si="11"/>
        <v>19.4541228</v>
      </c>
      <c r="K64" s="124">
        <f t="shared" si="35"/>
        <v>27.791604</v>
      </c>
      <c r="L64" s="122">
        <f t="shared" si="12"/>
        <v>19.4541228</v>
      </c>
      <c r="M64" s="121">
        <f t="shared" si="36"/>
        <v>27.791604</v>
      </c>
      <c r="N64" s="122">
        <f t="shared" si="13"/>
        <v>19.4541228</v>
      </c>
      <c r="O64" s="121">
        <f t="shared" si="37"/>
        <v>27.791604</v>
      </c>
      <c r="P64" s="142">
        <f t="shared" si="14"/>
        <v>19.4541228</v>
      </c>
      <c r="Q64" s="143">
        <f t="shared" si="38"/>
        <v>26.875499999999999</v>
      </c>
      <c r="R64" s="113">
        <f t="shared" si="15"/>
        <v>18.812850000000001</v>
      </c>
      <c r="S64" s="1"/>
    </row>
    <row r="65" spans="1:19">
      <c r="A65" s="14" t="s">
        <v>21</v>
      </c>
      <c r="B65" s="67">
        <v>0.89559999999999995</v>
      </c>
      <c r="C65" s="121">
        <f t="shared" si="32"/>
        <v>26.626187999999999</v>
      </c>
      <c r="D65" s="122">
        <f t="shared" si="7"/>
        <v>18.638331599999997</v>
      </c>
      <c r="E65" s="121">
        <f t="shared" si="33"/>
        <v>14.240039999999999</v>
      </c>
      <c r="F65" s="122">
        <f t="shared" si="8"/>
        <v>7.1200199999999993</v>
      </c>
      <c r="G65" s="121">
        <f t="shared" si="34"/>
        <v>14.240039999999999</v>
      </c>
      <c r="H65" s="123">
        <f t="shared" si="9"/>
        <v>7.1200199999999993</v>
      </c>
      <c r="I65" s="110">
        <f t="shared" si="10"/>
        <v>26.626187999999999</v>
      </c>
      <c r="J65" s="111">
        <f t="shared" si="11"/>
        <v>18.638331599999997</v>
      </c>
      <c r="K65" s="124">
        <f t="shared" si="35"/>
        <v>26.626187999999999</v>
      </c>
      <c r="L65" s="122">
        <f t="shared" si="12"/>
        <v>18.638331599999997</v>
      </c>
      <c r="M65" s="121">
        <f t="shared" si="36"/>
        <v>26.626187999999999</v>
      </c>
      <c r="N65" s="122">
        <f t="shared" si="13"/>
        <v>18.638331599999997</v>
      </c>
      <c r="O65" s="121">
        <f t="shared" si="37"/>
        <v>26.626187999999999</v>
      </c>
      <c r="P65" s="142">
        <f t="shared" si="14"/>
        <v>18.638331599999997</v>
      </c>
      <c r="Q65" s="143">
        <f t="shared" si="38"/>
        <v>25.7485</v>
      </c>
      <c r="R65" s="113">
        <f t="shared" si="15"/>
        <v>18.023949999999999</v>
      </c>
      <c r="S65" s="1"/>
    </row>
    <row r="66" spans="1:19">
      <c r="A66" s="14" t="s">
        <v>53</v>
      </c>
      <c r="B66" s="67">
        <v>0.503</v>
      </c>
      <c r="C66" s="121">
        <f t="shared" si="32"/>
        <v>14.954190000000001</v>
      </c>
      <c r="D66" s="122">
        <f t="shared" si="7"/>
        <v>10.467933</v>
      </c>
      <c r="E66" s="121">
        <f t="shared" si="33"/>
        <v>7.9977</v>
      </c>
      <c r="F66" s="122">
        <f t="shared" si="8"/>
        <v>3.99885</v>
      </c>
      <c r="G66" s="121">
        <f t="shared" si="34"/>
        <v>7.9977</v>
      </c>
      <c r="H66" s="123">
        <f t="shared" si="9"/>
        <v>3.99885</v>
      </c>
      <c r="I66" s="110">
        <f t="shared" si="10"/>
        <v>14.954190000000001</v>
      </c>
      <c r="J66" s="111">
        <f t="shared" si="11"/>
        <v>10.467933</v>
      </c>
      <c r="K66" s="124">
        <f t="shared" si="35"/>
        <v>14.954190000000001</v>
      </c>
      <c r="L66" s="122">
        <f t="shared" si="12"/>
        <v>10.467933</v>
      </c>
      <c r="M66" s="121">
        <f t="shared" si="36"/>
        <v>14.954190000000001</v>
      </c>
      <c r="N66" s="122">
        <f t="shared" si="13"/>
        <v>10.467933</v>
      </c>
      <c r="O66" s="121">
        <f t="shared" si="37"/>
        <v>14.954190000000001</v>
      </c>
      <c r="P66" s="142">
        <f t="shared" si="14"/>
        <v>10.467933</v>
      </c>
      <c r="Q66" s="143">
        <f t="shared" si="38"/>
        <v>14.46125</v>
      </c>
      <c r="R66" s="113">
        <f t="shared" si="15"/>
        <v>10.122875000000001</v>
      </c>
      <c r="S66" s="1"/>
    </row>
    <row r="67" spans="1:19">
      <c r="A67" s="83" t="s">
        <v>81</v>
      </c>
      <c r="B67" s="67">
        <v>0.74490000000000001</v>
      </c>
      <c r="C67" s="121">
        <f t="shared" si="32"/>
        <v>22.145877000000002</v>
      </c>
      <c r="D67" s="122">
        <f t="shared" si="7"/>
        <v>15.502113899999999</v>
      </c>
      <c r="E67" s="121">
        <f t="shared" si="33"/>
        <v>11.843910000000001</v>
      </c>
      <c r="F67" s="122">
        <f t="shared" si="8"/>
        <v>5.9219550000000005</v>
      </c>
      <c r="G67" s="121">
        <f t="shared" si="34"/>
        <v>11.843910000000001</v>
      </c>
      <c r="H67" s="123">
        <f t="shared" si="9"/>
        <v>5.9219550000000005</v>
      </c>
      <c r="I67" s="110">
        <f t="shared" si="10"/>
        <v>22.145877000000002</v>
      </c>
      <c r="J67" s="111">
        <f t="shared" si="11"/>
        <v>15.502113899999999</v>
      </c>
      <c r="K67" s="124">
        <f t="shared" si="35"/>
        <v>22.145877000000002</v>
      </c>
      <c r="L67" s="122">
        <f t="shared" si="12"/>
        <v>15.502113899999999</v>
      </c>
      <c r="M67" s="121">
        <f t="shared" si="36"/>
        <v>22.145877000000002</v>
      </c>
      <c r="N67" s="122">
        <f t="shared" si="13"/>
        <v>15.502113899999999</v>
      </c>
      <c r="O67" s="121">
        <f t="shared" si="37"/>
        <v>22.145877000000002</v>
      </c>
      <c r="P67" s="142">
        <f t="shared" si="14"/>
        <v>15.502113899999999</v>
      </c>
      <c r="Q67" s="143">
        <f t="shared" si="38"/>
        <v>21.415875</v>
      </c>
      <c r="R67" s="113">
        <f t="shared" si="15"/>
        <v>14.9911125</v>
      </c>
      <c r="S67" s="1"/>
    </row>
    <row r="68" spans="1:19">
      <c r="A68" s="83" t="s">
        <v>22</v>
      </c>
      <c r="B68" s="67">
        <v>0.74960000000000004</v>
      </c>
      <c r="C68" s="121">
        <f t="shared" si="32"/>
        <v>22.285608</v>
      </c>
      <c r="D68" s="122">
        <f t="shared" si="7"/>
        <v>15.599925600000001</v>
      </c>
      <c r="E68" s="121">
        <f t="shared" si="33"/>
        <v>11.918640000000002</v>
      </c>
      <c r="F68" s="122">
        <f t="shared" si="8"/>
        <v>5.9593200000000008</v>
      </c>
      <c r="G68" s="121">
        <f t="shared" si="34"/>
        <v>11.918640000000002</v>
      </c>
      <c r="H68" s="123">
        <f t="shared" si="9"/>
        <v>5.9593200000000008</v>
      </c>
      <c r="I68" s="110">
        <f t="shared" si="10"/>
        <v>22.285608</v>
      </c>
      <c r="J68" s="111">
        <f t="shared" si="11"/>
        <v>15.599925600000001</v>
      </c>
      <c r="K68" s="124">
        <f t="shared" si="35"/>
        <v>22.285608</v>
      </c>
      <c r="L68" s="122">
        <f t="shared" si="12"/>
        <v>15.599925600000001</v>
      </c>
      <c r="M68" s="121">
        <f t="shared" si="36"/>
        <v>22.285608</v>
      </c>
      <c r="N68" s="122">
        <f t="shared" si="13"/>
        <v>15.599925600000001</v>
      </c>
      <c r="O68" s="121">
        <f t="shared" si="37"/>
        <v>22.285608</v>
      </c>
      <c r="P68" s="142">
        <f t="shared" si="14"/>
        <v>15.599925600000001</v>
      </c>
      <c r="Q68" s="143">
        <f t="shared" si="38"/>
        <v>21.551000000000002</v>
      </c>
      <c r="R68" s="113">
        <f t="shared" si="15"/>
        <v>15.085700000000001</v>
      </c>
      <c r="S68" s="1"/>
    </row>
    <row r="69" spans="1:19">
      <c r="A69" s="83" t="s">
        <v>82</v>
      </c>
      <c r="B69" s="67">
        <v>0.57699999999999996</v>
      </c>
      <c r="C69" s="121">
        <f t="shared" si="32"/>
        <v>17.154209999999999</v>
      </c>
      <c r="D69" s="122">
        <f t="shared" si="7"/>
        <v>12.007947</v>
      </c>
      <c r="E69" s="121">
        <f t="shared" si="33"/>
        <v>9.1742999999999988</v>
      </c>
      <c r="F69" s="122">
        <f t="shared" si="8"/>
        <v>4.5871499999999994</v>
      </c>
      <c r="G69" s="121">
        <f t="shared" si="34"/>
        <v>9.1742999999999988</v>
      </c>
      <c r="H69" s="123">
        <f t="shared" si="9"/>
        <v>4.5871499999999994</v>
      </c>
      <c r="I69" s="110">
        <f t="shared" si="10"/>
        <v>17.154209999999999</v>
      </c>
      <c r="J69" s="111">
        <f t="shared" si="11"/>
        <v>12.007947</v>
      </c>
      <c r="K69" s="124">
        <f t="shared" si="35"/>
        <v>17.154209999999999</v>
      </c>
      <c r="L69" s="122">
        <f t="shared" si="12"/>
        <v>12.007947</v>
      </c>
      <c r="M69" s="121">
        <f t="shared" si="36"/>
        <v>17.154209999999999</v>
      </c>
      <c r="N69" s="122">
        <f t="shared" si="13"/>
        <v>12.007947</v>
      </c>
      <c r="O69" s="121">
        <f t="shared" si="37"/>
        <v>17.154209999999999</v>
      </c>
      <c r="P69" s="142">
        <f t="shared" si="14"/>
        <v>12.007947</v>
      </c>
      <c r="Q69" s="143">
        <f t="shared" si="38"/>
        <v>16.588749999999997</v>
      </c>
      <c r="R69" s="113">
        <f t="shared" si="15"/>
        <v>11.612124999999999</v>
      </c>
      <c r="S69" s="1"/>
    </row>
    <row r="70" spans="1:19">
      <c r="A70" s="15" t="s">
        <v>31</v>
      </c>
      <c r="B70" s="67">
        <v>0.73</v>
      </c>
      <c r="C70" s="121">
        <f t="shared" si="32"/>
        <v>21.7029</v>
      </c>
      <c r="D70" s="122">
        <f t="shared" si="7"/>
        <v>15.192029999999999</v>
      </c>
      <c r="E70" s="121">
        <f t="shared" si="33"/>
        <v>11.606999999999999</v>
      </c>
      <c r="F70" s="122">
        <f t="shared" si="8"/>
        <v>5.8034999999999997</v>
      </c>
      <c r="G70" s="121">
        <f t="shared" si="34"/>
        <v>11.606999999999999</v>
      </c>
      <c r="H70" s="123">
        <f t="shared" si="9"/>
        <v>5.8034999999999997</v>
      </c>
      <c r="I70" s="110">
        <f t="shared" si="10"/>
        <v>21.7029</v>
      </c>
      <c r="J70" s="111">
        <f t="shared" si="11"/>
        <v>15.192029999999999</v>
      </c>
      <c r="K70" s="124">
        <f t="shared" si="35"/>
        <v>21.7029</v>
      </c>
      <c r="L70" s="122">
        <f t="shared" si="12"/>
        <v>15.192029999999999</v>
      </c>
      <c r="M70" s="121">
        <f t="shared" si="36"/>
        <v>21.7029</v>
      </c>
      <c r="N70" s="122">
        <f t="shared" si="13"/>
        <v>15.192029999999999</v>
      </c>
      <c r="O70" s="121">
        <f t="shared" si="37"/>
        <v>21.7029</v>
      </c>
      <c r="P70" s="142">
        <f t="shared" si="14"/>
        <v>15.192029999999999</v>
      </c>
      <c r="Q70" s="143">
        <f t="shared" si="38"/>
        <v>20.987500000000001</v>
      </c>
      <c r="R70" s="113">
        <f t="shared" si="15"/>
        <v>14.69125</v>
      </c>
      <c r="S70" s="1"/>
    </row>
    <row r="71" spans="1:19">
      <c r="A71" s="15" t="s">
        <v>83</v>
      </c>
      <c r="B71" s="67">
        <v>0.625</v>
      </c>
      <c r="C71" s="121">
        <f t="shared" si="32"/>
        <v>18.581250000000001</v>
      </c>
      <c r="D71" s="122">
        <f t="shared" si="7"/>
        <v>13.006875000000001</v>
      </c>
      <c r="E71" s="121">
        <f t="shared" si="33"/>
        <v>9.9375</v>
      </c>
      <c r="F71" s="122">
        <f t="shared" si="8"/>
        <v>4.96875</v>
      </c>
      <c r="G71" s="121">
        <f t="shared" si="34"/>
        <v>9.9375</v>
      </c>
      <c r="H71" s="123">
        <f t="shared" si="9"/>
        <v>4.96875</v>
      </c>
      <c r="I71" s="110">
        <f t="shared" si="10"/>
        <v>18.581250000000001</v>
      </c>
      <c r="J71" s="111">
        <f t="shared" si="11"/>
        <v>13.006875000000001</v>
      </c>
      <c r="K71" s="124">
        <f t="shared" si="35"/>
        <v>18.581250000000001</v>
      </c>
      <c r="L71" s="122">
        <f t="shared" si="12"/>
        <v>13.006875000000001</v>
      </c>
      <c r="M71" s="121">
        <f t="shared" si="36"/>
        <v>18.581250000000001</v>
      </c>
      <c r="N71" s="122">
        <f t="shared" si="13"/>
        <v>13.006875000000001</v>
      </c>
      <c r="O71" s="121">
        <f t="shared" si="37"/>
        <v>18.581250000000001</v>
      </c>
      <c r="P71" s="142">
        <f t="shared" si="14"/>
        <v>13.006875000000001</v>
      </c>
      <c r="Q71" s="143">
        <f t="shared" si="38"/>
        <v>17.96875</v>
      </c>
      <c r="R71" s="113">
        <f t="shared" si="15"/>
        <v>12.578125</v>
      </c>
      <c r="S71" s="1"/>
    </row>
    <row r="72" spans="1:19">
      <c r="A72" s="15" t="s">
        <v>84</v>
      </c>
      <c r="B72" s="67">
        <v>0.78700000000000003</v>
      </c>
      <c r="C72" s="121">
        <f t="shared" si="32"/>
        <v>23.39751</v>
      </c>
      <c r="D72" s="122">
        <f t="shared" si="7"/>
        <v>16.378257000000001</v>
      </c>
      <c r="E72" s="121">
        <f t="shared" si="33"/>
        <v>12.513300000000001</v>
      </c>
      <c r="F72" s="122">
        <f t="shared" si="8"/>
        <v>6.2566500000000005</v>
      </c>
      <c r="G72" s="121">
        <f t="shared" si="34"/>
        <v>12.513300000000001</v>
      </c>
      <c r="H72" s="123">
        <f t="shared" si="9"/>
        <v>6.2566500000000005</v>
      </c>
      <c r="I72" s="110">
        <f t="shared" si="10"/>
        <v>23.39751</v>
      </c>
      <c r="J72" s="111">
        <f t="shared" si="11"/>
        <v>16.378257000000001</v>
      </c>
      <c r="K72" s="124">
        <f t="shared" si="35"/>
        <v>23.39751</v>
      </c>
      <c r="L72" s="122">
        <f t="shared" si="12"/>
        <v>16.378257000000001</v>
      </c>
      <c r="M72" s="121">
        <f t="shared" si="36"/>
        <v>23.39751</v>
      </c>
      <c r="N72" s="122">
        <f t="shared" si="13"/>
        <v>16.378257000000001</v>
      </c>
      <c r="O72" s="121">
        <f t="shared" si="37"/>
        <v>23.39751</v>
      </c>
      <c r="P72" s="142">
        <f t="shared" si="14"/>
        <v>16.378257000000001</v>
      </c>
      <c r="Q72" s="143">
        <f t="shared" si="38"/>
        <v>22.626250000000002</v>
      </c>
      <c r="R72" s="113">
        <f t="shared" si="15"/>
        <v>15.838375000000001</v>
      </c>
      <c r="S72" s="1"/>
    </row>
    <row r="73" spans="1:19">
      <c r="A73" s="15" t="s">
        <v>98</v>
      </c>
      <c r="B73" s="67">
        <v>0.57099999999999995</v>
      </c>
      <c r="C73" s="121">
        <f t="shared" ref="C73:C83" si="39">B73*$C$6</f>
        <v>16.975829999999998</v>
      </c>
      <c r="D73" s="122">
        <f t="shared" si="7"/>
        <v>11.883080999999999</v>
      </c>
      <c r="E73" s="121">
        <f t="shared" ref="E73:E83" si="40">B73*$E$6</f>
        <v>9.0788999999999991</v>
      </c>
      <c r="F73" s="122">
        <f t="shared" si="8"/>
        <v>4.5394499999999995</v>
      </c>
      <c r="G73" s="121">
        <f t="shared" ref="G73:G83" si="41">B73*$G$6</f>
        <v>9.0788999999999991</v>
      </c>
      <c r="H73" s="123">
        <f t="shared" si="9"/>
        <v>4.5394499999999995</v>
      </c>
      <c r="I73" s="110">
        <f t="shared" si="10"/>
        <v>16.975829999999998</v>
      </c>
      <c r="J73" s="111">
        <f t="shared" si="11"/>
        <v>11.883080999999999</v>
      </c>
      <c r="K73" s="124">
        <f t="shared" ref="K73:K83" si="42">B73*$K$6</f>
        <v>16.975829999999998</v>
      </c>
      <c r="L73" s="122">
        <f t="shared" si="12"/>
        <v>11.883080999999999</v>
      </c>
      <c r="M73" s="121">
        <f t="shared" ref="M73:M83" si="43">B73*$M$6</f>
        <v>16.975829999999998</v>
      </c>
      <c r="N73" s="122">
        <f t="shared" si="13"/>
        <v>11.883080999999999</v>
      </c>
      <c r="O73" s="121">
        <f t="shared" ref="O73:O83" si="44">B73*$O$6</f>
        <v>16.975829999999998</v>
      </c>
      <c r="P73" s="142">
        <f t="shared" si="14"/>
        <v>11.883080999999999</v>
      </c>
      <c r="Q73" s="143">
        <f t="shared" ref="Q73:Q83" si="45">B73*$Q$6</f>
        <v>16.416249999999998</v>
      </c>
      <c r="R73" s="113">
        <f t="shared" si="15"/>
        <v>11.491375</v>
      </c>
      <c r="S73" s="1"/>
    </row>
    <row r="74" spans="1:19">
      <c r="A74" s="83" t="s">
        <v>117</v>
      </c>
      <c r="B74" s="67">
        <v>1.1499999999999999</v>
      </c>
      <c r="C74" s="121">
        <f t="shared" si="39"/>
        <v>34.189499999999995</v>
      </c>
      <c r="D74" s="122">
        <f t="shared" ref="D74:D83" si="46">B74*$D$6</f>
        <v>23.932649999999999</v>
      </c>
      <c r="E74" s="121">
        <f t="shared" si="40"/>
        <v>18.285</v>
      </c>
      <c r="F74" s="122">
        <f t="shared" ref="F74:F83" si="47">B74*$F$6</f>
        <v>9.1425000000000001</v>
      </c>
      <c r="G74" s="121">
        <f t="shared" si="41"/>
        <v>18.285</v>
      </c>
      <c r="H74" s="123">
        <f t="shared" ref="H74:H83" si="48">B74*$H$6</f>
        <v>9.1425000000000001</v>
      </c>
      <c r="I74" s="110">
        <f t="shared" ref="I74:I83" si="49">B74*$I$6</f>
        <v>34.189499999999995</v>
      </c>
      <c r="J74" s="111">
        <f t="shared" ref="J74:J83" si="50">B74*$J$6</f>
        <v>23.932649999999999</v>
      </c>
      <c r="K74" s="124">
        <f t="shared" si="42"/>
        <v>34.189499999999995</v>
      </c>
      <c r="L74" s="122">
        <f t="shared" ref="L74:L83" si="51">B74*$L$6</f>
        <v>23.932649999999999</v>
      </c>
      <c r="M74" s="121">
        <f t="shared" si="43"/>
        <v>34.189499999999995</v>
      </c>
      <c r="N74" s="122">
        <f t="shared" ref="N74:N83" si="52">B74*$N$6</f>
        <v>23.932649999999999</v>
      </c>
      <c r="O74" s="121">
        <f t="shared" si="44"/>
        <v>34.189499999999995</v>
      </c>
      <c r="P74" s="142">
        <f t="shared" ref="P74:P83" si="53">B74*$P$6</f>
        <v>23.932649999999999</v>
      </c>
      <c r="Q74" s="143">
        <f t="shared" si="45"/>
        <v>33.0625</v>
      </c>
      <c r="R74" s="113">
        <f t="shared" ref="R74:R83" si="54">B74*$R$6</f>
        <v>23.143749999999997</v>
      </c>
      <c r="S74" s="1"/>
    </row>
    <row r="75" spans="1:19">
      <c r="A75" s="83" t="s">
        <v>85</v>
      </c>
      <c r="B75" s="67">
        <v>1.17</v>
      </c>
      <c r="C75" s="121">
        <f t="shared" si="39"/>
        <v>34.784099999999995</v>
      </c>
      <c r="D75" s="122">
        <f t="shared" si="46"/>
        <v>24.348869999999998</v>
      </c>
      <c r="E75" s="121">
        <f t="shared" si="40"/>
        <v>18.602999999999998</v>
      </c>
      <c r="F75" s="122">
        <f t="shared" si="47"/>
        <v>9.301499999999999</v>
      </c>
      <c r="G75" s="121">
        <f t="shared" si="41"/>
        <v>18.602999999999998</v>
      </c>
      <c r="H75" s="123">
        <f t="shared" si="48"/>
        <v>9.301499999999999</v>
      </c>
      <c r="I75" s="110">
        <f t="shared" si="49"/>
        <v>34.784099999999995</v>
      </c>
      <c r="J75" s="111">
        <f t="shared" si="50"/>
        <v>24.348869999999998</v>
      </c>
      <c r="K75" s="124">
        <f t="shared" si="42"/>
        <v>34.784099999999995</v>
      </c>
      <c r="L75" s="122">
        <f t="shared" si="51"/>
        <v>24.348869999999998</v>
      </c>
      <c r="M75" s="121">
        <f t="shared" si="43"/>
        <v>34.784099999999995</v>
      </c>
      <c r="N75" s="122">
        <f t="shared" si="52"/>
        <v>24.348869999999998</v>
      </c>
      <c r="O75" s="121">
        <f t="shared" si="44"/>
        <v>34.784099999999995</v>
      </c>
      <c r="P75" s="142">
        <f t="shared" si="53"/>
        <v>24.348869999999998</v>
      </c>
      <c r="Q75" s="143">
        <f t="shared" si="45"/>
        <v>33.637499999999996</v>
      </c>
      <c r="R75" s="113">
        <f t="shared" si="54"/>
        <v>23.546249999999997</v>
      </c>
      <c r="S75" s="1"/>
    </row>
    <row r="76" spans="1:19">
      <c r="A76" s="83" t="s">
        <v>99</v>
      </c>
      <c r="B76" s="67">
        <v>1.1904999999999999</v>
      </c>
      <c r="C76" s="121">
        <f t="shared" si="39"/>
        <v>35.393564999999995</v>
      </c>
      <c r="D76" s="122">
        <f t="shared" si="46"/>
        <v>24.775495499999998</v>
      </c>
      <c r="E76" s="121">
        <f t="shared" si="40"/>
        <v>18.92895</v>
      </c>
      <c r="F76" s="122">
        <f t="shared" si="47"/>
        <v>9.4644750000000002</v>
      </c>
      <c r="G76" s="121">
        <f t="shared" si="41"/>
        <v>18.92895</v>
      </c>
      <c r="H76" s="123">
        <f t="shared" si="48"/>
        <v>9.4644750000000002</v>
      </c>
      <c r="I76" s="110">
        <f t="shared" si="49"/>
        <v>35.393564999999995</v>
      </c>
      <c r="J76" s="111">
        <f t="shared" si="50"/>
        <v>24.775495499999998</v>
      </c>
      <c r="K76" s="124">
        <f t="shared" si="42"/>
        <v>35.393564999999995</v>
      </c>
      <c r="L76" s="122">
        <f t="shared" si="51"/>
        <v>24.775495499999998</v>
      </c>
      <c r="M76" s="121">
        <f t="shared" si="43"/>
        <v>35.393564999999995</v>
      </c>
      <c r="N76" s="122">
        <f t="shared" si="52"/>
        <v>24.775495499999998</v>
      </c>
      <c r="O76" s="121">
        <f t="shared" si="44"/>
        <v>35.393564999999995</v>
      </c>
      <c r="P76" s="142">
        <f t="shared" si="53"/>
        <v>24.775495499999998</v>
      </c>
      <c r="Q76" s="143">
        <f t="shared" si="45"/>
        <v>34.226875</v>
      </c>
      <c r="R76" s="113">
        <f t="shared" si="54"/>
        <v>23.958812499999997</v>
      </c>
      <c r="S76" s="1"/>
    </row>
    <row r="77" spans="1:19">
      <c r="A77" s="83" t="s">
        <v>100</v>
      </c>
      <c r="B77" s="67">
        <v>1.2</v>
      </c>
      <c r="C77" s="121">
        <f t="shared" si="39"/>
        <v>35.676000000000002</v>
      </c>
      <c r="D77" s="122">
        <f t="shared" si="46"/>
        <v>24.973199999999999</v>
      </c>
      <c r="E77" s="121">
        <f t="shared" si="40"/>
        <v>19.079999999999998</v>
      </c>
      <c r="F77" s="122">
        <f t="shared" si="47"/>
        <v>9.5399999999999991</v>
      </c>
      <c r="G77" s="121">
        <f t="shared" si="41"/>
        <v>19.079999999999998</v>
      </c>
      <c r="H77" s="123">
        <f t="shared" si="48"/>
        <v>9.5399999999999991</v>
      </c>
      <c r="I77" s="110">
        <f t="shared" si="49"/>
        <v>35.676000000000002</v>
      </c>
      <c r="J77" s="111">
        <f t="shared" si="50"/>
        <v>24.973199999999999</v>
      </c>
      <c r="K77" s="124">
        <f t="shared" si="42"/>
        <v>35.676000000000002</v>
      </c>
      <c r="L77" s="122">
        <f t="shared" si="51"/>
        <v>24.973199999999999</v>
      </c>
      <c r="M77" s="121">
        <f t="shared" si="43"/>
        <v>35.676000000000002</v>
      </c>
      <c r="N77" s="122">
        <f t="shared" si="52"/>
        <v>24.973199999999999</v>
      </c>
      <c r="O77" s="121">
        <f t="shared" si="44"/>
        <v>35.676000000000002</v>
      </c>
      <c r="P77" s="142">
        <f t="shared" si="53"/>
        <v>24.973199999999999</v>
      </c>
      <c r="Q77" s="143">
        <f t="shared" si="45"/>
        <v>34.5</v>
      </c>
      <c r="R77" s="113">
        <f t="shared" si="54"/>
        <v>24.15</v>
      </c>
      <c r="S77" s="1"/>
    </row>
    <row r="78" spans="1:19">
      <c r="A78" s="83" t="s">
        <v>86</v>
      </c>
      <c r="B78" s="67">
        <v>1.22</v>
      </c>
      <c r="C78" s="121">
        <f t="shared" si="39"/>
        <v>36.270600000000002</v>
      </c>
      <c r="D78" s="122">
        <f t="shared" si="46"/>
        <v>25.389419999999998</v>
      </c>
      <c r="E78" s="121">
        <f t="shared" si="40"/>
        <v>19.398</v>
      </c>
      <c r="F78" s="122">
        <f t="shared" si="47"/>
        <v>9.6989999999999998</v>
      </c>
      <c r="G78" s="121">
        <f t="shared" si="41"/>
        <v>19.398</v>
      </c>
      <c r="H78" s="123">
        <f t="shared" si="48"/>
        <v>9.6989999999999998</v>
      </c>
      <c r="I78" s="110">
        <f t="shared" si="49"/>
        <v>36.270600000000002</v>
      </c>
      <c r="J78" s="111">
        <f t="shared" si="50"/>
        <v>25.389419999999998</v>
      </c>
      <c r="K78" s="124">
        <f t="shared" si="42"/>
        <v>36.270600000000002</v>
      </c>
      <c r="L78" s="122">
        <f t="shared" si="51"/>
        <v>25.389419999999998</v>
      </c>
      <c r="M78" s="121">
        <f t="shared" si="43"/>
        <v>36.270600000000002</v>
      </c>
      <c r="N78" s="122">
        <f t="shared" si="52"/>
        <v>25.389419999999998</v>
      </c>
      <c r="O78" s="121">
        <f t="shared" si="44"/>
        <v>36.270600000000002</v>
      </c>
      <c r="P78" s="142">
        <f t="shared" si="53"/>
        <v>25.389419999999998</v>
      </c>
      <c r="Q78" s="143">
        <f t="shared" si="45"/>
        <v>35.074999999999996</v>
      </c>
      <c r="R78" s="113">
        <f t="shared" si="54"/>
        <v>24.552499999999998</v>
      </c>
      <c r="S78" s="1"/>
    </row>
    <row r="79" spans="1:19">
      <c r="A79" s="15" t="s">
        <v>23</v>
      </c>
      <c r="B79" s="67">
        <v>0.71050000000000002</v>
      </c>
      <c r="C79" s="121">
        <f t="shared" si="39"/>
        <v>21.123165</v>
      </c>
      <c r="D79" s="122">
        <f t="shared" si="46"/>
        <v>14.786215500000001</v>
      </c>
      <c r="E79" s="121">
        <f t="shared" si="40"/>
        <v>11.296950000000001</v>
      </c>
      <c r="F79" s="122">
        <f t="shared" si="47"/>
        <v>5.6484750000000004</v>
      </c>
      <c r="G79" s="121">
        <f t="shared" si="41"/>
        <v>11.296950000000001</v>
      </c>
      <c r="H79" s="123">
        <f t="shared" si="48"/>
        <v>5.6484750000000004</v>
      </c>
      <c r="I79" s="110">
        <f t="shared" si="49"/>
        <v>21.123165</v>
      </c>
      <c r="J79" s="111">
        <f t="shared" si="50"/>
        <v>14.786215500000001</v>
      </c>
      <c r="K79" s="124">
        <f t="shared" si="42"/>
        <v>21.123165</v>
      </c>
      <c r="L79" s="122">
        <f t="shared" si="51"/>
        <v>14.786215500000001</v>
      </c>
      <c r="M79" s="121">
        <f t="shared" si="43"/>
        <v>21.123165</v>
      </c>
      <c r="N79" s="122">
        <f t="shared" si="52"/>
        <v>14.786215500000001</v>
      </c>
      <c r="O79" s="121">
        <f t="shared" si="44"/>
        <v>21.123165</v>
      </c>
      <c r="P79" s="142">
        <f t="shared" si="53"/>
        <v>14.786215500000001</v>
      </c>
      <c r="Q79" s="143">
        <f t="shared" si="45"/>
        <v>20.426874999999999</v>
      </c>
      <c r="R79" s="113">
        <f t="shared" si="54"/>
        <v>14.2988125</v>
      </c>
      <c r="S79" s="1"/>
    </row>
    <row r="80" spans="1:19">
      <c r="A80" s="15" t="s">
        <v>87</v>
      </c>
      <c r="B80" s="67">
        <v>1.1659999999999999</v>
      </c>
      <c r="C80" s="121">
        <f t="shared" si="39"/>
        <v>34.665179999999999</v>
      </c>
      <c r="D80" s="122">
        <f t="shared" si="46"/>
        <v>24.265625999999997</v>
      </c>
      <c r="E80" s="121">
        <f t="shared" si="40"/>
        <v>18.539400000000001</v>
      </c>
      <c r="F80" s="122">
        <f t="shared" si="47"/>
        <v>9.2697000000000003</v>
      </c>
      <c r="G80" s="121">
        <f t="shared" si="41"/>
        <v>18.539400000000001</v>
      </c>
      <c r="H80" s="123">
        <f t="shared" si="48"/>
        <v>9.2697000000000003</v>
      </c>
      <c r="I80" s="110">
        <f t="shared" si="49"/>
        <v>34.665179999999999</v>
      </c>
      <c r="J80" s="111">
        <f t="shared" si="50"/>
        <v>24.265625999999997</v>
      </c>
      <c r="K80" s="124">
        <f t="shared" si="42"/>
        <v>34.665179999999999</v>
      </c>
      <c r="L80" s="122">
        <f t="shared" si="51"/>
        <v>24.265625999999997</v>
      </c>
      <c r="M80" s="121">
        <f t="shared" si="43"/>
        <v>34.665179999999999</v>
      </c>
      <c r="N80" s="122">
        <f t="shared" si="52"/>
        <v>24.265625999999997</v>
      </c>
      <c r="O80" s="121">
        <f t="shared" si="44"/>
        <v>34.665179999999999</v>
      </c>
      <c r="P80" s="142">
        <f t="shared" si="53"/>
        <v>24.265625999999997</v>
      </c>
      <c r="Q80" s="143">
        <f t="shared" si="45"/>
        <v>33.522500000000001</v>
      </c>
      <c r="R80" s="113">
        <f t="shared" si="54"/>
        <v>23.46575</v>
      </c>
      <c r="S80" s="1"/>
    </row>
    <row r="81" spans="1:19">
      <c r="A81" s="14" t="s">
        <v>24</v>
      </c>
      <c r="B81" s="67">
        <v>1.254</v>
      </c>
      <c r="C81" s="121">
        <f t="shared" si="39"/>
        <v>37.281419999999997</v>
      </c>
      <c r="D81" s="122">
        <f t="shared" si="46"/>
        <v>26.096993999999999</v>
      </c>
      <c r="E81" s="121">
        <f t="shared" si="40"/>
        <v>19.938600000000001</v>
      </c>
      <c r="F81" s="122">
        <f t="shared" si="47"/>
        <v>9.9693000000000005</v>
      </c>
      <c r="G81" s="121">
        <f t="shared" si="41"/>
        <v>19.938600000000001</v>
      </c>
      <c r="H81" s="123">
        <f t="shared" si="48"/>
        <v>9.9693000000000005</v>
      </c>
      <c r="I81" s="110">
        <f t="shared" si="49"/>
        <v>37.281419999999997</v>
      </c>
      <c r="J81" s="111">
        <f t="shared" si="50"/>
        <v>26.096993999999999</v>
      </c>
      <c r="K81" s="124">
        <f t="shared" si="42"/>
        <v>37.281419999999997</v>
      </c>
      <c r="L81" s="122">
        <f t="shared" si="51"/>
        <v>26.096993999999999</v>
      </c>
      <c r="M81" s="121">
        <f t="shared" si="43"/>
        <v>37.281419999999997</v>
      </c>
      <c r="N81" s="122">
        <f t="shared" si="52"/>
        <v>26.096993999999999</v>
      </c>
      <c r="O81" s="121">
        <f t="shared" si="44"/>
        <v>37.281419999999997</v>
      </c>
      <c r="P81" s="142">
        <f t="shared" si="53"/>
        <v>26.096993999999999</v>
      </c>
      <c r="Q81" s="143">
        <f t="shared" si="45"/>
        <v>36.052500000000002</v>
      </c>
      <c r="R81" s="113">
        <f t="shared" si="54"/>
        <v>25.236750000000001</v>
      </c>
      <c r="S81" s="1"/>
    </row>
    <row r="82" spans="1:19">
      <c r="A82" s="14" t="s">
        <v>88</v>
      </c>
      <c r="B82" s="67">
        <v>1.37</v>
      </c>
      <c r="C82" s="121">
        <f t="shared" si="39"/>
        <v>40.730100000000007</v>
      </c>
      <c r="D82" s="122">
        <f t="shared" si="46"/>
        <v>28.511070000000004</v>
      </c>
      <c r="E82" s="121">
        <f t="shared" si="40"/>
        <v>21.783000000000001</v>
      </c>
      <c r="F82" s="122">
        <f t="shared" si="47"/>
        <v>10.891500000000001</v>
      </c>
      <c r="G82" s="121">
        <f t="shared" si="41"/>
        <v>21.783000000000001</v>
      </c>
      <c r="H82" s="123">
        <f t="shared" si="48"/>
        <v>10.891500000000001</v>
      </c>
      <c r="I82" s="110">
        <f t="shared" si="49"/>
        <v>40.730100000000007</v>
      </c>
      <c r="J82" s="111">
        <f t="shared" si="50"/>
        <v>28.511070000000004</v>
      </c>
      <c r="K82" s="124">
        <f t="shared" si="42"/>
        <v>40.730100000000007</v>
      </c>
      <c r="L82" s="122">
        <f t="shared" si="51"/>
        <v>28.511070000000004</v>
      </c>
      <c r="M82" s="121">
        <f t="shared" si="43"/>
        <v>40.730100000000007</v>
      </c>
      <c r="N82" s="122">
        <f t="shared" si="52"/>
        <v>28.511070000000004</v>
      </c>
      <c r="O82" s="121">
        <f t="shared" si="44"/>
        <v>40.730100000000007</v>
      </c>
      <c r="P82" s="142">
        <f t="shared" si="53"/>
        <v>28.511070000000004</v>
      </c>
      <c r="Q82" s="143">
        <f t="shared" si="45"/>
        <v>39.387500000000003</v>
      </c>
      <c r="R82" s="113">
        <f t="shared" si="54"/>
        <v>27.571250000000003</v>
      </c>
      <c r="S82" s="1"/>
    </row>
    <row r="83" spans="1:19" ht="15.75" thickBot="1">
      <c r="A83" s="14" t="s">
        <v>25</v>
      </c>
      <c r="B83" s="67">
        <v>1.35</v>
      </c>
      <c r="C83" s="125">
        <f t="shared" si="39"/>
        <v>40.1355</v>
      </c>
      <c r="D83" s="126">
        <f t="shared" si="46"/>
        <v>28.094850000000001</v>
      </c>
      <c r="E83" s="125">
        <f t="shared" si="40"/>
        <v>21.465000000000003</v>
      </c>
      <c r="F83" s="126">
        <f t="shared" si="47"/>
        <v>10.732500000000002</v>
      </c>
      <c r="G83" s="125">
        <f t="shared" si="41"/>
        <v>21.465000000000003</v>
      </c>
      <c r="H83" s="127">
        <f t="shared" si="48"/>
        <v>10.732500000000002</v>
      </c>
      <c r="I83" s="114">
        <f t="shared" si="49"/>
        <v>40.1355</v>
      </c>
      <c r="J83" s="115">
        <f t="shared" si="50"/>
        <v>28.094850000000001</v>
      </c>
      <c r="K83" s="128">
        <f t="shared" si="42"/>
        <v>40.1355</v>
      </c>
      <c r="L83" s="126">
        <f t="shared" si="51"/>
        <v>28.094850000000001</v>
      </c>
      <c r="M83" s="125">
        <f t="shared" si="43"/>
        <v>40.1355</v>
      </c>
      <c r="N83" s="126">
        <f t="shared" si="52"/>
        <v>28.094850000000001</v>
      </c>
      <c r="O83" s="125">
        <f t="shared" si="44"/>
        <v>40.1355</v>
      </c>
      <c r="P83" s="144">
        <f t="shared" si="53"/>
        <v>28.094850000000001</v>
      </c>
      <c r="Q83" s="145">
        <f t="shared" si="45"/>
        <v>38.8125</v>
      </c>
      <c r="R83" s="117">
        <f t="shared" si="54"/>
        <v>27.168750000000003</v>
      </c>
      <c r="S83" s="1"/>
    </row>
    <row r="84" spans="1:19" ht="15.75" thickBot="1">
      <c r="A84" s="14" t="s">
        <v>26</v>
      </c>
      <c r="B84" s="67">
        <v>1.34</v>
      </c>
      <c r="C84" s="125">
        <f t="shared" ref="C84:C92" si="55">B84*$C$6</f>
        <v>39.838200000000001</v>
      </c>
      <c r="D84" s="126">
        <f t="shared" ref="D84:D92" si="56">B84*$D$6</f>
        <v>27.886740000000003</v>
      </c>
      <c r="E84" s="125">
        <f t="shared" ref="E84:E92" si="57">B84*$E$6</f>
        <v>21.306000000000001</v>
      </c>
      <c r="F84" s="126">
        <f t="shared" ref="F84:F92" si="58">B84*$F$6</f>
        <v>10.653</v>
      </c>
      <c r="G84" s="125">
        <f t="shared" ref="G84:G92" si="59">B84*$G$6</f>
        <v>21.306000000000001</v>
      </c>
      <c r="H84" s="127">
        <f t="shared" ref="H84:H92" si="60">B84*$H$6</f>
        <v>10.653</v>
      </c>
      <c r="I84" s="114">
        <f t="shared" ref="I84:I92" si="61">B84*$I$6</f>
        <v>39.838200000000001</v>
      </c>
      <c r="J84" s="115">
        <f t="shared" ref="J84:J92" si="62">B84*$J$6</f>
        <v>27.886740000000003</v>
      </c>
      <c r="K84" s="128">
        <f t="shared" ref="K84:K92" si="63">B84*$K$6</f>
        <v>39.838200000000001</v>
      </c>
      <c r="L84" s="126">
        <f t="shared" ref="L84:L92" si="64">B84*$L$6</f>
        <v>27.886740000000003</v>
      </c>
      <c r="M84" s="125">
        <f t="shared" ref="M84:M92" si="65">B84*$M$6</f>
        <v>39.838200000000001</v>
      </c>
      <c r="N84" s="126">
        <f t="shared" ref="N84:N92" si="66">B84*$N$6</f>
        <v>27.886740000000003</v>
      </c>
      <c r="O84" s="125">
        <f t="shared" ref="O84:O92" si="67">B84*$O$6</f>
        <v>39.838200000000001</v>
      </c>
      <c r="P84" s="144">
        <f t="shared" ref="P84:P92" si="68">B84*$P$6</f>
        <v>27.886740000000003</v>
      </c>
      <c r="Q84" s="145">
        <f t="shared" ref="Q84:Q92" si="69">B84*$Q$6</f>
        <v>38.525000000000006</v>
      </c>
      <c r="R84" s="117">
        <f t="shared" ref="R84:R92" si="70">B84*$R$6</f>
        <v>26.967500000000001</v>
      </c>
      <c r="S84" s="1"/>
    </row>
    <row r="85" spans="1:19" ht="15.75" thickBot="1">
      <c r="A85" s="14" t="s">
        <v>27</v>
      </c>
      <c r="B85" s="67">
        <v>1.35</v>
      </c>
      <c r="C85" s="125">
        <f t="shared" si="55"/>
        <v>40.1355</v>
      </c>
      <c r="D85" s="126">
        <f t="shared" si="56"/>
        <v>28.094850000000001</v>
      </c>
      <c r="E85" s="125">
        <f t="shared" si="57"/>
        <v>21.465000000000003</v>
      </c>
      <c r="F85" s="126">
        <f t="shared" si="58"/>
        <v>10.732500000000002</v>
      </c>
      <c r="G85" s="125">
        <f t="shared" si="59"/>
        <v>21.465000000000003</v>
      </c>
      <c r="H85" s="127">
        <f t="shared" si="60"/>
        <v>10.732500000000002</v>
      </c>
      <c r="I85" s="114">
        <f t="shared" si="61"/>
        <v>40.1355</v>
      </c>
      <c r="J85" s="115">
        <f t="shared" si="62"/>
        <v>28.094850000000001</v>
      </c>
      <c r="K85" s="128">
        <f t="shared" si="63"/>
        <v>40.1355</v>
      </c>
      <c r="L85" s="126">
        <f t="shared" si="64"/>
        <v>28.094850000000001</v>
      </c>
      <c r="M85" s="125">
        <f t="shared" si="65"/>
        <v>40.1355</v>
      </c>
      <c r="N85" s="126">
        <f t="shared" si="66"/>
        <v>28.094850000000001</v>
      </c>
      <c r="O85" s="125">
        <f t="shared" si="67"/>
        <v>40.1355</v>
      </c>
      <c r="P85" s="144">
        <f t="shared" si="68"/>
        <v>28.094850000000001</v>
      </c>
      <c r="Q85" s="145">
        <f t="shared" si="69"/>
        <v>38.8125</v>
      </c>
      <c r="R85" s="117">
        <f t="shared" si="70"/>
        <v>27.168750000000003</v>
      </c>
      <c r="S85" s="1"/>
    </row>
    <row r="86" spans="1:19" ht="15.75" thickBot="1">
      <c r="A86" s="15" t="s">
        <v>28</v>
      </c>
      <c r="B86" s="67">
        <v>1.29</v>
      </c>
      <c r="C86" s="125">
        <f t="shared" si="55"/>
        <v>38.351700000000001</v>
      </c>
      <c r="D86" s="126">
        <f t="shared" si="56"/>
        <v>26.84619</v>
      </c>
      <c r="E86" s="125">
        <f t="shared" si="57"/>
        <v>20.511000000000003</v>
      </c>
      <c r="F86" s="126">
        <f t="shared" si="58"/>
        <v>10.255500000000001</v>
      </c>
      <c r="G86" s="125">
        <f t="shared" si="59"/>
        <v>20.511000000000003</v>
      </c>
      <c r="H86" s="127">
        <f t="shared" si="60"/>
        <v>10.255500000000001</v>
      </c>
      <c r="I86" s="114">
        <f t="shared" si="61"/>
        <v>38.351700000000001</v>
      </c>
      <c r="J86" s="115">
        <f t="shared" si="62"/>
        <v>26.84619</v>
      </c>
      <c r="K86" s="128">
        <f t="shared" si="63"/>
        <v>38.351700000000001</v>
      </c>
      <c r="L86" s="126">
        <f t="shared" si="64"/>
        <v>26.84619</v>
      </c>
      <c r="M86" s="125">
        <f t="shared" si="65"/>
        <v>38.351700000000001</v>
      </c>
      <c r="N86" s="126">
        <f t="shared" si="66"/>
        <v>26.84619</v>
      </c>
      <c r="O86" s="125">
        <f t="shared" si="67"/>
        <v>38.351700000000001</v>
      </c>
      <c r="P86" s="144">
        <f t="shared" si="68"/>
        <v>26.84619</v>
      </c>
      <c r="Q86" s="145">
        <f t="shared" si="69"/>
        <v>37.087499999999999</v>
      </c>
      <c r="R86" s="117">
        <f t="shared" si="70"/>
        <v>25.96125</v>
      </c>
      <c r="S86" s="1"/>
    </row>
    <row r="87" spans="1:19" ht="15.75" thickBot="1">
      <c r="A87" s="14" t="s">
        <v>89</v>
      </c>
      <c r="B87" s="67">
        <v>1.21</v>
      </c>
      <c r="C87" s="125">
        <f t="shared" si="55"/>
        <v>35.973300000000002</v>
      </c>
      <c r="D87" s="126">
        <f t="shared" si="56"/>
        <v>25.18131</v>
      </c>
      <c r="E87" s="125">
        <f t="shared" si="57"/>
        <v>19.239000000000001</v>
      </c>
      <c r="F87" s="126">
        <f t="shared" si="58"/>
        <v>9.6195000000000004</v>
      </c>
      <c r="G87" s="125">
        <f t="shared" si="59"/>
        <v>19.239000000000001</v>
      </c>
      <c r="H87" s="127">
        <f t="shared" si="60"/>
        <v>9.6195000000000004</v>
      </c>
      <c r="I87" s="114">
        <f t="shared" si="61"/>
        <v>35.973300000000002</v>
      </c>
      <c r="J87" s="115">
        <f t="shared" si="62"/>
        <v>25.18131</v>
      </c>
      <c r="K87" s="128">
        <f t="shared" si="63"/>
        <v>35.973300000000002</v>
      </c>
      <c r="L87" s="126">
        <f t="shared" si="64"/>
        <v>25.18131</v>
      </c>
      <c r="M87" s="125">
        <f t="shared" si="65"/>
        <v>35.973300000000002</v>
      </c>
      <c r="N87" s="126">
        <f t="shared" si="66"/>
        <v>25.18131</v>
      </c>
      <c r="O87" s="125">
        <f t="shared" si="67"/>
        <v>35.973300000000002</v>
      </c>
      <c r="P87" s="144">
        <f t="shared" si="68"/>
        <v>25.18131</v>
      </c>
      <c r="Q87" s="145">
        <f t="shared" si="69"/>
        <v>34.787500000000001</v>
      </c>
      <c r="R87" s="117">
        <f t="shared" si="70"/>
        <v>24.35125</v>
      </c>
      <c r="S87" s="1"/>
    </row>
    <row r="88" spans="1:19" ht="15.75" thickBot="1">
      <c r="A88" s="14" t="s">
        <v>90</v>
      </c>
      <c r="B88" s="67">
        <v>1.1000000000000001</v>
      </c>
      <c r="C88" s="125">
        <f t="shared" si="55"/>
        <v>32.703000000000003</v>
      </c>
      <c r="D88" s="126">
        <f t="shared" si="56"/>
        <v>22.892100000000003</v>
      </c>
      <c r="E88" s="125">
        <f t="shared" si="57"/>
        <v>17.490000000000002</v>
      </c>
      <c r="F88" s="126">
        <f t="shared" si="58"/>
        <v>8.745000000000001</v>
      </c>
      <c r="G88" s="125">
        <f t="shared" si="59"/>
        <v>17.490000000000002</v>
      </c>
      <c r="H88" s="127">
        <f t="shared" si="60"/>
        <v>8.745000000000001</v>
      </c>
      <c r="I88" s="114">
        <f t="shared" si="61"/>
        <v>32.703000000000003</v>
      </c>
      <c r="J88" s="115">
        <f t="shared" si="62"/>
        <v>22.892100000000003</v>
      </c>
      <c r="K88" s="128">
        <f t="shared" si="63"/>
        <v>32.703000000000003</v>
      </c>
      <c r="L88" s="126">
        <f t="shared" si="64"/>
        <v>22.892100000000003</v>
      </c>
      <c r="M88" s="125">
        <f t="shared" si="65"/>
        <v>32.703000000000003</v>
      </c>
      <c r="N88" s="126">
        <f t="shared" si="66"/>
        <v>22.892100000000003</v>
      </c>
      <c r="O88" s="125">
        <f t="shared" si="67"/>
        <v>32.703000000000003</v>
      </c>
      <c r="P88" s="144">
        <f t="shared" si="68"/>
        <v>22.892100000000003</v>
      </c>
      <c r="Q88" s="145">
        <f t="shared" si="69"/>
        <v>31.625000000000004</v>
      </c>
      <c r="R88" s="117">
        <f t="shared" si="70"/>
        <v>22.137500000000003</v>
      </c>
      <c r="S88" s="1"/>
    </row>
    <row r="89" spans="1:19" ht="15.75" thickBot="1">
      <c r="A89" s="14" t="s">
        <v>91</v>
      </c>
      <c r="B89" s="67">
        <v>0.68</v>
      </c>
      <c r="C89" s="125">
        <f t="shared" si="55"/>
        <v>20.2164</v>
      </c>
      <c r="D89" s="126">
        <f t="shared" si="56"/>
        <v>14.151480000000001</v>
      </c>
      <c r="E89" s="125">
        <f t="shared" si="57"/>
        <v>10.812000000000001</v>
      </c>
      <c r="F89" s="126">
        <f t="shared" si="58"/>
        <v>5.4060000000000006</v>
      </c>
      <c r="G89" s="125">
        <f t="shared" si="59"/>
        <v>10.812000000000001</v>
      </c>
      <c r="H89" s="127">
        <f t="shared" si="60"/>
        <v>5.4060000000000006</v>
      </c>
      <c r="I89" s="114">
        <f t="shared" si="61"/>
        <v>20.2164</v>
      </c>
      <c r="J89" s="115">
        <f t="shared" si="62"/>
        <v>14.151480000000001</v>
      </c>
      <c r="K89" s="128">
        <f t="shared" si="63"/>
        <v>20.2164</v>
      </c>
      <c r="L89" s="126">
        <f t="shared" si="64"/>
        <v>14.151480000000001</v>
      </c>
      <c r="M89" s="125">
        <f t="shared" si="65"/>
        <v>20.2164</v>
      </c>
      <c r="N89" s="126">
        <f t="shared" si="66"/>
        <v>14.151480000000001</v>
      </c>
      <c r="O89" s="125">
        <f t="shared" si="67"/>
        <v>20.2164</v>
      </c>
      <c r="P89" s="144">
        <f t="shared" si="68"/>
        <v>14.151480000000001</v>
      </c>
      <c r="Q89" s="145">
        <f t="shared" si="69"/>
        <v>19.55</v>
      </c>
      <c r="R89" s="117">
        <f t="shared" si="70"/>
        <v>13.685</v>
      </c>
      <c r="S89" s="1"/>
    </row>
    <row r="90" spans="1:19" ht="15.75" thickBot="1">
      <c r="A90" s="14" t="s">
        <v>92</v>
      </c>
      <c r="B90" s="67">
        <v>1.2270000000000001</v>
      </c>
      <c r="C90" s="125">
        <f t="shared" si="55"/>
        <v>36.478710000000007</v>
      </c>
      <c r="D90" s="126">
        <f t="shared" si="56"/>
        <v>25.535097</v>
      </c>
      <c r="E90" s="125">
        <f t="shared" si="57"/>
        <v>19.509300000000003</v>
      </c>
      <c r="F90" s="126">
        <f t="shared" si="58"/>
        <v>9.7546500000000016</v>
      </c>
      <c r="G90" s="125">
        <f t="shared" si="59"/>
        <v>19.509300000000003</v>
      </c>
      <c r="H90" s="127">
        <f t="shared" si="60"/>
        <v>9.7546500000000016</v>
      </c>
      <c r="I90" s="114">
        <f t="shared" si="61"/>
        <v>36.478710000000007</v>
      </c>
      <c r="J90" s="115">
        <f t="shared" si="62"/>
        <v>25.535097</v>
      </c>
      <c r="K90" s="128">
        <f t="shared" si="63"/>
        <v>36.478710000000007</v>
      </c>
      <c r="L90" s="126">
        <f t="shared" si="64"/>
        <v>25.535097</v>
      </c>
      <c r="M90" s="125">
        <f t="shared" si="65"/>
        <v>36.478710000000007</v>
      </c>
      <c r="N90" s="126">
        <f t="shared" si="66"/>
        <v>25.535097</v>
      </c>
      <c r="O90" s="125">
        <f t="shared" si="67"/>
        <v>36.478710000000007</v>
      </c>
      <c r="P90" s="144">
        <f t="shared" si="68"/>
        <v>25.535097</v>
      </c>
      <c r="Q90" s="145">
        <f t="shared" si="69"/>
        <v>35.276250000000005</v>
      </c>
      <c r="R90" s="117">
        <f t="shared" si="70"/>
        <v>24.693375000000003</v>
      </c>
      <c r="S90" s="1"/>
    </row>
    <row r="91" spans="1:19" ht="15.75" thickBot="1">
      <c r="A91" s="14" t="s">
        <v>29</v>
      </c>
      <c r="B91" s="67">
        <v>1.1100000000000001</v>
      </c>
      <c r="C91" s="125">
        <f t="shared" si="55"/>
        <v>33.000300000000003</v>
      </c>
      <c r="D91" s="126">
        <f t="shared" si="56"/>
        <v>23.100210000000001</v>
      </c>
      <c r="E91" s="125">
        <f t="shared" si="57"/>
        <v>17.649000000000001</v>
      </c>
      <c r="F91" s="126">
        <f t="shared" si="58"/>
        <v>8.8245000000000005</v>
      </c>
      <c r="G91" s="125">
        <f t="shared" si="59"/>
        <v>17.649000000000001</v>
      </c>
      <c r="H91" s="127">
        <f t="shared" si="60"/>
        <v>8.8245000000000005</v>
      </c>
      <c r="I91" s="114">
        <f t="shared" si="61"/>
        <v>33.000300000000003</v>
      </c>
      <c r="J91" s="115">
        <f t="shared" si="62"/>
        <v>23.100210000000001</v>
      </c>
      <c r="K91" s="128">
        <f t="shared" si="63"/>
        <v>33.000300000000003</v>
      </c>
      <c r="L91" s="126">
        <f t="shared" si="64"/>
        <v>23.100210000000001</v>
      </c>
      <c r="M91" s="125">
        <f t="shared" si="65"/>
        <v>33.000300000000003</v>
      </c>
      <c r="N91" s="126">
        <f t="shared" si="66"/>
        <v>23.100210000000001</v>
      </c>
      <c r="O91" s="125">
        <f t="shared" si="67"/>
        <v>33.000300000000003</v>
      </c>
      <c r="P91" s="144">
        <f t="shared" si="68"/>
        <v>23.100210000000001</v>
      </c>
      <c r="Q91" s="145">
        <f t="shared" si="69"/>
        <v>31.912500000000001</v>
      </c>
      <c r="R91" s="117">
        <f t="shared" si="70"/>
        <v>22.338750000000001</v>
      </c>
      <c r="S91" s="1"/>
    </row>
    <row r="92" spans="1:19" ht="15.75" thickBot="1">
      <c r="A92" s="18" t="s">
        <v>93</v>
      </c>
      <c r="B92" s="69">
        <v>1.26</v>
      </c>
      <c r="C92" s="125">
        <f t="shared" si="55"/>
        <v>37.459800000000001</v>
      </c>
      <c r="D92" s="126">
        <f t="shared" si="56"/>
        <v>26.22186</v>
      </c>
      <c r="E92" s="125">
        <f t="shared" si="57"/>
        <v>20.033999999999999</v>
      </c>
      <c r="F92" s="126">
        <f t="shared" si="58"/>
        <v>10.016999999999999</v>
      </c>
      <c r="G92" s="125">
        <f t="shared" si="59"/>
        <v>20.033999999999999</v>
      </c>
      <c r="H92" s="127">
        <f t="shared" si="60"/>
        <v>10.016999999999999</v>
      </c>
      <c r="I92" s="114">
        <f t="shared" si="61"/>
        <v>37.459800000000001</v>
      </c>
      <c r="J92" s="115">
        <f t="shared" si="62"/>
        <v>26.22186</v>
      </c>
      <c r="K92" s="128">
        <f t="shared" si="63"/>
        <v>37.459800000000001</v>
      </c>
      <c r="L92" s="126">
        <f t="shared" si="64"/>
        <v>26.22186</v>
      </c>
      <c r="M92" s="125">
        <f t="shared" si="65"/>
        <v>37.459800000000001</v>
      </c>
      <c r="N92" s="126">
        <f t="shared" si="66"/>
        <v>26.22186</v>
      </c>
      <c r="O92" s="125">
        <f t="shared" si="67"/>
        <v>37.459800000000001</v>
      </c>
      <c r="P92" s="144">
        <f t="shared" si="68"/>
        <v>26.22186</v>
      </c>
      <c r="Q92" s="145">
        <f t="shared" si="69"/>
        <v>36.225000000000001</v>
      </c>
      <c r="R92" s="117">
        <f t="shared" si="70"/>
        <v>25.357500000000002</v>
      </c>
      <c r="S92" s="1"/>
    </row>
    <row r="93" spans="1:19" ht="15.75" thickBot="1">
      <c r="A93" s="163" t="s">
        <v>155</v>
      </c>
      <c r="B93" s="166">
        <v>0.1657574084549932</v>
      </c>
      <c r="C93" s="125">
        <f t="shared" ref="C93:C104" si="71">B93*$C$6</f>
        <v>4.9279677533669481</v>
      </c>
      <c r="D93" s="126">
        <f t="shared" ref="D93:D104" si="72">B93*$D$6</f>
        <v>3.4495774273568638</v>
      </c>
      <c r="E93" s="125">
        <f t="shared" ref="E93:E104" si="73">B93*$E$6</f>
        <v>2.6355427944343921</v>
      </c>
      <c r="F93" s="126">
        <f t="shared" ref="F93:F104" si="74">B93*$F$6</f>
        <v>1.317771397217196</v>
      </c>
      <c r="G93" s="125">
        <f t="shared" ref="G93:G104" si="75">B93*$G$6</f>
        <v>2.6355427944343921</v>
      </c>
      <c r="H93" s="127">
        <f t="shared" ref="H93:H104" si="76">B93*$H$6</f>
        <v>1.317771397217196</v>
      </c>
      <c r="I93" s="114">
        <f t="shared" ref="I93:I104" si="77">B93*$I$6</f>
        <v>4.9279677533669481</v>
      </c>
      <c r="J93" s="115">
        <f t="shared" ref="J93:J104" si="78">B93*$J$6</f>
        <v>3.4495774273568638</v>
      </c>
      <c r="K93" s="128">
        <f t="shared" ref="K93:K104" si="79">B93*$K$6</f>
        <v>4.9279677533669481</v>
      </c>
      <c r="L93" s="126">
        <f t="shared" ref="L93:L104" si="80">B93*$L$6</f>
        <v>3.4495774273568638</v>
      </c>
      <c r="M93" s="125">
        <f t="shared" ref="M93:M104" si="81">B93*$M$6</f>
        <v>4.9279677533669481</v>
      </c>
      <c r="N93" s="126">
        <f t="shared" ref="N93:N104" si="82">B93*$N$6</f>
        <v>3.4495774273568638</v>
      </c>
      <c r="O93" s="125">
        <f t="shared" ref="O93:O104" si="83">B93*$O$6</f>
        <v>4.9279677533669481</v>
      </c>
      <c r="P93" s="144">
        <f t="shared" ref="P93:P104" si="84">B93*$P$6</f>
        <v>3.4495774273568638</v>
      </c>
      <c r="Q93" s="145">
        <f t="shared" ref="Q93:Q104" si="85">B93*$Q$6</f>
        <v>4.7655254930810544</v>
      </c>
      <c r="R93" s="117">
        <f t="shared" ref="R93:R104" si="86">B93*$R$6</f>
        <v>3.3358678451567383</v>
      </c>
      <c r="S93" s="1"/>
    </row>
    <row r="94" spans="1:19" ht="15.75" thickBot="1">
      <c r="A94" s="164" t="s">
        <v>156</v>
      </c>
      <c r="B94" s="167">
        <v>0.91072212774912253</v>
      </c>
      <c r="C94" s="125">
        <f t="shared" si="71"/>
        <v>27.075768857981412</v>
      </c>
      <c r="D94" s="126">
        <f t="shared" si="72"/>
        <v>18.953038200586988</v>
      </c>
      <c r="E94" s="125">
        <f t="shared" si="73"/>
        <v>14.480481831211049</v>
      </c>
      <c r="F94" s="126">
        <f t="shared" si="74"/>
        <v>7.2402409156055247</v>
      </c>
      <c r="G94" s="125">
        <f t="shared" si="75"/>
        <v>14.480481831211049</v>
      </c>
      <c r="H94" s="127">
        <f t="shared" si="76"/>
        <v>7.2402409156055247</v>
      </c>
      <c r="I94" s="114">
        <f t="shared" si="77"/>
        <v>27.075768857981412</v>
      </c>
      <c r="J94" s="115">
        <f t="shared" si="78"/>
        <v>18.953038200586988</v>
      </c>
      <c r="K94" s="128">
        <f t="shared" si="79"/>
        <v>27.075768857981412</v>
      </c>
      <c r="L94" s="126">
        <f t="shared" si="80"/>
        <v>18.953038200586988</v>
      </c>
      <c r="M94" s="125">
        <f t="shared" si="81"/>
        <v>27.075768857981412</v>
      </c>
      <c r="N94" s="126">
        <f t="shared" si="82"/>
        <v>18.953038200586988</v>
      </c>
      <c r="O94" s="125">
        <f t="shared" si="83"/>
        <v>27.075768857981412</v>
      </c>
      <c r="P94" s="144">
        <f t="shared" si="84"/>
        <v>18.953038200586988</v>
      </c>
      <c r="Q94" s="145">
        <f t="shared" si="85"/>
        <v>26.183261172787272</v>
      </c>
      <c r="R94" s="117">
        <f t="shared" si="86"/>
        <v>18.328282820951092</v>
      </c>
      <c r="S94" s="1"/>
    </row>
    <row r="95" spans="1:19" ht="15.75" thickBot="1">
      <c r="A95" s="164" t="s">
        <v>157</v>
      </c>
      <c r="B95" s="167">
        <v>1.1316789732309016</v>
      </c>
      <c r="C95" s="125">
        <f t="shared" si="71"/>
        <v>33.644815874154702</v>
      </c>
      <c r="D95" s="126">
        <f t="shared" si="72"/>
        <v>23.551371111908292</v>
      </c>
      <c r="E95" s="125">
        <f t="shared" si="73"/>
        <v>17.993695674371335</v>
      </c>
      <c r="F95" s="126">
        <f t="shared" si="74"/>
        <v>8.9968478371856673</v>
      </c>
      <c r="G95" s="125">
        <f t="shared" si="75"/>
        <v>17.993695674371335</v>
      </c>
      <c r="H95" s="127">
        <f t="shared" si="76"/>
        <v>8.9968478371856673</v>
      </c>
      <c r="I95" s="114">
        <f t="shared" si="77"/>
        <v>33.644815874154702</v>
      </c>
      <c r="J95" s="115">
        <f t="shared" si="78"/>
        <v>23.551371111908292</v>
      </c>
      <c r="K95" s="128">
        <f t="shared" si="79"/>
        <v>33.644815874154702</v>
      </c>
      <c r="L95" s="126">
        <f t="shared" si="80"/>
        <v>23.551371111908292</v>
      </c>
      <c r="M95" s="125">
        <f t="shared" si="81"/>
        <v>33.644815874154702</v>
      </c>
      <c r="N95" s="126">
        <f t="shared" si="82"/>
        <v>23.551371111908292</v>
      </c>
      <c r="O95" s="125">
        <f t="shared" si="83"/>
        <v>33.644815874154702</v>
      </c>
      <c r="P95" s="144">
        <f t="shared" si="84"/>
        <v>23.551371111908292</v>
      </c>
      <c r="Q95" s="145">
        <f t="shared" si="85"/>
        <v>32.535770480388422</v>
      </c>
      <c r="R95" s="117">
        <f t="shared" si="86"/>
        <v>22.775039336271895</v>
      </c>
      <c r="S95" s="1"/>
    </row>
    <row r="96" spans="1:19" ht="15.75" thickBot="1">
      <c r="A96" s="164" t="s">
        <v>158</v>
      </c>
      <c r="B96" s="167">
        <v>1.1835437137892695</v>
      </c>
      <c r="C96" s="125">
        <f t="shared" si="71"/>
        <v>35.186754610954985</v>
      </c>
      <c r="D96" s="126">
        <f t="shared" si="72"/>
        <v>24.630728227668488</v>
      </c>
      <c r="E96" s="125">
        <f t="shared" si="73"/>
        <v>18.818345049249384</v>
      </c>
      <c r="F96" s="126">
        <f t="shared" si="74"/>
        <v>9.409172524624692</v>
      </c>
      <c r="G96" s="125">
        <f t="shared" si="75"/>
        <v>18.818345049249384</v>
      </c>
      <c r="H96" s="127">
        <f t="shared" si="76"/>
        <v>9.409172524624692</v>
      </c>
      <c r="I96" s="114">
        <f t="shared" si="77"/>
        <v>35.186754610954985</v>
      </c>
      <c r="J96" s="115">
        <f t="shared" si="78"/>
        <v>24.630728227668488</v>
      </c>
      <c r="K96" s="128">
        <f t="shared" si="79"/>
        <v>35.186754610954985</v>
      </c>
      <c r="L96" s="126">
        <f t="shared" si="80"/>
        <v>24.630728227668488</v>
      </c>
      <c r="M96" s="125">
        <f t="shared" si="81"/>
        <v>35.186754610954985</v>
      </c>
      <c r="N96" s="126">
        <f t="shared" si="82"/>
        <v>24.630728227668488</v>
      </c>
      <c r="O96" s="125">
        <f t="shared" si="83"/>
        <v>35.186754610954985</v>
      </c>
      <c r="P96" s="144">
        <f t="shared" si="84"/>
        <v>24.630728227668488</v>
      </c>
      <c r="Q96" s="145">
        <f t="shared" si="85"/>
        <v>34.026881771441495</v>
      </c>
      <c r="R96" s="117">
        <f t="shared" si="86"/>
        <v>23.818817240009047</v>
      </c>
      <c r="S96" s="1"/>
    </row>
    <row r="97" spans="1:19" ht="15.75" thickBot="1">
      <c r="A97" s="164" t="s">
        <v>159</v>
      </c>
      <c r="B97" s="167">
        <v>1.2397176750480181</v>
      </c>
      <c r="C97" s="125">
        <f t="shared" si="71"/>
        <v>36.856806479177578</v>
      </c>
      <c r="D97" s="126">
        <f t="shared" si="72"/>
        <v>25.799764535424305</v>
      </c>
      <c r="E97" s="125">
        <f t="shared" si="73"/>
        <v>19.711511033263488</v>
      </c>
      <c r="F97" s="126">
        <f t="shared" si="74"/>
        <v>9.8557555166317439</v>
      </c>
      <c r="G97" s="125">
        <f t="shared" si="75"/>
        <v>19.711511033263488</v>
      </c>
      <c r="H97" s="127">
        <f t="shared" si="76"/>
        <v>9.8557555166317439</v>
      </c>
      <c r="I97" s="114">
        <f t="shared" si="77"/>
        <v>36.856806479177578</v>
      </c>
      <c r="J97" s="115">
        <f t="shared" si="78"/>
        <v>25.799764535424305</v>
      </c>
      <c r="K97" s="128">
        <f t="shared" si="79"/>
        <v>36.856806479177578</v>
      </c>
      <c r="L97" s="126">
        <f t="shared" si="80"/>
        <v>25.799764535424305</v>
      </c>
      <c r="M97" s="125">
        <f t="shared" si="81"/>
        <v>36.856806479177578</v>
      </c>
      <c r="N97" s="126">
        <f t="shared" si="82"/>
        <v>25.799764535424305</v>
      </c>
      <c r="O97" s="125">
        <f t="shared" si="83"/>
        <v>36.856806479177578</v>
      </c>
      <c r="P97" s="144">
        <f t="shared" si="84"/>
        <v>25.799764535424305</v>
      </c>
      <c r="Q97" s="145">
        <f t="shared" si="85"/>
        <v>35.641883157630524</v>
      </c>
      <c r="R97" s="117">
        <f t="shared" si="86"/>
        <v>24.949318210341364</v>
      </c>
      <c r="S97" s="1"/>
    </row>
    <row r="98" spans="1:19" ht="15.75" thickBot="1">
      <c r="A98" s="164" t="s">
        <v>160</v>
      </c>
      <c r="B98" s="167">
        <v>1.2061623752127208</v>
      </c>
      <c r="C98" s="125">
        <f t="shared" si="71"/>
        <v>35.859207415074188</v>
      </c>
      <c r="D98" s="126">
        <f t="shared" si="72"/>
        <v>25.101445190551935</v>
      </c>
      <c r="E98" s="125">
        <f t="shared" si="73"/>
        <v>19.177981765882262</v>
      </c>
      <c r="F98" s="126">
        <f t="shared" si="74"/>
        <v>9.5889908829411308</v>
      </c>
      <c r="G98" s="125">
        <f t="shared" si="75"/>
        <v>19.177981765882262</v>
      </c>
      <c r="H98" s="127">
        <f t="shared" si="76"/>
        <v>9.5889908829411308</v>
      </c>
      <c r="I98" s="114">
        <f t="shared" si="77"/>
        <v>35.859207415074188</v>
      </c>
      <c r="J98" s="115">
        <f t="shared" si="78"/>
        <v>25.101445190551935</v>
      </c>
      <c r="K98" s="128">
        <f t="shared" si="79"/>
        <v>35.859207415074188</v>
      </c>
      <c r="L98" s="126">
        <f t="shared" si="80"/>
        <v>25.101445190551935</v>
      </c>
      <c r="M98" s="125">
        <f t="shared" si="81"/>
        <v>35.859207415074188</v>
      </c>
      <c r="N98" s="126">
        <f t="shared" si="82"/>
        <v>25.101445190551935</v>
      </c>
      <c r="O98" s="125">
        <f t="shared" si="83"/>
        <v>35.859207415074188</v>
      </c>
      <c r="P98" s="144">
        <f t="shared" si="84"/>
        <v>25.101445190551935</v>
      </c>
      <c r="Q98" s="145">
        <f t="shared" si="85"/>
        <v>34.677168287365724</v>
      </c>
      <c r="R98" s="117">
        <f t="shared" si="86"/>
        <v>24.274017801156006</v>
      </c>
      <c r="S98" s="1"/>
    </row>
    <row r="99" spans="1:19" ht="15.75" thickBot="1">
      <c r="A99" s="164" t="s">
        <v>161</v>
      </c>
      <c r="B99" s="167">
        <v>1.7579362704959842</v>
      </c>
      <c r="C99" s="125">
        <f t="shared" si="71"/>
        <v>52.263445321845609</v>
      </c>
      <c r="D99" s="126">
        <f t="shared" si="72"/>
        <v>36.584411725291929</v>
      </c>
      <c r="E99" s="125">
        <f t="shared" si="73"/>
        <v>27.951186700886151</v>
      </c>
      <c r="F99" s="126">
        <f t="shared" si="74"/>
        <v>13.975593350443075</v>
      </c>
      <c r="G99" s="125">
        <f t="shared" si="75"/>
        <v>27.951186700886151</v>
      </c>
      <c r="H99" s="127">
        <f t="shared" si="76"/>
        <v>13.975593350443075</v>
      </c>
      <c r="I99" s="114">
        <f t="shared" si="77"/>
        <v>52.263445321845609</v>
      </c>
      <c r="J99" s="115">
        <f t="shared" si="78"/>
        <v>36.584411725291929</v>
      </c>
      <c r="K99" s="128">
        <f t="shared" si="79"/>
        <v>52.263445321845609</v>
      </c>
      <c r="L99" s="126">
        <f t="shared" si="80"/>
        <v>36.584411725291929</v>
      </c>
      <c r="M99" s="125">
        <f t="shared" si="81"/>
        <v>52.263445321845609</v>
      </c>
      <c r="N99" s="126">
        <f t="shared" si="82"/>
        <v>36.584411725291929</v>
      </c>
      <c r="O99" s="125">
        <f t="shared" si="83"/>
        <v>52.263445321845609</v>
      </c>
      <c r="P99" s="144">
        <f t="shared" si="84"/>
        <v>36.584411725291929</v>
      </c>
      <c r="Q99" s="145">
        <f t="shared" si="85"/>
        <v>50.540667776759548</v>
      </c>
      <c r="R99" s="117">
        <f t="shared" si="86"/>
        <v>35.37846744373168</v>
      </c>
      <c r="S99" s="1"/>
    </row>
    <row r="100" spans="1:19" ht="15.75" thickBot="1">
      <c r="A100" s="164" t="s">
        <v>163</v>
      </c>
      <c r="B100" s="167">
        <v>1.3364108982652865</v>
      </c>
      <c r="C100" s="125">
        <f t="shared" si="71"/>
        <v>39.731496005426969</v>
      </c>
      <c r="D100" s="126">
        <f t="shared" si="72"/>
        <v>27.812047203798876</v>
      </c>
      <c r="E100" s="125">
        <f t="shared" si="73"/>
        <v>21.248933282418054</v>
      </c>
      <c r="F100" s="126">
        <f t="shared" si="74"/>
        <v>10.624466641209027</v>
      </c>
      <c r="G100" s="125">
        <f t="shared" si="75"/>
        <v>21.248933282418054</v>
      </c>
      <c r="H100" s="127">
        <f t="shared" si="76"/>
        <v>10.624466641209027</v>
      </c>
      <c r="I100" s="114">
        <f t="shared" si="77"/>
        <v>39.731496005426969</v>
      </c>
      <c r="J100" s="115">
        <f t="shared" si="78"/>
        <v>27.812047203798876</v>
      </c>
      <c r="K100" s="128">
        <f t="shared" si="79"/>
        <v>39.731496005426969</v>
      </c>
      <c r="L100" s="126">
        <f t="shared" si="80"/>
        <v>27.812047203798876</v>
      </c>
      <c r="M100" s="125">
        <f t="shared" si="81"/>
        <v>39.731496005426969</v>
      </c>
      <c r="N100" s="126">
        <f t="shared" si="82"/>
        <v>27.812047203798876</v>
      </c>
      <c r="O100" s="125">
        <f t="shared" si="83"/>
        <v>39.731496005426969</v>
      </c>
      <c r="P100" s="144">
        <f t="shared" si="84"/>
        <v>27.812047203798876</v>
      </c>
      <c r="Q100" s="145">
        <f t="shared" si="85"/>
        <v>38.421813325126983</v>
      </c>
      <c r="R100" s="117">
        <f t="shared" si="86"/>
        <v>26.895269327588892</v>
      </c>
      <c r="S100" s="1"/>
    </row>
    <row r="101" spans="1:19" ht="15.75" thickBot="1">
      <c r="A101" s="164" t="s">
        <v>164</v>
      </c>
      <c r="B101" s="167">
        <v>1.0587719727775353</v>
      </c>
      <c r="C101" s="125">
        <f t="shared" si="71"/>
        <v>31.477290750676126</v>
      </c>
      <c r="D101" s="126">
        <f t="shared" si="72"/>
        <v>22.034103525473288</v>
      </c>
      <c r="E101" s="125">
        <f t="shared" si="73"/>
        <v>16.834474367162812</v>
      </c>
      <c r="F101" s="126">
        <f t="shared" si="74"/>
        <v>8.4172371835814062</v>
      </c>
      <c r="G101" s="125">
        <f t="shared" si="75"/>
        <v>16.834474367162812</v>
      </c>
      <c r="H101" s="127">
        <f t="shared" si="76"/>
        <v>8.4172371835814062</v>
      </c>
      <c r="I101" s="114">
        <f t="shared" si="77"/>
        <v>31.477290750676126</v>
      </c>
      <c r="J101" s="115">
        <f t="shared" si="78"/>
        <v>22.034103525473288</v>
      </c>
      <c r="K101" s="128">
        <f t="shared" si="79"/>
        <v>31.477290750676126</v>
      </c>
      <c r="L101" s="126">
        <f t="shared" si="80"/>
        <v>22.034103525473288</v>
      </c>
      <c r="M101" s="125">
        <f t="shared" si="81"/>
        <v>31.477290750676126</v>
      </c>
      <c r="N101" s="126">
        <f t="shared" si="82"/>
        <v>22.034103525473288</v>
      </c>
      <c r="O101" s="125">
        <f t="shared" si="83"/>
        <v>31.477290750676126</v>
      </c>
      <c r="P101" s="144">
        <f t="shared" si="84"/>
        <v>22.034103525473288</v>
      </c>
      <c r="Q101" s="145">
        <f t="shared" si="85"/>
        <v>30.439694217354141</v>
      </c>
      <c r="R101" s="117">
        <f t="shared" si="86"/>
        <v>21.307785952147899</v>
      </c>
      <c r="S101" s="1"/>
    </row>
    <row r="102" spans="1:19" ht="15.75" thickBot="1">
      <c r="A102" s="164" t="s">
        <v>165</v>
      </c>
      <c r="B102" s="167">
        <v>1.5652853005297418</v>
      </c>
      <c r="C102" s="125">
        <f t="shared" si="71"/>
        <v>46.535931984749226</v>
      </c>
      <c r="D102" s="126">
        <f t="shared" si="72"/>
        <v>32.575152389324458</v>
      </c>
      <c r="E102" s="125">
        <f t="shared" si="73"/>
        <v>24.888036278422895</v>
      </c>
      <c r="F102" s="126">
        <f t="shared" si="74"/>
        <v>12.444018139211448</v>
      </c>
      <c r="G102" s="125">
        <f t="shared" si="75"/>
        <v>24.888036278422895</v>
      </c>
      <c r="H102" s="127">
        <f t="shared" si="76"/>
        <v>12.444018139211448</v>
      </c>
      <c r="I102" s="114">
        <f t="shared" si="77"/>
        <v>46.535931984749226</v>
      </c>
      <c r="J102" s="115">
        <f t="shared" si="78"/>
        <v>32.575152389324458</v>
      </c>
      <c r="K102" s="128">
        <f t="shared" si="79"/>
        <v>46.535931984749226</v>
      </c>
      <c r="L102" s="126">
        <f t="shared" si="80"/>
        <v>32.575152389324458</v>
      </c>
      <c r="M102" s="125">
        <f t="shared" si="81"/>
        <v>46.535931984749226</v>
      </c>
      <c r="N102" s="126">
        <f t="shared" si="82"/>
        <v>32.575152389324458</v>
      </c>
      <c r="O102" s="125">
        <f t="shared" si="83"/>
        <v>46.535931984749226</v>
      </c>
      <c r="P102" s="144">
        <f t="shared" si="84"/>
        <v>32.575152389324458</v>
      </c>
      <c r="Q102" s="145">
        <f t="shared" si="85"/>
        <v>45.001952390230073</v>
      </c>
      <c r="R102" s="117">
        <f t="shared" si="86"/>
        <v>31.501366673161055</v>
      </c>
      <c r="S102" s="1"/>
    </row>
    <row r="103" spans="1:19" ht="15.75" thickBot="1">
      <c r="A103" s="164" t="s">
        <v>166</v>
      </c>
      <c r="B103" s="167">
        <v>1.5849563177482056</v>
      </c>
      <c r="C103" s="125">
        <f t="shared" si="71"/>
        <v>47.120751326654151</v>
      </c>
      <c r="D103" s="126">
        <f t="shared" si="72"/>
        <v>32.984525928657902</v>
      </c>
      <c r="E103" s="125">
        <f t="shared" si="73"/>
        <v>25.20080545219647</v>
      </c>
      <c r="F103" s="126">
        <f t="shared" si="74"/>
        <v>12.600402726098235</v>
      </c>
      <c r="G103" s="125">
        <f t="shared" si="75"/>
        <v>25.20080545219647</v>
      </c>
      <c r="H103" s="127">
        <f t="shared" si="76"/>
        <v>12.600402726098235</v>
      </c>
      <c r="I103" s="114">
        <f t="shared" si="77"/>
        <v>47.120751326654151</v>
      </c>
      <c r="J103" s="115">
        <f t="shared" si="78"/>
        <v>32.984525928657902</v>
      </c>
      <c r="K103" s="128">
        <f t="shared" si="79"/>
        <v>47.120751326654151</v>
      </c>
      <c r="L103" s="126">
        <f t="shared" si="80"/>
        <v>32.984525928657902</v>
      </c>
      <c r="M103" s="125">
        <f t="shared" si="81"/>
        <v>47.120751326654151</v>
      </c>
      <c r="N103" s="126">
        <f t="shared" si="82"/>
        <v>32.984525928657902</v>
      </c>
      <c r="O103" s="125">
        <f t="shared" si="83"/>
        <v>47.120751326654151</v>
      </c>
      <c r="P103" s="144">
        <f t="shared" si="84"/>
        <v>32.984525928657902</v>
      </c>
      <c r="Q103" s="145">
        <f t="shared" si="85"/>
        <v>45.567494135260908</v>
      </c>
      <c r="R103" s="117">
        <f t="shared" si="86"/>
        <v>31.897245894682637</v>
      </c>
      <c r="S103" s="1"/>
    </row>
    <row r="104" spans="1:19" ht="15.75" thickBot="1">
      <c r="A104" s="165" t="s">
        <v>162</v>
      </c>
      <c r="B104" s="168">
        <v>1.1478180554985224</v>
      </c>
      <c r="C104" s="125">
        <f t="shared" si="71"/>
        <v>34.124630789971071</v>
      </c>
      <c r="D104" s="126">
        <f t="shared" si="72"/>
        <v>23.887241552979752</v>
      </c>
      <c r="E104" s="125">
        <f t="shared" si="73"/>
        <v>18.250307082426506</v>
      </c>
      <c r="F104" s="126">
        <f t="shared" si="74"/>
        <v>9.125153541213253</v>
      </c>
      <c r="G104" s="125">
        <f t="shared" si="75"/>
        <v>18.250307082426506</v>
      </c>
      <c r="H104" s="127">
        <f t="shared" si="76"/>
        <v>9.125153541213253</v>
      </c>
      <c r="I104" s="114">
        <f t="shared" si="77"/>
        <v>34.124630789971071</v>
      </c>
      <c r="J104" s="115">
        <f t="shared" si="78"/>
        <v>23.887241552979752</v>
      </c>
      <c r="K104" s="128">
        <f t="shared" si="79"/>
        <v>34.124630789971071</v>
      </c>
      <c r="L104" s="126">
        <f t="shared" si="80"/>
        <v>23.887241552979752</v>
      </c>
      <c r="M104" s="125">
        <f t="shared" si="81"/>
        <v>34.124630789971071</v>
      </c>
      <c r="N104" s="126">
        <f t="shared" si="82"/>
        <v>23.887241552979752</v>
      </c>
      <c r="O104" s="125">
        <f t="shared" si="83"/>
        <v>34.124630789971071</v>
      </c>
      <c r="P104" s="144">
        <f t="shared" si="84"/>
        <v>23.887241552979752</v>
      </c>
      <c r="Q104" s="145">
        <f t="shared" si="85"/>
        <v>32.999769095582522</v>
      </c>
      <c r="R104" s="117">
        <f t="shared" si="86"/>
        <v>23.099838366907765</v>
      </c>
      <c r="S104" s="1"/>
    </row>
    <row r="105" spans="1:19">
      <c r="A105" s="4"/>
      <c r="B105" s="169"/>
      <c r="C105" s="169"/>
      <c r="D105" s="169"/>
      <c r="E105" s="169"/>
      <c r="F105" s="169"/>
      <c r="G105" s="169"/>
      <c r="H105" s="169"/>
      <c r="I105" s="169"/>
      <c r="J105" s="169"/>
      <c r="K105" s="169"/>
      <c r="L105" s="169"/>
      <c r="M105" s="171"/>
      <c r="N105" s="171"/>
      <c r="O105" s="171"/>
      <c r="P105" s="171"/>
      <c r="Q105" s="171"/>
      <c r="R105" s="1"/>
      <c r="S105" s="1"/>
    </row>
    <row r="106" spans="1:19">
      <c r="A106" s="4"/>
      <c r="B106" s="169"/>
      <c r="C106" s="169"/>
      <c r="D106" s="169"/>
      <c r="E106" s="169"/>
      <c r="F106" s="169"/>
      <c r="G106" s="169"/>
      <c r="H106" s="169"/>
      <c r="I106" s="169"/>
      <c r="J106" s="169"/>
      <c r="K106" s="169"/>
      <c r="L106" s="169"/>
      <c r="M106" s="171"/>
      <c r="N106" s="171"/>
      <c r="O106" s="171"/>
      <c r="P106" s="171"/>
      <c r="Q106" s="171"/>
      <c r="R106" s="1"/>
      <c r="S106" s="1"/>
    </row>
    <row r="107" spans="1:19">
      <c r="A107" s="4"/>
      <c r="B107" s="169"/>
      <c r="C107" s="169"/>
      <c r="D107" s="169"/>
      <c r="E107" s="169"/>
      <c r="F107" s="169"/>
      <c r="G107" s="169"/>
      <c r="H107" s="169"/>
      <c r="I107" s="169"/>
      <c r="J107" s="169"/>
      <c r="K107" s="169"/>
      <c r="L107" s="169"/>
      <c r="M107" s="171"/>
      <c r="N107" s="171"/>
      <c r="O107" s="171"/>
      <c r="P107" s="171"/>
      <c r="Q107" s="171"/>
      <c r="R107" s="1"/>
      <c r="S107" s="1"/>
    </row>
    <row r="108" spans="1:19">
      <c r="A108" s="4"/>
      <c r="B108" s="169"/>
      <c r="C108" s="169"/>
      <c r="D108" s="169"/>
      <c r="E108" s="169"/>
      <c r="F108" s="169"/>
      <c r="G108" s="169"/>
      <c r="H108" s="169"/>
      <c r="I108" s="169"/>
      <c r="J108" s="169"/>
      <c r="K108" s="169"/>
      <c r="L108" s="169"/>
      <c r="M108" s="171"/>
      <c r="N108" s="171"/>
      <c r="O108" s="171"/>
      <c r="P108" s="171"/>
      <c r="Q108" s="171"/>
      <c r="R108" s="1"/>
      <c r="S108" s="1"/>
    </row>
    <row r="109" spans="1:19">
      <c r="A109" s="4"/>
      <c r="B109" s="169"/>
      <c r="C109" s="169"/>
      <c r="D109" s="169"/>
      <c r="E109" s="169"/>
      <c r="F109" s="169"/>
      <c r="G109" s="169"/>
      <c r="H109" s="169"/>
      <c r="I109" s="169"/>
      <c r="J109" s="169"/>
      <c r="K109" s="169"/>
      <c r="L109" s="169"/>
      <c r="M109" s="171"/>
      <c r="N109" s="171"/>
      <c r="O109" s="171"/>
      <c r="P109" s="171"/>
      <c r="Q109" s="171"/>
      <c r="R109" s="1"/>
      <c r="S109" s="1"/>
    </row>
    <row r="110" spans="1:19">
      <c r="A110" s="4"/>
      <c r="B110" s="169"/>
      <c r="C110" s="169"/>
      <c r="D110" s="169"/>
      <c r="E110" s="169"/>
      <c r="F110" s="169"/>
      <c r="G110" s="169"/>
      <c r="H110" s="169"/>
      <c r="I110" s="169"/>
      <c r="J110" s="169"/>
      <c r="K110" s="169"/>
      <c r="L110" s="169"/>
      <c r="M110" s="171"/>
      <c r="N110" s="171"/>
      <c r="O110" s="171"/>
      <c r="P110" s="171"/>
      <c r="Q110" s="171"/>
      <c r="R110" s="1"/>
      <c r="S110" s="1"/>
    </row>
    <row r="111" spans="1:19">
      <c r="A111" s="4"/>
      <c r="B111" s="169"/>
      <c r="C111" s="169"/>
      <c r="D111" s="169"/>
      <c r="E111" s="169"/>
      <c r="F111" s="169"/>
      <c r="G111" s="169"/>
      <c r="H111" s="169"/>
      <c r="I111" s="169"/>
      <c r="J111" s="169"/>
      <c r="K111" s="169"/>
      <c r="L111" s="169"/>
      <c r="M111" s="171"/>
      <c r="N111" s="171"/>
      <c r="O111" s="171"/>
      <c r="P111" s="171"/>
      <c r="Q111" s="171"/>
      <c r="R111" s="1"/>
      <c r="S111" s="1"/>
    </row>
    <row r="112" spans="1:19">
      <c r="A112" s="4"/>
      <c r="B112" s="170"/>
      <c r="C112" s="170"/>
      <c r="D112" s="170"/>
      <c r="E112" s="170"/>
      <c r="F112" s="170"/>
      <c r="G112" s="170"/>
      <c r="H112" s="170"/>
      <c r="I112" s="170"/>
      <c r="J112" s="170"/>
      <c r="K112" s="170"/>
      <c r="L112" s="170"/>
      <c r="M112" s="172"/>
      <c r="N112" s="172"/>
      <c r="O112" s="172"/>
      <c r="P112" s="172"/>
      <c r="Q112" s="172"/>
      <c r="R112" s="1"/>
      <c r="S112" s="1"/>
    </row>
    <row r="113" spans="1:19">
      <c r="A113" s="4"/>
      <c r="B113" s="170"/>
      <c r="C113" s="170"/>
      <c r="D113" s="170"/>
      <c r="E113" s="170"/>
      <c r="F113" s="170"/>
      <c r="G113" s="170"/>
      <c r="H113" s="170"/>
      <c r="I113" s="170"/>
      <c r="J113" s="170"/>
      <c r="K113" s="170"/>
      <c r="L113" s="170"/>
      <c r="M113" s="172"/>
      <c r="N113" s="172"/>
      <c r="O113" s="172"/>
      <c r="P113" s="172"/>
      <c r="Q113" s="172"/>
      <c r="R113" s="1"/>
      <c r="S113" s="1"/>
    </row>
    <row r="114" spans="1:19">
      <c r="A114" s="4"/>
      <c r="B114" s="170"/>
      <c r="C114" s="170"/>
      <c r="D114" s="170"/>
      <c r="E114" s="170"/>
      <c r="F114" s="170"/>
      <c r="G114" s="170"/>
      <c r="H114" s="170"/>
      <c r="I114" s="170"/>
      <c r="J114" s="170"/>
      <c r="K114" s="170"/>
      <c r="L114" s="170"/>
      <c r="M114" s="172"/>
      <c r="N114" s="172"/>
      <c r="O114" s="172"/>
      <c r="P114" s="172"/>
      <c r="Q114" s="172"/>
      <c r="R114" s="1"/>
      <c r="S114" s="1"/>
    </row>
    <row r="115" spans="1:19">
      <c r="A115" s="4"/>
      <c r="B115" s="170"/>
      <c r="C115" s="170"/>
      <c r="D115" s="170"/>
      <c r="E115" s="170"/>
      <c r="F115" s="170"/>
      <c r="G115" s="170"/>
      <c r="H115" s="170"/>
      <c r="I115" s="170"/>
      <c r="J115" s="170"/>
      <c r="K115" s="170"/>
      <c r="L115" s="170"/>
      <c r="M115" s="172"/>
      <c r="N115" s="172"/>
      <c r="O115" s="172"/>
      <c r="P115" s="172"/>
      <c r="Q115" s="172"/>
      <c r="R115" s="1"/>
      <c r="S115" s="1"/>
    </row>
    <row r="116" spans="1:19">
      <c r="A116" s="4"/>
      <c r="B116" s="170"/>
      <c r="C116" s="170"/>
      <c r="D116" s="170"/>
      <c r="E116" s="170"/>
      <c r="F116" s="170"/>
      <c r="G116" s="170"/>
      <c r="H116" s="170"/>
      <c r="I116" s="170"/>
      <c r="J116" s="170"/>
      <c r="K116" s="170"/>
      <c r="L116" s="170"/>
      <c r="M116" s="172"/>
      <c r="N116" s="172"/>
      <c r="O116" s="172"/>
      <c r="P116" s="172"/>
      <c r="Q116" s="172"/>
      <c r="R116" s="1"/>
      <c r="S116" s="1"/>
    </row>
    <row r="117" spans="1:19">
      <c r="A117" s="4"/>
      <c r="B117" s="170"/>
      <c r="C117" s="170"/>
      <c r="D117" s="170"/>
      <c r="E117" s="170"/>
      <c r="F117" s="170"/>
      <c r="G117" s="170"/>
      <c r="H117" s="170"/>
      <c r="I117" s="170"/>
      <c r="J117" s="170"/>
      <c r="K117" s="170"/>
      <c r="L117" s="170"/>
      <c r="M117" s="172"/>
      <c r="N117" s="172"/>
      <c r="O117" s="172"/>
      <c r="P117" s="172"/>
      <c r="Q117" s="172"/>
      <c r="R117" s="1"/>
      <c r="S117" s="1"/>
    </row>
    <row r="118" spans="1:19">
      <c r="A118" s="4"/>
      <c r="B118" s="170"/>
      <c r="C118" s="170"/>
      <c r="D118" s="170"/>
      <c r="E118" s="170"/>
      <c r="F118" s="170"/>
      <c r="G118" s="170"/>
      <c r="H118" s="170"/>
      <c r="I118" s="170"/>
      <c r="J118" s="170"/>
      <c r="K118" s="170"/>
      <c r="L118" s="170"/>
      <c r="M118" s="172"/>
      <c r="N118" s="172"/>
      <c r="O118" s="172"/>
      <c r="P118" s="172"/>
      <c r="Q118" s="172"/>
      <c r="R118" s="1"/>
      <c r="S118" s="1"/>
    </row>
    <row r="119" spans="1:19">
      <c r="A119" s="4"/>
      <c r="B119" s="170"/>
      <c r="C119" s="170"/>
      <c r="D119" s="170"/>
      <c r="E119" s="170"/>
      <c r="F119" s="170"/>
      <c r="G119" s="170"/>
      <c r="H119" s="170"/>
      <c r="I119" s="170"/>
      <c r="J119" s="170"/>
      <c r="K119" s="170"/>
      <c r="L119" s="170"/>
      <c r="M119" s="172"/>
      <c r="N119" s="172"/>
      <c r="O119" s="172"/>
      <c r="P119" s="172"/>
      <c r="Q119" s="172"/>
      <c r="R119" s="1"/>
      <c r="S119" s="1"/>
    </row>
    <row r="120" spans="1:19">
      <c r="A120" s="4"/>
      <c r="B120" s="170"/>
      <c r="C120" s="170"/>
      <c r="D120" s="170"/>
      <c r="E120" s="170"/>
      <c r="F120" s="170"/>
      <c r="G120" s="170"/>
      <c r="H120" s="170"/>
      <c r="I120" s="170"/>
      <c r="J120" s="170"/>
      <c r="K120" s="170"/>
      <c r="L120" s="170"/>
      <c r="M120" s="172"/>
      <c r="N120" s="172"/>
      <c r="O120" s="172"/>
      <c r="P120" s="172"/>
      <c r="Q120" s="172"/>
      <c r="R120" s="1"/>
      <c r="S120" s="1"/>
    </row>
    <row r="121" spans="1:19">
      <c r="A121" s="4"/>
      <c r="B121" s="170"/>
      <c r="C121" s="170"/>
      <c r="D121" s="170"/>
      <c r="E121" s="170"/>
      <c r="F121" s="170"/>
      <c r="G121" s="170"/>
      <c r="H121" s="170"/>
      <c r="I121" s="170"/>
      <c r="J121" s="170"/>
      <c r="K121" s="170"/>
      <c r="L121" s="170"/>
      <c r="M121" s="172"/>
      <c r="N121" s="172"/>
      <c r="O121" s="172"/>
      <c r="P121" s="172"/>
      <c r="Q121" s="172"/>
      <c r="R121" s="1"/>
      <c r="S121" s="1"/>
    </row>
    <row r="122" spans="1:19">
      <c r="A122" s="4"/>
      <c r="B122" s="170"/>
      <c r="C122" s="170"/>
      <c r="D122" s="170"/>
      <c r="E122" s="170"/>
      <c r="F122" s="170"/>
      <c r="G122" s="170"/>
      <c r="H122" s="170"/>
      <c r="I122" s="170"/>
      <c r="J122" s="170"/>
      <c r="K122" s="170"/>
      <c r="L122" s="170"/>
      <c r="M122" s="172"/>
      <c r="N122" s="172"/>
      <c r="O122" s="172"/>
      <c r="P122" s="172"/>
      <c r="Q122" s="172"/>
      <c r="R122" s="1"/>
      <c r="S122" s="1"/>
    </row>
    <row r="123" spans="1:19">
      <c r="A123" s="4"/>
      <c r="B123" s="170"/>
      <c r="C123" s="170"/>
      <c r="D123" s="170"/>
      <c r="E123" s="170"/>
      <c r="F123" s="170"/>
      <c r="G123" s="170"/>
      <c r="H123" s="170"/>
      <c r="I123" s="170"/>
      <c r="J123" s="170"/>
      <c r="K123" s="170"/>
      <c r="L123" s="170"/>
      <c r="M123" s="172"/>
      <c r="N123" s="172"/>
      <c r="O123" s="172"/>
      <c r="P123" s="172"/>
      <c r="Q123" s="172"/>
      <c r="R123" s="1"/>
      <c r="S123" s="1"/>
    </row>
    <row r="124" spans="1:19">
      <c r="A124" s="4"/>
      <c r="B124" s="170"/>
      <c r="C124" s="170"/>
      <c r="D124" s="170"/>
      <c r="E124" s="170"/>
      <c r="F124" s="170"/>
      <c r="G124" s="170"/>
      <c r="H124" s="170"/>
      <c r="I124" s="170"/>
      <c r="J124" s="170"/>
      <c r="K124" s="170"/>
      <c r="L124" s="170"/>
      <c r="M124" s="172"/>
      <c r="N124" s="172"/>
      <c r="O124" s="172"/>
      <c r="P124" s="172"/>
      <c r="Q124" s="172"/>
      <c r="R124" s="1"/>
      <c r="S124" s="1"/>
    </row>
    <row r="125" spans="1:19">
      <c r="A125" s="4"/>
      <c r="B125" s="170"/>
      <c r="C125" s="170"/>
      <c r="D125" s="170"/>
      <c r="E125" s="170"/>
      <c r="F125" s="170"/>
      <c r="G125" s="170"/>
      <c r="H125" s="170"/>
      <c r="I125" s="170"/>
      <c r="J125" s="170"/>
      <c r="K125" s="170"/>
      <c r="L125" s="170"/>
      <c r="M125" s="172"/>
      <c r="N125" s="172"/>
      <c r="O125" s="172"/>
      <c r="P125" s="172"/>
      <c r="Q125" s="172"/>
      <c r="R125" s="1"/>
      <c r="S125" s="1"/>
    </row>
    <row r="126" spans="1:19">
      <c r="A126" s="4"/>
      <c r="B126" s="170"/>
      <c r="C126" s="170"/>
      <c r="D126" s="170"/>
      <c r="E126" s="170"/>
      <c r="F126" s="170"/>
      <c r="G126" s="170"/>
      <c r="H126" s="170"/>
      <c r="I126" s="170"/>
      <c r="J126" s="170"/>
      <c r="K126" s="170"/>
      <c r="L126" s="170"/>
      <c r="M126" s="172"/>
      <c r="N126" s="172"/>
      <c r="O126" s="172"/>
      <c r="P126" s="172"/>
      <c r="Q126" s="172"/>
      <c r="R126" s="1"/>
      <c r="S126" s="1"/>
    </row>
    <row r="127" spans="1:19">
      <c r="A127" s="4"/>
      <c r="B127" s="170"/>
      <c r="C127" s="170"/>
      <c r="D127" s="170"/>
      <c r="E127" s="170"/>
      <c r="F127" s="170"/>
      <c r="G127" s="170"/>
      <c r="H127" s="170"/>
      <c r="I127" s="170"/>
      <c r="J127" s="170"/>
      <c r="K127" s="170"/>
      <c r="L127" s="170"/>
      <c r="M127" s="172"/>
      <c r="N127" s="172"/>
      <c r="O127" s="172"/>
      <c r="P127" s="172"/>
      <c r="Q127" s="172"/>
      <c r="R127" s="1"/>
      <c r="S127" s="1"/>
    </row>
    <row r="128" spans="1:19">
      <c r="A128" s="4"/>
      <c r="B128" s="170"/>
      <c r="C128" s="170"/>
      <c r="D128" s="170"/>
      <c r="E128" s="170"/>
      <c r="F128" s="170"/>
      <c r="G128" s="170"/>
      <c r="H128" s="170"/>
      <c r="I128" s="170"/>
      <c r="J128" s="170"/>
      <c r="K128" s="170"/>
      <c r="L128" s="170"/>
      <c r="M128" s="172"/>
      <c r="N128" s="172"/>
      <c r="O128" s="172"/>
      <c r="P128" s="172"/>
      <c r="Q128" s="172"/>
      <c r="R128" s="1"/>
      <c r="S128" s="1"/>
    </row>
    <row r="129" spans="1:19">
      <c r="A129" s="4"/>
      <c r="B129" s="170"/>
      <c r="C129" s="170"/>
      <c r="D129" s="170"/>
      <c r="E129" s="170"/>
      <c r="F129" s="170"/>
      <c r="G129" s="170"/>
      <c r="H129" s="170"/>
      <c r="I129" s="170"/>
      <c r="J129" s="170"/>
      <c r="K129" s="170"/>
      <c r="L129" s="170"/>
      <c r="M129" s="172"/>
      <c r="N129" s="172"/>
      <c r="O129" s="172"/>
      <c r="P129" s="172"/>
      <c r="Q129" s="172"/>
      <c r="R129" s="1"/>
      <c r="S129" s="1"/>
    </row>
    <row r="130" spans="1:19">
      <c r="A130" s="4"/>
      <c r="B130" s="170"/>
      <c r="C130" s="170"/>
      <c r="D130" s="170"/>
      <c r="E130" s="170"/>
      <c r="F130" s="170"/>
      <c r="G130" s="170"/>
      <c r="H130" s="170"/>
      <c r="I130" s="170"/>
      <c r="J130" s="170"/>
      <c r="K130" s="170"/>
      <c r="L130" s="170"/>
      <c r="M130" s="172"/>
      <c r="N130" s="172"/>
      <c r="O130" s="172"/>
      <c r="P130" s="172"/>
      <c r="Q130" s="172"/>
      <c r="R130" s="1"/>
      <c r="S130" s="1"/>
    </row>
    <row r="131" spans="1:19">
      <c r="A131" s="4"/>
      <c r="B131" s="170"/>
      <c r="C131" s="170"/>
      <c r="D131" s="170"/>
      <c r="E131" s="170"/>
      <c r="F131" s="170"/>
      <c r="G131" s="170"/>
      <c r="H131" s="170"/>
      <c r="I131" s="170"/>
      <c r="J131" s="170"/>
      <c r="K131" s="170"/>
      <c r="L131" s="170"/>
      <c r="M131" s="172"/>
      <c r="N131" s="172"/>
      <c r="O131" s="172"/>
      <c r="P131" s="172"/>
      <c r="Q131" s="172"/>
      <c r="R131" s="1"/>
      <c r="S131" s="1"/>
    </row>
    <row r="132" spans="1:19">
      <c r="A132" s="4"/>
      <c r="B132" s="170"/>
      <c r="C132" s="170"/>
      <c r="D132" s="170"/>
      <c r="E132" s="170"/>
      <c r="F132" s="170"/>
      <c r="G132" s="170"/>
      <c r="H132" s="170"/>
      <c r="I132" s="170"/>
      <c r="J132" s="170"/>
      <c r="K132" s="170"/>
      <c r="L132" s="170"/>
      <c r="M132" s="172"/>
      <c r="N132" s="172"/>
      <c r="O132" s="172"/>
      <c r="P132" s="172"/>
      <c r="Q132" s="172"/>
      <c r="R132" s="1"/>
      <c r="S132" s="1"/>
    </row>
    <row r="133" spans="1:19">
      <c r="A133" s="4"/>
      <c r="B133" s="170"/>
      <c r="C133" s="170"/>
      <c r="D133" s="170"/>
      <c r="E133" s="170"/>
      <c r="F133" s="170"/>
      <c r="G133" s="170"/>
      <c r="H133" s="170"/>
      <c r="I133" s="170"/>
      <c r="J133" s="170"/>
      <c r="K133" s="170"/>
      <c r="L133" s="170"/>
      <c r="M133" s="172"/>
      <c r="N133" s="172"/>
      <c r="O133" s="172"/>
      <c r="P133" s="172"/>
      <c r="Q133" s="172"/>
      <c r="R133" s="1"/>
      <c r="S133" s="1"/>
    </row>
    <row r="134" spans="1:19">
      <c r="A134" s="4"/>
      <c r="B134" s="170"/>
      <c r="C134" s="170"/>
      <c r="D134" s="170"/>
      <c r="E134" s="170"/>
      <c r="F134" s="170"/>
      <c r="G134" s="170"/>
      <c r="H134" s="170"/>
      <c r="I134" s="170"/>
      <c r="J134" s="170"/>
      <c r="K134" s="170"/>
      <c r="L134" s="170"/>
      <c r="M134" s="172"/>
      <c r="N134" s="172"/>
      <c r="O134" s="172"/>
      <c r="P134" s="172"/>
      <c r="Q134" s="172"/>
      <c r="R134" s="1"/>
      <c r="S134" s="1"/>
    </row>
    <row r="135" spans="1:19">
      <c r="A135" s="4"/>
      <c r="B135" s="170"/>
      <c r="C135" s="170"/>
      <c r="D135" s="170"/>
      <c r="E135" s="170"/>
      <c r="F135" s="170"/>
      <c r="G135" s="170"/>
      <c r="H135" s="170"/>
      <c r="I135" s="170"/>
      <c r="J135" s="170"/>
      <c r="K135" s="170"/>
      <c r="L135" s="170"/>
      <c r="M135" s="172"/>
      <c r="N135" s="172"/>
      <c r="O135" s="172"/>
      <c r="P135" s="172"/>
      <c r="Q135" s="172"/>
      <c r="R135" s="1"/>
      <c r="S135" s="1"/>
    </row>
    <row r="136" spans="1:19">
      <c r="A136" s="4"/>
      <c r="B136" s="170"/>
      <c r="C136" s="170"/>
      <c r="D136" s="170"/>
      <c r="E136" s="170"/>
      <c r="F136" s="170"/>
      <c r="G136" s="170"/>
      <c r="H136" s="170"/>
      <c r="I136" s="170"/>
      <c r="J136" s="170"/>
      <c r="K136" s="170"/>
      <c r="L136" s="170"/>
      <c r="M136" s="172"/>
      <c r="N136" s="172"/>
      <c r="O136" s="172"/>
      <c r="P136" s="172"/>
      <c r="Q136" s="172"/>
      <c r="R136" s="1"/>
      <c r="S136" s="1"/>
    </row>
    <row r="137" spans="1:19">
      <c r="A137" s="4"/>
      <c r="B137" s="170"/>
      <c r="C137" s="170"/>
      <c r="D137" s="170"/>
      <c r="E137" s="170"/>
      <c r="F137" s="170"/>
      <c r="G137" s="170"/>
      <c r="H137" s="170"/>
      <c r="I137" s="170"/>
      <c r="J137" s="170"/>
      <c r="K137" s="170"/>
      <c r="L137" s="170"/>
      <c r="M137" s="172"/>
      <c r="N137" s="172"/>
      <c r="O137" s="172"/>
      <c r="P137" s="172"/>
      <c r="Q137" s="172"/>
      <c r="R137" s="1"/>
      <c r="S137" s="1"/>
    </row>
    <row r="138" spans="1:19">
      <c r="A138" s="4"/>
      <c r="B138" s="170"/>
      <c r="C138" s="170"/>
      <c r="D138" s="170"/>
      <c r="E138" s="170"/>
      <c r="F138" s="170"/>
      <c r="G138" s="170"/>
      <c r="H138" s="170"/>
      <c r="I138" s="170"/>
      <c r="J138" s="170"/>
      <c r="K138" s="170"/>
      <c r="L138" s="170"/>
      <c r="M138" s="172"/>
      <c r="N138" s="172"/>
      <c r="O138" s="172"/>
      <c r="P138" s="172"/>
      <c r="Q138" s="172"/>
      <c r="R138" s="1"/>
      <c r="S138" s="1"/>
    </row>
    <row r="139" spans="1:19">
      <c r="A139" s="4"/>
      <c r="B139" s="170"/>
      <c r="C139" s="170"/>
      <c r="D139" s="170"/>
      <c r="E139" s="170"/>
      <c r="F139" s="170"/>
      <c r="G139" s="170"/>
      <c r="H139" s="170"/>
      <c r="I139" s="170"/>
      <c r="J139" s="170"/>
      <c r="K139" s="170"/>
      <c r="L139" s="170"/>
      <c r="M139" s="172"/>
      <c r="N139" s="172"/>
      <c r="O139" s="172"/>
      <c r="P139" s="172"/>
      <c r="Q139" s="172"/>
      <c r="R139" s="1"/>
      <c r="S139" s="1"/>
    </row>
    <row r="140" spans="1:19">
      <c r="A140" s="4"/>
      <c r="B140" s="170"/>
      <c r="C140" s="170"/>
      <c r="D140" s="170"/>
      <c r="E140" s="170"/>
      <c r="F140" s="170"/>
      <c r="G140" s="170"/>
      <c r="H140" s="170"/>
      <c r="I140" s="170"/>
      <c r="J140" s="170"/>
      <c r="K140" s="170"/>
      <c r="L140" s="170"/>
      <c r="M140" s="172"/>
      <c r="N140" s="172"/>
      <c r="O140" s="172"/>
      <c r="P140" s="172"/>
      <c r="Q140" s="172"/>
      <c r="R140" s="1"/>
      <c r="S140" s="1"/>
    </row>
    <row r="141" spans="1:19">
      <c r="A141" s="4"/>
      <c r="B141" s="170"/>
      <c r="C141" s="170"/>
      <c r="D141" s="170"/>
      <c r="E141" s="170"/>
      <c r="F141" s="170"/>
      <c r="G141" s="170"/>
      <c r="H141" s="170"/>
      <c r="I141" s="170"/>
      <c r="J141" s="170"/>
      <c r="K141" s="170"/>
      <c r="L141" s="170"/>
      <c r="M141" s="172"/>
      <c r="N141" s="172"/>
      <c r="O141" s="172"/>
      <c r="P141" s="172"/>
      <c r="Q141" s="172"/>
      <c r="R141" s="1"/>
      <c r="S141" s="1"/>
    </row>
    <row r="142" spans="1:19">
      <c r="A142" s="4"/>
      <c r="B142" s="170"/>
      <c r="C142" s="170"/>
      <c r="D142" s="170"/>
      <c r="E142" s="170"/>
      <c r="F142" s="170"/>
      <c r="G142" s="170"/>
      <c r="H142" s="170"/>
      <c r="I142" s="170"/>
      <c r="J142" s="170"/>
      <c r="K142" s="170"/>
      <c r="L142" s="170"/>
      <c r="M142" s="172"/>
      <c r="N142" s="172"/>
      <c r="O142" s="172"/>
      <c r="P142" s="172"/>
      <c r="Q142" s="172"/>
      <c r="R142" s="1"/>
      <c r="S142" s="1"/>
    </row>
    <row r="143" spans="1:19">
      <c r="A143" s="4"/>
      <c r="B143" s="170"/>
      <c r="C143" s="170"/>
      <c r="D143" s="170"/>
      <c r="E143" s="170"/>
      <c r="F143" s="170"/>
      <c r="G143" s="170"/>
      <c r="H143" s="170"/>
      <c r="I143" s="170"/>
      <c r="J143" s="170"/>
      <c r="K143" s="170"/>
      <c r="L143" s="170"/>
      <c r="M143" s="172"/>
      <c r="N143" s="172"/>
      <c r="O143" s="172"/>
      <c r="P143" s="172"/>
      <c r="Q143" s="172"/>
      <c r="R143" s="1"/>
      <c r="S143" s="1"/>
    </row>
    <row r="144" spans="1:19">
      <c r="A144" s="4"/>
      <c r="B144" s="170"/>
      <c r="C144" s="170"/>
      <c r="D144" s="170"/>
      <c r="E144" s="170"/>
      <c r="F144" s="170"/>
      <c r="G144" s="170"/>
      <c r="H144" s="170"/>
      <c r="I144" s="170"/>
      <c r="J144" s="170"/>
      <c r="K144" s="170"/>
      <c r="L144" s="170"/>
      <c r="M144" s="172"/>
      <c r="N144" s="172"/>
      <c r="O144" s="172"/>
      <c r="P144" s="172"/>
      <c r="Q144" s="172"/>
      <c r="R144" s="1"/>
      <c r="S144" s="1"/>
    </row>
    <row r="145" spans="1:19">
      <c r="A145" s="4"/>
      <c r="B145" s="170"/>
      <c r="C145" s="170"/>
      <c r="D145" s="170"/>
      <c r="E145" s="170"/>
      <c r="F145" s="170"/>
      <c r="G145" s="170"/>
      <c r="H145" s="170"/>
      <c r="I145" s="170"/>
      <c r="J145" s="170"/>
      <c r="K145" s="170"/>
      <c r="L145" s="170"/>
      <c r="M145" s="172"/>
      <c r="N145" s="172"/>
      <c r="O145" s="172"/>
      <c r="P145" s="172"/>
      <c r="Q145" s="172"/>
      <c r="R145" s="1"/>
      <c r="S145" s="1"/>
    </row>
    <row r="146" spans="1:19">
      <c r="A146" s="4"/>
      <c r="B146" s="170"/>
      <c r="C146" s="170"/>
      <c r="D146" s="170"/>
      <c r="E146" s="170"/>
      <c r="F146" s="170"/>
      <c r="G146" s="170"/>
      <c r="H146" s="170"/>
      <c r="I146" s="170"/>
      <c r="J146" s="170"/>
      <c r="K146" s="170"/>
      <c r="L146" s="170"/>
      <c r="M146" s="172"/>
      <c r="N146" s="172"/>
      <c r="O146" s="172"/>
      <c r="P146" s="172"/>
      <c r="Q146" s="172"/>
      <c r="R146" s="1"/>
      <c r="S146" s="1"/>
    </row>
    <row r="147" spans="1:19">
      <c r="A147" s="4"/>
      <c r="B147" s="170"/>
      <c r="C147" s="170"/>
      <c r="D147" s="170"/>
      <c r="E147" s="170"/>
      <c r="F147" s="170"/>
      <c r="G147" s="170"/>
      <c r="H147" s="170"/>
      <c r="I147" s="170"/>
      <c r="J147" s="170"/>
      <c r="K147" s="170"/>
      <c r="L147" s="170"/>
      <c r="M147" s="172"/>
      <c r="N147" s="172"/>
      <c r="O147" s="172"/>
      <c r="P147" s="172"/>
      <c r="Q147" s="172"/>
      <c r="R147" s="1"/>
      <c r="S147" s="1"/>
    </row>
    <row r="148" spans="1:19">
      <c r="A148" s="4"/>
      <c r="B148" s="170"/>
      <c r="C148" s="170"/>
      <c r="D148" s="170"/>
      <c r="E148" s="170"/>
      <c r="F148" s="170"/>
      <c r="G148" s="170"/>
      <c r="H148" s="170"/>
      <c r="I148" s="170"/>
      <c r="J148" s="170"/>
      <c r="K148" s="170"/>
      <c r="L148" s="170"/>
      <c r="M148" s="172"/>
      <c r="N148" s="172"/>
      <c r="O148" s="172"/>
      <c r="P148" s="172"/>
      <c r="Q148" s="172"/>
      <c r="R148" s="1"/>
      <c r="S148" s="1"/>
    </row>
    <row r="149" spans="1:19">
      <c r="A149" s="4"/>
      <c r="B149" s="170"/>
      <c r="C149" s="170"/>
      <c r="D149" s="170"/>
      <c r="E149" s="170"/>
      <c r="F149" s="170"/>
      <c r="G149" s="170"/>
      <c r="H149" s="170"/>
      <c r="I149" s="170"/>
      <c r="J149" s="170"/>
      <c r="K149" s="170"/>
      <c r="L149" s="170"/>
      <c r="M149" s="172"/>
      <c r="N149" s="172"/>
      <c r="O149" s="172"/>
      <c r="P149" s="172"/>
      <c r="Q149" s="172"/>
      <c r="R149" s="1"/>
      <c r="S149" s="1"/>
    </row>
    <row r="150" spans="1:19">
      <c r="A150" s="4"/>
      <c r="B150" s="170"/>
      <c r="C150" s="170"/>
      <c r="D150" s="170"/>
      <c r="E150" s="170"/>
      <c r="F150" s="170"/>
      <c r="G150" s="170"/>
      <c r="H150" s="170"/>
      <c r="I150" s="170"/>
      <c r="J150" s="170"/>
      <c r="K150" s="170"/>
      <c r="L150" s="170"/>
      <c r="M150" s="172"/>
      <c r="N150" s="172"/>
      <c r="O150" s="172"/>
      <c r="P150" s="172"/>
      <c r="Q150" s="172"/>
      <c r="R150" s="1"/>
      <c r="S150" s="1"/>
    </row>
    <row r="151" spans="1:19">
      <c r="A151" s="4"/>
      <c r="B151" s="170"/>
      <c r="C151" s="170"/>
      <c r="D151" s="170"/>
      <c r="E151" s="170"/>
      <c r="F151" s="170"/>
      <c r="G151" s="170"/>
      <c r="H151" s="170"/>
      <c r="I151" s="170"/>
      <c r="J151" s="170"/>
      <c r="K151" s="170"/>
      <c r="L151" s="170"/>
      <c r="M151" s="172"/>
      <c r="N151" s="172"/>
      <c r="O151" s="172"/>
      <c r="P151" s="172"/>
      <c r="Q151" s="172"/>
      <c r="R151" s="1"/>
      <c r="S151" s="1"/>
    </row>
    <row r="152" spans="1:19">
      <c r="A152" s="4"/>
      <c r="B152" s="170"/>
      <c r="C152" s="170"/>
      <c r="D152" s="170"/>
      <c r="E152" s="170"/>
      <c r="F152" s="170"/>
      <c r="G152" s="170"/>
      <c r="H152" s="170"/>
      <c r="I152" s="170"/>
      <c r="J152" s="170"/>
      <c r="K152" s="170"/>
      <c r="L152" s="170"/>
      <c r="M152" s="172"/>
      <c r="N152" s="172"/>
      <c r="O152" s="172"/>
      <c r="P152" s="172"/>
      <c r="Q152" s="172"/>
      <c r="R152" s="1"/>
      <c r="S152" s="1"/>
    </row>
    <row r="153" spans="1:19">
      <c r="A153" s="4"/>
      <c r="B153" s="170"/>
      <c r="C153" s="170"/>
      <c r="D153" s="170"/>
      <c r="E153" s="170"/>
      <c r="F153" s="170"/>
      <c r="G153" s="170"/>
      <c r="H153" s="170"/>
      <c r="I153" s="170"/>
      <c r="J153" s="170"/>
      <c r="K153" s="170"/>
      <c r="L153" s="170"/>
      <c r="M153" s="172"/>
      <c r="N153" s="172"/>
      <c r="O153" s="172"/>
      <c r="P153" s="172"/>
      <c r="Q153" s="172"/>
      <c r="R153" s="1"/>
      <c r="S153" s="1"/>
    </row>
    <row r="154" spans="1:19">
      <c r="A154" s="4"/>
      <c r="B154" s="170"/>
      <c r="C154" s="170"/>
      <c r="D154" s="170"/>
      <c r="E154" s="170"/>
      <c r="F154" s="170"/>
      <c r="G154" s="170"/>
      <c r="H154" s="170"/>
      <c r="I154" s="170"/>
      <c r="J154" s="170"/>
      <c r="K154" s="170"/>
      <c r="L154" s="170"/>
      <c r="M154" s="172"/>
      <c r="N154" s="172"/>
      <c r="O154" s="172"/>
      <c r="P154" s="172"/>
      <c r="Q154" s="172"/>
      <c r="R154" s="1"/>
      <c r="S154" s="1"/>
    </row>
    <row r="155" spans="1:19">
      <c r="A155" s="4"/>
      <c r="B155" s="170"/>
      <c r="C155" s="170"/>
      <c r="D155" s="170"/>
      <c r="E155" s="170"/>
      <c r="F155" s="170"/>
      <c r="G155" s="170"/>
      <c r="H155" s="170"/>
      <c r="I155" s="170"/>
      <c r="J155" s="170"/>
      <c r="K155" s="170"/>
      <c r="L155" s="170"/>
      <c r="M155" s="172"/>
      <c r="N155" s="172"/>
      <c r="O155" s="172"/>
      <c r="P155" s="172"/>
      <c r="Q155" s="172"/>
      <c r="R155" s="1"/>
      <c r="S155" s="1"/>
    </row>
    <row r="156" spans="1:19">
      <c r="A156" s="4"/>
      <c r="B156" s="170"/>
      <c r="C156" s="170"/>
      <c r="D156" s="170"/>
      <c r="E156" s="170"/>
      <c r="F156" s="170"/>
      <c r="G156" s="170"/>
      <c r="H156" s="170"/>
      <c r="I156" s="170"/>
      <c r="J156" s="170"/>
      <c r="K156" s="170"/>
      <c r="L156" s="170"/>
      <c r="M156" s="172"/>
      <c r="N156" s="172"/>
      <c r="O156" s="172"/>
      <c r="P156" s="172"/>
      <c r="Q156" s="172"/>
      <c r="R156" s="1"/>
      <c r="S156" s="1"/>
    </row>
    <row r="157" spans="1:19">
      <c r="A157" s="4"/>
      <c r="B157" s="170"/>
      <c r="C157" s="170"/>
      <c r="D157" s="170"/>
      <c r="E157" s="170"/>
      <c r="F157" s="170"/>
      <c r="G157" s="170"/>
      <c r="H157" s="170"/>
      <c r="I157" s="170"/>
      <c r="J157" s="170"/>
      <c r="K157" s="170"/>
      <c r="L157" s="170"/>
      <c r="M157" s="172"/>
      <c r="N157" s="172"/>
      <c r="O157" s="172"/>
      <c r="P157" s="172"/>
      <c r="Q157" s="172"/>
      <c r="R157" s="1"/>
      <c r="S157" s="1"/>
    </row>
    <row r="158" spans="1:19">
      <c r="A158" s="4"/>
      <c r="B158" s="170"/>
      <c r="C158" s="170"/>
      <c r="D158" s="170"/>
      <c r="E158" s="170"/>
      <c r="F158" s="170"/>
      <c r="G158" s="170"/>
      <c r="H158" s="170"/>
      <c r="I158" s="170"/>
      <c r="J158" s="170"/>
      <c r="K158" s="170"/>
      <c r="L158" s="170"/>
      <c r="M158" s="172"/>
      <c r="N158" s="172"/>
      <c r="O158" s="172"/>
      <c r="P158" s="172"/>
      <c r="Q158" s="172"/>
      <c r="R158" s="1"/>
      <c r="S158" s="1"/>
    </row>
    <row r="159" spans="1:19">
      <c r="A159" s="4"/>
      <c r="B159" s="170"/>
      <c r="C159" s="170"/>
      <c r="D159" s="170"/>
      <c r="E159" s="170"/>
      <c r="F159" s="170"/>
      <c r="G159" s="170"/>
      <c r="H159" s="170"/>
      <c r="I159" s="170"/>
      <c r="J159" s="170"/>
      <c r="K159" s="170"/>
      <c r="L159" s="170"/>
      <c r="M159" s="172"/>
      <c r="N159" s="172"/>
      <c r="O159" s="172"/>
      <c r="P159" s="172"/>
      <c r="Q159" s="172"/>
      <c r="R159" s="1"/>
      <c r="S159" s="1"/>
    </row>
    <row r="160" spans="1:19">
      <c r="A160" s="4"/>
      <c r="B160" s="170"/>
      <c r="C160" s="170"/>
      <c r="D160" s="170"/>
      <c r="E160" s="170"/>
      <c r="F160" s="170"/>
      <c r="G160" s="170"/>
      <c r="H160" s="170"/>
      <c r="I160" s="170"/>
      <c r="J160" s="170"/>
      <c r="K160" s="170"/>
      <c r="L160" s="170"/>
      <c r="M160" s="172"/>
      <c r="N160" s="172"/>
      <c r="O160" s="172"/>
      <c r="P160" s="172"/>
      <c r="Q160" s="172"/>
      <c r="R160" s="1"/>
      <c r="S160" s="1"/>
    </row>
    <row r="161" spans="1:19">
      <c r="A161" s="4"/>
      <c r="B161" s="170"/>
      <c r="C161" s="170"/>
      <c r="D161" s="170"/>
      <c r="E161" s="170"/>
      <c r="F161" s="170"/>
      <c r="G161" s="170"/>
      <c r="H161" s="170"/>
      <c r="I161" s="170"/>
      <c r="J161" s="170"/>
      <c r="K161" s="170"/>
      <c r="L161" s="170"/>
      <c r="M161" s="172"/>
      <c r="N161" s="172"/>
      <c r="O161" s="172"/>
      <c r="P161" s="172"/>
      <c r="Q161" s="172"/>
      <c r="R161" s="1"/>
      <c r="S161" s="1"/>
    </row>
    <row r="162" spans="1:19">
      <c r="A162" s="4"/>
      <c r="B162" s="170"/>
      <c r="C162" s="170"/>
      <c r="D162" s="170"/>
      <c r="E162" s="170"/>
      <c r="F162" s="170"/>
      <c r="G162" s="170"/>
      <c r="H162" s="170"/>
      <c r="I162" s="170"/>
      <c r="J162" s="170"/>
      <c r="K162" s="170"/>
      <c r="L162" s="170"/>
      <c r="M162" s="172"/>
      <c r="N162" s="172"/>
      <c r="O162" s="172"/>
      <c r="P162" s="172"/>
      <c r="Q162" s="172"/>
      <c r="R162" s="1"/>
      <c r="S162" s="1"/>
    </row>
    <row r="163" spans="1:19">
      <c r="A163" s="4"/>
      <c r="B163" s="170"/>
      <c r="C163" s="170"/>
      <c r="D163" s="170"/>
      <c r="E163" s="170"/>
      <c r="F163" s="170"/>
      <c r="G163" s="170"/>
      <c r="H163" s="170"/>
      <c r="I163" s="170"/>
      <c r="J163" s="170"/>
      <c r="K163" s="170"/>
      <c r="L163" s="170"/>
      <c r="M163" s="172"/>
      <c r="N163" s="172"/>
      <c r="O163" s="172"/>
      <c r="P163" s="172"/>
      <c r="Q163" s="172"/>
      <c r="R163" s="1"/>
      <c r="S163" s="1"/>
    </row>
    <row r="164" spans="1:19">
      <c r="A164" s="4"/>
      <c r="B164" s="170"/>
      <c r="C164" s="170"/>
      <c r="D164" s="170"/>
      <c r="E164" s="170"/>
      <c r="F164" s="170"/>
      <c r="G164" s="170"/>
      <c r="H164" s="170"/>
      <c r="I164" s="170"/>
      <c r="J164" s="170"/>
      <c r="K164" s="170"/>
      <c r="L164" s="170"/>
      <c r="M164" s="172"/>
      <c r="N164" s="172"/>
      <c r="O164" s="172"/>
      <c r="P164" s="172"/>
      <c r="Q164" s="172"/>
      <c r="R164" s="1"/>
      <c r="S164" s="1"/>
    </row>
    <row r="165" spans="1:19">
      <c r="A165" s="4"/>
      <c r="B165" s="170"/>
      <c r="C165" s="170"/>
      <c r="D165" s="170"/>
      <c r="E165" s="170"/>
      <c r="F165" s="170"/>
      <c r="G165" s="170"/>
      <c r="H165" s="170"/>
      <c r="I165" s="170"/>
      <c r="J165" s="170"/>
      <c r="K165" s="170"/>
      <c r="L165" s="170"/>
      <c r="M165" s="172"/>
      <c r="N165" s="172"/>
      <c r="O165" s="172"/>
      <c r="P165" s="172"/>
      <c r="Q165" s="172"/>
      <c r="R165" s="1"/>
      <c r="S165" s="1"/>
    </row>
    <row r="166" spans="1:19">
      <c r="A166" s="4"/>
      <c r="B166" s="170"/>
      <c r="C166" s="170"/>
      <c r="D166" s="170"/>
      <c r="E166" s="170"/>
      <c r="F166" s="170"/>
      <c r="G166" s="170"/>
      <c r="H166" s="170"/>
      <c r="I166" s="170"/>
      <c r="J166" s="170"/>
      <c r="K166" s="170"/>
      <c r="L166" s="170"/>
      <c r="M166" s="172"/>
      <c r="N166" s="172"/>
      <c r="O166" s="172"/>
      <c r="P166" s="172"/>
      <c r="Q166" s="172"/>
      <c r="R166" s="1"/>
      <c r="S166" s="1"/>
    </row>
    <row r="167" spans="1:19">
      <c r="A167" s="4"/>
      <c r="B167" s="170"/>
      <c r="C167" s="170"/>
      <c r="D167" s="170"/>
      <c r="E167" s="170"/>
      <c r="F167" s="170"/>
      <c r="G167" s="170"/>
      <c r="H167" s="170"/>
      <c r="I167" s="170"/>
      <c r="J167" s="170"/>
      <c r="K167" s="170"/>
      <c r="L167" s="170"/>
      <c r="M167" s="172"/>
      <c r="N167" s="172"/>
      <c r="O167" s="172"/>
      <c r="P167" s="172"/>
      <c r="Q167" s="172"/>
      <c r="R167" s="1"/>
      <c r="S167" s="1"/>
    </row>
    <row r="168" spans="1:19">
      <c r="A168" s="4"/>
      <c r="B168" s="170"/>
      <c r="C168" s="170"/>
      <c r="D168" s="170"/>
      <c r="E168" s="170"/>
      <c r="F168" s="170"/>
      <c r="G168" s="170"/>
      <c r="H168" s="170"/>
      <c r="I168" s="170"/>
      <c r="J168" s="170"/>
      <c r="K168" s="170"/>
      <c r="L168" s="170"/>
      <c r="M168" s="172"/>
      <c r="N168" s="172"/>
      <c r="O168" s="172"/>
      <c r="P168" s="172"/>
      <c r="Q168" s="172"/>
      <c r="R168" s="1"/>
      <c r="S168" s="1"/>
    </row>
    <row r="169" spans="1:19">
      <c r="A169" s="4"/>
      <c r="B169" s="170"/>
      <c r="C169" s="170"/>
      <c r="D169" s="170"/>
      <c r="E169" s="170"/>
      <c r="F169" s="170"/>
      <c r="G169" s="170"/>
      <c r="H169" s="170"/>
      <c r="I169" s="170"/>
      <c r="J169" s="170"/>
      <c r="K169" s="170"/>
      <c r="L169" s="170"/>
      <c r="M169" s="172"/>
      <c r="N169" s="172"/>
      <c r="O169" s="172"/>
      <c r="P169" s="172"/>
      <c r="Q169" s="172"/>
      <c r="R169" s="1"/>
      <c r="S169" s="1"/>
    </row>
    <row r="170" spans="1:19">
      <c r="A170" s="4"/>
      <c r="B170" s="170"/>
      <c r="C170" s="170"/>
      <c r="D170" s="170"/>
      <c r="E170" s="170"/>
      <c r="F170" s="170"/>
      <c r="G170" s="170"/>
      <c r="H170" s="170"/>
      <c r="I170" s="170"/>
      <c r="J170" s="170"/>
      <c r="K170" s="170"/>
      <c r="L170" s="170"/>
      <c r="M170" s="172"/>
      <c r="N170" s="172"/>
      <c r="O170" s="172"/>
      <c r="P170" s="172"/>
      <c r="Q170" s="172"/>
      <c r="R170" s="1"/>
      <c r="S170" s="1"/>
    </row>
    <row r="171" spans="1:19">
      <c r="A171" s="4"/>
      <c r="B171" s="170"/>
      <c r="C171" s="170"/>
      <c r="D171" s="170"/>
      <c r="E171" s="170"/>
      <c r="F171" s="170"/>
      <c r="G171" s="170"/>
      <c r="H171" s="170"/>
      <c r="I171" s="170"/>
      <c r="J171" s="170"/>
      <c r="K171" s="170"/>
      <c r="L171" s="170"/>
      <c r="M171" s="172"/>
      <c r="N171" s="172"/>
      <c r="O171" s="172"/>
      <c r="P171" s="172"/>
      <c r="Q171" s="172"/>
      <c r="R171" s="1"/>
      <c r="S171" s="1"/>
    </row>
    <row r="172" spans="1:19">
      <c r="A172" s="4"/>
      <c r="B172" s="170"/>
      <c r="C172" s="170"/>
      <c r="D172" s="170"/>
      <c r="E172" s="170"/>
      <c r="F172" s="170"/>
      <c r="G172" s="170"/>
      <c r="H172" s="170"/>
      <c r="I172" s="170"/>
      <c r="J172" s="170"/>
      <c r="K172" s="170"/>
      <c r="L172" s="170"/>
      <c r="M172" s="172"/>
      <c r="N172" s="172"/>
      <c r="O172" s="172"/>
      <c r="P172" s="172"/>
      <c r="Q172" s="172"/>
      <c r="R172" s="1"/>
      <c r="S172" s="1"/>
    </row>
    <row r="173" spans="1:19">
      <c r="A173" s="4"/>
      <c r="B173" s="170"/>
      <c r="C173" s="170"/>
      <c r="D173" s="170"/>
      <c r="E173" s="170"/>
      <c r="F173" s="170"/>
      <c r="G173" s="170"/>
      <c r="H173" s="170"/>
      <c r="I173" s="170"/>
      <c r="J173" s="170"/>
      <c r="K173" s="170"/>
      <c r="L173" s="170"/>
      <c r="M173" s="172"/>
      <c r="N173" s="172"/>
      <c r="O173" s="172"/>
      <c r="P173" s="172"/>
      <c r="Q173" s="172"/>
      <c r="R173" s="1"/>
      <c r="S173" s="1"/>
    </row>
    <row r="174" spans="1:19">
      <c r="A174" s="4"/>
      <c r="B174" s="170"/>
      <c r="C174" s="170"/>
      <c r="D174" s="170"/>
      <c r="E174" s="170"/>
      <c r="F174" s="170"/>
      <c r="G174" s="170"/>
      <c r="H174" s="170"/>
      <c r="I174" s="170"/>
      <c r="J174" s="170"/>
      <c r="K174" s="170"/>
      <c r="L174" s="170"/>
      <c r="M174" s="172"/>
      <c r="N174" s="172"/>
      <c r="O174" s="172"/>
      <c r="P174" s="172"/>
      <c r="Q174" s="172"/>
      <c r="R174" s="1"/>
      <c r="S174" s="1"/>
    </row>
    <row r="175" spans="1:19">
      <c r="A175" s="4"/>
      <c r="B175" s="170"/>
      <c r="C175" s="170"/>
      <c r="D175" s="170"/>
      <c r="E175" s="170"/>
      <c r="F175" s="170"/>
      <c r="G175" s="170"/>
      <c r="H175" s="170"/>
      <c r="I175" s="170"/>
      <c r="J175" s="170"/>
      <c r="K175" s="170"/>
      <c r="L175" s="170"/>
      <c r="M175" s="172"/>
      <c r="N175" s="172"/>
      <c r="O175" s="172"/>
      <c r="P175" s="172"/>
      <c r="Q175" s="172"/>
      <c r="R175" s="1"/>
      <c r="S175" s="1"/>
    </row>
    <row r="176" spans="1:19">
      <c r="A176" s="4"/>
      <c r="B176" s="170"/>
      <c r="C176" s="170"/>
      <c r="D176" s="170"/>
      <c r="E176" s="170"/>
      <c r="F176" s="170"/>
      <c r="G176" s="170"/>
      <c r="H176" s="170"/>
      <c r="I176" s="170"/>
      <c r="J176" s="170"/>
      <c r="K176" s="170"/>
      <c r="L176" s="170"/>
      <c r="M176" s="172"/>
      <c r="N176" s="172"/>
      <c r="O176" s="172"/>
      <c r="P176" s="172"/>
      <c r="Q176" s="172"/>
      <c r="R176" s="1"/>
      <c r="S176" s="1"/>
    </row>
    <row r="177" spans="1:19">
      <c r="A177" s="4"/>
      <c r="B177" s="170"/>
      <c r="C177" s="170"/>
      <c r="D177" s="170"/>
      <c r="E177" s="170"/>
      <c r="F177" s="170"/>
      <c r="G177" s="170"/>
      <c r="H177" s="170"/>
      <c r="I177" s="170"/>
      <c r="J177" s="170"/>
      <c r="K177" s="170"/>
      <c r="L177" s="170"/>
      <c r="M177" s="172"/>
      <c r="N177" s="172"/>
      <c r="O177" s="172"/>
      <c r="P177" s="172"/>
      <c r="Q177" s="172"/>
      <c r="R177" s="1"/>
      <c r="S177" s="1"/>
    </row>
    <row r="178" spans="1:19">
      <c r="A178" s="4"/>
      <c r="B178" s="170"/>
      <c r="C178" s="170"/>
      <c r="D178" s="170"/>
      <c r="E178" s="170"/>
      <c r="F178" s="170"/>
      <c r="G178" s="170"/>
      <c r="H178" s="170"/>
      <c r="I178" s="170"/>
      <c r="J178" s="170"/>
      <c r="K178" s="170"/>
      <c r="L178" s="170"/>
      <c r="M178" s="172"/>
      <c r="N178" s="172"/>
      <c r="O178" s="172"/>
      <c r="P178" s="172"/>
      <c r="Q178" s="172"/>
      <c r="R178" s="1"/>
      <c r="S178" s="1"/>
    </row>
    <row r="179" spans="1:19">
      <c r="A179" s="4"/>
      <c r="B179" s="170"/>
      <c r="C179" s="170"/>
      <c r="D179" s="170"/>
      <c r="E179" s="170"/>
      <c r="F179" s="170"/>
      <c r="G179" s="170"/>
      <c r="H179" s="170"/>
      <c r="I179" s="170"/>
      <c r="J179" s="170"/>
      <c r="K179" s="170"/>
      <c r="L179" s="170"/>
      <c r="M179" s="172"/>
      <c r="N179" s="172"/>
      <c r="O179" s="172"/>
      <c r="P179" s="172"/>
      <c r="Q179" s="172"/>
      <c r="R179" s="1"/>
      <c r="S179" s="1"/>
    </row>
    <row r="180" spans="1:19">
      <c r="A180" s="4"/>
      <c r="B180" s="170"/>
      <c r="C180" s="170"/>
      <c r="D180" s="170"/>
      <c r="E180" s="170"/>
      <c r="F180" s="170"/>
      <c r="G180" s="170"/>
      <c r="H180" s="170"/>
      <c r="I180" s="170"/>
      <c r="J180" s="170"/>
      <c r="K180" s="170"/>
      <c r="L180" s="170"/>
      <c r="M180" s="172"/>
      <c r="N180" s="172"/>
      <c r="O180" s="172"/>
      <c r="P180" s="172"/>
      <c r="Q180" s="172"/>
      <c r="R180" s="1"/>
      <c r="S180" s="1"/>
    </row>
    <row r="181" spans="1:19">
      <c r="A181" s="4"/>
      <c r="B181" s="170"/>
      <c r="C181" s="170"/>
      <c r="D181" s="170"/>
      <c r="E181" s="170"/>
      <c r="F181" s="170"/>
      <c r="G181" s="170"/>
      <c r="H181" s="170"/>
      <c r="I181" s="170"/>
      <c r="J181" s="170"/>
      <c r="K181" s="170"/>
      <c r="L181" s="170"/>
      <c r="M181" s="172"/>
      <c r="N181" s="172"/>
      <c r="O181" s="172"/>
      <c r="P181" s="172"/>
      <c r="Q181" s="172"/>
      <c r="R181" s="1"/>
      <c r="S181" s="1"/>
    </row>
    <row r="182" spans="1:19">
      <c r="A182" s="4"/>
      <c r="B182" s="170"/>
      <c r="C182" s="170"/>
      <c r="D182" s="170"/>
      <c r="E182" s="170"/>
      <c r="F182" s="170"/>
      <c r="G182" s="170"/>
      <c r="H182" s="170"/>
      <c r="I182" s="170"/>
      <c r="J182" s="170"/>
      <c r="K182" s="170"/>
      <c r="L182" s="170"/>
      <c r="M182" s="172"/>
      <c r="N182" s="172"/>
      <c r="O182" s="172"/>
      <c r="P182" s="172"/>
      <c r="Q182" s="172"/>
      <c r="R182" s="1"/>
      <c r="S182" s="1"/>
    </row>
    <row r="183" spans="1:19">
      <c r="A183" s="4"/>
      <c r="B183" s="170"/>
      <c r="C183" s="170"/>
      <c r="D183" s="170"/>
      <c r="E183" s="170"/>
      <c r="F183" s="170"/>
      <c r="G183" s="170"/>
      <c r="H183" s="170"/>
      <c r="I183" s="170"/>
      <c r="J183" s="170"/>
      <c r="K183" s="170"/>
      <c r="L183" s="170"/>
      <c r="M183" s="172"/>
      <c r="N183" s="172"/>
      <c r="O183" s="172"/>
      <c r="P183" s="172"/>
      <c r="Q183" s="172"/>
      <c r="R183" s="1"/>
      <c r="S183" s="1"/>
    </row>
    <row r="184" spans="1:19">
      <c r="A184" s="4"/>
      <c r="B184" s="170"/>
      <c r="C184" s="170"/>
      <c r="D184" s="170"/>
      <c r="E184" s="170"/>
      <c r="F184" s="170"/>
      <c r="G184" s="170"/>
      <c r="H184" s="170"/>
      <c r="I184" s="170"/>
      <c r="J184" s="170"/>
      <c r="K184" s="170"/>
      <c r="L184" s="170"/>
      <c r="M184" s="172"/>
      <c r="N184" s="172"/>
      <c r="O184" s="172"/>
      <c r="P184" s="172"/>
      <c r="Q184" s="172"/>
      <c r="R184" s="1"/>
      <c r="S184" s="1"/>
    </row>
    <row r="185" spans="1:19">
      <c r="A185" s="4"/>
      <c r="B185" s="170"/>
      <c r="C185" s="170"/>
      <c r="D185" s="170"/>
      <c r="E185" s="170"/>
      <c r="F185" s="170"/>
      <c r="G185" s="170"/>
      <c r="H185" s="170"/>
      <c r="I185" s="170"/>
      <c r="J185" s="170"/>
      <c r="K185" s="170"/>
      <c r="L185" s="170"/>
      <c r="M185" s="172"/>
      <c r="N185" s="172"/>
      <c r="O185" s="172"/>
      <c r="P185" s="172"/>
      <c r="Q185" s="172"/>
      <c r="R185" s="1"/>
      <c r="S185" s="1"/>
    </row>
    <row r="186" spans="1:19">
      <c r="A186" s="4"/>
      <c r="B186" s="170"/>
      <c r="C186" s="170"/>
      <c r="D186" s="170"/>
      <c r="E186" s="170"/>
      <c r="F186" s="170"/>
      <c r="G186" s="170"/>
      <c r="H186" s="170"/>
      <c r="I186" s="170"/>
      <c r="J186" s="170"/>
      <c r="K186" s="170"/>
      <c r="L186" s="170"/>
      <c r="M186" s="172"/>
      <c r="N186" s="172"/>
      <c r="O186" s="172"/>
      <c r="P186" s="172"/>
      <c r="Q186" s="172"/>
      <c r="R186" s="1"/>
      <c r="S186" s="1"/>
    </row>
    <row r="187" spans="1:19">
      <c r="A187" s="4"/>
      <c r="B187" s="170"/>
      <c r="C187" s="170"/>
      <c r="D187" s="170"/>
      <c r="E187" s="170"/>
      <c r="F187" s="170"/>
      <c r="G187" s="170"/>
      <c r="H187" s="170"/>
      <c r="I187" s="170"/>
      <c r="J187" s="170"/>
      <c r="K187" s="170"/>
      <c r="L187" s="170"/>
      <c r="M187" s="172"/>
      <c r="N187" s="172"/>
      <c r="O187" s="172"/>
      <c r="P187" s="172"/>
      <c r="Q187" s="172"/>
      <c r="R187" s="1"/>
      <c r="S187" s="1"/>
    </row>
    <row r="188" spans="1:19">
      <c r="A188" s="4"/>
      <c r="B188" s="170"/>
      <c r="C188" s="170"/>
      <c r="D188" s="170"/>
      <c r="E188" s="170"/>
      <c r="F188" s="170"/>
      <c r="G188" s="170"/>
      <c r="H188" s="170"/>
      <c r="I188" s="170"/>
      <c r="J188" s="170"/>
      <c r="K188" s="170"/>
      <c r="L188" s="170"/>
      <c r="M188" s="172"/>
      <c r="N188" s="172"/>
      <c r="O188" s="172"/>
      <c r="P188" s="172"/>
      <c r="Q188" s="172"/>
      <c r="R188" s="1"/>
      <c r="S188" s="1"/>
    </row>
    <row r="189" spans="1:19">
      <c r="A189" s="4"/>
      <c r="B189" s="170"/>
      <c r="C189" s="170"/>
      <c r="D189" s="170"/>
      <c r="E189" s="170"/>
      <c r="F189" s="170"/>
      <c r="G189" s="170"/>
      <c r="H189" s="170"/>
      <c r="I189" s="170"/>
      <c r="J189" s="170"/>
      <c r="K189" s="170"/>
      <c r="L189" s="170"/>
      <c r="M189" s="172"/>
      <c r="N189" s="172"/>
      <c r="O189" s="172"/>
      <c r="P189" s="172"/>
      <c r="Q189" s="172"/>
      <c r="R189" s="1"/>
      <c r="S189" s="1"/>
    </row>
    <row r="190" spans="1:19">
      <c r="A190" s="4"/>
      <c r="B190" s="170"/>
      <c r="C190" s="170"/>
      <c r="D190" s="170"/>
      <c r="E190" s="170"/>
      <c r="F190" s="170"/>
      <c r="G190" s="170"/>
      <c r="H190" s="170"/>
      <c r="I190" s="170"/>
      <c r="J190" s="170"/>
      <c r="K190" s="170"/>
      <c r="L190" s="170"/>
      <c r="M190" s="172"/>
      <c r="N190" s="172"/>
      <c r="O190" s="172"/>
      <c r="P190" s="172"/>
      <c r="Q190" s="172"/>
      <c r="R190" s="1"/>
      <c r="S190" s="1"/>
    </row>
    <row r="191" spans="1:19">
      <c r="A191" s="4"/>
      <c r="B191" s="170"/>
      <c r="C191" s="170"/>
      <c r="D191" s="170"/>
      <c r="E191" s="170"/>
      <c r="F191" s="170"/>
      <c r="G191" s="170"/>
      <c r="H191" s="170"/>
      <c r="I191" s="170"/>
      <c r="J191" s="170"/>
      <c r="K191" s="170"/>
      <c r="L191" s="170"/>
      <c r="M191" s="172"/>
      <c r="N191" s="172"/>
      <c r="O191" s="172"/>
      <c r="P191" s="172"/>
      <c r="Q191" s="172"/>
      <c r="R191" s="1"/>
      <c r="S191" s="1"/>
    </row>
    <row r="192" spans="1:19">
      <c r="A192" s="4"/>
      <c r="B192" s="170"/>
      <c r="C192" s="170"/>
      <c r="D192" s="170"/>
      <c r="E192" s="170"/>
      <c r="F192" s="170"/>
      <c r="G192" s="170"/>
      <c r="H192" s="170"/>
      <c r="I192" s="170"/>
      <c r="J192" s="170"/>
      <c r="K192" s="170"/>
      <c r="L192" s="170"/>
      <c r="M192" s="172"/>
      <c r="N192" s="172"/>
      <c r="O192" s="172"/>
      <c r="P192" s="172"/>
      <c r="Q192" s="172"/>
      <c r="R192" s="1"/>
      <c r="S192" s="1"/>
    </row>
    <row r="193" spans="1:19">
      <c r="A193" s="4"/>
      <c r="B193" s="170"/>
      <c r="C193" s="170"/>
      <c r="D193" s="170"/>
      <c r="E193" s="170"/>
      <c r="F193" s="170"/>
      <c r="G193" s="170"/>
      <c r="H193" s="170"/>
      <c r="I193" s="170"/>
      <c r="J193" s="170"/>
      <c r="K193" s="170"/>
      <c r="L193" s="170"/>
      <c r="M193" s="172"/>
      <c r="N193" s="172"/>
      <c r="O193" s="172"/>
      <c r="P193" s="172"/>
      <c r="Q193" s="172"/>
      <c r="R193" s="1"/>
      <c r="S193" s="1"/>
    </row>
    <row r="194" spans="1:19">
      <c r="A194" s="4"/>
      <c r="B194" s="170"/>
      <c r="C194" s="170"/>
      <c r="D194" s="170"/>
      <c r="E194" s="170"/>
      <c r="F194" s="170"/>
      <c r="G194" s="170"/>
      <c r="H194" s="170"/>
      <c r="I194" s="170"/>
      <c r="J194" s="170"/>
      <c r="K194" s="170"/>
      <c r="L194" s="170"/>
      <c r="M194" s="172"/>
      <c r="N194" s="172"/>
      <c r="O194" s="172"/>
      <c r="P194" s="172"/>
      <c r="Q194" s="172"/>
      <c r="R194" s="1"/>
      <c r="S194" s="1"/>
    </row>
    <row r="195" spans="1:19">
      <c r="A195" s="4"/>
      <c r="B195" s="170"/>
      <c r="C195" s="170"/>
      <c r="D195" s="170"/>
      <c r="E195" s="170"/>
      <c r="F195" s="170"/>
      <c r="G195" s="170"/>
      <c r="H195" s="170"/>
      <c r="I195" s="170"/>
      <c r="J195" s="170"/>
      <c r="K195" s="170"/>
      <c r="L195" s="170"/>
      <c r="M195" s="172"/>
      <c r="N195" s="172"/>
      <c r="O195" s="172"/>
      <c r="P195" s="172"/>
      <c r="Q195" s="172"/>
      <c r="R195" s="1"/>
      <c r="S195" s="1"/>
    </row>
    <row r="196" spans="1:19">
      <c r="A196" s="4"/>
      <c r="B196" s="170"/>
      <c r="C196" s="170"/>
      <c r="D196" s="170"/>
      <c r="E196" s="170"/>
      <c r="F196" s="170"/>
      <c r="G196" s="170"/>
      <c r="H196" s="170"/>
      <c r="I196" s="170"/>
      <c r="J196" s="170"/>
      <c r="K196" s="170"/>
      <c r="L196" s="170"/>
      <c r="M196" s="172"/>
      <c r="N196" s="172"/>
      <c r="O196" s="172"/>
      <c r="P196" s="172"/>
      <c r="Q196" s="172"/>
      <c r="R196" s="1"/>
      <c r="S196" s="1"/>
    </row>
    <row r="197" spans="1:19">
      <c r="A197" s="4"/>
      <c r="B197" s="170"/>
      <c r="C197" s="170"/>
      <c r="D197" s="170"/>
      <c r="E197" s="170"/>
      <c r="F197" s="170"/>
      <c r="G197" s="170"/>
      <c r="H197" s="170"/>
      <c r="I197" s="170"/>
      <c r="J197" s="170"/>
      <c r="K197" s="170"/>
      <c r="L197" s="170"/>
      <c r="M197" s="172"/>
      <c r="N197" s="172"/>
      <c r="O197" s="172"/>
      <c r="P197" s="172"/>
      <c r="Q197" s="172"/>
      <c r="R197" s="1"/>
      <c r="S197" s="1"/>
    </row>
    <row r="198" spans="1:19">
      <c r="A198" s="4"/>
      <c r="B198" s="170"/>
      <c r="C198" s="170"/>
      <c r="D198" s="170"/>
      <c r="E198" s="170"/>
      <c r="F198" s="170"/>
      <c r="G198" s="170"/>
      <c r="H198" s="170"/>
      <c r="I198" s="170"/>
      <c r="J198" s="170"/>
      <c r="K198" s="170"/>
      <c r="L198" s="170"/>
      <c r="M198" s="172"/>
      <c r="N198" s="172"/>
      <c r="O198" s="172"/>
      <c r="P198" s="172"/>
      <c r="Q198" s="172"/>
      <c r="R198" s="1"/>
      <c r="S198" s="1"/>
    </row>
    <row r="199" spans="1:19">
      <c r="A199" s="4"/>
      <c r="B199" s="170"/>
      <c r="C199" s="170"/>
      <c r="D199" s="170"/>
      <c r="E199" s="170"/>
      <c r="F199" s="170"/>
      <c r="G199" s="170"/>
      <c r="H199" s="170"/>
      <c r="I199" s="170"/>
      <c r="J199" s="170"/>
      <c r="K199" s="170"/>
      <c r="L199" s="170"/>
      <c r="M199" s="172"/>
      <c r="N199" s="172"/>
      <c r="O199" s="172"/>
      <c r="P199" s="172"/>
      <c r="Q199" s="172"/>
      <c r="R199" s="1"/>
      <c r="S199" s="1"/>
    </row>
    <row r="200" spans="1:19">
      <c r="A200" s="4"/>
      <c r="B200" s="170"/>
      <c r="C200" s="170"/>
      <c r="D200" s="170"/>
      <c r="E200" s="170"/>
      <c r="F200" s="170"/>
      <c r="G200" s="170"/>
      <c r="H200" s="170"/>
      <c r="I200" s="170"/>
      <c r="J200" s="170"/>
      <c r="K200" s="170"/>
      <c r="L200" s="170"/>
      <c r="M200" s="172"/>
      <c r="N200" s="172"/>
      <c r="O200" s="172"/>
      <c r="P200" s="172"/>
      <c r="Q200" s="172"/>
      <c r="R200" s="1"/>
      <c r="S200" s="1"/>
    </row>
    <row r="201" spans="1:19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8"/>
      <c r="N201" s="8"/>
      <c r="O201" s="8"/>
      <c r="P201" s="8"/>
      <c r="Q201" s="8"/>
    </row>
    <row r="202" spans="1:19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8"/>
      <c r="N202" s="8"/>
      <c r="O202" s="8"/>
      <c r="P202" s="8"/>
      <c r="Q202" s="8"/>
    </row>
    <row r="203" spans="1:19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8"/>
      <c r="N203" s="8"/>
      <c r="O203" s="8"/>
      <c r="P203" s="8"/>
      <c r="Q203" s="8"/>
    </row>
    <row r="204" spans="1:19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8"/>
      <c r="N204" s="8"/>
      <c r="O204" s="8"/>
      <c r="P204" s="8"/>
      <c r="Q204" s="8"/>
    </row>
    <row r="205" spans="1:19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8"/>
      <c r="N205" s="8"/>
      <c r="O205" s="8"/>
      <c r="P205" s="8"/>
      <c r="Q205" s="8"/>
    </row>
    <row r="206" spans="1:19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8"/>
      <c r="N206" s="8"/>
      <c r="O206" s="8"/>
      <c r="P206" s="8"/>
      <c r="Q206" s="8"/>
    </row>
    <row r="207" spans="1:19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8"/>
      <c r="N207" s="8"/>
      <c r="O207" s="8"/>
      <c r="P207" s="8"/>
      <c r="Q207" s="8"/>
    </row>
    <row r="208" spans="1:19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8"/>
      <c r="N208" s="8"/>
      <c r="O208" s="8"/>
      <c r="P208" s="8"/>
      <c r="Q208" s="8"/>
    </row>
    <row r="209" spans="1:17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8"/>
      <c r="N209" s="8"/>
      <c r="O209" s="8"/>
      <c r="P209" s="8"/>
      <c r="Q209" s="8"/>
    </row>
    <row r="210" spans="1:17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8"/>
      <c r="N210" s="8"/>
      <c r="O210" s="8"/>
      <c r="P210" s="8"/>
      <c r="Q210" s="8"/>
    </row>
    <row r="211" spans="1:17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8"/>
      <c r="N211" s="8"/>
      <c r="O211" s="8"/>
      <c r="P211" s="8"/>
      <c r="Q211" s="8"/>
    </row>
    <row r="212" spans="1:17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8"/>
      <c r="N212" s="8"/>
      <c r="O212" s="8"/>
      <c r="P212" s="8"/>
      <c r="Q212" s="8"/>
    </row>
    <row r="213" spans="1:17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8"/>
      <c r="N213" s="8"/>
      <c r="O213" s="8"/>
      <c r="P213" s="8"/>
      <c r="Q213" s="8"/>
    </row>
    <row r="214" spans="1:17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8"/>
      <c r="N214" s="8"/>
      <c r="O214" s="8"/>
      <c r="P214" s="8"/>
      <c r="Q214" s="8"/>
    </row>
    <row r="215" spans="1:17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8"/>
      <c r="N215" s="8"/>
      <c r="O215" s="8"/>
      <c r="P215" s="8"/>
      <c r="Q215" s="8"/>
    </row>
    <row r="216" spans="1:17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8"/>
      <c r="N216" s="8"/>
      <c r="O216" s="8"/>
      <c r="P216" s="8"/>
      <c r="Q216" s="8"/>
    </row>
    <row r="217" spans="1:17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8"/>
      <c r="N217" s="8"/>
      <c r="O217" s="8"/>
      <c r="P217" s="8"/>
      <c r="Q217" s="8"/>
    </row>
    <row r="218" spans="1:17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8"/>
      <c r="N218" s="8"/>
      <c r="O218" s="8"/>
      <c r="P218" s="8"/>
      <c r="Q218" s="8"/>
    </row>
    <row r="219" spans="1:17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8"/>
      <c r="N219" s="8"/>
      <c r="O219" s="8"/>
      <c r="P219" s="8"/>
      <c r="Q219" s="8"/>
    </row>
    <row r="220" spans="1:17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8"/>
      <c r="N220" s="8"/>
      <c r="O220" s="8"/>
      <c r="P220" s="8"/>
      <c r="Q220" s="8"/>
    </row>
  </sheetData>
  <sheetProtection formatCells="0"/>
  <mergeCells count="19">
    <mergeCell ref="K3:L3"/>
    <mergeCell ref="M3:N3"/>
    <mergeCell ref="O3:P3"/>
    <mergeCell ref="Q3:R3"/>
    <mergeCell ref="A1:R1"/>
    <mergeCell ref="C3:D3"/>
    <mergeCell ref="E3:F3"/>
    <mergeCell ref="G3:H3"/>
    <mergeCell ref="I3:J3"/>
    <mergeCell ref="A4:A6"/>
    <mergeCell ref="B4:B6"/>
    <mergeCell ref="C4:D4"/>
    <mergeCell ref="E4:F4"/>
    <mergeCell ref="G4:H4"/>
    <mergeCell ref="I4:J4"/>
    <mergeCell ref="K4:L4"/>
    <mergeCell ref="M4:N4"/>
    <mergeCell ref="O4:P4"/>
    <mergeCell ref="Q4:R4"/>
  </mergeCells>
  <pageMargins left="0.7" right="0.7" top="0.75" bottom="0.75" header="0.3" footer="0.3"/>
  <pageSetup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C220"/>
  <sheetViews>
    <sheetView zoomScaleNormal="100" workbookViewId="0">
      <pane ySplit="7" topLeftCell="A29" activePane="bottomLeft" state="frozen"/>
      <selection activeCell="E33" sqref="E33"/>
      <selection pane="bottomLeft" activeCell="T11" sqref="T11"/>
    </sheetView>
  </sheetViews>
  <sheetFormatPr defaultRowHeight="15"/>
  <cols>
    <col min="1" max="1" width="25.85546875" customWidth="1"/>
    <col min="2" max="2" width="8.7109375" customWidth="1"/>
    <col min="3" max="3" width="9" style="9" customWidth="1"/>
    <col min="4" max="4" width="9.140625" style="9" customWidth="1"/>
    <col min="5" max="5" width="6.5703125" style="9" customWidth="1"/>
    <col min="6" max="6" width="7" style="9" customWidth="1"/>
    <col min="7" max="7" width="6.7109375" style="9" customWidth="1"/>
    <col min="8" max="8" width="7.7109375" style="9" customWidth="1"/>
    <col min="9" max="9" width="6.7109375" customWidth="1"/>
    <col min="10" max="10" width="6.42578125" customWidth="1"/>
    <col min="11" max="11" width="6.140625" customWidth="1"/>
    <col min="12" max="12" width="6.28515625" customWidth="1"/>
    <col min="13" max="13" width="6" customWidth="1"/>
    <col min="14" max="14" width="6.42578125" customWidth="1"/>
    <col min="15" max="15" width="6.5703125" customWidth="1"/>
    <col min="16" max="16" width="6.140625" customWidth="1"/>
    <col min="17" max="17" width="6.42578125" customWidth="1"/>
    <col min="18" max="18" width="6.7109375" customWidth="1"/>
    <col min="19" max="19" width="5.85546875" customWidth="1"/>
    <col min="20" max="20" width="7.42578125" customWidth="1"/>
    <col min="21" max="21" width="6.5703125" customWidth="1"/>
    <col min="22" max="23" width="6.140625" customWidth="1"/>
    <col min="24" max="24" width="6" customWidth="1"/>
    <col min="25" max="25" width="5.85546875" customWidth="1"/>
    <col min="26" max="26" width="7" customWidth="1"/>
    <col min="29" max="29" width="10.85546875" customWidth="1"/>
  </cols>
  <sheetData>
    <row r="1" spans="1:29" ht="24" customHeight="1" thickBot="1">
      <c r="A1" s="191" t="s">
        <v>185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204"/>
      <c r="AB1" s="174"/>
      <c r="AC1" s="175"/>
    </row>
    <row r="2" spans="1:29" ht="24" hidden="1" customHeight="1" thickBot="1">
      <c r="A2" s="99"/>
      <c r="B2" s="100"/>
      <c r="C2" s="135" t="s">
        <v>128</v>
      </c>
      <c r="D2" t="s">
        <v>144</v>
      </c>
      <c r="E2" s="190" t="s">
        <v>138</v>
      </c>
      <c r="F2" s="190"/>
      <c r="G2" s="190" t="s">
        <v>139</v>
      </c>
      <c r="H2" s="190"/>
      <c r="I2" s="190" t="s">
        <v>137</v>
      </c>
      <c r="J2" s="190"/>
      <c r="K2" s="190"/>
      <c r="L2" s="190"/>
      <c r="M2" s="190"/>
      <c r="N2" s="190"/>
      <c r="O2" s="190" t="s">
        <v>140</v>
      </c>
      <c r="P2" s="190"/>
      <c r="Q2" s="190"/>
      <c r="R2" s="190"/>
      <c r="S2" s="190"/>
      <c r="T2" s="190"/>
      <c r="U2" s="190" t="s">
        <v>135</v>
      </c>
      <c r="V2" s="190"/>
      <c r="W2" s="190"/>
      <c r="X2" s="190"/>
      <c r="Y2" s="190"/>
      <c r="Z2" s="204"/>
      <c r="AB2" s="96"/>
      <c r="AC2" s="97"/>
    </row>
    <row r="3" spans="1:29" ht="24" customHeight="1" thickBot="1">
      <c r="A3" s="228" t="s">
        <v>32</v>
      </c>
      <c r="B3" s="232" t="s">
        <v>40</v>
      </c>
      <c r="C3" s="191" t="s">
        <v>44</v>
      </c>
      <c r="D3" s="190"/>
      <c r="E3" s="190"/>
      <c r="F3" s="190"/>
      <c r="G3" s="190"/>
      <c r="H3" s="204"/>
      <c r="I3" s="191" t="s">
        <v>46</v>
      </c>
      <c r="J3" s="190"/>
      <c r="K3" s="190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90"/>
      <c r="Z3" s="204"/>
    </row>
    <row r="4" spans="1:29" s="2" customFormat="1" ht="24" customHeight="1" thickBot="1">
      <c r="A4" s="229"/>
      <c r="B4" s="233"/>
      <c r="C4" s="224" t="s">
        <v>186</v>
      </c>
      <c r="D4" s="225"/>
      <c r="E4" s="225"/>
      <c r="F4" s="226"/>
      <c r="G4" s="225" t="s">
        <v>187</v>
      </c>
      <c r="H4" s="226"/>
      <c r="I4" s="219" t="s">
        <v>52</v>
      </c>
      <c r="J4" s="220"/>
      <c r="K4" s="220"/>
      <c r="L4" s="220"/>
      <c r="M4" s="220"/>
      <c r="N4" s="221"/>
      <c r="O4" s="200" t="s">
        <v>50</v>
      </c>
      <c r="P4" s="214"/>
      <c r="Q4" s="214"/>
      <c r="R4" s="214"/>
      <c r="S4" s="214"/>
      <c r="T4" s="201"/>
      <c r="U4" s="200" t="s">
        <v>51</v>
      </c>
      <c r="V4" s="214"/>
      <c r="W4" s="214"/>
      <c r="X4" s="214"/>
      <c r="Y4" s="214"/>
      <c r="Z4" s="201"/>
    </row>
    <row r="5" spans="1:29" s="2" customFormat="1" ht="49.5" customHeight="1">
      <c r="A5" s="229"/>
      <c r="B5" s="234"/>
      <c r="C5" s="222" t="s">
        <v>45</v>
      </c>
      <c r="D5" s="223"/>
      <c r="E5" s="222" t="s">
        <v>43</v>
      </c>
      <c r="F5" s="223"/>
      <c r="G5" s="222" t="s">
        <v>43</v>
      </c>
      <c r="H5" s="227"/>
      <c r="I5" s="217" t="s">
        <v>33</v>
      </c>
      <c r="J5" s="218"/>
      <c r="K5" s="213" t="s">
        <v>34</v>
      </c>
      <c r="L5" s="218"/>
      <c r="M5" s="213" t="s">
        <v>42</v>
      </c>
      <c r="N5" s="217"/>
      <c r="O5" s="215" t="s">
        <v>33</v>
      </c>
      <c r="P5" s="212"/>
      <c r="Q5" s="212" t="s">
        <v>34</v>
      </c>
      <c r="R5" s="212"/>
      <c r="S5" s="212" t="s">
        <v>42</v>
      </c>
      <c r="T5" s="213"/>
      <c r="U5" s="215" t="s">
        <v>33</v>
      </c>
      <c r="V5" s="212"/>
      <c r="W5" s="212" t="s">
        <v>34</v>
      </c>
      <c r="X5" s="212"/>
      <c r="Y5" s="212" t="s">
        <v>42</v>
      </c>
      <c r="Z5" s="216"/>
    </row>
    <row r="6" spans="1:29" s="2" customFormat="1" ht="28.5" customHeight="1">
      <c r="A6" s="230"/>
      <c r="B6" s="235"/>
      <c r="C6" s="73">
        <v>1</v>
      </c>
      <c r="D6" s="75">
        <v>0.75</v>
      </c>
      <c r="E6" s="73">
        <v>1</v>
      </c>
      <c r="F6" s="75">
        <v>0.75</v>
      </c>
      <c r="G6" s="73">
        <v>1</v>
      </c>
      <c r="H6" s="74">
        <v>0.75</v>
      </c>
      <c r="I6" s="57">
        <v>1</v>
      </c>
      <c r="J6" s="65">
        <v>0.75</v>
      </c>
      <c r="K6" s="58">
        <v>1</v>
      </c>
      <c r="L6" s="66">
        <v>0.75</v>
      </c>
      <c r="M6" s="70">
        <v>1</v>
      </c>
      <c r="N6" s="66">
        <v>0.75</v>
      </c>
      <c r="O6" s="73">
        <v>1</v>
      </c>
      <c r="P6" s="72">
        <v>0.75</v>
      </c>
      <c r="Q6" s="70">
        <v>1</v>
      </c>
      <c r="R6" s="72">
        <v>0.75</v>
      </c>
      <c r="S6" s="70">
        <v>1</v>
      </c>
      <c r="T6" s="71">
        <f>(P6*O7+R6*Q7)/(O7+Q7)</f>
        <v>0.75000000000000011</v>
      </c>
      <c r="U6" s="73">
        <v>1</v>
      </c>
      <c r="V6" s="72">
        <v>0.75</v>
      </c>
      <c r="W6" s="70">
        <v>1</v>
      </c>
      <c r="X6" s="72">
        <v>0.75</v>
      </c>
      <c r="Y6" s="70">
        <v>1</v>
      </c>
      <c r="Z6" s="72">
        <v>0.75</v>
      </c>
    </row>
    <row r="7" spans="1:29" s="3" customFormat="1" ht="15.75" customHeight="1" thickBot="1">
      <c r="A7" s="231"/>
      <c r="B7" s="236"/>
      <c r="C7" s="60">
        <v>27.9</v>
      </c>
      <c r="D7" s="63">
        <f>C7*D6</f>
        <v>20.924999999999997</v>
      </c>
      <c r="E7" s="60">
        <v>28.3</v>
      </c>
      <c r="F7" s="63">
        <f>E7*F6</f>
        <v>21.225000000000001</v>
      </c>
      <c r="G7" s="60">
        <v>31.1</v>
      </c>
      <c r="H7" s="64">
        <f>G7*H6</f>
        <v>23.325000000000003</v>
      </c>
      <c r="I7" s="61">
        <v>26.9</v>
      </c>
      <c r="J7" s="61">
        <f>I7*J6</f>
        <v>20.174999999999997</v>
      </c>
      <c r="K7" s="62">
        <v>13</v>
      </c>
      <c r="L7" s="63">
        <f>K7*L6</f>
        <v>9.75</v>
      </c>
      <c r="M7" s="62"/>
      <c r="N7" s="59"/>
      <c r="O7" s="60">
        <v>31.1</v>
      </c>
      <c r="P7" s="62">
        <f>O7*P6</f>
        <v>23.325000000000003</v>
      </c>
      <c r="Q7" s="62">
        <v>31.1</v>
      </c>
      <c r="R7" s="62">
        <f>Q7*R6</f>
        <v>23.325000000000003</v>
      </c>
      <c r="S7" s="62"/>
      <c r="T7" s="63"/>
      <c r="U7" s="60">
        <v>31.1</v>
      </c>
      <c r="V7" s="62">
        <f>U7*V6</f>
        <v>23.325000000000003</v>
      </c>
      <c r="W7" s="62">
        <v>17</v>
      </c>
      <c r="X7" s="62">
        <f>W7*X6</f>
        <v>12.75</v>
      </c>
      <c r="Y7" s="62"/>
      <c r="Z7" s="64"/>
      <c r="AA7" s="183" t="s">
        <v>196</v>
      </c>
    </row>
    <row r="8" spans="1:29">
      <c r="A8" s="13" t="s">
        <v>60</v>
      </c>
      <c r="B8" s="78">
        <v>1.44</v>
      </c>
      <c r="C8" s="129">
        <f t="shared" ref="C8:C40" si="0">B8*$C$7</f>
        <v>40.175999999999995</v>
      </c>
      <c r="D8" s="130">
        <f>B8*$D$7</f>
        <v>30.131999999999994</v>
      </c>
      <c r="E8" s="131">
        <f t="shared" ref="E8:E40" si="1">B8*$E$7</f>
        <v>40.752000000000002</v>
      </c>
      <c r="F8" s="130">
        <f>B8*$F$7</f>
        <v>30.564</v>
      </c>
      <c r="G8" s="129">
        <f t="shared" ref="G8:G40" si="2">B8*$G$7</f>
        <v>44.783999999999999</v>
      </c>
      <c r="H8" s="130">
        <f>B8*$H$7</f>
        <v>33.588000000000001</v>
      </c>
      <c r="I8" s="129">
        <f t="shared" ref="I8:I40" si="3">B8*$I$7</f>
        <v>38.735999999999997</v>
      </c>
      <c r="J8" s="132">
        <f>B8*$J$7</f>
        <v>29.051999999999996</v>
      </c>
      <c r="K8" s="132">
        <f t="shared" ref="K8:K40" si="4">B8*$K$7</f>
        <v>18.72</v>
      </c>
      <c r="L8" s="132">
        <f>B8*$L$7</f>
        <v>14.04</v>
      </c>
      <c r="M8" s="132">
        <f>I8+K8</f>
        <v>57.455999999999996</v>
      </c>
      <c r="N8" s="130">
        <f>J8+L8</f>
        <v>43.091999999999999</v>
      </c>
      <c r="O8" s="129">
        <f t="shared" ref="O8:O40" si="5">B8*$O$7</f>
        <v>44.783999999999999</v>
      </c>
      <c r="P8" s="132">
        <f>B8*$P$7</f>
        <v>33.588000000000001</v>
      </c>
      <c r="Q8" s="132">
        <f t="shared" ref="Q8:Q40" si="6">B8*$Q$7</f>
        <v>44.783999999999999</v>
      </c>
      <c r="R8" s="132">
        <f>B8*$R$7</f>
        <v>33.588000000000001</v>
      </c>
      <c r="S8" s="132">
        <f>O8+Q8</f>
        <v>89.567999999999998</v>
      </c>
      <c r="T8" s="130">
        <f>P8+R8</f>
        <v>67.176000000000002</v>
      </c>
      <c r="U8" s="136">
        <f t="shared" ref="U8:U40" si="7">B8*$U$7</f>
        <v>44.783999999999999</v>
      </c>
      <c r="V8" s="137">
        <f>B8*$V$7</f>
        <v>33.588000000000001</v>
      </c>
      <c r="W8" s="137">
        <f t="shared" ref="W8:W40" si="8">B8*$W$7</f>
        <v>24.48</v>
      </c>
      <c r="X8" s="137">
        <f>B8*$X$7</f>
        <v>18.36</v>
      </c>
      <c r="Y8" s="137">
        <f>U8+W8</f>
        <v>69.263999999999996</v>
      </c>
      <c r="Z8" s="109">
        <f>V8+X8</f>
        <v>51.948</v>
      </c>
      <c r="AA8" s="1"/>
    </row>
    <row r="9" spans="1:29">
      <c r="A9" s="14" t="s">
        <v>61</v>
      </c>
      <c r="B9" s="67">
        <v>1.51</v>
      </c>
      <c r="C9" s="110">
        <f>B9*$C$7</f>
        <v>42.128999999999998</v>
      </c>
      <c r="D9" s="111">
        <f>B9*$D$7</f>
        <v>31.596749999999997</v>
      </c>
      <c r="E9" s="112">
        <f>B9*$E$7</f>
        <v>42.733000000000004</v>
      </c>
      <c r="F9" s="111">
        <f>B9*$F$7</f>
        <v>32.049750000000003</v>
      </c>
      <c r="G9" s="110">
        <f>B9*$G$7</f>
        <v>46.961000000000006</v>
      </c>
      <c r="H9" s="111">
        <f>B9*$H$7</f>
        <v>35.220750000000002</v>
      </c>
      <c r="I9" s="110">
        <f>B9*$I$7</f>
        <v>40.619</v>
      </c>
      <c r="J9" s="133">
        <f>B9*$J$7</f>
        <v>30.464249999999996</v>
      </c>
      <c r="K9" s="133">
        <f>B9*$K$7</f>
        <v>19.63</v>
      </c>
      <c r="L9" s="133">
        <f>B9*$L$7</f>
        <v>14.7225</v>
      </c>
      <c r="M9" s="133">
        <f>I9+K9</f>
        <v>60.248999999999995</v>
      </c>
      <c r="N9" s="111">
        <f>J9+L9</f>
        <v>45.186749999999996</v>
      </c>
      <c r="O9" s="110">
        <f>B9*$O$7</f>
        <v>46.961000000000006</v>
      </c>
      <c r="P9" s="133">
        <f>B9*$P$7</f>
        <v>35.220750000000002</v>
      </c>
      <c r="Q9" s="133">
        <f>B9*$Q$7</f>
        <v>46.961000000000006</v>
      </c>
      <c r="R9" s="133">
        <f>B9*$R$7</f>
        <v>35.220750000000002</v>
      </c>
      <c r="S9" s="133">
        <f>O9+Q9</f>
        <v>93.922000000000011</v>
      </c>
      <c r="T9" s="111">
        <f>P9+R9</f>
        <v>70.441500000000005</v>
      </c>
      <c r="U9" s="138">
        <f>B9*$U$7</f>
        <v>46.961000000000006</v>
      </c>
      <c r="V9" s="139">
        <f>B9*$V$7</f>
        <v>35.220750000000002</v>
      </c>
      <c r="W9" s="139">
        <f>B9*$W$7</f>
        <v>25.67</v>
      </c>
      <c r="X9" s="139">
        <f>B9*$X$7</f>
        <v>19.252500000000001</v>
      </c>
      <c r="Y9" s="139">
        <f>U9+W9</f>
        <v>72.631</v>
      </c>
      <c r="Z9" s="113">
        <f>V9+X9</f>
        <v>54.473250000000007</v>
      </c>
      <c r="AA9" s="1"/>
    </row>
    <row r="10" spans="1:29">
      <c r="A10" s="14" t="s">
        <v>62</v>
      </c>
      <c r="B10" s="67">
        <v>1.44</v>
      </c>
      <c r="C10" s="110">
        <f t="shared" si="0"/>
        <v>40.175999999999995</v>
      </c>
      <c r="D10" s="111">
        <f t="shared" ref="D10:D73" si="9">B10*$D$7</f>
        <v>30.131999999999994</v>
      </c>
      <c r="E10" s="112">
        <f t="shared" si="1"/>
        <v>40.752000000000002</v>
      </c>
      <c r="F10" s="111">
        <f t="shared" ref="F10:F73" si="10">B10*$F$7</f>
        <v>30.564</v>
      </c>
      <c r="G10" s="110">
        <f t="shared" si="2"/>
        <v>44.783999999999999</v>
      </c>
      <c r="H10" s="111">
        <f t="shared" ref="H10:H73" si="11">B10*$H$7</f>
        <v>33.588000000000001</v>
      </c>
      <c r="I10" s="110">
        <f t="shared" si="3"/>
        <v>38.735999999999997</v>
      </c>
      <c r="J10" s="133">
        <f t="shared" ref="J10:J73" si="12">B10*$J$7</f>
        <v>29.051999999999996</v>
      </c>
      <c r="K10" s="133">
        <f t="shared" si="4"/>
        <v>18.72</v>
      </c>
      <c r="L10" s="133">
        <f t="shared" ref="L10:L73" si="13">B10*$L$7</f>
        <v>14.04</v>
      </c>
      <c r="M10" s="133">
        <f t="shared" ref="M10:M73" si="14">I10+K10</f>
        <v>57.455999999999996</v>
      </c>
      <c r="N10" s="111">
        <f t="shared" ref="N10:N73" si="15">J10+L10</f>
        <v>43.091999999999999</v>
      </c>
      <c r="O10" s="110">
        <f t="shared" si="5"/>
        <v>44.783999999999999</v>
      </c>
      <c r="P10" s="133">
        <f t="shared" ref="P10:P73" si="16">B10*$P$7</f>
        <v>33.588000000000001</v>
      </c>
      <c r="Q10" s="133">
        <f t="shared" si="6"/>
        <v>44.783999999999999</v>
      </c>
      <c r="R10" s="133">
        <f t="shared" ref="R10:R73" si="17">B10*$R$7</f>
        <v>33.588000000000001</v>
      </c>
      <c r="S10" s="133">
        <f t="shared" ref="S10:S73" si="18">O10+Q10</f>
        <v>89.567999999999998</v>
      </c>
      <c r="T10" s="111">
        <f t="shared" ref="T10:T73" si="19">P10+R10</f>
        <v>67.176000000000002</v>
      </c>
      <c r="U10" s="138">
        <f t="shared" si="7"/>
        <v>44.783999999999999</v>
      </c>
      <c r="V10" s="139">
        <f t="shared" ref="V10:V73" si="20">B10*$V$7</f>
        <v>33.588000000000001</v>
      </c>
      <c r="W10" s="139">
        <f t="shared" si="8"/>
        <v>24.48</v>
      </c>
      <c r="X10" s="139">
        <f t="shared" ref="X10:X73" si="21">B10*$X$7</f>
        <v>18.36</v>
      </c>
      <c r="Y10" s="139">
        <f t="shared" ref="Y10:Y73" si="22">U10+W10</f>
        <v>69.263999999999996</v>
      </c>
      <c r="Z10" s="113">
        <f t="shared" ref="Z10:Z73" si="23">V10+X10</f>
        <v>51.948</v>
      </c>
      <c r="AA10" s="1"/>
    </row>
    <row r="11" spans="1:29">
      <c r="A11" s="14" t="s">
        <v>104</v>
      </c>
      <c r="B11" s="67">
        <v>1.44</v>
      </c>
      <c r="C11" s="110">
        <f t="shared" si="0"/>
        <v>40.175999999999995</v>
      </c>
      <c r="D11" s="111">
        <f t="shared" si="9"/>
        <v>30.131999999999994</v>
      </c>
      <c r="E11" s="112">
        <f t="shared" si="1"/>
        <v>40.752000000000002</v>
      </c>
      <c r="F11" s="111">
        <f t="shared" si="10"/>
        <v>30.564</v>
      </c>
      <c r="G11" s="110">
        <f t="shared" si="2"/>
        <v>44.783999999999999</v>
      </c>
      <c r="H11" s="111">
        <f t="shared" si="11"/>
        <v>33.588000000000001</v>
      </c>
      <c r="I11" s="110">
        <f t="shared" si="3"/>
        <v>38.735999999999997</v>
      </c>
      <c r="J11" s="133">
        <f t="shared" si="12"/>
        <v>29.051999999999996</v>
      </c>
      <c r="K11" s="133">
        <f t="shared" si="4"/>
        <v>18.72</v>
      </c>
      <c r="L11" s="133">
        <f t="shared" si="13"/>
        <v>14.04</v>
      </c>
      <c r="M11" s="133">
        <f t="shared" si="14"/>
        <v>57.455999999999996</v>
      </c>
      <c r="N11" s="111">
        <f t="shared" si="15"/>
        <v>43.091999999999999</v>
      </c>
      <c r="O11" s="110">
        <f t="shared" si="5"/>
        <v>44.783999999999999</v>
      </c>
      <c r="P11" s="133">
        <f t="shared" si="16"/>
        <v>33.588000000000001</v>
      </c>
      <c r="Q11" s="133">
        <f t="shared" si="6"/>
        <v>44.783999999999999</v>
      </c>
      <c r="R11" s="133">
        <f t="shared" si="17"/>
        <v>33.588000000000001</v>
      </c>
      <c r="S11" s="133">
        <f t="shared" si="18"/>
        <v>89.567999999999998</v>
      </c>
      <c r="T11" s="252">
        <f t="shared" si="19"/>
        <v>67.176000000000002</v>
      </c>
      <c r="U11" s="138">
        <f t="shared" si="7"/>
        <v>44.783999999999999</v>
      </c>
      <c r="V11" s="139">
        <f t="shared" si="20"/>
        <v>33.588000000000001</v>
      </c>
      <c r="W11" s="139">
        <f t="shared" si="8"/>
        <v>24.48</v>
      </c>
      <c r="X11" s="139">
        <f t="shared" si="21"/>
        <v>18.36</v>
      </c>
      <c r="Y11" s="139">
        <f t="shared" si="22"/>
        <v>69.263999999999996</v>
      </c>
      <c r="Z11" s="113">
        <f t="shared" si="23"/>
        <v>51.948</v>
      </c>
      <c r="AA11" s="1"/>
    </row>
    <row r="12" spans="1:29">
      <c r="A12" s="14" t="s">
        <v>105</v>
      </c>
      <c r="B12" s="67">
        <v>1.44</v>
      </c>
      <c r="C12" s="110">
        <f t="shared" si="0"/>
        <v>40.175999999999995</v>
      </c>
      <c r="D12" s="111">
        <f t="shared" si="9"/>
        <v>30.131999999999994</v>
      </c>
      <c r="E12" s="112">
        <f t="shared" si="1"/>
        <v>40.752000000000002</v>
      </c>
      <c r="F12" s="111">
        <f>B12*$F$7</f>
        <v>30.564</v>
      </c>
      <c r="G12" s="110">
        <f t="shared" si="2"/>
        <v>44.783999999999999</v>
      </c>
      <c r="H12" s="111">
        <f t="shared" si="11"/>
        <v>33.588000000000001</v>
      </c>
      <c r="I12" s="110">
        <f t="shared" si="3"/>
        <v>38.735999999999997</v>
      </c>
      <c r="J12" s="133">
        <f t="shared" si="12"/>
        <v>29.051999999999996</v>
      </c>
      <c r="K12" s="133">
        <f t="shared" si="4"/>
        <v>18.72</v>
      </c>
      <c r="L12" s="133">
        <f t="shared" si="13"/>
        <v>14.04</v>
      </c>
      <c r="M12" s="133">
        <f t="shared" si="14"/>
        <v>57.455999999999996</v>
      </c>
      <c r="N12" s="111">
        <f t="shared" si="15"/>
        <v>43.091999999999999</v>
      </c>
      <c r="O12" s="110">
        <f t="shared" si="5"/>
        <v>44.783999999999999</v>
      </c>
      <c r="P12" s="133">
        <f t="shared" si="16"/>
        <v>33.588000000000001</v>
      </c>
      <c r="Q12" s="133">
        <f t="shared" si="6"/>
        <v>44.783999999999999</v>
      </c>
      <c r="R12" s="133">
        <f t="shared" si="17"/>
        <v>33.588000000000001</v>
      </c>
      <c r="S12" s="133">
        <f t="shared" si="18"/>
        <v>89.567999999999998</v>
      </c>
      <c r="T12" s="111">
        <f t="shared" si="19"/>
        <v>67.176000000000002</v>
      </c>
      <c r="U12" s="138">
        <f t="shared" si="7"/>
        <v>44.783999999999999</v>
      </c>
      <c r="V12" s="139">
        <f t="shared" si="20"/>
        <v>33.588000000000001</v>
      </c>
      <c r="W12" s="139">
        <f t="shared" si="8"/>
        <v>24.48</v>
      </c>
      <c r="X12" s="139">
        <f t="shared" si="21"/>
        <v>18.36</v>
      </c>
      <c r="Y12" s="139">
        <f t="shared" si="22"/>
        <v>69.263999999999996</v>
      </c>
      <c r="Z12" s="113">
        <f t="shared" si="23"/>
        <v>51.948</v>
      </c>
      <c r="AA12" s="1"/>
    </row>
    <row r="13" spans="1:29">
      <c r="A13" s="14" t="s">
        <v>106</v>
      </c>
      <c r="B13" s="67">
        <v>1.29</v>
      </c>
      <c r="C13" s="110">
        <f t="shared" si="0"/>
        <v>35.991</v>
      </c>
      <c r="D13" s="111">
        <f t="shared" si="9"/>
        <v>26.993249999999996</v>
      </c>
      <c r="E13" s="112">
        <f t="shared" si="1"/>
        <v>36.507000000000005</v>
      </c>
      <c r="F13" s="111">
        <f t="shared" si="10"/>
        <v>27.380250000000004</v>
      </c>
      <c r="G13" s="110">
        <f t="shared" si="2"/>
        <v>40.119</v>
      </c>
      <c r="H13" s="111">
        <f t="shared" si="11"/>
        <v>30.089250000000003</v>
      </c>
      <c r="I13" s="110">
        <f t="shared" si="3"/>
        <v>34.701000000000001</v>
      </c>
      <c r="J13" s="133">
        <f t="shared" si="12"/>
        <v>26.025749999999999</v>
      </c>
      <c r="K13" s="133">
        <f t="shared" si="4"/>
        <v>16.77</v>
      </c>
      <c r="L13" s="133">
        <f t="shared" si="13"/>
        <v>12.577500000000001</v>
      </c>
      <c r="M13" s="133">
        <f t="shared" si="14"/>
        <v>51.471000000000004</v>
      </c>
      <c r="N13" s="111">
        <f t="shared" si="15"/>
        <v>38.603250000000003</v>
      </c>
      <c r="O13" s="110">
        <f t="shared" si="5"/>
        <v>40.119</v>
      </c>
      <c r="P13" s="133">
        <f t="shared" si="16"/>
        <v>30.089250000000003</v>
      </c>
      <c r="Q13" s="133">
        <f t="shared" si="6"/>
        <v>40.119</v>
      </c>
      <c r="R13" s="133">
        <f t="shared" si="17"/>
        <v>30.089250000000003</v>
      </c>
      <c r="S13" s="133">
        <f t="shared" si="18"/>
        <v>80.238</v>
      </c>
      <c r="T13" s="111">
        <f t="shared" si="19"/>
        <v>60.178500000000007</v>
      </c>
      <c r="U13" s="138">
        <f t="shared" si="7"/>
        <v>40.119</v>
      </c>
      <c r="V13" s="139">
        <f t="shared" si="20"/>
        <v>30.089250000000003</v>
      </c>
      <c r="W13" s="139">
        <f t="shared" si="8"/>
        <v>21.93</v>
      </c>
      <c r="X13" s="139">
        <f t="shared" si="21"/>
        <v>16.447500000000002</v>
      </c>
      <c r="Y13" s="139">
        <f>U13+W13</f>
        <v>62.048999999999999</v>
      </c>
      <c r="Z13" s="113">
        <f t="shared" si="23"/>
        <v>46.536750000000005</v>
      </c>
      <c r="AA13" s="1"/>
    </row>
    <row r="14" spans="1:29">
      <c r="A14" s="14" t="s">
        <v>114</v>
      </c>
      <c r="B14" s="67">
        <v>1.35</v>
      </c>
      <c r="C14" s="110">
        <f t="shared" si="0"/>
        <v>37.664999999999999</v>
      </c>
      <c r="D14" s="111">
        <f t="shared" si="9"/>
        <v>28.248749999999998</v>
      </c>
      <c r="E14" s="112">
        <f t="shared" si="1"/>
        <v>38.205000000000005</v>
      </c>
      <c r="F14" s="111">
        <f t="shared" si="10"/>
        <v>28.653750000000002</v>
      </c>
      <c r="G14" s="110">
        <f t="shared" si="2"/>
        <v>41.985000000000007</v>
      </c>
      <c r="H14" s="111">
        <f t="shared" si="11"/>
        <v>31.488750000000007</v>
      </c>
      <c r="I14" s="110">
        <f t="shared" si="3"/>
        <v>36.314999999999998</v>
      </c>
      <c r="J14" s="133">
        <f t="shared" si="12"/>
        <v>27.236249999999998</v>
      </c>
      <c r="K14" s="133">
        <f t="shared" si="4"/>
        <v>17.55</v>
      </c>
      <c r="L14" s="133">
        <f t="shared" si="13"/>
        <v>13.162500000000001</v>
      </c>
      <c r="M14" s="133">
        <f t="shared" si="14"/>
        <v>53.864999999999995</v>
      </c>
      <c r="N14" s="111">
        <f t="shared" si="15"/>
        <v>40.39875</v>
      </c>
      <c r="O14" s="110">
        <f t="shared" si="5"/>
        <v>41.985000000000007</v>
      </c>
      <c r="P14" s="133">
        <f t="shared" si="16"/>
        <v>31.488750000000007</v>
      </c>
      <c r="Q14" s="133">
        <f t="shared" si="6"/>
        <v>41.985000000000007</v>
      </c>
      <c r="R14" s="133">
        <f t="shared" si="17"/>
        <v>31.488750000000007</v>
      </c>
      <c r="S14" s="133">
        <f t="shared" si="18"/>
        <v>83.970000000000013</v>
      </c>
      <c r="T14" s="111">
        <f t="shared" si="19"/>
        <v>62.977500000000013</v>
      </c>
      <c r="U14" s="138">
        <f t="shared" si="7"/>
        <v>41.985000000000007</v>
      </c>
      <c r="V14" s="139">
        <f t="shared" si="20"/>
        <v>31.488750000000007</v>
      </c>
      <c r="W14" s="139">
        <f t="shared" si="8"/>
        <v>22.950000000000003</v>
      </c>
      <c r="X14" s="139">
        <f t="shared" si="21"/>
        <v>17.212500000000002</v>
      </c>
      <c r="Y14" s="139">
        <f t="shared" si="22"/>
        <v>64.935000000000002</v>
      </c>
      <c r="Z14" s="113">
        <f t="shared" si="23"/>
        <v>48.701250000000009</v>
      </c>
      <c r="AA14" s="1"/>
    </row>
    <row r="15" spans="1:29">
      <c r="A15" s="14" t="s">
        <v>107</v>
      </c>
      <c r="B15" s="67">
        <v>1.1599999999999999</v>
      </c>
      <c r="C15" s="110">
        <f t="shared" si="0"/>
        <v>32.363999999999997</v>
      </c>
      <c r="D15" s="111">
        <f t="shared" si="9"/>
        <v>24.272999999999996</v>
      </c>
      <c r="E15" s="112">
        <f t="shared" si="1"/>
        <v>32.827999999999996</v>
      </c>
      <c r="F15" s="111">
        <f t="shared" si="10"/>
        <v>24.620999999999999</v>
      </c>
      <c r="G15" s="110">
        <f t="shared" si="2"/>
        <v>36.076000000000001</v>
      </c>
      <c r="H15" s="111">
        <f t="shared" si="11"/>
        <v>27.057000000000002</v>
      </c>
      <c r="I15" s="110">
        <f t="shared" si="3"/>
        <v>31.203999999999997</v>
      </c>
      <c r="J15" s="133">
        <f t="shared" si="12"/>
        <v>23.402999999999995</v>
      </c>
      <c r="K15" s="133">
        <f t="shared" si="4"/>
        <v>15.079999999999998</v>
      </c>
      <c r="L15" s="133">
        <f t="shared" si="13"/>
        <v>11.309999999999999</v>
      </c>
      <c r="M15" s="133">
        <f t="shared" si="14"/>
        <v>46.283999999999992</v>
      </c>
      <c r="N15" s="111">
        <f t="shared" si="15"/>
        <v>34.712999999999994</v>
      </c>
      <c r="O15" s="110">
        <f t="shared" si="5"/>
        <v>36.076000000000001</v>
      </c>
      <c r="P15" s="133">
        <f t="shared" si="16"/>
        <v>27.057000000000002</v>
      </c>
      <c r="Q15" s="133">
        <f t="shared" si="6"/>
        <v>36.076000000000001</v>
      </c>
      <c r="R15" s="133">
        <f t="shared" si="17"/>
        <v>27.057000000000002</v>
      </c>
      <c r="S15" s="133">
        <f t="shared" si="18"/>
        <v>72.152000000000001</v>
      </c>
      <c r="T15" s="111">
        <f t="shared" si="19"/>
        <v>54.114000000000004</v>
      </c>
      <c r="U15" s="138">
        <f t="shared" si="7"/>
        <v>36.076000000000001</v>
      </c>
      <c r="V15" s="139">
        <f t="shared" si="20"/>
        <v>27.057000000000002</v>
      </c>
      <c r="W15" s="139">
        <f t="shared" si="8"/>
        <v>19.72</v>
      </c>
      <c r="X15" s="139">
        <f t="shared" si="21"/>
        <v>14.79</v>
      </c>
      <c r="Y15" s="139">
        <f t="shared" si="22"/>
        <v>55.795999999999999</v>
      </c>
      <c r="Z15" s="113">
        <f t="shared" si="23"/>
        <v>41.847000000000001</v>
      </c>
      <c r="AA15" s="1"/>
    </row>
    <row r="16" spans="1:29">
      <c r="A16" s="14" t="s">
        <v>115</v>
      </c>
      <c r="B16" s="67">
        <v>1.36</v>
      </c>
      <c r="C16" s="110">
        <f t="shared" si="0"/>
        <v>37.944000000000003</v>
      </c>
      <c r="D16" s="111">
        <f t="shared" si="9"/>
        <v>28.457999999999998</v>
      </c>
      <c r="E16" s="112">
        <f t="shared" si="1"/>
        <v>38.488000000000007</v>
      </c>
      <c r="F16" s="111">
        <f t="shared" si="10"/>
        <v>28.866000000000003</v>
      </c>
      <c r="G16" s="110">
        <f t="shared" si="2"/>
        <v>42.296000000000006</v>
      </c>
      <c r="H16" s="111">
        <f t="shared" si="11"/>
        <v>31.722000000000005</v>
      </c>
      <c r="I16" s="110">
        <f t="shared" si="3"/>
        <v>36.584000000000003</v>
      </c>
      <c r="J16" s="133">
        <f t="shared" si="12"/>
        <v>27.437999999999999</v>
      </c>
      <c r="K16" s="133">
        <f t="shared" si="4"/>
        <v>17.68</v>
      </c>
      <c r="L16" s="133">
        <f t="shared" si="13"/>
        <v>13.260000000000002</v>
      </c>
      <c r="M16" s="133">
        <f t="shared" si="14"/>
        <v>54.264000000000003</v>
      </c>
      <c r="N16" s="111">
        <f t="shared" si="15"/>
        <v>40.698</v>
      </c>
      <c r="O16" s="110">
        <f t="shared" si="5"/>
        <v>42.296000000000006</v>
      </c>
      <c r="P16" s="133">
        <f t="shared" si="16"/>
        <v>31.722000000000005</v>
      </c>
      <c r="Q16" s="133">
        <f t="shared" si="6"/>
        <v>42.296000000000006</v>
      </c>
      <c r="R16" s="133">
        <f t="shared" si="17"/>
        <v>31.722000000000005</v>
      </c>
      <c r="S16" s="133">
        <f t="shared" si="18"/>
        <v>84.592000000000013</v>
      </c>
      <c r="T16" s="111">
        <f t="shared" si="19"/>
        <v>63.44400000000001</v>
      </c>
      <c r="U16" s="138">
        <f t="shared" si="7"/>
        <v>42.296000000000006</v>
      </c>
      <c r="V16" s="139">
        <f t="shared" si="20"/>
        <v>31.722000000000005</v>
      </c>
      <c r="W16" s="139">
        <f t="shared" si="8"/>
        <v>23.12</v>
      </c>
      <c r="X16" s="139">
        <f t="shared" si="21"/>
        <v>17.34</v>
      </c>
      <c r="Y16" s="139">
        <f t="shared" si="22"/>
        <v>65.416000000000011</v>
      </c>
      <c r="Z16" s="113">
        <f t="shared" si="23"/>
        <v>49.062000000000005</v>
      </c>
      <c r="AA16" s="1"/>
    </row>
    <row r="17" spans="1:27">
      <c r="A17" s="14" t="s">
        <v>0</v>
      </c>
      <c r="B17" s="67">
        <v>1.35</v>
      </c>
      <c r="C17" s="110">
        <f t="shared" si="0"/>
        <v>37.664999999999999</v>
      </c>
      <c r="D17" s="111">
        <f t="shared" si="9"/>
        <v>28.248749999999998</v>
      </c>
      <c r="E17" s="112">
        <f t="shared" si="1"/>
        <v>38.205000000000005</v>
      </c>
      <c r="F17" s="111">
        <f t="shared" si="10"/>
        <v>28.653750000000002</v>
      </c>
      <c r="G17" s="110">
        <f t="shared" si="2"/>
        <v>41.985000000000007</v>
      </c>
      <c r="H17" s="111">
        <f t="shared" si="11"/>
        <v>31.488750000000007</v>
      </c>
      <c r="I17" s="110">
        <f t="shared" si="3"/>
        <v>36.314999999999998</v>
      </c>
      <c r="J17" s="133">
        <f t="shared" si="12"/>
        <v>27.236249999999998</v>
      </c>
      <c r="K17" s="133">
        <f t="shared" si="4"/>
        <v>17.55</v>
      </c>
      <c r="L17" s="133">
        <f t="shared" si="13"/>
        <v>13.162500000000001</v>
      </c>
      <c r="M17" s="133">
        <f t="shared" si="14"/>
        <v>53.864999999999995</v>
      </c>
      <c r="N17" s="111">
        <f t="shared" si="15"/>
        <v>40.39875</v>
      </c>
      <c r="O17" s="110">
        <f t="shared" si="5"/>
        <v>41.985000000000007</v>
      </c>
      <c r="P17" s="133">
        <f t="shared" si="16"/>
        <v>31.488750000000007</v>
      </c>
      <c r="Q17" s="133">
        <f t="shared" si="6"/>
        <v>41.985000000000007</v>
      </c>
      <c r="R17" s="133">
        <f t="shared" si="17"/>
        <v>31.488750000000007</v>
      </c>
      <c r="S17" s="133">
        <f t="shared" si="18"/>
        <v>83.970000000000013</v>
      </c>
      <c r="T17" s="111">
        <f t="shared" si="19"/>
        <v>62.977500000000013</v>
      </c>
      <c r="U17" s="138">
        <f t="shared" si="7"/>
        <v>41.985000000000007</v>
      </c>
      <c r="V17" s="139">
        <f t="shared" si="20"/>
        <v>31.488750000000007</v>
      </c>
      <c r="W17" s="139">
        <f t="shared" si="8"/>
        <v>22.950000000000003</v>
      </c>
      <c r="X17" s="139">
        <f t="shared" si="21"/>
        <v>17.212500000000002</v>
      </c>
      <c r="Y17" s="139">
        <f t="shared" si="22"/>
        <v>64.935000000000002</v>
      </c>
      <c r="Z17" s="113">
        <f t="shared" si="23"/>
        <v>48.701250000000009</v>
      </c>
      <c r="AA17" s="1"/>
    </row>
    <row r="18" spans="1:27">
      <c r="A18" s="14" t="s">
        <v>55</v>
      </c>
      <c r="B18" s="67"/>
      <c r="C18" s="110"/>
      <c r="D18" s="111"/>
      <c r="E18" s="112"/>
      <c r="F18" s="111"/>
      <c r="G18" s="110"/>
      <c r="H18" s="111"/>
      <c r="I18" s="110"/>
      <c r="J18" s="133"/>
      <c r="K18" s="133"/>
      <c r="L18" s="133"/>
      <c r="M18" s="133"/>
      <c r="N18" s="111"/>
      <c r="O18" s="110"/>
      <c r="P18" s="133"/>
      <c r="Q18" s="133"/>
      <c r="R18" s="133"/>
      <c r="S18" s="133"/>
      <c r="T18" s="111"/>
      <c r="U18" s="138"/>
      <c r="V18" s="139"/>
      <c r="W18" s="139"/>
      <c r="X18" s="139"/>
      <c r="Y18" s="139"/>
      <c r="Z18" s="113"/>
      <c r="AA18" s="1"/>
    </row>
    <row r="19" spans="1:27">
      <c r="A19" s="14" t="s">
        <v>1</v>
      </c>
      <c r="B19" s="67">
        <v>1.42</v>
      </c>
      <c r="C19" s="110">
        <f t="shared" si="0"/>
        <v>39.617999999999995</v>
      </c>
      <c r="D19" s="111">
        <f t="shared" si="9"/>
        <v>29.713499999999996</v>
      </c>
      <c r="E19" s="112">
        <f t="shared" si="1"/>
        <v>40.186</v>
      </c>
      <c r="F19" s="111">
        <f t="shared" si="10"/>
        <v>30.139500000000002</v>
      </c>
      <c r="G19" s="110">
        <f t="shared" si="2"/>
        <v>44.161999999999999</v>
      </c>
      <c r="H19" s="111">
        <f t="shared" si="11"/>
        <v>33.121500000000005</v>
      </c>
      <c r="I19" s="110">
        <f t="shared" si="3"/>
        <v>38.197999999999993</v>
      </c>
      <c r="J19" s="133">
        <f t="shared" si="12"/>
        <v>28.648499999999995</v>
      </c>
      <c r="K19" s="133">
        <f t="shared" si="4"/>
        <v>18.46</v>
      </c>
      <c r="L19" s="133">
        <f t="shared" si="13"/>
        <v>13.844999999999999</v>
      </c>
      <c r="M19" s="133">
        <f t="shared" si="14"/>
        <v>56.657999999999994</v>
      </c>
      <c r="N19" s="111">
        <f t="shared" si="15"/>
        <v>42.493499999999997</v>
      </c>
      <c r="O19" s="110">
        <f t="shared" si="5"/>
        <v>44.161999999999999</v>
      </c>
      <c r="P19" s="133">
        <f t="shared" si="16"/>
        <v>33.121500000000005</v>
      </c>
      <c r="Q19" s="133">
        <f t="shared" si="6"/>
        <v>44.161999999999999</v>
      </c>
      <c r="R19" s="133">
        <f t="shared" si="17"/>
        <v>33.121500000000005</v>
      </c>
      <c r="S19" s="133">
        <f t="shared" si="18"/>
        <v>88.323999999999998</v>
      </c>
      <c r="T19" s="111">
        <f t="shared" si="19"/>
        <v>66.243000000000009</v>
      </c>
      <c r="U19" s="138">
        <f t="shared" si="7"/>
        <v>44.161999999999999</v>
      </c>
      <c r="V19" s="139">
        <f t="shared" si="20"/>
        <v>33.121500000000005</v>
      </c>
      <c r="W19" s="139">
        <f t="shared" si="8"/>
        <v>24.14</v>
      </c>
      <c r="X19" s="139">
        <f t="shared" si="21"/>
        <v>18.105</v>
      </c>
      <c r="Y19" s="139">
        <f>U19+W19</f>
        <v>68.301999999999992</v>
      </c>
      <c r="Z19" s="113">
        <f t="shared" si="23"/>
        <v>51.226500000000001</v>
      </c>
      <c r="AA19" s="1"/>
    </row>
    <row r="20" spans="1:27">
      <c r="A20" s="14" t="s">
        <v>2</v>
      </c>
      <c r="B20" s="68">
        <v>1.22</v>
      </c>
      <c r="C20" s="110">
        <f t="shared" si="0"/>
        <v>34.037999999999997</v>
      </c>
      <c r="D20" s="111">
        <f t="shared" si="9"/>
        <v>25.528499999999998</v>
      </c>
      <c r="E20" s="112">
        <f t="shared" si="1"/>
        <v>34.526000000000003</v>
      </c>
      <c r="F20" s="111">
        <f t="shared" si="10"/>
        <v>25.894500000000001</v>
      </c>
      <c r="G20" s="110">
        <f t="shared" si="2"/>
        <v>37.942</v>
      </c>
      <c r="H20" s="111">
        <f t="shared" si="11"/>
        <v>28.456500000000002</v>
      </c>
      <c r="I20" s="110">
        <f t="shared" si="3"/>
        <v>32.817999999999998</v>
      </c>
      <c r="J20" s="133">
        <f t="shared" si="12"/>
        <v>24.613499999999995</v>
      </c>
      <c r="K20" s="133">
        <f t="shared" si="4"/>
        <v>15.86</v>
      </c>
      <c r="L20" s="133">
        <f t="shared" si="13"/>
        <v>11.895</v>
      </c>
      <c r="M20" s="133">
        <f t="shared" si="14"/>
        <v>48.677999999999997</v>
      </c>
      <c r="N20" s="111">
        <f t="shared" si="15"/>
        <v>36.508499999999998</v>
      </c>
      <c r="O20" s="110">
        <f t="shared" si="5"/>
        <v>37.942</v>
      </c>
      <c r="P20" s="133">
        <f t="shared" si="16"/>
        <v>28.456500000000002</v>
      </c>
      <c r="Q20" s="133">
        <f t="shared" si="6"/>
        <v>37.942</v>
      </c>
      <c r="R20" s="133">
        <f t="shared" si="17"/>
        <v>28.456500000000002</v>
      </c>
      <c r="S20" s="133">
        <f t="shared" si="18"/>
        <v>75.884</v>
      </c>
      <c r="T20" s="111">
        <f t="shared" si="19"/>
        <v>56.913000000000004</v>
      </c>
      <c r="U20" s="138">
        <f t="shared" si="7"/>
        <v>37.942</v>
      </c>
      <c r="V20" s="139">
        <f t="shared" si="20"/>
        <v>28.456500000000002</v>
      </c>
      <c r="W20" s="139">
        <f t="shared" si="8"/>
        <v>20.74</v>
      </c>
      <c r="X20" s="139">
        <f t="shared" si="21"/>
        <v>15.555</v>
      </c>
      <c r="Y20" s="139">
        <f t="shared" si="22"/>
        <v>58.682000000000002</v>
      </c>
      <c r="Z20" s="113">
        <f t="shared" si="23"/>
        <v>44.011499999999998</v>
      </c>
      <c r="AA20" s="1"/>
    </row>
    <row r="21" spans="1:27">
      <c r="A21" s="14" t="s">
        <v>63</v>
      </c>
      <c r="B21" s="68">
        <v>1.28</v>
      </c>
      <c r="C21" s="110">
        <f t="shared" si="0"/>
        <v>35.711999999999996</v>
      </c>
      <c r="D21" s="111">
        <f t="shared" si="9"/>
        <v>26.783999999999995</v>
      </c>
      <c r="E21" s="112">
        <f t="shared" si="1"/>
        <v>36.224000000000004</v>
      </c>
      <c r="F21" s="111">
        <f t="shared" si="10"/>
        <v>27.168000000000003</v>
      </c>
      <c r="G21" s="110">
        <f t="shared" si="2"/>
        <v>39.808</v>
      </c>
      <c r="H21" s="111">
        <f t="shared" si="11"/>
        <v>29.856000000000005</v>
      </c>
      <c r="I21" s="110">
        <f t="shared" si="3"/>
        <v>34.432000000000002</v>
      </c>
      <c r="J21" s="133">
        <f t="shared" si="12"/>
        <v>25.823999999999998</v>
      </c>
      <c r="K21" s="133">
        <f t="shared" si="4"/>
        <v>16.64</v>
      </c>
      <c r="L21" s="133">
        <f t="shared" si="13"/>
        <v>12.48</v>
      </c>
      <c r="M21" s="133">
        <f t="shared" si="14"/>
        <v>51.072000000000003</v>
      </c>
      <c r="N21" s="111">
        <f t="shared" si="15"/>
        <v>38.304000000000002</v>
      </c>
      <c r="O21" s="110">
        <f t="shared" si="5"/>
        <v>39.808</v>
      </c>
      <c r="P21" s="133">
        <f t="shared" si="16"/>
        <v>29.856000000000005</v>
      </c>
      <c r="Q21" s="133">
        <f t="shared" si="6"/>
        <v>39.808</v>
      </c>
      <c r="R21" s="133">
        <f t="shared" si="17"/>
        <v>29.856000000000005</v>
      </c>
      <c r="S21" s="133">
        <f t="shared" si="18"/>
        <v>79.616</v>
      </c>
      <c r="T21" s="111">
        <f t="shared" si="19"/>
        <v>59.71200000000001</v>
      </c>
      <c r="U21" s="138">
        <f t="shared" si="7"/>
        <v>39.808</v>
      </c>
      <c r="V21" s="139">
        <f t="shared" si="20"/>
        <v>29.856000000000005</v>
      </c>
      <c r="W21" s="139">
        <f t="shared" si="8"/>
        <v>21.76</v>
      </c>
      <c r="X21" s="139">
        <f t="shared" si="21"/>
        <v>16.32</v>
      </c>
      <c r="Y21" s="139">
        <f t="shared" si="22"/>
        <v>61.567999999999998</v>
      </c>
      <c r="Z21" s="113">
        <f t="shared" si="23"/>
        <v>46.176000000000002</v>
      </c>
      <c r="AA21" s="1"/>
    </row>
    <row r="22" spans="1:27">
      <c r="A22" s="14" t="s">
        <v>3</v>
      </c>
      <c r="B22" s="68">
        <v>1.42</v>
      </c>
      <c r="C22" s="110">
        <f t="shared" si="0"/>
        <v>39.617999999999995</v>
      </c>
      <c r="D22" s="111">
        <f t="shared" si="9"/>
        <v>29.713499999999996</v>
      </c>
      <c r="E22" s="112">
        <f t="shared" si="1"/>
        <v>40.186</v>
      </c>
      <c r="F22" s="111">
        <f t="shared" si="10"/>
        <v>30.139500000000002</v>
      </c>
      <c r="G22" s="110">
        <f t="shared" si="2"/>
        <v>44.161999999999999</v>
      </c>
      <c r="H22" s="111">
        <f t="shared" si="11"/>
        <v>33.121500000000005</v>
      </c>
      <c r="I22" s="110">
        <f t="shared" si="3"/>
        <v>38.197999999999993</v>
      </c>
      <c r="J22" s="133">
        <f t="shared" si="12"/>
        <v>28.648499999999995</v>
      </c>
      <c r="K22" s="133">
        <f t="shared" si="4"/>
        <v>18.46</v>
      </c>
      <c r="L22" s="133">
        <f t="shared" si="13"/>
        <v>13.844999999999999</v>
      </c>
      <c r="M22" s="133">
        <f t="shared" si="14"/>
        <v>56.657999999999994</v>
      </c>
      <c r="N22" s="111">
        <f t="shared" si="15"/>
        <v>42.493499999999997</v>
      </c>
      <c r="O22" s="110">
        <f t="shared" si="5"/>
        <v>44.161999999999999</v>
      </c>
      <c r="P22" s="133">
        <f t="shared" si="16"/>
        <v>33.121500000000005</v>
      </c>
      <c r="Q22" s="133">
        <f t="shared" si="6"/>
        <v>44.161999999999999</v>
      </c>
      <c r="R22" s="133">
        <f t="shared" si="17"/>
        <v>33.121500000000005</v>
      </c>
      <c r="S22" s="133">
        <f t="shared" si="18"/>
        <v>88.323999999999998</v>
      </c>
      <c r="T22" s="111">
        <f t="shared" si="19"/>
        <v>66.243000000000009</v>
      </c>
      <c r="U22" s="138">
        <f t="shared" si="7"/>
        <v>44.161999999999999</v>
      </c>
      <c r="V22" s="139">
        <f t="shared" si="20"/>
        <v>33.121500000000005</v>
      </c>
      <c r="W22" s="139">
        <f t="shared" si="8"/>
        <v>24.14</v>
      </c>
      <c r="X22" s="139">
        <f t="shared" si="21"/>
        <v>18.105</v>
      </c>
      <c r="Y22" s="139">
        <f t="shared" si="22"/>
        <v>68.301999999999992</v>
      </c>
      <c r="Z22" s="113">
        <f t="shared" si="23"/>
        <v>51.226500000000001</v>
      </c>
      <c r="AA22" s="1"/>
    </row>
    <row r="23" spans="1:27">
      <c r="A23" s="14" t="s">
        <v>56</v>
      </c>
      <c r="B23" s="68">
        <v>0.92</v>
      </c>
      <c r="C23" s="110">
        <f t="shared" si="0"/>
        <v>25.667999999999999</v>
      </c>
      <c r="D23" s="111">
        <f t="shared" si="9"/>
        <v>19.250999999999998</v>
      </c>
      <c r="E23" s="112">
        <f t="shared" si="1"/>
        <v>26.036000000000001</v>
      </c>
      <c r="F23" s="111">
        <f t="shared" si="10"/>
        <v>19.527000000000001</v>
      </c>
      <c r="G23" s="110">
        <f t="shared" si="2"/>
        <v>28.612000000000002</v>
      </c>
      <c r="H23" s="111">
        <f t="shared" si="11"/>
        <v>21.459000000000003</v>
      </c>
      <c r="I23" s="110">
        <f t="shared" si="3"/>
        <v>24.748000000000001</v>
      </c>
      <c r="J23" s="133">
        <f t="shared" si="12"/>
        <v>18.561</v>
      </c>
      <c r="K23" s="133">
        <f t="shared" si="4"/>
        <v>11.96</v>
      </c>
      <c r="L23" s="133">
        <f t="shared" si="13"/>
        <v>8.9700000000000006</v>
      </c>
      <c r="M23" s="133">
        <f t="shared" si="14"/>
        <v>36.707999999999998</v>
      </c>
      <c r="N23" s="111">
        <f t="shared" si="15"/>
        <v>27.530999999999999</v>
      </c>
      <c r="O23" s="110">
        <f t="shared" si="5"/>
        <v>28.612000000000002</v>
      </c>
      <c r="P23" s="133">
        <f t="shared" si="16"/>
        <v>21.459000000000003</v>
      </c>
      <c r="Q23" s="133">
        <f t="shared" si="6"/>
        <v>28.612000000000002</v>
      </c>
      <c r="R23" s="133">
        <f t="shared" si="17"/>
        <v>21.459000000000003</v>
      </c>
      <c r="S23" s="133">
        <f t="shared" si="18"/>
        <v>57.224000000000004</v>
      </c>
      <c r="T23" s="111">
        <f t="shared" si="19"/>
        <v>42.918000000000006</v>
      </c>
      <c r="U23" s="138">
        <f t="shared" si="7"/>
        <v>28.612000000000002</v>
      </c>
      <c r="V23" s="139">
        <f t="shared" si="20"/>
        <v>21.459000000000003</v>
      </c>
      <c r="W23" s="139">
        <f t="shared" si="8"/>
        <v>15.64</v>
      </c>
      <c r="X23" s="139">
        <f t="shared" si="21"/>
        <v>11.73</v>
      </c>
      <c r="Y23" s="139">
        <f t="shared" si="22"/>
        <v>44.252000000000002</v>
      </c>
      <c r="Z23" s="113">
        <f t="shared" si="23"/>
        <v>33.189000000000007</v>
      </c>
      <c r="AA23" s="1"/>
    </row>
    <row r="24" spans="1:27">
      <c r="A24" s="14" t="s">
        <v>94</v>
      </c>
      <c r="B24" s="68">
        <v>0.92</v>
      </c>
      <c r="C24" s="110">
        <f t="shared" si="0"/>
        <v>25.667999999999999</v>
      </c>
      <c r="D24" s="111">
        <f t="shared" si="9"/>
        <v>19.250999999999998</v>
      </c>
      <c r="E24" s="112">
        <f t="shared" si="1"/>
        <v>26.036000000000001</v>
      </c>
      <c r="F24" s="111">
        <f t="shared" si="10"/>
        <v>19.527000000000001</v>
      </c>
      <c r="G24" s="110">
        <f t="shared" si="2"/>
        <v>28.612000000000002</v>
      </c>
      <c r="H24" s="111">
        <f t="shared" si="11"/>
        <v>21.459000000000003</v>
      </c>
      <c r="I24" s="110">
        <f t="shared" si="3"/>
        <v>24.748000000000001</v>
      </c>
      <c r="J24" s="133">
        <f t="shared" si="12"/>
        <v>18.561</v>
      </c>
      <c r="K24" s="133">
        <f t="shared" si="4"/>
        <v>11.96</v>
      </c>
      <c r="L24" s="133">
        <f t="shared" si="13"/>
        <v>8.9700000000000006</v>
      </c>
      <c r="M24" s="133">
        <f t="shared" si="14"/>
        <v>36.707999999999998</v>
      </c>
      <c r="N24" s="111">
        <f t="shared" si="15"/>
        <v>27.530999999999999</v>
      </c>
      <c r="O24" s="110">
        <f t="shared" si="5"/>
        <v>28.612000000000002</v>
      </c>
      <c r="P24" s="133">
        <f t="shared" si="16"/>
        <v>21.459000000000003</v>
      </c>
      <c r="Q24" s="133">
        <f t="shared" si="6"/>
        <v>28.612000000000002</v>
      </c>
      <c r="R24" s="133">
        <f t="shared" si="17"/>
        <v>21.459000000000003</v>
      </c>
      <c r="S24" s="133">
        <f t="shared" si="18"/>
        <v>57.224000000000004</v>
      </c>
      <c r="T24" s="111">
        <f t="shared" si="19"/>
        <v>42.918000000000006</v>
      </c>
      <c r="U24" s="138">
        <f t="shared" si="7"/>
        <v>28.612000000000002</v>
      </c>
      <c r="V24" s="139">
        <f t="shared" si="20"/>
        <v>21.459000000000003</v>
      </c>
      <c r="W24" s="139">
        <f t="shared" si="8"/>
        <v>15.64</v>
      </c>
      <c r="X24" s="139">
        <f t="shared" si="21"/>
        <v>11.73</v>
      </c>
      <c r="Y24" s="139">
        <f t="shared" si="22"/>
        <v>44.252000000000002</v>
      </c>
      <c r="Z24" s="113">
        <f t="shared" si="23"/>
        <v>33.189000000000007</v>
      </c>
      <c r="AA24" s="1"/>
    </row>
    <row r="25" spans="1:27">
      <c r="A25" s="14" t="s">
        <v>57</v>
      </c>
      <c r="B25" s="68">
        <v>0.92</v>
      </c>
      <c r="C25" s="110">
        <f t="shared" si="0"/>
        <v>25.667999999999999</v>
      </c>
      <c r="D25" s="111">
        <f t="shared" si="9"/>
        <v>19.250999999999998</v>
      </c>
      <c r="E25" s="112">
        <f t="shared" si="1"/>
        <v>26.036000000000001</v>
      </c>
      <c r="F25" s="111">
        <f t="shared" si="10"/>
        <v>19.527000000000001</v>
      </c>
      <c r="G25" s="110">
        <f t="shared" si="2"/>
        <v>28.612000000000002</v>
      </c>
      <c r="H25" s="111">
        <f t="shared" si="11"/>
        <v>21.459000000000003</v>
      </c>
      <c r="I25" s="110">
        <f t="shared" si="3"/>
        <v>24.748000000000001</v>
      </c>
      <c r="J25" s="133">
        <f t="shared" si="12"/>
        <v>18.561</v>
      </c>
      <c r="K25" s="133">
        <f t="shared" si="4"/>
        <v>11.96</v>
      </c>
      <c r="L25" s="133">
        <f t="shared" si="13"/>
        <v>8.9700000000000006</v>
      </c>
      <c r="M25" s="133">
        <f t="shared" si="14"/>
        <v>36.707999999999998</v>
      </c>
      <c r="N25" s="111">
        <f t="shared" si="15"/>
        <v>27.530999999999999</v>
      </c>
      <c r="O25" s="110">
        <f t="shared" si="5"/>
        <v>28.612000000000002</v>
      </c>
      <c r="P25" s="133">
        <f t="shared" si="16"/>
        <v>21.459000000000003</v>
      </c>
      <c r="Q25" s="133">
        <f t="shared" si="6"/>
        <v>28.612000000000002</v>
      </c>
      <c r="R25" s="133">
        <f t="shared" si="17"/>
        <v>21.459000000000003</v>
      </c>
      <c r="S25" s="133">
        <f t="shared" si="18"/>
        <v>57.224000000000004</v>
      </c>
      <c r="T25" s="111">
        <f t="shared" si="19"/>
        <v>42.918000000000006</v>
      </c>
      <c r="U25" s="138">
        <f t="shared" si="7"/>
        <v>28.612000000000002</v>
      </c>
      <c r="V25" s="139">
        <f t="shared" si="20"/>
        <v>21.459000000000003</v>
      </c>
      <c r="W25" s="139">
        <f t="shared" si="8"/>
        <v>15.64</v>
      </c>
      <c r="X25" s="139">
        <f t="shared" si="21"/>
        <v>11.73</v>
      </c>
      <c r="Y25" s="139">
        <f t="shared" si="22"/>
        <v>44.252000000000002</v>
      </c>
      <c r="Z25" s="113">
        <f t="shared" si="23"/>
        <v>33.189000000000007</v>
      </c>
      <c r="AA25" s="1"/>
    </row>
    <row r="26" spans="1:27">
      <c r="A26" s="14" t="s">
        <v>95</v>
      </c>
      <c r="B26" s="68">
        <v>0.92</v>
      </c>
      <c r="C26" s="110">
        <f t="shared" si="0"/>
        <v>25.667999999999999</v>
      </c>
      <c r="D26" s="111">
        <f t="shared" si="9"/>
        <v>19.250999999999998</v>
      </c>
      <c r="E26" s="112">
        <f t="shared" si="1"/>
        <v>26.036000000000001</v>
      </c>
      <c r="F26" s="111">
        <f t="shared" si="10"/>
        <v>19.527000000000001</v>
      </c>
      <c r="G26" s="110">
        <f t="shared" si="2"/>
        <v>28.612000000000002</v>
      </c>
      <c r="H26" s="111">
        <f t="shared" si="11"/>
        <v>21.459000000000003</v>
      </c>
      <c r="I26" s="110">
        <f t="shared" si="3"/>
        <v>24.748000000000001</v>
      </c>
      <c r="J26" s="133">
        <f t="shared" si="12"/>
        <v>18.561</v>
      </c>
      <c r="K26" s="133">
        <f t="shared" si="4"/>
        <v>11.96</v>
      </c>
      <c r="L26" s="133">
        <f t="shared" si="13"/>
        <v>8.9700000000000006</v>
      </c>
      <c r="M26" s="133">
        <f t="shared" si="14"/>
        <v>36.707999999999998</v>
      </c>
      <c r="N26" s="111">
        <f t="shared" si="15"/>
        <v>27.530999999999999</v>
      </c>
      <c r="O26" s="110">
        <f t="shared" si="5"/>
        <v>28.612000000000002</v>
      </c>
      <c r="P26" s="133">
        <f t="shared" si="16"/>
        <v>21.459000000000003</v>
      </c>
      <c r="Q26" s="133">
        <f t="shared" si="6"/>
        <v>28.612000000000002</v>
      </c>
      <c r="R26" s="133">
        <f t="shared" si="17"/>
        <v>21.459000000000003</v>
      </c>
      <c r="S26" s="133">
        <f>O26+Q26</f>
        <v>57.224000000000004</v>
      </c>
      <c r="T26" s="111">
        <f t="shared" si="19"/>
        <v>42.918000000000006</v>
      </c>
      <c r="U26" s="138">
        <f t="shared" si="7"/>
        <v>28.612000000000002</v>
      </c>
      <c r="V26" s="139">
        <f t="shared" si="20"/>
        <v>21.459000000000003</v>
      </c>
      <c r="W26" s="139">
        <f t="shared" si="8"/>
        <v>15.64</v>
      </c>
      <c r="X26" s="139">
        <f t="shared" si="21"/>
        <v>11.73</v>
      </c>
      <c r="Y26" s="139">
        <f>U26+W26</f>
        <v>44.252000000000002</v>
      </c>
      <c r="Z26" s="113">
        <f t="shared" si="23"/>
        <v>33.189000000000007</v>
      </c>
      <c r="AA26" s="1"/>
    </row>
    <row r="27" spans="1:27">
      <c r="A27" s="14" t="s">
        <v>4</v>
      </c>
      <c r="B27" s="68">
        <v>1.52</v>
      </c>
      <c r="C27" s="110">
        <f t="shared" si="0"/>
        <v>42.408000000000001</v>
      </c>
      <c r="D27" s="111">
        <f t="shared" si="9"/>
        <v>31.805999999999997</v>
      </c>
      <c r="E27" s="112">
        <f t="shared" si="1"/>
        <v>43.015999999999998</v>
      </c>
      <c r="F27" s="111">
        <f t="shared" si="10"/>
        <v>32.262</v>
      </c>
      <c r="G27" s="110">
        <f t="shared" si="2"/>
        <v>47.272000000000006</v>
      </c>
      <c r="H27" s="111">
        <f t="shared" si="11"/>
        <v>35.454000000000008</v>
      </c>
      <c r="I27" s="110">
        <f t="shared" si="3"/>
        <v>40.887999999999998</v>
      </c>
      <c r="J27" s="133">
        <f t="shared" si="12"/>
        <v>30.665999999999997</v>
      </c>
      <c r="K27" s="133">
        <f t="shared" si="4"/>
        <v>19.760000000000002</v>
      </c>
      <c r="L27" s="133">
        <f t="shared" si="13"/>
        <v>14.82</v>
      </c>
      <c r="M27" s="133">
        <f t="shared" si="14"/>
        <v>60.647999999999996</v>
      </c>
      <c r="N27" s="111">
        <f t="shared" si="15"/>
        <v>45.485999999999997</v>
      </c>
      <c r="O27" s="110">
        <f t="shared" si="5"/>
        <v>47.272000000000006</v>
      </c>
      <c r="P27" s="133">
        <f t="shared" si="16"/>
        <v>35.454000000000008</v>
      </c>
      <c r="Q27" s="133">
        <f t="shared" si="6"/>
        <v>47.272000000000006</v>
      </c>
      <c r="R27" s="133">
        <f t="shared" si="17"/>
        <v>35.454000000000008</v>
      </c>
      <c r="S27" s="133">
        <f t="shared" si="18"/>
        <v>94.544000000000011</v>
      </c>
      <c r="T27" s="111">
        <f t="shared" si="19"/>
        <v>70.908000000000015</v>
      </c>
      <c r="U27" s="138">
        <f t="shared" si="7"/>
        <v>47.272000000000006</v>
      </c>
      <c r="V27" s="139">
        <f t="shared" si="20"/>
        <v>35.454000000000008</v>
      </c>
      <c r="W27" s="139">
        <f t="shared" si="8"/>
        <v>25.84</v>
      </c>
      <c r="X27" s="139">
        <f t="shared" si="21"/>
        <v>19.38</v>
      </c>
      <c r="Y27" s="139">
        <f t="shared" si="22"/>
        <v>73.112000000000009</v>
      </c>
      <c r="Z27" s="113">
        <f t="shared" si="23"/>
        <v>54.834000000000003</v>
      </c>
      <c r="AA27" s="1"/>
    </row>
    <row r="28" spans="1:27">
      <c r="A28" s="14" t="s">
        <v>58</v>
      </c>
      <c r="B28" s="68">
        <v>1.24</v>
      </c>
      <c r="C28" s="110">
        <f t="shared" si="0"/>
        <v>34.595999999999997</v>
      </c>
      <c r="D28" s="111">
        <f t="shared" si="9"/>
        <v>25.946999999999996</v>
      </c>
      <c r="E28" s="112">
        <f t="shared" si="1"/>
        <v>35.091999999999999</v>
      </c>
      <c r="F28" s="111">
        <f t="shared" si="10"/>
        <v>26.319000000000003</v>
      </c>
      <c r="G28" s="110">
        <f t="shared" si="2"/>
        <v>38.564</v>
      </c>
      <c r="H28" s="111">
        <f t="shared" si="11"/>
        <v>28.923000000000002</v>
      </c>
      <c r="I28" s="110">
        <f t="shared" si="3"/>
        <v>33.355999999999995</v>
      </c>
      <c r="J28" s="133">
        <f t="shared" si="12"/>
        <v>25.016999999999996</v>
      </c>
      <c r="K28" s="133">
        <f t="shared" si="4"/>
        <v>16.12</v>
      </c>
      <c r="L28" s="133">
        <f t="shared" si="13"/>
        <v>12.09</v>
      </c>
      <c r="M28" s="133">
        <f t="shared" si="14"/>
        <v>49.475999999999999</v>
      </c>
      <c r="N28" s="111">
        <f t="shared" si="15"/>
        <v>37.106999999999999</v>
      </c>
      <c r="O28" s="110">
        <f t="shared" si="5"/>
        <v>38.564</v>
      </c>
      <c r="P28" s="133">
        <f t="shared" si="16"/>
        <v>28.923000000000002</v>
      </c>
      <c r="Q28" s="133">
        <f t="shared" si="6"/>
        <v>38.564</v>
      </c>
      <c r="R28" s="133">
        <f t="shared" si="17"/>
        <v>28.923000000000002</v>
      </c>
      <c r="S28" s="133">
        <f t="shared" si="18"/>
        <v>77.128</v>
      </c>
      <c r="T28" s="111">
        <f t="shared" si="19"/>
        <v>57.846000000000004</v>
      </c>
      <c r="U28" s="138">
        <f t="shared" si="7"/>
        <v>38.564</v>
      </c>
      <c r="V28" s="139">
        <f t="shared" si="20"/>
        <v>28.923000000000002</v>
      </c>
      <c r="W28" s="139">
        <f t="shared" si="8"/>
        <v>21.08</v>
      </c>
      <c r="X28" s="139">
        <f t="shared" si="21"/>
        <v>15.81</v>
      </c>
      <c r="Y28" s="139">
        <f t="shared" si="22"/>
        <v>59.643999999999998</v>
      </c>
      <c r="Z28" s="113">
        <f t="shared" si="23"/>
        <v>44.733000000000004</v>
      </c>
      <c r="AA28" s="1"/>
    </row>
    <row r="29" spans="1:27">
      <c r="A29" s="16" t="s">
        <v>59</v>
      </c>
      <c r="B29" s="68">
        <v>1.19</v>
      </c>
      <c r="C29" s="110">
        <f t="shared" si="0"/>
        <v>33.200999999999993</v>
      </c>
      <c r="D29" s="111">
        <f t="shared" si="9"/>
        <v>24.900749999999995</v>
      </c>
      <c r="E29" s="112">
        <f t="shared" si="1"/>
        <v>33.677</v>
      </c>
      <c r="F29" s="111">
        <f t="shared" si="10"/>
        <v>25.257750000000001</v>
      </c>
      <c r="G29" s="110">
        <f t="shared" si="2"/>
        <v>37.009</v>
      </c>
      <c r="H29" s="111">
        <f t="shared" si="11"/>
        <v>27.756750000000004</v>
      </c>
      <c r="I29" s="110">
        <f t="shared" si="3"/>
        <v>32.010999999999996</v>
      </c>
      <c r="J29" s="133">
        <f t="shared" si="12"/>
        <v>24.008249999999997</v>
      </c>
      <c r="K29" s="133">
        <f t="shared" si="4"/>
        <v>15.469999999999999</v>
      </c>
      <c r="L29" s="133">
        <f t="shared" si="13"/>
        <v>11.602499999999999</v>
      </c>
      <c r="M29" s="133">
        <f t="shared" si="14"/>
        <v>47.480999999999995</v>
      </c>
      <c r="N29" s="111">
        <f t="shared" si="15"/>
        <v>35.610749999999996</v>
      </c>
      <c r="O29" s="110">
        <f t="shared" si="5"/>
        <v>37.009</v>
      </c>
      <c r="P29" s="133">
        <f t="shared" si="16"/>
        <v>27.756750000000004</v>
      </c>
      <c r="Q29" s="133">
        <f t="shared" si="6"/>
        <v>37.009</v>
      </c>
      <c r="R29" s="133">
        <f t="shared" si="17"/>
        <v>27.756750000000004</v>
      </c>
      <c r="S29" s="133">
        <f t="shared" si="18"/>
        <v>74.018000000000001</v>
      </c>
      <c r="T29" s="111">
        <f t="shared" si="19"/>
        <v>55.513500000000008</v>
      </c>
      <c r="U29" s="138">
        <f t="shared" si="7"/>
        <v>37.009</v>
      </c>
      <c r="V29" s="139">
        <f t="shared" si="20"/>
        <v>27.756750000000004</v>
      </c>
      <c r="W29" s="139">
        <f t="shared" si="8"/>
        <v>20.23</v>
      </c>
      <c r="X29" s="139">
        <f t="shared" si="21"/>
        <v>15.172499999999999</v>
      </c>
      <c r="Y29" s="139">
        <f t="shared" si="22"/>
        <v>57.239000000000004</v>
      </c>
      <c r="Z29" s="113">
        <f t="shared" si="23"/>
        <v>42.929250000000003</v>
      </c>
      <c r="AA29" s="1"/>
    </row>
    <row r="30" spans="1:27">
      <c r="A30" s="16" t="s">
        <v>64</v>
      </c>
      <c r="B30" s="68">
        <v>1.25</v>
      </c>
      <c r="C30" s="110">
        <f t="shared" si="0"/>
        <v>34.875</v>
      </c>
      <c r="D30" s="111">
        <f t="shared" si="9"/>
        <v>26.156249999999996</v>
      </c>
      <c r="E30" s="112">
        <f t="shared" si="1"/>
        <v>35.375</v>
      </c>
      <c r="F30" s="111">
        <f t="shared" si="10"/>
        <v>26.53125</v>
      </c>
      <c r="G30" s="110">
        <f t="shared" si="2"/>
        <v>38.875</v>
      </c>
      <c r="H30" s="111">
        <f t="shared" si="11"/>
        <v>29.156250000000004</v>
      </c>
      <c r="I30" s="110">
        <f t="shared" si="3"/>
        <v>33.625</v>
      </c>
      <c r="J30" s="133">
        <f t="shared" si="12"/>
        <v>25.218749999999996</v>
      </c>
      <c r="K30" s="133">
        <f t="shared" si="4"/>
        <v>16.25</v>
      </c>
      <c r="L30" s="133">
        <f t="shared" si="13"/>
        <v>12.1875</v>
      </c>
      <c r="M30" s="133">
        <f t="shared" si="14"/>
        <v>49.875</v>
      </c>
      <c r="N30" s="111">
        <f t="shared" si="15"/>
        <v>37.40625</v>
      </c>
      <c r="O30" s="110">
        <f t="shared" si="5"/>
        <v>38.875</v>
      </c>
      <c r="P30" s="133">
        <f t="shared" si="16"/>
        <v>29.156250000000004</v>
      </c>
      <c r="Q30" s="133">
        <f t="shared" si="6"/>
        <v>38.875</v>
      </c>
      <c r="R30" s="133">
        <f t="shared" si="17"/>
        <v>29.156250000000004</v>
      </c>
      <c r="S30" s="133">
        <f t="shared" si="18"/>
        <v>77.75</v>
      </c>
      <c r="T30" s="111">
        <f t="shared" si="19"/>
        <v>58.312500000000007</v>
      </c>
      <c r="U30" s="138">
        <f t="shared" si="7"/>
        <v>38.875</v>
      </c>
      <c r="V30" s="139">
        <f t="shared" si="20"/>
        <v>29.156250000000004</v>
      </c>
      <c r="W30" s="139">
        <f t="shared" si="8"/>
        <v>21.25</v>
      </c>
      <c r="X30" s="139">
        <f t="shared" si="21"/>
        <v>15.9375</v>
      </c>
      <c r="Y30" s="139">
        <f t="shared" si="22"/>
        <v>60.125</v>
      </c>
      <c r="Z30" s="113">
        <f t="shared" si="23"/>
        <v>45.09375</v>
      </c>
      <c r="AA30" s="1"/>
    </row>
    <row r="31" spans="1:27">
      <c r="A31" s="16" t="s">
        <v>30</v>
      </c>
      <c r="B31" s="68">
        <v>1.19</v>
      </c>
      <c r="C31" s="110">
        <f t="shared" si="0"/>
        <v>33.200999999999993</v>
      </c>
      <c r="D31" s="111">
        <f t="shared" si="9"/>
        <v>24.900749999999995</v>
      </c>
      <c r="E31" s="112">
        <f t="shared" si="1"/>
        <v>33.677</v>
      </c>
      <c r="F31" s="111">
        <f t="shared" si="10"/>
        <v>25.257750000000001</v>
      </c>
      <c r="G31" s="110">
        <f t="shared" si="2"/>
        <v>37.009</v>
      </c>
      <c r="H31" s="111">
        <f t="shared" si="11"/>
        <v>27.756750000000004</v>
      </c>
      <c r="I31" s="110">
        <f t="shared" si="3"/>
        <v>32.010999999999996</v>
      </c>
      <c r="J31" s="133">
        <f t="shared" si="12"/>
        <v>24.008249999999997</v>
      </c>
      <c r="K31" s="133">
        <f t="shared" si="4"/>
        <v>15.469999999999999</v>
      </c>
      <c r="L31" s="133">
        <f t="shared" si="13"/>
        <v>11.602499999999999</v>
      </c>
      <c r="M31" s="133">
        <f t="shared" si="14"/>
        <v>47.480999999999995</v>
      </c>
      <c r="N31" s="111">
        <f t="shared" si="15"/>
        <v>35.610749999999996</v>
      </c>
      <c r="O31" s="110">
        <f t="shared" si="5"/>
        <v>37.009</v>
      </c>
      <c r="P31" s="133">
        <f t="shared" si="16"/>
        <v>27.756750000000004</v>
      </c>
      <c r="Q31" s="133">
        <f t="shared" si="6"/>
        <v>37.009</v>
      </c>
      <c r="R31" s="133">
        <f t="shared" si="17"/>
        <v>27.756750000000004</v>
      </c>
      <c r="S31" s="133">
        <f t="shared" si="18"/>
        <v>74.018000000000001</v>
      </c>
      <c r="T31" s="111">
        <f t="shared" si="19"/>
        <v>55.513500000000008</v>
      </c>
      <c r="U31" s="138">
        <f t="shared" si="7"/>
        <v>37.009</v>
      </c>
      <c r="V31" s="139">
        <f t="shared" si="20"/>
        <v>27.756750000000004</v>
      </c>
      <c r="W31" s="139">
        <f t="shared" si="8"/>
        <v>20.23</v>
      </c>
      <c r="X31" s="139">
        <f t="shared" si="21"/>
        <v>15.172499999999999</v>
      </c>
      <c r="Y31" s="139">
        <f t="shared" si="22"/>
        <v>57.239000000000004</v>
      </c>
      <c r="Z31" s="113">
        <f t="shared" si="23"/>
        <v>42.929250000000003</v>
      </c>
      <c r="AA31" s="1"/>
    </row>
    <row r="32" spans="1:27">
      <c r="A32" s="14" t="s">
        <v>5</v>
      </c>
      <c r="B32" s="68">
        <v>1.41</v>
      </c>
      <c r="C32" s="110">
        <f t="shared" si="0"/>
        <v>39.338999999999999</v>
      </c>
      <c r="D32" s="111">
        <f t="shared" si="9"/>
        <v>29.504249999999995</v>
      </c>
      <c r="E32" s="112">
        <f t="shared" si="1"/>
        <v>39.902999999999999</v>
      </c>
      <c r="F32" s="111">
        <f t="shared" si="10"/>
        <v>29.927250000000001</v>
      </c>
      <c r="G32" s="110">
        <f t="shared" si="2"/>
        <v>43.850999999999999</v>
      </c>
      <c r="H32" s="111">
        <f t="shared" si="11"/>
        <v>32.888249999999999</v>
      </c>
      <c r="I32" s="110">
        <f t="shared" si="3"/>
        <v>37.928999999999995</v>
      </c>
      <c r="J32" s="133">
        <f t="shared" si="12"/>
        <v>28.446749999999994</v>
      </c>
      <c r="K32" s="133">
        <f t="shared" si="4"/>
        <v>18.329999999999998</v>
      </c>
      <c r="L32" s="133">
        <f t="shared" si="13"/>
        <v>13.747499999999999</v>
      </c>
      <c r="M32" s="133">
        <f t="shared" si="14"/>
        <v>56.258999999999993</v>
      </c>
      <c r="N32" s="111">
        <f t="shared" si="15"/>
        <v>42.194249999999997</v>
      </c>
      <c r="O32" s="110">
        <f t="shared" si="5"/>
        <v>43.850999999999999</v>
      </c>
      <c r="P32" s="133">
        <f t="shared" si="16"/>
        <v>32.888249999999999</v>
      </c>
      <c r="Q32" s="133">
        <f t="shared" si="6"/>
        <v>43.850999999999999</v>
      </c>
      <c r="R32" s="133">
        <f t="shared" si="17"/>
        <v>32.888249999999999</v>
      </c>
      <c r="S32" s="133">
        <f t="shared" si="18"/>
        <v>87.701999999999998</v>
      </c>
      <c r="T32" s="111">
        <f t="shared" si="19"/>
        <v>65.776499999999999</v>
      </c>
      <c r="U32" s="138">
        <f t="shared" si="7"/>
        <v>43.850999999999999</v>
      </c>
      <c r="V32" s="139">
        <f t="shared" si="20"/>
        <v>32.888249999999999</v>
      </c>
      <c r="W32" s="139">
        <f t="shared" si="8"/>
        <v>23.97</v>
      </c>
      <c r="X32" s="139">
        <f t="shared" si="21"/>
        <v>17.977499999999999</v>
      </c>
      <c r="Y32" s="139">
        <f t="shared" si="22"/>
        <v>67.820999999999998</v>
      </c>
      <c r="Z32" s="113">
        <f t="shared" si="23"/>
        <v>50.865749999999998</v>
      </c>
      <c r="AA32" s="1"/>
    </row>
    <row r="33" spans="1:27">
      <c r="A33" s="14" t="s">
        <v>65</v>
      </c>
      <c r="B33" s="67">
        <v>1.7190000000000001</v>
      </c>
      <c r="C33" s="110">
        <f t="shared" si="0"/>
        <v>47.960099999999997</v>
      </c>
      <c r="D33" s="111">
        <f t="shared" si="9"/>
        <v>35.970074999999994</v>
      </c>
      <c r="E33" s="112">
        <f t="shared" si="1"/>
        <v>48.6477</v>
      </c>
      <c r="F33" s="111">
        <f t="shared" si="10"/>
        <v>36.485775000000004</v>
      </c>
      <c r="G33" s="110">
        <f t="shared" si="2"/>
        <v>53.460900000000002</v>
      </c>
      <c r="H33" s="111">
        <f t="shared" si="11"/>
        <v>40.095675000000007</v>
      </c>
      <c r="I33" s="110">
        <f t="shared" si="3"/>
        <v>46.241100000000003</v>
      </c>
      <c r="J33" s="133">
        <f t="shared" si="12"/>
        <v>34.680824999999999</v>
      </c>
      <c r="K33" s="133">
        <f t="shared" si="4"/>
        <v>22.347000000000001</v>
      </c>
      <c r="L33" s="133">
        <f t="shared" si="13"/>
        <v>16.760249999999999</v>
      </c>
      <c r="M33" s="133">
        <f t="shared" si="14"/>
        <v>68.588099999999997</v>
      </c>
      <c r="N33" s="111">
        <f t="shared" si="15"/>
        <v>51.441074999999998</v>
      </c>
      <c r="O33" s="110">
        <f t="shared" si="5"/>
        <v>53.460900000000002</v>
      </c>
      <c r="P33" s="133">
        <f t="shared" si="16"/>
        <v>40.095675000000007</v>
      </c>
      <c r="Q33" s="133">
        <f t="shared" si="6"/>
        <v>53.460900000000002</v>
      </c>
      <c r="R33" s="133">
        <f t="shared" si="17"/>
        <v>40.095675000000007</v>
      </c>
      <c r="S33" s="133">
        <f t="shared" si="18"/>
        <v>106.9218</v>
      </c>
      <c r="T33" s="111">
        <f t="shared" si="19"/>
        <v>80.191350000000014</v>
      </c>
      <c r="U33" s="138">
        <f t="shared" si="7"/>
        <v>53.460900000000002</v>
      </c>
      <c r="V33" s="139">
        <f t="shared" si="20"/>
        <v>40.095675000000007</v>
      </c>
      <c r="W33" s="139">
        <f t="shared" si="8"/>
        <v>29.223000000000003</v>
      </c>
      <c r="X33" s="139">
        <f t="shared" si="21"/>
        <v>21.917250000000003</v>
      </c>
      <c r="Y33" s="139">
        <f t="shared" si="22"/>
        <v>82.683900000000008</v>
      </c>
      <c r="Z33" s="113">
        <f t="shared" si="23"/>
        <v>62.01292500000001</v>
      </c>
      <c r="AA33" s="1"/>
    </row>
    <row r="34" spans="1:27">
      <c r="A34" s="14" t="s">
        <v>66</v>
      </c>
      <c r="B34" s="68"/>
      <c r="C34" s="110"/>
      <c r="D34" s="111"/>
      <c r="E34" s="112"/>
      <c r="F34" s="111"/>
      <c r="G34" s="110"/>
      <c r="H34" s="111"/>
      <c r="I34" s="110"/>
      <c r="J34" s="133"/>
      <c r="K34" s="133"/>
      <c r="L34" s="133"/>
      <c r="M34" s="133"/>
      <c r="N34" s="111"/>
      <c r="O34" s="110"/>
      <c r="P34" s="133"/>
      <c r="Q34" s="133"/>
      <c r="R34" s="133"/>
      <c r="S34" s="133"/>
      <c r="T34" s="111"/>
      <c r="U34" s="138"/>
      <c r="V34" s="139"/>
      <c r="W34" s="139"/>
      <c r="X34" s="139"/>
      <c r="Y34" s="139"/>
      <c r="Z34" s="113"/>
      <c r="AA34" s="1"/>
    </row>
    <row r="35" spans="1:27">
      <c r="A35" s="14" t="s">
        <v>67</v>
      </c>
      <c r="B35" s="68">
        <v>1.17</v>
      </c>
      <c r="C35" s="110">
        <f t="shared" ref="C35" si="24">B35*$C$7</f>
        <v>32.642999999999994</v>
      </c>
      <c r="D35" s="111">
        <f t="shared" ref="D35" si="25">B35*$D$7</f>
        <v>24.482249999999997</v>
      </c>
      <c r="E35" s="112">
        <f t="shared" ref="E35" si="26">B35*$E$7</f>
        <v>33.110999999999997</v>
      </c>
      <c r="F35" s="111">
        <f t="shared" ref="F35" si="27">B35*$F$7</f>
        <v>24.83325</v>
      </c>
      <c r="G35" s="110">
        <f t="shared" ref="G35" si="28">B35*$G$7</f>
        <v>36.387</v>
      </c>
      <c r="H35" s="111">
        <f t="shared" ref="H35" si="29">B35*$H$7</f>
        <v>27.29025</v>
      </c>
      <c r="I35" s="110">
        <f t="shared" ref="I35" si="30">B35*$I$7</f>
        <v>31.472999999999995</v>
      </c>
      <c r="J35" s="133">
        <f t="shared" ref="J35" si="31">B35*$J$7</f>
        <v>23.604749999999996</v>
      </c>
      <c r="K35" s="133">
        <f t="shared" ref="K35" si="32">B35*$K$7</f>
        <v>15.209999999999999</v>
      </c>
      <c r="L35" s="133">
        <f t="shared" ref="L35" si="33">B35*$L$7</f>
        <v>11.407499999999999</v>
      </c>
      <c r="M35" s="133">
        <f t="shared" ref="M35" si="34">I35+K35</f>
        <v>46.682999999999993</v>
      </c>
      <c r="N35" s="111">
        <f t="shared" ref="N35" si="35">J35+L35</f>
        <v>35.012249999999995</v>
      </c>
      <c r="O35" s="110">
        <f t="shared" ref="O35" si="36">B35*$O$7</f>
        <v>36.387</v>
      </c>
      <c r="P35" s="133">
        <f t="shared" ref="P35" si="37">B35*$P$7</f>
        <v>27.29025</v>
      </c>
      <c r="Q35" s="133">
        <f t="shared" ref="Q35" si="38">B35*$Q$7</f>
        <v>36.387</v>
      </c>
      <c r="R35" s="133">
        <f t="shared" ref="R35" si="39">B35*$R$7</f>
        <v>27.29025</v>
      </c>
      <c r="S35" s="133">
        <f t="shared" ref="S35" si="40">O35+Q35</f>
        <v>72.774000000000001</v>
      </c>
      <c r="T35" s="111">
        <f t="shared" ref="T35" si="41">P35+R35</f>
        <v>54.580500000000001</v>
      </c>
      <c r="U35" s="138">
        <f t="shared" ref="U35" si="42">B35*$U$7</f>
        <v>36.387</v>
      </c>
      <c r="V35" s="139">
        <f t="shared" ref="V35" si="43">B35*$V$7</f>
        <v>27.29025</v>
      </c>
      <c r="W35" s="139">
        <f t="shared" ref="W35" si="44">B35*$W$7</f>
        <v>19.89</v>
      </c>
      <c r="X35" s="139">
        <f t="shared" ref="X35" si="45">B35*$X$7</f>
        <v>14.917499999999999</v>
      </c>
      <c r="Y35" s="139">
        <f t="shared" ref="Y35" si="46">U35+W35</f>
        <v>56.277000000000001</v>
      </c>
      <c r="Z35" s="113">
        <f t="shared" ref="Z35" si="47">V35+X35</f>
        <v>42.207749999999997</v>
      </c>
      <c r="AA35" s="1"/>
    </row>
    <row r="36" spans="1:27">
      <c r="A36" s="14" t="s">
        <v>68</v>
      </c>
      <c r="B36" s="68">
        <v>0.92</v>
      </c>
      <c r="C36" s="110">
        <f t="shared" si="0"/>
        <v>25.667999999999999</v>
      </c>
      <c r="D36" s="111">
        <f t="shared" si="9"/>
        <v>19.250999999999998</v>
      </c>
      <c r="E36" s="112">
        <f t="shared" si="1"/>
        <v>26.036000000000001</v>
      </c>
      <c r="F36" s="111">
        <f t="shared" si="10"/>
        <v>19.527000000000001</v>
      </c>
      <c r="G36" s="110">
        <f t="shared" si="2"/>
        <v>28.612000000000002</v>
      </c>
      <c r="H36" s="111">
        <f t="shared" si="11"/>
        <v>21.459000000000003</v>
      </c>
      <c r="I36" s="110">
        <f t="shared" si="3"/>
        <v>24.748000000000001</v>
      </c>
      <c r="J36" s="133">
        <f t="shared" si="12"/>
        <v>18.561</v>
      </c>
      <c r="K36" s="133">
        <f t="shared" si="4"/>
        <v>11.96</v>
      </c>
      <c r="L36" s="133">
        <f t="shared" si="13"/>
        <v>8.9700000000000006</v>
      </c>
      <c r="M36" s="133">
        <f t="shared" si="14"/>
        <v>36.707999999999998</v>
      </c>
      <c r="N36" s="111">
        <f t="shared" si="15"/>
        <v>27.530999999999999</v>
      </c>
      <c r="O36" s="110">
        <f t="shared" si="5"/>
        <v>28.612000000000002</v>
      </c>
      <c r="P36" s="133">
        <f t="shared" si="16"/>
        <v>21.459000000000003</v>
      </c>
      <c r="Q36" s="133">
        <f t="shared" si="6"/>
        <v>28.612000000000002</v>
      </c>
      <c r="R36" s="133">
        <f t="shared" si="17"/>
        <v>21.459000000000003</v>
      </c>
      <c r="S36" s="133">
        <f t="shared" si="18"/>
        <v>57.224000000000004</v>
      </c>
      <c r="T36" s="111">
        <f t="shared" si="19"/>
        <v>42.918000000000006</v>
      </c>
      <c r="U36" s="138">
        <f t="shared" si="7"/>
        <v>28.612000000000002</v>
      </c>
      <c r="V36" s="139">
        <f t="shared" si="20"/>
        <v>21.459000000000003</v>
      </c>
      <c r="W36" s="139">
        <f t="shared" si="8"/>
        <v>15.64</v>
      </c>
      <c r="X36" s="139">
        <f t="shared" si="21"/>
        <v>11.73</v>
      </c>
      <c r="Y36" s="139">
        <f t="shared" si="22"/>
        <v>44.252000000000002</v>
      </c>
      <c r="Z36" s="113">
        <f t="shared" si="23"/>
        <v>33.189000000000007</v>
      </c>
      <c r="AA36" s="1"/>
    </row>
    <row r="37" spans="1:27">
      <c r="A37" s="14" t="s">
        <v>6</v>
      </c>
      <c r="B37" s="67">
        <v>1.1074999999999999</v>
      </c>
      <c r="C37" s="110">
        <f t="shared" si="0"/>
        <v>30.899249999999995</v>
      </c>
      <c r="D37" s="111">
        <f t="shared" si="9"/>
        <v>23.174437499999996</v>
      </c>
      <c r="E37" s="112">
        <f t="shared" si="1"/>
        <v>31.34225</v>
      </c>
      <c r="F37" s="111">
        <f t="shared" si="10"/>
        <v>23.506687500000002</v>
      </c>
      <c r="G37" s="110">
        <f t="shared" si="2"/>
        <v>34.443249999999999</v>
      </c>
      <c r="H37" s="111">
        <f t="shared" si="11"/>
        <v>25.832437500000001</v>
      </c>
      <c r="I37" s="110">
        <f t="shared" si="3"/>
        <v>29.791749999999997</v>
      </c>
      <c r="J37" s="133">
        <f t="shared" si="12"/>
        <v>22.343812499999995</v>
      </c>
      <c r="K37" s="133">
        <f t="shared" si="4"/>
        <v>14.397499999999999</v>
      </c>
      <c r="L37" s="133">
        <f t="shared" si="13"/>
        <v>10.798124999999999</v>
      </c>
      <c r="M37" s="133">
        <f t="shared" si="14"/>
        <v>44.189249999999994</v>
      </c>
      <c r="N37" s="111">
        <f t="shared" si="15"/>
        <v>33.141937499999997</v>
      </c>
      <c r="O37" s="110">
        <f t="shared" si="5"/>
        <v>34.443249999999999</v>
      </c>
      <c r="P37" s="133">
        <f t="shared" si="16"/>
        <v>25.832437500000001</v>
      </c>
      <c r="Q37" s="133">
        <f t="shared" si="6"/>
        <v>34.443249999999999</v>
      </c>
      <c r="R37" s="133">
        <f t="shared" si="17"/>
        <v>25.832437500000001</v>
      </c>
      <c r="S37" s="133">
        <f t="shared" si="18"/>
        <v>68.886499999999998</v>
      </c>
      <c r="T37" s="111">
        <f t="shared" si="19"/>
        <v>51.664875000000002</v>
      </c>
      <c r="U37" s="138">
        <f t="shared" si="7"/>
        <v>34.443249999999999</v>
      </c>
      <c r="V37" s="139">
        <f t="shared" si="20"/>
        <v>25.832437500000001</v>
      </c>
      <c r="W37" s="139">
        <f t="shared" si="8"/>
        <v>18.827500000000001</v>
      </c>
      <c r="X37" s="139">
        <f t="shared" si="21"/>
        <v>14.120624999999999</v>
      </c>
      <c r="Y37" s="139">
        <f t="shared" si="22"/>
        <v>53.27075</v>
      </c>
      <c r="Z37" s="113">
        <f t="shared" si="23"/>
        <v>39.953062500000001</v>
      </c>
      <c r="AA37" s="1"/>
    </row>
    <row r="38" spans="1:27">
      <c r="A38" s="14" t="s">
        <v>69</v>
      </c>
      <c r="B38" s="67">
        <v>1.0528999999999999</v>
      </c>
      <c r="C38" s="110">
        <f t="shared" si="0"/>
        <v>29.375909999999998</v>
      </c>
      <c r="D38" s="111">
        <f t="shared" si="9"/>
        <v>22.031932499999996</v>
      </c>
      <c r="E38" s="112">
        <f t="shared" si="1"/>
        <v>29.797069999999998</v>
      </c>
      <c r="F38" s="111">
        <f t="shared" si="10"/>
        <v>22.3478025</v>
      </c>
      <c r="G38" s="110">
        <f t="shared" si="2"/>
        <v>32.745190000000001</v>
      </c>
      <c r="H38" s="111">
        <f t="shared" si="11"/>
        <v>24.558892500000002</v>
      </c>
      <c r="I38" s="110">
        <f t="shared" si="3"/>
        <v>28.323009999999996</v>
      </c>
      <c r="J38" s="133">
        <f t="shared" si="12"/>
        <v>21.242257499999997</v>
      </c>
      <c r="K38" s="133">
        <f t="shared" si="4"/>
        <v>13.6877</v>
      </c>
      <c r="L38" s="133">
        <f t="shared" si="13"/>
        <v>10.265775</v>
      </c>
      <c r="M38" s="133">
        <f t="shared" si="14"/>
        <v>42.010709999999996</v>
      </c>
      <c r="N38" s="111">
        <f t="shared" si="15"/>
        <v>31.508032499999999</v>
      </c>
      <c r="O38" s="110">
        <f t="shared" si="5"/>
        <v>32.745190000000001</v>
      </c>
      <c r="P38" s="133">
        <f t="shared" si="16"/>
        <v>24.558892500000002</v>
      </c>
      <c r="Q38" s="133">
        <f t="shared" si="6"/>
        <v>32.745190000000001</v>
      </c>
      <c r="R38" s="133">
        <f t="shared" si="17"/>
        <v>24.558892500000002</v>
      </c>
      <c r="S38" s="133">
        <f t="shared" si="18"/>
        <v>65.490380000000002</v>
      </c>
      <c r="T38" s="111">
        <f t="shared" si="19"/>
        <v>49.117785000000005</v>
      </c>
      <c r="U38" s="138">
        <f t="shared" si="7"/>
        <v>32.745190000000001</v>
      </c>
      <c r="V38" s="139">
        <f t="shared" si="20"/>
        <v>24.558892500000002</v>
      </c>
      <c r="W38" s="139">
        <f t="shared" si="8"/>
        <v>17.8993</v>
      </c>
      <c r="X38" s="139">
        <f t="shared" si="21"/>
        <v>13.424474999999999</v>
      </c>
      <c r="Y38" s="139">
        <f t="shared" si="22"/>
        <v>50.644490000000005</v>
      </c>
      <c r="Z38" s="113">
        <f t="shared" si="23"/>
        <v>37.9833675</v>
      </c>
      <c r="AA38" s="1"/>
    </row>
    <row r="39" spans="1:27">
      <c r="A39" s="14" t="s">
        <v>7</v>
      </c>
      <c r="B39" s="67">
        <v>1.1157999999999999</v>
      </c>
      <c r="C39" s="110">
        <f t="shared" si="0"/>
        <v>31.130819999999996</v>
      </c>
      <c r="D39" s="111">
        <f t="shared" si="9"/>
        <v>23.348114999999996</v>
      </c>
      <c r="E39" s="112">
        <f t="shared" si="1"/>
        <v>31.577139999999996</v>
      </c>
      <c r="F39" s="111">
        <f t="shared" si="10"/>
        <v>23.682855</v>
      </c>
      <c r="G39" s="110">
        <f t="shared" si="2"/>
        <v>34.70138</v>
      </c>
      <c r="H39" s="111">
        <f t="shared" si="11"/>
        <v>26.026035</v>
      </c>
      <c r="I39" s="110">
        <f t="shared" si="3"/>
        <v>30.015019999999996</v>
      </c>
      <c r="J39" s="133">
        <f t="shared" si="12"/>
        <v>22.511264999999995</v>
      </c>
      <c r="K39" s="133">
        <f t="shared" si="4"/>
        <v>14.505399999999998</v>
      </c>
      <c r="L39" s="133">
        <f t="shared" si="13"/>
        <v>10.879049999999999</v>
      </c>
      <c r="M39" s="133">
        <f t="shared" si="14"/>
        <v>44.520419999999994</v>
      </c>
      <c r="N39" s="111">
        <f t="shared" si="15"/>
        <v>33.390314999999994</v>
      </c>
      <c r="O39" s="110">
        <f t="shared" si="5"/>
        <v>34.70138</v>
      </c>
      <c r="P39" s="133">
        <f t="shared" si="16"/>
        <v>26.026035</v>
      </c>
      <c r="Q39" s="133">
        <f t="shared" si="6"/>
        <v>34.70138</v>
      </c>
      <c r="R39" s="133">
        <f t="shared" si="17"/>
        <v>26.026035</v>
      </c>
      <c r="S39" s="133">
        <f t="shared" si="18"/>
        <v>69.402760000000001</v>
      </c>
      <c r="T39" s="111">
        <f t="shared" si="19"/>
        <v>52.052070000000001</v>
      </c>
      <c r="U39" s="138">
        <f t="shared" si="7"/>
        <v>34.70138</v>
      </c>
      <c r="V39" s="139">
        <f t="shared" si="20"/>
        <v>26.026035</v>
      </c>
      <c r="W39" s="139">
        <f t="shared" si="8"/>
        <v>18.968599999999999</v>
      </c>
      <c r="X39" s="139">
        <f t="shared" si="21"/>
        <v>14.226449999999998</v>
      </c>
      <c r="Y39" s="139">
        <f t="shared" si="22"/>
        <v>53.669979999999995</v>
      </c>
      <c r="Z39" s="113">
        <f t="shared" si="23"/>
        <v>40.252485</v>
      </c>
      <c r="AA39" s="1"/>
    </row>
    <row r="40" spans="1:27">
      <c r="A40" s="14" t="s">
        <v>70</v>
      </c>
      <c r="B40" s="67">
        <v>1.1284000000000001</v>
      </c>
      <c r="C40" s="110">
        <f t="shared" si="0"/>
        <v>31.48236</v>
      </c>
      <c r="D40" s="111">
        <f t="shared" si="9"/>
        <v>23.61177</v>
      </c>
      <c r="E40" s="112">
        <f t="shared" si="1"/>
        <v>31.933720000000005</v>
      </c>
      <c r="F40" s="111">
        <f t="shared" si="10"/>
        <v>23.950290000000003</v>
      </c>
      <c r="G40" s="110">
        <f t="shared" si="2"/>
        <v>35.093240000000002</v>
      </c>
      <c r="H40" s="111">
        <f t="shared" si="11"/>
        <v>26.319930000000006</v>
      </c>
      <c r="I40" s="110">
        <f t="shared" si="3"/>
        <v>30.353960000000001</v>
      </c>
      <c r="J40" s="133">
        <f t="shared" si="12"/>
        <v>22.765469999999997</v>
      </c>
      <c r="K40" s="133">
        <f t="shared" si="4"/>
        <v>14.6692</v>
      </c>
      <c r="L40" s="133">
        <f t="shared" si="13"/>
        <v>11.001900000000001</v>
      </c>
      <c r="M40" s="133">
        <f t="shared" si="14"/>
        <v>45.023160000000004</v>
      </c>
      <c r="N40" s="111">
        <f t="shared" si="15"/>
        <v>33.76737</v>
      </c>
      <c r="O40" s="110">
        <f t="shared" si="5"/>
        <v>35.093240000000002</v>
      </c>
      <c r="P40" s="133">
        <f t="shared" si="16"/>
        <v>26.319930000000006</v>
      </c>
      <c r="Q40" s="133">
        <f t="shared" si="6"/>
        <v>35.093240000000002</v>
      </c>
      <c r="R40" s="133">
        <f t="shared" si="17"/>
        <v>26.319930000000006</v>
      </c>
      <c r="S40" s="133">
        <f t="shared" si="18"/>
        <v>70.186480000000003</v>
      </c>
      <c r="T40" s="111">
        <f t="shared" si="19"/>
        <v>52.639860000000013</v>
      </c>
      <c r="U40" s="138">
        <f t="shared" si="7"/>
        <v>35.093240000000002</v>
      </c>
      <c r="V40" s="139">
        <f t="shared" si="20"/>
        <v>26.319930000000006</v>
      </c>
      <c r="W40" s="139">
        <f t="shared" si="8"/>
        <v>19.1828</v>
      </c>
      <c r="X40" s="139">
        <f t="shared" si="21"/>
        <v>14.3871</v>
      </c>
      <c r="Y40" s="139">
        <f t="shared" si="22"/>
        <v>54.276040000000002</v>
      </c>
      <c r="Z40" s="113">
        <f t="shared" si="23"/>
        <v>40.707030000000003</v>
      </c>
      <c r="AA40" s="1"/>
    </row>
    <row r="41" spans="1:27">
      <c r="A41" s="14" t="s">
        <v>71</v>
      </c>
      <c r="B41" s="67">
        <v>1.44</v>
      </c>
      <c r="C41" s="110">
        <f t="shared" ref="C41:C72" si="48">B41*$C$7</f>
        <v>40.175999999999995</v>
      </c>
      <c r="D41" s="111">
        <f t="shared" si="9"/>
        <v>30.131999999999994</v>
      </c>
      <c r="E41" s="112">
        <f t="shared" ref="E41:E72" si="49">B41*$E$7</f>
        <v>40.752000000000002</v>
      </c>
      <c r="F41" s="111">
        <f t="shared" si="10"/>
        <v>30.564</v>
      </c>
      <c r="G41" s="110">
        <f t="shared" ref="G41:G72" si="50">B41*$G$7</f>
        <v>44.783999999999999</v>
      </c>
      <c r="H41" s="111">
        <f t="shared" si="11"/>
        <v>33.588000000000001</v>
      </c>
      <c r="I41" s="110">
        <f t="shared" ref="I41:I72" si="51">B41*$I$7</f>
        <v>38.735999999999997</v>
      </c>
      <c r="J41" s="133">
        <f t="shared" si="12"/>
        <v>29.051999999999996</v>
      </c>
      <c r="K41" s="133">
        <f t="shared" ref="K41:K72" si="52">B41*$K$7</f>
        <v>18.72</v>
      </c>
      <c r="L41" s="133">
        <f t="shared" si="13"/>
        <v>14.04</v>
      </c>
      <c r="M41" s="133">
        <f t="shared" si="14"/>
        <v>57.455999999999996</v>
      </c>
      <c r="N41" s="111">
        <f t="shared" si="15"/>
        <v>43.091999999999999</v>
      </c>
      <c r="O41" s="110">
        <f t="shared" ref="O41:O72" si="53">B41*$O$7</f>
        <v>44.783999999999999</v>
      </c>
      <c r="P41" s="133">
        <f t="shared" si="16"/>
        <v>33.588000000000001</v>
      </c>
      <c r="Q41" s="133">
        <f t="shared" ref="Q41:Q72" si="54">B41*$Q$7</f>
        <v>44.783999999999999</v>
      </c>
      <c r="R41" s="133">
        <f t="shared" si="17"/>
        <v>33.588000000000001</v>
      </c>
      <c r="S41" s="133">
        <f t="shared" si="18"/>
        <v>89.567999999999998</v>
      </c>
      <c r="T41" s="111">
        <f t="shared" si="19"/>
        <v>67.176000000000002</v>
      </c>
      <c r="U41" s="138">
        <f t="shared" ref="U41:U72" si="55">B41*$U$7</f>
        <v>44.783999999999999</v>
      </c>
      <c r="V41" s="139">
        <f t="shared" si="20"/>
        <v>33.588000000000001</v>
      </c>
      <c r="W41" s="139">
        <f t="shared" ref="W41:W72" si="56">B41*$W$7</f>
        <v>24.48</v>
      </c>
      <c r="X41" s="139">
        <f t="shared" si="21"/>
        <v>18.36</v>
      </c>
      <c r="Y41" s="139">
        <f t="shared" si="22"/>
        <v>69.263999999999996</v>
      </c>
      <c r="Z41" s="113">
        <f t="shared" si="23"/>
        <v>51.948</v>
      </c>
      <c r="AA41" s="1"/>
    </row>
    <row r="42" spans="1:27">
      <c r="A42" s="83" t="s">
        <v>116</v>
      </c>
      <c r="B42" s="67">
        <v>1.2170000000000001</v>
      </c>
      <c r="C42" s="110">
        <f t="shared" si="48"/>
        <v>33.954300000000003</v>
      </c>
      <c r="D42" s="111">
        <f t="shared" si="9"/>
        <v>25.465724999999999</v>
      </c>
      <c r="E42" s="112">
        <f t="shared" si="49"/>
        <v>34.441100000000006</v>
      </c>
      <c r="F42" s="111">
        <f t="shared" si="10"/>
        <v>25.830825000000004</v>
      </c>
      <c r="G42" s="110">
        <f t="shared" si="50"/>
        <v>37.848700000000001</v>
      </c>
      <c r="H42" s="111">
        <f t="shared" si="11"/>
        <v>28.386525000000006</v>
      </c>
      <c r="I42" s="110">
        <f t="shared" si="51"/>
        <v>32.737299999999998</v>
      </c>
      <c r="J42" s="133">
        <f t="shared" si="12"/>
        <v>24.552974999999996</v>
      </c>
      <c r="K42" s="133">
        <f t="shared" si="52"/>
        <v>15.821000000000002</v>
      </c>
      <c r="L42" s="133">
        <f t="shared" si="13"/>
        <v>11.86575</v>
      </c>
      <c r="M42" s="133">
        <f t="shared" si="14"/>
        <v>48.558300000000003</v>
      </c>
      <c r="N42" s="111">
        <f t="shared" si="15"/>
        <v>36.418724999999995</v>
      </c>
      <c r="O42" s="110">
        <f t="shared" si="53"/>
        <v>37.848700000000001</v>
      </c>
      <c r="P42" s="133">
        <f t="shared" si="16"/>
        <v>28.386525000000006</v>
      </c>
      <c r="Q42" s="133">
        <f t="shared" si="54"/>
        <v>37.848700000000001</v>
      </c>
      <c r="R42" s="133">
        <f t="shared" si="17"/>
        <v>28.386525000000006</v>
      </c>
      <c r="S42" s="133">
        <f t="shared" si="18"/>
        <v>75.697400000000002</v>
      </c>
      <c r="T42" s="111">
        <f t="shared" si="19"/>
        <v>56.773050000000012</v>
      </c>
      <c r="U42" s="138">
        <f t="shared" si="55"/>
        <v>37.848700000000001</v>
      </c>
      <c r="V42" s="139">
        <f t="shared" si="20"/>
        <v>28.386525000000006</v>
      </c>
      <c r="W42" s="139">
        <f t="shared" si="56"/>
        <v>20.689</v>
      </c>
      <c r="X42" s="139">
        <f t="shared" si="21"/>
        <v>15.516750000000002</v>
      </c>
      <c r="Y42" s="139">
        <f t="shared" si="22"/>
        <v>58.537700000000001</v>
      </c>
      <c r="Z42" s="113">
        <f t="shared" si="23"/>
        <v>43.903275000000008</v>
      </c>
      <c r="AA42" s="1"/>
    </row>
    <row r="43" spans="1:27">
      <c r="A43" s="15" t="s">
        <v>8</v>
      </c>
      <c r="B43" s="67">
        <v>1.1633</v>
      </c>
      <c r="C43" s="110">
        <f t="shared" si="48"/>
        <v>32.456069999999997</v>
      </c>
      <c r="D43" s="111">
        <f t="shared" si="9"/>
        <v>24.342052499999998</v>
      </c>
      <c r="E43" s="112">
        <f t="shared" si="49"/>
        <v>32.921390000000002</v>
      </c>
      <c r="F43" s="111">
        <f t="shared" si="10"/>
        <v>24.691042500000002</v>
      </c>
      <c r="G43" s="110">
        <f t="shared" si="50"/>
        <v>36.178629999999998</v>
      </c>
      <c r="H43" s="111">
        <f t="shared" si="11"/>
        <v>27.133972500000002</v>
      </c>
      <c r="I43" s="110">
        <f t="shared" si="51"/>
        <v>31.292769999999997</v>
      </c>
      <c r="J43" s="133">
        <f t="shared" si="12"/>
        <v>23.469577499999996</v>
      </c>
      <c r="K43" s="133">
        <f t="shared" si="52"/>
        <v>15.1229</v>
      </c>
      <c r="L43" s="133">
        <f t="shared" si="13"/>
        <v>11.342174999999999</v>
      </c>
      <c r="M43" s="133">
        <f t="shared" si="14"/>
        <v>46.415669999999999</v>
      </c>
      <c r="N43" s="111">
        <f t="shared" si="15"/>
        <v>34.811752499999997</v>
      </c>
      <c r="O43" s="110">
        <f t="shared" si="53"/>
        <v>36.178629999999998</v>
      </c>
      <c r="P43" s="133">
        <f t="shared" si="16"/>
        <v>27.133972500000002</v>
      </c>
      <c r="Q43" s="133">
        <f t="shared" si="54"/>
        <v>36.178629999999998</v>
      </c>
      <c r="R43" s="133">
        <f t="shared" si="17"/>
        <v>27.133972500000002</v>
      </c>
      <c r="S43" s="133">
        <f t="shared" si="18"/>
        <v>72.357259999999997</v>
      </c>
      <c r="T43" s="111">
        <f t="shared" si="19"/>
        <v>54.267945000000005</v>
      </c>
      <c r="U43" s="138">
        <f t="shared" si="55"/>
        <v>36.178629999999998</v>
      </c>
      <c r="V43" s="139">
        <f t="shared" si="20"/>
        <v>27.133972500000002</v>
      </c>
      <c r="W43" s="139">
        <f t="shared" si="56"/>
        <v>19.7761</v>
      </c>
      <c r="X43" s="139">
        <f t="shared" si="21"/>
        <v>14.832075</v>
      </c>
      <c r="Y43" s="139">
        <f t="shared" si="22"/>
        <v>55.954729999999998</v>
      </c>
      <c r="Z43" s="113">
        <f t="shared" si="23"/>
        <v>41.966047500000002</v>
      </c>
      <c r="AA43" s="1"/>
    </row>
    <row r="44" spans="1:27">
      <c r="A44" s="15" t="s">
        <v>72</v>
      </c>
      <c r="B44" s="67">
        <v>1.1771</v>
      </c>
      <c r="C44" s="110">
        <f t="shared" si="48"/>
        <v>32.841090000000001</v>
      </c>
      <c r="D44" s="111">
        <f t="shared" si="9"/>
        <v>24.630817499999999</v>
      </c>
      <c r="E44" s="112">
        <f t="shared" si="49"/>
        <v>33.311930000000004</v>
      </c>
      <c r="F44" s="111">
        <f t="shared" si="10"/>
        <v>24.983947500000003</v>
      </c>
      <c r="G44" s="110">
        <f t="shared" si="50"/>
        <v>36.607810000000001</v>
      </c>
      <c r="H44" s="111">
        <f t="shared" si="11"/>
        <v>27.455857500000004</v>
      </c>
      <c r="I44" s="110">
        <f t="shared" si="51"/>
        <v>31.663989999999998</v>
      </c>
      <c r="J44" s="133">
        <f t="shared" si="12"/>
        <v>23.747992499999999</v>
      </c>
      <c r="K44" s="133">
        <f t="shared" si="52"/>
        <v>15.302300000000001</v>
      </c>
      <c r="L44" s="133">
        <f t="shared" si="13"/>
        <v>11.476725</v>
      </c>
      <c r="M44" s="133">
        <f t="shared" si="14"/>
        <v>46.966290000000001</v>
      </c>
      <c r="N44" s="111">
        <f t="shared" si="15"/>
        <v>35.224717499999997</v>
      </c>
      <c r="O44" s="110">
        <f t="shared" si="53"/>
        <v>36.607810000000001</v>
      </c>
      <c r="P44" s="133">
        <f t="shared" si="16"/>
        <v>27.455857500000004</v>
      </c>
      <c r="Q44" s="133">
        <f t="shared" si="54"/>
        <v>36.607810000000001</v>
      </c>
      <c r="R44" s="133">
        <f t="shared" si="17"/>
        <v>27.455857500000004</v>
      </c>
      <c r="S44" s="133">
        <f t="shared" si="18"/>
        <v>73.215620000000001</v>
      </c>
      <c r="T44" s="111">
        <f t="shared" si="19"/>
        <v>54.911715000000008</v>
      </c>
      <c r="U44" s="138">
        <f t="shared" si="55"/>
        <v>36.607810000000001</v>
      </c>
      <c r="V44" s="139">
        <f t="shared" si="20"/>
        <v>27.455857500000004</v>
      </c>
      <c r="W44" s="139">
        <f t="shared" si="56"/>
        <v>20.0107</v>
      </c>
      <c r="X44" s="139">
        <f t="shared" si="21"/>
        <v>15.008025</v>
      </c>
      <c r="Y44" s="139">
        <f t="shared" si="22"/>
        <v>56.618510000000001</v>
      </c>
      <c r="Z44" s="113">
        <f t="shared" si="23"/>
        <v>42.463882500000004</v>
      </c>
      <c r="AA44" s="1"/>
    </row>
    <row r="45" spans="1:27">
      <c r="A45" s="15" t="s">
        <v>73</v>
      </c>
      <c r="B45" s="67">
        <v>1.1659999999999999</v>
      </c>
      <c r="C45" s="110">
        <f t="shared" si="48"/>
        <v>32.531399999999998</v>
      </c>
      <c r="D45" s="111">
        <f t="shared" si="9"/>
        <v>24.398549999999997</v>
      </c>
      <c r="E45" s="112">
        <f t="shared" si="49"/>
        <v>32.997799999999998</v>
      </c>
      <c r="F45" s="111">
        <f t="shared" si="10"/>
        <v>24.748349999999999</v>
      </c>
      <c r="G45" s="110">
        <f t="shared" si="50"/>
        <v>36.262599999999999</v>
      </c>
      <c r="H45" s="111">
        <f t="shared" si="11"/>
        <v>27.196950000000001</v>
      </c>
      <c r="I45" s="110">
        <f t="shared" si="51"/>
        <v>31.365399999999998</v>
      </c>
      <c r="J45" s="133">
        <f t="shared" si="12"/>
        <v>23.524049999999995</v>
      </c>
      <c r="K45" s="133">
        <f t="shared" si="52"/>
        <v>15.157999999999999</v>
      </c>
      <c r="L45" s="133">
        <f t="shared" si="13"/>
        <v>11.368499999999999</v>
      </c>
      <c r="M45" s="133">
        <f t="shared" si="14"/>
        <v>46.523399999999995</v>
      </c>
      <c r="N45" s="111">
        <f t="shared" si="15"/>
        <v>34.892549999999993</v>
      </c>
      <c r="O45" s="110">
        <f t="shared" si="53"/>
        <v>36.262599999999999</v>
      </c>
      <c r="P45" s="133">
        <f t="shared" si="16"/>
        <v>27.196950000000001</v>
      </c>
      <c r="Q45" s="133">
        <f t="shared" si="54"/>
        <v>36.262599999999999</v>
      </c>
      <c r="R45" s="133">
        <f t="shared" si="17"/>
        <v>27.196950000000001</v>
      </c>
      <c r="S45" s="133">
        <f t="shared" si="18"/>
        <v>72.525199999999998</v>
      </c>
      <c r="T45" s="111">
        <f t="shared" si="19"/>
        <v>54.393900000000002</v>
      </c>
      <c r="U45" s="138">
        <f t="shared" si="55"/>
        <v>36.262599999999999</v>
      </c>
      <c r="V45" s="139">
        <f t="shared" si="20"/>
        <v>27.196950000000001</v>
      </c>
      <c r="W45" s="139">
        <f t="shared" si="56"/>
        <v>19.821999999999999</v>
      </c>
      <c r="X45" s="139">
        <f t="shared" si="21"/>
        <v>14.866499999999998</v>
      </c>
      <c r="Y45" s="139">
        <f t="shared" si="22"/>
        <v>56.084599999999995</v>
      </c>
      <c r="Z45" s="113">
        <f t="shared" si="23"/>
        <v>42.063450000000003</v>
      </c>
      <c r="AA45" s="1"/>
    </row>
    <row r="46" spans="1:27">
      <c r="A46" s="15" t="s">
        <v>74</v>
      </c>
      <c r="B46" s="67">
        <v>1.125</v>
      </c>
      <c r="C46" s="110">
        <f t="shared" si="48"/>
        <v>31.387499999999999</v>
      </c>
      <c r="D46" s="111">
        <f t="shared" si="9"/>
        <v>23.540624999999999</v>
      </c>
      <c r="E46" s="112">
        <f t="shared" si="49"/>
        <v>31.837500000000002</v>
      </c>
      <c r="F46" s="111">
        <f t="shared" si="10"/>
        <v>23.878125000000001</v>
      </c>
      <c r="G46" s="110">
        <f t="shared" si="50"/>
        <v>34.987500000000004</v>
      </c>
      <c r="H46" s="111">
        <f t="shared" si="11"/>
        <v>26.240625000000001</v>
      </c>
      <c r="I46" s="110">
        <f t="shared" si="51"/>
        <v>30.262499999999999</v>
      </c>
      <c r="J46" s="133">
        <f t="shared" si="12"/>
        <v>22.696874999999999</v>
      </c>
      <c r="K46" s="133">
        <f t="shared" si="52"/>
        <v>14.625</v>
      </c>
      <c r="L46" s="133">
        <f t="shared" si="13"/>
        <v>10.96875</v>
      </c>
      <c r="M46" s="133">
        <f t="shared" si="14"/>
        <v>44.887500000000003</v>
      </c>
      <c r="N46" s="111">
        <f t="shared" si="15"/>
        <v>33.665624999999999</v>
      </c>
      <c r="O46" s="110">
        <f t="shared" si="53"/>
        <v>34.987500000000004</v>
      </c>
      <c r="P46" s="133">
        <f t="shared" si="16"/>
        <v>26.240625000000001</v>
      </c>
      <c r="Q46" s="133">
        <f t="shared" si="54"/>
        <v>34.987500000000004</v>
      </c>
      <c r="R46" s="133">
        <f t="shared" si="17"/>
        <v>26.240625000000001</v>
      </c>
      <c r="S46" s="133">
        <f t="shared" si="18"/>
        <v>69.975000000000009</v>
      </c>
      <c r="T46" s="111">
        <f t="shared" si="19"/>
        <v>52.481250000000003</v>
      </c>
      <c r="U46" s="138">
        <f t="shared" si="55"/>
        <v>34.987500000000004</v>
      </c>
      <c r="V46" s="139">
        <f t="shared" si="20"/>
        <v>26.240625000000001</v>
      </c>
      <c r="W46" s="139">
        <f t="shared" si="56"/>
        <v>19.125</v>
      </c>
      <c r="X46" s="139">
        <f t="shared" si="21"/>
        <v>14.34375</v>
      </c>
      <c r="Y46" s="139">
        <f t="shared" si="22"/>
        <v>54.112500000000004</v>
      </c>
      <c r="Z46" s="113">
        <f t="shared" si="23"/>
        <v>40.584375000000001</v>
      </c>
      <c r="AA46" s="1"/>
    </row>
    <row r="47" spans="1:27">
      <c r="A47" s="15" t="s">
        <v>75</v>
      </c>
      <c r="B47" s="67">
        <v>1.125</v>
      </c>
      <c r="C47" s="110">
        <f t="shared" si="48"/>
        <v>31.387499999999999</v>
      </c>
      <c r="D47" s="111">
        <f t="shared" si="9"/>
        <v>23.540624999999999</v>
      </c>
      <c r="E47" s="112">
        <f t="shared" si="49"/>
        <v>31.837500000000002</v>
      </c>
      <c r="F47" s="111">
        <f t="shared" si="10"/>
        <v>23.878125000000001</v>
      </c>
      <c r="G47" s="110">
        <f t="shared" si="50"/>
        <v>34.987500000000004</v>
      </c>
      <c r="H47" s="111">
        <f t="shared" si="11"/>
        <v>26.240625000000001</v>
      </c>
      <c r="I47" s="110">
        <f t="shared" si="51"/>
        <v>30.262499999999999</v>
      </c>
      <c r="J47" s="133">
        <f t="shared" si="12"/>
        <v>22.696874999999999</v>
      </c>
      <c r="K47" s="133">
        <f t="shared" si="52"/>
        <v>14.625</v>
      </c>
      <c r="L47" s="133">
        <f t="shared" si="13"/>
        <v>10.96875</v>
      </c>
      <c r="M47" s="133">
        <f t="shared" si="14"/>
        <v>44.887500000000003</v>
      </c>
      <c r="N47" s="111">
        <f t="shared" si="15"/>
        <v>33.665624999999999</v>
      </c>
      <c r="O47" s="110">
        <f t="shared" si="53"/>
        <v>34.987500000000004</v>
      </c>
      <c r="P47" s="133">
        <f t="shared" si="16"/>
        <v>26.240625000000001</v>
      </c>
      <c r="Q47" s="133">
        <f t="shared" si="54"/>
        <v>34.987500000000004</v>
      </c>
      <c r="R47" s="133">
        <f t="shared" si="17"/>
        <v>26.240625000000001</v>
      </c>
      <c r="S47" s="133">
        <f t="shared" si="18"/>
        <v>69.975000000000009</v>
      </c>
      <c r="T47" s="111">
        <f t="shared" si="19"/>
        <v>52.481250000000003</v>
      </c>
      <c r="U47" s="138">
        <f t="shared" si="55"/>
        <v>34.987500000000004</v>
      </c>
      <c r="V47" s="139">
        <f t="shared" si="20"/>
        <v>26.240625000000001</v>
      </c>
      <c r="W47" s="139">
        <f t="shared" si="56"/>
        <v>19.125</v>
      </c>
      <c r="X47" s="139">
        <f t="shared" si="21"/>
        <v>14.34375</v>
      </c>
      <c r="Y47" s="139">
        <f t="shared" si="22"/>
        <v>54.112500000000004</v>
      </c>
      <c r="Z47" s="113">
        <f t="shared" si="23"/>
        <v>40.584375000000001</v>
      </c>
      <c r="AA47" s="1"/>
    </row>
    <row r="48" spans="1:27">
      <c r="A48" s="15" t="s">
        <v>76</v>
      </c>
      <c r="B48" s="67">
        <v>1.1599999999999999</v>
      </c>
      <c r="C48" s="110">
        <f t="shared" si="48"/>
        <v>32.363999999999997</v>
      </c>
      <c r="D48" s="111">
        <f t="shared" si="9"/>
        <v>24.272999999999996</v>
      </c>
      <c r="E48" s="112">
        <f t="shared" si="49"/>
        <v>32.827999999999996</v>
      </c>
      <c r="F48" s="111">
        <f t="shared" si="10"/>
        <v>24.620999999999999</v>
      </c>
      <c r="G48" s="110">
        <f t="shared" si="50"/>
        <v>36.076000000000001</v>
      </c>
      <c r="H48" s="111">
        <f t="shared" si="11"/>
        <v>27.057000000000002</v>
      </c>
      <c r="I48" s="110">
        <f t="shared" si="51"/>
        <v>31.203999999999997</v>
      </c>
      <c r="J48" s="133">
        <f t="shared" si="12"/>
        <v>23.402999999999995</v>
      </c>
      <c r="K48" s="133">
        <f t="shared" si="52"/>
        <v>15.079999999999998</v>
      </c>
      <c r="L48" s="133">
        <f t="shared" si="13"/>
        <v>11.309999999999999</v>
      </c>
      <c r="M48" s="133">
        <f t="shared" si="14"/>
        <v>46.283999999999992</v>
      </c>
      <c r="N48" s="111">
        <f t="shared" si="15"/>
        <v>34.712999999999994</v>
      </c>
      <c r="O48" s="110">
        <f t="shared" si="53"/>
        <v>36.076000000000001</v>
      </c>
      <c r="P48" s="133">
        <f t="shared" si="16"/>
        <v>27.057000000000002</v>
      </c>
      <c r="Q48" s="133">
        <f t="shared" si="54"/>
        <v>36.076000000000001</v>
      </c>
      <c r="R48" s="133">
        <f t="shared" si="17"/>
        <v>27.057000000000002</v>
      </c>
      <c r="S48" s="133">
        <f t="shared" si="18"/>
        <v>72.152000000000001</v>
      </c>
      <c r="T48" s="111">
        <f t="shared" si="19"/>
        <v>54.114000000000004</v>
      </c>
      <c r="U48" s="138">
        <f t="shared" si="55"/>
        <v>36.076000000000001</v>
      </c>
      <c r="V48" s="139">
        <f t="shared" si="20"/>
        <v>27.057000000000002</v>
      </c>
      <c r="W48" s="139">
        <f t="shared" si="56"/>
        <v>19.72</v>
      </c>
      <c r="X48" s="139">
        <f t="shared" si="21"/>
        <v>14.79</v>
      </c>
      <c r="Y48" s="139">
        <f t="shared" si="22"/>
        <v>55.795999999999999</v>
      </c>
      <c r="Z48" s="113">
        <f t="shared" si="23"/>
        <v>41.847000000000001</v>
      </c>
      <c r="AA48" s="1"/>
    </row>
    <row r="49" spans="1:27">
      <c r="A49" s="15" t="s">
        <v>77</v>
      </c>
      <c r="B49" s="67">
        <v>1.19</v>
      </c>
      <c r="C49" s="110">
        <f t="shared" si="48"/>
        <v>33.200999999999993</v>
      </c>
      <c r="D49" s="111">
        <f t="shared" si="9"/>
        <v>24.900749999999995</v>
      </c>
      <c r="E49" s="112">
        <f t="shared" si="49"/>
        <v>33.677</v>
      </c>
      <c r="F49" s="111">
        <f t="shared" si="10"/>
        <v>25.257750000000001</v>
      </c>
      <c r="G49" s="110">
        <f t="shared" si="50"/>
        <v>37.009</v>
      </c>
      <c r="H49" s="111">
        <f t="shared" si="11"/>
        <v>27.756750000000004</v>
      </c>
      <c r="I49" s="110">
        <f t="shared" si="51"/>
        <v>32.010999999999996</v>
      </c>
      <c r="J49" s="133">
        <f t="shared" si="12"/>
        <v>24.008249999999997</v>
      </c>
      <c r="K49" s="133">
        <f t="shared" si="52"/>
        <v>15.469999999999999</v>
      </c>
      <c r="L49" s="133">
        <f t="shared" si="13"/>
        <v>11.602499999999999</v>
      </c>
      <c r="M49" s="133">
        <f t="shared" si="14"/>
        <v>47.480999999999995</v>
      </c>
      <c r="N49" s="111">
        <f t="shared" si="15"/>
        <v>35.610749999999996</v>
      </c>
      <c r="O49" s="110">
        <f t="shared" si="53"/>
        <v>37.009</v>
      </c>
      <c r="P49" s="133">
        <f t="shared" si="16"/>
        <v>27.756750000000004</v>
      </c>
      <c r="Q49" s="133">
        <f t="shared" si="54"/>
        <v>37.009</v>
      </c>
      <c r="R49" s="133">
        <f t="shared" si="17"/>
        <v>27.756750000000004</v>
      </c>
      <c r="S49" s="133">
        <f t="shared" si="18"/>
        <v>74.018000000000001</v>
      </c>
      <c r="T49" s="111">
        <f t="shared" si="19"/>
        <v>55.513500000000008</v>
      </c>
      <c r="U49" s="138">
        <f t="shared" si="55"/>
        <v>37.009</v>
      </c>
      <c r="V49" s="139">
        <f t="shared" si="20"/>
        <v>27.756750000000004</v>
      </c>
      <c r="W49" s="139">
        <f t="shared" si="56"/>
        <v>20.23</v>
      </c>
      <c r="X49" s="139">
        <f t="shared" si="21"/>
        <v>15.172499999999999</v>
      </c>
      <c r="Y49" s="139">
        <f t="shared" si="22"/>
        <v>57.239000000000004</v>
      </c>
      <c r="Z49" s="113">
        <f t="shared" si="23"/>
        <v>42.929250000000003</v>
      </c>
      <c r="AA49" s="1"/>
    </row>
    <row r="50" spans="1:27">
      <c r="A50" s="15" t="s">
        <v>78</v>
      </c>
      <c r="B50" s="67">
        <v>1.19</v>
      </c>
      <c r="C50" s="110">
        <f t="shared" si="48"/>
        <v>33.200999999999993</v>
      </c>
      <c r="D50" s="111">
        <f t="shared" si="9"/>
        <v>24.900749999999995</v>
      </c>
      <c r="E50" s="112">
        <f t="shared" si="49"/>
        <v>33.677</v>
      </c>
      <c r="F50" s="111">
        <f t="shared" si="10"/>
        <v>25.257750000000001</v>
      </c>
      <c r="G50" s="110">
        <f t="shared" si="50"/>
        <v>37.009</v>
      </c>
      <c r="H50" s="111">
        <f t="shared" si="11"/>
        <v>27.756750000000004</v>
      </c>
      <c r="I50" s="110">
        <f t="shared" si="51"/>
        <v>32.010999999999996</v>
      </c>
      <c r="J50" s="133">
        <f t="shared" si="12"/>
        <v>24.008249999999997</v>
      </c>
      <c r="K50" s="133">
        <f t="shared" si="52"/>
        <v>15.469999999999999</v>
      </c>
      <c r="L50" s="133">
        <f t="shared" si="13"/>
        <v>11.602499999999999</v>
      </c>
      <c r="M50" s="133">
        <f t="shared" si="14"/>
        <v>47.480999999999995</v>
      </c>
      <c r="N50" s="111">
        <f t="shared" si="15"/>
        <v>35.610749999999996</v>
      </c>
      <c r="O50" s="110">
        <f t="shared" si="53"/>
        <v>37.009</v>
      </c>
      <c r="P50" s="133">
        <f t="shared" si="16"/>
        <v>27.756750000000004</v>
      </c>
      <c r="Q50" s="133">
        <f t="shared" si="54"/>
        <v>37.009</v>
      </c>
      <c r="R50" s="133">
        <f t="shared" si="17"/>
        <v>27.756750000000004</v>
      </c>
      <c r="S50" s="133">
        <f t="shared" si="18"/>
        <v>74.018000000000001</v>
      </c>
      <c r="T50" s="111">
        <f t="shared" si="19"/>
        <v>55.513500000000008</v>
      </c>
      <c r="U50" s="138">
        <f t="shared" si="55"/>
        <v>37.009</v>
      </c>
      <c r="V50" s="139">
        <f t="shared" si="20"/>
        <v>27.756750000000004</v>
      </c>
      <c r="W50" s="139">
        <f t="shared" si="56"/>
        <v>20.23</v>
      </c>
      <c r="X50" s="139">
        <f t="shared" si="21"/>
        <v>15.172499999999999</v>
      </c>
      <c r="Y50" s="139">
        <f t="shared" si="22"/>
        <v>57.239000000000004</v>
      </c>
      <c r="Z50" s="113">
        <f t="shared" si="23"/>
        <v>42.929250000000003</v>
      </c>
      <c r="AA50" s="1"/>
    </row>
    <row r="51" spans="1:27">
      <c r="A51" s="15" t="s">
        <v>79</v>
      </c>
      <c r="B51" s="67">
        <v>1.1911</v>
      </c>
      <c r="C51" s="110">
        <f t="shared" si="48"/>
        <v>33.23169</v>
      </c>
      <c r="D51" s="111">
        <f t="shared" si="9"/>
        <v>24.923767499999997</v>
      </c>
      <c r="E51" s="112">
        <f t="shared" si="49"/>
        <v>33.708130000000004</v>
      </c>
      <c r="F51" s="111">
        <f t="shared" si="10"/>
        <v>25.281097500000001</v>
      </c>
      <c r="G51" s="110">
        <f t="shared" si="50"/>
        <v>37.043210000000002</v>
      </c>
      <c r="H51" s="111">
        <f t="shared" si="11"/>
        <v>27.782407500000005</v>
      </c>
      <c r="I51" s="110">
        <f t="shared" si="51"/>
        <v>32.040590000000002</v>
      </c>
      <c r="J51" s="133">
        <f t="shared" si="12"/>
        <v>24.030442499999996</v>
      </c>
      <c r="K51" s="133">
        <f t="shared" si="52"/>
        <v>15.484300000000001</v>
      </c>
      <c r="L51" s="133">
        <f t="shared" si="13"/>
        <v>11.613225</v>
      </c>
      <c r="M51" s="133">
        <f t="shared" si="14"/>
        <v>47.524889999999999</v>
      </c>
      <c r="N51" s="111">
        <f t="shared" si="15"/>
        <v>35.643667499999992</v>
      </c>
      <c r="O51" s="110">
        <f t="shared" si="53"/>
        <v>37.043210000000002</v>
      </c>
      <c r="P51" s="133">
        <f t="shared" si="16"/>
        <v>27.782407500000005</v>
      </c>
      <c r="Q51" s="133">
        <f t="shared" si="54"/>
        <v>37.043210000000002</v>
      </c>
      <c r="R51" s="133">
        <f t="shared" si="17"/>
        <v>27.782407500000005</v>
      </c>
      <c r="S51" s="133">
        <f t="shared" si="18"/>
        <v>74.086420000000004</v>
      </c>
      <c r="T51" s="111">
        <f t="shared" si="19"/>
        <v>55.56481500000001</v>
      </c>
      <c r="U51" s="138">
        <f t="shared" si="55"/>
        <v>37.043210000000002</v>
      </c>
      <c r="V51" s="139">
        <f t="shared" si="20"/>
        <v>27.782407500000005</v>
      </c>
      <c r="W51" s="139">
        <f t="shared" si="56"/>
        <v>20.248699999999999</v>
      </c>
      <c r="X51" s="139">
        <f t="shared" si="21"/>
        <v>15.186525000000001</v>
      </c>
      <c r="Y51" s="139">
        <f t="shared" si="22"/>
        <v>57.291910000000001</v>
      </c>
      <c r="Z51" s="113">
        <f t="shared" si="23"/>
        <v>42.968932500000008</v>
      </c>
      <c r="AA51" s="1"/>
    </row>
    <row r="52" spans="1:27">
      <c r="A52" s="15" t="s">
        <v>80</v>
      </c>
      <c r="B52" s="67">
        <v>1.091</v>
      </c>
      <c r="C52" s="110">
        <f t="shared" si="48"/>
        <v>30.438899999999997</v>
      </c>
      <c r="D52" s="111">
        <f t="shared" si="9"/>
        <v>22.829174999999996</v>
      </c>
      <c r="E52" s="112">
        <f t="shared" si="49"/>
        <v>30.875299999999999</v>
      </c>
      <c r="F52" s="111">
        <f t="shared" si="10"/>
        <v>23.156475</v>
      </c>
      <c r="G52" s="110">
        <f t="shared" si="50"/>
        <v>33.930100000000003</v>
      </c>
      <c r="H52" s="111">
        <f t="shared" si="11"/>
        <v>25.447575000000004</v>
      </c>
      <c r="I52" s="110">
        <f t="shared" si="51"/>
        <v>29.347899999999999</v>
      </c>
      <c r="J52" s="133">
        <f t="shared" si="12"/>
        <v>22.010924999999997</v>
      </c>
      <c r="K52" s="133">
        <f t="shared" si="52"/>
        <v>14.183</v>
      </c>
      <c r="L52" s="133">
        <f t="shared" si="13"/>
        <v>10.63725</v>
      </c>
      <c r="M52" s="133">
        <f t="shared" si="14"/>
        <v>43.530900000000003</v>
      </c>
      <c r="N52" s="111">
        <f t="shared" si="15"/>
        <v>32.648174999999995</v>
      </c>
      <c r="O52" s="110">
        <f t="shared" si="53"/>
        <v>33.930100000000003</v>
      </c>
      <c r="P52" s="133">
        <f t="shared" si="16"/>
        <v>25.447575000000004</v>
      </c>
      <c r="Q52" s="133">
        <f t="shared" si="54"/>
        <v>33.930100000000003</v>
      </c>
      <c r="R52" s="133">
        <f t="shared" si="17"/>
        <v>25.447575000000004</v>
      </c>
      <c r="S52" s="133">
        <f t="shared" si="18"/>
        <v>67.860200000000006</v>
      </c>
      <c r="T52" s="111">
        <f t="shared" si="19"/>
        <v>50.895150000000008</v>
      </c>
      <c r="U52" s="138">
        <f t="shared" si="55"/>
        <v>33.930100000000003</v>
      </c>
      <c r="V52" s="139">
        <f t="shared" si="20"/>
        <v>25.447575000000004</v>
      </c>
      <c r="W52" s="139">
        <f t="shared" si="56"/>
        <v>18.547000000000001</v>
      </c>
      <c r="X52" s="139">
        <f t="shared" si="21"/>
        <v>13.91025</v>
      </c>
      <c r="Y52" s="139">
        <f t="shared" si="22"/>
        <v>52.477100000000007</v>
      </c>
      <c r="Z52" s="113">
        <f t="shared" si="23"/>
        <v>39.357825000000005</v>
      </c>
      <c r="AA52" s="1"/>
    </row>
    <row r="53" spans="1:27">
      <c r="A53" s="16" t="s">
        <v>9</v>
      </c>
      <c r="B53" s="68">
        <v>1.33</v>
      </c>
      <c r="C53" s="110">
        <f t="shared" si="48"/>
        <v>37.106999999999999</v>
      </c>
      <c r="D53" s="111">
        <f t="shared" si="9"/>
        <v>27.830249999999996</v>
      </c>
      <c r="E53" s="112">
        <f t="shared" si="49"/>
        <v>37.639000000000003</v>
      </c>
      <c r="F53" s="111">
        <f t="shared" si="10"/>
        <v>28.229250000000004</v>
      </c>
      <c r="G53" s="110">
        <f t="shared" si="50"/>
        <v>41.363000000000007</v>
      </c>
      <c r="H53" s="111">
        <f t="shared" si="11"/>
        <v>31.022250000000007</v>
      </c>
      <c r="I53" s="110">
        <f t="shared" si="51"/>
        <v>35.777000000000001</v>
      </c>
      <c r="J53" s="133">
        <f t="shared" si="12"/>
        <v>26.832749999999997</v>
      </c>
      <c r="K53" s="133">
        <f t="shared" si="52"/>
        <v>17.29</v>
      </c>
      <c r="L53" s="133">
        <f t="shared" si="13"/>
        <v>12.967500000000001</v>
      </c>
      <c r="M53" s="133">
        <f t="shared" si="14"/>
        <v>53.067</v>
      </c>
      <c r="N53" s="111">
        <f t="shared" si="15"/>
        <v>39.800249999999998</v>
      </c>
      <c r="O53" s="110">
        <f t="shared" si="53"/>
        <v>41.363000000000007</v>
      </c>
      <c r="P53" s="133">
        <f t="shared" si="16"/>
        <v>31.022250000000007</v>
      </c>
      <c r="Q53" s="133">
        <f t="shared" si="54"/>
        <v>41.363000000000007</v>
      </c>
      <c r="R53" s="133">
        <f t="shared" si="17"/>
        <v>31.022250000000007</v>
      </c>
      <c r="S53" s="133">
        <f t="shared" si="18"/>
        <v>82.726000000000013</v>
      </c>
      <c r="T53" s="111">
        <f t="shared" si="19"/>
        <v>62.044500000000014</v>
      </c>
      <c r="U53" s="138">
        <f t="shared" si="55"/>
        <v>41.363000000000007</v>
      </c>
      <c r="V53" s="139">
        <f t="shared" si="20"/>
        <v>31.022250000000007</v>
      </c>
      <c r="W53" s="139">
        <f t="shared" si="56"/>
        <v>22.61</v>
      </c>
      <c r="X53" s="139">
        <f t="shared" si="21"/>
        <v>16.9575</v>
      </c>
      <c r="Y53" s="139">
        <f t="shared" si="22"/>
        <v>63.973000000000006</v>
      </c>
      <c r="Z53" s="113">
        <f t="shared" si="23"/>
        <v>47.97975000000001</v>
      </c>
      <c r="AA53" s="1"/>
    </row>
    <row r="54" spans="1:27">
      <c r="A54" s="16" t="s">
        <v>108</v>
      </c>
      <c r="B54" s="67">
        <v>0.87480000000000002</v>
      </c>
      <c r="C54" s="110">
        <f t="shared" si="48"/>
        <v>24.40692</v>
      </c>
      <c r="D54" s="111">
        <f t="shared" si="9"/>
        <v>18.30519</v>
      </c>
      <c r="E54" s="112">
        <f t="shared" si="49"/>
        <v>24.75684</v>
      </c>
      <c r="F54" s="111">
        <f t="shared" si="10"/>
        <v>18.567630000000001</v>
      </c>
      <c r="G54" s="110">
        <f t="shared" si="50"/>
        <v>27.206280000000003</v>
      </c>
      <c r="H54" s="111">
        <f t="shared" si="11"/>
        <v>20.404710000000001</v>
      </c>
      <c r="I54" s="110">
        <f t="shared" si="51"/>
        <v>23.532119999999999</v>
      </c>
      <c r="J54" s="133">
        <f t="shared" si="12"/>
        <v>17.649089999999998</v>
      </c>
      <c r="K54" s="133">
        <f t="shared" si="52"/>
        <v>11.372400000000001</v>
      </c>
      <c r="L54" s="133">
        <f t="shared" si="13"/>
        <v>8.529300000000001</v>
      </c>
      <c r="M54" s="133">
        <f t="shared" si="14"/>
        <v>34.904519999999998</v>
      </c>
      <c r="N54" s="111">
        <f t="shared" si="15"/>
        <v>26.17839</v>
      </c>
      <c r="O54" s="110">
        <f t="shared" si="53"/>
        <v>27.206280000000003</v>
      </c>
      <c r="P54" s="133">
        <f t="shared" si="16"/>
        <v>20.404710000000001</v>
      </c>
      <c r="Q54" s="133">
        <f t="shared" si="54"/>
        <v>27.206280000000003</v>
      </c>
      <c r="R54" s="133">
        <f t="shared" si="17"/>
        <v>20.404710000000001</v>
      </c>
      <c r="S54" s="133">
        <f t="shared" si="18"/>
        <v>54.412560000000006</v>
      </c>
      <c r="T54" s="111">
        <f t="shared" si="19"/>
        <v>40.809420000000003</v>
      </c>
      <c r="U54" s="138">
        <f t="shared" si="55"/>
        <v>27.206280000000003</v>
      </c>
      <c r="V54" s="139">
        <f t="shared" si="20"/>
        <v>20.404710000000001</v>
      </c>
      <c r="W54" s="139">
        <f t="shared" si="56"/>
        <v>14.871600000000001</v>
      </c>
      <c r="X54" s="139">
        <f t="shared" si="21"/>
        <v>11.153700000000001</v>
      </c>
      <c r="Y54" s="139">
        <f t="shared" si="22"/>
        <v>42.077880000000007</v>
      </c>
      <c r="Z54" s="113">
        <f t="shared" si="23"/>
        <v>31.558410000000002</v>
      </c>
      <c r="AA54" s="1"/>
    </row>
    <row r="55" spans="1:27">
      <c r="A55" s="16" t="s">
        <v>109</v>
      </c>
      <c r="B55" s="67">
        <v>0.88529999999999998</v>
      </c>
      <c r="C55" s="110">
        <f t="shared" si="48"/>
        <v>24.699869999999997</v>
      </c>
      <c r="D55" s="111">
        <f t="shared" si="9"/>
        <v>18.524902499999996</v>
      </c>
      <c r="E55" s="112">
        <f t="shared" si="49"/>
        <v>25.053989999999999</v>
      </c>
      <c r="F55" s="111">
        <f t="shared" si="10"/>
        <v>18.790492499999999</v>
      </c>
      <c r="G55" s="110">
        <f t="shared" si="50"/>
        <v>27.532830000000001</v>
      </c>
      <c r="H55" s="111">
        <f t="shared" si="11"/>
        <v>20.649622500000003</v>
      </c>
      <c r="I55" s="110">
        <f t="shared" si="51"/>
        <v>23.81457</v>
      </c>
      <c r="J55" s="133">
        <f t="shared" si="12"/>
        <v>17.860927499999995</v>
      </c>
      <c r="K55" s="133">
        <f t="shared" si="52"/>
        <v>11.508900000000001</v>
      </c>
      <c r="L55" s="133">
        <f t="shared" si="13"/>
        <v>8.6316749999999995</v>
      </c>
      <c r="M55" s="133">
        <f t="shared" si="14"/>
        <v>35.32347</v>
      </c>
      <c r="N55" s="111">
        <f t="shared" si="15"/>
        <v>26.492602499999997</v>
      </c>
      <c r="O55" s="110">
        <f t="shared" si="53"/>
        <v>27.532830000000001</v>
      </c>
      <c r="P55" s="133">
        <f t="shared" si="16"/>
        <v>20.649622500000003</v>
      </c>
      <c r="Q55" s="133">
        <f t="shared" si="54"/>
        <v>27.532830000000001</v>
      </c>
      <c r="R55" s="133">
        <f t="shared" si="17"/>
        <v>20.649622500000003</v>
      </c>
      <c r="S55" s="133">
        <f t="shared" si="18"/>
        <v>55.065660000000001</v>
      </c>
      <c r="T55" s="111">
        <f t="shared" si="19"/>
        <v>41.299245000000006</v>
      </c>
      <c r="U55" s="138">
        <f t="shared" si="55"/>
        <v>27.532830000000001</v>
      </c>
      <c r="V55" s="139">
        <f t="shared" si="20"/>
        <v>20.649622500000003</v>
      </c>
      <c r="W55" s="139">
        <f t="shared" si="56"/>
        <v>15.0501</v>
      </c>
      <c r="X55" s="139">
        <f t="shared" si="21"/>
        <v>11.287575</v>
      </c>
      <c r="Y55" s="139">
        <f t="shared" si="22"/>
        <v>42.582930000000005</v>
      </c>
      <c r="Z55" s="113">
        <f t="shared" si="23"/>
        <v>31.937197500000003</v>
      </c>
      <c r="AA55" s="1"/>
    </row>
    <row r="56" spans="1:27">
      <c r="A56" s="16" t="s">
        <v>110</v>
      </c>
      <c r="B56" s="67">
        <v>0.89229999999999998</v>
      </c>
      <c r="C56" s="110">
        <f t="shared" si="48"/>
        <v>24.895169999999997</v>
      </c>
      <c r="D56" s="111">
        <f t="shared" si="9"/>
        <v>18.671377499999998</v>
      </c>
      <c r="E56" s="112">
        <f t="shared" si="49"/>
        <v>25.252089999999999</v>
      </c>
      <c r="F56" s="111">
        <f t="shared" si="10"/>
        <v>18.9390675</v>
      </c>
      <c r="G56" s="110">
        <f t="shared" si="50"/>
        <v>27.750530000000001</v>
      </c>
      <c r="H56" s="111">
        <f t="shared" si="11"/>
        <v>20.812897500000002</v>
      </c>
      <c r="I56" s="110">
        <f t="shared" si="51"/>
        <v>24.002869999999998</v>
      </c>
      <c r="J56" s="133">
        <f t="shared" si="12"/>
        <v>18.002152499999998</v>
      </c>
      <c r="K56" s="133">
        <f t="shared" si="52"/>
        <v>11.5999</v>
      </c>
      <c r="L56" s="133">
        <f t="shared" si="13"/>
        <v>8.6999250000000004</v>
      </c>
      <c r="M56" s="133">
        <f t="shared" si="14"/>
        <v>35.60277</v>
      </c>
      <c r="N56" s="111">
        <f t="shared" si="15"/>
        <v>26.702077499999998</v>
      </c>
      <c r="O56" s="110">
        <f t="shared" si="53"/>
        <v>27.750530000000001</v>
      </c>
      <c r="P56" s="133">
        <f t="shared" si="16"/>
        <v>20.812897500000002</v>
      </c>
      <c r="Q56" s="133">
        <f t="shared" si="54"/>
        <v>27.750530000000001</v>
      </c>
      <c r="R56" s="133">
        <f t="shared" si="17"/>
        <v>20.812897500000002</v>
      </c>
      <c r="S56" s="133">
        <f t="shared" si="18"/>
        <v>55.501060000000003</v>
      </c>
      <c r="T56" s="111">
        <f t="shared" si="19"/>
        <v>41.625795000000004</v>
      </c>
      <c r="U56" s="138">
        <f t="shared" si="55"/>
        <v>27.750530000000001</v>
      </c>
      <c r="V56" s="139">
        <f t="shared" si="20"/>
        <v>20.812897500000002</v>
      </c>
      <c r="W56" s="139">
        <f t="shared" si="56"/>
        <v>15.1691</v>
      </c>
      <c r="X56" s="139">
        <f t="shared" si="21"/>
        <v>11.376825</v>
      </c>
      <c r="Y56" s="139">
        <f t="shared" si="22"/>
        <v>42.919629999999998</v>
      </c>
      <c r="Z56" s="113">
        <f t="shared" si="23"/>
        <v>32.189722500000002</v>
      </c>
      <c r="AA56" s="1"/>
    </row>
    <row r="57" spans="1:27">
      <c r="A57" s="16" t="s">
        <v>111</v>
      </c>
      <c r="B57" s="67">
        <v>0.92049999999999998</v>
      </c>
      <c r="C57" s="110">
        <f t="shared" si="48"/>
        <v>25.681949999999997</v>
      </c>
      <c r="D57" s="111">
        <f t="shared" si="9"/>
        <v>19.261462499999997</v>
      </c>
      <c r="E57" s="112">
        <f t="shared" si="49"/>
        <v>26.050149999999999</v>
      </c>
      <c r="F57" s="111">
        <f t="shared" si="10"/>
        <v>19.537612500000002</v>
      </c>
      <c r="G57" s="110">
        <f t="shared" si="50"/>
        <v>28.627549999999999</v>
      </c>
      <c r="H57" s="111">
        <f t="shared" si="11"/>
        <v>21.470662500000003</v>
      </c>
      <c r="I57" s="110">
        <f t="shared" si="51"/>
        <v>24.76145</v>
      </c>
      <c r="J57" s="133">
        <f t="shared" si="12"/>
        <v>18.571087499999997</v>
      </c>
      <c r="K57" s="133">
        <f t="shared" si="52"/>
        <v>11.9665</v>
      </c>
      <c r="L57" s="133">
        <f t="shared" si="13"/>
        <v>8.974874999999999</v>
      </c>
      <c r="M57" s="133">
        <f t="shared" si="14"/>
        <v>36.72795</v>
      </c>
      <c r="N57" s="111">
        <f t="shared" si="15"/>
        <v>27.545962499999995</v>
      </c>
      <c r="O57" s="110">
        <f t="shared" si="53"/>
        <v>28.627549999999999</v>
      </c>
      <c r="P57" s="133">
        <f t="shared" si="16"/>
        <v>21.470662500000003</v>
      </c>
      <c r="Q57" s="133">
        <f t="shared" si="54"/>
        <v>28.627549999999999</v>
      </c>
      <c r="R57" s="133">
        <f t="shared" si="17"/>
        <v>21.470662500000003</v>
      </c>
      <c r="S57" s="133">
        <f t="shared" si="18"/>
        <v>57.255099999999999</v>
      </c>
      <c r="T57" s="111">
        <f t="shared" si="19"/>
        <v>42.941325000000006</v>
      </c>
      <c r="U57" s="138">
        <f t="shared" si="55"/>
        <v>28.627549999999999</v>
      </c>
      <c r="V57" s="139">
        <f t="shared" si="20"/>
        <v>21.470662500000003</v>
      </c>
      <c r="W57" s="139">
        <f t="shared" si="56"/>
        <v>15.6485</v>
      </c>
      <c r="X57" s="139">
        <f t="shared" si="21"/>
        <v>11.736375000000001</v>
      </c>
      <c r="Y57" s="139">
        <f t="shared" si="22"/>
        <v>44.276049999999998</v>
      </c>
      <c r="Z57" s="113">
        <f t="shared" si="23"/>
        <v>33.207037500000006</v>
      </c>
      <c r="AA57" s="1"/>
    </row>
    <row r="58" spans="1:27">
      <c r="A58" s="16" t="s">
        <v>14</v>
      </c>
      <c r="B58" s="68">
        <v>1.32</v>
      </c>
      <c r="C58" s="110">
        <f t="shared" si="48"/>
        <v>36.828000000000003</v>
      </c>
      <c r="D58" s="111">
        <f t="shared" si="9"/>
        <v>27.620999999999999</v>
      </c>
      <c r="E58" s="112">
        <f t="shared" si="49"/>
        <v>37.356000000000002</v>
      </c>
      <c r="F58" s="111">
        <f t="shared" si="10"/>
        <v>28.017000000000003</v>
      </c>
      <c r="G58" s="110">
        <f t="shared" si="50"/>
        <v>41.052000000000007</v>
      </c>
      <c r="H58" s="111">
        <f t="shared" si="11"/>
        <v>30.789000000000005</v>
      </c>
      <c r="I58" s="110">
        <f t="shared" si="51"/>
        <v>35.508000000000003</v>
      </c>
      <c r="J58" s="133">
        <f t="shared" si="12"/>
        <v>26.630999999999997</v>
      </c>
      <c r="K58" s="133">
        <f t="shared" si="52"/>
        <v>17.16</v>
      </c>
      <c r="L58" s="133">
        <f t="shared" si="13"/>
        <v>12.870000000000001</v>
      </c>
      <c r="M58" s="133">
        <f t="shared" si="14"/>
        <v>52.668000000000006</v>
      </c>
      <c r="N58" s="111">
        <f t="shared" si="15"/>
        <v>39.500999999999998</v>
      </c>
      <c r="O58" s="110">
        <f t="shared" si="53"/>
        <v>41.052000000000007</v>
      </c>
      <c r="P58" s="133">
        <f t="shared" si="16"/>
        <v>30.789000000000005</v>
      </c>
      <c r="Q58" s="133">
        <f t="shared" si="54"/>
        <v>41.052000000000007</v>
      </c>
      <c r="R58" s="133">
        <f t="shared" si="17"/>
        <v>30.789000000000005</v>
      </c>
      <c r="S58" s="133">
        <f t="shared" si="18"/>
        <v>82.104000000000013</v>
      </c>
      <c r="T58" s="111">
        <f t="shared" si="19"/>
        <v>61.57800000000001</v>
      </c>
      <c r="U58" s="138">
        <f t="shared" si="55"/>
        <v>41.052000000000007</v>
      </c>
      <c r="V58" s="139">
        <f t="shared" si="20"/>
        <v>30.789000000000005</v>
      </c>
      <c r="W58" s="139">
        <f t="shared" si="56"/>
        <v>22.44</v>
      </c>
      <c r="X58" s="139">
        <f t="shared" si="21"/>
        <v>16.830000000000002</v>
      </c>
      <c r="Y58" s="139">
        <f t="shared" si="22"/>
        <v>63.492000000000004</v>
      </c>
      <c r="Z58" s="113">
        <f t="shared" si="23"/>
        <v>47.619000000000007</v>
      </c>
      <c r="AA58" s="1"/>
    </row>
    <row r="59" spans="1:27">
      <c r="A59" s="16" t="s">
        <v>15</v>
      </c>
      <c r="B59" s="68">
        <v>1.33</v>
      </c>
      <c r="C59" s="110">
        <f t="shared" si="48"/>
        <v>37.106999999999999</v>
      </c>
      <c r="D59" s="111">
        <f t="shared" si="9"/>
        <v>27.830249999999996</v>
      </c>
      <c r="E59" s="112">
        <f t="shared" si="49"/>
        <v>37.639000000000003</v>
      </c>
      <c r="F59" s="111">
        <f t="shared" si="10"/>
        <v>28.229250000000004</v>
      </c>
      <c r="G59" s="110">
        <f t="shared" si="50"/>
        <v>41.363000000000007</v>
      </c>
      <c r="H59" s="111">
        <f t="shared" si="11"/>
        <v>31.022250000000007</v>
      </c>
      <c r="I59" s="110">
        <f t="shared" si="51"/>
        <v>35.777000000000001</v>
      </c>
      <c r="J59" s="133">
        <f t="shared" si="12"/>
        <v>26.832749999999997</v>
      </c>
      <c r="K59" s="133">
        <f t="shared" si="52"/>
        <v>17.29</v>
      </c>
      <c r="L59" s="133">
        <f t="shared" si="13"/>
        <v>12.967500000000001</v>
      </c>
      <c r="M59" s="133">
        <f t="shared" si="14"/>
        <v>53.067</v>
      </c>
      <c r="N59" s="111">
        <f t="shared" si="15"/>
        <v>39.800249999999998</v>
      </c>
      <c r="O59" s="110">
        <f t="shared" si="53"/>
        <v>41.363000000000007</v>
      </c>
      <c r="P59" s="133">
        <f t="shared" si="16"/>
        <v>31.022250000000007</v>
      </c>
      <c r="Q59" s="133">
        <f t="shared" si="54"/>
        <v>41.363000000000007</v>
      </c>
      <c r="R59" s="133">
        <f t="shared" si="17"/>
        <v>31.022250000000007</v>
      </c>
      <c r="S59" s="133">
        <f t="shared" si="18"/>
        <v>82.726000000000013</v>
      </c>
      <c r="T59" s="111">
        <f t="shared" si="19"/>
        <v>62.044500000000014</v>
      </c>
      <c r="U59" s="138">
        <f t="shared" si="55"/>
        <v>41.363000000000007</v>
      </c>
      <c r="V59" s="139">
        <f t="shared" si="20"/>
        <v>31.022250000000007</v>
      </c>
      <c r="W59" s="139">
        <f t="shared" si="56"/>
        <v>22.61</v>
      </c>
      <c r="X59" s="139">
        <f t="shared" si="21"/>
        <v>16.9575</v>
      </c>
      <c r="Y59" s="139">
        <f t="shared" si="22"/>
        <v>63.973000000000006</v>
      </c>
      <c r="Z59" s="113">
        <f t="shared" si="23"/>
        <v>47.97975000000001</v>
      </c>
      <c r="AA59" s="1"/>
    </row>
    <row r="60" spans="1:27">
      <c r="A60" s="14" t="s">
        <v>16</v>
      </c>
      <c r="B60" s="68">
        <v>1.25</v>
      </c>
      <c r="C60" s="110">
        <f t="shared" si="48"/>
        <v>34.875</v>
      </c>
      <c r="D60" s="111">
        <f t="shared" si="9"/>
        <v>26.156249999999996</v>
      </c>
      <c r="E60" s="112">
        <f t="shared" si="49"/>
        <v>35.375</v>
      </c>
      <c r="F60" s="111">
        <f t="shared" si="10"/>
        <v>26.53125</v>
      </c>
      <c r="G60" s="110">
        <f t="shared" si="50"/>
        <v>38.875</v>
      </c>
      <c r="H60" s="111">
        <f t="shared" si="11"/>
        <v>29.156250000000004</v>
      </c>
      <c r="I60" s="110">
        <f t="shared" si="51"/>
        <v>33.625</v>
      </c>
      <c r="J60" s="133">
        <f t="shared" si="12"/>
        <v>25.218749999999996</v>
      </c>
      <c r="K60" s="133">
        <f t="shared" si="52"/>
        <v>16.25</v>
      </c>
      <c r="L60" s="133">
        <f t="shared" si="13"/>
        <v>12.1875</v>
      </c>
      <c r="M60" s="133">
        <f t="shared" si="14"/>
        <v>49.875</v>
      </c>
      <c r="N60" s="111">
        <f t="shared" si="15"/>
        <v>37.40625</v>
      </c>
      <c r="O60" s="110">
        <f t="shared" si="53"/>
        <v>38.875</v>
      </c>
      <c r="P60" s="133">
        <f t="shared" si="16"/>
        <v>29.156250000000004</v>
      </c>
      <c r="Q60" s="133">
        <f t="shared" si="54"/>
        <v>38.875</v>
      </c>
      <c r="R60" s="133">
        <f t="shared" si="17"/>
        <v>29.156250000000004</v>
      </c>
      <c r="S60" s="133">
        <f t="shared" si="18"/>
        <v>77.75</v>
      </c>
      <c r="T60" s="111">
        <f t="shared" si="19"/>
        <v>58.312500000000007</v>
      </c>
      <c r="U60" s="138">
        <f t="shared" si="55"/>
        <v>38.875</v>
      </c>
      <c r="V60" s="139">
        <f t="shared" si="20"/>
        <v>29.156250000000004</v>
      </c>
      <c r="W60" s="139">
        <f t="shared" si="56"/>
        <v>21.25</v>
      </c>
      <c r="X60" s="139">
        <f t="shared" si="21"/>
        <v>15.9375</v>
      </c>
      <c r="Y60" s="139">
        <f t="shared" si="22"/>
        <v>60.125</v>
      </c>
      <c r="Z60" s="113">
        <f t="shared" si="23"/>
        <v>45.09375</v>
      </c>
      <c r="AA60" s="1"/>
    </row>
    <row r="61" spans="1:27">
      <c r="A61" s="14" t="s">
        <v>17</v>
      </c>
      <c r="B61" s="68">
        <v>1.01</v>
      </c>
      <c r="C61" s="110">
        <f t="shared" si="48"/>
        <v>28.178999999999998</v>
      </c>
      <c r="D61" s="111">
        <f t="shared" si="9"/>
        <v>21.134249999999998</v>
      </c>
      <c r="E61" s="112">
        <f t="shared" si="49"/>
        <v>28.583000000000002</v>
      </c>
      <c r="F61" s="111">
        <f t="shared" si="10"/>
        <v>21.437250000000002</v>
      </c>
      <c r="G61" s="110">
        <f t="shared" si="50"/>
        <v>31.411000000000001</v>
      </c>
      <c r="H61" s="111">
        <f t="shared" si="11"/>
        <v>23.558250000000005</v>
      </c>
      <c r="I61" s="110">
        <f t="shared" si="51"/>
        <v>27.169</v>
      </c>
      <c r="J61" s="133">
        <f t="shared" si="12"/>
        <v>20.376749999999998</v>
      </c>
      <c r="K61" s="133">
        <f t="shared" si="52"/>
        <v>13.13</v>
      </c>
      <c r="L61" s="133">
        <f t="shared" si="13"/>
        <v>9.8475000000000001</v>
      </c>
      <c r="M61" s="133">
        <f t="shared" si="14"/>
        <v>40.298999999999999</v>
      </c>
      <c r="N61" s="111">
        <f t="shared" si="15"/>
        <v>30.224249999999998</v>
      </c>
      <c r="O61" s="110">
        <f t="shared" si="53"/>
        <v>31.411000000000001</v>
      </c>
      <c r="P61" s="133">
        <f t="shared" si="16"/>
        <v>23.558250000000005</v>
      </c>
      <c r="Q61" s="133">
        <f t="shared" si="54"/>
        <v>31.411000000000001</v>
      </c>
      <c r="R61" s="133">
        <f t="shared" si="17"/>
        <v>23.558250000000005</v>
      </c>
      <c r="S61" s="133">
        <f t="shared" si="18"/>
        <v>62.822000000000003</v>
      </c>
      <c r="T61" s="111">
        <f t="shared" si="19"/>
        <v>47.116500000000009</v>
      </c>
      <c r="U61" s="138">
        <f t="shared" si="55"/>
        <v>31.411000000000001</v>
      </c>
      <c r="V61" s="139">
        <f t="shared" si="20"/>
        <v>23.558250000000005</v>
      </c>
      <c r="W61" s="139">
        <f t="shared" si="56"/>
        <v>17.170000000000002</v>
      </c>
      <c r="X61" s="139">
        <f t="shared" si="21"/>
        <v>12.8775</v>
      </c>
      <c r="Y61" s="139">
        <f t="shared" si="22"/>
        <v>48.581000000000003</v>
      </c>
      <c r="Z61" s="113">
        <f t="shared" si="23"/>
        <v>36.435750000000006</v>
      </c>
      <c r="AA61" s="1"/>
    </row>
    <row r="62" spans="1:27">
      <c r="A62" s="17" t="s">
        <v>18</v>
      </c>
      <c r="B62" s="68">
        <v>0.72</v>
      </c>
      <c r="C62" s="110">
        <f t="shared" si="48"/>
        <v>20.087999999999997</v>
      </c>
      <c r="D62" s="111">
        <f t="shared" si="9"/>
        <v>15.065999999999997</v>
      </c>
      <c r="E62" s="112">
        <f t="shared" si="49"/>
        <v>20.376000000000001</v>
      </c>
      <c r="F62" s="111">
        <f t="shared" si="10"/>
        <v>15.282</v>
      </c>
      <c r="G62" s="110">
        <f t="shared" si="50"/>
        <v>22.391999999999999</v>
      </c>
      <c r="H62" s="111">
        <f t="shared" si="11"/>
        <v>16.794</v>
      </c>
      <c r="I62" s="110">
        <f t="shared" si="51"/>
        <v>19.367999999999999</v>
      </c>
      <c r="J62" s="133">
        <f t="shared" si="12"/>
        <v>14.525999999999998</v>
      </c>
      <c r="K62" s="133">
        <f t="shared" si="52"/>
        <v>9.36</v>
      </c>
      <c r="L62" s="133">
        <f t="shared" si="13"/>
        <v>7.02</v>
      </c>
      <c r="M62" s="133">
        <f t="shared" si="14"/>
        <v>28.727999999999998</v>
      </c>
      <c r="N62" s="111">
        <f t="shared" si="15"/>
        <v>21.545999999999999</v>
      </c>
      <c r="O62" s="110">
        <f t="shared" si="53"/>
        <v>22.391999999999999</v>
      </c>
      <c r="P62" s="133">
        <f t="shared" si="16"/>
        <v>16.794</v>
      </c>
      <c r="Q62" s="133">
        <f t="shared" si="54"/>
        <v>22.391999999999999</v>
      </c>
      <c r="R62" s="133">
        <f t="shared" si="17"/>
        <v>16.794</v>
      </c>
      <c r="S62" s="133">
        <f t="shared" si="18"/>
        <v>44.783999999999999</v>
      </c>
      <c r="T62" s="111">
        <f t="shared" si="19"/>
        <v>33.588000000000001</v>
      </c>
      <c r="U62" s="138">
        <f t="shared" si="55"/>
        <v>22.391999999999999</v>
      </c>
      <c r="V62" s="139">
        <f t="shared" si="20"/>
        <v>16.794</v>
      </c>
      <c r="W62" s="139">
        <f t="shared" si="56"/>
        <v>12.24</v>
      </c>
      <c r="X62" s="139">
        <f t="shared" si="21"/>
        <v>9.18</v>
      </c>
      <c r="Y62" s="139">
        <f t="shared" si="22"/>
        <v>34.631999999999998</v>
      </c>
      <c r="Z62" s="113">
        <f t="shared" si="23"/>
        <v>25.974</v>
      </c>
      <c r="AA62" s="1"/>
    </row>
    <row r="63" spans="1:27">
      <c r="A63" s="16" t="s">
        <v>19</v>
      </c>
      <c r="B63" s="68">
        <v>1.41</v>
      </c>
      <c r="C63" s="110">
        <f t="shared" si="48"/>
        <v>39.338999999999999</v>
      </c>
      <c r="D63" s="111">
        <f t="shared" si="9"/>
        <v>29.504249999999995</v>
      </c>
      <c r="E63" s="112">
        <f t="shared" si="49"/>
        <v>39.902999999999999</v>
      </c>
      <c r="F63" s="111">
        <f t="shared" si="10"/>
        <v>29.927250000000001</v>
      </c>
      <c r="G63" s="110">
        <f t="shared" si="50"/>
        <v>43.850999999999999</v>
      </c>
      <c r="H63" s="111">
        <f t="shared" si="11"/>
        <v>32.888249999999999</v>
      </c>
      <c r="I63" s="110">
        <f t="shared" si="51"/>
        <v>37.928999999999995</v>
      </c>
      <c r="J63" s="133">
        <f t="shared" si="12"/>
        <v>28.446749999999994</v>
      </c>
      <c r="K63" s="133">
        <f t="shared" si="52"/>
        <v>18.329999999999998</v>
      </c>
      <c r="L63" s="133">
        <f t="shared" si="13"/>
        <v>13.747499999999999</v>
      </c>
      <c r="M63" s="133">
        <f t="shared" si="14"/>
        <v>56.258999999999993</v>
      </c>
      <c r="N63" s="111">
        <f t="shared" si="15"/>
        <v>42.194249999999997</v>
      </c>
      <c r="O63" s="110">
        <f t="shared" si="53"/>
        <v>43.850999999999999</v>
      </c>
      <c r="P63" s="133">
        <f t="shared" si="16"/>
        <v>32.888249999999999</v>
      </c>
      <c r="Q63" s="133">
        <f t="shared" si="54"/>
        <v>43.850999999999999</v>
      </c>
      <c r="R63" s="133">
        <f t="shared" si="17"/>
        <v>32.888249999999999</v>
      </c>
      <c r="S63" s="133">
        <f t="shared" si="18"/>
        <v>87.701999999999998</v>
      </c>
      <c r="T63" s="111">
        <f t="shared" si="19"/>
        <v>65.776499999999999</v>
      </c>
      <c r="U63" s="138">
        <f t="shared" si="55"/>
        <v>43.850999999999999</v>
      </c>
      <c r="V63" s="139">
        <f t="shared" si="20"/>
        <v>32.888249999999999</v>
      </c>
      <c r="W63" s="139">
        <f t="shared" si="56"/>
        <v>23.97</v>
      </c>
      <c r="X63" s="139">
        <f t="shared" si="21"/>
        <v>17.977499999999999</v>
      </c>
      <c r="Y63" s="139">
        <f t="shared" si="22"/>
        <v>67.820999999999998</v>
      </c>
      <c r="Z63" s="113">
        <f t="shared" si="23"/>
        <v>50.865749999999998</v>
      </c>
      <c r="AA63" s="1"/>
    </row>
    <row r="64" spans="1:27">
      <c r="A64" s="14" t="s">
        <v>20</v>
      </c>
      <c r="B64" s="67">
        <v>0.93479999999999996</v>
      </c>
      <c r="C64" s="110">
        <f t="shared" si="48"/>
        <v>26.080919999999999</v>
      </c>
      <c r="D64" s="111">
        <f t="shared" si="9"/>
        <v>19.560689999999997</v>
      </c>
      <c r="E64" s="112">
        <f t="shared" si="49"/>
        <v>26.454840000000001</v>
      </c>
      <c r="F64" s="111">
        <f t="shared" si="10"/>
        <v>19.84113</v>
      </c>
      <c r="G64" s="110">
        <f t="shared" si="50"/>
        <v>29.072279999999999</v>
      </c>
      <c r="H64" s="111">
        <f t="shared" si="11"/>
        <v>21.804210000000001</v>
      </c>
      <c r="I64" s="110">
        <f t="shared" si="51"/>
        <v>25.146119999999996</v>
      </c>
      <c r="J64" s="133">
        <f t="shared" si="12"/>
        <v>18.859589999999997</v>
      </c>
      <c r="K64" s="133">
        <f t="shared" si="52"/>
        <v>12.1524</v>
      </c>
      <c r="L64" s="133">
        <f t="shared" si="13"/>
        <v>9.1143000000000001</v>
      </c>
      <c r="M64" s="133">
        <f t="shared" si="14"/>
        <v>37.298519999999996</v>
      </c>
      <c r="N64" s="111">
        <f t="shared" si="15"/>
        <v>27.973889999999997</v>
      </c>
      <c r="O64" s="110">
        <f t="shared" si="53"/>
        <v>29.072279999999999</v>
      </c>
      <c r="P64" s="133">
        <f t="shared" si="16"/>
        <v>21.804210000000001</v>
      </c>
      <c r="Q64" s="133">
        <f t="shared" si="54"/>
        <v>29.072279999999999</v>
      </c>
      <c r="R64" s="133">
        <f t="shared" si="17"/>
        <v>21.804210000000001</v>
      </c>
      <c r="S64" s="133">
        <f t="shared" si="18"/>
        <v>58.144559999999998</v>
      </c>
      <c r="T64" s="111">
        <f t="shared" si="19"/>
        <v>43.608420000000002</v>
      </c>
      <c r="U64" s="138">
        <f t="shared" si="55"/>
        <v>29.072279999999999</v>
      </c>
      <c r="V64" s="139">
        <f t="shared" si="20"/>
        <v>21.804210000000001</v>
      </c>
      <c r="W64" s="139">
        <f t="shared" si="56"/>
        <v>15.891599999999999</v>
      </c>
      <c r="X64" s="139">
        <f t="shared" si="21"/>
        <v>11.918699999999999</v>
      </c>
      <c r="Y64" s="139">
        <f t="shared" si="22"/>
        <v>44.963879999999996</v>
      </c>
      <c r="Z64" s="113">
        <f t="shared" si="23"/>
        <v>33.722909999999999</v>
      </c>
      <c r="AA64" s="1"/>
    </row>
    <row r="65" spans="1:27">
      <c r="A65" s="14" t="s">
        <v>21</v>
      </c>
      <c r="B65" s="67">
        <v>0.89559999999999995</v>
      </c>
      <c r="C65" s="110">
        <f t="shared" si="48"/>
        <v>24.987239999999996</v>
      </c>
      <c r="D65" s="111">
        <f t="shared" si="9"/>
        <v>18.740429999999996</v>
      </c>
      <c r="E65" s="112">
        <f t="shared" si="49"/>
        <v>25.345479999999998</v>
      </c>
      <c r="F65" s="111">
        <f t="shared" si="10"/>
        <v>19.00911</v>
      </c>
      <c r="G65" s="110">
        <f t="shared" si="50"/>
        <v>27.853159999999999</v>
      </c>
      <c r="H65" s="111">
        <f t="shared" si="11"/>
        <v>20.889870000000002</v>
      </c>
      <c r="I65" s="110">
        <f t="shared" si="51"/>
        <v>24.091639999999998</v>
      </c>
      <c r="J65" s="133">
        <f t="shared" si="12"/>
        <v>18.068729999999995</v>
      </c>
      <c r="K65" s="133">
        <f t="shared" si="52"/>
        <v>11.642799999999999</v>
      </c>
      <c r="L65" s="133">
        <f t="shared" si="13"/>
        <v>8.7320999999999991</v>
      </c>
      <c r="M65" s="133">
        <f t="shared" si="14"/>
        <v>35.734439999999999</v>
      </c>
      <c r="N65" s="111">
        <f t="shared" si="15"/>
        <v>26.800829999999994</v>
      </c>
      <c r="O65" s="110">
        <f t="shared" si="53"/>
        <v>27.853159999999999</v>
      </c>
      <c r="P65" s="133">
        <f t="shared" si="16"/>
        <v>20.889870000000002</v>
      </c>
      <c r="Q65" s="133">
        <f t="shared" si="54"/>
        <v>27.853159999999999</v>
      </c>
      <c r="R65" s="133">
        <f t="shared" si="17"/>
        <v>20.889870000000002</v>
      </c>
      <c r="S65" s="133">
        <f t="shared" si="18"/>
        <v>55.706319999999998</v>
      </c>
      <c r="T65" s="111">
        <f t="shared" si="19"/>
        <v>41.779740000000004</v>
      </c>
      <c r="U65" s="138">
        <f t="shared" si="55"/>
        <v>27.853159999999999</v>
      </c>
      <c r="V65" s="139">
        <f t="shared" si="20"/>
        <v>20.889870000000002</v>
      </c>
      <c r="W65" s="139">
        <f t="shared" si="56"/>
        <v>15.225199999999999</v>
      </c>
      <c r="X65" s="139">
        <f t="shared" si="21"/>
        <v>11.418899999999999</v>
      </c>
      <c r="Y65" s="139">
        <f t="shared" si="22"/>
        <v>43.078359999999996</v>
      </c>
      <c r="Z65" s="113">
        <f t="shared" si="23"/>
        <v>32.308770000000003</v>
      </c>
      <c r="AA65" s="1"/>
    </row>
    <row r="66" spans="1:27">
      <c r="A66" s="14" t="s">
        <v>53</v>
      </c>
      <c r="B66" s="67">
        <v>0.503</v>
      </c>
      <c r="C66" s="110">
        <f t="shared" si="48"/>
        <v>14.0337</v>
      </c>
      <c r="D66" s="111">
        <f t="shared" si="9"/>
        <v>10.525274999999999</v>
      </c>
      <c r="E66" s="112">
        <f t="shared" si="49"/>
        <v>14.2349</v>
      </c>
      <c r="F66" s="111">
        <f t="shared" si="10"/>
        <v>10.676175000000001</v>
      </c>
      <c r="G66" s="110">
        <f t="shared" si="50"/>
        <v>15.6433</v>
      </c>
      <c r="H66" s="111">
        <f t="shared" si="11"/>
        <v>11.732475000000001</v>
      </c>
      <c r="I66" s="110">
        <f t="shared" si="51"/>
        <v>13.5307</v>
      </c>
      <c r="J66" s="133">
        <f t="shared" si="12"/>
        <v>10.148024999999999</v>
      </c>
      <c r="K66" s="133">
        <f t="shared" si="52"/>
        <v>6.5389999999999997</v>
      </c>
      <c r="L66" s="133">
        <f t="shared" si="13"/>
        <v>4.9042500000000002</v>
      </c>
      <c r="M66" s="133">
        <f t="shared" si="14"/>
        <v>20.069699999999997</v>
      </c>
      <c r="N66" s="111">
        <f>J66+L66</f>
        <v>15.052274999999998</v>
      </c>
      <c r="O66" s="110">
        <f t="shared" si="53"/>
        <v>15.6433</v>
      </c>
      <c r="P66" s="133">
        <f t="shared" si="16"/>
        <v>11.732475000000001</v>
      </c>
      <c r="Q66" s="133">
        <f t="shared" si="54"/>
        <v>15.6433</v>
      </c>
      <c r="R66" s="133">
        <f t="shared" si="17"/>
        <v>11.732475000000001</v>
      </c>
      <c r="S66" s="133">
        <f t="shared" si="18"/>
        <v>31.2866</v>
      </c>
      <c r="T66" s="111">
        <f t="shared" si="19"/>
        <v>23.464950000000002</v>
      </c>
      <c r="U66" s="138">
        <f t="shared" si="55"/>
        <v>15.6433</v>
      </c>
      <c r="V66" s="139">
        <f t="shared" si="20"/>
        <v>11.732475000000001</v>
      </c>
      <c r="W66" s="139">
        <f t="shared" si="56"/>
        <v>8.5510000000000002</v>
      </c>
      <c r="X66" s="139">
        <f t="shared" si="21"/>
        <v>6.4132499999999997</v>
      </c>
      <c r="Y66" s="139">
        <f t="shared" si="22"/>
        <v>24.194299999999998</v>
      </c>
      <c r="Z66" s="113">
        <f t="shared" si="23"/>
        <v>18.145724999999999</v>
      </c>
      <c r="AA66" s="1"/>
    </row>
    <row r="67" spans="1:27">
      <c r="A67" s="83" t="s">
        <v>81</v>
      </c>
      <c r="B67" s="67">
        <v>0.74490000000000001</v>
      </c>
      <c r="C67" s="110">
        <f t="shared" si="48"/>
        <v>20.782709999999998</v>
      </c>
      <c r="D67" s="111">
        <f t="shared" si="9"/>
        <v>15.587032499999998</v>
      </c>
      <c r="E67" s="112">
        <f t="shared" si="49"/>
        <v>21.080670000000001</v>
      </c>
      <c r="F67" s="111">
        <f t="shared" si="10"/>
        <v>15.810502500000002</v>
      </c>
      <c r="G67" s="110">
        <f t="shared" si="50"/>
        <v>23.16639</v>
      </c>
      <c r="H67" s="111">
        <f t="shared" si="11"/>
        <v>17.374792500000002</v>
      </c>
      <c r="I67" s="110">
        <f t="shared" si="51"/>
        <v>20.03781</v>
      </c>
      <c r="J67" s="133">
        <f t="shared" si="12"/>
        <v>15.028357499999998</v>
      </c>
      <c r="K67" s="133">
        <f t="shared" si="52"/>
        <v>9.6837</v>
      </c>
      <c r="L67" s="133">
        <f t="shared" si="13"/>
        <v>7.2627750000000004</v>
      </c>
      <c r="M67" s="133">
        <f t="shared" si="14"/>
        <v>29.721510000000002</v>
      </c>
      <c r="N67" s="111">
        <f t="shared" si="15"/>
        <v>22.2911325</v>
      </c>
      <c r="O67" s="110">
        <f t="shared" si="53"/>
        <v>23.16639</v>
      </c>
      <c r="P67" s="133">
        <f t="shared" si="16"/>
        <v>17.374792500000002</v>
      </c>
      <c r="Q67" s="133">
        <f t="shared" si="54"/>
        <v>23.16639</v>
      </c>
      <c r="R67" s="133">
        <f t="shared" si="17"/>
        <v>17.374792500000002</v>
      </c>
      <c r="S67" s="133">
        <f t="shared" si="18"/>
        <v>46.33278</v>
      </c>
      <c r="T67" s="111">
        <f t="shared" si="19"/>
        <v>34.749585000000003</v>
      </c>
      <c r="U67" s="138">
        <f t="shared" si="55"/>
        <v>23.16639</v>
      </c>
      <c r="V67" s="139">
        <f t="shared" si="20"/>
        <v>17.374792500000002</v>
      </c>
      <c r="W67" s="139">
        <f t="shared" si="56"/>
        <v>12.6633</v>
      </c>
      <c r="X67" s="139">
        <f t="shared" si="21"/>
        <v>9.4974749999999997</v>
      </c>
      <c r="Y67" s="139">
        <f t="shared" si="22"/>
        <v>35.829689999999999</v>
      </c>
      <c r="Z67" s="113">
        <f t="shared" si="23"/>
        <v>26.8722675</v>
      </c>
      <c r="AA67" s="1"/>
    </row>
    <row r="68" spans="1:27">
      <c r="A68" s="83" t="s">
        <v>22</v>
      </c>
      <c r="B68" s="67">
        <v>0.74960000000000004</v>
      </c>
      <c r="C68" s="110">
        <f t="shared" si="48"/>
        <v>20.91384</v>
      </c>
      <c r="D68" s="111">
        <f t="shared" si="9"/>
        <v>15.685379999999999</v>
      </c>
      <c r="E68" s="112">
        <f t="shared" si="49"/>
        <v>21.21368</v>
      </c>
      <c r="F68" s="111">
        <f t="shared" si="10"/>
        <v>15.910260000000003</v>
      </c>
      <c r="G68" s="110">
        <f t="shared" si="50"/>
        <v>23.312560000000001</v>
      </c>
      <c r="H68" s="111">
        <f t="shared" si="11"/>
        <v>17.484420000000004</v>
      </c>
      <c r="I68" s="110">
        <f t="shared" si="51"/>
        <v>20.164239999999999</v>
      </c>
      <c r="J68" s="133">
        <f t="shared" si="12"/>
        <v>15.12318</v>
      </c>
      <c r="K68" s="133">
        <f t="shared" si="52"/>
        <v>9.7448000000000015</v>
      </c>
      <c r="L68" s="133">
        <f t="shared" si="13"/>
        <v>7.3086000000000002</v>
      </c>
      <c r="M68" s="133">
        <f t="shared" si="14"/>
        <v>29.909040000000001</v>
      </c>
      <c r="N68" s="111">
        <f t="shared" si="15"/>
        <v>22.43178</v>
      </c>
      <c r="O68" s="110">
        <f t="shared" si="53"/>
        <v>23.312560000000001</v>
      </c>
      <c r="P68" s="133">
        <f t="shared" si="16"/>
        <v>17.484420000000004</v>
      </c>
      <c r="Q68" s="133">
        <f t="shared" si="54"/>
        <v>23.312560000000001</v>
      </c>
      <c r="R68" s="133">
        <f t="shared" si="17"/>
        <v>17.484420000000004</v>
      </c>
      <c r="S68" s="133">
        <f t="shared" si="18"/>
        <v>46.625120000000003</v>
      </c>
      <c r="T68" s="111">
        <f t="shared" si="19"/>
        <v>34.968840000000007</v>
      </c>
      <c r="U68" s="138">
        <f t="shared" si="55"/>
        <v>23.312560000000001</v>
      </c>
      <c r="V68" s="139">
        <f t="shared" si="20"/>
        <v>17.484420000000004</v>
      </c>
      <c r="W68" s="139">
        <f t="shared" si="56"/>
        <v>12.743200000000002</v>
      </c>
      <c r="X68" s="139">
        <f t="shared" si="21"/>
        <v>9.5574000000000012</v>
      </c>
      <c r="Y68" s="139">
        <f t="shared" si="22"/>
        <v>36.055760000000006</v>
      </c>
      <c r="Z68" s="113">
        <f t="shared" si="23"/>
        <v>27.041820000000005</v>
      </c>
      <c r="AA68" s="1"/>
    </row>
    <row r="69" spans="1:27">
      <c r="A69" s="83" t="s">
        <v>82</v>
      </c>
      <c r="B69" s="67">
        <v>0.57699999999999996</v>
      </c>
      <c r="C69" s="110">
        <f t="shared" si="48"/>
        <v>16.098299999999998</v>
      </c>
      <c r="D69" s="111">
        <f t="shared" si="9"/>
        <v>12.073724999999998</v>
      </c>
      <c r="E69" s="112">
        <f t="shared" si="49"/>
        <v>16.3291</v>
      </c>
      <c r="F69" s="111">
        <f t="shared" si="10"/>
        <v>12.246824999999999</v>
      </c>
      <c r="G69" s="110">
        <f t="shared" si="50"/>
        <v>17.944700000000001</v>
      </c>
      <c r="H69" s="111">
        <f t="shared" si="11"/>
        <v>13.458525</v>
      </c>
      <c r="I69" s="110">
        <f t="shared" si="51"/>
        <v>15.521299999999998</v>
      </c>
      <c r="J69" s="133">
        <f t="shared" si="12"/>
        <v>11.640974999999997</v>
      </c>
      <c r="K69" s="133">
        <f t="shared" si="52"/>
        <v>7.5009999999999994</v>
      </c>
      <c r="L69" s="133">
        <f t="shared" si="13"/>
        <v>5.62575</v>
      </c>
      <c r="M69" s="133">
        <f t="shared" si="14"/>
        <v>23.022299999999998</v>
      </c>
      <c r="N69" s="111">
        <f t="shared" si="15"/>
        <v>17.266724999999997</v>
      </c>
      <c r="O69" s="110">
        <f t="shared" si="53"/>
        <v>17.944700000000001</v>
      </c>
      <c r="P69" s="133">
        <f t="shared" si="16"/>
        <v>13.458525</v>
      </c>
      <c r="Q69" s="133">
        <f t="shared" si="54"/>
        <v>17.944700000000001</v>
      </c>
      <c r="R69" s="133">
        <f t="shared" si="17"/>
        <v>13.458525</v>
      </c>
      <c r="S69" s="133">
        <f t="shared" si="18"/>
        <v>35.889400000000002</v>
      </c>
      <c r="T69" s="111">
        <f t="shared" si="19"/>
        <v>26.91705</v>
      </c>
      <c r="U69" s="138">
        <f t="shared" si="55"/>
        <v>17.944700000000001</v>
      </c>
      <c r="V69" s="139">
        <f t="shared" si="20"/>
        <v>13.458525</v>
      </c>
      <c r="W69" s="139">
        <f t="shared" si="56"/>
        <v>9.8089999999999993</v>
      </c>
      <c r="X69" s="139">
        <f t="shared" si="21"/>
        <v>7.3567499999999999</v>
      </c>
      <c r="Y69" s="139">
        <f t="shared" si="22"/>
        <v>27.753700000000002</v>
      </c>
      <c r="Z69" s="113">
        <f t="shared" si="23"/>
        <v>20.815275</v>
      </c>
      <c r="AA69" s="1"/>
    </row>
    <row r="70" spans="1:27">
      <c r="A70" s="15" t="s">
        <v>31</v>
      </c>
      <c r="B70" s="67">
        <v>0.73</v>
      </c>
      <c r="C70" s="110">
        <f t="shared" si="48"/>
        <v>20.366999999999997</v>
      </c>
      <c r="D70" s="111">
        <f t="shared" si="9"/>
        <v>15.275249999999998</v>
      </c>
      <c r="E70" s="112">
        <f t="shared" si="49"/>
        <v>20.658999999999999</v>
      </c>
      <c r="F70" s="111">
        <f t="shared" si="10"/>
        <v>15.494250000000001</v>
      </c>
      <c r="G70" s="110">
        <f t="shared" si="50"/>
        <v>22.702999999999999</v>
      </c>
      <c r="H70" s="111">
        <f t="shared" si="11"/>
        <v>17.027250000000002</v>
      </c>
      <c r="I70" s="110">
        <f t="shared" si="51"/>
        <v>19.636999999999997</v>
      </c>
      <c r="J70" s="133">
        <f t="shared" si="12"/>
        <v>14.727749999999997</v>
      </c>
      <c r="K70" s="133">
        <f t="shared" si="52"/>
        <v>9.49</v>
      </c>
      <c r="L70" s="133">
        <f t="shared" si="13"/>
        <v>7.1174999999999997</v>
      </c>
      <c r="M70" s="133">
        <f t="shared" si="14"/>
        <v>29.126999999999995</v>
      </c>
      <c r="N70" s="111">
        <f t="shared" si="15"/>
        <v>21.845249999999997</v>
      </c>
      <c r="O70" s="110">
        <f t="shared" si="53"/>
        <v>22.702999999999999</v>
      </c>
      <c r="P70" s="133">
        <f t="shared" si="16"/>
        <v>17.027250000000002</v>
      </c>
      <c r="Q70" s="133">
        <f t="shared" si="54"/>
        <v>22.702999999999999</v>
      </c>
      <c r="R70" s="133">
        <f t="shared" si="17"/>
        <v>17.027250000000002</v>
      </c>
      <c r="S70" s="133">
        <f t="shared" si="18"/>
        <v>45.405999999999999</v>
      </c>
      <c r="T70" s="111">
        <f t="shared" si="19"/>
        <v>34.054500000000004</v>
      </c>
      <c r="U70" s="138">
        <f t="shared" si="55"/>
        <v>22.702999999999999</v>
      </c>
      <c r="V70" s="139">
        <f t="shared" si="20"/>
        <v>17.027250000000002</v>
      </c>
      <c r="W70" s="139">
        <f t="shared" si="56"/>
        <v>12.41</v>
      </c>
      <c r="X70" s="139">
        <f t="shared" si="21"/>
        <v>9.3074999999999992</v>
      </c>
      <c r="Y70" s="139">
        <f t="shared" si="22"/>
        <v>35.113</v>
      </c>
      <c r="Z70" s="113">
        <f t="shared" si="23"/>
        <v>26.33475</v>
      </c>
      <c r="AA70" s="1"/>
    </row>
    <row r="71" spans="1:27">
      <c r="A71" s="15" t="s">
        <v>83</v>
      </c>
      <c r="B71" s="67">
        <v>0.625</v>
      </c>
      <c r="C71" s="110">
        <f t="shared" si="48"/>
        <v>17.4375</v>
      </c>
      <c r="D71" s="111">
        <f t="shared" si="9"/>
        <v>13.078124999999998</v>
      </c>
      <c r="E71" s="112">
        <f t="shared" si="49"/>
        <v>17.6875</v>
      </c>
      <c r="F71" s="111">
        <f t="shared" si="10"/>
        <v>13.265625</v>
      </c>
      <c r="G71" s="110">
        <f t="shared" si="50"/>
        <v>19.4375</v>
      </c>
      <c r="H71" s="111">
        <f t="shared" si="11"/>
        <v>14.578125000000002</v>
      </c>
      <c r="I71" s="110">
        <f t="shared" si="51"/>
        <v>16.8125</v>
      </c>
      <c r="J71" s="133">
        <f t="shared" si="12"/>
        <v>12.609374999999998</v>
      </c>
      <c r="K71" s="133">
        <f t="shared" si="52"/>
        <v>8.125</v>
      </c>
      <c r="L71" s="133">
        <f t="shared" si="13"/>
        <v>6.09375</v>
      </c>
      <c r="M71" s="133">
        <f t="shared" si="14"/>
        <v>24.9375</v>
      </c>
      <c r="N71" s="111">
        <f t="shared" si="15"/>
        <v>18.703125</v>
      </c>
      <c r="O71" s="110">
        <f t="shared" si="53"/>
        <v>19.4375</v>
      </c>
      <c r="P71" s="133">
        <f t="shared" si="16"/>
        <v>14.578125000000002</v>
      </c>
      <c r="Q71" s="133">
        <f t="shared" si="54"/>
        <v>19.4375</v>
      </c>
      <c r="R71" s="133">
        <f t="shared" si="17"/>
        <v>14.578125000000002</v>
      </c>
      <c r="S71" s="133">
        <f t="shared" si="18"/>
        <v>38.875</v>
      </c>
      <c r="T71" s="111">
        <f t="shared" si="19"/>
        <v>29.156250000000004</v>
      </c>
      <c r="U71" s="138">
        <f t="shared" si="55"/>
        <v>19.4375</v>
      </c>
      <c r="V71" s="139">
        <f t="shared" si="20"/>
        <v>14.578125000000002</v>
      </c>
      <c r="W71" s="139">
        <f t="shared" si="56"/>
        <v>10.625</v>
      </c>
      <c r="X71" s="139">
        <f t="shared" si="21"/>
        <v>7.96875</v>
      </c>
      <c r="Y71" s="139">
        <f t="shared" si="22"/>
        <v>30.0625</v>
      </c>
      <c r="Z71" s="113">
        <f t="shared" si="23"/>
        <v>22.546875</v>
      </c>
      <c r="AA71" s="1"/>
    </row>
    <row r="72" spans="1:27">
      <c r="A72" s="15" t="s">
        <v>84</v>
      </c>
      <c r="B72" s="67">
        <v>0.78700000000000003</v>
      </c>
      <c r="C72" s="110">
        <f t="shared" si="48"/>
        <v>21.9573</v>
      </c>
      <c r="D72" s="111">
        <f t="shared" si="9"/>
        <v>16.467974999999999</v>
      </c>
      <c r="E72" s="112">
        <f t="shared" si="49"/>
        <v>22.272100000000002</v>
      </c>
      <c r="F72" s="111">
        <f t="shared" si="10"/>
        <v>16.704075000000003</v>
      </c>
      <c r="G72" s="110">
        <f t="shared" si="50"/>
        <v>24.475700000000003</v>
      </c>
      <c r="H72" s="111">
        <f t="shared" si="11"/>
        <v>18.356775000000003</v>
      </c>
      <c r="I72" s="110">
        <f t="shared" si="51"/>
        <v>21.170300000000001</v>
      </c>
      <c r="J72" s="133">
        <f t="shared" si="12"/>
        <v>15.877724999999998</v>
      </c>
      <c r="K72" s="133">
        <f t="shared" si="52"/>
        <v>10.231</v>
      </c>
      <c r="L72" s="133">
        <f t="shared" si="13"/>
        <v>7.6732500000000003</v>
      </c>
      <c r="M72" s="133">
        <f t="shared" si="14"/>
        <v>31.401299999999999</v>
      </c>
      <c r="N72" s="111">
        <f t="shared" si="15"/>
        <v>23.550974999999998</v>
      </c>
      <c r="O72" s="110">
        <f t="shared" si="53"/>
        <v>24.475700000000003</v>
      </c>
      <c r="P72" s="133">
        <f t="shared" si="16"/>
        <v>18.356775000000003</v>
      </c>
      <c r="Q72" s="133">
        <f t="shared" si="54"/>
        <v>24.475700000000003</v>
      </c>
      <c r="R72" s="133">
        <f t="shared" si="17"/>
        <v>18.356775000000003</v>
      </c>
      <c r="S72" s="133">
        <f t="shared" si="18"/>
        <v>48.951400000000007</v>
      </c>
      <c r="T72" s="111">
        <f t="shared" si="19"/>
        <v>36.713550000000005</v>
      </c>
      <c r="U72" s="138">
        <f t="shared" si="55"/>
        <v>24.475700000000003</v>
      </c>
      <c r="V72" s="139">
        <f t="shared" si="20"/>
        <v>18.356775000000003</v>
      </c>
      <c r="W72" s="139">
        <f t="shared" si="56"/>
        <v>13.379000000000001</v>
      </c>
      <c r="X72" s="139">
        <f t="shared" si="21"/>
        <v>10.03425</v>
      </c>
      <c r="Y72" s="139">
        <f t="shared" si="22"/>
        <v>37.854700000000008</v>
      </c>
      <c r="Z72" s="113">
        <f t="shared" si="23"/>
        <v>28.391025000000003</v>
      </c>
      <c r="AA72" s="1"/>
    </row>
    <row r="73" spans="1:27">
      <c r="A73" s="15" t="s">
        <v>98</v>
      </c>
      <c r="B73" s="67">
        <v>0.57099999999999995</v>
      </c>
      <c r="C73" s="110">
        <f t="shared" ref="C73:C83" si="57">B73*$C$7</f>
        <v>15.930899999999998</v>
      </c>
      <c r="D73" s="111">
        <f t="shared" si="9"/>
        <v>11.948174999999997</v>
      </c>
      <c r="E73" s="112">
        <f t="shared" ref="E73:E83" si="58">B73*$E$7</f>
        <v>16.159299999999998</v>
      </c>
      <c r="F73" s="111">
        <f t="shared" si="10"/>
        <v>12.119475</v>
      </c>
      <c r="G73" s="110">
        <f t="shared" ref="G73:G83" si="59">B73*$G$7</f>
        <v>17.758099999999999</v>
      </c>
      <c r="H73" s="111">
        <f t="shared" si="11"/>
        <v>13.318575000000001</v>
      </c>
      <c r="I73" s="110">
        <f t="shared" ref="I73:I83" si="60">B73*$I$7</f>
        <v>15.359899999999998</v>
      </c>
      <c r="J73" s="133">
        <f t="shared" si="12"/>
        <v>11.519924999999997</v>
      </c>
      <c r="K73" s="133">
        <f t="shared" ref="K73:K83" si="61">B73*$K$7</f>
        <v>7.4229999999999992</v>
      </c>
      <c r="L73" s="133">
        <f t="shared" si="13"/>
        <v>5.5672499999999996</v>
      </c>
      <c r="M73" s="133">
        <f t="shared" si="14"/>
        <v>22.782899999999998</v>
      </c>
      <c r="N73" s="111">
        <f t="shared" si="15"/>
        <v>17.087174999999995</v>
      </c>
      <c r="O73" s="110">
        <f t="shared" ref="O73:O83" si="62">B73*$O$7</f>
        <v>17.758099999999999</v>
      </c>
      <c r="P73" s="133">
        <f t="shared" si="16"/>
        <v>13.318575000000001</v>
      </c>
      <c r="Q73" s="133">
        <f t="shared" ref="Q73:Q83" si="63">B73*$Q$7</f>
        <v>17.758099999999999</v>
      </c>
      <c r="R73" s="133">
        <f t="shared" si="17"/>
        <v>13.318575000000001</v>
      </c>
      <c r="S73" s="133">
        <f t="shared" si="18"/>
        <v>35.516199999999998</v>
      </c>
      <c r="T73" s="111">
        <f t="shared" si="19"/>
        <v>26.637150000000002</v>
      </c>
      <c r="U73" s="138">
        <f t="shared" ref="U73:U83" si="64">B73*$U$7</f>
        <v>17.758099999999999</v>
      </c>
      <c r="V73" s="139">
        <f t="shared" si="20"/>
        <v>13.318575000000001</v>
      </c>
      <c r="W73" s="139">
        <f t="shared" ref="W73:W83" si="65">B73*$W$7</f>
        <v>9.706999999999999</v>
      </c>
      <c r="X73" s="139">
        <f t="shared" si="21"/>
        <v>7.2802499999999997</v>
      </c>
      <c r="Y73" s="139">
        <f t="shared" si="22"/>
        <v>27.4651</v>
      </c>
      <c r="Z73" s="113">
        <f t="shared" si="23"/>
        <v>20.598825000000001</v>
      </c>
      <c r="AA73" s="1"/>
    </row>
    <row r="74" spans="1:27">
      <c r="A74" s="83" t="s">
        <v>117</v>
      </c>
      <c r="B74" s="67">
        <v>1.1499999999999999</v>
      </c>
      <c r="C74" s="110">
        <f t="shared" si="57"/>
        <v>32.084999999999994</v>
      </c>
      <c r="D74" s="111">
        <f t="shared" ref="D74:D83" si="66">B74*$D$7</f>
        <v>24.063749999999995</v>
      </c>
      <c r="E74" s="112">
        <f t="shared" si="58"/>
        <v>32.545000000000002</v>
      </c>
      <c r="F74" s="111">
        <f t="shared" ref="F74:F83" si="67">B74*$F$7</f>
        <v>24.408750000000001</v>
      </c>
      <c r="G74" s="110">
        <f t="shared" si="59"/>
        <v>35.765000000000001</v>
      </c>
      <c r="H74" s="111">
        <f t="shared" ref="H74:H83" si="68">B74*$H$7</f>
        <v>26.82375</v>
      </c>
      <c r="I74" s="110">
        <f t="shared" si="60"/>
        <v>30.934999999999995</v>
      </c>
      <c r="J74" s="133">
        <f t="shared" ref="J74:J83" si="69">B74*$J$7</f>
        <v>23.201249999999995</v>
      </c>
      <c r="K74" s="133">
        <f t="shared" si="61"/>
        <v>14.95</v>
      </c>
      <c r="L74" s="133">
        <f t="shared" ref="L74:L83" si="70">B74*$L$7</f>
        <v>11.212499999999999</v>
      </c>
      <c r="M74" s="133">
        <f t="shared" ref="M74:M83" si="71">I74+K74</f>
        <v>45.884999999999991</v>
      </c>
      <c r="N74" s="111">
        <f t="shared" ref="N74:N83" si="72">J74+L74</f>
        <v>34.413749999999993</v>
      </c>
      <c r="O74" s="110">
        <f t="shared" si="62"/>
        <v>35.765000000000001</v>
      </c>
      <c r="P74" s="133">
        <f t="shared" ref="P74:P83" si="73">B74*$P$7</f>
        <v>26.82375</v>
      </c>
      <c r="Q74" s="133">
        <f t="shared" si="63"/>
        <v>35.765000000000001</v>
      </c>
      <c r="R74" s="133">
        <f t="shared" ref="R74:R83" si="74">B74*$R$7</f>
        <v>26.82375</v>
      </c>
      <c r="S74" s="133">
        <f t="shared" ref="S74:S83" si="75">O74+Q74</f>
        <v>71.53</v>
      </c>
      <c r="T74" s="111">
        <f t="shared" ref="T74:T83" si="76">P74+R74</f>
        <v>53.647500000000001</v>
      </c>
      <c r="U74" s="138">
        <f t="shared" si="64"/>
        <v>35.765000000000001</v>
      </c>
      <c r="V74" s="139">
        <f t="shared" ref="V74:V83" si="77">B74*$V$7</f>
        <v>26.82375</v>
      </c>
      <c r="W74" s="139">
        <f t="shared" si="65"/>
        <v>19.549999999999997</v>
      </c>
      <c r="X74" s="139">
        <f t="shared" ref="X74:X83" si="78">B74*$X$7</f>
        <v>14.6625</v>
      </c>
      <c r="Y74" s="139">
        <f t="shared" ref="Y74:Y83" si="79">U74+W74</f>
        <v>55.314999999999998</v>
      </c>
      <c r="Z74" s="113">
        <f t="shared" ref="Z74:Z83" si="80">V74+X74</f>
        <v>41.486249999999998</v>
      </c>
      <c r="AA74" s="1"/>
    </row>
    <row r="75" spans="1:27">
      <c r="A75" s="83" t="s">
        <v>85</v>
      </c>
      <c r="B75" s="67">
        <v>1.17</v>
      </c>
      <c r="C75" s="110">
        <f t="shared" si="57"/>
        <v>32.642999999999994</v>
      </c>
      <c r="D75" s="111">
        <f t="shared" si="66"/>
        <v>24.482249999999997</v>
      </c>
      <c r="E75" s="112">
        <f t="shared" si="58"/>
        <v>33.110999999999997</v>
      </c>
      <c r="F75" s="111">
        <f t="shared" si="67"/>
        <v>24.83325</v>
      </c>
      <c r="G75" s="110">
        <f t="shared" si="59"/>
        <v>36.387</v>
      </c>
      <c r="H75" s="111">
        <f t="shared" si="68"/>
        <v>27.29025</v>
      </c>
      <c r="I75" s="110">
        <f t="shared" si="60"/>
        <v>31.472999999999995</v>
      </c>
      <c r="J75" s="133">
        <f t="shared" si="69"/>
        <v>23.604749999999996</v>
      </c>
      <c r="K75" s="133">
        <f t="shared" si="61"/>
        <v>15.209999999999999</v>
      </c>
      <c r="L75" s="133">
        <f t="shared" si="70"/>
        <v>11.407499999999999</v>
      </c>
      <c r="M75" s="133">
        <f t="shared" si="71"/>
        <v>46.682999999999993</v>
      </c>
      <c r="N75" s="111">
        <f t="shared" si="72"/>
        <v>35.012249999999995</v>
      </c>
      <c r="O75" s="110">
        <f t="shared" si="62"/>
        <v>36.387</v>
      </c>
      <c r="P75" s="133">
        <f t="shared" si="73"/>
        <v>27.29025</v>
      </c>
      <c r="Q75" s="133">
        <f t="shared" si="63"/>
        <v>36.387</v>
      </c>
      <c r="R75" s="133">
        <f t="shared" si="74"/>
        <v>27.29025</v>
      </c>
      <c r="S75" s="133">
        <f t="shared" si="75"/>
        <v>72.774000000000001</v>
      </c>
      <c r="T75" s="111">
        <f t="shared" si="76"/>
        <v>54.580500000000001</v>
      </c>
      <c r="U75" s="138">
        <f t="shared" si="64"/>
        <v>36.387</v>
      </c>
      <c r="V75" s="139">
        <f t="shared" si="77"/>
        <v>27.29025</v>
      </c>
      <c r="W75" s="139">
        <f t="shared" si="65"/>
        <v>19.89</v>
      </c>
      <c r="X75" s="139">
        <f t="shared" si="78"/>
        <v>14.917499999999999</v>
      </c>
      <c r="Y75" s="139">
        <f t="shared" si="79"/>
        <v>56.277000000000001</v>
      </c>
      <c r="Z75" s="113">
        <f t="shared" si="80"/>
        <v>42.207749999999997</v>
      </c>
      <c r="AA75" s="1"/>
    </row>
    <row r="76" spans="1:27">
      <c r="A76" s="83" t="s">
        <v>99</v>
      </c>
      <c r="B76" s="67">
        <v>1.1904999999999999</v>
      </c>
      <c r="C76" s="110">
        <f t="shared" si="57"/>
        <v>33.214949999999995</v>
      </c>
      <c r="D76" s="111">
        <f t="shared" si="66"/>
        <v>24.911212499999994</v>
      </c>
      <c r="E76" s="112">
        <f t="shared" si="58"/>
        <v>33.69115</v>
      </c>
      <c r="F76" s="111">
        <f t="shared" si="67"/>
        <v>25.268362499999999</v>
      </c>
      <c r="G76" s="110">
        <f t="shared" si="59"/>
        <v>37.024549999999998</v>
      </c>
      <c r="H76" s="111">
        <f t="shared" si="68"/>
        <v>27.7684125</v>
      </c>
      <c r="I76" s="110">
        <f t="shared" si="60"/>
        <v>32.024449999999995</v>
      </c>
      <c r="J76" s="133">
        <f t="shared" si="69"/>
        <v>24.018337499999994</v>
      </c>
      <c r="K76" s="133">
        <f t="shared" si="61"/>
        <v>15.476499999999998</v>
      </c>
      <c r="L76" s="133">
        <f t="shared" si="70"/>
        <v>11.607374999999999</v>
      </c>
      <c r="M76" s="133">
        <f t="shared" si="71"/>
        <v>47.500949999999989</v>
      </c>
      <c r="N76" s="111">
        <f t="shared" si="72"/>
        <v>35.625712499999992</v>
      </c>
      <c r="O76" s="110">
        <f t="shared" si="62"/>
        <v>37.024549999999998</v>
      </c>
      <c r="P76" s="133">
        <f t="shared" si="73"/>
        <v>27.7684125</v>
      </c>
      <c r="Q76" s="133">
        <f t="shared" si="63"/>
        <v>37.024549999999998</v>
      </c>
      <c r="R76" s="133">
        <f t="shared" si="74"/>
        <v>27.7684125</v>
      </c>
      <c r="S76" s="133">
        <f t="shared" si="75"/>
        <v>74.049099999999996</v>
      </c>
      <c r="T76" s="111">
        <f t="shared" si="76"/>
        <v>55.536825</v>
      </c>
      <c r="U76" s="138">
        <f t="shared" si="64"/>
        <v>37.024549999999998</v>
      </c>
      <c r="V76" s="139">
        <f t="shared" si="77"/>
        <v>27.7684125</v>
      </c>
      <c r="W76" s="139">
        <f t="shared" si="65"/>
        <v>20.238499999999998</v>
      </c>
      <c r="X76" s="139">
        <f t="shared" si="78"/>
        <v>15.178874999999998</v>
      </c>
      <c r="Y76" s="139">
        <f t="shared" si="79"/>
        <v>57.263049999999993</v>
      </c>
      <c r="Z76" s="113">
        <f t="shared" si="80"/>
        <v>42.947287500000002</v>
      </c>
      <c r="AA76" s="1"/>
    </row>
    <row r="77" spans="1:27">
      <c r="A77" s="83" t="s">
        <v>100</v>
      </c>
      <c r="B77" s="67">
        <v>1.2</v>
      </c>
      <c r="C77" s="110">
        <f t="shared" si="57"/>
        <v>33.479999999999997</v>
      </c>
      <c r="D77" s="111">
        <f t="shared" si="66"/>
        <v>25.109999999999996</v>
      </c>
      <c r="E77" s="112">
        <f t="shared" si="58"/>
        <v>33.96</v>
      </c>
      <c r="F77" s="111">
        <f t="shared" si="67"/>
        <v>25.470000000000002</v>
      </c>
      <c r="G77" s="110">
        <f t="shared" si="59"/>
        <v>37.32</v>
      </c>
      <c r="H77" s="111">
        <f t="shared" si="68"/>
        <v>27.990000000000002</v>
      </c>
      <c r="I77" s="110">
        <f t="shared" si="60"/>
        <v>32.279999999999994</v>
      </c>
      <c r="J77" s="133">
        <f t="shared" si="69"/>
        <v>24.209999999999997</v>
      </c>
      <c r="K77" s="133">
        <f t="shared" si="61"/>
        <v>15.6</v>
      </c>
      <c r="L77" s="133">
        <f t="shared" si="70"/>
        <v>11.7</v>
      </c>
      <c r="M77" s="133">
        <f t="shared" si="71"/>
        <v>47.879999999999995</v>
      </c>
      <c r="N77" s="111">
        <f t="shared" si="72"/>
        <v>35.909999999999997</v>
      </c>
      <c r="O77" s="110">
        <f t="shared" si="62"/>
        <v>37.32</v>
      </c>
      <c r="P77" s="133">
        <f t="shared" si="73"/>
        <v>27.990000000000002</v>
      </c>
      <c r="Q77" s="133">
        <f t="shared" si="63"/>
        <v>37.32</v>
      </c>
      <c r="R77" s="133">
        <f t="shared" si="74"/>
        <v>27.990000000000002</v>
      </c>
      <c r="S77" s="133">
        <f t="shared" si="75"/>
        <v>74.64</v>
      </c>
      <c r="T77" s="111">
        <f>P77+R77</f>
        <v>55.980000000000004</v>
      </c>
      <c r="U77" s="138">
        <f t="shared" si="64"/>
        <v>37.32</v>
      </c>
      <c r="V77" s="139">
        <f t="shared" si="77"/>
        <v>27.990000000000002</v>
      </c>
      <c r="W77" s="139">
        <f t="shared" si="65"/>
        <v>20.399999999999999</v>
      </c>
      <c r="X77" s="139">
        <f t="shared" si="78"/>
        <v>15.299999999999999</v>
      </c>
      <c r="Y77" s="139">
        <f t="shared" si="79"/>
        <v>57.72</v>
      </c>
      <c r="Z77" s="113">
        <f t="shared" si="80"/>
        <v>43.29</v>
      </c>
      <c r="AA77" s="1"/>
    </row>
    <row r="78" spans="1:27">
      <c r="A78" s="83" t="s">
        <v>86</v>
      </c>
      <c r="B78" s="67">
        <v>1.22</v>
      </c>
      <c r="C78" s="110">
        <f t="shared" si="57"/>
        <v>34.037999999999997</v>
      </c>
      <c r="D78" s="111">
        <f t="shared" si="66"/>
        <v>25.528499999999998</v>
      </c>
      <c r="E78" s="112">
        <f t="shared" si="58"/>
        <v>34.526000000000003</v>
      </c>
      <c r="F78" s="111">
        <f t="shared" si="67"/>
        <v>25.894500000000001</v>
      </c>
      <c r="G78" s="110">
        <f t="shared" si="59"/>
        <v>37.942</v>
      </c>
      <c r="H78" s="111">
        <f t="shared" si="68"/>
        <v>28.456500000000002</v>
      </c>
      <c r="I78" s="110">
        <f t="shared" si="60"/>
        <v>32.817999999999998</v>
      </c>
      <c r="J78" s="133">
        <f t="shared" si="69"/>
        <v>24.613499999999995</v>
      </c>
      <c r="K78" s="133">
        <f t="shared" si="61"/>
        <v>15.86</v>
      </c>
      <c r="L78" s="133">
        <f t="shared" si="70"/>
        <v>11.895</v>
      </c>
      <c r="M78" s="133">
        <f t="shared" si="71"/>
        <v>48.677999999999997</v>
      </c>
      <c r="N78" s="111">
        <f t="shared" si="72"/>
        <v>36.508499999999998</v>
      </c>
      <c r="O78" s="110">
        <f t="shared" si="62"/>
        <v>37.942</v>
      </c>
      <c r="P78" s="133">
        <f t="shared" si="73"/>
        <v>28.456500000000002</v>
      </c>
      <c r="Q78" s="133">
        <f t="shared" si="63"/>
        <v>37.942</v>
      </c>
      <c r="R78" s="133">
        <f t="shared" si="74"/>
        <v>28.456500000000002</v>
      </c>
      <c r="S78" s="133">
        <f t="shared" si="75"/>
        <v>75.884</v>
      </c>
      <c r="T78" s="111">
        <f t="shared" si="76"/>
        <v>56.913000000000004</v>
      </c>
      <c r="U78" s="138">
        <f t="shared" si="64"/>
        <v>37.942</v>
      </c>
      <c r="V78" s="139">
        <f t="shared" si="77"/>
        <v>28.456500000000002</v>
      </c>
      <c r="W78" s="139">
        <f t="shared" si="65"/>
        <v>20.74</v>
      </c>
      <c r="X78" s="139">
        <f t="shared" si="78"/>
        <v>15.555</v>
      </c>
      <c r="Y78" s="139">
        <f t="shared" si="79"/>
        <v>58.682000000000002</v>
      </c>
      <c r="Z78" s="113">
        <f t="shared" si="80"/>
        <v>44.011499999999998</v>
      </c>
      <c r="AA78" s="1"/>
    </row>
    <row r="79" spans="1:27">
      <c r="A79" s="15" t="s">
        <v>23</v>
      </c>
      <c r="B79" s="67">
        <v>0.71050000000000002</v>
      </c>
      <c r="C79" s="110">
        <f t="shared" si="57"/>
        <v>19.822949999999999</v>
      </c>
      <c r="D79" s="111">
        <f t="shared" si="66"/>
        <v>14.867212499999999</v>
      </c>
      <c r="E79" s="112">
        <f t="shared" si="58"/>
        <v>20.107150000000001</v>
      </c>
      <c r="F79" s="111">
        <f t="shared" si="67"/>
        <v>15.080362500000001</v>
      </c>
      <c r="G79" s="110">
        <f t="shared" si="59"/>
        <v>22.096550000000001</v>
      </c>
      <c r="H79" s="111">
        <f t="shared" si="68"/>
        <v>16.572412500000002</v>
      </c>
      <c r="I79" s="110">
        <f t="shared" si="60"/>
        <v>19.112449999999999</v>
      </c>
      <c r="J79" s="133">
        <f t="shared" si="69"/>
        <v>14.334337499999998</v>
      </c>
      <c r="K79" s="133">
        <f t="shared" si="61"/>
        <v>9.2364999999999995</v>
      </c>
      <c r="L79" s="133">
        <f t="shared" si="70"/>
        <v>6.9273750000000005</v>
      </c>
      <c r="M79" s="133">
        <f t="shared" si="71"/>
        <v>28.348949999999999</v>
      </c>
      <c r="N79" s="111">
        <f t="shared" si="72"/>
        <v>21.261712499999998</v>
      </c>
      <c r="O79" s="110">
        <f t="shared" si="62"/>
        <v>22.096550000000001</v>
      </c>
      <c r="P79" s="133">
        <f t="shared" si="73"/>
        <v>16.572412500000002</v>
      </c>
      <c r="Q79" s="133">
        <f t="shared" si="63"/>
        <v>22.096550000000001</v>
      </c>
      <c r="R79" s="133">
        <f t="shared" si="74"/>
        <v>16.572412500000002</v>
      </c>
      <c r="S79" s="133">
        <f t="shared" si="75"/>
        <v>44.193100000000001</v>
      </c>
      <c r="T79" s="111">
        <f t="shared" si="76"/>
        <v>33.144825000000004</v>
      </c>
      <c r="U79" s="138">
        <f t="shared" si="64"/>
        <v>22.096550000000001</v>
      </c>
      <c r="V79" s="139">
        <f t="shared" si="77"/>
        <v>16.572412500000002</v>
      </c>
      <c r="W79" s="139">
        <f t="shared" si="65"/>
        <v>12.0785</v>
      </c>
      <c r="X79" s="139">
        <f t="shared" si="78"/>
        <v>9.0588750000000005</v>
      </c>
      <c r="Y79" s="139">
        <f t="shared" si="79"/>
        <v>34.175049999999999</v>
      </c>
      <c r="Z79" s="113">
        <f t="shared" si="80"/>
        <v>25.631287500000003</v>
      </c>
      <c r="AA79" s="1"/>
    </row>
    <row r="80" spans="1:27">
      <c r="A80" s="15" t="s">
        <v>87</v>
      </c>
      <c r="B80" s="67">
        <v>1.1659999999999999</v>
      </c>
      <c r="C80" s="110">
        <f t="shared" si="57"/>
        <v>32.531399999999998</v>
      </c>
      <c r="D80" s="111">
        <f t="shared" si="66"/>
        <v>24.398549999999997</v>
      </c>
      <c r="E80" s="112">
        <f t="shared" si="58"/>
        <v>32.997799999999998</v>
      </c>
      <c r="F80" s="111">
        <f t="shared" si="67"/>
        <v>24.748349999999999</v>
      </c>
      <c r="G80" s="110">
        <f t="shared" si="59"/>
        <v>36.262599999999999</v>
      </c>
      <c r="H80" s="111">
        <f t="shared" si="68"/>
        <v>27.196950000000001</v>
      </c>
      <c r="I80" s="110">
        <f t="shared" si="60"/>
        <v>31.365399999999998</v>
      </c>
      <c r="J80" s="133">
        <f t="shared" si="69"/>
        <v>23.524049999999995</v>
      </c>
      <c r="K80" s="133">
        <f t="shared" si="61"/>
        <v>15.157999999999999</v>
      </c>
      <c r="L80" s="133">
        <f t="shared" si="70"/>
        <v>11.368499999999999</v>
      </c>
      <c r="M80" s="133">
        <f t="shared" si="71"/>
        <v>46.523399999999995</v>
      </c>
      <c r="N80" s="111">
        <f t="shared" si="72"/>
        <v>34.892549999999993</v>
      </c>
      <c r="O80" s="110">
        <f t="shared" si="62"/>
        <v>36.262599999999999</v>
      </c>
      <c r="P80" s="133">
        <f t="shared" si="73"/>
        <v>27.196950000000001</v>
      </c>
      <c r="Q80" s="133">
        <f t="shared" si="63"/>
        <v>36.262599999999999</v>
      </c>
      <c r="R80" s="133">
        <f t="shared" si="74"/>
        <v>27.196950000000001</v>
      </c>
      <c r="S80" s="133">
        <f t="shared" si="75"/>
        <v>72.525199999999998</v>
      </c>
      <c r="T80" s="111">
        <f t="shared" si="76"/>
        <v>54.393900000000002</v>
      </c>
      <c r="U80" s="138">
        <f t="shared" si="64"/>
        <v>36.262599999999999</v>
      </c>
      <c r="V80" s="139">
        <f t="shared" si="77"/>
        <v>27.196950000000001</v>
      </c>
      <c r="W80" s="139">
        <f t="shared" si="65"/>
        <v>19.821999999999999</v>
      </c>
      <c r="X80" s="139">
        <f t="shared" si="78"/>
        <v>14.866499999999998</v>
      </c>
      <c r="Y80" s="139">
        <f t="shared" si="79"/>
        <v>56.084599999999995</v>
      </c>
      <c r="Z80" s="113">
        <f t="shared" si="80"/>
        <v>42.063450000000003</v>
      </c>
      <c r="AA80" s="1"/>
    </row>
    <row r="81" spans="1:27">
      <c r="A81" s="14" t="s">
        <v>24</v>
      </c>
      <c r="B81" s="67">
        <v>1.254</v>
      </c>
      <c r="C81" s="110">
        <f t="shared" si="57"/>
        <v>34.986599999999996</v>
      </c>
      <c r="D81" s="111">
        <f t="shared" si="66"/>
        <v>26.239949999999997</v>
      </c>
      <c r="E81" s="112">
        <f t="shared" si="58"/>
        <v>35.488199999999999</v>
      </c>
      <c r="F81" s="111">
        <f t="shared" si="67"/>
        <v>26.616150000000001</v>
      </c>
      <c r="G81" s="110">
        <f t="shared" si="59"/>
        <v>38.999400000000001</v>
      </c>
      <c r="H81" s="111">
        <f t="shared" si="68"/>
        <v>29.249550000000003</v>
      </c>
      <c r="I81" s="110">
        <f t="shared" si="60"/>
        <v>33.732599999999998</v>
      </c>
      <c r="J81" s="133">
        <f t="shared" si="69"/>
        <v>25.299449999999997</v>
      </c>
      <c r="K81" s="133">
        <f t="shared" si="61"/>
        <v>16.302</v>
      </c>
      <c r="L81" s="133">
        <f t="shared" si="70"/>
        <v>12.2265</v>
      </c>
      <c r="M81" s="133">
        <f t="shared" si="71"/>
        <v>50.034599999999998</v>
      </c>
      <c r="N81" s="111">
        <f t="shared" si="72"/>
        <v>37.525949999999995</v>
      </c>
      <c r="O81" s="110">
        <f t="shared" si="62"/>
        <v>38.999400000000001</v>
      </c>
      <c r="P81" s="133">
        <f t="shared" si="73"/>
        <v>29.249550000000003</v>
      </c>
      <c r="Q81" s="133">
        <f t="shared" si="63"/>
        <v>38.999400000000001</v>
      </c>
      <c r="R81" s="133">
        <f t="shared" si="74"/>
        <v>29.249550000000003</v>
      </c>
      <c r="S81" s="133">
        <f t="shared" si="75"/>
        <v>77.998800000000003</v>
      </c>
      <c r="T81" s="111">
        <f t="shared" si="76"/>
        <v>58.499100000000006</v>
      </c>
      <c r="U81" s="138">
        <f t="shared" si="64"/>
        <v>38.999400000000001</v>
      </c>
      <c r="V81" s="139">
        <f t="shared" si="77"/>
        <v>29.249550000000003</v>
      </c>
      <c r="W81" s="139">
        <f t="shared" si="65"/>
        <v>21.318000000000001</v>
      </c>
      <c r="X81" s="139">
        <f t="shared" si="78"/>
        <v>15.9885</v>
      </c>
      <c r="Y81" s="139">
        <f t="shared" si="79"/>
        <v>60.317400000000006</v>
      </c>
      <c r="Z81" s="113">
        <f t="shared" si="80"/>
        <v>45.238050000000001</v>
      </c>
      <c r="AA81" s="1"/>
    </row>
    <row r="82" spans="1:27">
      <c r="A82" s="14" t="s">
        <v>88</v>
      </c>
      <c r="B82" s="67">
        <v>1.37</v>
      </c>
      <c r="C82" s="110">
        <f t="shared" si="57"/>
        <v>38.222999999999999</v>
      </c>
      <c r="D82" s="111">
        <f t="shared" si="66"/>
        <v>28.667249999999999</v>
      </c>
      <c r="E82" s="112">
        <f t="shared" si="58"/>
        <v>38.771000000000001</v>
      </c>
      <c r="F82" s="111">
        <f t="shared" si="67"/>
        <v>29.078250000000004</v>
      </c>
      <c r="G82" s="110">
        <f t="shared" si="59"/>
        <v>42.607000000000006</v>
      </c>
      <c r="H82" s="111">
        <f t="shared" si="68"/>
        <v>31.955250000000007</v>
      </c>
      <c r="I82" s="110">
        <f t="shared" si="60"/>
        <v>36.853000000000002</v>
      </c>
      <c r="J82" s="133">
        <f t="shared" si="69"/>
        <v>27.639749999999999</v>
      </c>
      <c r="K82" s="133">
        <f t="shared" si="61"/>
        <v>17.810000000000002</v>
      </c>
      <c r="L82" s="133">
        <f t="shared" si="70"/>
        <v>13.357500000000002</v>
      </c>
      <c r="M82" s="133">
        <f t="shared" si="71"/>
        <v>54.663000000000004</v>
      </c>
      <c r="N82" s="111">
        <f>J82+L82</f>
        <v>40.997250000000001</v>
      </c>
      <c r="O82" s="110">
        <f t="shared" si="62"/>
        <v>42.607000000000006</v>
      </c>
      <c r="P82" s="133">
        <f t="shared" si="73"/>
        <v>31.955250000000007</v>
      </c>
      <c r="Q82" s="133">
        <f t="shared" si="63"/>
        <v>42.607000000000006</v>
      </c>
      <c r="R82" s="133">
        <f t="shared" si="74"/>
        <v>31.955250000000007</v>
      </c>
      <c r="S82" s="133">
        <f t="shared" si="75"/>
        <v>85.214000000000013</v>
      </c>
      <c r="T82" s="111">
        <f t="shared" si="76"/>
        <v>63.910500000000013</v>
      </c>
      <c r="U82" s="138">
        <f t="shared" si="64"/>
        <v>42.607000000000006</v>
      </c>
      <c r="V82" s="139">
        <f t="shared" si="77"/>
        <v>31.955250000000007</v>
      </c>
      <c r="W82" s="139">
        <f t="shared" si="65"/>
        <v>23.290000000000003</v>
      </c>
      <c r="X82" s="139">
        <f t="shared" si="78"/>
        <v>17.467500000000001</v>
      </c>
      <c r="Y82" s="139">
        <f t="shared" si="79"/>
        <v>65.897000000000006</v>
      </c>
      <c r="Z82" s="113">
        <f t="shared" si="80"/>
        <v>49.422750000000008</v>
      </c>
      <c r="AA82" s="1"/>
    </row>
    <row r="83" spans="1:27" ht="15.75" thickBot="1">
      <c r="A83" s="14" t="s">
        <v>25</v>
      </c>
      <c r="B83" s="67">
        <v>1.35</v>
      </c>
      <c r="C83" s="114">
        <f t="shared" si="57"/>
        <v>37.664999999999999</v>
      </c>
      <c r="D83" s="115">
        <f t="shared" si="66"/>
        <v>28.248749999999998</v>
      </c>
      <c r="E83" s="116">
        <f t="shared" si="58"/>
        <v>38.205000000000005</v>
      </c>
      <c r="F83" s="115">
        <f t="shared" si="67"/>
        <v>28.653750000000002</v>
      </c>
      <c r="G83" s="114">
        <f t="shared" si="59"/>
        <v>41.985000000000007</v>
      </c>
      <c r="H83" s="115">
        <f t="shared" si="68"/>
        <v>31.488750000000007</v>
      </c>
      <c r="I83" s="114">
        <f t="shared" si="60"/>
        <v>36.314999999999998</v>
      </c>
      <c r="J83" s="134">
        <f t="shared" si="69"/>
        <v>27.236249999999998</v>
      </c>
      <c r="K83" s="134">
        <f t="shared" si="61"/>
        <v>17.55</v>
      </c>
      <c r="L83" s="134">
        <f t="shared" si="70"/>
        <v>13.162500000000001</v>
      </c>
      <c r="M83" s="134">
        <f t="shared" si="71"/>
        <v>53.864999999999995</v>
      </c>
      <c r="N83" s="115">
        <f t="shared" si="72"/>
        <v>40.39875</v>
      </c>
      <c r="O83" s="114">
        <f t="shared" si="62"/>
        <v>41.985000000000007</v>
      </c>
      <c r="P83" s="134">
        <f t="shared" si="73"/>
        <v>31.488750000000007</v>
      </c>
      <c r="Q83" s="134">
        <f t="shared" si="63"/>
        <v>41.985000000000007</v>
      </c>
      <c r="R83" s="134">
        <f t="shared" si="74"/>
        <v>31.488750000000007</v>
      </c>
      <c r="S83" s="134">
        <f t="shared" si="75"/>
        <v>83.970000000000013</v>
      </c>
      <c r="T83" s="115">
        <f t="shared" si="76"/>
        <v>62.977500000000013</v>
      </c>
      <c r="U83" s="140">
        <f t="shared" si="64"/>
        <v>41.985000000000007</v>
      </c>
      <c r="V83" s="141">
        <f t="shared" si="77"/>
        <v>31.488750000000007</v>
      </c>
      <c r="W83" s="141">
        <f t="shared" si="65"/>
        <v>22.950000000000003</v>
      </c>
      <c r="X83" s="141">
        <f t="shared" si="78"/>
        <v>17.212500000000002</v>
      </c>
      <c r="Y83" s="141">
        <f t="shared" si="79"/>
        <v>64.935000000000002</v>
      </c>
      <c r="Z83" s="117">
        <f t="shared" si="80"/>
        <v>48.701250000000009</v>
      </c>
      <c r="AA83" s="1"/>
    </row>
    <row r="84" spans="1:27" ht="15.75" thickBot="1">
      <c r="A84" s="14" t="s">
        <v>26</v>
      </c>
      <c r="B84" s="67">
        <v>1.34</v>
      </c>
      <c r="C84" s="114">
        <f t="shared" ref="C84:C92" si="81">B84*$C$7</f>
        <v>37.386000000000003</v>
      </c>
      <c r="D84" s="115">
        <f t="shared" ref="D84:D92" si="82">B84*$D$7</f>
        <v>28.039499999999997</v>
      </c>
      <c r="E84" s="116">
        <f t="shared" ref="E84:E92" si="83">B84*$E$7</f>
        <v>37.922000000000004</v>
      </c>
      <c r="F84" s="115">
        <f t="shared" ref="F84:F92" si="84">B84*$F$7</f>
        <v>28.441500000000005</v>
      </c>
      <c r="G84" s="114">
        <f t="shared" ref="G84:G92" si="85">B84*$G$7</f>
        <v>41.674000000000007</v>
      </c>
      <c r="H84" s="115">
        <f t="shared" ref="H84:H92" si="86">B84*$H$7</f>
        <v>31.255500000000005</v>
      </c>
      <c r="I84" s="114">
        <f t="shared" ref="I84:I92" si="87">B84*$I$7</f>
        <v>36.045999999999999</v>
      </c>
      <c r="J84" s="134">
        <f t="shared" ref="J84:J92" si="88">B84*$J$7</f>
        <v>27.034499999999998</v>
      </c>
      <c r="K84" s="134">
        <f t="shared" ref="K84:K92" si="89">B84*$K$7</f>
        <v>17.420000000000002</v>
      </c>
      <c r="L84" s="134">
        <f t="shared" ref="L84:L92" si="90">B84*$L$7</f>
        <v>13.065000000000001</v>
      </c>
      <c r="M84" s="134">
        <f t="shared" ref="M84:M92" si="91">I84+K84</f>
        <v>53.466000000000001</v>
      </c>
      <c r="N84" s="115">
        <f t="shared" ref="N84:N92" si="92">J84+L84</f>
        <v>40.099499999999999</v>
      </c>
      <c r="O84" s="114">
        <f t="shared" ref="O84:O92" si="93">B84*$O$7</f>
        <v>41.674000000000007</v>
      </c>
      <c r="P84" s="134">
        <f t="shared" ref="P84:P92" si="94">B84*$P$7</f>
        <v>31.255500000000005</v>
      </c>
      <c r="Q84" s="134">
        <f t="shared" ref="Q84:Q92" si="95">B84*$Q$7</f>
        <v>41.674000000000007</v>
      </c>
      <c r="R84" s="134">
        <f t="shared" ref="R84:R92" si="96">B84*$R$7</f>
        <v>31.255500000000005</v>
      </c>
      <c r="S84" s="134">
        <f t="shared" ref="S84:S92" si="97">O84+Q84</f>
        <v>83.348000000000013</v>
      </c>
      <c r="T84" s="115">
        <f t="shared" ref="T84:T92" si="98">P84+R84</f>
        <v>62.51100000000001</v>
      </c>
      <c r="U84" s="140">
        <f t="shared" ref="U84:U92" si="99">B84*$U$7</f>
        <v>41.674000000000007</v>
      </c>
      <c r="V84" s="141">
        <f t="shared" ref="V84:V92" si="100">B84*$V$7</f>
        <v>31.255500000000005</v>
      </c>
      <c r="W84" s="141">
        <f t="shared" ref="W84:W92" si="101">B84*$W$7</f>
        <v>22.78</v>
      </c>
      <c r="X84" s="141">
        <f t="shared" ref="X84:X92" si="102">B84*$X$7</f>
        <v>17.085000000000001</v>
      </c>
      <c r="Y84" s="141">
        <f t="shared" ref="Y84:Y92" si="103">U84+W84</f>
        <v>64.454000000000008</v>
      </c>
      <c r="Z84" s="117">
        <f t="shared" ref="Z84:Z92" si="104">V84+X84</f>
        <v>48.340500000000006</v>
      </c>
      <c r="AA84" s="1"/>
    </row>
    <row r="85" spans="1:27" ht="15.75" thickBot="1">
      <c r="A85" s="14" t="s">
        <v>27</v>
      </c>
      <c r="B85" s="67">
        <v>1.35</v>
      </c>
      <c r="C85" s="114">
        <f t="shared" si="81"/>
        <v>37.664999999999999</v>
      </c>
      <c r="D85" s="115">
        <f t="shared" si="82"/>
        <v>28.248749999999998</v>
      </c>
      <c r="E85" s="116">
        <f t="shared" si="83"/>
        <v>38.205000000000005</v>
      </c>
      <c r="F85" s="115">
        <f t="shared" si="84"/>
        <v>28.653750000000002</v>
      </c>
      <c r="G85" s="114">
        <f t="shared" si="85"/>
        <v>41.985000000000007</v>
      </c>
      <c r="H85" s="115">
        <f t="shared" si="86"/>
        <v>31.488750000000007</v>
      </c>
      <c r="I85" s="114">
        <f t="shared" si="87"/>
        <v>36.314999999999998</v>
      </c>
      <c r="J85" s="134">
        <f t="shared" si="88"/>
        <v>27.236249999999998</v>
      </c>
      <c r="K85" s="134">
        <f t="shared" si="89"/>
        <v>17.55</v>
      </c>
      <c r="L85" s="134">
        <f t="shared" si="90"/>
        <v>13.162500000000001</v>
      </c>
      <c r="M85" s="134">
        <f t="shared" si="91"/>
        <v>53.864999999999995</v>
      </c>
      <c r="N85" s="115">
        <f t="shared" si="92"/>
        <v>40.39875</v>
      </c>
      <c r="O85" s="114">
        <f t="shared" si="93"/>
        <v>41.985000000000007</v>
      </c>
      <c r="P85" s="134">
        <f t="shared" si="94"/>
        <v>31.488750000000007</v>
      </c>
      <c r="Q85" s="134">
        <f t="shared" si="95"/>
        <v>41.985000000000007</v>
      </c>
      <c r="R85" s="134">
        <f t="shared" si="96"/>
        <v>31.488750000000007</v>
      </c>
      <c r="S85" s="134">
        <f t="shared" si="97"/>
        <v>83.970000000000013</v>
      </c>
      <c r="T85" s="115">
        <f t="shared" si="98"/>
        <v>62.977500000000013</v>
      </c>
      <c r="U85" s="140">
        <f t="shared" si="99"/>
        <v>41.985000000000007</v>
      </c>
      <c r="V85" s="141">
        <f t="shared" si="100"/>
        <v>31.488750000000007</v>
      </c>
      <c r="W85" s="141">
        <f t="shared" si="101"/>
        <v>22.950000000000003</v>
      </c>
      <c r="X85" s="141">
        <f t="shared" si="102"/>
        <v>17.212500000000002</v>
      </c>
      <c r="Y85" s="141">
        <f t="shared" si="103"/>
        <v>64.935000000000002</v>
      </c>
      <c r="Z85" s="117">
        <f t="shared" si="104"/>
        <v>48.701250000000009</v>
      </c>
      <c r="AA85" s="1"/>
    </row>
    <row r="86" spans="1:27" ht="15.75" thickBot="1">
      <c r="A86" s="15" t="s">
        <v>28</v>
      </c>
      <c r="B86" s="67">
        <v>1.29</v>
      </c>
      <c r="C86" s="114">
        <f t="shared" si="81"/>
        <v>35.991</v>
      </c>
      <c r="D86" s="115">
        <f t="shared" si="82"/>
        <v>26.993249999999996</v>
      </c>
      <c r="E86" s="116">
        <f t="shared" si="83"/>
        <v>36.507000000000005</v>
      </c>
      <c r="F86" s="115">
        <f t="shared" si="84"/>
        <v>27.380250000000004</v>
      </c>
      <c r="G86" s="114">
        <f t="shared" si="85"/>
        <v>40.119</v>
      </c>
      <c r="H86" s="115">
        <f t="shared" si="86"/>
        <v>30.089250000000003</v>
      </c>
      <c r="I86" s="114">
        <f t="shared" si="87"/>
        <v>34.701000000000001</v>
      </c>
      <c r="J86" s="134">
        <f t="shared" si="88"/>
        <v>26.025749999999999</v>
      </c>
      <c r="K86" s="134">
        <f t="shared" si="89"/>
        <v>16.77</v>
      </c>
      <c r="L86" s="134">
        <f t="shared" si="90"/>
        <v>12.577500000000001</v>
      </c>
      <c r="M86" s="134">
        <f t="shared" si="91"/>
        <v>51.471000000000004</v>
      </c>
      <c r="N86" s="115">
        <f t="shared" si="92"/>
        <v>38.603250000000003</v>
      </c>
      <c r="O86" s="114">
        <f t="shared" si="93"/>
        <v>40.119</v>
      </c>
      <c r="P86" s="134">
        <f t="shared" si="94"/>
        <v>30.089250000000003</v>
      </c>
      <c r="Q86" s="134">
        <f t="shared" si="95"/>
        <v>40.119</v>
      </c>
      <c r="R86" s="134">
        <f t="shared" si="96"/>
        <v>30.089250000000003</v>
      </c>
      <c r="S86" s="134">
        <f t="shared" si="97"/>
        <v>80.238</v>
      </c>
      <c r="T86" s="115">
        <f t="shared" si="98"/>
        <v>60.178500000000007</v>
      </c>
      <c r="U86" s="140">
        <f t="shared" si="99"/>
        <v>40.119</v>
      </c>
      <c r="V86" s="141">
        <f t="shared" si="100"/>
        <v>30.089250000000003</v>
      </c>
      <c r="W86" s="141">
        <f t="shared" si="101"/>
        <v>21.93</v>
      </c>
      <c r="X86" s="141">
        <f t="shared" si="102"/>
        <v>16.447500000000002</v>
      </c>
      <c r="Y86" s="141">
        <f t="shared" si="103"/>
        <v>62.048999999999999</v>
      </c>
      <c r="Z86" s="117">
        <f t="shared" si="104"/>
        <v>46.536750000000005</v>
      </c>
      <c r="AA86" s="1"/>
    </row>
    <row r="87" spans="1:27" ht="15.75" thickBot="1">
      <c r="A87" s="14" t="s">
        <v>89</v>
      </c>
      <c r="B87" s="67">
        <v>1.21</v>
      </c>
      <c r="C87" s="114">
        <f t="shared" si="81"/>
        <v>33.759</v>
      </c>
      <c r="D87" s="115">
        <f t="shared" si="82"/>
        <v>25.319249999999997</v>
      </c>
      <c r="E87" s="116">
        <f t="shared" si="83"/>
        <v>34.243000000000002</v>
      </c>
      <c r="F87" s="115">
        <f t="shared" si="84"/>
        <v>25.68225</v>
      </c>
      <c r="G87" s="114">
        <f t="shared" si="85"/>
        <v>37.631</v>
      </c>
      <c r="H87" s="115">
        <f t="shared" si="86"/>
        <v>28.223250000000004</v>
      </c>
      <c r="I87" s="114">
        <f t="shared" si="87"/>
        <v>32.548999999999999</v>
      </c>
      <c r="J87" s="134">
        <f t="shared" si="88"/>
        <v>24.411749999999994</v>
      </c>
      <c r="K87" s="134">
        <f t="shared" si="89"/>
        <v>15.73</v>
      </c>
      <c r="L87" s="134">
        <f t="shared" si="90"/>
        <v>11.797499999999999</v>
      </c>
      <c r="M87" s="134">
        <f t="shared" si="91"/>
        <v>48.278999999999996</v>
      </c>
      <c r="N87" s="115">
        <f t="shared" si="92"/>
        <v>36.209249999999997</v>
      </c>
      <c r="O87" s="114">
        <f t="shared" si="93"/>
        <v>37.631</v>
      </c>
      <c r="P87" s="134">
        <f t="shared" si="94"/>
        <v>28.223250000000004</v>
      </c>
      <c r="Q87" s="134">
        <f t="shared" si="95"/>
        <v>37.631</v>
      </c>
      <c r="R87" s="134">
        <f t="shared" si="96"/>
        <v>28.223250000000004</v>
      </c>
      <c r="S87" s="134">
        <f t="shared" si="97"/>
        <v>75.262</v>
      </c>
      <c r="T87" s="115">
        <f t="shared" si="98"/>
        <v>56.446500000000007</v>
      </c>
      <c r="U87" s="140">
        <f t="shared" si="99"/>
        <v>37.631</v>
      </c>
      <c r="V87" s="141">
        <f t="shared" si="100"/>
        <v>28.223250000000004</v>
      </c>
      <c r="W87" s="141">
        <f t="shared" si="101"/>
        <v>20.57</v>
      </c>
      <c r="X87" s="141">
        <f t="shared" si="102"/>
        <v>15.4275</v>
      </c>
      <c r="Y87" s="141">
        <f t="shared" si="103"/>
        <v>58.201000000000001</v>
      </c>
      <c r="Z87" s="117">
        <f t="shared" si="104"/>
        <v>43.650750000000002</v>
      </c>
      <c r="AA87" s="1"/>
    </row>
    <row r="88" spans="1:27" ht="15.75" thickBot="1">
      <c r="A88" s="14" t="s">
        <v>90</v>
      </c>
      <c r="B88" s="67">
        <v>1.1000000000000001</v>
      </c>
      <c r="C88" s="114">
        <f t="shared" si="81"/>
        <v>30.69</v>
      </c>
      <c r="D88" s="115">
        <f t="shared" si="82"/>
        <v>23.017499999999998</v>
      </c>
      <c r="E88" s="116">
        <f t="shared" si="83"/>
        <v>31.130000000000003</v>
      </c>
      <c r="F88" s="115">
        <f t="shared" si="84"/>
        <v>23.347500000000004</v>
      </c>
      <c r="G88" s="114">
        <f t="shared" si="85"/>
        <v>34.21</v>
      </c>
      <c r="H88" s="115">
        <f t="shared" si="86"/>
        <v>25.657500000000006</v>
      </c>
      <c r="I88" s="114">
        <f t="shared" si="87"/>
        <v>29.59</v>
      </c>
      <c r="J88" s="134">
        <f t="shared" si="88"/>
        <v>22.192499999999999</v>
      </c>
      <c r="K88" s="134">
        <f t="shared" si="89"/>
        <v>14.3</v>
      </c>
      <c r="L88" s="134">
        <f t="shared" si="90"/>
        <v>10.725000000000001</v>
      </c>
      <c r="M88" s="134">
        <f t="shared" si="91"/>
        <v>43.89</v>
      </c>
      <c r="N88" s="115">
        <f t="shared" si="92"/>
        <v>32.917500000000004</v>
      </c>
      <c r="O88" s="114">
        <f t="shared" si="93"/>
        <v>34.21</v>
      </c>
      <c r="P88" s="134">
        <f t="shared" si="94"/>
        <v>25.657500000000006</v>
      </c>
      <c r="Q88" s="134">
        <f t="shared" si="95"/>
        <v>34.21</v>
      </c>
      <c r="R88" s="134">
        <f t="shared" si="96"/>
        <v>25.657500000000006</v>
      </c>
      <c r="S88" s="134">
        <f t="shared" si="97"/>
        <v>68.42</v>
      </c>
      <c r="T88" s="115">
        <f t="shared" si="98"/>
        <v>51.315000000000012</v>
      </c>
      <c r="U88" s="140">
        <f t="shared" si="99"/>
        <v>34.21</v>
      </c>
      <c r="V88" s="141">
        <f t="shared" si="100"/>
        <v>25.657500000000006</v>
      </c>
      <c r="W88" s="141">
        <f t="shared" si="101"/>
        <v>18.700000000000003</v>
      </c>
      <c r="X88" s="141">
        <f t="shared" si="102"/>
        <v>14.025</v>
      </c>
      <c r="Y88" s="141">
        <f t="shared" si="103"/>
        <v>52.910000000000004</v>
      </c>
      <c r="Z88" s="117">
        <f t="shared" si="104"/>
        <v>39.682500000000005</v>
      </c>
      <c r="AA88" s="1"/>
    </row>
    <row r="89" spans="1:27" ht="15.75" thickBot="1">
      <c r="A89" s="14" t="s">
        <v>91</v>
      </c>
      <c r="B89" s="67">
        <v>0.68</v>
      </c>
      <c r="C89" s="114">
        <f t="shared" si="81"/>
        <v>18.972000000000001</v>
      </c>
      <c r="D89" s="115">
        <f t="shared" si="82"/>
        <v>14.228999999999999</v>
      </c>
      <c r="E89" s="116">
        <f t="shared" si="83"/>
        <v>19.244000000000003</v>
      </c>
      <c r="F89" s="115">
        <f t="shared" si="84"/>
        <v>14.433000000000002</v>
      </c>
      <c r="G89" s="114">
        <f t="shared" si="85"/>
        <v>21.148000000000003</v>
      </c>
      <c r="H89" s="115">
        <f t="shared" si="86"/>
        <v>15.861000000000002</v>
      </c>
      <c r="I89" s="114">
        <f t="shared" si="87"/>
        <v>18.292000000000002</v>
      </c>
      <c r="J89" s="134">
        <f t="shared" si="88"/>
        <v>13.718999999999999</v>
      </c>
      <c r="K89" s="134">
        <f t="shared" si="89"/>
        <v>8.84</v>
      </c>
      <c r="L89" s="134">
        <f t="shared" si="90"/>
        <v>6.6300000000000008</v>
      </c>
      <c r="M89" s="134">
        <f t="shared" si="91"/>
        <v>27.132000000000001</v>
      </c>
      <c r="N89" s="115">
        <f t="shared" si="92"/>
        <v>20.349</v>
      </c>
      <c r="O89" s="114">
        <f t="shared" si="93"/>
        <v>21.148000000000003</v>
      </c>
      <c r="P89" s="134">
        <f t="shared" si="94"/>
        <v>15.861000000000002</v>
      </c>
      <c r="Q89" s="134">
        <f t="shared" si="95"/>
        <v>21.148000000000003</v>
      </c>
      <c r="R89" s="134">
        <f t="shared" si="96"/>
        <v>15.861000000000002</v>
      </c>
      <c r="S89" s="134">
        <f t="shared" si="97"/>
        <v>42.296000000000006</v>
      </c>
      <c r="T89" s="115">
        <f t="shared" si="98"/>
        <v>31.722000000000005</v>
      </c>
      <c r="U89" s="140">
        <f t="shared" si="99"/>
        <v>21.148000000000003</v>
      </c>
      <c r="V89" s="141">
        <f t="shared" si="100"/>
        <v>15.861000000000002</v>
      </c>
      <c r="W89" s="141">
        <f t="shared" si="101"/>
        <v>11.56</v>
      </c>
      <c r="X89" s="141">
        <f t="shared" si="102"/>
        <v>8.67</v>
      </c>
      <c r="Y89" s="141">
        <f t="shared" si="103"/>
        <v>32.708000000000006</v>
      </c>
      <c r="Z89" s="117">
        <f t="shared" si="104"/>
        <v>24.531000000000002</v>
      </c>
      <c r="AA89" s="1"/>
    </row>
    <row r="90" spans="1:27" ht="15.75" thickBot="1">
      <c r="A90" s="14" t="s">
        <v>92</v>
      </c>
      <c r="B90" s="67">
        <v>1.2270000000000001</v>
      </c>
      <c r="C90" s="114">
        <f t="shared" si="81"/>
        <v>34.2333</v>
      </c>
      <c r="D90" s="115">
        <f t="shared" si="82"/>
        <v>25.674975</v>
      </c>
      <c r="E90" s="116">
        <f t="shared" si="83"/>
        <v>34.7241</v>
      </c>
      <c r="F90" s="115">
        <f t="shared" si="84"/>
        <v>26.043075000000005</v>
      </c>
      <c r="G90" s="114">
        <f t="shared" si="85"/>
        <v>38.159700000000008</v>
      </c>
      <c r="H90" s="115">
        <f t="shared" si="86"/>
        <v>28.619775000000004</v>
      </c>
      <c r="I90" s="114">
        <f t="shared" si="87"/>
        <v>33.006300000000003</v>
      </c>
      <c r="J90" s="134">
        <f t="shared" si="88"/>
        <v>24.754724999999997</v>
      </c>
      <c r="K90" s="134">
        <f t="shared" si="89"/>
        <v>15.951000000000001</v>
      </c>
      <c r="L90" s="134">
        <f t="shared" si="90"/>
        <v>11.96325</v>
      </c>
      <c r="M90" s="134">
        <f t="shared" si="91"/>
        <v>48.957300000000004</v>
      </c>
      <c r="N90" s="115">
        <f t="shared" si="92"/>
        <v>36.717974999999996</v>
      </c>
      <c r="O90" s="114">
        <f t="shared" si="93"/>
        <v>38.159700000000008</v>
      </c>
      <c r="P90" s="134">
        <f t="shared" si="94"/>
        <v>28.619775000000004</v>
      </c>
      <c r="Q90" s="134">
        <f t="shared" si="95"/>
        <v>38.159700000000008</v>
      </c>
      <c r="R90" s="134">
        <f t="shared" si="96"/>
        <v>28.619775000000004</v>
      </c>
      <c r="S90" s="134">
        <f t="shared" si="97"/>
        <v>76.319400000000016</v>
      </c>
      <c r="T90" s="115">
        <f t="shared" si="98"/>
        <v>57.239550000000008</v>
      </c>
      <c r="U90" s="140">
        <f t="shared" si="99"/>
        <v>38.159700000000008</v>
      </c>
      <c r="V90" s="141">
        <f t="shared" si="100"/>
        <v>28.619775000000004</v>
      </c>
      <c r="W90" s="141">
        <f t="shared" si="101"/>
        <v>20.859000000000002</v>
      </c>
      <c r="X90" s="141">
        <f t="shared" si="102"/>
        <v>15.644250000000001</v>
      </c>
      <c r="Y90" s="141">
        <f t="shared" si="103"/>
        <v>59.01870000000001</v>
      </c>
      <c r="Z90" s="117">
        <f t="shared" si="104"/>
        <v>44.264025000000004</v>
      </c>
      <c r="AA90" s="1"/>
    </row>
    <row r="91" spans="1:27" ht="15.75" thickBot="1">
      <c r="A91" s="14" t="s">
        <v>29</v>
      </c>
      <c r="B91" s="67">
        <v>1.1100000000000001</v>
      </c>
      <c r="C91" s="114">
        <f t="shared" si="81"/>
        <v>30.969000000000001</v>
      </c>
      <c r="D91" s="115">
        <f t="shared" si="82"/>
        <v>23.226749999999999</v>
      </c>
      <c r="E91" s="116">
        <f t="shared" si="83"/>
        <v>31.413000000000004</v>
      </c>
      <c r="F91" s="115">
        <f t="shared" si="84"/>
        <v>23.559750000000005</v>
      </c>
      <c r="G91" s="114">
        <f t="shared" si="85"/>
        <v>34.521000000000008</v>
      </c>
      <c r="H91" s="115">
        <f t="shared" si="86"/>
        <v>25.890750000000004</v>
      </c>
      <c r="I91" s="114">
        <f t="shared" si="87"/>
        <v>29.859000000000002</v>
      </c>
      <c r="J91" s="134">
        <f t="shared" si="88"/>
        <v>22.39425</v>
      </c>
      <c r="K91" s="134">
        <f t="shared" si="89"/>
        <v>14.430000000000001</v>
      </c>
      <c r="L91" s="134">
        <f t="shared" si="90"/>
        <v>10.822500000000002</v>
      </c>
      <c r="M91" s="134">
        <f t="shared" si="91"/>
        <v>44.289000000000001</v>
      </c>
      <c r="N91" s="115">
        <f t="shared" si="92"/>
        <v>33.216750000000005</v>
      </c>
      <c r="O91" s="114">
        <f t="shared" si="93"/>
        <v>34.521000000000008</v>
      </c>
      <c r="P91" s="134">
        <f t="shared" si="94"/>
        <v>25.890750000000004</v>
      </c>
      <c r="Q91" s="134">
        <f t="shared" si="95"/>
        <v>34.521000000000008</v>
      </c>
      <c r="R91" s="134">
        <f t="shared" si="96"/>
        <v>25.890750000000004</v>
      </c>
      <c r="S91" s="134">
        <f t="shared" si="97"/>
        <v>69.042000000000016</v>
      </c>
      <c r="T91" s="115">
        <f t="shared" si="98"/>
        <v>51.781500000000008</v>
      </c>
      <c r="U91" s="140">
        <f t="shared" si="99"/>
        <v>34.521000000000008</v>
      </c>
      <c r="V91" s="141">
        <f t="shared" si="100"/>
        <v>25.890750000000004</v>
      </c>
      <c r="W91" s="141">
        <f t="shared" si="101"/>
        <v>18.87</v>
      </c>
      <c r="X91" s="141">
        <f t="shared" si="102"/>
        <v>14.152500000000002</v>
      </c>
      <c r="Y91" s="141">
        <f t="shared" si="103"/>
        <v>53.391000000000005</v>
      </c>
      <c r="Z91" s="117">
        <f t="shared" si="104"/>
        <v>40.043250000000008</v>
      </c>
      <c r="AA91" s="1"/>
    </row>
    <row r="92" spans="1:27" ht="15.75" thickBot="1">
      <c r="A92" s="18" t="s">
        <v>93</v>
      </c>
      <c r="B92" s="69">
        <v>1.26</v>
      </c>
      <c r="C92" s="114">
        <f t="shared" si="81"/>
        <v>35.153999999999996</v>
      </c>
      <c r="D92" s="115">
        <f t="shared" si="82"/>
        <v>26.365499999999997</v>
      </c>
      <c r="E92" s="116">
        <f t="shared" si="83"/>
        <v>35.658000000000001</v>
      </c>
      <c r="F92" s="115">
        <f t="shared" si="84"/>
        <v>26.743500000000001</v>
      </c>
      <c r="G92" s="114">
        <f t="shared" si="85"/>
        <v>39.186</v>
      </c>
      <c r="H92" s="115">
        <f t="shared" si="86"/>
        <v>29.389500000000005</v>
      </c>
      <c r="I92" s="114">
        <f t="shared" si="87"/>
        <v>33.893999999999998</v>
      </c>
      <c r="J92" s="134">
        <f t="shared" si="88"/>
        <v>25.420499999999997</v>
      </c>
      <c r="K92" s="134">
        <f t="shared" si="89"/>
        <v>16.38</v>
      </c>
      <c r="L92" s="134">
        <f t="shared" si="90"/>
        <v>12.285</v>
      </c>
      <c r="M92" s="134">
        <f t="shared" si="91"/>
        <v>50.274000000000001</v>
      </c>
      <c r="N92" s="115">
        <f t="shared" si="92"/>
        <v>37.705500000000001</v>
      </c>
      <c r="O92" s="114">
        <f t="shared" si="93"/>
        <v>39.186</v>
      </c>
      <c r="P92" s="134">
        <f t="shared" si="94"/>
        <v>29.389500000000005</v>
      </c>
      <c r="Q92" s="134">
        <f t="shared" si="95"/>
        <v>39.186</v>
      </c>
      <c r="R92" s="134">
        <f t="shared" si="96"/>
        <v>29.389500000000005</v>
      </c>
      <c r="S92" s="134">
        <f t="shared" si="97"/>
        <v>78.372</v>
      </c>
      <c r="T92" s="115">
        <f t="shared" si="98"/>
        <v>58.779000000000011</v>
      </c>
      <c r="U92" s="140">
        <f t="shared" si="99"/>
        <v>39.186</v>
      </c>
      <c r="V92" s="141">
        <f t="shared" si="100"/>
        <v>29.389500000000005</v>
      </c>
      <c r="W92" s="141">
        <f t="shared" si="101"/>
        <v>21.42</v>
      </c>
      <c r="X92" s="141">
        <f t="shared" si="102"/>
        <v>16.065000000000001</v>
      </c>
      <c r="Y92" s="141">
        <f t="shared" si="103"/>
        <v>60.606000000000002</v>
      </c>
      <c r="Z92" s="117">
        <f t="shared" si="104"/>
        <v>45.45450000000001</v>
      </c>
      <c r="AA92" s="1"/>
    </row>
    <row r="93" spans="1:27" ht="15.75" thickBot="1">
      <c r="A93" s="163" t="s">
        <v>155</v>
      </c>
      <c r="B93" s="166">
        <v>0.1657574084549932</v>
      </c>
      <c r="C93" s="114">
        <f t="shared" ref="C93:C104" si="105">B93*$C$7</f>
        <v>4.6246316958943101</v>
      </c>
      <c r="D93" s="115">
        <f t="shared" ref="D93:D104" si="106">B93*$D$7</f>
        <v>3.4684737719207321</v>
      </c>
      <c r="E93" s="116">
        <f t="shared" ref="E93:E104" si="107">B93*$E$7</f>
        <v>4.6909346592763077</v>
      </c>
      <c r="F93" s="115">
        <f t="shared" ref="F93:F104" si="108">B93*$F$7</f>
        <v>3.518200994457231</v>
      </c>
      <c r="G93" s="114">
        <f t="shared" ref="G93:G104" si="109">B93*$G$7</f>
        <v>5.1550554029502891</v>
      </c>
      <c r="H93" s="115">
        <f t="shared" ref="H93:H104" si="110">B93*$H$7</f>
        <v>3.8662915522127168</v>
      </c>
      <c r="I93" s="114">
        <f t="shared" ref="I93:I104" si="111">B93*$I$7</f>
        <v>4.4588742874393166</v>
      </c>
      <c r="J93" s="134">
        <f t="shared" ref="J93:J104" si="112">B93*$J$7</f>
        <v>3.3441557155794874</v>
      </c>
      <c r="K93" s="134">
        <f t="shared" ref="K93:K104" si="113">B93*$K$7</f>
        <v>2.1548463099149116</v>
      </c>
      <c r="L93" s="134">
        <f t="shared" ref="L93:L104" si="114">B93*$L$7</f>
        <v>1.6161347324361837</v>
      </c>
      <c r="M93" s="134">
        <f t="shared" ref="M93:M104" si="115">I93+K93</f>
        <v>6.6137205973542281</v>
      </c>
      <c r="N93" s="115">
        <f t="shared" ref="N93:N104" si="116">J93+L93</f>
        <v>4.9602904480156713</v>
      </c>
      <c r="O93" s="114">
        <f t="shared" ref="O93:O104" si="117">B93*$O$7</f>
        <v>5.1550554029502891</v>
      </c>
      <c r="P93" s="134">
        <f t="shared" ref="P93:P104" si="118">B93*$P$7</f>
        <v>3.8662915522127168</v>
      </c>
      <c r="Q93" s="134">
        <f t="shared" ref="Q93:Q104" si="119">B93*$Q$7</f>
        <v>5.1550554029502891</v>
      </c>
      <c r="R93" s="134">
        <f t="shared" ref="R93:R104" si="120">B93*$R$7</f>
        <v>3.8662915522127168</v>
      </c>
      <c r="S93" s="134">
        <f t="shared" ref="S93:S104" si="121">O93+Q93</f>
        <v>10.310110805900578</v>
      </c>
      <c r="T93" s="115">
        <f t="shared" ref="T93:T104" si="122">P93+R93</f>
        <v>7.7325831044254336</v>
      </c>
      <c r="U93" s="140">
        <f t="shared" ref="U93:U104" si="123">B93*$U$7</f>
        <v>5.1550554029502891</v>
      </c>
      <c r="V93" s="141">
        <f t="shared" ref="V93:V104" si="124">B93*$V$7</f>
        <v>3.8662915522127168</v>
      </c>
      <c r="W93" s="141">
        <f t="shared" ref="W93:W104" si="125">B93*$W$7</f>
        <v>2.8178759437348844</v>
      </c>
      <c r="X93" s="141">
        <f t="shared" ref="X93:X104" si="126">B93*$X$7</f>
        <v>2.1134069578011632</v>
      </c>
      <c r="Y93" s="141">
        <f t="shared" ref="Y93:Y104" si="127">U93+W93</f>
        <v>7.9729313466851739</v>
      </c>
      <c r="Z93" s="117">
        <f t="shared" ref="Z93:Z104" si="128">V93+X93</f>
        <v>5.97969851001388</v>
      </c>
      <c r="AA93" s="1"/>
    </row>
    <row r="94" spans="1:27" ht="15.75" thickBot="1">
      <c r="A94" s="164" t="s">
        <v>156</v>
      </c>
      <c r="B94" s="167">
        <v>0.91072212774912253</v>
      </c>
      <c r="C94" s="114">
        <f t="shared" si="105"/>
        <v>25.409147364200518</v>
      </c>
      <c r="D94" s="115">
        <f t="shared" si="106"/>
        <v>19.056860523150387</v>
      </c>
      <c r="E94" s="116">
        <f t="shared" si="107"/>
        <v>25.773436215300169</v>
      </c>
      <c r="F94" s="115">
        <f t="shared" si="108"/>
        <v>19.330077161475128</v>
      </c>
      <c r="G94" s="114">
        <f t="shared" si="109"/>
        <v>28.323458172997711</v>
      </c>
      <c r="H94" s="115">
        <f t="shared" si="110"/>
        <v>21.242593629748285</v>
      </c>
      <c r="I94" s="114">
        <f t="shared" si="111"/>
        <v>24.498425236451396</v>
      </c>
      <c r="J94" s="134">
        <f t="shared" si="112"/>
        <v>18.373818927338544</v>
      </c>
      <c r="K94" s="134">
        <f t="shared" si="113"/>
        <v>11.839387660738593</v>
      </c>
      <c r="L94" s="134">
        <f t="shared" si="114"/>
        <v>8.8795407455539443</v>
      </c>
      <c r="M94" s="134">
        <f t="shared" si="115"/>
        <v>36.337812897189991</v>
      </c>
      <c r="N94" s="115">
        <f t="shared" si="116"/>
        <v>27.253359672892486</v>
      </c>
      <c r="O94" s="114">
        <f t="shared" si="117"/>
        <v>28.323458172997711</v>
      </c>
      <c r="P94" s="134">
        <f t="shared" si="118"/>
        <v>21.242593629748285</v>
      </c>
      <c r="Q94" s="134">
        <f t="shared" si="119"/>
        <v>28.323458172997711</v>
      </c>
      <c r="R94" s="134">
        <f t="shared" si="120"/>
        <v>21.242593629748285</v>
      </c>
      <c r="S94" s="134">
        <f t="shared" si="121"/>
        <v>56.646916345995422</v>
      </c>
      <c r="T94" s="115">
        <f t="shared" si="122"/>
        <v>42.48518725949657</v>
      </c>
      <c r="U94" s="140">
        <f t="shared" si="123"/>
        <v>28.323458172997711</v>
      </c>
      <c r="V94" s="141">
        <f t="shared" si="124"/>
        <v>21.242593629748285</v>
      </c>
      <c r="W94" s="141">
        <f t="shared" si="125"/>
        <v>15.482276171735084</v>
      </c>
      <c r="X94" s="141">
        <f t="shared" si="126"/>
        <v>11.611707128801312</v>
      </c>
      <c r="Y94" s="141">
        <f t="shared" si="127"/>
        <v>43.805734344732798</v>
      </c>
      <c r="Z94" s="117">
        <f t="shared" si="128"/>
        <v>32.854300758549599</v>
      </c>
      <c r="AA94" s="1"/>
    </row>
    <row r="95" spans="1:27" ht="15.75" thickBot="1">
      <c r="A95" s="164" t="s">
        <v>157</v>
      </c>
      <c r="B95" s="167">
        <v>1.1316789732309016</v>
      </c>
      <c r="C95" s="114">
        <f t="shared" si="105"/>
        <v>31.573843353142152</v>
      </c>
      <c r="D95" s="115">
        <f t="shared" si="106"/>
        <v>23.680382514856614</v>
      </c>
      <c r="E95" s="116">
        <f t="shared" si="107"/>
        <v>32.026514942434517</v>
      </c>
      <c r="F95" s="115">
        <f t="shared" si="108"/>
        <v>24.019886206825888</v>
      </c>
      <c r="G95" s="114">
        <f t="shared" si="109"/>
        <v>35.195216067481041</v>
      </c>
      <c r="H95" s="115">
        <f t="shared" si="110"/>
        <v>26.396412050610785</v>
      </c>
      <c r="I95" s="114">
        <f t="shared" si="111"/>
        <v>30.442164379911251</v>
      </c>
      <c r="J95" s="134">
        <f t="shared" si="112"/>
        <v>22.831623284933436</v>
      </c>
      <c r="K95" s="134">
        <f t="shared" si="113"/>
        <v>14.71182665200172</v>
      </c>
      <c r="L95" s="134">
        <f t="shared" si="114"/>
        <v>11.033869989001291</v>
      </c>
      <c r="M95" s="134">
        <f t="shared" si="115"/>
        <v>45.153991031912973</v>
      </c>
      <c r="N95" s="115">
        <f t="shared" si="116"/>
        <v>33.865493273934725</v>
      </c>
      <c r="O95" s="114">
        <f t="shared" si="117"/>
        <v>35.195216067481041</v>
      </c>
      <c r="P95" s="134">
        <f t="shared" si="118"/>
        <v>26.396412050610785</v>
      </c>
      <c r="Q95" s="134">
        <f t="shared" si="119"/>
        <v>35.195216067481041</v>
      </c>
      <c r="R95" s="134">
        <f t="shared" si="120"/>
        <v>26.396412050610785</v>
      </c>
      <c r="S95" s="134">
        <f t="shared" si="121"/>
        <v>70.390432134962083</v>
      </c>
      <c r="T95" s="115">
        <f t="shared" si="122"/>
        <v>52.792824101221569</v>
      </c>
      <c r="U95" s="140">
        <f t="shared" si="123"/>
        <v>35.195216067481041</v>
      </c>
      <c r="V95" s="141">
        <f t="shared" si="124"/>
        <v>26.396412050610785</v>
      </c>
      <c r="W95" s="141">
        <f t="shared" si="125"/>
        <v>19.238542544925327</v>
      </c>
      <c r="X95" s="141">
        <f t="shared" si="126"/>
        <v>14.428906908693996</v>
      </c>
      <c r="Y95" s="141">
        <f t="shared" si="127"/>
        <v>54.433758612406365</v>
      </c>
      <c r="Z95" s="117">
        <f t="shared" si="128"/>
        <v>40.825318959304781</v>
      </c>
      <c r="AA95" s="1"/>
    </row>
    <row r="96" spans="1:27" ht="15.75" thickBot="1">
      <c r="A96" s="164" t="s">
        <v>158</v>
      </c>
      <c r="B96" s="167">
        <v>1.1835437137892695</v>
      </c>
      <c r="C96" s="114">
        <f t="shared" si="105"/>
        <v>33.020869614720617</v>
      </c>
      <c r="D96" s="115">
        <f t="shared" si="106"/>
        <v>24.765652211040461</v>
      </c>
      <c r="E96" s="116">
        <f t="shared" si="107"/>
        <v>33.494287100236328</v>
      </c>
      <c r="F96" s="115">
        <f t="shared" si="108"/>
        <v>25.120715325177247</v>
      </c>
      <c r="G96" s="114">
        <f t="shared" si="109"/>
        <v>36.808209498846281</v>
      </c>
      <c r="H96" s="115">
        <f t="shared" si="110"/>
        <v>27.606157124134715</v>
      </c>
      <c r="I96" s="114">
        <f t="shared" si="111"/>
        <v>31.837325900931347</v>
      </c>
      <c r="J96" s="134">
        <f t="shared" si="112"/>
        <v>23.877994425698507</v>
      </c>
      <c r="K96" s="134">
        <f t="shared" si="113"/>
        <v>15.386068279260503</v>
      </c>
      <c r="L96" s="134">
        <f t="shared" si="114"/>
        <v>11.539551209445378</v>
      </c>
      <c r="M96" s="134">
        <f t="shared" si="115"/>
        <v>47.223394180191846</v>
      </c>
      <c r="N96" s="115">
        <f t="shared" si="116"/>
        <v>35.417545635143881</v>
      </c>
      <c r="O96" s="114">
        <f t="shared" si="117"/>
        <v>36.808209498846281</v>
      </c>
      <c r="P96" s="134">
        <f t="shared" si="118"/>
        <v>27.606157124134715</v>
      </c>
      <c r="Q96" s="134">
        <f t="shared" si="119"/>
        <v>36.808209498846281</v>
      </c>
      <c r="R96" s="134">
        <f t="shared" si="120"/>
        <v>27.606157124134715</v>
      </c>
      <c r="S96" s="134">
        <f t="shared" si="121"/>
        <v>73.616418997692563</v>
      </c>
      <c r="T96" s="115">
        <f t="shared" si="122"/>
        <v>55.212314248269429</v>
      </c>
      <c r="U96" s="140">
        <f t="shared" si="123"/>
        <v>36.808209498846281</v>
      </c>
      <c r="V96" s="141">
        <f t="shared" si="124"/>
        <v>27.606157124134715</v>
      </c>
      <c r="W96" s="141">
        <f t="shared" si="125"/>
        <v>20.120243134417581</v>
      </c>
      <c r="X96" s="141">
        <f t="shared" si="126"/>
        <v>15.090182350813185</v>
      </c>
      <c r="Y96" s="141">
        <f t="shared" si="127"/>
        <v>56.928452633263859</v>
      </c>
      <c r="Z96" s="117">
        <f t="shared" si="128"/>
        <v>42.696339474947898</v>
      </c>
      <c r="AA96" s="1"/>
    </row>
    <row r="97" spans="1:27" ht="15.75" thickBot="1">
      <c r="A97" s="164" t="s">
        <v>159</v>
      </c>
      <c r="B97" s="167">
        <v>1.2397176750480181</v>
      </c>
      <c r="C97" s="114">
        <f t="shared" si="105"/>
        <v>34.588123133839701</v>
      </c>
      <c r="D97" s="115">
        <f t="shared" si="106"/>
        <v>25.941092350379776</v>
      </c>
      <c r="E97" s="116">
        <f t="shared" si="107"/>
        <v>35.084010203858917</v>
      </c>
      <c r="F97" s="115">
        <f t="shared" si="108"/>
        <v>26.313007652894186</v>
      </c>
      <c r="G97" s="114">
        <f t="shared" si="109"/>
        <v>38.555219693993365</v>
      </c>
      <c r="H97" s="115">
        <f t="shared" si="110"/>
        <v>28.916414770495027</v>
      </c>
      <c r="I97" s="114">
        <f t="shared" si="111"/>
        <v>33.348405458791689</v>
      </c>
      <c r="J97" s="134">
        <f t="shared" si="112"/>
        <v>25.011304094093763</v>
      </c>
      <c r="K97" s="134">
        <f t="shared" si="113"/>
        <v>16.116329775624237</v>
      </c>
      <c r="L97" s="134">
        <f t="shared" si="114"/>
        <v>12.087247331718176</v>
      </c>
      <c r="M97" s="134">
        <f t="shared" si="115"/>
        <v>49.464735234415926</v>
      </c>
      <c r="N97" s="115">
        <f t="shared" si="116"/>
        <v>37.098551425811941</v>
      </c>
      <c r="O97" s="114">
        <f t="shared" si="117"/>
        <v>38.555219693993365</v>
      </c>
      <c r="P97" s="134">
        <f t="shared" si="118"/>
        <v>28.916414770495027</v>
      </c>
      <c r="Q97" s="134">
        <f t="shared" si="119"/>
        <v>38.555219693993365</v>
      </c>
      <c r="R97" s="134">
        <f t="shared" si="120"/>
        <v>28.916414770495027</v>
      </c>
      <c r="S97" s="134">
        <f t="shared" si="121"/>
        <v>77.11043938798673</v>
      </c>
      <c r="T97" s="115">
        <f t="shared" si="122"/>
        <v>57.832829540990055</v>
      </c>
      <c r="U97" s="140">
        <f t="shared" si="123"/>
        <v>38.555219693993365</v>
      </c>
      <c r="V97" s="141">
        <f t="shared" si="124"/>
        <v>28.916414770495027</v>
      </c>
      <c r="W97" s="141">
        <f t="shared" si="125"/>
        <v>21.07520047581631</v>
      </c>
      <c r="X97" s="141">
        <f t="shared" si="126"/>
        <v>15.80640035686223</v>
      </c>
      <c r="Y97" s="141">
        <f t="shared" si="127"/>
        <v>59.630420169809675</v>
      </c>
      <c r="Z97" s="117">
        <f t="shared" si="128"/>
        <v>44.722815127357258</v>
      </c>
      <c r="AA97" s="1"/>
    </row>
    <row r="98" spans="1:27" ht="15.75" thickBot="1">
      <c r="A98" s="164" t="s">
        <v>160</v>
      </c>
      <c r="B98" s="167">
        <v>1.2061623752127208</v>
      </c>
      <c r="C98" s="114">
        <f t="shared" si="105"/>
        <v>33.65193026843491</v>
      </c>
      <c r="D98" s="115">
        <f t="shared" si="106"/>
        <v>25.238947701326179</v>
      </c>
      <c r="E98" s="116">
        <f t="shared" si="107"/>
        <v>34.134395218519998</v>
      </c>
      <c r="F98" s="115">
        <f t="shared" si="108"/>
        <v>25.600796413890002</v>
      </c>
      <c r="G98" s="114">
        <f t="shared" si="109"/>
        <v>37.511649869115622</v>
      </c>
      <c r="H98" s="115">
        <f t="shared" si="110"/>
        <v>28.133737401836719</v>
      </c>
      <c r="I98" s="114">
        <f t="shared" si="111"/>
        <v>32.44576789322219</v>
      </c>
      <c r="J98" s="134">
        <f t="shared" si="112"/>
        <v>24.33432591991664</v>
      </c>
      <c r="K98" s="134">
        <f t="shared" si="113"/>
        <v>15.680110877765371</v>
      </c>
      <c r="L98" s="134">
        <f t="shared" si="114"/>
        <v>11.760083158324028</v>
      </c>
      <c r="M98" s="134">
        <f t="shared" si="115"/>
        <v>48.125878770987562</v>
      </c>
      <c r="N98" s="115">
        <f t="shared" si="116"/>
        <v>36.094409078240666</v>
      </c>
      <c r="O98" s="114">
        <f t="shared" si="117"/>
        <v>37.511649869115622</v>
      </c>
      <c r="P98" s="134">
        <f t="shared" si="118"/>
        <v>28.133737401836719</v>
      </c>
      <c r="Q98" s="134">
        <f t="shared" si="119"/>
        <v>37.511649869115622</v>
      </c>
      <c r="R98" s="134">
        <f t="shared" si="120"/>
        <v>28.133737401836719</v>
      </c>
      <c r="S98" s="134">
        <f t="shared" si="121"/>
        <v>75.023299738231245</v>
      </c>
      <c r="T98" s="115">
        <f t="shared" si="122"/>
        <v>56.267474803673437</v>
      </c>
      <c r="U98" s="140">
        <f t="shared" si="123"/>
        <v>37.511649869115622</v>
      </c>
      <c r="V98" s="141">
        <f t="shared" si="124"/>
        <v>28.133737401836719</v>
      </c>
      <c r="W98" s="141">
        <f t="shared" si="125"/>
        <v>20.504760378616254</v>
      </c>
      <c r="X98" s="141">
        <f t="shared" si="126"/>
        <v>15.378570283962191</v>
      </c>
      <c r="Y98" s="141">
        <f t="shared" si="127"/>
        <v>58.016410247731876</v>
      </c>
      <c r="Z98" s="117">
        <f t="shared" si="128"/>
        <v>43.512307685798909</v>
      </c>
      <c r="AA98" s="1"/>
    </row>
    <row r="99" spans="1:27" ht="15.75" thickBot="1">
      <c r="A99" s="164" t="s">
        <v>161</v>
      </c>
      <c r="B99" s="167">
        <v>1.7579362704959842</v>
      </c>
      <c r="C99" s="114">
        <f t="shared" si="105"/>
        <v>49.04642194683796</v>
      </c>
      <c r="D99" s="115">
        <f t="shared" si="106"/>
        <v>36.784816460128468</v>
      </c>
      <c r="E99" s="116">
        <f t="shared" si="107"/>
        <v>49.749596455036354</v>
      </c>
      <c r="F99" s="115">
        <f t="shared" si="108"/>
        <v>37.312197341277269</v>
      </c>
      <c r="G99" s="114">
        <f t="shared" si="109"/>
        <v>54.671818012425113</v>
      </c>
      <c r="H99" s="115">
        <f t="shared" si="110"/>
        <v>41.00386350931884</v>
      </c>
      <c r="I99" s="114">
        <f t="shared" si="111"/>
        <v>47.288485676341971</v>
      </c>
      <c r="J99" s="134">
        <f t="shared" si="112"/>
        <v>35.46636425725648</v>
      </c>
      <c r="K99" s="134">
        <f t="shared" si="113"/>
        <v>22.853171516447794</v>
      </c>
      <c r="L99" s="134">
        <f t="shared" si="114"/>
        <v>17.139878637335848</v>
      </c>
      <c r="M99" s="134">
        <f t="shared" si="115"/>
        <v>70.141657192789765</v>
      </c>
      <c r="N99" s="115">
        <f t="shared" si="116"/>
        <v>52.606242894592327</v>
      </c>
      <c r="O99" s="114">
        <f t="shared" si="117"/>
        <v>54.671818012425113</v>
      </c>
      <c r="P99" s="134">
        <f t="shared" si="118"/>
        <v>41.00386350931884</v>
      </c>
      <c r="Q99" s="134">
        <f t="shared" si="119"/>
        <v>54.671818012425113</v>
      </c>
      <c r="R99" s="134">
        <f t="shared" si="120"/>
        <v>41.00386350931884</v>
      </c>
      <c r="S99" s="134">
        <f t="shared" si="121"/>
        <v>109.34363602485023</v>
      </c>
      <c r="T99" s="115">
        <f t="shared" si="122"/>
        <v>82.007727018637681</v>
      </c>
      <c r="U99" s="140">
        <f t="shared" si="123"/>
        <v>54.671818012425113</v>
      </c>
      <c r="V99" s="141">
        <f t="shared" si="124"/>
        <v>41.00386350931884</v>
      </c>
      <c r="W99" s="141">
        <f t="shared" si="125"/>
        <v>29.884916598431733</v>
      </c>
      <c r="X99" s="141">
        <f t="shared" si="126"/>
        <v>22.413687448823797</v>
      </c>
      <c r="Y99" s="141">
        <f t="shared" si="127"/>
        <v>84.55673461085685</v>
      </c>
      <c r="Z99" s="117">
        <f t="shared" si="128"/>
        <v>63.417550958142641</v>
      </c>
      <c r="AA99" s="1"/>
    </row>
    <row r="100" spans="1:27" ht="15.75" thickBot="1">
      <c r="A100" s="164" t="s">
        <v>163</v>
      </c>
      <c r="B100" s="167">
        <v>1.3364108982652865</v>
      </c>
      <c r="C100" s="114">
        <f t="shared" si="105"/>
        <v>37.285864061601494</v>
      </c>
      <c r="D100" s="115">
        <f t="shared" si="106"/>
        <v>27.964398046201115</v>
      </c>
      <c r="E100" s="116">
        <f t="shared" si="107"/>
        <v>37.820428420907611</v>
      </c>
      <c r="F100" s="115">
        <f t="shared" si="108"/>
        <v>28.365321315680706</v>
      </c>
      <c r="G100" s="114">
        <f t="shared" si="109"/>
        <v>41.562378936050408</v>
      </c>
      <c r="H100" s="115">
        <f t="shared" si="110"/>
        <v>31.171784202037809</v>
      </c>
      <c r="I100" s="114">
        <f t="shared" si="111"/>
        <v>35.949453163336202</v>
      </c>
      <c r="J100" s="134">
        <f t="shared" si="112"/>
        <v>26.962089872502151</v>
      </c>
      <c r="K100" s="134">
        <f t="shared" si="113"/>
        <v>17.373341677448725</v>
      </c>
      <c r="L100" s="134">
        <f t="shared" si="114"/>
        <v>13.030006258086543</v>
      </c>
      <c r="M100" s="134">
        <f t="shared" si="115"/>
        <v>53.322794840784923</v>
      </c>
      <c r="N100" s="115">
        <f t="shared" si="116"/>
        <v>39.992096130588692</v>
      </c>
      <c r="O100" s="114">
        <f t="shared" si="117"/>
        <v>41.562378936050408</v>
      </c>
      <c r="P100" s="134">
        <f t="shared" si="118"/>
        <v>31.171784202037809</v>
      </c>
      <c r="Q100" s="134">
        <f t="shared" si="119"/>
        <v>41.562378936050408</v>
      </c>
      <c r="R100" s="134">
        <f t="shared" si="120"/>
        <v>31.171784202037809</v>
      </c>
      <c r="S100" s="134">
        <f t="shared" si="121"/>
        <v>83.124757872100815</v>
      </c>
      <c r="T100" s="115">
        <f t="shared" si="122"/>
        <v>62.343568404075619</v>
      </c>
      <c r="U100" s="140">
        <f t="shared" si="123"/>
        <v>41.562378936050408</v>
      </c>
      <c r="V100" s="141">
        <f t="shared" si="124"/>
        <v>31.171784202037809</v>
      </c>
      <c r="W100" s="141">
        <f t="shared" si="125"/>
        <v>22.718985270509869</v>
      </c>
      <c r="X100" s="141">
        <f t="shared" si="126"/>
        <v>17.039238952882403</v>
      </c>
      <c r="Y100" s="141">
        <f t="shared" si="127"/>
        <v>64.281364206560283</v>
      </c>
      <c r="Z100" s="117">
        <f t="shared" si="128"/>
        <v>48.211023154920213</v>
      </c>
      <c r="AA100" s="1"/>
    </row>
    <row r="101" spans="1:27" ht="15.75" thickBot="1">
      <c r="A101" s="164" t="s">
        <v>164</v>
      </c>
      <c r="B101" s="167">
        <v>1.0587719727775353</v>
      </c>
      <c r="C101" s="114">
        <f t="shared" si="105"/>
        <v>29.539738040493233</v>
      </c>
      <c r="D101" s="115">
        <f t="shared" si="106"/>
        <v>22.154803530369925</v>
      </c>
      <c r="E101" s="116">
        <f t="shared" si="107"/>
        <v>29.963246829604252</v>
      </c>
      <c r="F101" s="115">
        <f t="shared" si="108"/>
        <v>22.472435122203187</v>
      </c>
      <c r="G101" s="114">
        <f t="shared" si="109"/>
        <v>32.927808353381351</v>
      </c>
      <c r="H101" s="115">
        <f t="shared" si="110"/>
        <v>24.695856265036014</v>
      </c>
      <c r="I101" s="114">
        <f t="shared" si="111"/>
        <v>28.480966067715698</v>
      </c>
      <c r="J101" s="134">
        <f t="shared" si="112"/>
        <v>21.360724550786774</v>
      </c>
      <c r="K101" s="134">
        <f t="shared" si="113"/>
        <v>13.76403564610796</v>
      </c>
      <c r="L101" s="134">
        <f t="shared" si="114"/>
        <v>10.323026734580969</v>
      </c>
      <c r="M101" s="134">
        <f t="shared" si="115"/>
        <v>42.245001713823655</v>
      </c>
      <c r="N101" s="115">
        <f t="shared" si="116"/>
        <v>31.683751285367741</v>
      </c>
      <c r="O101" s="114">
        <f t="shared" si="117"/>
        <v>32.927808353381351</v>
      </c>
      <c r="P101" s="134">
        <f t="shared" si="118"/>
        <v>24.695856265036014</v>
      </c>
      <c r="Q101" s="134">
        <f t="shared" si="119"/>
        <v>32.927808353381351</v>
      </c>
      <c r="R101" s="134">
        <f t="shared" si="120"/>
        <v>24.695856265036014</v>
      </c>
      <c r="S101" s="134">
        <f t="shared" si="121"/>
        <v>65.855616706762703</v>
      </c>
      <c r="T101" s="115">
        <f t="shared" si="122"/>
        <v>49.391712530072027</v>
      </c>
      <c r="U101" s="140">
        <f t="shared" si="123"/>
        <v>32.927808353381351</v>
      </c>
      <c r="V101" s="141">
        <f t="shared" si="124"/>
        <v>24.695856265036014</v>
      </c>
      <c r="W101" s="141">
        <f t="shared" si="125"/>
        <v>17.9991235372181</v>
      </c>
      <c r="X101" s="141">
        <f t="shared" si="126"/>
        <v>13.499342652913576</v>
      </c>
      <c r="Y101" s="141">
        <f t="shared" si="127"/>
        <v>50.926931890599448</v>
      </c>
      <c r="Z101" s="117">
        <f t="shared" si="128"/>
        <v>38.19519891794959</v>
      </c>
      <c r="AA101" s="1"/>
    </row>
    <row r="102" spans="1:27" ht="15.75" thickBot="1">
      <c r="A102" s="164" t="s">
        <v>165</v>
      </c>
      <c r="B102" s="167">
        <v>1.5652853005297418</v>
      </c>
      <c r="C102" s="114">
        <f t="shared" si="105"/>
        <v>43.671459884779793</v>
      </c>
      <c r="D102" s="115">
        <f t="shared" si="106"/>
        <v>32.753594913584841</v>
      </c>
      <c r="E102" s="116">
        <f t="shared" si="107"/>
        <v>44.297574004991695</v>
      </c>
      <c r="F102" s="115">
        <f t="shared" si="108"/>
        <v>33.22318050374377</v>
      </c>
      <c r="G102" s="114">
        <f t="shared" si="109"/>
        <v>48.680372846474974</v>
      </c>
      <c r="H102" s="115">
        <f t="shared" si="110"/>
        <v>36.510279634856232</v>
      </c>
      <c r="I102" s="114">
        <f t="shared" si="111"/>
        <v>42.106174584250049</v>
      </c>
      <c r="J102" s="134">
        <f t="shared" si="112"/>
        <v>31.579630938187535</v>
      </c>
      <c r="K102" s="134">
        <f t="shared" si="113"/>
        <v>20.348708906886642</v>
      </c>
      <c r="L102" s="134">
        <f t="shared" si="114"/>
        <v>15.261531680164982</v>
      </c>
      <c r="M102" s="134">
        <f t="shared" si="115"/>
        <v>62.454883491136691</v>
      </c>
      <c r="N102" s="115">
        <f t="shared" si="116"/>
        <v>46.841162618352513</v>
      </c>
      <c r="O102" s="114">
        <f t="shared" si="117"/>
        <v>48.680372846474974</v>
      </c>
      <c r="P102" s="134">
        <f t="shared" si="118"/>
        <v>36.510279634856232</v>
      </c>
      <c r="Q102" s="134">
        <f t="shared" si="119"/>
        <v>48.680372846474974</v>
      </c>
      <c r="R102" s="134">
        <f t="shared" si="120"/>
        <v>36.510279634856232</v>
      </c>
      <c r="S102" s="134">
        <f t="shared" si="121"/>
        <v>97.360745692949948</v>
      </c>
      <c r="T102" s="115">
        <f t="shared" si="122"/>
        <v>73.020559269712464</v>
      </c>
      <c r="U102" s="140">
        <f t="shared" si="123"/>
        <v>48.680372846474974</v>
      </c>
      <c r="V102" s="141">
        <f t="shared" si="124"/>
        <v>36.510279634856232</v>
      </c>
      <c r="W102" s="141">
        <f t="shared" si="125"/>
        <v>26.60985010900561</v>
      </c>
      <c r="X102" s="141">
        <f t="shared" si="126"/>
        <v>19.957387581754208</v>
      </c>
      <c r="Y102" s="141">
        <f t="shared" si="127"/>
        <v>75.290222955480587</v>
      </c>
      <c r="Z102" s="117">
        <f t="shared" si="128"/>
        <v>56.467667216610437</v>
      </c>
      <c r="AA102" s="1"/>
    </row>
    <row r="103" spans="1:27" ht="15.75" thickBot="1">
      <c r="A103" s="164" t="s">
        <v>166</v>
      </c>
      <c r="B103" s="167">
        <v>1.5849563177482056</v>
      </c>
      <c r="C103" s="114">
        <f t="shared" si="105"/>
        <v>44.220281265174933</v>
      </c>
      <c r="D103" s="115">
        <f t="shared" si="106"/>
        <v>33.165210948881196</v>
      </c>
      <c r="E103" s="116">
        <f t="shared" si="107"/>
        <v>44.854263792274217</v>
      </c>
      <c r="F103" s="115">
        <f t="shared" si="108"/>
        <v>33.640697844205668</v>
      </c>
      <c r="G103" s="114">
        <f t="shared" si="109"/>
        <v>49.292141481969196</v>
      </c>
      <c r="H103" s="115">
        <f t="shared" si="110"/>
        <v>36.969106111476897</v>
      </c>
      <c r="I103" s="114">
        <f t="shared" si="111"/>
        <v>42.635324947426724</v>
      </c>
      <c r="J103" s="134">
        <f t="shared" si="112"/>
        <v>31.976493710570043</v>
      </c>
      <c r="K103" s="134">
        <f t="shared" si="113"/>
        <v>20.604432130726671</v>
      </c>
      <c r="L103" s="134">
        <f t="shared" si="114"/>
        <v>15.453324098045004</v>
      </c>
      <c r="M103" s="134">
        <f t="shared" si="115"/>
        <v>63.239757078153396</v>
      </c>
      <c r="N103" s="115">
        <f t="shared" si="116"/>
        <v>47.429817808615049</v>
      </c>
      <c r="O103" s="114">
        <f t="shared" si="117"/>
        <v>49.292141481969196</v>
      </c>
      <c r="P103" s="134">
        <f t="shared" si="118"/>
        <v>36.969106111476897</v>
      </c>
      <c r="Q103" s="134">
        <f t="shared" si="119"/>
        <v>49.292141481969196</v>
      </c>
      <c r="R103" s="134">
        <f t="shared" si="120"/>
        <v>36.969106111476897</v>
      </c>
      <c r="S103" s="134">
        <f t="shared" si="121"/>
        <v>98.584282963938392</v>
      </c>
      <c r="T103" s="115">
        <f t="shared" si="122"/>
        <v>73.938212222953794</v>
      </c>
      <c r="U103" s="140">
        <f t="shared" si="123"/>
        <v>49.292141481969196</v>
      </c>
      <c r="V103" s="141">
        <f t="shared" si="124"/>
        <v>36.969106111476897</v>
      </c>
      <c r="W103" s="141">
        <f t="shared" si="125"/>
        <v>26.944257401719494</v>
      </c>
      <c r="X103" s="141">
        <f t="shared" si="126"/>
        <v>20.208193051289619</v>
      </c>
      <c r="Y103" s="141">
        <f t="shared" si="127"/>
        <v>76.236398883688693</v>
      </c>
      <c r="Z103" s="117">
        <f t="shared" si="128"/>
        <v>57.177299162766516</v>
      </c>
      <c r="AA103" s="1"/>
    </row>
    <row r="104" spans="1:27" ht="15.75" thickBot="1">
      <c r="A104" s="165" t="s">
        <v>162</v>
      </c>
      <c r="B104" s="168">
        <v>1.1478180554985224</v>
      </c>
      <c r="C104" s="114">
        <f t="shared" si="105"/>
        <v>32.024123748408776</v>
      </c>
      <c r="D104" s="115">
        <f t="shared" si="106"/>
        <v>24.01809281130658</v>
      </c>
      <c r="E104" s="116">
        <f t="shared" si="107"/>
        <v>32.483250970608189</v>
      </c>
      <c r="F104" s="115">
        <f t="shared" si="108"/>
        <v>24.36243822795614</v>
      </c>
      <c r="G104" s="114">
        <f t="shared" si="109"/>
        <v>35.697141526004053</v>
      </c>
      <c r="H104" s="115">
        <f t="shared" si="110"/>
        <v>26.772856144503038</v>
      </c>
      <c r="I104" s="114">
        <f t="shared" si="111"/>
        <v>30.876305692910254</v>
      </c>
      <c r="J104" s="134">
        <f t="shared" si="112"/>
        <v>23.157229269682688</v>
      </c>
      <c r="K104" s="134">
        <f t="shared" si="113"/>
        <v>14.921634721480793</v>
      </c>
      <c r="L104" s="134">
        <f t="shared" si="114"/>
        <v>11.191226041110594</v>
      </c>
      <c r="M104" s="134">
        <f t="shared" si="115"/>
        <v>45.79794041439105</v>
      </c>
      <c r="N104" s="115">
        <f t="shared" si="116"/>
        <v>34.348455310793284</v>
      </c>
      <c r="O104" s="114">
        <f t="shared" si="117"/>
        <v>35.697141526004053</v>
      </c>
      <c r="P104" s="134">
        <f t="shared" si="118"/>
        <v>26.772856144503038</v>
      </c>
      <c r="Q104" s="134">
        <f t="shared" si="119"/>
        <v>35.697141526004053</v>
      </c>
      <c r="R104" s="134">
        <f t="shared" si="120"/>
        <v>26.772856144503038</v>
      </c>
      <c r="S104" s="134">
        <f t="shared" si="121"/>
        <v>71.394283052008106</v>
      </c>
      <c r="T104" s="115">
        <f t="shared" si="122"/>
        <v>53.545712289006076</v>
      </c>
      <c r="U104" s="140">
        <f t="shared" si="123"/>
        <v>35.697141526004053</v>
      </c>
      <c r="V104" s="141">
        <f t="shared" si="124"/>
        <v>26.772856144503038</v>
      </c>
      <c r="W104" s="141">
        <f t="shared" si="125"/>
        <v>19.512906943474881</v>
      </c>
      <c r="X104" s="141">
        <f t="shared" si="126"/>
        <v>14.634680207606161</v>
      </c>
      <c r="Y104" s="141">
        <f t="shared" si="127"/>
        <v>55.210048469478934</v>
      </c>
      <c r="Z104" s="117">
        <f t="shared" si="128"/>
        <v>41.407536352109197</v>
      </c>
      <c r="AA104" s="1"/>
    </row>
    <row r="105" spans="1:27">
      <c r="A105" s="4"/>
      <c r="B105" s="169"/>
      <c r="C105" s="171"/>
      <c r="D105" s="171"/>
      <c r="E105" s="171"/>
      <c r="F105" s="171"/>
      <c r="G105" s="171"/>
      <c r="H105" s="171"/>
      <c r="I105" s="169"/>
      <c r="J105" s="169"/>
      <c r="K105" s="169"/>
      <c r="L105" s="169"/>
      <c r="M105" s="169"/>
      <c r="N105" s="169"/>
      <c r="O105" s="169"/>
      <c r="P105" s="169"/>
      <c r="Q105" s="169"/>
      <c r="R105" s="169"/>
      <c r="S105" s="169"/>
      <c r="T105" s="169"/>
      <c r="U105" s="1"/>
      <c r="V105" s="1"/>
      <c r="W105" s="1"/>
      <c r="X105" s="1"/>
      <c r="Y105" s="1"/>
      <c r="Z105" s="1"/>
      <c r="AA105" s="1"/>
    </row>
    <row r="106" spans="1:27">
      <c r="A106" s="4"/>
      <c r="B106" s="169"/>
      <c r="C106" s="171"/>
      <c r="D106" s="171"/>
      <c r="E106" s="171"/>
      <c r="F106" s="171"/>
      <c r="G106" s="171"/>
      <c r="H106" s="171"/>
      <c r="I106" s="169"/>
      <c r="J106" s="169"/>
      <c r="K106" s="169"/>
      <c r="L106" s="169"/>
      <c r="M106" s="169"/>
      <c r="N106" s="169"/>
      <c r="O106" s="169"/>
      <c r="P106" s="169"/>
      <c r="Q106" s="169"/>
      <c r="R106" s="169"/>
      <c r="S106" s="169"/>
      <c r="T106" s="169"/>
      <c r="U106" s="1"/>
      <c r="V106" s="1"/>
      <c r="W106" s="1"/>
      <c r="X106" s="1"/>
      <c r="Y106" s="1"/>
      <c r="Z106" s="1"/>
      <c r="AA106" s="1"/>
    </row>
    <row r="107" spans="1:27">
      <c r="A107" s="4"/>
      <c r="B107" s="169"/>
      <c r="C107" s="171"/>
      <c r="D107" s="171"/>
      <c r="E107" s="171"/>
      <c r="F107" s="171"/>
      <c r="G107" s="171"/>
      <c r="H107" s="171"/>
      <c r="I107" s="169"/>
      <c r="J107" s="169"/>
      <c r="K107" s="169"/>
      <c r="L107" s="169"/>
      <c r="M107" s="169"/>
      <c r="N107" s="169"/>
      <c r="O107" s="169"/>
      <c r="P107" s="169"/>
      <c r="Q107" s="169"/>
      <c r="R107" s="169"/>
      <c r="S107" s="169"/>
      <c r="T107" s="169"/>
      <c r="U107" s="1"/>
      <c r="V107" s="1"/>
      <c r="W107" s="1"/>
      <c r="X107" s="1"/>
      <c r="Y107" s="1"/>
      <c r="Z107" s="1"/>
      <c r="AA107" s="1"/>
    </row>
    <row r="108" spans="1:27">
      <c r="A108" s="4"/>
      <c r="B108" s="169"/>
      <c r="C108" s="171"/>
      <c r="D108" s="171"/>
      <c r="E108" s="171"/>
      <c r="F108" s="171"/>
      <c r="G108" s="171"/>
      <c r="H108" s="171"/>
      <c r="I108" s="169"/>
      <c r="J108" s="169"/>
      <c r="K108" s="169"/>
      <c r="L108" s="169"/>
      <c r="M108" s="169"/>
      <c r="N108" s="169"/>
      <c r="O108" s="169"/>
      <c r="P108" s="169"/>
      <c r="Q108" s="169"/>
      <c r="R108" s="169"/>
      <c r="S108" s="169"/>
      <c r="T108" s="169"/>
      <c r="U108" s="1"/>
      <c r="V108" s="1"/>
      <c r="W108" s="1"/>
      <c r="X108" s="1"/>
      <c r="Y108" s="1"/>
      <c r="Z108" s="1"/>
      <c r="AA108" s="1"/>
    </row>
    <row r="109" spans="1:27">
      <c r="A109" s="4"/>
      <c r="B109" s="169"/>
      <c r="C109" s="171"/>
      <c r="D109" s="171"/>
      <c r="E109" s="171"/>
      <c r="F109" s="171"/>
      <c r="G109" s="171"/>
      <c r="H109" s="171"/>
      <c r="I109" s="169"/>
      <c r="J109" s="169"/>
      <c r="K109" s="169"/>
      <c r="L109" s="169"/>
      <c r="M109" s="169"/>
      <c r="N109" s="169"/>
      <c r="O109" s="169"/>
      <c r="P109" s="169"/>
      <c r="Q109" s="169"/>
      <c r="R109" s="169"/>
      <c r="S109" s="169"/>
      <c r="T109" s="169"/>
      <c r="U109" s="1"/>
      <c r="V109" s="1"/>
      <c r="W109" s="1"/>
      <c r="X109" s="1"/>
      <c r="Y109" s="1"/>
      <c r="Z109" s="1"/>
      <c r="AA109" s="1"/>
    </row>
    <row r="110" spans="1:27">
      <c r="A110" s="4"/>
      <c r="B110" s="169"/>
      <c r="C110" s="171"/>
      <c r="D110" s="171"/>
      <c r="E110" s="171"/>
      <c r="F110" s="171"/>
      <c r="G110" s="171"/>
      <c r="H110" s="171"/>
      <c r="I110" s="169"/>
      <c r="J110" s="169"/>
      <c r="K110" s="169"/>
      <c r="L110" s="169"/>
      <c r="M110" s="169"/>
      <c r="N110" s="169"/>
      <c r="O110" s="169"/>
      <c r="P110" s="169"/>
      <c r="Q110" s="169"/>
      <c r="R110" s="169"/>
      <c r="S110" s="169"/>
      <c r="T110" s="169"/>
      <c r="U110" s="1"/>
      <c r="V110" s="1"/>
      <c r="W110" s="1"/>
      <c r="X110" s="1"/>
      <c r="Y110" s="1"/>
      <c r="Z110" s="1"/>
      <c r="AA110" s="1"/>
    </row>
    <row r="111" spans="1:27">
      <c r="A111" s="4"/>
      <c r="B111" s="169"/>
      <c r="C111" s="171"/>
      <c r="D111" s="171"/>
      <c r="E111" s="171"/>
      <c r="F111" s="171"/>
      <c r="G111" s="171"/>
      <c r="H111" s="171"/>
      <c r="I111" s="169"/>
      <c r="J111" s="169"/>
      <c r="K111" s="169"/>
      <c r="L111" s="169"/>
      <c r="M111" s="169"/>
      <c r="N111" s="169"/>
      <c r="O111" s="169"/>
      <c r="P111" s="169"/>
      <c r="Q111" s="169"/>
      <c r="R111" s="169"/>
      <c r="S111" s="169"/>
      <c r="T111" s="169"/>
      <c r="U111" s="1"/>
      <c r="V111" s="1"/>
      <c r="W111" s="1"/>
      <c r="X111" s="1"/>
      <c r="Y111" s="1"/>
      <c r="Z111" s="1"/>
      <c r="AA111" s="1"/>
    </row>
    <row r="112" spans="1:27">
      <c r="A112" s="4"/>
      <c r="B112" s="170"/>
      <c r="C112" s="172"/>
      <c r="D112" s="172"/>
      <c r="E112" s="172"/>
      <c r="F112" s="172"/>
      <c r="G112" s="172"/>
      <c r="H112" s="172"/>
      <c r="I112" s="170"/>
      <c r="J112" s="170"/>
      <c r="K112" s="170"/>
      <c r="L112" s="170"/>
      <c r="M112" s="170"/>
      <c r="N112" s="170"/>
      <c r="O112" s="170"/>
      <c r="P112" s="170"/>
      <c r="Q112" s="170"/>
      <c r="R112" s="170"/>
      <c r="S112" s="170"/>
      <c r="T112" s="170"/>
      <c r="U112" s="1"/>
      <c r="V112" s="1"/>
      <c r="W112" s="1"/>
      <c r="X112" s="1"/>
      <c r="Y112" s="1"/>
      <c r="Z112" s="1"/>
      <c r="AA112" s="1"/>
    </row>
    <row r="113" spans="1:27">
      <c r="A113" s="4"/>
      <c r="B113" s="170"/>
      <c r="C113" s="172"/>
      <c r="D113" s="172"/>
      <c r="E113" s="172"/>
      <c r="F113" s="172"/>
      <c r="G113" s="172"/>
      <c r="H113" s="172"/>
      <c r="I113" s="170"/>
      <c r="J113" s="170"/>
      <c r="K113" s="170"/>
      <c r="L113" s="170"/>
      <c r="M113" s="170"/>
      <c r="N113" s="170"/>
      <c r="O113" s="170"/>
      <c r="P113" s="170"/>
      <c r="Q113" s="170"/>
      <c r="R113" s="170"/>
      <c r="S113" s="170"/>
      <c r="T113" s="170"/>
      <c r="U113" s="1"/>
      <c r="V113" s="1"/>
      <c r="W113" s="1"/>
      <c r="X113" s="1"/>
      <c r="Y113" s="1"/>
      <c r="Z113" s="1"/>
      <c r="AA113" s="1"/>
    </row>
    <row r="114" spans="1:27">
      <c r="A114" s="4"/>
      <c r="B114" s="170"/>
      <c r="C114" s="172"/>
      <c r="D114" s="172"/>
      <c r="E114" s="172"/>
      <c r="F114" s="172"/>
      <c r="G114" s="172"/>
      <c r="H114" s="172"/>
      <c r="I114" s="170"/>
      <c r="J114" s="170"/>
      <c r="K114" s="170"/>
      <c r="L114" s="170"/>
      <c r="M114" s="170"/>
      <c r="N114" s="170"/>
      <c r="O114" s="170"/>
      <c r="P114" s="170"/>
      <c r="Q114" s="170"/>
      <c r="R114" s="170"/>
      <c r="S114" s="170"/>
      <c r="T114" s="170"/>
      <c r="U114" s="1"/>
      <c r="V114" s="1"/>
      <c r="W114" s="1"/>
      <c r="X114" s="1"/>
      <c r="Y114" s="1"/>
      <c r="Z114" s="1"/>
      <c r="AA114" s="1"/>
    </row>
    <row r="115" spans="1:27">
      <c r="A115" s="4"/>
      <c r="B115" s="170"/>
      <c r="C115" s="172"/>
      <c r="D115" s="172"/>
      <c r="E115" s="172"/>
      <c r="F115" s="172"/>
      <c r="G115" s="172"/>
      <c r="H115" s="172"/>
      <c r="I115" s="170"/>
      <c r="J115" s="170"/>
      <c r="K115" s="170"/>
      <c r="L115" s="170"/>
      <c r="M115" s="170"/>
      <c r="N115" s="170"/>
      <c r="O115" s="170"/>
      <c r="P115" s="170"/>
      <c r="Q115" s="170"/>
      <c r="R115" s="170"/>
      <c r="S115" s="170"/>
      <c r="T115" s="170"/>
      <c r="U115" s="1"/>
      <c r="V115" s="1"/>
      <c r="W115" s="1"/>
      <c r="X115" s="1"/>
      <c r="Y115" s="1"/>
      <c r="Z115" s="1"/>
      <c r="AA115" s="1"/>
    </row>
    <row r="116" spans="1:27">
      <c r="A116" s="4"/>
      <c r="B116" s="170"/>
      <c r="C116" s="172"/>
      <c r="D116" s="172"/>
      <c r="E116" s="172"/>
      <c r="F116" s="172"/>
      <c r="G116" s="172"/>
      <c r="H116" s="172"/>
      <c r="I116" s="170"/>
      <c r="J116" s="170"/>
      <c r="K116" s="170"/>
      <c r="L116" s="170"/>
      <c r="M116" s="170"/>
      <c r="N116" s="170"/>
      <c r="O116" s="170"/>
      <c r="P116" s="170"/>
      <c r="Q116" s="170"/>
      <c r="R116" s="170"/>
      <c r="S116" s="170"/>
      <c r="T116" s="170"/>
      <c r="U116" s="1"/>
      <c r="V116" s="1"/>
      <c r="W116" s="1"/>
      <c r="X116" s="1"/>
      <c r="Y116" s="1"/>
      <c r="Z116" s="1"/>
      <c r="AA116" s="1"/>
    </row>
    <row r="117" spans="1:27">
      <c r="A117" s="4"/>
      <c r="B117" s="170"/>
      <c r="C117" s="172"/>
      <c r="D117" s="172"/>
      <c r="E117" s="172"/>
      <c r="F117" s="172"/>
      <c r="G117" s="172"/>
      <c r="H117" s="172"/>
      <c r="I117" s="170"/>
      <c r="J117" s="170"/>
      <c r="K117" s="170"/>
      <c r="L117" s="170"/>
      <c r="M117" s="170"/>
      <c r="N117" s="170"/>
      <c r="O117" s="170"/>
      <c r="P117" s="170"/>
      <c r="Q117" s="170"/>
      <c r="R117" s="170"/>
      <c r="S117" s="170"/>
      <c r="T117" s="170"/>
      <c r="U117" s="1"/>
      <c r="V117" s="1"/>
      <c r="W117" s="1"/>
      <c r="X117" s="1"/>
      <c r="Y117" s="1"/>
      <c r="Z117" s="1"/>
      <c r="AA117" s="1"/>
    </row>
    <row r="118" spans="1:27">
      <c r="A118" s="4"/>
      <c r="B118" s="170"/>
      <c r="C118" s="172"/>
      <c r="D118" s="172"/>
      <c r="E118" s="172"/>
      <c r="F118" s="172"/>
      <c r="G118" s="172"/>
      <c r="H118" s="172"/>
      <c r="I118" s="170"/>
      <c r="J118" s="170"/>
      <c r="K118" s="170"/>
      <c r="L118" s="170"/>
      <c r="M118" s="170"/>
      <c r="N118" s="170"/>
      <c r="O118" s="170"/>
      <c r="P118" s="170"/>
      <c r="Q118" s="170"/>
      <c r="R118" s="170"/>
      <c r="S118" s="170"/>
      <c r="T118" s="170"/>
      <c r="U118" s="1"/>
      <c r="V118" s="1"/>
      <c r="W118" s="1"/>
      <c r="X118" s="1"/>
      <c r="Y118" s="1"/>
      <c r="Z118" s="1"/>
      <c r="AA118" s="1"/>
    </row>
    <row r="119" spans="1:27">
      <c r="A119" s="4"/>
      <c r="B119" s="170"/>
      <c r="C119" s="172"/>
      <c r="D119" s="172"/>
      <c r="E119" s="172"/>
      <c r="F119" s="172"/>
      <c r="G119" s="172"/>
      <c r="H119" s="172"/>
      <c r="I119" s="170"/>
      <c r="J119" s="170"/>
      <c r="K119" s="170"/>
      <c r="L119" s="170"/>
      <c r="M119" s="170"/>
      <c r="N119" s="170"/>
      <c r="O119" s="170"/>
      <c r="P119" s="170"/>
      <c r="Q119" s="170"/>
      <c r="R119" s="170"/>
      <c r="S119" s="170"/>
      <c r="T119" s="170"/>
      <c r="U119" s="1"/>
      <c r="V119" s="1"/>
      <c r="W119" s="1"/>
      <c r="X119" s="1"/>
      <c r="Y119" s="1"/>
      <c r="Z119" s="1"/>
      <c r="AA119" s="1"/>
    </row>
    <row r="120" spans="1:27">
      <c r="A120" s="4"/>
      <c r="B120" s="170"/>
      <c r="C120" s="172"/>
      <c r="D120" s="172"/>
      <c r="E120" s="172"/>
      <c r="F120" s="172"/>
      <c r="G120" s="172"/>
      <c r="H120" s="172"/>
      <c r="I120" s="170"/>
      <c r="J120" s="170"/>
      <c r="K120" s="170"/>
      <c r="L120" s="170"/>
      <c r="M120" s="170"/>
      <c r="N120" s="170"/>
      <c r="O120" s="170"/>
      <c r="P120" s="170"/>
      <c r="Q120" s="170"/>
      <c r="R120" s="170"/>
      <c r="S120" s="170"/>
      <c r="T120" s="170"/>
      <c r="U120" s="1"/>
      <c r="V120" s="1"/>
      <c r="W120" s="1"/>
      <c r="X120" s="1"/>
      <c r="Y120" s="1"/>
      <c r="Z120" s="1"/>
      <c r="AA120" s="1"/>
    </row>
    <row r="121" spans="1:27">
      <c r="A121" s="4"/>
      <c r="B121" s="170"/>
      <c r="C121" s="172"/>
      <c r="D121" s="172"/>
      <c r="E121" s="172"/>
      <c r="F121" s="172"/>
      <c r="G121" s="172"/>
      <c r="H121" s="172"/>
      <c r="I121" s="170"/>
      <c r="J121" s="170"/>
      <c r="K121" s="170"/>
      <c r="L121" s="170"/>
      <c r="M121" s="170"/>
      <c r="N121" s="170"/>
      <c r="O121" s="170"/>
      <c r="P121" s="170"/>
      <c r="Q121" s="170"/>
      <c r="R121" s="170"/>
      <c r="S121" s="170"/>
      <c r="T121" s="170"/>
      <c r="U121" s="1"/>
      <c r="V121" s="1"/>
      <c r="W121" s="1"/>
      <c r="X121" s="1"/>
      <c r="Y121" s="1"/>
      <c r="Z121" s="1"/>
      <c r="AA121" s="1"/>
    </row>
    <row r="122" spans="1:27">
      <c r="A122" s="4"/>
      <c r="B122" s="170"/>
      <c r="C122" s="172"/>
      <c r="D122" s="172"/>
      <c r="E122" s="172"/>
      <c r="F122" s="172"/>
      <c r="G122" s="172"/>
      <c r="H122" s="172"/>
      <c r="I122" s="170"/>
      <c r="J122" s="170"/>
      <c r="K122" s="170"/>
      <c r="L122" s="170"/>
      <c r="M122" s="170"/>
      <c r="N122" s="170"/>
      <c r="O122" s="170"/>
      <c r="P122" s="170"/>
      <c r="Q122" s="170"/>
      <c r="R122" s="170"/>
      <c r="S122" s="170"/>
      <c r="T122" s="170"/>
      <c r="U122" s="1"/>
      <c r="V122" s="1"/>
      <c r="W122" s="1"/>
      <c r="X122" s="1"/>
      <c r="Y122" s="1"/>
      <c r="Z122" s="1"/>
      <c r="AA122" s="1"/>
    </row>
    <row r="123" spans="1:27">
      <c r="A123" s="4"/>
      <c r="B123" s="170"/>
      <c r="C123" s="172"/>
      <c r="D123" s="172"/>
      <c r="E123" s="172"/>
      <c r="F123" s="172"/>
      <c r="G123" s="172"/>
      <c r="H123" s="172"/>
      <c r="I123" s="170"/>
      <c r="J123" s="170"/>
      <c r="K123" s="170"/>
      <c r="L123" s="170"/>
      <c r="M123" s="170"/>
      <c r="N123" s="170"/>
      <c r="O123" s="170"/>
      <c r="P123" s="170"/>
      <c r="Q123" s="170"/>
      <c r="R123" s="170"/>
      <c r="S123" s="170"/>
      <c r="T123" s="170"/>
      <c r="U123" s="1"/>
      <c r="V123" s="1"/>
      <c r="W123" s="1"/>
      <c r="X123" s="1"/>
      <c r="Y123" s="1"/>
      <c r="Z123" s="1"/>
      <c r="AA123" s="1"/>
    </row>
    <row r="124" spans="1:27">
      <c r="A124" s="4"/>
      <c r="B124" s="170"/>
      <c r="C124" s="172"/>
      <c r="D124" s="172"/>
      <c r="E124" s="172"/>
      <c r="F124" s="172"/>
      <c r="G124" s="172"/>
      <c r="H124" s="172"/>
      <c r="I124" s="170"/>
      <c r="J124" s="170"/>
      <c r="K124" s="170"/>
      <c r="L124" s="170"/>
      <c r="M124" s="170"/>
      <c r="N124" s="170"/>
      <c r="O124" s="170"/>
      <c r="P124" s="170"/>
      <c r="Q124" s="170"/>
      <c r="R124" s="170"/>
      <c r="S124" s="170"/>
      <c r="T124" s="170"/>
      <c r="U124" s="1"/>
      <c r="V124" s="1"/>
      <c r="W124" s="1"/>
      <c r="X124" s="1"/>
      <c r="Y124" s="1"/>
      <c r="Z124" s="1"/>
      <c r="AA124" s="1"/>
    </row>
    <row r="125" spans="1:27">
      <c r="A125" s="4"/>
      <c r="B125" s="170"/>
      <c r="C125" s="172"/>
      <c r="D125" s="172"/>
      <c r="E125" s="172"/>
      <c r="F125" s="172"/>
      <c r="G125" s="172"/>
      <c r="H125" s="172"/>
      <c r="I125" s="170"/>
      <c r="J125" s="170"/>
      <c r="K125" s="170"/>
      <c r="L125" s="170"/>
      <c r="M125" s="170"/>
      <c r="N125" s="170"/>
      <c r="O125" s="170"/>
      <c r="P125" s="170"/>
      <c r="Q125" s="170"/>
      <c r="R125" s="170"/>
      <c r="S125" s="170"/>
      <c r="T125" s="170"/>
      <c r="U125" s="1"/>
      <c r="V125" s="1"/>
      <c r="W125" s="1"/>
      <c r="X125" s="1"/>
      <c r="Y125" s="1"/>
      <c r="Z125" s="1"/>
      <c r="AA125" s="1"/>
    </row>
    <row r="126" spans="1:27">
      <c r="A126" s="4"/>
      <c r="B126" s="170"/>
      <c r="C126" s="172"/>
      <c r="D126" s="172"/>
      <c r="E126" s="172"/>
      <c r="F126" s="172"/>
      <c r="G126" s="172"/>
      <c r="H126" s="172"/>
      <c r="I126" s="170"/>
      <c r="J126" s="170"/>
      <c r="K126" s="170"/>
      <c r="L126" s="170"/>
      <c r="M126" s="170"/>
      <c r="N126" s="170"/>
      <c r="O126" s="170"/>
      <c r="P126" s="170"/>
      <c r="Q126" s="170"/>
      <c r="R126" s="170"/>
      <c r="S126" s="170"/>
      <c r="T126" s="170"/>
      <c r="U126" s="1"/>
      <c r="V126" s="1"/>
      <c r="W126" s="1"/>
      <c r="X126" s="1"/>
      <c r="Y126" s="1"/>
      <c r="Z126" s="1"/>
      <c r="AA126" s="1"/>
    </row>
    <row r="127" spans="1:27">
      <c r="A127" s="4"/>
      <c r="B127" s="170"/>
      <c r="C127" s="172"/>
      <c r="D127" s="172"/>
      <c r="E127" s="172"/>
      <c r="F127" s="172"/>
      <c r="G127" s="172"/>
      <c r="H127" s="172"/>
      <c r="I127" s="170"/>
      <c r="J127" s="170"/>
      <c r="K127" s="170"/>
      <c r="L127" s="170"/>
      <c r="M127" s="170"/>
      <c r="N127" s="170"/>
      <c r="O127" s="170"/>
      <c r="P127" s="170"/>
      <c r="Q127" s="170"/>
      <c r="R127" s="170"/>
      <c r="S127" s="170"/>
      <c r="T127" s="170"/>
      <c r="U127" s="1"/>
      <c r="V127" s="1"/>
      <c r="W127" s="1"/>
      <c r="X127" s="1"/>
      <c r="Y127" s="1"/>
      <c r="Z127" s="1"/>
      <c r="AA127" s="1"/>
    </row>
    <row r="128" spans="1:27">
      <c r="A128" s="4"/>
      <c r="B128" s="170"/>
      <c r="C128" s="172"/>
      <c r="D128" s="172"/>
      <c r="E128" s="172"/>
      <c r="F128" s="172"/>
      <c r="G128" s="172"/>
      <c r="H128" s="172"/>
      <c r="I128" s="170"/>
      <c r="J128" s="170"/>
      <c r="K128" s="170"/>
      <c r="L128" s="170"/>
      <c r="M128" s="170"/>
      <c r="N128" s="170"/>
      <c r="O128" s="170"/>
      <c r="P128" s="170"/>
      <c r="Q128" s="170"/>
      <c r="R128" s="170"/>
      <c r="S128" s="170"/>
      <c r="T128" s="170"/>
      <c r="U128" s="1"/>
      <c r="V128" s="1"/>
      <c r="W128" s="1"/>
      <c r="X128" s="1"/>
      <c r="Y128" s="1"/>
      <c r="Z128" s="1"/>
      <c r="AA128" s="1"/>
    </row>
    <row r="129" spans="1:27">
      <c r="A129" s="4"/>
      <c r="B129" s="170"/>
      <c r="C129" s="172"/>
      <c r="D129" s="172"/>
      <c r="E129" s="172"/>
      <c r="F129" s="172"/>
      <c r="G129" s="172"/>
      <c r="H129" s="172"/>
      <c r="I129" s="170"/>
      <c r="J129" s="170"/>
      <c r="K129" s="170"/>
      <c r="L129" s="170"/>
      <c r="M129" s="170"/>
      <c r="N129" s="170"/>
      <c r="O129" s="170"/>
      <c r="P129" s="170"/>
      <c r="Q129" s="170"/>
      <c r="R129" s="170"/>
      <c r="S129" s="170"/>
      <c r="T129" s="170"/>
      <c r="U129" s="1"/>
      <c r="V129" s="1"/>
      <c r="W129" s="1"/>
      <c r="X129" s="1"/>
      <c r="Y129" s="1"/>
      <c r="Z129" s="1"/>
      <c r="AA129" s="1"/>
    </row>
    <row r="130" spans="1:27">
      <c r="A130" s="4"/>
      <c r="B130" s="170"/>
      <c r="C130" s="172"/>
      <c r="D130" s="172"/>
      <c r="E130" s="172"/>
      <c r="F130" s="172"/>
      <c r="G130" s="172"/>
      <c r="H130" s="172"/>
      <c r="I130" s="170"/>
      <c r="J130" s="170"/>
      <c r="K130" s="170"/>
      <c r="L130" s="170"/>
      <c r="M130" s="170"/>
      <c r="N130" s="170"/>
      <c r="O130" s="170"/>
      <c r="P130" s="170"/>
      <c r="Q130" s="170"/>
      <c r="R130" s="170"/>
      <c r="S130" s="170"/>
      <c r="T130" s="170"/>
      <c r="U130" s="1"/>
      <c r="V130" s="1"/>
      <c r="W130" s="1"/>
      <c r="X130" s="1"/>
      <c r="Y130" s="1"/>
      <c r="Z130" s="1"/>
      <c r="AA130" s="1"/>
    </row>
    <row r="131" spans="1:27">
      <c r="A131" s="4"/>
      <c r="B131" s="170"/>
      <c r="C131" s="172"/>
      <c r="D131" s="172"/>
      <c r="E131" s="172"/>
      <c r="F131" s="172"/>
      <c r="G131" s="172"/>
      <c r="H131" s="172"/>
      <c r="I131" s="170"/>
      <c r="J131" s="170"/>
      <c r="K131" s="170"/>
      <c r="L131" s="170"/>
      <c r="M131" s="170"/>
      <c r="N131" s="170"/>
      <c r="O131" s="170"/>
      <c r="P131" s="170"/>
      <c r="Q131" s="170"/>
      <c r="R131" s="170"/>
      <c r="S131" s="170"/>
      <c r="T131" s="170"/>
      <c r="U131" s="1"/>
      <c r="V131" s="1"/>
      <c r="W131" s="1"/>
      <c r="X131" s="1"/>
      <c r="Y131" s="1"/>
      <c r="Z131" s="1"/>
      <c r="AA131" s="1"/>
    </row>
    <row r="132" spans="1:27">
      <c r="A132" s="4"/>
      <c r="B132" s="170"/>
      <c r="C132" s="172"/>
      <c r="D132" s="172"/>
      <c r="E132" s="172"/>
      <c r="F132" s="172"/>
      <c r="G132" s="172"/>
      <c r="H132" s="172"/>
      <c r="I132" s="170"/>
      <c r="J132" s="170"/>
      <c r="K132" s="170"/>
      <c r="L132" s="170"/>
      <c r="M132" s="170"/>
      <c r="N132" s="170"/>
      <c r="O132" s="170"/>
      <c r="P132" s="170"/>
      <c r="Q132" s="170"/>
      <c r="R132" s="170"/>
      <c r="S132" s="170"/>
      <c r="T132" s="170"/>
      <c r="U132" s="1"/>
      <c r="V132" s="1"/>
      <c r="W132" s="1"/>
      <c r="X132" s="1"/>
      <c r="Y132" s="1"/>
      <c r="Z132" s="1"/>
      <c r="AA132" s="1"/>
    </row>
    <row r="133" spans="1:27">
      <c r="A133" s="4"/>
      <c r="B133" s="170"/>
      <c r="C133" s="172"/>
      <c r="D133" s="172"/>
      <c r="E133" s="172"/>
      <c r="F133" s="172"/>
      <c r="G133" s="172"/>
      <c r="H133" s="172"/>
      <c r="I133" s="170"/>
      <c r="J133" s="170"/>
      <c r="K133" s="170"/>
      <c r="L133" s="170"/>
      <c r="M133" s="170"/>
      <c r="N133" s="170"/>
      <c r="O133" s="170"/>
      <c r="P133" s="170"/>
      <c r="Q133" s="170"/>
      <c r="R133" s="170"/>
      <c r="S133" s="170"/>
      <c r="T133" s="170"/>
      <c r="U133" s="1"/>
      <c r="V133" s="1"/>
      <c r="W133" s="1"/>
      <c r="X133" s="1"/>
      <c r="Y133" s="1"/>
      <c r="Z133" s="1"/>
      <c r="AA133" s="1"/>
    </row>
    <row r="134" spans="1:27">
      <c r="A134" s="4"/>
      <c r="B134" s="170"/>
      <c r="C134" s="172"/>
      <c r="D134" s="172"/>
      <c r="E134" s="172"/>
      <c r="F134" s="172"/>
      <c r="G134" s="172"/>
      <c r="H134" s="172"/>
      <c r="I134" s="170"/>
      <c r="J134" s="170"/>
      <c r="K134" s="170"/>
      <c r="L134" s="170"/>
      <c r="M134" s="170"/>
      <c r="N134" s="170"/>
      <c r="O134" s="170"/>
      <c r="P134" s="170"/>
      <c r="Q134" s="170"/>
      <c r="R134" s="170"/>
      <c r="S134" s="170"/>
      <c r="T134" s="170"/>
      <c r="U134" s="1"/>
      <c r="V134" s="1"/>
      <c r="W134" s="1"/>
      <c r="X134" s="1"/>
      <c r="Y134" s="1"/>
      <c r="Z134" s="1"/>
      <c r="AA134" s="1"/>
    </row>
    <row r="135" spans="1:27">
      <c r="A135" s="4"/>
      <c r="B135" s="170"/>
      <c r="C135" s="172"/>
      <c r="D135" s="172"/>
      <c r="E135" s="172"/>
      <c r="F135" s="172"/>
      <c r="G135" s="172"/>
      <c r="H135" s="172"/>
      <c r="I135" s="170"/>
      <c r="J135" s="170"/>
      <c r="K135" s="170"/>
      <c r="L135" s="170"/>
      <c r="M135" s="170"/>
      <c r="N135" s="170"/>
      <c r="O135" s="170"/>
      <c r="P135" s="170"/>
      <c r="Q135" s="170"/>
      <c r="R135" s="170"/>
      <c r="S135" s="170"/>
      <c r="T135" s="170"/>
      <c r="U135" s="1"/>
      <c r="V135" s="1"/>
      <c r="W135" s="1"/>
      <c r="X135" s="1"/>
      <c r="Y135" s="1"/>
      <c r="Z135" s="1"/>
      <c r="AA135" s="1"/>
    </row>
    <row r="136" spans="1:27">
      <c r="A136" s="4"/>
      <c r="B136" s="170"/>
      <c r="C136" s="172"/>
      <c r="D136" s="172"/>
      <c r="E136" s="172"/>
      <c r="F136" s="172"/>
      <c r="G136" s="172"/>
      <c r="H136" s="172"/>
      <c r="I136" s="170"/>
      <c r="J136" s="170"/>
      <c r="K136" s="170"/>
      <c r="L136" s="170"/>
      <c r="M136" s="170"/>
      <c r="N136" s="170"/>
      <c r="O136" s="170"/>
      <c r="P136" s="170"/>
      <c r="Q136" s="170"/>
      <c r="R136" s="170"/>
      <c r="S136" s="170"/>
      <c r="T136" s="170"/>
      <c r="U136" s="1"/>
      <c r="V136" s="1"/>
      <c r="W136" s="1"/>
      <c r="X136" s="1"/>
      <c r="Y136" s="1"/>
      <c r="Z136" s="1"/>
      <c r="AA136" s="1"/>
    </row>
    <row r="137" spans="1:27">
      <c r="A137" s="4"/>
      <c r="B137" s="170"/>
      <c r="C137" s="172"/>
      <c r="D137" s="172"/>
      <c r="E137" s="172"/>
      <c r="F137" s="172"/>
      <c r="G137" s="172"/>
      <c r="H137" s="172"/>
      <c r="I137" s="170"/>
      <c r="J137" s="170"/>
      <c r="K137" s="170"/>
      <c r="L137" s="170"/>
      <c r="M137" s="170"/>
      <c r="N137" s="170"/>
      <c r="O137" s="170"/>
      <c r="P137" s="170"/>
      <c r="Q137" s="170"/>
      <c r="R137" s="170"/>
      <c r="S137" s="170"/>
      <c r="T137" s="170"/>
      <c r="U137" s="1"/>
      <c r="V137" s="1"/>
      <c r="W137" s="1"/>
      <c r="X137" s="1"/>
      <c r="Y137" s="1"/>
      <c r="Z137" s="1"/>
      <c r="AA137" s="1"/>
    </row>
    <row r="138" spans="1:27">
      <c r="A138" s="4"/>
      <c r="B138" s="170"/>
      <c r="C138" s="172"/>
      <c r="D138" s="172"/>
      <c r="E138" s="172"/>
      <c r="F138" s="172"/>
      <c r="G138" s="172"/>
      <c r="H138" s="172"/>
      <c r="I138" s="170"/>
      <c r="J138" s="170"/>
      <c r="K138" s="170"/>
      <c r="L138" s="170"/>
      <c r="M138" s="170"/>
      <c r="N138" s="170"/>
      <c r="O138" s="170"/>
      <c r="P138" s="170"/>
      <c r="Q138" s="170"/>
      <c r="R138" s="170"/>
      <c r="S138" s="170"/>
      <c r="T138" s="170"/>
      <c r="U138" s="1"/>
      <c r="V138" s="1"/>
      <c r="W138" s="1"/>
      <c r="X138" s="1"/>
      <c r="Y138" s="1"/>
      <c r="Z138" s="1"/>
      <c r="AA138" s="1"/>
    </row>
    <row r="139" spans="1:27">
      <c r="A139" s="4"/>
      <c r="B139" s="170"/>
      <c r="C139" s="172"/>
      <c r="D139" s="172"/>
      <c r="E139" s="172"/>
      <c r="F139" s="172"/>
      <c r="G139" s="172"/>
      <c r="H139" s="172"/>
      <c r="I139" s="170"/>
      <c r="J139" s="170"/>
      <c r="K139" s="170"/>
      <c r="L139" s="170"/>
      <c r="M139" s="170"/>
      <c r="N139" s="170"/>
      <c r="O139" s="170"/>
      <c r="P139" s="170"/>
      <c r="Q139" s="170"/>
      <c r="R139" s="170"/>
      <c r="S139" s="170"/>
      <c r="T139" s="170"/>
      <c r="U139" s="1"/>
      <c r="V139" s="1"/>
      <c r="W139" s="1"/>
      <c r="X139" s="1"/>
      <c r="Y139" s="1"/>
      <c r="Z139" s="1"/>
      <c r="AA139" s="1"/>
    </row>
    <row r="140" spans="1:27">
      <c r="A140" s="4"/>
      <c r="B140" s="170"/>
      <c r="C140" s="172"/>
      <c r="D140" s="172"/>
      <c r="E140" s="172"/>
      <c r="F140" s="172"/>
      <c r="G140" s="172"/>
      <c r="H140" s="172"/>
      <c r="I140" s="170"/>
      <c r="J140" s="170"/>
      <c r="K140" s="170"/>
      <c r="L140" s="170"/>
      <c r="M140" s="170"/>
      <c r="N140" s="170"/>
      <c r="O140" s="170"/>
      <c r="P140" s="170"/>
      <c r="Q140" s="170"/>
      <c r="R140" s="170"/>
      <c r="S140" s="170"/>
      <c r="T140" s="170"/>
      <c r="U140" s="1"/>
      <c r="V140" s="1"/>
      <c r="W140" s="1"/>
      <c r="X140" s="1"/>
      <c r="Y140" s="1"/>
      <c r="Z140" s="1"/>
      <c r="AA140" s="1"/>
    </row>
    <row r="141" spans="1:27">
      <c r="A141" s="4"/>
      <c r="B141" s="170"/>
      <c r="C141" s="172"/>
      <c r="D141" s="172"/>
      <c r="E141" s="172"/>
      <c r="F141" s="172"/>
      <c r="G141" s="172"/>
      <c r="H141" s="172"/>
      <c r="I141" s="170"/>
      <c r="J141" s="170"/>
      <c r="K141" s="170"/>
      <c r="L141" s="170"/>
      <c r="M141" s="170"/>
      <c r="N141" s="170"/>
      <c r="O141" s="170"/>
      <c r="P141" s="170"/>
      <c r="Q141" s="170"/>
      <c r="R141" s="170"/>
      <c r="S141" s="170"/>
      <c r="T141" s="170"/>
      <c r="U141" s="1"/>
      <c r="V141" s="1"/>
      <c r="W141" s="1"/>
      <c r="X141" s="1"/>
      <c r="Y141" s="1"/>
      <c r="Z141" s="1"/>
      <c r="AA141" s="1"/>
    </row>
    <row r="142" spans="1:27">
      <c r="A142" s="4"/>
      <c r="B142" s="170"/>
      <c r="C142" s="172"/>
      <c r="D142" s="172"/>
      <c r="E142" s="172"/>
      <c r="F142" s="172"/>
      <c r="G142" s="172"/>
      <c r="H142" s="172"/>
      <c r="I142" s="170"/>
      <c r="J142" s="170"/>
      <c r="K142" s="170"/>
      <c r="L142" s="170"/>
      <c r="M142" s="170"/>
      <c r="N142" s="170"/>
      <c r="O142" s="170"/>
      <c r="P142" s="170"/>
      <c r="Q142" s="170"/>
      <c r="R142" s="170"/>
      <c r="S142" s="170"/>
      <c r="T142" s="170"/>
      <c r="U142" s="1"/>
      <c r="V142" s="1"/>
      <c r="W142" s="1"/>
      <c r="X142" s="1"/>
      <c r="Y142" s="1"/>
      <c r="Z142" s="1"/>
      <c r="AA142" s="1"/>
    </row>
    <row r="143" spans="1:27">
      <c r="A143" s="4"/>
      <c r="B143" s="170"/>
      <c r="C143" s="172"/>
      <c r="D143" s="172"/>
      <c r="E143" s="172"/>
      <c r="F143" s="172"/>
      <c r="G143" s="172"/>
      <c r="H143" s="172"/>
      <c r="I143" s="170"/>
      <c r="J143" s="170"/>
      <c r="K143" s="170"/>
      <c r="L143" s="170"/>
      <c r="M143" s="170"/>
      <c r="N143" s="170"/>
      <c r="O143" s="170"/>
      <c r="P143" s="170"/>
      <c r="Q143" s="170"/>
      <c r="R143" s="170"/>
      <c r="S143" s="170"/>
      <c r="T143" s="170"/>
      <c r="U143" s="1"/>
      <c r="V143" s="1"/>
      <c r="W143" s="1"/>
      <c r="X143" s="1"/>
      <c r="Y143" s="1"/>
      <c r="Z143" s="1"/>
      <c r="AA143" s="1"/>
    </row>
    <row r="144" spans="1:27">
      <c r="A144" s="4"/>
      <c r="B144" s="170"/>
      <c r="C144" s="172"/>
      <c r="D144" s="172"/>
      <c r="E144" s="172"/>
      <c r="F144" s="172"/>
      <c r="G144" s="172"/>
      <c r="H144" s="172"/>
      <c r="I144" s="170"/>
      <c r="J144" s="170"/>
      <c r="K144" s="170"/>
      <c r="L144" s="170"/>
      <c r="M144" s="170"/>
      <c r="N144" s="170"/>
      <c r="O144" s="170"/>
      <c r="P144" s="170"/>
      <c r="Q144" s="170"/>
      <c r="R144" s="170"/>
      <c r="S144" s="170"/>
      <c r="T144" s="170"/>
      <c r="U144" s="1"/>
      <c r="V144" s="1"/>
      <c r="W144" s="1"/>
      <c r="X144" s="1"/>
      <c r="Y144" s="1"/>
      <c r="Z144" s="1"/>
      <c r="AA144" s="1"/>
    </row>
    <row r="145" spans="1:27">
      <c r="A145" s="4"/>
      <c r="B145" s="170"/>
      <c r="C145" s="172"/>
      <c r="D145" s="172"/>
      <c r="E145" s="172"/>
      <c r="F145" s="172"/>
      <c r="G145" s="172"/>
      <c r="H145" s="172"/>
      <c r="I145" s="170"/>
      <c r="J145" s="170"/>
      <c r="K145" s="170"/>
      <c r="L145" s="170"/>
      <c r="M145" s="170"/>
      <c r="N145" s="170"/>
      <c r="O145" s="170"/>
      <c r="P145" s="170"/>
      <c r="Q145" s="170"/>
      <c r="R145" s="170"/>
      <c r="S145" s="170"/>
      <c r="T145" s="170"/>
      <c r="U145" s="1"/>
      <c r="V145" s="1"/>
      <c r="W145" s="1"/>
      <c r="X145" s="1"/>
      <c r="Y145" s="1"/>
      <c r="Z145" s="1"/>
      <c r="AA145" s="1"/>
    </row>
    <row r="146" spans="1:27">
      <c r="A146" s="4"/>
      <c r="B146" s="170"/>
      <c r="C146" s="172"/>
      <c r="D146" s="172"/>
      <c r="E146" s="172"/>
      <c r="F146" s="172"/>
      <c r="G146" s="172"/>
      <c r="H146" s="172"/>
      <c r="I146" s="170"/>
      <c r="J146" s="170"/>
      <c r="K146" s="170"/>
      <c r="L146" s="170"/>
      <c r="M146" s="170"/>
      <c r="N146" s="170"/>
      <c r="O146" s="170"/>
      <c r="P146" s="170"/>
      <c r="Q146" s="170"/>
      <c r="R146" s="170"/>
      <c r="S146" s="170"/>
      <c r="T146" s="170"/>
      <c r="U146" s="1"/>
      <c r="V146" s="1"/>
      <c r="W146" s="1"/>
      <c r="X146" s="1"/>
      <c r="Y146" s="1"/>
      <c r="Z146" s="1"/>
      <c r="AA146" s="1"/>
    </row>
    <row r="147" spans="1:27">
      <c r="A147" s="4"/>
      <c r="B147" s="170"/>
      <c r="C147" s="172"/>
      <c r="D147" s="172"/>
      <c r="E147" s="172"/>
      <c r="F147" s="172"/>
      <c r="G147" s="172"/>
      <c r="H147" s="172"/>
      <c r="I147" s="170"/>
      <c r="J147" s="170"/>
      <c r="K147" s="170"/>
      <c r="L147" s="170"/>
      <c r="M147" s="170"/>
      <c r="N147" s="170"/>
      <c r="O147" s="170"/>
      <c r="P147" s="170"/>
      <c r="Q147" s="170"/>
      <c r="R147" s="170"/>
      <c r="S147" s="170"/>
      <c r="T147" s="170"/>
      <c r="U147" s="1"/>
      <c r="V147" s="1"/>
      <c r="W147" s="1"/>
      <c r="X147" s="1"/>
      <c r="Y147" s="1"/>
      <c r="Z147" s="1"/>
      <c r="AA147" s="1"/>
    </row>
    <row r="148" spans="1:27">
      <c r="A148" s="4"/>
      <c r="B148" s="170"/>
      <c r="C148" s="172"/>
      <c r="D148" s="172"/>
      <c r="E148" s="172"/>
      <c r="F148" s="172"/>
      <c r="G148" s="172"/>
      <c r="H148" s="172"/>
      <c r="I148" s="170"/>
      <c r="J148" s="170"/>
      <c r="K148" s="170"/>
      <c r="L148" s="170"/>
      <c r="M148" s="170"/>
      <c r="N148" s="170"/>
      <c r="O148" s="170"/>
      <c r="P148" s="170"/>
      <c r="Q148" s="170"/>
      <c r="R148" s="170"/>
      <c r="S148" s="170"/>
      <c r="T148" s="170"/>
      <c r="U148" s="1"/>
      <c r="V148" s="1"/>
      <c r="W148" s="1"/>
      <c r="X148" s="1"/>
      <c r="Y148" s="1"/>
      <c r="Z148" s="1"/>
      <c r="AA148" s="1"/>
    </row>
    <row r="149" spans="1:27">
      <c r="A149" s="4"/>
      <c r="B149" s="170"/>
      <c r="C149" s="172"/>
      <c r="D149" s="172"/>
      <c r="E149" s="172"/>
      <c r="F149" s="172"/>
      <c r="G149" s="172"/>
      <c r="H149" s="172"/>
      <c r="I149" s="170"/>
      <c r="J149" s="170"/>
      <c r="K149" s="170"/>
      <c r="L149" s="170"/>
      <c r="M149" s="170"/>
      <c r="N149" s="170"/>
      <c r="O149" s="170"/>
      <c r="P149" s="170"/>
      <c r="Q149" s="170"/>
      <c r="R149" s="170"/>
      <c r="S149" s="170"/>
      <c r="T149" s="170"/>
      <c r="U149" s="1"/>
      <c r="V149" s="1"/>
      <c r="W149" s="1"/>
      <c r="X149" s="1"/>
      <c r="Y149" s="1"/>
      <c r="Z149" s="1"/>
      <c r="AA149" s="1"/>
    </row>
    <row r="150" spans="1:27">
      <c r="A150" s="4"/>
      <c r="B150" s="170"/>
      <c r="C150" s="172"/>
      <c r="D150" s="172"/>
      <c r="E150" s="172"/>
      <c r="F150" s="172"/>
      <c r="G150" s="172"/>
      <c r="H150" s="172"/>
      <c r="I150" s="170"/>
      <c r="J150" s="170"/>
      <c r="K150" s="170"/>
      <c r="L150" s="170"/>
      <c r="M150" s="170"/>
      <c r="N150" s="170"/>
      <c r="O150" s="170"/>
      <c r="P150" s="170"/>
      <c r="Q150" s="170"/>
      <c r="R150" s="170"/>
      <c r="S150" s="170"/>
      <c r="T150" s="170"/>
      <c r="U150" s="1"/>
      <c r="V150" s="1"/>
      <c r="W150" s="1"/>
      <c r="X150" s="1"/>
      <c r="Y150" s="1"/>
      <c r="Z150" s="1"/>
      <c r="AA150" s="1"/>
    </row>
    <row r="151" spans="1:27">
      <c r="A151" s="4"/>
      <c r="B151" s="170"/>
      <c r="C151" s="172"/>
      <c r="D151" s="172"/>
      <c r="E151" s="172"/>
      <c r="F151" s="172"/>
      <c r="G151" s="172"/>
      <c r="H151" s="172"/>
      <c r="I151" s="170"/>
      <c r="J151" s="170"/>
      <c r="K151" s="170"/>
      <c r="L151" s="170"/>
      <c r="M151" s="170"/>
      <c r="N151" s="170"/>
      <c r="O151" s="170"/>
      <c r="P151" s="170"/>
      <c r="Q151" s="170"/>
      <c r="R151" s="170"/>
      <c r="S151" s="170"/>
      <c r="T151" s="170"/>
      <c r="U151" s="1"/>
      <c r="V151" s="1"/>
      <c r="W151" s="1"/>
      <c r="X151" s="1"/>
      <c r="Y151" s="1"/>
      <c r="Z151" s="1"/>
      <c r="AA151" s="1"/>
    </row>
    <row r="152" spans="1:27">
      <c r="A152" s="4"/>
      <c r="B152" s="170"/>
      <c r="C152" s="172"/>
      <c r="D152" s="172"/>
      <c r="E152" s="172"/>
      <c r="F152" s="172"/>
      <c r="G152" s="172"/>
      <c r="H152" s="172"/>
      <c r="I152" s="170"/>
      <c r="J152" s="170"/>
      <c r="K152" s="170"/>
      <c r="L152" s="170"/>
      <c r="M152" s="170"/>
      <c r="N152" s="170"/>
      <c r="O152" s="170"/>
      <c r="P152" s="170"/>
      <c r="Q152" s="170"/>
      <c r="R152" s="170"/>
      <c r="S152" s="170"/>
      <c r="T152" s="170"/>
      <c r="U152" s="1"/>
      <c r="V152" s="1"/>
      <c r="W152" s="1"/>
      <c r="X152" s="1"/>
      <c r="Y152" s="1"/>
      <c r="Z152" s="1"/>
      <c r="AA152" s="1"/>
    </row>
    <row r="153" spans="1:27">
      <c r="A153" s="4"/>
      <c r="B153" s="170"/>
      <c r="C153" s="172"/>
      <c r="D153" s="172"/>
      <c r="E153" s="172"/>
      <c r="F153" s="172"/>
      <c r="G153" s="172"/>
      <c r="H153" s="172"/>
      <c r="I153" s="170"/>
      <c r="J153" s="170"/>
      <c r="K153" s="170"/>
      <c r="L153" s="170"/>
      <c r="M153" s="170"/>
      <c r="N153" s="170"/>
      <c r="O153" s="170"/>
      <c r="P153" s="170"/>
      <c r="Q153" s="170"/>
      <c r="R153" s="170"/>
      <c r="S153" s="170"/>
      <c r="T153" s="170"/>
      <c r="U153" s="1"/>
      <c r="V153" s="1"/>
      <c r="W153" s="1"/>
      <c r="X153" s="1"/>
      <c r="Y153" s="1"/>
      <c r="Z153" s="1"/>
      <c r="AA153" s="1"/>
    </row>
    <row r="154" spans="1:27">
      <c r="A154" s="4"/>
      <c r="B154" s="170"/>
      <c r="C154" s="172"/>
      <c r="D154" s="172"/>
      <c r="E154" s="172"/>
      <c r="F154" s="172"/>
      <c r="G154" s="172"/>
      <c r="H154" s="172"/>
      <c r="I154" s="170"/>
      <c r="J154" s="170"/>
      <c r="K154" s="170"/>
      <c r="L154" s="170"/>
      <c r="M154" s="170"/>
      <c r="N154" s="170"/>
      <c r="O154" s="170"/>
      <c r="P154" s="170"/>
      <c r="Q154" s="170"/>
      <c r="R154" s="170"/>
      <c r="S154" s="170"/>
      <c r="T154" s="170"/>
      <c r="U154" s="1"/>
      <c r="V154" s="1"/>
      <c r="W154" s="1"/>
      <c r="X154" s="1"/>
      <c r="Y154" s="1"/>
      <c r="Z154" s="1"/>
      <c r="AA154" s="1"/>
    </row>
    <row r="155" spans="1:27">
      <c r="A155" s="4"/>
      <c r="B155" s="170"/>
      <c r="C155" s="172"/>
      <c r="D155" s="172"/>
      <c r="E155" s="172"/>
      <c r="F155" s="172"/>
      <c r="G155" s="172"/>
      <c r="H155" s="172"/>
      <c r="I155" s="170"/>
      <c r="J155" s="170"/>
      <c r="K155" s="170"/>
      <c r="L155" s="170"/>
      <c r="M155" s="170"/>
      <c r="N155" s="170"/>
      <c r="O155" s="170"/>
      <c r="P155" s="170"/>
      <c r="Q155" s="170"/>
      <c r="R155" s="170"/>
      <c r="S155" s="170"/>
      <c r="T155" s="170"/>
      <c r="U155" s="1"/>
      <c r="V155" s="1"/>
      <c r="W155" s="1"/>
      <c r="X155" s="1"/>
      <c r="Y155" s="1"/>
      <c r="Z155" s="1"/>
      <c r="AA155" s="1"/>
    </row>
    <row r="156" spans="1:27">
      <c r="A156" s="4"/>
      <c r="B156" s="170"/>
      <c r="C156" s="172"/>
      <c r="D156" s="172"/>
      <c r="E156" s="172"/>
      <c r="F156" s="172"/>
      <c r="G156" s="172"/>
      <c r="H156" s="172"/>
      <c r="I156" s="170"/>
      <c r="J156" s="170"/>
      <c r="K156" s="170"/>
      <c r="L156" s="170"/>
      <c r="M156" s="170"/>
      <c r="N156" s="170"/>
      <c r="O156" s="170"/>
      <c r="P156" s="170"/>
      <c r="Q156" s="170"/>
      <c r="R156" s="170"/>
      <c r="S156" s="170"/>
      <c r="T156" s="170"/>
      <c r="U156" s="1"/>
      <c r="V156" s="1"/>
      <c r="W156" s="1"/>
      <c r="X156" s="1"/>
      <c r="Y156" s="1"/>
      <c r="Z156" s="1"/>
      <c r="AA156" s="1"/>
    </row>
    <row r="157" spans="1:27">
      <c r="A157" s="4"/>
      <c r="B157" s="170"/>
      <c r="C157" s="172"/>
      <c r="D157" s="172"/>
      <c r="E157" s="172"/>
      <c r="F157" s="172"/>
      <c r="G157" s="172"/>
      <c r="H157" s="172"/>
      <c r="I157" s="170"/>
      <c r="J157" s="170"/>
      <c r="K157" s="170"/>
      <c r="L157" s="170"/>
      <c r="M157" s="170"/>
      <c r="N157" s="170"/>
      <c r="O157" s="170"/>
      <c r="P157" s="170"/>
      <c r="Q157" s="170"/>
      <c r="R157" s="170"/>
      <c r="S157" s="170"/>
      <c r="T157" s="170"/>
      <c r="U157" s="1"/>
      <c r="V157" s="1"/>
      <c r="W157" s="1"/>
      <c r="X157" s="1"/>
      <c r="Y157" s="1"/>
      <c r="Z157" s="1"/>
      <c r="AA157" s="1"/>
    </row>
    <row r="158" spans="1:27">
      <c r="A158" s="4"/>
      <c r="B158" s="170"/>
      <c r="C158" s="172"/>
      <c r="D158" s="172"/>
      <c r="E158" s="172"/>
      <c r="F158" s="172"/>
      <c r="G158" s="172"/>
      <c r="H158" s="172"/>
      <c r="I158" s="170"/>
      <c r="J158" s="170"/>
      <c r="K158" s="170"/>
      <c r="L158" s="170"/>
      <c r="M158" s="170"/>
      <c r="N158" s="170"/>
      <c r="O158" s="170"/>
      <c r="P158" s="170"/>
      <c r="Q158" s="170"/>
      <c r="R158" s="170"/>
      <c r="S158" s="170"/>
      <c r="T158" s="170"/>
      <c r="U158" s="1"/>
      <c r="V158" s="1"/>
      <c r="W158" s="1"/>
      <c r="X158" s="1"/>
      <c r="Y158" s="1"/>
      <c r="Z158" s="1"/>
      <c r="AA158" s="1"/>
    </row>
    <row r="159" spans="1:27">
      <c r="A159" s="4"/>
      <c r="B159" s="170"/>
      <c r="C159" s="172"/>
      <c r="D159" s="172"/>
      <c r="E159" s="172"/>
      <c r="F159" s="172"/>
      <c r="G159" s="172"/>
      <c r="H159" s="172"/>
      <c r="I159" s="170"/>
      <c r="J159" s="170"/>
      <c r="K159" s="170"/>
      <c r="L159" s="170"/>
      <c r="M159" s="170"/>
      <c r="N159" s="170"/>
      <c r="O159" s="170"/>
      <c r="P159" s="170"/>
      <c r="Q159" s="170"/>
      <c r="R159" s="170"/>
      <c r="S159" s="170"/>
      <c r="T159" s="170"/>
      <c r="U159" s="1"/>
      <c r="V159" s="1"/>
      <c r="W159" s="1"/>
      <c r="X159" s="1"/>
      <c r="Y159" s="1"/>
      <c r="Z159" s="1"/>
      <c r="AA159" s="1"/>
    </row>
    <row r="160" spans="1:27">
      <c r="A160" s="4"/>
      <c r="B160" s="170"/>
      <c r="C160" s="172"/>
      <c r="D160" s="172"/>
      <c r="E160" s="172"/>
      <c r="F160" s="172"/>
      <c r="G160" s="172"/>
      <c r="H160" s="172"/>
      <c r="I160" s="170"/>
      <c r="J160" s="170"/>
      <c r="K160" s="170"/>
      <c r="L160" s="170"/>
      <c r="M160" s="170"/>
      <c r="N160" s="170"/>
      <c r="O160" s="170"/>
      <c r="P160" s="170"/>
      <c r="Q160" s="170"/>
      <c r="R160" s="170"/>
      <c r="S160" s="170"/>
      <c r="T160" s="170"/>
      <c r="U160" s="1"/>
      <c r="V160" s="1"/>
      <c r="W160" s="1"/>
      <c r="X160" s="1"/>
      <c r="Y160" s="1"/>
      <c r="Z160" s="1"/>
      <c r="AA160" s="1"/>
    </row>
    <row r="161" spans="1:27">
      <c r="A161" s="4"/>
      <c r="B161" s="170"/>
      <c r="C161" s="172"/>
      <c r="D161" s="172"/>
      <c r="E161" s="172"/>
      <c r="F161" s="172"/>
      <c r="G161" s="172"/>
      <c r="H161" s="172"/>
      <c r="I161" s="170"/>
      <c r="J161" s="170"/>
      <c r="K161" s="170"/>
      <c r="L161" s="170"/>
      <c r="M161" s="170"/>
      <c r="N161" s="170"/>
      <c r="O161" s="170"/>
      <c r="P161" s="170"/>
      <c r="Q161" s="170"/>
      <c r="R161" s="170"/>
      <c r="S161" s="170"/>
      <c r="T161" s="170"/>
      <c r="U161" s="1"/>
      <c r="V161" s="1"/>
      <c r="W161" s="1"/>
      <c r="X161" s="1"/>
      <c r="Y161" s="1"/>
      <c r="Z161" s="1"/>
      <c r="AA161" s="1"/>
    </row>
    <row r="162" spans="1:27">
      <c r="A162" s="4"/>
      <c r="B162" s="170"/>
      <c r="C162" s="172"/>
      <c r="D162" s="172"/>
      <c r="E162" s="172"/>
      <c r="F162" s="172"/>
      <c r="G162" s="172"/>
      <c r="H162" s="172"/>
      <c r="I162" s="170"/>
      <c r="J162" s="170"/>
      <c r="K162" s="170"/>
      <c r="L162" s="170"/>
      <c r="M162" s="170"/>
      <c r="N162" s="170"/>
      <c r="O162" s="170"/>
      <c r="P162" s="170"/>
      <c r="Q162" s="170"/>
      <c r="R162" s="170"/>
      <c r="S162" s="170"/>
      <c r="T162" s="170"/>
      <c r="U162" s="1"/>
      <c r="V162" s="1"/>
      <c r="W162" s="1"/>
      <c r="X162" s="1"/>
      <c r="Y162" s="1"/>
      <c r="Z162" s="1"/>
      <c r="AA162" s="1"/>
    </row>
    <row r="163" spans="1:27">
      <c r="A163" s="4"/>
      <c r="B163" s="170"/>
      <c r="C163" s="172"/>
      <c r="D163" s="172"/>
      <c r="E163" s="172"/>
      <c r="F163" s="172"/>
      <c r="G163" s="172"/>
      <c r="H163" s="172"/>
      <c r="I163" s="170"/>
      <c r="J163" s="170"/>
      <c r="K163" s="170"/>
      <c r="L163" s="170"/>
      <c r="M163" s="170"/>
      <c r="N163" s="170"/>
      <c r="O163" s="170"/>
      <c r="P163" s="170"/>
      <c r="Q163" s="170"/>
      <c r="R163" s="170"/>
      <c r="S163" s="170"/>
      <c r="T163" s="170"/>
      <c r="U163" s="1"/>
      <c r="V163" s="1"/>
      <c r="W163" s="1"/>
      <c r="X163" s="1"/>
      <c r="Y163" s="1"/>
      <c r="Z163" s="1"/>
      <c r="AA163" s="1"/>
    </row>
    <row r="164" spans="1:27">
      <c r="A164" s="4"/>
      <c r="B164" s="170"/>
      <c r="C164" s="172"/>
      <c r="D164" s="172"/>
      <c r="E164" s="172"/>
      <c r="F164" s="172"/>
      <c r="G164" s="172"/>
      <c r="H164" s="172"/>
      <c r="I164" s="170"/>
      <c r="J164" s="170"/>
      <c r="K164" s="170"/>
      <c r="L164" s="170"/>
      <c r="M164" s="170"/>
      <c r="N164" s="170"/>
      <c r="O164" s="170"/>
      <c r="P164" s="170"/>
      <c r="Q164" s="170"/>
      <c r="R164" s="170"/>
      <c r="S164" s="170"/>
      <c r="T164" s="170"/>
      <c r="U164" s="1"/>
      <c r="V164" s="1"/>
      <c r="W164" s="1"/>
      <c r="X164" s="1"/>
      <c r="Y164" s="1"/>
      <c r="Z164" s="1"/>
      <c r="AA164" s="1"/>
    </row>
    <row r="165" spans="1:27">
      <c r="A165" s="4"/>
      <c r="B165" s="170"/>
      <c r="C165" s="172"/>
      <c r="D165" s="172"/>
      <c r="E165" s="172"/>
      <c r="F165" s="172"/>
      <c r="G165" s="172"/>
      <c r="H165" s="172"/>
      <c r="I165" s="170"/>
      <c r="J165" s="170"/>
      <c r="K165" s="170"/>
      <c r="L165" s="170"/>
      <c r="M165" s="170"/>
      <c r="N165" s="170"/>
      <c r="O165" s="170"/>
      <c r="P165" s="170"/>
      <c r="Q165" s="170"/>
      <c r="R165" s="170"/>
      <c r="S165" s="170"/>
      <c r="T165" s="170"/>
      <c r="U165" s="1"/>
      <c r="V165" s="1"/>
      <c r="W165" s="1"/>
      <c r="X165" s="1"/>
      <c r="Y165" s="1"/>
      <c r="Z165" s="1"/>
      <c r="AA165" s="1"/>
    </row>
    <row r="166" spans="1:27">
      <c r="A166" s="4"/>
      <c r="B166" s="170"/>
      <c r="C166" s="172"/>
      <c r="D166" s="172"/>
      <c r="E166" s="172"/>
      <c r="F166" s="172"/>
      <c r="G166" s="172"/>
      <c r="H166" s="172"/>
      <c r="I166" s="170"/>
      <c r="J166" s="170"/>
      <c r="K166" s="170"/>
      <c r="L166" s="170"/>
      <c r="M166" s="170"/>
      <c r="N166" s="170"/>
      <c r="O166" s="170"/>
      <c r="P166" s="170"/>
      <c r="Q166" s="170"/>
      <c r="R166" s="170"/>
      <c r="S166" s="170"/>
      <c r="T166" s="170"/>
      <c r="U166" s="1"/>
      <c r="V166" s="1"/>
      <c r="W166" s="1"/>
      <c r="X166" s="1"/>
      <c r="Y166" s="1"/>
      <c r="Z166" s="1"/>
      <c r="AA166" s="1"/>
    </row>
    <row r="167" spans="1:27">
      <c r="A167" s="4"/>
      <c r="B167" s="170"/>
      <c r="C167" s="172"/>
      <c r="D167" s="172"/>
      <c r="E167" s="172"/>
      <c r="F167" s="172"/>
      <c r="G167" s="172"/>
      <c r="H167" s="172"/>
      <c r="I167" s="170"/>
      <c r="J167" s="170"/>
      <c r="K167" s="170"/>
      <c r="L167" s="170"/>
      <c r="M167" s="170"/>
      <c r="N167" s="170"/>
      <c r="O167" s="170"/>
      <c r="P167" s="170"/>
      <c r="Q167" s="170"/>
      <c r="R167" s="170"/>
      <c r="S167" s="170"/>
      <c r="T167" s="170"/>
      <c r="U167" s="1"/>
      <c r="V167" s="1"/>
      <c r="W167" s="1"/>
      <c r="X167" s="1"/>
      <c r="Y167" s="1"/>
      <c r="Z167" s="1"/>
      <c r="AA167" s="1"/>
    </row>
    <row r="168" spans="1:27">
      <c r="A168" s="4"/>
      <c r="B168" s="170"/>
      <c r="C168" s="172"/>
      <c r="D168" s="172"/>
      <c r="E168" s="172"/>
      <c r="F168" s="172"/>
      <c r="G168" s="172"/>
      <c r="H168" s="172"/>
      <c r="I168" s="170"/>
      <c r="J168" s="170"/>
      <c r="K168" s="170"/>
      <c r="L168" s="170"/>
      <c r="M168" s="170"/>
      <c r="N168" s="170"/>
      <c r="O168" s="170"/>
      <c r="P168" s="170"/>
      <c r="Q168" s="170"/>
      <c r="R168" s="170"/>
      <c r="S168" s="170"/>
      <c r="T168" s="170"/>
      <c r="U168" s="1"/>
      <c r="V168" s="1"/>
      <c r="W168" s="1"/>
      <c r="X168" s="1"/>
      <c r="Y168" s="1"/>
      <c r="Z168" s="1"/>
      <c r="AA168" s="1"/>
    </row>
    <row r="169" spans="1:27">
      <c r="A169" s="4"/>
      <c r="B169" s="170"/>
      <c r="C169" s="172"/>
      <c r="D169" s="172"/>
      <c r="E169" s="172"/>
      <c r="F169" s="172"/>
      <c r="G169" s="172"/>
      <c r="H169" s="172"/>
      <c r="I169" s="170"/>
      <c r="J169" s="170"/>
      <c r="K169" s="170"/>
      <c r="L169" s="170"/>
      <c r="M169" s="170"/>
      <c r="N169" s="170"/>
      <c r="O169" s="170"/>
      <c r="P169" s="170"/>
      <c r="Q169" s="170"/>
      <c r="R169" s="170"/>
      <c r="S169" s="170"/>
      <c r="T169" s="170"/>
      <c r="U169" s="1"/>
      <c r="V169" s="1"/>
      <c r="W169" s="1"/>
      <c r="X169" s="1"/>
      <c r="Y169" s="1"/>
      <c r="Z169" s="1"/>
      <c r="AA169" s="1"/>
    </row>
    <row r="170" spans="1:27">
      <c r="A170" s="4"/>
      <c r="B170" s="170"/>
      <c r="C170" s="172"/>
      <c r="D170" s="172"/>
      <c r="E170" s="172"/>
      <c r="F170" s="172"/>
      <c r="G170" s="172"/>
      <c r="H170" s="172"/>
      <c r="I170" s="170"/>
      <c r="J170" s="170"/>
      <c r="K170" s="170"/>
      <c r="L170" s="170"/>
      <c r="M170" s="170"/>
      <c r="N170" s="170"/>
      <c r="O170" s="170"/>
      <c r="P170" s="170"/>
      <c r="Q170" s="170"/>
      <c r="R170" s="170"/>
      <c r="S170" s="170"/>
      <c r="T170" s="170"/>
      <c r="U170" s="1"/>
      <c r="V170" s="1"/>
      <c r="W170" s="1"/>
      <c r="X170" s="1"/>
      <c r="Y170" s="1"/>
      <c r="Z170" s="1"/>
      <c r="AA170" s="1"/>
    </row>
    <row r="171" spans="1:27">
      <c r="A171" s="4"/>
      <c r="B171" s="170"/>
      <c r="C171" s="172"/>
      <c r="D171" s="172"/>
      <c r="E171" s="172"/>
      <c r="F171" s="172"/>
      <c r="G171" s="172"/>
      <c r="H171" s="172"/>
      <c r="I171" s="170"/>
      <c r="J171" s="170"/>
      <c r="K171" s="170"/>
      <c r="L171" s="170"/>
      <c r="M171" s="170"/>
      <c r="N171" s="170"/>
      <c r="O171" s="170"/>
      <c r="P171" s="170"/>
      <c r="Q171" s="170"/>
      <c r="R171" s="170"/>
      <c r="S171" s="170"/>
      <c r="T171" s="170"/>
      <c r="U171" s="1"/>
      <c r="V171" s="1"/>
      <c r="W171" s="1"/>
      <c r="X171" s="1"/>
      <c r="Y171" s="1"/>
      <c r="Z171" s="1"/>
      <c r="AA171" s="1"/>
    </row>
    <row r="172" spans="1:27">
      <c r="A172" s="4"/>
      <c r="B172" s="170"/>
      <c r="C172" s="172"/>
      <c r="D172" s="172"/>
      <c r="E172" s="172"/>
      <c r="F172" s="172"/>
      <c r="G172" s="172"/>
      <c r="H172" s="172"/>
      <c r="I172" s="170"/>
      <c r="J172" s="170"/>
      <c r="K172" s="170"/>
      <c r="L172" s="170"/>
      <c r="M172" s="170"/>
      <c r="N172" s="170"/>
      <c r="O172" s="170"/>
      <c r="P172" s="170"/>
      <c r="Q172" s="170"/>
      <c r="R172" s="170"/>
      <c r="S172" s="170"/>
      <c r="T172" s="170"/>
      <c r="U172" s="1"/>
      <c r="V172" s="1"/>
      <c r="W172" s="1"/>
      <c r="X172" s="1"/>
      <c r="Y172" s="1"/>
      <c r="Z172" s="1"/>
      <c r="AA172" s="1"/>
    </row>
    <row r="173" spans="1:27">
      <c r="A173" s="4"/>
      <c r="B173" s="170"/>
      <c r="C173" s="172"/>
      <c r="D173" s="172"/>
      <c r="E173" s="172"/>
      <c r="F173" s="172"/>
      <c r="G173" s="172"/>
      <c r="H173" s="172"/>
      <c r="I173" s="170"/>
      <c r="J173" s="170"/>
      <c r="K173" s="170"/>
      <c r="L173" s="170"/>
      <c r="M173" s="170"/>
      <c r="N173" s="170"/>
      <c r="O173" s="170"/>
      <c r="P173" s="170"/>
      <c r="Q173" s="170"/>
      <c r="R173" s="170"/>
      <c r="S173" s="170"/>
      <c r="T173" s="170"/>
      <c r="U173" s="1"/>
      <c r="V173" s="1"/>
      <c r="W173" s="1"/>
      <c r="X173" s="1"/>
      <c r="Y173" s="1"/>
      <c r="Z173" s="1"/>
      <c r="AA173" s="1"/>
    </row>
    <row r="174" spans="1:27">
      <c r="A174" s="4"/>
      <c r="B174" s="170"/>
      <c r="C174" s="172"/>
      <c r="D174" s="172"/>
      <c r="E174" s="172"/>
      <c r="F174" s="172"/>
      <c r="G174" s="172"/>
      <c r="H174" s="172"/>
      <c r="I174" s="170"/>
      <c r="J174" s="170"/>
      <c r="K174" s="170"/>
      <c r="L174" s="170"/>
      <c r="M174" s="170"/>
      <c r="N174" s="170"/>
      <c r="O174" s="170"/>
      <c r="P174" s="170"/>
      <c r="Q174" s="170"/>
      <c r="R174" s="170"/>
      <c r="S174" s="170"/>
      <c r="T174" s="170"/>
      <c r="U174" s="1"/>
      <c r="V174" s="1"/>
      <c r="W174" s="1"/>
      <c r="X174" s="1"/>
      <c r="Y174" s="1"/>
      <c r="Z174" s="1"/>
      <c r="AA174" s="1"/>
    </row>
    <row r="175" spans="1:27">
      <c r="A175" s="4"/>
      <c r="B175" s="170"/>
      <c r="C175" s="172"/>
      <c r="D175" s="172"/>
      <c r="E175" s="172"/>
      <c r="F175" s="172"/>
      <c r="G175" s="172"/>
      <c r="H175" s="172"/>
      <c r="I175" s="170"/>
      <c r="J175" s="170"/>
      <c r="K175" s="170"/>
      <c r="L175" s="170"/>
      <c r="M175" s="170"/>
      <c r="N175" s="170"/>
      <c r="O175" s="170"/>
      <c r="P175" s="170"/>
      <c r="Q175" s="170"/>
      <c r="R175" s="170"/>
      <c r="S175" s="170"/>
      <c r="T175" s="170"/>
      <c r="U175" s="1"/>
      <c r="V175" s="1"/>
      <c r="W175" s="1"/>
      <c r="X175" s="1"/>
      <c r="Y175" s="1"/>
      <c r="Z175" s="1"/>
      <c r="AA175" s="1"/>
    </row>
    <row r="176" spans="1:27">
      <c r="A176" s="4"/>
      <c r="B176" s="170"/>
      <c r="C176" s="172"/>
      <c r="D176" s="172"/>
      <c r="E176" s="172"/>
      <c r="F176" s="172"/>
      <c r="G176" s="172"/>
      <c r="H176" s="172"/>
      <c r="I176" s="170"/>
      <c r="J176" s="170"/>
      <c r="K176" s="170"/>
      <c r="L176" s="170"/>
      <c r="M176" s="170"/>
      <c r="N176" s="170"/>
      <c r="O176" s="170"/>
      <c r="P176" s="170"/>
      <c r="Q176" s="170"/>
      <c r="R176" s="170"/>
      <c r="S176" s="170"/>
      <c r="T176" s="170"/>
      <c r="U176" s="1"/>
      <c r="V176" s="1"/>
      <c r="W176" s="1"/>
      <c r="X176" s="1"/>
      <c r="Y176" s="1"/>
      <c r="Z176" s="1"/>
      <c r="AA176" s="1"/>
    </row>
    <row r="177" spans="1:27">
      <c r="A177" s="4"/>
      <c r="B177" s="170"/>
      <c r="C177" s="172"/>
      <c r="D177" s="172"/>
      <c r="E177" s="172"/>
      <c r="F177" s="172"/>
      <c r="G177" s="172"/>
      <c r="H177" s="172"/>
      <c r="I177" s="170"/>
      <c r="J177" s="170"/>
      <c r="K177" s="170"/>
      <c r="L177" s="170"/>
      <c r="M177" s="170"/>
      <c r="N177" s="170"/>
      <c r="O177" s="170"/>
      <c r="P177" s="170"/>
      <c r="Q177" s="170"/>
      <c r="R177" s="170"/>
      <c r="S177" s="170"/>
      <c r="T177" s="170"/>
      <c r="U177" s="1"/>
      <c r="V177" s="1"/>
      <c r="W177" s="1"/>
      <c r="X177" s="1"/>
      <c r="Y177" s="1"/>
      <c r="Z177" s="1"/>
      <c r="AA177" s="1"/>
    </row>
    <row r="178" spans="1:27">
      <c r="A178" s="4"/>
      <c r="B178" s="170"/>
      <c r="C178" s="172"/>
      <c r="D178" s="172"/>
      <c r="E178" s="172"/>
      <c r="F178" s="172"/>
      <c r="G178" s="172"/>
      <c r="H178" s="172"/>
      <c r="I178" s="170"/>
      <c r="J178" s="170"/>
      <c r="K178" s="170"/>
      <c r="L178" s="170"/>
      <c r="M178" s="170"/>
      <c r="N178" s="170"/>
      <c r="O178" s="170"/>
      <c r="P178" s="170"/>
      <c r="Q178" s="170"/>
      <c r="R178" s="170"/>
      <c r="S178" s="170"/>
      <c r="T178" s="170"/>
      <c r="U178" s="1"/>
      <c r="V178" s="1"/>
      <c r="W178" s="1"/>
      <c r="X178" s="1"/>
      <c r="Y178" s="1"/>
      <c r="Z178" s="1"/>
      <c r="AA178" s="1"/>
    </row>
    <row r="179" spans="1:27">
      <c r="A179" s="4"/>
      <c r="B179" s="170"/>
      <c r="C179" s="172"/>
      <c r="D179" s="172"/>
      <c r="E179" s="172"/>
      <c r="F179" s="172"/>
      <c r="G179" s="172"/>
      <c r="H179" s="172"/>
      <c r="I179" s="170"/>
      <c r="J179" s="170"/>
      <c r="K179" s="170"/>
      <c r="L179" s="170"/>
      <c r="M179" s="170"/>
      <c r="N179" s="170"/>
      <c r="O179" s="170"/>
      <c r="P179" s="170"/>
      <c r="Q179" s="170"/>
      <c r="R179" s="170"/>
      <c r="S179" s="170"/>
      <c r="T179" s="170"/>
      <c r="U179" s="1"/>
      <c r="V179" s="1"/>
      <c r="W179" s="1"/>
      <c r="X179" s="1"/>
      <c r="Y179" s="1"/>
      <c r="Z179" s="1"/>
      <c r="AA179" s="1"/>
    </row>
    <row r="180" spans="1:27">
      <c r="A180" s="4"/>
      <c r="B180" s="170"/>
      <c r="C180" s="172"/>
      <c r="D180" s="172"/>
      <c r="E180" s="172"/>
      <c r="F180" s="172"/>
      <c r="G180" s="172"/>
      <c r="H180" s="172"/>
      <c r="I180" s="170"/>
      <c r="J180" s="170"/>
      <c r="K180" s="170"/>
      <c r="L180" s="170"/>
      <c r="M180" s="170"/>
      <c r="N180" s="170"/>
      <c r="O180" s="170"/>
      <c r="P180" s="170"/>
      <c r="Q180" s="170"/>
      <c r="R180" s="170"/>
      <c r="S180" s="170"/>
      <c r="T180" s="170"/>
      <c r="U180" s="1"/>
      <c r="V180" s="1"/>
      <c r="W180" s="1"/>
      <c r="X180" s="1"/>
      <c r="Y180" s="1"/>
      <c r="Z180" s="1"/>
      <c r="AA180" s="1"/>
    </row>
    <row r="181" spans="1:27">
      <c r="A181" s="4"/>
      <c r="B181" s="170"/>
      <c r="C181" s="172"/>
      <c r="D181" s="172"/>
      <c r="E181" s="172"/>
      <c r="F181" s="172"/>
      <c r="G181" s="172"/>
      <c r="H181" s="172"/>
      <c r="I181" s="170"/>
      <c r="J181" s="170"/>
      <c r="K181" s="170"/>
      <c r="L181" s="170"/>
      <c r="M181" s="170"/>
      <c r="N181" s="170"/>
      <c r="O181" s="170"/>
      <c r="P181" s="170"/>
      <c r="Q181" s="170"/>
      <c r="R181" s="170"/>
      <c r="S181" s="170"/>
      <c r="T181" s="170"/>
      <c r="U181" s="1"/>
      <c r="V181" s="1"/>
      <c r="W181" s="1"/>
      <c r="X181" s="1"/>
      <c r="Y181" s="1"/>
      <c r="Z181" s="1"/>
      <c r="AA181" s="1"/>
    </row>
    <row r="182" spans="1:27">
      <c r="A182" s="4"/>
      <c r="B182" s="170"/>
      <c r="C182" s="172"/>
      <c r="D182" s="172"/>
      <c r="E182" s="172"/>
      <c r="F182" s="172"/>
      <c r="G182" s="172"/>
      <c r="H182" s="172"/>
      <c r="I182" s="170"/>
      <c r="J182" s="170"/>
      <c r="K182" s="170"/>
      <c r="L182" s="170"/>
      <c r="M182" s="170"/>
      <c r="N182" s="170"/>
      <c r="O182" s="170"/>
      <c r="P182" s="170"/>
      <c r="Q182" s="170"/>
      <c r="R182" s="170"/>
      <c r="S182" s="170"/>
      <c r="T182" s="170"/>
      <c r="U182" s="1"/>
      <c r="V182" s="1"/>
      <c r="W182" s="1"/>
      <c r="X182" s="1"/>
      <c r="Y182" s="1"/>
      <c r="Z182" s="1"/>
      <c r="AA182" s="1"/>
    </row>
    <row r="183" spans="1:27">
      <c r="A183" s="4"/>
      <c r="B183" s="170"/>
      <c r="C183" s="172"/>
      <c r="D183" s="172"/>
      <c r="E183" s="172"/>
      <c r="F183" s="172"/>
      <c r="G183" s="172"/>
      <c r="H183" s="172"/>
      <c r="I183" s="170"/>
      <c r="J183" s="170"/>
      <c r="K183" s="170"/>
      <c r="L183" s="170"/>
      <c r="M183" s="170"/>
      <c r="N183" s="170"/>
      <c r="O183" s="170"/>
      <c r="P183" s="170"/>
      <c r="Q183" s="170"/>
      <c r="R183" s="170"/>
      <c r="S183" s="170"/>
      <c r="T183" s="170"/>
      <c r="U183" s="1"/>
      <c r="V183" s="1"/>
      <c r="W183" s="1"/>
      <c r="X183" s="1"/>
      <c r="Y183" s="1"/>
      <c r="Z183" s="1"/>
      <c r="AA183" s="1"/>
    </row>
    <row r="184" spans="1:27">
      <c r="A184" s="4"/>
      <c r="B184" s="170"/>
      <c r="C184" s="172"/>
      <c r="D184" s="172"/>
      <c r="E184" s="172"/>
      <c r="F184" s="172"/>
      <c r="G184" s="172"/>
      <c r="H184" s="172"/>
      <c r="I184" s="170"/>
      <c r="J184" s="170"/>
      <c r="K184" s="170"/>
      <c r="L184" s="170"/>
      <c r="M184" s="170"/>
      <c r="N184" s="170"/>
      <c r="O184" s="170"/>
      <c r="P184" s="170"/>
      <c r="Q184" s="170"/>
      <c r="R184" s="170"/>
      <c r="S184" s="170"/>
      <c r="T184" s="170"/>
      <c r="U184" s="1"/>
      <c r="V184" s="1"/>
      <c r="W184" s="1"/>
      <c r="X184" s="1"/>
      <c r="Y184" s="1"/>
      <c r="Z184" s="1"/>
      <c r="AA184" s="1"/>
    </row>
    <row r="185" spans="1:27">
      <c r="A185" s="4"/>
      <c r="B185" s="170"/>
      <c r="C185" s="172"/>
      <c r="D185" s="172"/>
      <c r="E185" s="172"/>
      <c r="F185" s="172"/>
      <c r="G185" s="172"/>
      <c r="H185" s="172"/>
      <c r="I185" s="170"/>
      <c r="J185" s="170"/>
      <c r="K185" s="170"/>
      <c r="L185" s="170"/>
      <c r="M185" s="170"/>
      <c r="N185" s="170"/>
      <c r="O185" s="170"/>
      <c r="P185" s="170"/>
      <c r="Q185" s="170"/>
      <c r="R185" s="170"/>
      <c r="S185" s="170"/>
      <c r="T185" s="170"/>
      <c r="U185" s="1"/>
      <c r="V185" s="1"/>
      <c r="W185" s="1"/>
      <c r="X185" s="1"/>
      <c r="Y185" s="1"/>
      <c r="Z185" s="1"/>
      <c r="AA185" s="1"/>
    </row>
    <row r="186" spans="1:27">
      <c r="A186" s="4"/>
      <c r="B186" s="170"/>
      <c r="C186" s="172"/>
      <c r="D186" s="172"/>
      <c r="E186" s="172"/>
      <c r="F186" s="172"/>
      <c r="G186" s="172"/>
      <c r="H186" s="172"/>
      <c r="I186" s="170"/>
      <c r="J186" s="170"/>
      <c r="K186" s="170"/>
      <c r="L186" s="170"/>
      <c r="M186" s="170"/>
      <c r="N186" s="170"/>
      <c r="O186" s="170"/>
      <c r="P186" s="170"/>
      <c r="Q186" s="170"/>
      <c r="R186" s="170"/>
      <c r="S186" s="170"/>
      <c r="T186" s="170"/>
      <c r="U186" s="1"/>
      <c r="V186" s="1"/>
      <c r="W186" s="1"/>
      <c r="X186" s="1"/>
      <c r="Y186" s="1"/>
      <c r="Z186" s="1"/>
      <c r="AA186" s="1"/>
    </row>
    <row r="187" spans="1:27">
      <c r="A187" s="4"/>
      <c r="B187" s="170"/>
      <c r="C187" s="172"/>
      <c r="D187" s="172"/>
      <c r="E187" s="172"/>
      <c r="F187" s="172"/>
      <c r="G187" s="172"/>
      <c r="H187" s="172"/>
      <c r="I187" s="170"/>
      <c r="J187" s="170"/>
      <c r="K187" s="170"/>
      <c r="L187" s="170"/>
      <c r="M187" s="170"/>
      <c r="N187" s="170"/>
      <c r="O187" s="170"/>
      <c r="P187" s="170"/>
      <c r="Q187" s="170"/>
      <c r="R187" s="170"/>
      <c r="S187" s="170"/>
      <c r="T187" s="170"/>
      <c r="U187" s="1"/>
      <c r="V187" s="1"/>
      <c r="W187" s="1"/>
      <c r="X187" s="1"/>
      <c r="Y187" s="1"/>
      <c r="Z187" s="1"/>
      <c r="AA187" s="1"/>
    </row>
    <row r="188" spans="1:27">
      <c r="A188" s="4"/>
      <c r="B188" s="170"/>
      <c r="C188" s="172"/>
      <c r="D188" s="172"/>
      <c r="E188" s="172"/>
      <c r="F188" s="172"/>
      <c r="G188" s="172"/>
      <c r="H188" s="172"/>
      <c r="I188" s="170"/>
      <c r="J188" s="170"/>
      <c r="K188" s="170"/>
      <c r="L188" s="170"/>
      <c r="M188" s="170"/>
      <c r="N188" s="170"/>
      <c r="O188" s="170"/>
      <c r="P188" s="170"/>
      <c r="Q188" s="170"/>
      <c r="R188" s="170"/>
      <c r="S188" s="170"/>
      <c r="T188" s="170"/>
      <c r="U188" s="1"/>
      <c r="V188" s="1"/>
      <c r="W188" s="1"/>
      <c r="X188" s="1"/>
      <c r="Y188" s="1"/>
      <c r="Z188" s="1"/>
      <c r="AA188" s="1"/>
    </row>
    <row r="189" spans="1:27">
      <c r="A189" s="4"/>
      <c r="B189" s="170"/>
      <c r="C189" s="172"/>
      <c r="D189" s="172"/>
      <c r="E189" s="172"/>
      <c r="F189" s="172"/>
      <c r="G189" s="172"/>
      <c r="H189" s="172"/>
      <c r="I189" s="170"/>
      <c r="J189" s="170"/>
      <c r="K189" s="170"/>
      <c r="L189" s="170"/>
      <c r="M189" s="170"/>
      <c r="N189" s="170"/>
      <c r="O189" s="170"/>
      <c r="P189" s="170"/>
      <c r="Q189" s="170"/>
      <c r="R189" s="170"/>
      <c r="S189" s="170"/>
      <c r="T189" s="170"/>
      <c r="U189" s="1"/>
      <c r="V189" s="1"/>
      <c r="W189" s="1"/>
      <c r="X189" s="1"/>
      <c r="Y189" s="1"/>
      <c r="Z189" s="1"/>
      <c r="AA189" s="1"/>
    </row>
    <row r="190" spans="1:27">
      <c r="A190" s="4"/>
      <c r="B190" s="170"/>
      <c r="C190" s="172"/>
      <c r="D190" s="172"/>
      <c r="E190" s="172"/>
      <c r="F190" s="172"/>
      <c r="G190" s="172"/>
      <c r="H190" s="172"/>
      <c r="I190" s="170"/>
      <c r="J190" s="170"/>
      <c r="K190" s="170"/>
      <c r="L190" s="170"/>
      <c r="M190" s="170"/>
      <c r="N190" s="170"/>
      <c r="O190" s="170"/>
      <c r="P190" s="170"/>
      <c r="Q190" s="170"/>
      <c r="R190" s="170"/>
      <c r="S190" s="170"/>
      <c r="T190" s="170"/>
      <c r="U190" s="1"/>
      <c r="V190" s="1"/>
      <c r="W190" s="1"/>
      <c r="X190" s="1"/>
      <c r="Y190" s="1"/>
      <c r="Z190" s="1"/>
      <c r="AA190" s="1"/>
    </row>
    <row r="191" spans="1:27">
      <c r="A191" s="4"/>
      <c r="B191" s="170"/>
      <c r="C191" s="172"/>
      <c r="D191" s="172"/>
      <c r="E191" s="172"/>
      <c r="F191" s="172"/>
      <c r="G191" s="172"/>
      <c r="H191" s="172"/>
      <c r="I191" s="170"/>
      <c r="J191" s="170"/>
      <c r="K191" s="170"/>
      <c r="L191" s="170"/>
      <c r="M191" s="170"/>
      <c r="N191" s="170"/>
      <c r="O191" s="170"/>
      <c r="P191" s="170"/>
      <c r="Q191" s="170"/>
      <c r="R191" s="170"/>
      <c r="S191" s="170"/>
      <c r="T191" s="170"/>
      <c r="U191" s="1"/>
      <c r="V191" s="1"/>
      <c r="W191" s="1"/>
      <c r="X191" s="1"/>
      <c r="Y191" s="1"/>
      <c r="Z191" s="1"/>
      <c r="AA191" s="1"/>
    </row>
    <row r="192" spans="1:27">
      <c r="A192" s="4"/>
      <c r="B192" s="170"/>
      <c r="C192" s="172"/>
      <c r="D192" s="172"/>
      <c r="E192" s="172"/>
      <c r="F192" s="172"/>
      <c r="G192" s="172"/>
      <c r="H192" s="172"/>
      <c r="I192" s="170"/>
      <c r="J192" s="170"/>
      <c r="K192" s="170"/>
      <c r="L192" s="170"/>
      <c r="M192" s="170"/>
      <c r="N192" s="170"/>
      <c r="O192" s="170"/>
      <c r="P192" s="170"/>
      <c r="Q192" s="170"/>
      <c r="R192" s="170"/>
      <c r="S192" s="170"/>
      <c r="T192" s="170"/>
      <c r="U192" s="1"/>
      <c r="V192" s="1"/>
      <c r="W192" s="1"/>
      <c r="X192" s="1"/>
      <c r="Y192" s="1"/>
      <c r="Z192" s="1"/>
      <c r="AA192" s="1"/>
    </row>
    <row r="193" spans="1:27">
      <c r="A193" s="4"/>
      <c r="B193" s="170"/>
      <c r="C193" s="172"/>
      <c r="D193" s="172"/>
      <c r="E193" s="172"/>
      <c r="F193" s="172"/>
      <c r="G193" s="172"/>
      <c r="H193" s="172"/>
      <c r="I193" s="170"/>
      <c r="J193" s="170"/>
      <c r="K193" s="170"/>
      <c r="L193" s="170"/>
      <c r="M193" s="170"/>
      <c r="N193" s="170"/>
      <c r="O193" s="170"/>
      <c r="P193" s="170"/>
      <c r="Q193" s="170"/>
      <c r="R193" s="170"/>
      <c r="S193" s="170"/>
      <c r="T193" s="170"/>
      <c r="U193" s="1"/>
      <c r="V193" s="1"/>
      <c r="W193" s="1"/>
      <c r="X193" s="1"/>
      <c r="Y193" s="1"/>
      <c r="Z193" s="1"/>
      <c r="AA193" s="1"/>
    </row>
    <row r="194" spans="1:27">
      <c r="A194" s="4"/>
      <c r="B194" s="170"/>
      <c r="C194" s="172"/>
      <c r="D194" s="172"/>
      <c r="E194" s="172"/>
      <c r="F194" s="172"/>
      <c r="G194" s="172"/>
      <c r="H194" s="172"/>
      <c r="I194" s="170"/>
      <c r="J194" s="170"/>
      <c r="K194" s="170"/>
      <c r="L194" s="170"/>
      <c r="M194" s="170"/>
      <c r="N194" s="170"/>
      <c r="O194" s="170"/>
      <c r="P194" s="170"/>
      <c r="Q194" s="170"/>
      <c r="R194" s="170"/>
      <c r="S194" s="170"/>
      <c r="T194" s="170"/>
      <c r="U194" s="1"/>
      <c r="V194" s="1"/>
      <c r="W194" s="1"/>
      <c r="X194" s="1"/>
      <c r="Y194" s="1"/>
      <c r="Z194" s="1"/>
      <c r="AA194" s="1"/>
    </row>
    <row r="195" spans="1:27">
      <c r="A195" s="4"/>
      <c r="B195" s="170"/>
      <c r="C195" s="172"/>
      <c r="D195" s="172"/>
      <c r="E195" s="172"/>
      <c r="F195" s="172"/>
      <c r="G195" s="172"/>
      <c r="H195" s="172"/>
      <c r="I195" s="170"/>
      <c r="J195" s="170"/>
      <c r="K195" s="170"/>
      <c r="L195" s="170"/>
      <c r="M195" s="170"/>
      <c r="N195" s="170"/>
      <c r="O195" s="170"/>
      <c r="P195" s="170"/>
      <c r="Q195" s="170"/>
      <c r="R195" s="170"/>
      <c r="S195" s="170"/>
      <c r="T195" s="170"/>
      <c r="U195" s="1"/>
      <c r="V195" s="1"/>
      <c r="W195" s="1"/>
      <c r="X195" s="1"/>
      <c r="Y195" s="1"/>
      <c r="Z195" s="1"/>
      <c r="AA195" s="1"/>
    </row>
    <row r="196" spans="1:27">
      <c r="A196" s="4"/>
      <c r="B196" s="170"/>
      <c r="C196" s="172"/>
      <c r="D196" s="172"/>
      <c r="E196" s="172"/>
      <c r="F196" s="172"/>
      <c r="G196" s="172"/>
      <c r="H196" s="172"/>
      <c r="I196" s="170"/>
      <c r="J196" s="170"/>
      <c r="K196" s="170"/>
      <c r="L196" s="170"/>
      <c r="M196" s="170"/>
      <c r="N196" s="170"/>
      <c r="O196" s="170"/>
      <c r="P196" s="170"/>
      <c r="Q196" s="170"/>
      <c r="R196" s="170"/>
      <c r="S196" s="170"/>
      <c r="T196" s="170"/>
      <c r="U196" s="1"/>
      <c r="V196" s="1"/>
      <c r="W196" s="1"/>
      <c r="X196" s="1"/>
      <c r="Y196" s="1"/>
      <c r="Z196" s="1"/>
      <c r="AA196" s="1"/>
    </row>
    <row r="197" spans="1:27">
      <c r="A197" s="4"/>
      <c r="B197" s="170"/>
      <c r="C197" s="172"/>
      <c r="D197" s="172"/>
      <c r="E197" s="172"/>
      <c r="F197" s="172"/>
      <c r="G197" s="172"/>
      <c r="H197" s="172"/>
      <c r="I197" s="170"/>
      <c r="J197" s="170"/>
      <c r="K197" s="170"/>
      <c r="L197" s="170"/>
      <c r="M197" s="170"/>
      <c r="N197" s="170"/>
      <c r="O197" s="170"/>
      <c r="P197" s="170"/>
      <c r="Q197" s="170"/>
      <c r="R197" s="170"/>
      <c r="S197" s="170"/>
      <c r="T197" s="170"/>
      <c r="U197" s="1"/>
      <c r="V197" s="1"/>
      <c r="W197" s="1"/>
      <c r="X197" s="1"/>
      <c r="Y197" s="1"/>
      <c r="Z197" s="1"/>
      <c r="AA197" s="1"/>
    </row>
    <row r="198" spans="1:27">
      <c r="A198" s="4"/>
      <c r="B198" s="170"/>
      <c r="C198" s="172"/>
      <c r="D198" s="172"/>
      <c r="E198" s="172"/>
      <c r="F198" s="172"/>
      <c r="G198" s="172"/>
      <c r="H198" s="172"/>
      <c r="I198" s="170"/>
      <c r="J198" s="170"/>
      <c r="K198" s="170"/>
      <c r="L198" s="170"/>
      <c r="M198" s="170"/>
      <c r="N198" s="170"/>
      <c r="O198" s="170"/>
      <c r="P198" s="170"/>
      <c r="Q198" s="170"/>
      <c r="R198" s="170"/>
      <c r="S198" s="170"/>
      <c r="T198" s="170"/>
      <c r="U198" s="1"/>
      <c r="V198" s="1"/>
      <c r="W198" s="1"/>
      <c r="X198" s="1"/>
      <c r="Y198" s="1"/>
      <c r="Z198" s="1"/>
      <c r="AA198" s="1"/>
    </row>
    <row r="199" spans="1:27">
      <c r="A199" s="4"/>
      <c r="B199" s="170"/>
      <c r="C199" s="172"/>
      <c r="D199" s="172"/>
      <c r="E199" s="172"/>
      <c r="F199" s="172"/>
      <c r="G199" s="172"/>
      <c r="H199" s="172"/>
      <c r="I199" s="170"/>
      <c r="J199" s="170"/>
      <c r="K199" s="170"/>
      <c r="L199" s="170"/>
      <c r="M199" s="170"/>
      <c r="N199" s="170"/>
      <c r="O199" s="170"/>
      <c r="P199" s="170"/>
      <c r="Q199" s="170"/>
      <c r="R199" s="170"/>
      <c r="S199" s="170"/>
      <c r="T199" s="170"/>
      <c r="U199" s="1"/>
      <c r="V199" s="1"/>
      <c r="W199" s="1"/>
      <c r="X199" s="1"/>
      <c r="Y199" s="1"/>
      <c r="Z199" s="1"/>
      <c r="AA199" s="1"/>
    </row>
    <row r="200" spans="1:27">
      <c r="A200" s="4"/>
      <c r="B200" s="170"/>
      <c r="C200" s="172"/>
      <c r="D200" s="172"/>
      <c r="E200" s="172"/>
      <c r="F200" s="172"/>
      <c r="G200" s="172"/>
      <c r="H200" s="172"/>
      <c r="I200" s="170"/>
      <c r="J200" s="170"/>
      <c r="K200" s="170"/>
      <c r="L200" s="170"/>
      <c r="M200" s="170"/>
      <c r="N200" s="170"/>
      <c r="O200" s="170"/>
      <c r="P200" s="170"/>
      <c r="Q200" s="170"/>
      <c r="R200" s="170"/>
      <c r="S200" s="170"/>
      <c r="T200" s="170"/>
      <c r="U200" s="1"/>
      <c r="V200" s="1"/>
      <c r="W200" s="1"/>
      <c r="X200" s="1"/>
      <c r="Y200" s="1"/>
      <c r="Z200" s="1"/>
      <c r="AA200" s="1"/>
    </row>
    <row r="201" spans="1:27">
      <c r="A201" s="4"/>
      <c r="B201" s="4"/>
      <c r="C201" s="8"/>
      <c r="D201" s="8"/>
      <c r="E201" s="8"/>
      <c r="F201" s="8"/>
      <c r="G201" s="8"/>
      <c r="H201" s="8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</row>
    <row r="202" spans="1:27">
      <c r="A202" s="4"/>
      <c r="B202" s="4"/>
      <c r="C202" s="8"/>
      <c r="D202" s="8"/>
      <c r="E202" s="8"/>
      <c r="F202" s="8"/>
      <c r="G202" s="8"/>
      <c r="H202" s="8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</row>
    <row r="203" spans="1:27">
      <c r="A203" s="4"/>
      <c r="B203" s="4"/>
      <c r="C203" s="8"/>
      <c r="D203" s="8"/>
      <c r="E203" s="8"/>
      <c r="F203" s="8"/>
      <c r="G203" s="8"/>
      <c r="H203" s="8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</row>
    <row r="204" spans="1:27">
      <c r="A204" s="4"/>
      <c r="B204" s="4"/>
      <c r="C204" s="8"/>
      <c r="D204" s="8"/>
      <c r="E204" s="8"/>
      <c r="F204" s="8"/>
      <c r="G204" s="8"/>
      <c r="H204" s="8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</row>
    <row r="205" spans="1:27">
      <c r="A205" s="4"/>
      <c r="B205" s="4"/>
      <c r="C205" s="8"/>
      <c r="D205" s="8"/>
      <c r="E205" s="8"/>
      <c r="F205" s="8"/>
      <c r="G205" s="8"/>
      <c r="H205" s="8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</row>
    <row r="206" spans="1:27">
      <c r="A206" s="4"/>
      <c r="B206" s="4"/>
      <c r="C206" s="8"/>
      <c r="D206" s="8"/>
      <c r="E206" s="8"/>
      <c r="F206" s="8"/>
      <c r="G206" s="8"/>
      <c r="H206" s="8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</row>
    <row r="207" spans="1:27">
      <c r="A207" s="4"/>
      <c r="B207" s="4"/>
      <c r="C207" s="8"/>
      <c r="D207" s="8"/>
      <c r="E207" s="8"/>
      <c r="F207" s="8"/>
      <c r="G207" s="8"/>
      <c r="H207" s="8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</row>
    <row r="208" spans="1:27">
      <c r="A208" s="4"/>
      <c r="B208" s="4"/>
      <c r="C208" s="8"/>
      <c r="D208" s="8"/>
      <c r="E208" s="8"/>
      <c r="F208" s="8"/>
      <c r="G208" s="8"/>
      <c r="H208" s="8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</row>
    <row r="209" spans="1:20">
      <c r="A209" s="4"/>
      <c r="B209" s="4"/>
      <c r="C209" s="8"/>
      <c r="D209" s="8"/>
      <c r="E209" s="8"/>
      <c r="F209" s="8"/>
      <c r="G209" s="8"/>
      <c r="H209" s="8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</row>
    <row r="210" spans="1:20">
      <c r="A210" s="4"/>
      <c r="B210" s="4"/>
      <c r="C210" s="8"/>
      <c r="D210" s="8"/>
      <c r="E210" s="8"/>
      <c r="F210" s="8"/>
      <c r="G210" s="8"/>
      <c r="H210" s="8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</row>
    <row r="211" spans="1:20">
      <c r="A211" s="4"/>
      <c r="B211" s="4"/>
      <c r="C211" s="8"/>
      <c r="D211" s="8"/>
      <c r="E211" s="8"/>
      <c r="F211" s="8"/>
      <c r="G211" s="8"/>
      <c r="H211" s="8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</row>
    <row r="212" spans="1:20">
      <c r="A212" s="4"/>
      <c r="B212" s="4"/>
      <c r="C212" s="8"/>
      <c r="D212" s="8"/>
      <c r="E212" s="8"/>
      <c r="F212" s="8"/>
      <c r="G212" s="8"/>
      <c r="H212" s="8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</row>
    <row r="213" spans="1:20">
      <c r="A213" s="4"/>
      <c r="B213" s="4"/>
      <c r="C213" s="8"/>
      <c r="D213" s="8"/>
      <c r="E213" s="8"/>
      <c r="F213" s="8"/>
      <c r="G213" s="8"/>
      <c r="H213" s="8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</row>
    <row r="214" spans="1:20">
      <c r="A214" s="4"/>
      <c r="B214" s="4"/>
      <c r="C214" s="8"/>
      <c r="D214" s="8"/>
      <c r="E214" s="8"/>
      <c r="F214" s="8"/>
      <c r="G214" s="8"/>
      <c r="H214" s="8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</row>
    <row r="215" spans="1:20">
      <c r="A215" s="4"/>
      <c r="B215" s="4"/>
      <c r="C215" s="8"/>
      <c r="D215" s="8"/>
      <c r="E215" s="8"/>
      <c r="F215" s="8"/>
      <c r="G215" s="8"/>
      <c r="H215" s="8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</row>
    <row r="216" spans="1:20">
      <c r="A216" s="4"/>
      <c r="B216" s="4"/>
      <c r="C216" s="8"/>
      <c r="D216" s="8"/>
      <c r="E216" s="8"/>
      <c r="F216" s="8"/>
      <c r="G216" s="8"/>
      <c r="H216" s="8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</row>
    <row r="217" spans="1:20">
      <c r="A217" s="4"/>
      <c r="B217" s="4"/>
      <c r="C217" s="8"/>
      <c r="D217" s="8"/>
      <c r="E217" s="8"/>
      <c r="F217" s="8"/>
      <c r="G217" s="8"/>
      <c r="H217" s="8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</row>
    <row r="218" spans="1:20">
      <c r="A218" s="4"/>
      <c r="B218" s="4"/>
      <c r="C218" s="8"/>
      <c r="D218" s="8"/>
      <c r="E218" s="8"/>
      <c r="F218" s="8"/>
      <c r="G218" s="8"/>
      <c r="H218" s="8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</row>
    <row r="219" spans="1:20">
      <c r="A219" s="4"/>
      <c r="B219" s="4"/>
      <c r="C219" s="8"/>
      <c r="D219" s="8"/>
      <c r="E219" s="8"/>
      <c r="F219" s="8"/>
      <c r="G219" s="8"/>
      <c r="H219" s="8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</row>
    <row r="220" spans="1:20">
      <c r="A220" s="4"/>
      <c r="B220" s="4"/>
      <c r="C220" s="8"/>
      <c r="D220" s="8"/>
      <c r="E220" s="8"/>
      <c r="F220" s="8"/>
      <c r="G220" s="8"/>
      <c r="H220" s="8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</row>
  </sheetData>
  <sheetProtection formatCells="0"/>
  <mergeCells count="27">
    <mergeCell ref="C4:F4"/>
    <mergeCell ref="E5:F5"/>
    <mergeCell ref="G5:H5"/>
    <mergeCell ref="G4:H4"/>
    <mergeCell ref="A3:A7"/>
    <mergeCell ref="B3:B7"/>
    <mergeCell ref="A1:Z1"/>
    <mergeCell ref="Q5:R5"/>
    <mergeCell ref="S5:T5"/>
    <mergeCell ref="O4:T4"/>
    <mergeCell ref="U5:V5"/>
    <mergeCell ref="W5:X5"/>
    <mergeCell ref="Y5:Z5"/>
    <mergeCell ref="U4:Z4"/>
    <mergeCell ref="C3:H3"/>
    <mergeCell ref="I5:J5"/>
    <mergeCell ref="K5:L5"/>
    <mergeCell ref="M5:N5"/>
    <mergeCell ref="I4:N4"/>
    <mergeCell ref="O5:P5"/>
    <mergeCell ref="I3:Z3"/>
    <mergeCell ref="C5:D5"/>
    <mergeCell ref="U2:Z2"/>
    <mergeCell ref="E2:F2"/>
    <mergeCell ref="G2:H2"/>
    <mergeCell ref="I2:N2"/>
    <mergeCell ref="O2:T2"/>
  </mergeCells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B7"/>
  <sheetViews>
    <sheetView workbookViewId="0">
      <selection activeCell="B7" sqref="B7"/>
    </sheetView>
  </sheetViews>
  <sheetFormatPr defaultRowHeight="15"/>
  <cols>
    <col min="1" max="1" width="10.140625" bestFit="1" customWidth="1"/>
    <col min="2" max="2" width="117.85546875" customWidth="1"/>
  </cols>
  <sheetData>
    <row r="1" spans="1:2">
      <c r="A1" t="s">
        <v>145</v>
      </c>
      <c r="B1" t="s">
        <v>146</v>
      </c>
    </row>
    <row r="2" spans="1:2">
      <c r="A2" s="151">
        <v>43325</v>
      </c>
      <c r="B2" t="s">
        <v>147</v>
      </c>
    </row>
    <row r="3" spans="1:2">
      <c r="A3" s="151">
        <v>43328</v>
      </c>
      <c r="B3" t="s">
        <v>167</v>
      </c>
    </row>
    <row r="4" spans="1:2">
      <c r="A4" s="151">
        <v>43390</v>
      </c>
      <c r="B4" t="s">
        <v>173</v>
      </c>
    </row>
    <row r="5" spans="1:2">
      <c r="A5" s="151">
        <v>43608</v>
      </c>
      <c r="B5" t="s">
        <v>188</v>
      </c>
    </row>
    <row r="6" spans="1:2">
      <c r="A6" s="151">
        <v>43774</v>
      </c>
      <c r="B6" t="s">
        <v>191</v>
      </c>
    </row>
    <row r="7" spans="1:2">
      <c r="A7" s="151">
        <v>43893</v>
      </c>
      <c r="B7" t="s">
        <v>192</v>
      </c>
    </row>
  </sheetData>
  <sheetProtection algorithmName="SHA-512" hashValue="XWFa1ITyeHwhJGXE3npjp9TgCBUho933v7J5PdoZuv2G9VoMBwzKI7pZYY73tF30JDWT019WCTB2/J38vyvMwg==" saltValue="Tm85J7rfAGmlSwq8C2ln7A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T217"/>
  <sheetViews>
    <sheetView workbookViewId="0">
      <selection activeCell="G17" sqref="G17"/>
    </sheetView>
  </sheetViews>
  <sheetFormatPr defaultRowHeight="15"/>
  <cols>
    <col min="1" max="1" width="25.85546875" customWidth="1"/>
    <col min="2" max="2" width="8.7109375" customWidth="1"/>
    <col min="3" max="3" width="8.5703125" customWidth="1"/>
    <col min="4" max="4" width="10.85546875" customWidth="1"/>
    <col min="5" max="5" width="9.28515625" customWidth="1"/>
    <col min="6" max="6" width="8.28515625" customWidth="1"/>
    <col min="7" max="7" width="12.42578125" customWidth="1"/>
    <col min="8" max="8" width="11.42578125" customWidth="1"/>
    <col min="9" max="9" width="11" style="9" customWidth="1"/>
    <col min="10" max="10" width="8.85546875" style="9" customWidth="1"/>
    <col min="11" max="11" width="11.85546875" style="9" customWidth="1"/>
    <col min="12" max="12" width="7" customWidth="1"/>
    <col min="13" max="13" width="6.5703125" customWidth="1"/>
    <col min="14" max="15" width="7" customWidth="1"/>
    <col min="16" max="16" width="7.42578125" customWidth="1"/>
    <col min="17" max="17" width="7.28515625" customWidth="1"/>
    <col min="18" max="18" width="7.140625" customWidth="1"/>
    <col min="19" max="19" width="6.85546875" customWidth="1"/>
    <col min="20" max="20" width="6.5703125" customWidth="1"/>
  </cols>
  <sheetData>
    <row r="1" spans="1:20" ht="24" customHeight="1" thickBot="1">
      <c r="A1" s="237" t="s">
        <v>41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  <c r="T1" s="239"/>
    </row>
    <row r="2" spans="1:20" ht="24" customHeight="1" thickBot="1">
      <c r="A2" s="250" t="s">
        <v>32</v>
      </c>
      <c r="B2" s="240" t="s">
        <v>40</v>
      </c>
      <c r="C2" s="240" t="s">
        <v>35</v>
      </c>
      <c r="D2" s="240" t="s">
        <v>36</v>
      </c>
      <c r="E2" s="240" t="s">
        <v>37</v>
      </c>
      <c r="F2" s="240" t="s">
        <v>39</v>
      </c>
      <c r="G2" s="240" t="s">
        <v>38</v>
      </c>
      <c r="H2" s="240" t="s">
        <v>47</v>
      </c>
      <c r="I2" s="245" t="s">
        <v>44</v>
      </c>
      <c r="J2" s="246"/>
      <c r="K2" s="247"/>
      <c r="L2" s="237" t="s">
        <v>46</v>
      </c>
      <c r="M2" s="238"/>
      <c r="N2" s="238"/>
      <c r="O2" s="238"/>
      <c r="P2" s="238"/>
      <c r="Q2" s="238"/>
      <c r="R2" s="238"/>
      <c r="S2" s="238"/>
      <c r="T2" s="239"/>
    </row>
    <row r="3" spans="1:20" s="2" customFormat="1" ht="24" customHeight="1" thickBot="1">
      <c r="A3" s="229"/>
      <c r="B3" s="233"/>
      <c r="C3" s="233"/>
      <c r="D3" s="233"/>
      <c r="E3" s="233"/>
      <c r="F3" s="233"/>
      <c r="G3" s="233"/>
      <c r="H3" s="233"/>
      <c r="I3" s="248" t="s">
        <v>48</v>
      </c>
      <c r="J3" s="249"/>
      <c r="K3" s="53" t="s">
        <v>49</v>
      </c>
      <c r="L3" s="241" t="s">
        <v>52</v>
      </c>
      <c r="M3" s="242"/>
      <c r="N3" s="243"/>
      <c r="O3" s="241" t="s">
        <v>50</v>
      </c>
      <c r="P3" s="242"/>
      <c r="Q3" s="243"/>
      <c r="R3" s="244" t="s">
        <v>51</v>
      </c>
      <c r="S3" s="242"/>
      <c r="T3" s="243"/>
    </row>
    <row r="4" spans="1:20" s="2" customFormat="1" ht="28.5" customHeight="1">
      <c r="A4" s="229"/>
      <c r="B4" s="233"/>
      <c r="C4" s="233"/>
      <c r="D4" s="233"/>
      <c r="E4" s="233"/>
      <c r="F4" s="233"/>
      <c r="G4" s="233"/>
      <c r="H4" s="233"/>
      <c r="I4" s="46" t="s">
        <v>45</v>
      </c>
      <c r="J4" s="46" t="s">
        <v>43</v>
      </c>
      <c r="K4" s="52" t="s">
        <v>43</v>
      </c>
      <c r="L4" s="24" t="s">
        <v>33</v>
      </c>
      <c r="M4" s="22" t="s">
        <v>34</v>
      </c>
      <c r="N4" s="25" t="s">
        <v>42</v>
      </c>
      <c r="O4" s="24" t="s">
        <v>33</v>
      </c>
      <c r="P4" s="22" t="s">
        <v>34</v>
      </c>
      <c r="Q4" s="25" t="s">
        <v>42</v>
      </c>
      <c r="R4" s="41" t="s">
        <v>33</v>
      </c>
      <c r="S4" s="22" t="s">
        <v>34</v>
      </c>
      <c r="T4" s="25" t="s">
        <v>42</v>
      </c>
    </row>
    <row r="5" spans="1:20" s="3" customFormat="1" ht="15.75" customHeight="1" thickBot="1">
      <c r="A5" s="231"/>
      <c r="B5" s="251"/>
      <c r="C5" s="34">
        <v>30</v>
      </c>
      <c r="D5" s="34">
        <v>83.7</v>
      </c>
      <c r="E5" s="34">
        <v>15.9</v>
      </c>
      <c r="F5" s="34">
        <v>59.4</v>
      </c>
      <c r="G5" s="34">
        <v>80.7</v>
      </c>
      <c r="H5" s="34">
        <v>113</v>
      </c>
      <c r="I5" s="47">
        <v>27.9</v>
      </c>
      <c r="J5" s="47">
        <v>28.3</v>
      </c>
      <c r="K5" s="48">
        <v>31.1</v>
      </c>
      <c r="L5" s="26">
        <v>26.9</v>
      </c>
      <c r="M5" s="11">
        <v>13</v>
      </c>
      <c r="N5" s="12"/>
      <c r="O5" s="26">
        <v>31.1</v>
      </c>
      <c r="P5" s="11">
        <v>31.1</v>
      </c>
      <c r="Q5" s="12"/>
      <c r="R5" s="33">
        <v>31.1</v>
      </c>
      <c r="S5" s="11">
        <v>17</v>
      </c>
      <c r="T5" s="12"/>
    </row>
    <row r="6" spans="1:20">
      <c r="A6" s="13" t="s">
        <v>60</v>
      </c>
      <c r="B6" s="78">
        <v>1.44</v>
      </c>
      <c r="C6" s="35">
        <f>B6*$C$5</f>
        <v>43.199999999999996</v>
      </c>
      <c r="D6" s="38">
        <f>B6*$D$5</f>
        <v>120.52800000000001</v>
      </c>
      <c r="E6" s="38">
        <f>B6*$E$5</f>
        <v>22.896000000000001</v>
      </c>
      <c r="F6" s="38">
        <f>B6*$F$5</f>
        <v>85.536000000000001</v>
      </c>
      <c r="G6" s="38">
        <f>B6*$G$5</f>
        <v>116.208</v>
      </c>
      <c r="H6" s="38">
        <f>B6*$H$5</f>
        <v>162.72</v>
      </c>
      <c r="I6" s="38">
        <f>B6*$I$5</f>
        <v>40.175999999999995</v>
      </c>
      <c r="J6" s="38">
        <f>B6*$J$5</f>
        <v>40.752000000000002</v>
      </c>
      <c r="K6" s="49">
        <f>B6*$K$5</f>
        <v>44.783999999999999</v>
      </c>
      <c r="L6" s="42">
        <f>B6*$L$5</f>
        <v>38.735999999999997</v>
      </c>
      <c r="M6" s="23">
        <f>B6*$M$5</f>
        <v>18.72</v>
      </c>
      <c r="N6" s="43">
        <f>L6+M6</f>
        <v>57.455999999999996</v>
      </c>
      <c r="O6" s="42">
        <f>B6*$O$5</f>
        <v>44.783999999999999</v>
      </c>
      <c r="P6" s="23">
        <f>B6*$P$5</f>
        <v>44.783999999999999</v>
      </c>
      <c r="Q6" s="43">
        <f>O6+P6</f>
        <v>89.567999999999998</v>
      </c>
      <c r="R6" s="54">
        <f>B6*$R$5</f>
        <v>44.783999999999999</v>
      </c>
      <c r="S6" s="31">
        <f>B6*$S$5</f>
        <v>24.48</v>
      </c>
      <c r="T6" s="32">
        <f>R6+S6</f>
        <v>69.263999999999996</v>
      </c>
    </row>
    <row r="7" spans="1:20">
      <c r="A7" s="14" t="s">
        <v>61</v>
      </c>
      <c r="B7" s="67">
        <v>1.51</v>
      </c>
      <c r="C7" s="36">
        <f t="shared" ref="C7:C70" si="0">B7*$C$5</f>
        <v>45.3</v>
      </c>
      <c r="D7" s="39">
        <f t="shared" ref="D7:D70" si="1">B7*$D$5</f>
        <v>126.387</v>
      </c>
      <c r="E7" s="39">
        <f t="shared" ref="E7:E70" si="2">B7*$E$5</f>
        <v>24.009</v>
      </c>
      <c r="F7" s="39">
        <f t="shared" ref="F7:F70" si="3">B7*$F$5</f>
        <v>89.694000000000003</v>
      </c>
      <c r="G7" s="39">
        <f t="shared" ref="G7:G70" si="4">B7*$G$5</f>
        <v>121.857</v>
      </c>
      <c r="H7" s="39">
        <f t="shared" ref="H7:H70" si="5">B7*$H$5</f>
        <v>170.63</v>
      </c>
      <c r="I7" s="39">
        <f t="shared" ref="I7:I70" si="6">B7*$I$5</f>
        <v>42.128999999999998</v>
      </c>
      <c r="J7" s="39">
        <f t="shared" ref="J7:J70" si="7">B7*$J$5</f>
        <v>42.733000000000004</v>
      </c>
      <c r="K7" s="50">
        <f t="shared" ref="K7:K70" si="8">B7*$K$5</f>
        <v>46.961000000000006</v>
      </c>
      <c r="L7" s="44">
        <f t="shared" ref="L7:L70" si="9">B7*$L$5</f>
        <v>40.619</v>
      </c>
      <c r="M7" s="10">
        <f t="shared" ref="M7:M70" si="10">B7*$M$5</f>
        <v>19.63</v>
      </c>
      <c r="N7" s="19">
        <f t="shared" ref="N7:N70" si="11">L7+M7</f>
        <v>60.248999999999995</v>
      </c>
      <c r="O7" s="44">
        <f t="shared" ref="O7:O70" si="12">B7*$O$5</f>
        <v>46.961000000000006</v>
      </c>
      <c r="P7" s="10">
        <f t="shared" ref="P7:P70" si="13">B7*$P$5</f>
        <v>46.961000000000006</v>
      </c>
      <c r="Q7" s="19">
        <f t="shared" ref="Q7:Q70" si="14">O7+P7</f>
        <v>93.922000000000011</v>
      </c>
      <c r="R7" s="55">
        <f t="shared" ref="R7:R70" si="15">B7*$R$5</f>
        <v>46.961000000000006</v>
      </c>
      <c r="S7" s="27">
        <f t="shared" ref="S7:S70" si="16">B7*$S$5</f>
        <v>25.67</v>
      </c>
      <c r="T7" s="28">
        <f t="shared" ref="T7:T70" si="17">R7+S7</f>
        <v>72.631</v>
      </c>
    </row>
    <row r="8" spans="1:20">
      <c r="A8" s="14" t="s">
        <v>62</v>
      </c>
      <c r="B8" s="67">
        <v>1.44</v>
      </c>
      <c r="C8" s="36">
        <f t="shared" si="0"/>
        <v>43.199999999999996</v>
      </c>
      <c r="D8" s="39">
        <f t="shared" si="1"/>
        <v>120.52800000000001</v>
      </c>
      <c r="E8" s="39">
        <f t="shared" si="2"/>
        <v>22.896000000000001</v>
      </c>
      <c r="F8" s="39">
        <f t="shared" si="3"/>
        <v>85.536000000000001</v>
      </c>
      <c r="G8" s="39">
        <f t="shared" si="4"/>
        <v>116.208</v>
      </c>
      <c r="H8" s="39">
        <f t="shared" si="5"/>
        <v>162.72</v>
      </c>
      <c r="I8" s="39">
        <f t="shared" si="6"/>
        <v>40.175999999999995</v>
      </c>
      <c r="J8" s="39">
        <f t="shared" si="7"/>
        <v>40.752000000000002</v>
      </c>
      <c r="K8" s="50">
        <f t="shared" si="8"/>
        <v>44.783999999999999</v>
      </c>
      <c r="L8" s="44">
        <f t="shared" si="9"/>
        <v>38.735999999999997</v>
      </c>
      <c r="M8" s="10">
        <f t="shared" si="10"/>
        <v>18.72</v>
      </c>
      <c r="N8" s="19">
        <f t="shared" si="11"/>
        <v>57.455999999999996</v>
      </c>
      <c r="O8" s="44">
        <f t="shared" si="12"/>
        <v>44.783999999999999</v>
      </c>
      <c r="P8" s="10">
        <f t="shared" si="13"/>
        <v>44.783999999999999</v>
      </c>
      <c r="Q8" s="19">
        <f t="shared" si="14"/>
        <v>89.567999999999998</v>
      </c>
      <c r="R8" s="55">
        <f t="shared" si="15"/>
        <v>44.783999999999999</v>
      </c>
      <c r="S8" s="27">
        <f t="shared" si="16"/>
        <v>24.48</v>
      </c>
      <c r="T8" s="28">
        <f t="shared" si="17"/>
        <v>69.263999999999996</v>
      </c>
    </row>
    <row r="9" spans="1:20">
      <c r="A9" s="14" t="s">
        <v>104</v>
      </c>
      <c r="B9" s="67">
        <v>1.44</v>
      </c>
      <c r="C9" s="36">
        <f t="shared" si="0"/>
        <v>43.199999999999996</v>
      </c>
      <c r="D9" s="39">
        <f t="shared" si="1"/>
        <v>120.52800000000001</v>
      </c>
      <c r="E9" s="39">
        <f t="shared" si="2"/>
        <v>22.896000000000001</v>
      </c>
      <c r="F9" s="39">
        <f t="shared" si="3"/>
        <v>85.536000000000001</v>
      </c>
      <c r="G9" s="39">
        <f t="shared" si="4"/>
        <v>116.208</v>
      </c>
      <c r="H9" s="39">
        <f>B9*$H$5</f>
        <v>162.72</v>
      </c>
      <c r="I9" s="39">
        <f t="shared" si="6"/>
        <v>40.175999999999995</v>
      </c>
      <c r="J9" s="39">
        <f t="shared" si="7"/>
        <v>40.752000000000002</v>
      </c>
      <c r="K9" s="50">
        <f t="shared" si="8"/>
        <v>44.783999999999999</v>
      </c>
      <c r="L9" s="44">
        <f t="shared" si="9"/>
        <v>38.735999999999997</v>
      </c>
      <c r="M9" s="10">
        <f t="shared" si="10"/>
        <v>18.72</v>
      </c>
      <c r="N9" s="19">
        <f t="shared" si="11"/>
        <v>57.455999999999996</v>
      </c>
      <c r="O9" s="44">
        <f t="shared" si="12"/>
        <v>44.783999999999999</v>
      </c>
      <c r="P9" s="10">
        <f t="shared" si="13"/>
        <v>44.783999999999999</v>
      </c>
      <c r="Q9" s="19">
        <f t="shared" si="14"/>
        <v>89.567999999999998</v>
      </c>
      <c r="R9" s="55">
        <f t="shared" si="15"/>
        <v>44.783999999999999</v>
      </c>
      <c r="S9" s="27">
        <f t="shared" si="16"/>
        <v>24.48</v>
      </c>
      <c r="T9" s="28">
        <f t="shared" si="17"/>
        <v>69.263999999999996</v>
      </c>
    </row>
    <row r="10" spans="1:20">
      <c r="A10" s="14" t="s">
        <v>105</v>
      </c>
      <c r="B10" s="67">
        <v>1.44</v>
      </c>
      <c r="C10" s="36">
        <f>B10*$C$5</f>
        <v>43.199999999999996</v>
      </c>
      <c r="D10" s="39">
        <f>B10*$D$5</f>
        <v>120.52800000000001</v>
      </c>
      <c r="E10" s="39">
        <f>B10*$E$5</f>
        <v>22.896000000000001</v>
      </c>
      <c r="F10" s="39">
        <f>B10*$F$5</f>
        <v>85.536000000000001</v>
      </c>
      <c r="G10" s="39">
        <f>B10*$G$5</f>
        <v>116.208</v>
      </c>
      <c r="H10" s="39">
        <f t="shared" si="5"/>
        <v>162.72</v>
      </c>
      <c r="I10" s="39">
        <f>B10*$I$5</f>
        <v>40.175999999999995</v>
      </c>
      <c r="J10" s="39">
        <f t="shared" si="7"/>
        <v>40.752000000000002</v>
      </c>
      <c r="K10" s="50">
        <f t="shared" si="8"/>
        <v>44.783999999999999</v>
      </c>
      <c r="L10" s="44">
        <f>B10*$L$5</f>
        <v>38.735999999999997</v>
      </c>
      <c r="M10" s="10">
        <f>B10*$M$5</f>
        <v>18.72</v>
      </c>
      <c r="N10" s="19">
        <f t="shared" si="11"/>
        <v>57.455999999999996</v>
      </c>
      <c r="O10" s="44">
        <f t="shared" si="12"/>
        <v>44.783999999999999</v>
      </c>
      <c r="P10" s="10">
        <f t="shared" si="13"/>
        <v>44.783999999999999</v>
      </c>
      <c r="Q10" s="19">
        <f t="shared" si="14"/>
        <v>89.567999999999998</v>
      </c>
      <c r="R10" s="55">
        <f t="shared" si="15"/>
        <v>44.783999999999999</v>
      </c>
      <c r="S10" s="27">
        <f t="shared" si="16"/>
        <v>24.48</v>
      </c>
      <c r="T10" s="28">
        <f>R10+S10</f>
        <v>69.263999999999996</v>
      </c>
    </row>
    <row r="11" spans="1:20">
      <c r="A11" s="14" t="s">
        <v>106</v>
      </c>
      <c r="B11" s="67">
        <v>1.29</v>
      </c>
      <c r="C11" s="36">
        <f t="shared" si="0"/>
        <v>38.700000000000003</v>
      </c>
      <c r="D11" s="39">
        <f t="shared" si="1"/>
        <v>107.97300000000001</v>
      </c>
      <c r="E11" s="39">
        <f t="shared" si="2"/>
        <v>20.511000000000003</v>
      </c>
      <c r="F11" s="39">
        <f t="shared" si="3"/>
        <v>76.626000000000005</v>
      </c>
      <c r="G11" s="39">
        <f t="shared" si="4"/>
        <v>104.10300000000001</v>
      </c>
      <c r="H11" s="39">
        <f t="shared" si="5"/>
        <v>145.77000000000001</v>
      </c>
      <c r="I11" s="39">
        <f t="shared" si="6"/>
        <v>35.991</v>
      </c>
      <c r="J11" s="39">
        <f t="shared" si="7"/>
        <v>36.507000000000005</v>
      </c>
      <c r="K11" s="50">
        <f t="shared" si="8"/>
        <v>40.119</v>
      </c>
      <c r="L11" s="44">
        <f t="shared" si="9"/>
        <v>34.701000000000001</v>
      </c>
      <c r="M11" s="10">
        <f t="shared" si="10"/>
        <v>16.77</v>
      </c>
      <c r="N11" s="19">
        <f t="shared" si="11"/>
        <v>51.471000000000004</v>
      </c>
      <c r="O11" s="44">
        <f t="shared" si="12"/>
        <v>40.119</v>
      </c>
      <c r="P11" s="10">
        <f t="shared" si="13"/>
        <v>40.119</v>
      </c>
      <c r="Q11" s="19">
        <f t="shared" si="14"/>
        <v>80.238</v>
      </c>
      <c r="R11" s="55">
        <f t="shared" si="15"/>
        <v>40.119</v>
      </c>
      <c r="S11" s="27">
        <f t="shared" si="16"/>
        <v>21.93</v>
      </c>
      <c r="T11" s="28">
        <f t="shared" si="17"/>
        <v>62.048999999999999</v>
      </c>
    </row>
    <row r="12" spans="1:20">
      <c r="A12" s="14" t="s">
        <v>114</v>
      </c>
      <c r="B12" s="67">
        <v>1.35</v>
      </c>
      <c r="C12" s="36">
        <f t="shared" si="0"/>
        <v>40.5</v>
      </c>
      <c r="D12" s="39">
        <f t="shared" si="1"/>
        <v>112.995</v>
      </c>
      <c r="E12" s="39">
        <f t="shared" si="2"/>
        <v>21.465000000000003</v>
      </c>
      <c r="F12" s="39">
        <f t="shared" si="3"/>
        <v>80.19</v>
      </c>
      <c r="G12" s="39">
        <f t="shared" si="4"/>
        <v>108.94500000000001</v>
      </c>
      <c r="H12" s="39">
        <f t="shared" si="5"/>
        <v>152.55000000000001</v>
      </c>
      <c r="I12" s="39">
        <f t="shared" si="6"/>
        <v>37.664999999999999</v>
      </c>
      <c r="J12" s="39">
        <f>B12*$J$5</f>
        <v>38.205000000000005</v>
      </c>
      <c r="K12" s="50">
        <f t="shared" si="8"/>
        <v>41.985000000000007</v>
      </c>
      <c r="L12" s="44">
        <f t="shared" si="9"/>
        <v>36.314999999999998</v>
      </c>
      <c r="M12" s="10">
        <f t="shared" si="10"/>
        <v>17.55</v>
      </c>
      <c r="N12" s="19">
        <f t="shared" si="11"/>
        <v>53.864999999999995</v>
      </c>
      <c r="O12" s="44">
        <f t="shared" si="12"/>
        <v>41.985000000000007</v>
      </c>
      <c r="P12" s="10">
        <f t="shared" si="13"/>
        <v>41.985000000000007</v>
      </c>
      <c r="Q12" s="19">
        <f t="shared" si="14"/>
        <v>83.970000000000013</v>
      </c>
      <c r="R12" s="55">
        <f t="shared" si="15"/>
        <v>41.985000000000007</v>
      </c>
      <c r="S12" s="27">
        <f t="shared" si="16"/>
        <v>22.950000000000003</v>
      </c>
      <c r="T12" s="28">
        <f t="shared" si="17"/>
        <v>64.935000000000002</v>
      </c>
    </row>
    <row r="13" spans="1:20">
      <c r="A13" s="14" t="s">
        <v>107</v>
      </c>
      <c r="B13" s="67">
        <v>1.1599999999999999</v>
      </c>
      <c r="C13" s="36">
        <f t="shared" si="0"/>
        <v>34.799999999999997</v>
      </c>
      <c r="D13" s="39">
        <f t="shared" si="1"/>
        <v>97.091999999999999</v>
      </c>
      <c r="E13" s="39">
        <f t="shared" si="2"/>
        <v>18.443999999999999</v>
      </c>
      <c r="F13" s="39">
        <f t="shared" si="3"/>
        <v>68.903999999999996</v>
      </c>
      <c r="G13" s="39">
        <f t="shared" si="4"/>
        <v>93.611999999999995</v>
      </c>
      <c r="H13" s="39">
        <f t="shared" si="5"/>
        <v>131.07999999999998</v>
      </c>
      <c r="I13" s="39">
        <f t="shared" si="6"/>
        <v>32.363999999999997</v>
      </c>
      <c r="J13" s="39">
        <f t="shared" si="7"/>
        <v>32.827999999999996</v>
      </c>
      <c r="K13" s="50">
        <f t="shared" si="8"/>
        <v>36.076000000000001</v>
      </c>
      <c r="L13" s="44">
        <f t="shared" si="9"/>
        <v>31.203999999999997</v>
      </c>
      <c r="M13" s="10">
        <f t="shared" si="10"/>
        <v>15.079999999999998</v>
      </c>
      <c r="N13" s="19">
        <f t="shared" si="11"/>
        <v>46.283999999999992</v>
      </c>
      <c r="O13" s="44">
        <f t="shared" si="12"/>
        <v>36.076000000000001</v>
      </c>
      <c r="P13" s="10">
        <f t="shared" si="13"/>
        <v>36.076000000000001</v>
      </c>
      <c r="Q13" s="19">
        <f t="shared" si="14"/>
        <v>72.152000000000001</v>
      </c>
      <c r="R13" s="55">
        <f t="shared" si="15"/>
        <v>36.076000000000001</v>
      </c>
      <c r="S13" s="27">
        <f t="shared" si="16"/>
        <v>19.72</v>
      </c>
      <c r="T13" s="28">
        <f t="shared" si="17"/>
        <v>55.795999999999999</v>
      </c>
    </row>
    <row r="14" spans="1:20">
      <c r="A14" s="14" t="s">
        <v>115</v>
      </c>
      <c r="B14" s="67">
        <v>1.36</v>
      </c>
      <c r="C14" s="36">
        <f>B14*$C$5</f>
        <v>40.800000000000004</v>
      </c>
      <c r="D14" s="39">
        <f t="shared" si="1"/>
        <v>113.83200000000001</v>
      </c>
      <c r="E14" s="39">
        <f t="shared" si="2"/>
        <v>21.624000000000002</v>
      </c>
      <c r="F14" s="39">
        <f t="shared" si="3"/>
        <v>80.784000000000006</v>
      </c>
      <c r="G14" s="39">
        <f t="shared" si="4"/>
        <v>109.75200000000001</v>
      </c>
      <c r="H14" s="39">
        <f t="shared" si="5"/>
        <v>153.68</v>
      </c>
      <c r="I14" s="39">
        <f t="shared" si="6"/>
        <v>37.944000000000003</v>
      </c>
      <c r="J14" s="39">
        <f t="shared" si="7"/>
        <v>38.488000000000007</v>
      </c>
      <c r="K14" s="50">
        <f t="shared" si="8"/>
        <v>42.296000000000006</v>
      </c>
      <c r="L14" s="44">
        <f t="shared" si="9"/>
        <v>36.584000000000003</v>
      </c>
      <c r="M14" s="10">
        <f t="shared" si="10"/>
        <v>17.68</v>
      </c>
      <c r="N14" s="19">
        <f t="shared" si="11"/>
        <v>54.264000000000003</v>
      </c>
      <c r="O14" s="44">
        <f t="shared" si="12"/>
        <v>42.296000000000006</v>
      </c>
      <c r="P14" s="10">
        <f t="shared" si="13"/>
        <v>42.296000000000006</v>
      </c>
      <c r="Q14" s="19">
        <f t="shared" si="14"/>
        <v>84.592000000000013</v>
      </c>
      <c r="R14" s="55">
        <f t="shared" si="15"/>
        <v>42.296000000000006</v>
      </c>
      <c r="S14" s="27">
        <f t="shared" si="16"/>
        <v>23.12</v>
      </c>
      <c r="T14" s="28">
        <f t="shared" si="17"/>
        <v>65.416000000000011</v>
      </c>
    </row>
    <row r="15" spans="1:20">
      <c r="A15" s="14" t="s">
        <v>0</v>
      </c>
      <c r="B15" s="67">
        <v>1.35</v>
      </c>
      <c r="C15" s="36">
        <f t="shared" si="0"/>
        <v>40.5</v>
      </c>
      <c r="D15" s="39">
        <f t="shared" si="1"/>
        <v>112.995</v>
      </c>
      <c r="E15" s="39">
        <f t="shared" si="2"/>
        <v>21.465000000000003</v>
      </c>
      <c r="F15" s="39">
        <f t="shared" si="3"/>
        <v>80.19</v>
      </c>
      <c r="G15" s="39">
        <f t="shared" si="4"/>
        <v>108.94500000000001</v>
      </c>
      <c r="H15" s="39">
        <f t="shared" si="5"/>
        <v>152.55000000000001</v>
      </c>
      <c r="I15" s="39">
        <f t="shared" si="6"/>
        <v>37.664999999999999</v>
      </c>
      <c r="J15" s="39">
        <f t="shared" si="7"/>
        <v>38.205000000000005</v>
      </c>
      <c r="K15" s="50">
        <f t="shared" si="8"/>
        <v>41.985000000000007</v>
      </c>
      <c r="L15" s="44">
        <f t="shared" si="9"/>
        <v>36.314999999999998</v>
      </c>
      <c r="M15" s="10">
        <f t="shared" si="10"/>
        <v>17.55</v>
      </c>
      <c r="N15" s="19">
        <f t="shared" si="11"/>
        <v>53.864999999999995</v>
      </c>
      <c r="O15" s="44">
        <f t="shared" si="12"/>
        <v>41.985000000000007</v>
      </c>
      <c r="P15" s="10">
        <f>B15*$P$5</f>
        <v>41.985000000000007</v>
      </c>
      <c r="Q15" s="19">
        <f t="shared" si="14"/>
        <v>83.970000000000013</v>
      </c>
      <c r="R15" s="55">
        <f t="shared" si="15"/>
        <v>41.985000000000007</v>
      </c>
      <c r="S15" s="27">
        <f t="shared" si="16"/>
        <v>22.950000000000003</v>
      </c>
      <c r="T15" s="28">
        <f t="shared" si="17"/>
        <v>64.935000000000002</v>
      </c>
    </row>
    <row r="16" spans="1:20">
      <c r="A16" s="14" t="s">
        <v>55</v>
      </c>
      <c r="B16" s="67"/>
      <c r="C16" s="36"/>
      <c r="D16" s="39"/>
      <c r="E16" s="39"/>
      <c r="F16" s="39"/>
      <c r="G16" s="39"/>
      <c r="H16" s="39"/>
      <c r="I16" s="39"/>
      <c r="J16" s="39"/>
      <c r="K16" s="50"/>
      <c r="L16" s="44"/>
      <c r="M16" s="10"/>
      <c r="N16" s="19"/>
      <c r="O16" s="44"/>
      <c r="P16" s="10"/>
      <c r="Q16" s="19"/>
      <c r="R16" s="55"/>
      <c r="S16" s="27"/>
      <c r="T16" s="28"/>
    </row>
    <row r="17" spans="1:20">
      <c r="A17" s="14" t="s">
        <v>1</v>
      </c>
      <c r="B17" s="67">
        <v>1.42</v>
      </c>
      <c r="C17" s="36">
        <f t="shared" si="0"/>
        <v>42.599999999999994</v>
      </c>
      <c r="D17" s="39">
        <f t="shared" si="1"/>
        <v>118.854</v>
      </c>
      <c r="E17" s="39">
        <f t="shared" si="2"/>
        <v>22.577999999999999</v>
      </c>
      <c r="F17" s="39">
        <f t="shared" si="3"/>
        <v>84.347999999999999</v>
      </c>
      <c r="G17" s="39">
        <f t="shared" si="4"/>
        <v>114.59399999999999</v>
      </c>
      <c r="H17" s="39">
        <f t="shared" si="5"/>
        <v>160.45999999999998</v>
      </c>
      <c r="I17" s="39">
        <f t="shared" si="6"/>
        <v>39.617999999999995</v>
      </c>
      <c r="J17" s="39">
        <f t="shared" si="7"/>
        <v>40.186</v>
      </c>
      <c r="K17" s="50">
        <f t="shared" si="8"/>
        <v>44.161999999999999</v>
      </c>
      <c r="L17" s="44">
        <f t="shared" si="9"/>
        <v>38.197999999999993</v>
      </c>
      <c r="M17" s="10">
        <f t="shared" si="10"/>
        <v>18.46</v>
      </c>
      <c r="N17" s="19">
        <f t="shared" si="11"/>
        <v>56.657999999999994</v>
      </c>
      <c r="O17" s="44">
        <f t="shared" si="12"/>
        <v>44.161999999999999</v>
      </c>
      <c r="P17" s="10">
        <f t="shared" si="13"/>
        <v>44.161999999999999</v>
      </c>
      <c r="Q17" s="19">
        <f t="shared" si="14"/>
        <v>88.323999999999998</v>
      </c>
      <c r="R17" s="55">
        <f t="shared" si="15"/>
        <v>44.161999999999999</v>
      </c>
      <c r="S17" s="27">
        <f t="shared" si="16"/>
        <v>24.14</v>
      </c>
      <c r="T17" s="28">
        <f t="shared" si="17"/>
        <v>68.301999999999992</v>
      </c>
    </row>
    <row r="18" spans="1:20">
      <c r="A18" s="14" t="s">
        <v>2</v>
      </c>
      <c r="B18" s="68">
        <v>1.22</v>
      </c>
      <c r="C18" s="36">
        <f>B18*$C$5</f>
        <v>36.6</v>
      </c>
      <c r="D18" s="39">
        <f t="shared" si="1"/>
        <v>102.114</v>
      </c>
      <c r="E18" s="39">
        <f t="shared" si="2"/>
        <v>19.398</v>
      </c>
      <c r="F18" s="39">
        <f t="shared" si="3"/>
        <v>72.468000000000004</v>
      </c>
      <c r="G18" s="39">
        <f t="shared" si="4"/>
        <v>98.454000000000008</v>
      </c>
      <c r="H18" s="39">
        <f t="shared" si="5"/>
        <v>137.85999999999999</v>
      </c>
      <c r="I18" s="39">
        <f t="shared" si="6"/>
        <v>34.037999999999997</v>
      </c>
      <c r="J18" s="39">
        <f t="shared" si="7"/>
        <v>34.526000000000003</v>
      </c>
      <c r="K18" s="50">
        <f t="shared" si="8"/>
        <v>37.942</v>
      </c>
      <c r="L18" s="44">
        <f t="shared" si="9"/>
        <v>32.817999999999998</v>
      </c>
      <c r="M18" s="10">
        <f t="shared" si="10"/>
        <v>15.86</v>
      </c>
      <c r="N18" s="19">
        <f t="shared" si="11"/>
        <v>48.677999999999997</v>
      </c>
      <c r="O18" s="44">
        <f t="shared" si="12"/>
        <v>37.942</v>
      </c>
      <c r="P18" s="10">
        <f t="shared" si="13"/>
        <v>37.942</v>
      </c>
      <c r="Q18" s="19">
        <f t="shared" si="14"/>
        <v>75.884</v>
      </c>
      <c r="R18" s="55">
        <f t="shared" si="15"/>
        <v>37.942</v>
      </c>
      <c r="S18" s="27">
        <f t="shared" si="16"/>
        <v>20.74</v>
      </c>
      <c r="T18" s="28">
        <f t="shared" si="17"/>
        <v>58.682000000000002</v>
      </c>
    </row>
    <row r="19" spans="1:20">
      <c r="A19" s="14" t="s">
        <v>63</v>
      </c>
      <c r="B19" s="68">
        <v>1.28</v>
      </c>
      <c r="C19" s="36">
        <f t="shared" si="0"/>
        <v>38.4</v>
      </c>
      <c r="D19" s="39">
        <f t="shared" si="1"/>
        <v>107.13600000000001</v>
      </c>
      <c r="E19" s="39">
        <f t="shared" si="2"/>
        <v>20.352</v>
      </c>
      <c r="F19" s="39">
        <f t="shared" si="3"/>
        <v>76.031999999999996</v>
      </c>
      <c r="G19" s="39">
        <f t="shared" si="4"/>
        <v>103.29600000000001</v>
      </c>
      <c r="H19" s="39">
        <f t="shared" si="5"/>
        <v>144.64000000000001</v>
      </c>
      <c r="I19" s="39">
        <f t="shared" si="6"/>
        <v>35.711999999999996</v>
      </c>
      <c r="J19" s="39">
        <f t="shared" si="7"/>
        <v>36.224000000000004</v>
      </c>
      <c r="K19" s="50">
        <f t="shared" si="8"/>
        <v>39.808</v>
      </c>
      <c r="L19" s="44">
        <f t="shared" si="9"/>
        <v>34.432000000000002</v>
      </c>
      <c r="M19" s="10">
        <f t="shared" si="10"/>
        <v>16.64</v>
      </c>
      <c r="N19" s="19">
        <f t="shared" si="11"/>
        <v>51.072000000000003</v>
      </c>
      <c r="O19" s="44">
        <f t="shared" si="12"/>
        <v>39.808</v>
      </c>
      <c r="P19" s="10">
        <f t="shared" si="13"/>
        <v>39.808</v>
      </c>
      <c r="Q19" s="19">
        <f t="shared" si="14"/>
        <v>79.616</v>
      </c>
      <c r="R19" s="55">
        <f t="shared" si="15"/>
        <v>39.808</v>
      </c>
      <c r="S19" s="27">
        <f t="shared" si="16"/>
        <v>21.76</v>
      </c>
      <c r="T19" s="28">
        <f t="shared" si="17"/>
        <v>61.567999999999998</v>
      </c>
    </row>
    <row r="20" spans="1:20">
      <c r="A20" s="14" t="s">
        <v>3</v>
      </c>
      <c r="B20" s="68">
        <v>1.42</v>
      </c>
      <c r="C20" s="36">
        <f t="shared" si="0"/>
        <v>42.599999999999994</v>
      </c>
      <c r="D20" s="39">
        <f t="shared" si="1"/>
        <v>118.854</v>
      </c>
      <c r="E20" s="39">
        <f t="shared" si="2"/>
        <v>22.577999999999999</v>
      </c>
      <c r="F20" s="39">
        <f t="shared" si="3"/>
        <v>84.347999999999999</v>
      </c>
      <c r="G20" s="39">
        <f t="shared" si="4"/>
        <v>114.59399999999999</v>
      </c>
      <c r="H20" s="39">
        <f t="shared" si="5"/>
        <v>160.45999999999998</v>
      </c>
      <c r="I20" s="39">
        <f t="shared" si="6"/>
        <v>39.617999999999995</v>
      </c>
      <c r="J20" s="39">
        <f t="shared" si="7"/>
        <v>40.186</v>
      </c>
      <c r="K20" s="50">
        <f t="shared" si="8"/>
        <v>44.161999999999999</v>
      </c>
      <c r="L20" s="44">
        <f t="shared" si="9"/>
        <v>38.197999999999993</v>
      </c>
      <c r="M20" s="10">
        <f t="shared" si="10"/>
        <v>18.46</v>
      </c>
      <c r="N20" s="19">
        <f t="shared" si="11"/>
        <v>56.657999999999994</v>
      </c>
      <c r="O20" s="44">
        <f t="shared" si="12"/>
        <v>44.161999999999999</v>
      </c>
      <c r="P20" s="10">
        <f t="shared" si="13"/>
        <v>44.161999999999999</v>
      </c>
      <c r="Q20" s="19">
        <f t="shared" si="14"/>
        <v>88.323999999999998</v>
      </c>
      <c r="R20" s="55">
        <f t="shared" si="15"/>
        <v>44.161999999999999</v>
      </c>
      <c r="S20" s="27">
        <f t="shared" si="16"/>
        <v>24.14</v>
      </c>
      <c r="T20" s="28">
        <f t="shared" si="17"/>
        <v>68.301999999999992</v>
      </c>
    </row>
    <row r="21" spans="1:20">
      <c r="A21" s="14" t="s">
        <v>56</v>
      </c>
      <c r="B21" s="68">
        <v>0.92</v>
      </c>
      <c r="C21" s="36">
        <f t="shared" si="0"/>
        <v>27.6</v>
      </c>
      <c r="D21" s="39">
        <f t="shared" si="1"/>
        <v>77.004000000000005</v>
      </c>
      <c r="E21" s="39">
        <f t="shared" si="2"/>
        <v>14.628</v>
      </c>
      <c r="F21" s="39">
        <f t="shared" si="3"/>
        <v>54.648000000000003</v>
      </c>
      <c r="G21" s="39">
        <f t="shared" si="4"/>
        <v>74.244</v>
      </c>
      <c r="H21" s="39">
        <f t="shared" si="5"/>
        <v>103.96000000000001</v>
      </c>
      <c r="I21" s="39">
        <f t="shared" si="6"/>
        <v>25.667999999999999</v>
      </c>
      <c r="J21" s="39">
        <f t="shared" si="7"/>
        <v>26.036000000000001</v>
      </c>
      <c r="K21" s="50">
        <f t="shared" si="8"/>
        <v>28.612000000000002</v>
      </c>
      <c r="L21" s="44">
        <f t="shared" si="9"/>
        <v>24.748000000000001</v>
      </c>
      <c r="M21" s="10">
        <f t="shared" si="10"/>
        <v>11.96</v>
      </c>
      <c r="N21" s="19">
        <f t="shared" si="11"/>
        <v>36.707999999999998</v>
      </c>
      <c r="O21" s="44">
        <f t="shared" si="12"/>
        <v>28.612000000000002</v>
      </c>
      <c r="P21" s="10">
        <f t="shared" si="13"/>
        <v>28.612000000000002</v>
      </c>
      <c r="Q21" s="19">
        <f t="shared" si="14"/>
        <v>57.224000000000004</v>
      </c>
      <c r="R21" s="55">
        <f t="shared" si="15"/>
        <v>28.612000000000002</v>
      </c>
      <c r="S21" s="27">
        <f t="shared" si="16"/>
        <v>15.64</v>
      </c>
      <c r="T21" s="28">
        <f t="shared" si="17"/>
        <v>44.252000000000002</v>
      </c>
    </row>
    <row r="22" spans="1:20">
      <c r="A22" s="14" t="s">
        <v>94</v>
      </c>
      <c r="B22" s="68">
        <v>0.92</v>
      </c>
      <c r="C22" s="36">
        <f t="shared" si="0"/>
        <v>27.6</v>
      </c>
      <c r="D22" s="39">
        <f t="shared" si="1"/>
        <v>77.004000000000005</v>
      </c>
      <c r="E22" s="39">
        <f t="shared" si="2"/>
        <v>14.628</v>
      </c>
      <c r="F22" s="39">
        <f t="shared" si="3"/>
        <v>54.648000000000003</v>
      </c>
      <c r="G22" s="39">
        <f t="shared" si="4"/>
        <v>74.244</v>
      </c>
      <c r="H22" s="39">
        <f t="shared" si="5"/>
        <v>103.96000000000001</v>
      </c>
      <c r="I22" s="39">
        <f t="shared" si="6"/>
        <v>25.667999999999999</v>
      </c>
      <c r="J22" s="39">
        <f t="shared" si="7"/>
        <v>26.036000000000001</v>
      </c>
      <c r="K22" s="50">
        <f t="shared" si="8"/>
        <v>28.612000000000002</v>
      </c>
      <c r="L22" s="44">
        <f t="shared" si="9"/>
        <v>24.748000000000001</v>
      </c>
      <c r="M22" s="10">
        <f t="shared" si="10"/>
        <v>11.96</v>
      </c>
      <c r="N22" s="19">
        <f t="shared" si="11"/>
        <v>36.707999999999998</v>
      </c>
      <c r="O22" s="44">
        <f t="shared" si="12"/>
        <v>28.612000000000002</v>
      </c>
      <c r="P22" s="10">
        <f t="shared" si="13"/>
        <v>28.612000000000002</v>
      </c>
      <c r="Q22" s="19">
        <f t="shared" si="14"/>
        <v>57.224000000000004</v>
      </c>
      <c r="R22" s="55">
        <f t="shared" si="15"/>
        <v>28.612000000000002</v>
      </c>
      <c r="S22" s="27">
        <f t="shared" si="16"/>
        <v>15.64</v>
      </c>
      <c r="T22" s="28">
        <f t="shared" si="17"/>
        <v>44.252000000000002</v>
      </c>
    </row>
    <row r="23" spans="1:20">
      <c r="A23" s="14" t="s">
        <v>57</v>
      </c>
      <c r="B23" s="68">
        <v>0.92</v>
      </c>
      <c r="C23" s="36">
        <f t="shared" si="0"/>
        <v>27.6</v>
      </c>
      <c r="D23" s="39">
        <f t="shared" si="1"/>
        <v>77.004000000000005</v>
      </c>
      <c r="E23" s="39">
        <f t="shared" si="2"/>
        <v>14.628</v>
      </c>
      <c r="F23" s="39">
        <f t="shared" si="3"/>
        <v>54.648000000000003</v>
      </c>
      <c r="G23" s="39">
        <f t="shared" si="4"/>
        <v>74.244</v>
      </c>
      <c r="H23" s="39">
        <f t="shared" si="5"/>
        <v>103.96000000000001</v>
      </c>
      <c r="I23" s="39">
        <f t="shared" si="6"/>
        <v>25.667999999999999</v>
      </c>
      <c r="J23" s="39">
        <f t="shared" si="7"/>
        <v>26.036000000000001</v>
      </c>
      <c r="K23" s="50">
        <f t="shared" si="8"/>
        <v>28.612000000000002</v>
      </c>
      <c r="L23" s="44">
        <f t="shared" si="9"/>
        <v>24.748000000000001</v>
      </c>
      <c r="M23" s="10">
        <f t="shared" si="10"/>
        <v>11.96</v>
      </c>
      <c r="N23" s="19">
        <f t="shared" si="11"/>
        <v>36.707999999999998</v>
      </c>
      <c r="O23" s="44">
        <f t="shared" si="12"/>
        <v>28.612000000000002</v>
      </c>
      <c r="P23" s="10">
        <f t="shared" si="13"/>
        <v>28.612000000000002</v>
      </c>
      <c r="Q23" s="19">
        <f>O23+P23</f>
        <v>57.224000000000004</v>
      </c>
      <c r="R23" s="55">
        <f t="shared" si="15"/>
        <v>28.612000000000002</v>
      </c>
      <c r="S23" s="27">
        <f t="shared" si="16"/>
        <v>15.64</v>
      </c>
      <c r="T23" s="28">
        <f>R23+S23</f>
        <v>44.252000000000002</v>
      </c>
    </row>
    <row r="24" spans="1:20">
      <c r="A24" s="14" t="s">
        <v>95</v>
      </c>
      <c r="B24" s="68">
        <v>0.92</v>
      </c>
      <c r="C24" s="36">
        <f t="shared" si="0"/>
        <v>27.6</v>
      </c>
      <c r="D24" s="39">
        <f t="shared" si="1"/>
        <v>77.004000000000005</v>
      </c>
      <c r="E24" s="39">
        <f t="shared" si="2"/>
        <v>14.628</v>
      </c>
      <c r="F24" s="39">
        <f t="shared" si="3"/>
        <v>54.648000000000003</v>
      </c>
      <c r="G24" s="39">
        <f t="shared" si="4"/>
        <v>74.244</v>
      </c>
      <c r="H24" s="39">
        <f t="shared" si="5"/>
        <v>103.96000000000001</v>
      </c>
      <c r="I24" s="39">
        <f t="shared" si="6"/>
        <v>25.667999999999999</v>
      </c>
      <c r="J24" s="39">
        <f t="shared" si="7"/>
        <v>26.036000000000001</v>
      </c>
      <c r="K24" s="50">
        <f t="shared" si="8"/>
        <v>28.612000000000002</v>
      </c>
      <c r="L24" s="44">
        <f t="shared" si="9"/>
        <v>24.748000000000001</v>
      </c>
      <c r="M24" s="10">
        <f t="shared" si="10"/>
        <v>11.96</v>
      </c>
      <c r="N24" s="19">
        <f t="shared" si="11"/>
        <v>36.707999999999998</v>
      </c>
      <c r="O24" s="44">
        <f t="shared" si="12"/>
        <v>28.612000000000002</v>
      </c>
      <c r="P24" s="10">
        <f t="shared" si="13"/>
        <v>28.612000000000002</v>
      </c>
      <c r="Q24" s="19">
        <f t="shared" si="14"/>
        <v>57.224000000000004</v>
      </c>
      <c r="R24" s="55">
        <f t="shared" si="15"/>
        <v>28.612000000000002</v>
      </c>
      <c r="S24" s="27">
        <f t="shared" si="16"/>
        <v>15.64</v>
      </c>
      <c r="T24" s="28">
        <f t="shared" si="17"/>
        <v>44.252000000000002</v>
      </c>
    </row>
    <row r="25" spans="1:20">
      <c r="A25" s="14" t="s">
        <v>4</v>
      </c>
      <c r="B25" s="68">
        <v>1.52</v>
      </c>
      <c r="C25" s="36">
        <f t="shared" si="0"/>
        <v>45.6</v>
      </c>
      <c r="D25" s="39">
        <f t="shared" si="1"/>
        <v>127.224</v>
      </c>
      <c r="E25" s="39">
        <f t="shared" si="2"/>
        <v>24.167999999999999</v>
      </c>
      <c r="F25" s="39">
        <f t="shared" si="3"/>
        <v>90.287999999999997</v>
      </c>
      <c r="G25" s="39">
        <f t="shared" si="4"/>
        <v>122.664</v>
      </c>
      <c r="H25" s="39">
        <f t="shared" si="5"/>
        <v>171.76</v>
      </c>
      <c r="I25" s="39">
        <f t="shared" si="6"/>
        <v>42.408000000000001</v>
      </c>
      <c r="J25" s="39">
        <f t="shared" si="7"/>
        <v>43.015999999999998</v>
      </c>
      <c r="K25" s="50">
        <f t="shared" si="8"/>
        <v>47.272000000000006</v>
      </c>
      <c r="L25" s="44">
        <f t="shared" si="9"/>
        <v>40.887999999999998</v>
      </c>
      <c r="M25" s="10">
        <f t="shared" si="10"/>
        <v>19.760000000000002</v>
      </c>
      <c r="N25" s="19">
        <f t="shared" si="11"/>
        <v>60.647999999999996</v>
      </c>
      <c r="O25" s="44">
        <f t="shared" si="12"/>
        <v>47.272000000000006</v>
      </c>
      <c r="P25" s="10">
        <f t="shared" si="13"/>
        <v>47.272000000000006</v>
      </c>
      <c r="Q25" s="19">
        <f t="shared" si="14"/>
        <v>94.544000000000011</v>
      </c>
      <c r="R25" s="55">
        <f t="shared" si="15"/>
        <v>47.272000000000006</v>
      </c>
      <c r="S25" s="27">
        <f t="shared" si="16"/>
        <v>25.84</v>
      </c>
      <c r="T25" s="28">
        <f t="shared" si="17"/>
        <v>73.112000000000009</v>
      </c>
    </row>
    <row r="26" spans="1:20">
      <c r="A26" s="14" t="s">
        <v>58</v>
      </c>
      <c r="B26" s="68">
        <v>1.24</v>
      </c>
      <c r="C26" s="36">
        <f t="shared" si="0"/>
        <v>37.200000000000003</v>
      </c>
      <c r="D26" s="39">
        <f t="shared" si="1"/>
        <v>103.788</v>
      </c>
      <c r="E26" s="39">
        <f t="shared" si="2"/>
        <v>19.716000000000001</v>
      </c>
      <c r="F26" s="39">
        <f t="shared" si="3"/>
        <v>73.655999999999992</v>
      </c>
      <c r="G26" s="39">
        <f t="shared" si="4"/>
        <v>100.068</v>
      </c>
      <c r="H26" s="39">
        <f t="shared" si="5"/>
        <v>140.12</v>
      </c>
      <c r="I26" s="39">
        <f t="shared" si="6"/>
        <v>34.595999999999997</v>
      </c>
      <c r="J26" s="39">
        <f t="shared" si="7"/>
        <v>35.091999999999999</v>
      </c>
      <c r="K26" s="50">
        <f t="shared" si="8"/>
        <v>38.564</v>
      </c>
      <c r="L26" s="44">
        <f t="shared" si="9"/>
        <v>33.355999999999995</v>
      </c>
      <c r="M26" s="10">
        <f t="shared" si="10"/>
        <v>16.12</v>
      </c>
      <c r="N26" s="19">
        <f t="shared" si="11"/>
        <v>49.475999999999999</v>
      </c>
      <c r="O26" s="44">
        <f t="shared" si="12"/>
        <v>38.564</v>
      </c>
      <c r="P26" s="10">
        <f t="shared" si="13"/>
        <v>38.564</v>
      </c>
      <c r="Q26" s="19">
        <f t="shared" si="14"/>
        <v>77.128</v>
      </c>
      <c r="R26" s="55">
        <f t="shared" si="15"/>
        <v>38.564</v>
      </c>
      <c r="S26" s="27">
        <f t="shared" si="16"/>
        <v>21.08</v>
      </c>
      <c r="T26" s="28">
        <f t="shared" si="17"/>
        <v>59.643999999999998</v>
      </c>
    </row>
    <row r="27" spans="1:20">
      <c r="A27" s="16" t="s">
        <v>59</v>
      </c>
      <c r="B27" s="68">
        <v>1.19</v>
      </c>
      <c r="C27" s="36">
        <f t="shared" si="0"/>
        <v>35.699999999999996</v>
      </c>
      <c r="D27" s="39">
        <f t="shared" si="1"/>
        <v>99.602999999999994</v>
      </c>
      <c r="E27" s="39">
        <f t="shared" si="2"/>
        <v>18.920999999999999</v>
      </c>
      <c r="F27" s="39">
        <f t="shared" si="3"/>
        <v>70.685999999999993</v>
      </c>
      <c r="G27" s="39">
        <f t="shared" si="4"/>
        <v>96.033000000000001</v>
      </c>
      <c r="H27" s="39">
        <f t="shared" si="5"/>
        <v>134.47</v>
      </c>
      <c r="I27" s="39">
        <f t="shared" si="6"/>
        <v>33.200999999999993</v>
      </c>
      <c r="J27" s="39">
        <f t="shared" si="7"/>
        <v>33.677</v>
      </c>
      <c r="K27" s="50">
        <f t="shared" si="8"/>
        <v>37.009</v>
      </c>
      <c r="L27" s="44">
        <f t="shared" si="9"/>
        <v>32.010999999999996</v>
      </c>
      <c r="M27" s="10">
        <f t="shared" si="10"/>
        <v>15.469999999999999</v>
      </c>
      <c r="N27" s="19">
        <f t="shared" si="11"/>
        <v>47.480999999999995</v>
      </c>
      <c r="O27" s="44">
        <f t="shared" si="12"/>
        <v>37.009</v>
      </c>
      <c r="P27" s="10">
        <f t="shared" si="13"/>
        <v>37.009</v>
      </c>
      <c r="Q27" s="19">
        <f t="shared" si="14"/>
        <v>74.018000000000001</v>
      </c>
      <c r="R27" s="55">
        <f t="shared" si="15"/>
        <v>37.009</v>
      </c>
      <c r="S27" s="27">
        <f t="shared" si="16"/>
        <v>20.23</v>
      </c>
      <c r="T27" s="28">
        <f t="shared" si="17"/>
        <v>57.239000000000004</v>
      </c>
    </row>
    <row r="28" spans="1:20">
      <c r="A28" s="16" t="s">
        <v>64</v>
      </c>
      <c r="B28" s="68">
        <v>1.25</v>
      </c>
      <c r="C28" s="36">
        <f t="shared" si="0"/>
        <v>37.5</v>
      </c>
      <c r="D28" s="39">
        <f t="shared" si="1"/>
        <v>104.625</v>
      </c>
      <c r="E28" s="39">
        <f t="shared" si="2"/>
        <v>19.875</v>
      </c>
      <c r="F28" s="39">
        <f t="shared" si="3"/>
        <v>74.25</v>
      </c>
      <c r="G28" s="39">
        <f t="shared" si="4"/>
        <v>100.875</v>
      </c>
      <c r="H28" s="39">
        <f t="shared" si="5"/>
        <v>141.25</v>
      </c>
      <c r="I28" s="39">
        <f t="shared" si="6"/>
        <v>34.875</v>
      </c>
      <c r="J28" s="39">
        <f t="shared" si="7"/>
        <v>35.375</v>
      </c>
      <c r="K28" s="50">
        <f t="shared" si="8"/>
        <v>38.875</v>
      </c>
      <c r="L28" s="44">
        <f t="shared" si="9"/>
        <v>33.625</v>
      </c>
      <c r="M28" s="10">
        <f t="shared" si="10"/>
        <v>16.25</v>
      </c>
      <c r="N28" s="19">
        <f t="shared" si="11"/>
        <v>49.875</v>
      </c>
      <c r="O28" s="44">
        <f t="shared" si="12"/>
        <v>38.875</v>
      </c>
      <c r="P28" s="10">
        <f t="shared" si="13"/>
        <v>38.875</v>
      </c>
      <c r="Q28" s="19">
        <f t="shared" si="14"/>
        <v>77.75</v>
      </c>
      <c r="R28" s="55">
        <f t="shared" si="15"/>
        <v>38.875</v>
      </c>
      <c r="S28" s="27">
        <f t="shared" si="16"/>
        <v>21.25</v>
      </c>
      <c r="T28" s="28">
        <f t="shared" si="17"/>
        <v>60.125</v>
      </c>
    </row>
    <row r="29" spans="1:20">
      <c r="A29" s="16" t="s">
        <v>30</v>
      </c>
      <c r="B29" s="68">
        <v>1.19</v>
      </c>
      <c r="C29" s="36">
        <f t="shared" si="0"/>
        <v>35.699999999999996</v>
      </c>
      <c r="D29" s="39">
        <f t="shared" si="1"/>
        <v>99.602999999999994</v>
      </c>
      <c r="E29" s="39">
        <f t="shared" si="2"/>
        <v>18.920999999999999</v>
      </c>
      <c r="F29" s="39">
        <f t="shared" si="3"/>
        <v>70.685999999999993</v>
      </c>
      <c r="G29" s="39">
        <f t="shared" si="4"/>
        <v>96.033000000000001</v>
      </c>
      <c r="H29" s="39">
        <f t="shared" si="5"/>
        <v>134.47</v>
      </c>
      <c r="I29" s="39">
        <f t="shared" si="6"/>
        <v>33.200999999999993</v>
      </c>
      <c r="J29" s="39">
        <f t="shared" si="7"/>
        <v>33.677</v>
      </c>
      <c r="K29" s="50">
        <f t="shared" si="8"/>
        <v>37.009</v>
      </c>
      <c r="L29" s="44">
        <f t="shared" si="9"/>
        <v>32.010999999999996</v>
      </c>
      <c r="M29" s="10">
        <f t="shared" si="10"/>
        <v>15.469999999999999</v>
      </c>
      <c r="N29" s="19">
        <f t="shared" si="11"/>
        <v>47.480999999999995</v>
      </c>
      <c r="O29" s="44">
        <f t="shared" si="12"/>
        <v>37.009</v>
      </c>
      <c r="P29" s="10">
        <f t="shared" si="13"/>
        <v>37.009</v>
      </c>
      <c r="Q29" s="19">
        <f t="shared" si="14"/>
        <v>74.018000000000001</v>
      </c>
      <c r="R29" s="55">
        <f t="shared" si="15"/>
        <v>37.009</v>
      </c>
      <c r="S29" s="27">
        <f t="shared" si="16"/>
        <v>20.23</v>
      </c>
      <c r="T29" s="28">
        <f t="shared" si="17"/>
        <v>57.239000000000004</v>
      </c>
    </row>
    <row r="30" spans="1:20">
      <c r="A30" s="14" t="s">
        <v>5</v>
      </c>
      <c r="B30" s="68">
        <v>1.41</v>
      </c>
      <c r="C30" s="36">
        <f t="shared" si="0"/>
        <v>42.3</v>
      </c>
      <c r="D30" s="39">
        <f t="shared" si="1"/>
        <v>118.017</v>
      </c>
      <c r="E30" s="39">
        <f t="shared" si="2"/>
        <v>22.419</v>
      </c>
      <c r="F30" s="39">
        <f t="shared" si="3"/>
        <v>83.753999999999991</v>
      </c>
      <c r="G30" s="39">
        <f t="shared" si="4"/>
        <v>113.78699999999999</v>
      </c>
      <c r="H30" s="39">
        <f t="shared" si="5"/>
        <v>159.32999999999998</v>
      </c>
      <c r="I30" s="39">
        <f t="shared" si="6"/>
        <v>39.338999999999999</v>
      </c>
      <c r="J30" s="39">
        <f t="shared" si="7"/>
        <v>39.902999999999999</v>
      </c>
      <c r="K30" s="50">
        <f t="shared" si="8"/>
        <v>43.850999999999999</v>
      </c>
      <c r="L30" s="44">
        <f t="shared" si="9"/>
        <v>37.928999999999995</v>
      </c>
      <c r="M30" s="10">
        <f t="shared" si="10"/>
        <v>18.329999999999998</v>
      </c>
      <c r="N30" s="19">
        <f t="shared" si="11"/>
        <v>56.258999999999993</v>
      </c>
      <c r="O30" s="44">
        <f t="shared" si="12"/>
        <v>43.850999999999999</v>
      </c>
      <c r="P30" s="10">
        <f t="shared" si="13"/>
        <v>43.850999999999999</v>
      </c>
      <c r="Q30" s="19">
        <f t="shared" si="14"/>
        <v>87.701999999999998</v>
      </c>
      <c r="R30" s="55">
        <f t="shared" si="15"/>
        <v>43.850999999999999</v>
      </c>
      <c r="S30" s="27">
        <f t="shared" si="16"/>
        <v>23.97</v>
      </c>
      <c r="T30" s="28">
        <f t="shared" si="17"/>
        <v>67.820999999999998</v>
      </c>
    </row>
    <row r="31" spans="1:20">
      <c r="A31" s="14" t="s">
        <v>65</v>
      </c>
      <c r="B31" s="67">
        <v>1.7190000000000001</v>
      </c>
      <c r="C31" s="36">
        <f t="shared" si="0"/>
        <v>51.57</v>
      </c>
      <c r="D31" s="39">
        <f t="shared" si="1"/>
        <v>143.88030000000001</v>
      </c>
      <c r="E31" s="39">
        <f t="shared" si="2"/>
        <v>27.332100000000001</v>
      </c>
      <c r="F31" s="39">
        <f t="shared" si="3"/>
        <v>102.1086</v>
      </c>
      <c r="G31" s="39">
        <f t="shared" si="4"/>
        <v>138.72330000000002</v>
      </c>
      <c r="H31" s="39">
        <f t="shared" si="5"/>
        <v>194.24700000000001</v>
      </c>
      <c r="I31" s="39">
        <f t="shared" si="6"/>
        <v>47.960099999999997</v>
      </c>
      <c r="J31" s="39">
        <f t="shared" si="7"/>
        <v>48.6477</v>
      </c>
      <c r="K31" s="50">
        <f t="shared" si="8"/>
        <v>53.460900000000002</v>
      </c>
      <c r="L31" s="44">
        <f t="shared" si="9"/>
        <v>46.241100000000003</v>
      </c>
      <c r="M31" s="10">
        <f t="shared" si="10"/>
        <v>22.347000000000001</v>
      </c>
      <c r="N31" s="19">
        <f t="shared" si="11"/>
        <v>68.588099999999997</v>
      </c>
      <c r="O31" s="44">
        <f t="shared" si="12"/>
        <v>53.460900000000002</v>
      </c>
      <c r="P31" s="10">
        <f t="shared" si="13"/>
        <v>53.460900000000002</v>
      </c>
      <c r="Q31" s="19">
        <f t="shared" si="14"/>
        <v>106.9218</v>
      </c>
      <c r="R31" s="55">
        <f t="shared" si="15"/>
        <v>53.460900000000002</v>
      </c>
      <c r="S31" s="27">
        <f t="shared" si="16"/>
        <v>29.223000000000003</v>
      </c>
      <c r="T31" s="28">
        <f t="shared" si="17"/>
        <v>82.683900000000008</v>
      </c>
    </row>
    <row r="32" spans="1:20">
      <c r="A32" s="14" t="s">
        <v>66</v>
      </c>
      <c r="B32" s="68"/>
      <c r="C32" s="36"/>
      <c r="D32" s="39"/>
      <c r="E32" s="39"/>
      <c r="F32" s="39"/>
      <c r="G32" s="39"/>
      <c r="H32" s="39"/>
      <c r="I32" s="39"/>
      <c r="J32" s="39"/>
      <c r="K32" s="50"/>
      <c r="L32" s="44"/>
      <c r="M32" s="10"/>
      <c r="N32" s="19"/>
      <c r="O32" s="44"/>
      <c r="P32" s="10"/>
      <c r="Q32" s="19"/>
      <c r="R32" s="55"/>
      <c r="S32" s="27"/>
      <c r="T32" s="28"/>
    </row>
    <row r="33" spans="1:20">
      <c r="A33" s="14" t="s">
        <v>67</v>
      </c>
      <c r="B33" s="68"/>
      <c r="C33" s="36"/>
      <c r="D33" s="39"/>
      <c r="E33" s="39"/>
      <c r="F33" s="39"/>
      <c r="G33" s="39"/>
      <c r="H33" s="39"/>
      <c r="I33" s="39"/>
      <c r="J33" s="39"/>
      <c r="K33" s="50"/>
      <c r="L33" s="44"/>
      <c r="M33" s="10"/>
      <c r="N33" s="19"/>
      <c r="O33" s="44"/>
      <c r="P33" s="10"/>
      <c r="Q33" s="19"/>
      <c r="R33" s="55"/>
      <c r="S33" s="27"/>
      <c r="T33" s="28"/>
    </row>
    <row r="34" spans="1:20">
      <c r="A34" s="14" t="s">
        <v>68</v>
      </c>
      <c r="B34" s="68">
        <v>0.92</v>
      </c>
      <c r="C34" s="36">
        <f t="shared" si="0"/>
        <v>27.6</v>
      </c>
      <c r="D34" s="39">
        <f t="shared" si="1"/>
        <v>77.004000000000005</v>
      </c>
      <c r="E34" s="39">
        <f t="shared" si="2"/>
        <v>14.628</v>
      </c>
      <c r="F34" s="39">
        <f t="shared" si="3"/>
        <v>54.648000000000003</v>
      </c>
      <c r="G34" s="39">
        <f t="shared" si="4"/>
        <v>74.244</v>
      </c>
      <c r="H34" s="39">
        <f t="shared" si="5"/>
        <v>103.96000000000001</v>
      </c>
      <c r="I34" s="39">
        <f t="shared" si="6"/>
        <v>25.667999999999999</v>
      </c>
      <c r="J34" s="39">
        <f t="shared" si="7"/>
        <v>26.036000000000001</v>
      </c>
      <c r="K34" s="50">
        <f t="shared" si="8"/>
        <v>28.612000000000002</v>
      </c>
      <c r="L34" s="44">
        <f t="shared" si="9"/>
        <v>24.748000000000001</v>
      </c>
      <c r="M34" s="10">
        <f t="shared" si="10"/>
        <v>11.96</v>
      </c>
      <c r="N34" s="19">
        <f t="shared" si="11"/>
        <v>36.707999999999998</v>
      </c>
      <c r="O34" s="44">
        <f t="shared" si="12"/>
        <v>28.612000000000002</v>
      </c>
      <c r="P34" s="10">
        <f t="shared" si="13"/>
        <v>28.612000000000002</v>
      </c>
      <c r="Q34" s="19">
        <f t="shared" si="14"/>
        <v>57.224000000000004</v>
      </c>
      <c r="R34" s="55">
        <f t="shared" si="15"/>
        <v>28.612000000000002</v>
      </c>
      <c r="S34" s="27">
        <f t="shared" si="16"/>
        <v>15.64</v>
      </c>
      <c r="T34" s="28">
        <f t="shared" si="17"/>
        <v>44.252000000000002</v>
      </c>
    </row>
    <row r="35" spans="1:20">
      <c r="A35" s="14" t="s">
        <v>6</v>
      </c>
      <c r="B35" s="67">
        <v>1.1074999999999999</v>
      </c>
      <c r="C35" s="36">
        <f t="shared" si="0"/>
        <v>33.224999999999994</v>
      </c>
      <c r="D35" s="39">
        <f t="shared" si="1"/>
        <v>92.697749999999999</v>
      </c>
      <c r="E35" s="39">
        <f t="shared" si="2"/>
        <v>17.609249999999999</v>
      </c>
      <c r="F35" s="39">
        <f t="shared" si="3"/>
        <v>65.785499999999999</v>
      </c>
      <c r="G35" s="39">
        <f t="shared" si="4"/>
        <v>89.375249999999994</v>
      </c>
      <c r="H35" s="39">
        <f t="shared" si="5"/>
        <v>125.14749999999999</v>
      </c>
      <c r="I35" s="39">
        <f t="shared" si="6"/>
        <v>30.899249999999995</v>
      </c>
      <c r="J35" s="39">
        <f t="shared" si="7"/>
        <v>31.34225</v>
      </c>
      <c r="K35" s="50">
        <f t="shared" si="8"/>
        <v>34.443249999999999</v>
      </c>
      <c r="L35" s="44">
        <f t="shared" si="9"/>
        <v>29.791749999999997</v>
      </c>
      <c r="M35" s="10">
        <f t="shared" si="10"/>
        <v>14.397499999999999</v>
      </c>
      <c r="N35" s="19">
        <f t="shared" si="11"/>
        <v>44.189249999999994</v>
      </c>
      <c r="O35" s="44">
        <f t="shared" si="12"/>
        <v>34.443249999999999</v>
      </c>
      <c r="P35" s="10">
        <f t="shared" si="13"/>
        <v>34.443249999999999</v>
      </c>
      <c r="Q35" s="19">
        <f t="shared" si="14"/>
        <v>68.886499999999998</v>
      </c>
      <c r="R35" s="55">
        <f t="shared" si="15"/>
        <v>34.443249999999999</v>
      </c>
      <c r="S35" s="27">
        <f t="shared" si="16"/>
        <v>18.827500000000001</v>
      </c>
      <c r="T35" s="28">
        <f t="shared" si="17"/>
        <v>53.27075</v>
      </c>
    </row>
    <row r="36" spans="1:20">
      <c r="A36" s="14" t="s">
        <v>69</v>
      </c>
      <c r="B36" s="67">
        <v>1.0528999999999999</v>
      </c>
      <c r="C36" s="36">
        <f t="shared" si="0"/>
        <v>31.587</v>
      </c>
      <c r="D36" s="39">
        <f t="shared" si="1"/>
        <v>88.12773</v>
      </c>
      <c r="E36" s="39">
        <f t="shared" si="2"/>
        <v>16.741109999999999</v>
      </c>
      <c r="F36" s="39">
        <f t="shared" si="3"/>
        <v>62.542259999999999</v>
      </c>
      <c r="G36" s="39">
        <f t="shared" si="4"/>
        <v>84.969030000000004</v>
      </c>
      <c r="H36" s="39">
        <f t="shared" si="5"/>
        <v>118.9777</v>
      </c>
      <c r="I36" s="39">
        <f t="shared" si="6"/>
        <v>29.375909999999998</v>
      </c>
      <c r="J36" s="39">
        <f t="shared" si="7"/>
        <v>29.797069999999998</v>
      </c>
      <c r="K36" s="50">
        <f t="shared" si="8"/>
        <v>32.745190000000001</v>
      </c>
      <c r="L36" s="44">
        <f t="shared" si="9"/>
        <v>28.323009999999996</v>
      </c>
      <c r="M36" s="10">
        <f t="shared" si="10"/>
        <v>13.6877</v>
      </c>
      <c r="N36" s="19">
        <f t="shared" si="11"/>
        <v>42.010709999999996</v>
      </c>
      <c r="O36" s="44">
        <f t="shared" si="12"/>
        <v>32.745190000000001</v>
      </c>
      <c r="P36" s="10">
        <f t="shared" si="13"/>
        <v>32.745190000000001</v>
      </c>
      <c r="Q36" s="19">
        <f t="shared" si="14"/>
        <v>65.490380000000002</v>
      </c>
      <c r="R36" s="55">
        <f t="shared" si="15"/>
        <v>32.745190000000001</v>
      </c>
      <c r="S36" s="27">
        <f t="shared" si="16"/>
        <v>17.8993</v>
      </c>
      <c r="T36" s="28">
        <f t="shared" si="17"/>
        <v>50.644490000000005</v>
      </c>
    </row>
    <row r="37" spans="1:20">
      <c r="A37" s="14" t="s">
        <v>7</v>
      </c>
      <c r="B37" s="67">
        <v>1.1157999999999999</v>
      </c>
      <c r="C37" s="36">
        <f t="shared" si="0"/>
        <v>33.473999999999997</v>
      </c>
      <c r="D37" s="39">
        <f t="shared" si="1"/>
        <v>93.39246</v>
      </c>
      <c r="E37" s="39">
        <f t="shared" si="2"/>
        <v>17.741219999999998</v>
      </c>
      <c r="F37" s="39">
        <f t="shared" si="3"/>
        <v>66.278519999999986</v>
      </c>
      <c r="G37" s="39">
        <f t="shared" si="4"/>
        <v>90.045059999999992</v>
      </c>
      <c r="H37" s="39">
        <f t="shared" si="5"/>
        <v>126.08539999999999</v>
      </c>
      <c r="I37" s="39">
        <f t="shared" si="6"/>
        <v>31.130819999999996</v>
      </c>
      <c r="J37" s="39">
        <f t="shared" si="7"/>
        <v>31.577139999999996</v>
      </c>
      <c r="K37" s="50">
        <f t="shared" si="8"/>
        <v>34.70138</v>
      </c>
      <c r="L37" s="44">
        <f t="shared" si="9"/>
        <v>30.015019999999996</v>
      </c>
      <c r="M37" s="10">
        <f t="shared" si="10"/>
        <v>14.505399999999998</v>
      </c>
      <c r="N37" s="19">
        <f t="shared" si="11"/>
        <v>44.520419999999994</v>
      </c>
      <c r="O37" s="44">
        <f t="shared" si="12"/>
        <v>34.70138</v>
      </c>
      <c r="P37" s="10">
        <f t="shared" si="13"/>
        <v>34.70138</v>
      </c>
      <c r="Q37" s="19">
        <f t="shared" si="14"/>
        <v>69.402760000000001</v>
      </c>
      <c r="R37" s="55">
        <f t="shared" si="15"/>
        <v>34.70138</v>
      </c>
      <c r="S37" s="27">
        <f t="shared" si="16"/>
        <v>18.968599999999999</v>
      </c>
      <c r="T37" s="28">
        <f t="shared" si="17"/>
        <v>53.669979999999995</v>
      </c>
    </row>
    <row r="38" spans="1:20">
      <c r="A38" s="14" t="s">
        <v>70</v>
      </c>
      <c r="B38" s="67">
        <v>1.1284000000000001</v>
      </c>
      <c r="C38" s="36">
        <f t="shared" si="0"/>
        <v>33.852000000000004</v>
      </c>
      <c r="D38" s="39">
        <f t="shared" si="1"/>
        <v>94.447080000000014</v>
      </c>
      <c r="E38" s="39">
        <f t="shared" si="2"/>
        <v>17.941560000000003</v>
      </c>
      <c r="F38" s="39">
        <f t="shared" si="3"/>
        <v>67.026960000000003</v>
      </c>
      <c r="G38" s="39">
        <f t="shared" si="4"/>
        <v>91.061880000000002</v>
      </c>
      <c r="H38" s="39">
        <f t="shared" si="5"/>
        <v>127.50920000000001</v>
      </c>
      <c r="I38" s="39">
        <f t="shared" si="6"/>
        <v>31.48236</v>
      </c>
      <c r="J38" s="39">
        <f t="shared" si="7"/>
        <v>31.933720000000005</v>
      </c>
      <c r="K38" s="50">
        <f t="shared" si="8"/>
        <v>35.093240000000002</v>
      </c>
      <c r="L38" s="44">
        <f t="shared" si="9"/>
        <v>30.353960000000001</v>
      </c>
      <c r="M38" s="10">
        <f t="shared" si="10"/>
        <v>14.6692</v>
      </c>
      <c r="N38" s="19">
        <f t="shared" si="11"/>
        <v>45.023160000000004</v>
      </c>
      <c r="O38" s="44">
        <f t="shared" si="12"/>
        <v>35.093240000000002</v>
      </c>
      <c r="P38" s="10">
        <f t="shared" si="13"/>
        <v>35.093240000000002</v>
      </c>
      <c r="Q38" s="19">
        <f t="shared" si="14"/>
        <v>70.186480000000003</v>
      </c>
      <c r="R38" s="55">
        <f t="shared" si="15"/>
        <v>35.093240000000002</v>
      </c>
      <c r="S38" s="27">
        <f t="shared" si="16"/>
        <v>19.1828</v>
      </c>
      <c r="T38" s="28">
        <f t="shared" si="17"/>
        <v>54.276040000000002</v>
      </c>
    </row>
    <row r="39" spans="1:20">
      <c r="A39" s="14" t="s">
        <v>71</v>
      </c>
      <c r="B39" s="67">
        <v>1.44</v>
      </c>
      <c r="C39" s="36">
        <f t="shared" si="0"/>
        <v>43.199999999999996</v>
      </c>
      <c r="D39" s="39">
        <f t="shared" si="1"/>
        <v>120.52800000000001</v>
      </c>
      <c r="E39" s="39">
        <f t="shared" si="2"/>
        <v>22.896000000000001</v>
      </c>
      <c r="F39" s="39">
        <f t="shared" si="3"/>
        <v>85.536000000000001</v>
      </c>
      <c r="G39" s="39">
        <f t="shared" si="4"/>
        <v>116.208</v>
      </c>
      <c r="H39" s="39">
        <f t="shared" si="5"/>
        <v>162.72</v>
      </c>
      <c r="I39" s="39">
        <f t="shared" si="6"/>
        <v>40.175999999999995</v>
      </c>
      <c r="J39" s="39">
        <f t="shared" si="7"/>
        <v>40.752000000000002</v>
      </c>
      <c r="K39" s="50">
        <f t="shared" si="8"/>
        <v>44.783999999999999</v>
      </c>
      <c r="L39" s="44">
        <f t="shared" si="9"/>
        <v>38.735999999999997</v>
      </c>
      <c r="M39" s="10">
        <f t="shared" si="10"/>
        <v>18.72</v>
      </c>
      <c r="N39" s="19">
        <f t="shared" si="11"/>
        <v>57.455999999999996</v>
      </c>
      <c r="O39" s="44">
        <f t="shared" si="12"/>
        <v>44.783999999999999</v>
      </c>
      <c r="P39" s="10">
        <f t="shared" si="13"/>
        <v>44.783999999999999</v>
      </c>
      <c r="Q39" s="19">
        <f t="shared" si="14"/>
        <v>89.567999999999998</v>
      </c>
      <c r="R39" s="55">
        <f t="shared" si="15"/>
        <v>44.783999999999999</v>
      </c>
      <c r="S39" s="27">
        <f t="shared" si="16"/>
        <v>24.48</v>
      </c>
      <c r="T39" s="28">
        <f t="shared" si="17"/>
        <v>69.263999999999996</v>
      </c>
    </row>
    <row r="40" spans="1:20">
      <c r="A40" s="83" t="s">
        <v>116</v>
      </c>
      <c r="B40" s="67">
        <v>1.2170000000000001</v>
      </c>
      <c r="C40" s="36">
        <f t="shared" si="0"/>
        <v>36.510000000000005</v>
      </c>
      <c r="D40" s="39">
        <f t="shared" si="1"/>
        <v>101.86290000000001</v>
      </c>
      <c r="E40" s="39">
        <f t="shared" si="2"/>
        <v>19.350300000000001</v>
      </c>
      <c r="F40" s="39">
        <f t="shared" si="3"/>
        <v>72.2898</v>
      </c>
      <c r="G40" s="39">
        <f t="shared" si="4"/>
        <v>98.211900000000014</v>
      </c>
      <c r="H40" s="39">
        <f t="shared" si="5"/>
        <v>137.52100000000002</v>
      </c>
      <c r="I40" s="39">
        <f t="shared" si="6"/>
        <v>33.954300000000003</v>
      </c>
      <c r="J40" s="39">
        <f t="shared" si="7"/>
        <v>34.441100000000006</v>
      </c>
      <c r="K40" s="50">
        <f t="shared" si="8"/>
        <v>37.848700000000001</v>
      </c>
      <c r="L40" s="44">
        <f t="shared" si="9"/>
        <v>32.737299999999998</v>
      </c>
      <c r="M40" s="10">
        <f t="shared" si="10"/>
        <v>15.821000000000002</v>
      </c>
      <c r="N40" s="19">
        <f t="shared" si="11"/>
        <v>48.558300000000003</v>
      </c>
      <c r="O40" s="44">
        <f t="shared" si="12"/>
        <v>37.848700000000001</v>
      </c>
      <c r="P40" s="10">
        <f t="shared" si="13"/>
        <v>37.848700000000001</v>
      </c>
      <c r="Q40" s="19">
        <f t="shared" si="14"/>
        <v>75.697400000000002</v>
      </c>
      <c r="R40" s="55">
        <f t="shared" si="15"/>
        <v>37.848700000000001</v>
      </c>
      <c r="S40" s="27">
        <f t="shared" si="16"/>
        <v>20.689</v>
      </c>
      <c r="T40" s="28">
        <f t="shared" si="17"/>
        <v>58.537700000000001</v>
      </c>
    </row>
    <row r="41" spans="1:20">
      <c r="A41" s="15" t="s">
        <v>8</v>
      </c>
      <c r="B41" s="67">
        <v>1.1633</v>
      </c>
      <c r="C41" s="36">
        <f t="shared" si="0"/>
        <v>34.899000000000001</v>
      </c>
      <c r="D41" s="39">
        <f t="shared" si="1"/>
        <v>97.368210000000005</v>
      </c>
      <c r="E41" s="39">
        <f t="shared" si="2"/>
        <v>18.496470000000002</v>
      </c>
      <c r="F41" s="39">
        <f t="shared" si="3"/>
        <v>69.100020000000001</v>
      </c>
      <c r="G41" s="39">
        <f t="shared" si="4"/>
        <v>93.878309999999999</v>
      </c>
      <c r="H41" s="39">
        <f t="shared" si="5"/>
        <v>131.4529</v>
      </c>
      <c r="I41" s="39">
        <f t="shared" si="6"/>
        <v>32.456069999999997</v>
      </c>
      <c r="J41" s="39">
        <f t="shared" si="7"/>
        <v>32.921390000000002</v>
      </c>
      <c r="K41" s="50">
        <f t="shared" si="8"/>
        <v>36.178629999999998</v>
      </c>
      <c r="L41" s="44">
        <f t="shared" si="9"/>
        <v>31.292769999999997</v>
      </c>
      <c r="M41" s="10">
        <f t="shared" si="10"/>
        <v>15.1229</v>
      </c>
      <c r="N41" s="19">
        <f t="shared" si="11"/>
        <v>46.415669999999999</v>
      </c>
      <c r="O41" s="44">
        <f t="shared" si="12"/>
        <v>36.178629999999998</v>
      </c>
      <c r="P41" s="10">
        <f t="shared" si="13"/>
        <v>36.178629999999998</v>
      </c>
      <c r="Q41" s="19">
        <f t="shared" si="14"/>
        <v>72.357259999999997</v>
      </c>
      <c r="R41" s="55">
        <f t="shared" si="15"/>
        <v>36.178629999999998</v>
      </c>
      <c r="S41" s="27">
        <f t="shared" si="16"/>
        <v>19.7761</v>
      </c>
      <c r="T41" s="28">
        <f t="shared" si="17"/>
        <v>55.954729999999998</v>
      </c>
    </row>
    <row r="42" spans="1:20">
      <c r="A42" s="15" t="s">
        <v>72</v>
      </c>
      <c r="B42" s="67">
        <v>1.1771</v>
      </c>
      <c r="C42" s="36">
        <f t="shared" si="0"/>
        <v>35.313000000000002</v>
      </c>
      <c r="D42" s="39">
        <f t="shared" si="1"/>
        <v>98.523270000000011</v>
      </c>
      <c r="E42" s="39">
        <f t="shared" si="2"/>
        <v>18.715890000000002</v>
      </c>
      <c r="F42" s="39">
        <f t="shared" si="3"/>
        <v>69.919740000000004</v>
      </c>
      <c r="G42" s="39">
        <f t="shared" si="4"/>
        <v>94.991970000000009</v>
      </c>
      <c r="H42" s="39">
        <f t="shared" si="5"/>
        <v>133.01230000000001</v>
      </c>
      <c r="I42" s="39">
        <f t="shared" si="6"/>
        <v>32.841090000000001</v>
      </c>
      <c r="J42" s="39">
        <f t="shared" si="7"/>
        <v>33.311930000000004</v>
      </c>
      <c r="K42" s="50">
        <f t="shared" si="8"/>
        <v>36.607810000000001</v>
      </c>
      <c r="L42" s="44">
        <f t="shared" si="9"/>
        <v>31.663989999999998</v>
      </c>
      <c r="M42" s="10">
        <f t="shared" si="10"/>
        <v>15.302300000000001</v>
      </c>
      <c r="N42" s="19">
        <f t="shared" si="11"/>
        <v>46.966290000000001</v>
      </c>
      <c r="O42" s="44">
        <f t="shared" si="12"/>
        <v>36.607810000000001</v>
      </c>
      <c r="P42" s="10">
        <f t="shared" si="13"/>
        <v>36.607810000000001</v>
      </c>
      <c r="Q42" s="19">
        <f t="shared" si="14"/>
        <v>73.215620000000001</v>
      </c>
      <c r="R42" s="55">
        <f t="shared" si="15"/>
        <v>36.607810000000001</v>
      </c>
      <c r="S42" s="27">
        <f t="shared" si="16"/>
        <v>20.0107</v>
      </c>
      <c r="T42" s="28">
        <f t="shared" si="17"/>
        <v>56.618510000000001</v>
      </c>
    </row>
    <row r="43" spans="1:20">
      <c r="A43" s="15" t="s">
        <v>73</v>
      </c>
      <c r="B43" s="67">
        <v>1.1659999999999999</v>
      </c>
      <c r="C43" s="36">
        <f t="shared" si="0"/>
        <v>34.979999999999997</v>
      </c>
      <c r="D43" s="39">
        <f t="shared" si="1"/>
        <v>97.594200000000001</v>
      </c>
      <c r="E43" s="39">
        <f t="shared" si="2"/>
        <v>18.539400000000001</v>
      </c>
      <c r="F43" s="39">
        <f t="shared" si="3"/>
        <v>69.26039999999999</v>
      </c>
      <c r="G43" s="39">
        <f t="shared" si="4"/>
        <v>94.096199999999996</v>
      </c>
      <c r="H43" s="39">
        <f t="shared" si="5"/>
        <v>131.75799999999998</v>
      </c>
      <c r="I43" s="39">
        <f t="shared" si="6"/>
        <v>32.531399999999998</v>
      </c>
      <c r="J43" s="39">
        <f t="shared" si="7"/>
        <v>32.997799999999998</v>
      </c>
      <c r="K43" s="50">
        <f t="shared" si="8"/>
        <v>36.262599999999999</v>
      </c>
      <c r="L43" s="44">
        <f t="shared" si="9"/>
        <v>31.365399999999998</v>
      </c>
      <c r="M43" s="10">
        <f t="shared" si="10"/>
        <v>15.157999999999999</v>
      </c>
      <c r="N43" s="19">
        <f t="shared" si="11"/>
        <v>46.523399999999995</v>
      </c>
      <c r="O43" s="44">
        <f t="shared" si="12"/>
        <v>36.262599999999999</v>
      </c>
      <c r="P43" s="10">
        <f t="shared" si="13"/>
        <v>36.262599999999999</v>
      </c>
      <c r="Q43" s="19">
        <f t="shared" si="14"/>
        <v>72.525199999999998</v>
      </c>
      <c r="R43" s="55">
        <f t="shared" si="15"/>
        <v>36.262599999999999</v>
      </c>
      <c r="S43" s="27">
        <f t="shared" si="16"/>
        <v>19.821999999999999</v>
      </c>
      <c r="T43" s="28">
        <f t="shared" si="17"/>
        <v>56.084599999999995</v>
      </c>
    </row>
    <row r="44" spans="1:20">
      <c r="A44" s="15" t="s">
        <v>74</v>
      </c>
      <c r="B44" s="67">
        <v>1.125</v>
      </c>
      <c r="C44" s="36">
        <f t="shared" si="0"/>
        <v>33.75</v>
      </c>
      <c r="D44" s="39">
        <f t="shared" si="1"/>
        <v>94.162500000000009</v>
      </c>
      <c r="E44" s="39">
        <f t="shared" si="2"/>
        <v>17.887499999999999</v>
      </c>
      <c r="F44" s="39">
        <f t="shared" si="3"/>
        <v>66.825000000000003</v>
      </c>
      <c r="G44" s="39">
        <f t="shared" si="4"/>
        <v>90.787500000000009</v>
      </c>
      <c r="H44" s="39">
        <f t="shared" si="5"/>
        <v>127.125</v>
      </c>
      <c r="I44" s="39">
        <f t="shared" si="6"/>
        <v>31.387499999999999</v>
      </c>
      <c r="J44" s="39">
        <f t="shared" si="7"/>
        <v>31.837500000000002</v>
      </c>
      <c r="K44" s="50">
        <f t="shared" si="8"/>
        <v>34.987500000000004</v>
      </c>
      <c r="L44" s="44">
        <f t="shared" si="9"/>
        <v>30.262499999999999</v>
      </c>
      <c r="M44" s="10">
        <f t="shared" si="10"/>
        <v>14.625</v>
      </c>
      <c r="N44" s="19">
        <f t="shared" si="11"/>
        <v>44.887500000000003</v>
      </c>
      <c r="O44" s="44">
        <f t="shared" si="12"/>
        <v>34.987500000000004</v>
      </c>
      <c r="P44" s="10">
        <f t="shared" si="13"/>
        <v>34.987500000000004</v>
      </c>
      <c r="Q44" s="19">
        <f t="shared" si="14"/>
        <v>69.975000000000009</v>
      </c>
      <c r="R44" s="55">
        <f t="shared" si="15"/>
        <v>34.987500000000004</v>
      </c>
      <c r="S44" s="27">
        <f t="shared" si="16"/>
        <v>19.125</v>
      </c>
      <c r="T44" s="28">
        <f t="shared" si="17"/>
        <v>54.112500000000004</v>
      </c>
    </row>
    <row r="45" spans="1:20">
      <c r="A45" s="15" t="s">
        <v>75</v>
      </c>
      <c r="B45" s="67">
        <v>1.125</v>
      </c>
      <c r="C45" s="36">
        <f t="shared" si="0"/>
        <v>33.75</v>
      </c>
      <c r="D45" s="39">
        <f t="shared" si="1"/>
        <v>94.162500000000009</v>
      </c>
      <c r="E45" s="39">
        <f t="shared" si="2"/>
        <v>17.887499999999999</v>
      </c>
      <c r="F45" s="39">
        <f t="shared" si="3"/>
        <v>66.825000000000003</v>
      </c>
      <c r="G45" s="39">
        <f t="shared" si="4"/>
        <v>90.787500000000009</v>
      </c>
      <c r="H45" s="39">
        <f t="shared" si="5"/>
        <v>127.125</v>
      </c>
      <c r="I45" s="39">
        <f t="shared" si="6"/>
        <v>31.387499999999999</v>
      </c>
      <c r="J45" s="39">
        <f t="shared" si="7"/>
        <v>31.837500000000002</v>
      </c>
      <c r="K45" s="50">
        <f t="shared" si="8"/>
        <v>34.987500000000004</v>
      </c>
      <c r="L45" s="44">
        <f t="shared" si="9"/>
        <v>30.262499999999999</v>
      </c>
      <c r="M45" s="10">
        <f t="shared" si="10"/>
        <v>14.625</v>
      </c>
      <c r="N45" s="19">
        <f t="shared" si="11"/>
        <v>44.887500000000003</v>
      </c>
      <c r="O45" s="44">
        <f t="shared" si="12"/>
        <v>34.987500000000004</v>
      </c>
      <c r="P45" s="10">
        <f t="shared" si="13"/>
        <v>34.987500000000004</v>
      </c>
      <c r="Q45" s="19">
        <f t="shared" si="14"/>
        <v>69.975000000000009</v>
      </c>
      <c r="R45" s="55">
        <f t="shared" si="15"/>
        <v>34.987500000000004</v>
      </c>
      <c r="S45" s="27">
        <f t="shared" si="16"/>
        <v>19.125</v>
      </c>
      <c r="T45" s="28">
        <f t="shared" si="17"/>
        <v>54.112500000000004</v>
      </c>
    </row>
    <row r="46" spans="1:20">
      <c r="A46" s="15" t="s">
        <v>76</v>
      </c>
      <c r="B46" s="67">
        <v>1.1599999999999999</v>
      </c>
      <c r="C46" s="36">
        <f t="shared" si="0"/>
        <v>34.799999999999997</v>
      </c>
      <c r="D46" s="39">
        <f t="shared" si="1"/>
        <v>97.091999999999999</v>
      </c>
      <c r="E46" s="39">
        <f t="shared" si="2"/>
        <v>18.443999999999999</v>
      </c>
      <c r="F46" s="39">
        <f t="shared" si="3"/>
        <v>68.903999999999996</v>
      </c>
      <c r="G46" s="39">
        <f t="shared" si="4"/>
        <v>93.611999999999995</v>
      </c>
      <c r="H46" s="39">
        <f t="shared" si="5"/>
        <v>131.07999999999998</v>
      </c>
      <c r="I46" s="39">
        <f t="shared" si="6"/>
        <v>32.363999999999997</v>
      </c>
      <c r="J46" s="39">
        <f t="shared" si="7"/>
        <v>32.827999999999996</v>
      </c>
      <c r="K46" s="50">
        <f t="shared" si="8"/>
        <v>36.076000000000001</v>
      </c>
      <c r="L46" s="44">
        <f t="shared" si="9"/>
        <v>31.203999999999997</v>
      </c>
      <c r="M46" s="10">
        <f t="shared" si="10"/>
        <v>15.079999999999998</v>
      </c>
      <c r="N46" s="19">
        <f t="shared" si="11"/>
        <v>46.283999999999992</v>
      </c>
      <c r="O46" s="44">
        <f t="shared" si="12"/>
        <v>36.076000000000001</v>
      </c>
      <c r="P46" s="10">
        <f t="shared" si="13"/>
        <v>36.076000000000001</v>
      </c>
      <c r="Q46" s="19">
        <f t="shared" si="14"/>
        <v>72.152000000000001</v>
      </c>
      <c r="R46" s="55">
        <f t="shared" si="15"/>
        <v>36.076000000000001</v>
      </c>
      <c r="S46" s="27">
        <f t="shared" si="16"/>
        <v>19.72</v>
      </c>
      <c r="T46" s="28">
        <f t="shared" si="17"/>
        <v>55.795999999999999</v>
      </c>
    </row>
    <row r="47" spans="1:20">
      <c r="A47" s="15" t="s">
        <v>77</v>
      </c>
      <c r="B47" s="67">
        <v>1.19</v>
      </c>
      <c r="C47" s="36">
        <f t="shared" si="0"/>
        <v>35.699999999999996</v>
      </c>
      <c r="D47" s="39">
        <f t="shared" si="1"/>
        <v>99.602999999999994</v>
      </c>
      <c r="E47" s="39">
        <f t="shared" si="2"/>
        <v>18.920999999999999</v>
      </c>
      <c r="F47" s="39">
        <f t="shared" si="3"/>
        <v>70.685999999999993</v>
      </c>
      <c r="G47" s="39">
        <f t="shared" si="4"/>
        <v>96.033000000000001</v>
      </c>
      <c r="H47" s="39">
        <f t="shared" si="5"/>
        <v>134.47</v>
      </c>
      <c r="I47" s="39">
        <f t="shared" si="6"/>
        <v>33.200999999999993</v>
      </c>
      <c r="J47" s="39">
        <f t="shared" si="7"/>
        <v>33.677</v>
      </c>
      <c r="K47" s="50">
        <f t="shared" si="8"/>
        <v>37.009</v>
      </c>
      <c r="L47" s="44">
        <f t="shared" si="9"/>
        <v>32.010999999999996</v>
      </c>
      <c r="M47" s="10">
        <f t="shared" si="10"/>
        <v>15.469999999999999</v>
      </c>
      <c r="N47" s="19">
        <f t="shared" si="11"/>
        <v>47.480999999999995</v>
      </c>
      <c r="O47" s="44">
        <f t="shared" si="12"/>
        <v>37.009</v>
      </c>
      <c r="P47" s="10">
        <f t="shared" si="13"/>
        <v>37.009</v>
      </c>
      <c r="Q47" s="19">
        <f t="shared" si="14"/>
        <v>74.018000000000001</v>
      </c>
      <c r="R47" s="55">
        <f t="shared" si="15"/>
        <v>37.009</v>
      </c>
      <c r="S47" s="27">
        <f t="shared" si="16"/>
        <v>20.23</v>
      </c>
      <c r="T47" s="28">
        <f t="shared" si="17"/>
        <v>57.239000000000004</v>
      </c>
    </row>
    <row r="48" spans="1:20">
      <c r="A48" s="15" t="s">
        <v>78</v>
      </c>
      <c r="B48" s="67">
        <v>1.19</v>
      </c>
      <c r="C48" s="36">
        <f t="shared" si="0"/>
        <v>35.699999999999996</v>
      </c>
      <c r="D48" s="39">
        <f t="shared" si="1"/>
        <v>99.602999999999994</v>
      </c>
      <c r="E48" s="39">
        <f t="shared" si="2"/>
        <v>18.920999999999999</v>
      </c>
      <c r="F48" s="39">
        <f t="shared" si="3"/>
        <v>70.685999999999993</v>
      </c>
      <c r="G48" s="39">
        <f t="shared" si="4"/>
        <v>96.033000000000001</v>
      </c>
      <c r="H48" s="39">
        <f t="shared" si="5"/>
        <v>134.47</v>
      </c>
      <c r="I48" s="39">
        <f t="shared" si="6"/>
        <v>33.200999999999993</v>
      </c>
      <c r="J48" s="39">
        <f t="shared" si="7"/>
        <v>33.677</v>
      </c>
      <c r="K48" s="50">
        <f t="shared" si="8"/>
        <v>37.009</v>
      </c>
      <c r="L48" s="44">
        <f t="shared" si="9"/>
        <v>32.010999999999996</v>
      </c>
      <c r="M48" s="10">
        <f t="shared" si="10"/>
        <v>15.469999999999999</v>
      </c>
      <c r="N48" s="19">
        <f t="shared" si="11"/>
        <v>47.480999999999995</v>
      </c>
      <c r="O48" s="44">
        <f t="shared" si="12"/>
        <v>37.009</v>
      </c>
      <c r="P48" s="10">
        <f t="shared" si="13"/>
        <v>37.009</v>
      </c>
      <c r="Q48" s="19">
        <f t="shared" si="14"/>
        <v>74.018000000000001</v>
      </c>
      <c r="R48" s="55">
        <f t="shared" si="15"/>
        <v>37.009</v>
      </c>
      <c r="S48" s="27">
        <f t="shared" si="16"/>
        <v>20.23</v>
      </c>
      <c r="T48" s="28">
        <f t="shared" si="17"/>
        <v>57.239000000000004</v>
      </c>
    </row>
    <row r="49" spans="1:20">
      <c r="A49" s="15" t="s">
        <v>79</v>
      </c>
      <c r="B49" s="67">
        <v>1.1911</v>
      </c>
      <c r="C49" s="36">
        <f t="shared" si="0"/>
        <v>35.733000000000004</v>
      </c>
      <c r="D49" s="39">
        <f t="shared" si="1"/>
        <v>99.695070000000001</v>
      </c>
      <c r="E49" s="39">
        <f t="shared" si="2"/>
        <v>18.938490000000002</v>
      </c>
      <c r="F49" s="39">
        <f t="shared" si="3"/>
        <v>70.751339999999999</v>
      </c>
      <c r="G49" s="39">
        <f t="shared" si="4"/>
        <v>96.121770000000012</v>
      </c>
      <c r="H49" s="39">
        <f t="shared" si="5"/>
        <v>134.5943</v>
      </c>
      <c r="I49" s="39">
        <f t="shared" si="6"/>
        <v>33.23169</v>
      </c>
      <c r="J49" s="39">
        <f t="shared" si="7"/>
        <v>33.708130000000004</v>
      </c>
      <c r="K49" s="50">
        <f t="shared" si="8"/>
        <v>37.043210000000002</v>
      </c>
      <c r="L49" s="44">
        <f t="shared" si="9"/>
        <v>32.040590000000002</v>
      </c>
      <c r="M49" s="10">
        <f t="shared" si="10"/>
        <v>15.484300000000001</v>
      </c>
      <c r="N49" s="19">
        <f t="shared" si="11"/>
        <v>47.524889999999999</v>
      </c>
      <c r="O49" s="44">
        <f t="shared" si="12"/>
        <v>37.043210000000002</v>
      </c>
      <c r="P49" s="10">
        <f t="shared" si="13"/>
        <v>37.043210000000002</v>
      </c>
      <c r="Q49" s="19">
        <f t="shared" si="14"/>
        <v>74.086420000000004</v>
      </c>
      <c r="R49" s="55">
        <f t="shared" si="15"/>
        <v>37.043210000000002</v>
      </c>
      <c r="S49" s="27">
        <f t="shared" si="16"/>
        <v>20.248699999999999</v>
      </c>
      <c r="T49" s="28">
        <f t="shared" si="17"/>
        <v>57.291910000000001</v>
      </c>
    </row>
    <row r="50" spans="1:20">
      <c r="A50" s="15" t="s">
        <v>80</v>
      </c>
      <c r="B50" s="67">
        <v>1.091</v>
      </c>
      <c r="C50" s="36">
        <f t="shared" si="0"/>
        <v>32.729999999999997</v>
      </c>
      <c r="D50" s="39">
        <f t="shared" si="1"/>
        <v>91.316699999999997</v>
      </c>
      <c r="E50" s="39">
        <f t="shared" si="2"/>
        <v>17.346900000000002</v>
      </c>
      <c r="F50" s="39">
        <f t="shared" si="3"/>
        <v>64.805399999999992</v>
      </c>
      <c r="G50" s="39">
        <f t="shared" si="4"/>
        <v>88.043700000000001</v>
      </c>
      <c r="H50" s="39">
        <f t="shared" si="5"/>
        <v>123.283</v>
      </c>
      <c r="I50" s="39">
        <f t="shared" si="6"/>
        <v>30.438899999999997</v>
      </c>
      <c r="J50" s="39">
        <f t="shared" si="7"/>
        <v>30.875299999999999</v>
      </c>
      <c r="K50" s="50">
        <f t="shared" si="8"/>
        <v>33.930100000000003</v>
      </c>
      <c r="L50" s="44">
        <f t="shared" si="9"/>
        <v>29.347899999999999</v>
      </c>
      <c r="M50" s="10">
        <f t="shared" si="10"/>
        <v>14.183</v>
      </c>
      <c r="N50" s="19">
        <f t="shared" si="11"/>
        <v>43.530900000000003</v>
      </c>
      <c r="O50" s="44">
        <f t="shared" si="12"/>
        <v>33.930100000000003</v>
      </c>
      <c r="P50" s="10">
        <f t="shared" si="13"/>
        <v>33.930100000000003</v>
      </c>
      <c r="Q50" s="19">
        <f t="shared" si="14"/>
        <v>67.860200000000006</v>
      </c>
      <c r="R50" s="55">
        <f t="shared" si="15"/>
        <v>33.930100000000003</v>
      </c>
      <c r="S50" s="27">
        <f t="shared" si="16"/>
        <v>18.547000000000001</v>
      </c>
      <c r="T50" s="28">
        <f t="shared" si="17"/>
        <v>52.477100000000007</v>
      </c>
    </row>
    <row r="51" spans="1:20">
      <c r="A51" s="16" t="s">
        <v>9</v>
      </c>
      <c r="B51" s="68">
        <v>1.33</v>
      </c>
      <c r="C51" s="36">
        <f t="shared" si="0"/>
        <v>39.900000000000006</v>
      </c>
      <c r="D51" s="39">
        <f t="shared" si="1"/>
        <v>111.32100000000001</v>
      </c>
      <c r="E51" s="39">
        <f t="shared" si="2"/>
        <v>21.147000000000002</v>
      </c>
      <c r="F51" s="39">
        <f t="shared" si="3"/>
        <v>79.001999999999995</v>
      </c>
      <c r="G51" s="39">
        <f t="shared" si="4"/>
        <v>107.331</v>
      </c>
      <c r="H51" s="39">
        <f t="shared" si="5"/>
        <v>150.29000000000002</v>
      </c>
      <c r="I51" s="39">
        <f t="shared" si="6"/>
        <v>37.106999999999999</v>
      </c>
      <c r="J51" s="39">
        <f t="shared" si="7"/>
        <v>37.639000000000003</v>
      </c>
      <c r="K51" s="50">
        <f t="shared" si="8"/>
        <v>41.363000000000007</v>
      </c>
      <c r="L51" s="44">
        <f t="shared" si="9"/>
        <v>35.777000000000001</v>
      </c>
      <c r="M51" s="10">
        <f t="shared" si="10"/>
        <v>17.29</v>
      </c>
      <c r="N51" s="19">
        <f t="shared" si="11"/>
        <v>53.067</v>
      </c>
      <c r="O51" s="44">
        <f t="shared" si="12"/>
        <v>41.363000000000007</v>
      </c>
      <c r="P51" s="10">
        <f t="shared" si="13"/>
        <v>41.363000000000007</v>
      </c>
      <c r="Q51" s="19">
        <f t="shared" si="14"/>
        <v>82.726000000000013</v>
      </c>
      <c r="R51" s="55">
        <f t="shared" si="15"/>
        <v>41.363000000000007</v>
      </c>
      <c r="S51" s="27">
        <f t="shared" si="16"/>
        <v>22.61</v>
      </c>
      <c r="T51" s="28">
        <f t="shared" si="17"/>
        <v>63.973000000000006</v>
      </c>
    </row>
    <row r="52" spans="1:20">
      <c r="A52" s="16" t="s">
        <v>108</v>
      </c>
      <c r="B52" s="67">
        <v>0.87480000000000002</v>
      </c>
      <c r="C52" s="36">
        <f t="shared" si="0"/>
        <v>26.244</v>
      </c>
      <c r="D52" s="39">
        <f t="shared" si="1"/>
        <v>73.220759999999999</v>
      </c>
      <c r="E52" s="39">
        <f t="shared" si="2"/>
        <v>13.909320000000001</v>
      </c>
      <c r="F52" s="39">
        <f t="shared" si="3"/>
        <v>51.963120000000004</v>
      </c>
      <c r="G52" s="39">
        <f t="shared" si="4"/>
        <v>70.596360000000004</v>
      </c>
      <c r="H52" s="39">
        <f t="shared" si="5"/>
        <v>98.852400000000003</v>
      </c>
      <c r="I52" s="39">
        <f t="shared" si="6"/>
        <v>24.40692</v>
      </c>
      <c r="J52" s="39">
        <f t="shared" si="7"/>
        <v>24.75684</v>
      </c>
      <c r="K52" s="50">
        <f t="shared" si="8"/>
        <v>27.206280000000003</v>
      </c>
      <c r="L52" s="44">
        <f t="shared" si="9"/>
        <v>23.532119999999999</v>
      </c>
      <c r="M52" s="10">
        <f t="shared" si="10"/>
        <v>11.372400000000001</v>
      </c>
      <c r="N52" s="19">
        <f t="shared" si="11"/>
        <v>34.904519999999998</v>
      </c>
      <c r="O52" s="44">
        <f t="shared" si="12"/>
        <v>27.206280000000003</v>
      </c>
      <c r="P52" s="10">
        <f t="shared" si="13"/>
        <v>27.206280000000003</v>
      </c>
      <c r="Q52" s="19">
        <f t="shared" si="14"/>
        <v>54.412560000000006</v>
      </c>
      <c r="R52" s="55">
        <f t="shared" si="15"/>
        <v>27.206280000000003</v>
      </c>
      <c r="S52" s="27">
        <f t="shared" si="16"/>
        <v>14.871600000000001</v>
      </c>
      <c r="T52" s="28">
        <f t="shared" si="17"/>
        <v>42.077880000000007</v>
      </c>
    </row>
    <row r="53" spans="1:20">
      <c r="A53" s="16" t="s">
        <v>109</v>
      </c>
      <c r="B53" s="67">
        <v>0.88529999999999998</v>
      </c>
      <c r="C53" s="36">
        <f t="shared" si="0"/>
        <v>26.558999999999997</v>
      </c>
      <c r="D53" s="39">
        <f t="shared" si="1"/>
        <v>74.099609999999998</v>
      </c>
      <c r="E53" s="39">
        <f t="shared" si="2"/>
        <v>14.076269999999999</v>
      </c>
      <c r="F53" s="39">
        <f t="shared" si="3"/>
        <v>52.586819999999996</v>
      </c>
      <c r="G53" s="39">
        <f t="shared" si="4"/>
        <v>71.443709999999996</v>
      </c>
      <c r="H53" s="39">
        <f t="shared" si="5"/>
        <v>100.0389</v>
      </c>
      <c r="I53" s="39">
        <f t="shared" si="6"/>
        <v>24.699869999999997</v>
      </c>
      <c r="J53" s="39">
        <f t="shared" si="7"/>
        <v>25.053989999999999</v>
      </c>
      <c r="K53" s="50">
        <f t="shared" si="8"/>
        <v>27.532830000000001</v>
      </c>
      <c r="L53" s="44">
        <f t="shared" si="9"/>
        <v>23.81457</v>
      </c>
      <c r="M53" s="10">
        <f t="shared" si="10"/>
        <v>11.508900000000001</v>
      </c>
      <c r="N53" s="19">
        <f t="shared" si="11"/>
        <v>35.32347</v>
      </c>
      <c r="O53" s="44">
        <f t="shared" si="12"/>
        <v>27.532830000000001</v>
      </c>
      <c r="P53" s="10">
        <f t="shared" si="13"/>
        <v>27.532830000000001</v>
      </c>
      <c r="Q53" s="19">
        <f t="shared" si="14"/>
        <v>55.065660000000001</v>
      </c>
      <c r="R53" s="55">
        <f t="shared" si="15"/>
        <v>27.532830000000001</v>
      </c>
      <c r="S53" s="27">
        <f t="shared" si="16"/>
        <v>15.0501</v>
      </c>
      <c r="T53" s="28">
        <f t="shared" si="17"/>
        <v>42.582930000000005</v>
      </c>
    </row>
    <row r="54" spans="1:20">
      <c r="A54" s="16" t="s">
        <v>110</v>
      </c>
      <c r="B54" s="67">
        <v>0.89229999999999998</v>
      </c>
      <c r="C54" s="36">
        <f t="shared" si="0"/>
        <v>26.768999999999998</v>
      </c>
      <c r="D54" s="39">
        <f t="shared" si="1"/>
        <v>74.685510000000008</v>
      </c>
      <c r="E54" s="39">
        <f t="shared" si="2"/>
        <v>14.187570000000001</v>
      </c>
      <c r="F54" s="39">
        <f t="shared" si="3"/>
        <v>53.00262</v>
      </c>
      <c r="G54" s="39">
        <f t="shared" si="4"/>
        <v>72.008610000000004</v>
      </c>
      <c r="H54" s="39">
        <f t="shared" si="5"/>
        <v>100.82989999999999</v>
      </c>
      <c r="I54" s="39">
        <f t="shared" si="6"/>
        <v>24.895169999999997</v>
      </c>
      <c r="J54" s="39">
        <f t="shared" si="7"/>
        <v>25.252089999999999</v>
      </c>
      <c r="K54" s="50">
        <f t="shared" si="8"/>
        <v>27.750530000000001</v>
      </c>
      <c r="L54" s="44">
        <f t="shared" si="9"/>
        <v>24.002869999999998</v>
      </c>
      <c r="M54" s="10">
        <f t="shared" si="10"/>
        <v>11.5999</v>
      </c>
      <c r="N54" s="19">
        <f t="shared" si="11"/>
        <v>35.60277</v>
      </c>
      <c r="O54" s="44">
        <f t="shared" si="12"/>
        <v>27.750530000000001</v>
      </c>
      <c r="P54" s="10">
        <f t="shared" si="13"/>
        <v>27.750530000000001</v>
      </c>
      <c r="Q54" s="19">
        <f t="shared" si="14"/>
        <v>55.501060000000003</v>
      </c>
      <c r="R54" s="55">
        <f t="shared" si="15"/>
        <v>27.750530000000001</v>
      </c>
      <c r="S54" s="27">
        <f t="shared" si="16"/>
        <v>15.1691</v>
      </c>
      <c r="T54" s="28">
        <f t="shared" si="17"/>
        <v>42.919629999999998</v>
      </c>
    </row>
    <row r="55" spans="1:20">
      <c r="A55" s="16" t="s">
        <v>111</v>
      </c>
      <c r="B55" s="67">
        <v>0.92049999999999998</v>
      </c>
      <c r="C55" s="36">
        <f t="shared" si="0"/>
        <v>27.614999999999998</v>
      </c>
      <c r="D55" s="39">
        <f t="shared" si="1"/>
        <v>77.045850000000002</v>
      </c>
      <c r="E55" s="39">
        <f t="shared" si="2"/>
        <v>14.635949999999999</v>
      </c>
      <c r="F55" s="39">
        <f t="shared" si="3"/>
        <v>54.677699999999994</v>
      </c>
      <c r="G55" s="39">
        <f t="shared" si="4"/>
        <v>74.284350000000003</v>
      </c>
      <c r="H55" s="39">
        <f t="shared" si="5"/>
        <v>104.01649999999999</v>
      </c>
      <c r="I55" s="39">
        <f t="shared" si="6"/>
        <v>25.681949999999997</v>
      </c>
      <c r="J55" s="39">
        <f t="shared" si="7"/>
        <v>26.050149999999999</v>
      </c>
      <c r="K55" s="50">
        <f t="shared" si="8"/>
        <v>28.627549999999999</v>
      </c>
      <c r="L55" s="44">
        <f t="shared" si="9"/>
        <v>24.76145</v>
      </c>
      <c r="M55" s="10">
        <f t="shared" si="10"/>
        <v>11.9665</v>
      </c>
      <c r="N55" s="19">
        <f t="shared" si="11"/>
        <v>36.72795</v>
      </c>
      <c r="O55" s="44">
        <f t="shared" si="12"/>
        <v>28.627549999999999</v>
      </c>
      <c r="P55" s="10">
        <f t="shared" si="13"/>
        <v>28.627549999999999</v>
      </c>
      <c r="Q55" s="19">
        <f t="shared" si="14"/>
        <v>57.255099999999999</v>
      </c>
      <c r="R55" s="55">
        <f t="shared" si="15"/>
        <v>28.627549999999999</v>
      </c>
      <c r="S55" s="27">
        <f t="shared" si="16"/>
        <v>15.6485</v>
      </c>
      <c r="T55" s="28">
        <f t="shared" si="17"/>
        <v>44.276049999999998</v>
      </c>
    </row>
    <row r="56" spans="1:20">
      <c r="A56" s="16" t="s">
        <v>14</v>
      </c>
      <c r="B56" s="68">
        <v>1.32</v>
      </c>
      <c r="C56" s="36">
        <f t="shared" si="0"/>
        <v>39.6</v>
      </c>
      <c r="D56" s="39">
        <f t="shared" si="1"/>
        <v>110.48400000000001</v>
      </c>
      <c r="E56" s="39">
        <f t="shared" si="2"/>
        <v>20.988000000000003</v>
      </c>
      <c r="F56" s="39">
        <f t="shared" si="3"/>
        <v>78.408000000000001</v>
      </c>
      <c r="G56" s="39">
        <f t="shared" si="4"/>
        <v>106.52400000000002</v>
      </c>
      <c r="H56" s="39">
        <f t="shared" si="5"/>
        <v>149.16</v>
      </c>
      <c r="I56" s="39">
        <f t="shared" si="6"/>
        <v>36.828000000000003</v>
      </c>
      <c r="J56" s="39">
        <f t="shared" si="7"/>
        <v>37.356000000000002</v>
      </c>
      <c r="K56" s="50">
        <f t="shared" si="8"/>
        <v>41.052000000000007</v>
      </c>
      <c r="L56" s="44">
        <f t="shared" si="9"/>
        <v>35.508000000000003</v>
      </c>
      <c r="M56" s="10">
        <f t="shared" si="10"/>
        <v>17.16</v>
      </c>
      <c r="N56" s="19">
        <f t="shared" si="11"/>
        <v>52.668000000000006</v>
      </c>
      <c r="O56" s="44">
        <f t="shared" si="12"/>
        <v>41.052000000000007</v>
      </c>
      <c r="P56" s="10">
        <f t="shared" si="13"/>
        <v>41.052000000000007</v>
      </c>
      <c r="Q56" s="19">
        <f t="shared" si="14"/>
        <v>82.104000000000013</v>
      </c>
      <c r="R56" s="55">
        <f t="shared" si="15"/>
        <v>41.052000000000007</v>
      </c>
      <c r="S56" s="27">
        <f t="shared" si="16"/>
        <v>22.44</v>
      </c>
      <c r="T56" s="28">
        <f t="shared" si="17"/>
        <v>63.492000000000004</v>
      </c>
    </row>
    <row r="57" spans="1:20">
      <c r="A57" s="16" t="s">
        <v>15</v>
      </c>
      <c r="B57" s="68">
        <v>1.33</v>
      </c>
      <c r="C57" s="36">
        <f t="shared" si="0"/>
        <v>39.900000000000006</v>
      </c>
      <c r="D57" s="39">
        <f t="shared" si="1"/>
        <v>111.32100000000001</v>
      </c>
      <c r="E57" s="39">
        <f t="shared" si="2"/>
        <v>21.147000000000002</v>
      </c>
      <c r="F57" s="39">
        <f t="shared" si="3"/>
        <v>79.001999999999995</v>
      </c>
      <c r="G57" s="39">
        <f t="shared" si="4"/>
        <v>107.331</v>
      </c>
      <c r="H57" s="39">
        <f t="shared" si="5"/>
        <v>150.29000000000002</v>
      </c>
      <c r="I57" s="39">
        <f t="shared" si="6"/>
        <v>37.106999999999999</v>
      </c>
      <c r="J57" s="39">
        <f t="shared" si="7"/>
        <v>37.639000000000003</v>
      </c>
      <c r="K57" s="50">
        <f t="shared" si="8"/>
        <v>41.363000000000007</v>
      </c>
      <c r="L57" s="44">
        <f t="shared" si="9"/>
        <v>35.777000000000001</v>
      </c>
      <c r="M57" s="10">
        <f t="shared" si="10"/>
        <v>17.29</v>
      </c>
      <c r="N57" s="19">
        <f t="shared" si="11"/>
        <v>53.067</v>
      </c>
      <c r="O57" s="44">
        <f t="shared" si="12"/>
        <v>41.363000000000007</v>
      </c>
      <c r="P57" s="10">
        <f t="shared" si="13"/>
        <v>41.363000000000007</v>
      </c>
      <c r="Q57" s="19">
        <f t="shared" si="14"/>
        <v>82.726000000000013</v>
      </c>
      <c r="R57" s="55">
        <f t="shared" si="15"/>
        <v>41.363000000000007</v>
      </c>
      <c r="S57" s="27">
        <f t="shared" si="16"/>
        <v>22.61</v>
      </c>
      <c r="T57" s="28">
        <f t="shared" si="17"/>
        <v>63.973000000000006</v>
      </c>
    </row>
    <row r="58" spans="1:20">
      <c r="A58" s="14" t="s">
        <v>16</v>
      </c>
      <c r="B58" s="68">
        <v>1.25</v>
      </c>
      <c r="C58" s="36">
        <f t="shared" si="0"/>
        <v>37.5</v>
      </c>
      <c r="D58" s="39">
        <f t="shared" si="1"/>
        <v>104.625</v>
      </c>
      <c r="E58" s="39">
        <f t="shared" si="2"/>
        <v>19.875</v>
      </c>
      <c r="F58" s="39">
        <f t="shared" si="3"/>
        <v>74.25</v>
      </c>
      <c r="G58" s="39">
        <f t="shared" si="4"/>
        <v>100.875</v>
      </c>
      <c r="H58" s="39">
        <f t="shared" si="5"/>
        <v>141.25</v>
      </c>
      <c r="I58" s="39">
        <f t="shared" si="6"/>
        <v>34.875</v>
      </c>
      <c r="J58" s="39">
        <f t="shared" si="7"/>
        <v>35.375</v>
      </c>
      <c r="K58" s="50">
        <f t="shared" si="8"/>
        <v>38.875</v>
      </c>
      <c r="L58" s="44">
        <f t="shared" si="9"/>
        <v>33.625</v>
      </c>
      <c r="M58" s="10">
        <f t="shared" si="10"/>
        <v>16.25</v>
      </c>
      <c r="N58" s="19">
        <f t="shared" si="11"/>
        <v>49.875</v>
      </c>
      <c r="O58" s="44">
        <f t="shared" si="12"/>
        <v>38.875</v>
      </c>
      <c r="P58" s="10">
        <f t="shared" si="13"/>
        <v>38.875</v>
      </c>
      <c r="Q58" s="19">
        <f t="shared" si="14"/>
        <v>77.75</v>
      </c>
      <c r="R58" s="55">
        <f t="shared" si="15"/>
        <v>38.875</v>
      </c>
      <c r="S58" s="27">
        <f t="shared" si="16"/>
        <v>21.25</v>
      </c>
      <c r="T58" s="28">
        <f t="shared" si="17"/>
        <v>60.125</v>
      </c>
    </row>
    <row r="59" spans="1:20">
      <c r="A59" s="14" t="s">
        <v>17</v>
      </c>
      <c r="B59" s="68">
        <v>1.01</v>
      </c>
      <c r="C59" s="36">
        <f t="shared" si="0"/>
        <v>30.3</v>
      </c>
      <c r="D59" s="39">
        <f t="shared" si="1"/>
        <v>84.537000000000006</v>
      </c>
      <c r="E59" s="39">
        <f t="shared" si="2"/>
        <v>16.059000000000001</v>
      </c>
      <c r="F59" s="39">
        <f t="shared" si="3"/>
        <v>59.994</v>
      </c>
      <c r="G59" s="39">
        <f t="shared" si="4"/>
        <v>81.507000000000005</v>
      </c>
      <c r="H59" s="39">
        <f t="shared" si="5"/>
        <v>114.13</v>
      </c>
      <c r="I59" s="39">
        <f t="shared" si="6"/>
        <v>28.178999999999998</v>
      </c>
      <c r="J59" s="39">
        <f t="shared" si="7"/>
        <v>28.583000000000002</v>
      </c>
      <c r="K59" s="50">
        <f t="shared" si="8"/>
        <v>31.411000000000001</v>
      </c>
      <c r="L59" s="44">
        <f t="shared" si="9"/>
        <v>27.169</v>
      </c>
      <c r="M59" s="10">
        <f t="shared" si="10"/>
        <v>13.13</v>
      </c>
      <c r="N59" s="19">
        <f t="shared" si="11"/>
        <v>40.298999999999999</v>
      </c>
      <c r="O59" s="44">
        <f t="shared" si="12"/>
        <v>31.411000000000001</v>
      </c>
      <c r="P59" s="10">
        <f t="shared" si="13"/>
        <v>31.411000000000001</v>
      </c>
      <c r="Q59" s="19">
        <f t="shared" si="14"/>
        <v>62.822000000000003</v>
      </c>
      <c r="R59" s="55">
        <f t="shared" si="15"/>
        <v>31.411000000000001</v>
      </c>
      <c r="S59" s="27">
        <f t="shared" si="16"/>
        <v>17.170000000000002</v>
      </c>
      <c r="T59" s="28">
        <f t="shared" si="17"/>
        <v>48.581000000000003</v>
      </c>
    </row>
    <row r="60" spans="1:20">
      <c r="A60" s="17" t="s">
        <v>18</v>
      </c>
      <c r="B60" s="68">
        <v>0.72</v>
      </c>
      <c r="C60" s="36">
        <f t="shared" si="0"/>
        <v>21.599999999999998</v>
      </c>
      <c r="D60" s="39">
        <f t="shared" si="1"/>
        <v>60.264000000000003</v>
      </c>
      <c r="E60" s="39">
        <f t="shared" si="2"/>
        <v>11.448</v>
      </c>
      <c r="F60" s="39">
        <f t="shared" si="3"/>
        <v>42.768000000000001</v>
      </c>
      <c r="G60" s="39">
        <f t="shared" si="4"/>
        <v>58.103999999999999</v>
      </c>
      <c r="H60" s="39">
        <f t="shared" si="5"/>
        <v>81.36</v>
      </c>
      <c r="I60" s="39">
        <f t="shared" si="6"/>
        <v>20.087999999999997</v>
      </c>
      <c r="J60" s="39">
        <f t="shared" si="7"/>
        <v>20.376000000000001</v>
      </c>
      <c r="K60" s="50">
        <f t="shared" si="8"/>
        <v>22.391999999999999</v>
      </c>
      <c r="L60" s="44">
        <f t="shared" si="9"/>
        <v>19.367999999999999</v>
      </c>
      <c r="M60" s="10">
        <f t="shared" si="10"/>
        <v>9.36</v>
      </c>
      <c r="N60" s="19">
        <f t="shared" si="11"/>
        <v>28.727999999999998</v>
      </c>
      <c r="O60" s="44">
        <f t="shared" si="12"/>
        <v>22.391999999999999</v>
      </c>
      <c r="P60" s="10">
        <f t="shared" si="13"/>
        <v>22.391999999999999</v>
      </c>
      <c r="Q60" s="19">
        <f t="shared" si="14"/>
        <v>44.783999999999999</v>
      </c>
      <c r="R60" s="55">
        <f t="shared" si="15"/>
        <v>22.391999999999999</v>
      </c>
      <c r="S60" s="27">
        <f t="shared" si="16"/>
        <v>12.24</v>
      </c>
      <c r="T60" s="28">
        <f t="shared" si="17"/>
        <v>34.631999999999998</v>
      </c>
    </row>
    <row r="61" spans="1:20">
      <c r="A61" s="16" t="s">
        <v>19</v>
      </c>
      <c r="B61" s="68">
        <v>1.41</v>
      </c>
      <c r="C61" s="36">
        <f t="shared" si="0"/>
        <v>42.3</v>
      </c>
      <c r="D61" s="39">
        <f t="shared" si="1"/>
        <v>118.017</v>
      </c>
      <c r="E61" s="39">
        <f t="shared" si="2"/>
        <v>22.419</v>
      </c>
      <c r="F61" s="39">
        <f t="shared" si="3"/>
        <v>83.753999999999991</v>
      </c>
      <c r="G61" s="39">
        <f t="shared" si="4"/>
        <v>113.78699999999999</v>
      </c>
      <c r="H61" s="39">
        <f t="shared" si="5"/>
        <v>159.32999999999998</v>
      </c>
      <c r="I61" s="39">
        <f t="shared" si="6"/>
        <v>39.338999999999999</v>
      </c>
      <c r="J61" s="39">
        <f t="shared" si="7"/>
        <v>39.902999999999999</v>
      </c>
      <c r="K61" s="50">
        <f t="shared" si="8"/>
        <v>43.850999999999999</v>
      </c>
      <c r="L61" s="44">
        <f t="shared" si="9"/>
        <v>37.928999999999995</v>
      </c>
      <c r="M61" s="10">
        <f t="shared" si="10"/>
        <v>18.329999999999998</v>
      </c>
      <c r="N61" s="19">
        <f t="shared" si="11"/>
        <v>56.258999999999993</v>
      </c>
      <c r="O61" s="44">
        <f t="shared" si="12"/>
        <v>43.850999999999999</v>
      </c>
      <c r="P61" s="10">
        <f t="shared" si="13"/>
        <v>43.850999999999999</v>
      </c>
      <c r="Q61" s="19">
        <f t="shared" si="14"/>
        <v>87.701999999999998</v>
      </c>
      <c r="R61" s="55">
        <f t="shared" si="15"/>
        <v>43.850999999999999</v>
      </c>
      <c r="S61" s="27">
        <f t="shared" si="16"/>
        <v>23.97</v>
      </c>
      <c r="T61" s="28">
        <f t="shared" si="17"/>
        <v>67.820999999999998</v>
      </c>
    </row>
    <row r="62" spans="1:20">
      <c r="A62" s="14" t="s">
        <v>20</v>
      </c>
      <c r="B62" s="67">
        <v>0.93479999999999996</v>
      </c>
      <c r="C62" s="36">
        <f t="shared" si="0"/>
        <v>28.044</v>
      </c>
      <c r="D62" s="39">
        <f t="shared" si="1"/>
        <v>78.242760000000004</v>
      </c>
      <c r="E62" s="39">
        <f t="shared" si="2"/>
        <v>14.86332</v>
      </c>
      <c r="F62" s="39">
        <f t="shared" si="3"/>
        <v>55.527119999999996</v>
      </c>
      <c r="G62" s="39">
        <f t="shared" si="4"/>
        <v>75.438360000000003</v>
      </c>
      <c r="H62" s="39">
        <f t="shared" si="5"/>
        <v>105.63239999999999</v>
      </c>
      <c r="I62" s="39">
        <f t="shared" si="6"/>
        <v>26.080919999999999</v>
      </c>
      <c r="J62" s="39">
        <f t="shared" si="7"/>
        <v>26.454840000000001</v>
      </c>
      <c r="K62" s="50">
        <f t="shared" si="8"/>
        <v>29.072279999999999</v>
      </c>
      <c r="L62" s="44">
        <f t="shared" si="9"/>
        <v>25.146119999999996</v>
      </c>
      <c r="M62" s="10">
        <f t="shared" si="10"/>
        <v>12.1524</v>
      </c>
      <c r="N62" s="19">
        <f t="shared" si="11"/>
        <v>37.298519999999996</v>
      </c>
      <c r="O62" s="44">
        <f t="shared" si="12"/>
        <v>29.072279999999999</v>
      </c>
      <c r="P62" s="10">
        <f t="shared" si="13"/>
        <v>29.072279999999999</v>
      </c>
      <c r="Q62" s="19">
        <f t="shared" si="14"/>
        <v>58.144559999999998</v>
      </c>
      <c r="R62" s="55">
        <f t="shared" si="15"/>
        <v>29.072279999999999</v>
      </c>
      <c r="S62" s="27">
        <f t="shared" si="16"/>
        <v>15.891599999999999</v>
      </c>
      <c r="T62" s="28">
        <f t="shared" si="17"/>
        <v>44.963879999999996</v>
      </c>
    </row>
    <row r="63" spans="1:20">
      <c r="A63" s="14" t="s">
        <v>21</v>
      </c>
      <c r="B63" s="67">
        <v>0.89559999999999995</v>
      </c>
      <c r="C63" s="36">
        <f t="shared" si="0"/>
        <v>26.867999999999999</v>
      </c>
      <c r="D63" s="39">
        <f t="shared" si="1"/>
        <v>74.96172</v>
      </c>
      <c r="E63" s="39">
        <f t="shared" si="2"/>
        <v>14.240039999999999</v>
      </c>
      <c r="F63" s="39">
        <f t="shared" si="3"/>
        <v>53.198639999999997</v>
      </c>
      <c r="G63" s="39">
        <f t="shared" si="4"/>
        <v>72.274919999999995</v>
      </c>
      <c r="H63" s="39">
        <f t="shared" si="5"/>
        <v>101.2028</v>
      </c>
      <c r="I63" s="39">
        <f t="shared" si="6"/>
        <v>24.987239999999996</v>
      </c>
      <c r="J63" s="39">
        <f t="shared" si="7"/>
        <v>25.345479999999998</v>
      </c>
      <c r="K63" s="50">
        <f t="shared" si="8"/>
        <v>27.853159999999999</v>
      </c>
      <c r="L63" s="44">
        <f t="shared" si="9"/>
        <v>24.091639999999998</v>
      </c>
      <c r="M63" s="10">
        <f t="shared" si="10"/>
        <v>11.642799999999999</v>
      </c>
      <c r="N63" s="19">
        <f t="shared" si="11"/>
        <v>35.734439999999999</v>
      </c>
      <c r="O63" s="44">
        <f t="shared" si="12"/>
        <v>27.853159999999999</v>
      </c>
      <c r="P63" s="10">
        <f t="shared" si="13"/>
        <v>27.853159999999999</v>
      </c>
      <c r="Q63" s="19">
        <f t="shared" si="14"/>
        <v>55.706319999999998</v>
      </c>
      <c r="R63" s="55">
        <f t="shared" si="15"/>
        <v>27.853159999999999</v>
      </c>
      <c r="S63" s="27">
        <f t="shared" si="16"/>
        <v>15.225199999999999</v>
      </c>
      <c r="T63" s="28">
        <f t="shared" si="17"/>
        <v>43.078359999999996</v>
      </c>
    </row>
    <row r="64" spans="1:20">
      <c r="A64" s="14" t="s">
        <v>53</v>
      </c>
      <c r="B64" s="67">
        <v>0.503</v>
      </c>
      <c r="C64" s="36">
        <f t="shared" si="0"/>
        <v>15.09</v>
      </c>
      <c r="D64" s="39">
        <f t="shared" si="1"/>
        <v>42.101100000000002</v>
      </c>
      <c r="E64" s="39">
        <f t="shared" si="2"/>
        <v>7.9977</v>
      </c>
      <c r="F64" s="39">
        <f t="shared" si="3"/>
        <v>29.8782</v>
      </c>
      <c r="G64" s="39">
        <f t="shared" si="4"/>
        <v>40.592100000000002</v>
      </c>
      <c r="H64" s="39">
        <f t="shared" si="5"/>
        <v>56.838999999999999</v>
      </c>
      <c r="I64" s="39">
        <f t="shared" si="6"/>
        <v>14.0337</v>
      </c>
      <c r="J64" s="39">
        <f t="shared" si="7"/>
        <v>14.2349</v>
      </c>
      <c r="K64" s="50">
        <f t="shared" si="8"/>
        <v>15.6433</v>
      </c>
      <c r="L64" s="44">
        <f t="shared" si="9"/>
        <v>13.5307</v>
      </c>
      <c r="M64" s="10">
        <f t="shared" si="10"/>
        <v>6.5389999999999997</v>
      </c>
      <c r="N64" s="19">
        <f t="shared" si="11"/>
        <v>20.069699999999997</v>
      </c>
      <c r="O64" s="44">
        <f t="shared" si="12"/>
        <v>15.6433</v>
      </c>
      <c r="P64" s="10">
        <f t="shared" si="13"/>
        <v>15.6433</v>
      </c>
      <c r="Q64" s="19">
        <f t="shared" si="14"/>
        <v>31.2866</v>
      </c>
      <c r="R64" s="55">
        <f t="shared" si="15"/>
        <v>15.6433</v>
      </c>
      <c r="S64" s="27">
        <f t="shared" si="16"/>
        <v>8.5510000000000002</v>
      </c>
      <c r="T64" s="28">
        <f t="shared" si="17"/>
        <v>24.194299999999998</v>
      </c>
    </row>
    <row r="65" spans="1:20">
      <c r="A65" s="83" t="s">
        <v>81</v>
      </c>
      <c r="B65" s="67">
        <v>0.74490000000000001</v>
      </c>
      <c r="C65" s="36">
        <f t="shared" si="0"/>
        <v>22.347000000000001</v>
      </c>
      <c r="D65" s="39">
        <f t="shared" si="1"/>
        <v>62.348130000000005</v>
      </c>
      <c r="E65" s="39">
        <f t="shared" si="2"/>
        <v>11.843910000000001</v>
      </c>
      <c r="F65" s="39">
        <f t="shared" si="3"/>
        <v>44.247059999999998</v>
      </c>
      <c r="G65" s="39">
        <f t="shared" si="4"/>
        <v>60.113430000000001</v>
      </c>
      <c r="H65" s="39">
        <f t="shared" si="5"/>
        <v>84.173699999999997</v>
      </c>
      <c r="I65" s="39">
        <f t="shared" si="6"/>
        <v>20.782709999999998</v>
      </c>
      <c r="J65" s="39">
        <f t="shared" si="7"/>
        <v>21.080670000000001</v>
      </c>
      <c r="K65" s="50">
        <f t="shared" si="8"/>
        <v>23.16639</v>
      </c>
      <c r="L65" s="44">
        <f t="shared" si="9"/>
        <v>20.03781</v>
      </c>
      <c r="M65" s="10">
        <f t="shared" si="10"/>
        <v>9.6837</v>
      </c>
      <c r="N65" s="19">
        <f t="shared" si="11"/>
        <v>29.721510000000002</v>
      </c>
      <c r="O65" s="44">
        <f t="shared" si="12"/>
        <v>23.16639</v>
      </c>
      <c r="P65" s="10">
        <f t="shared" si="13"/>
        <v>23.16639</v>
      </c>
      <c r="Q65" s="19">
        <f t="shared" si="14"/>
        <v>46.33278</v>
      </c>
      <c r="R65" s="55">
        <f t="shared" si="15"/>
        <v>23.16639</v>
      </c>
      <c r="S65" s="27">
        <f t="shared" si="16"/>
        <v>12.6633</v>
      </c>
      <c r="T65" s="28">
        <f t="shared" si="17"/>
        <v>35.829689999999999</v>
      </c>
    </row>
    <row r="66" spans="1:20">
      <c r="A66" s="83" t="s">
        <v>22</v>
      </c>
      <c r="B66" s="67">
        <v>0.74960000000000004</v>
      </c>
      <c r="C66" s="36">
        <f t="shared" si="0"/>
        <v>22.488</v>
      </c>
      <c r="D66" s="39">
        <f t="shared" si="1"/>
        <v>62.741520000000008</v>
      </c>
      <c r="E66" s="39">
        <f t="shared" si="2"/>
        <v>11.918640000000002</v>
      </c>
      <c r="F66" s="39">
        <f t="shared" si="3"/>
        <v>44.526240000000001</v>
      </c>
      <c r="G66" s="39">
        <f t="shared" si="4"/>
        <v>60.492720000000006</v>
      </c>
      <c r="H66" s="39">
        <f t="shared" si="5"/>
        <v>84.704800000000006</v>
      </c>
      <c r="I66" s="39">
        <f t="shared" si="6"/>
        <v>20.91384</v>
      </c>
      <c r="J66" s="39">
        <f t="shared" si="7"/>
        <v>21.21368</v>
      </c>
      <c r="K66" s="50">
        <f t="shared" si="8"/>
        <v>23.312560000000001</v>
      </c>
      <c r="L66" s="44">
        <f t="shared" si="9"/>
        <v>20.164239999999999</v>
      </c>
      <c r="M66" s="10">
        <f t="shared" si="10"/>
        <v>9.7448000000000015</v>
      </c>
      <c r="N66" s="19">
        <f t="shared" si="11"/>
        <v>29.909040000000001</v>
      </c>
      <c r="O66" s="44">
        <f t="shared" si="12"/>
        <v>23.312560000000001</v>
      </c>
      <c r="P66" s="10">
        <f t="shared" si="13"/>
        <v>23.312560000000001</v>
      </c>
      <c r="Q66" s="19">
        <f t="shared" si="14"/>
        <v>46.625120000000003</v>
      </c>
      <c r="R66" s="55">
        <f t="shared" si="15"/>
        <v>23.312560000000001</v>
      </c>
      <c r="S66" s="27">
        <f t="shared" si="16"/>
        <v>12.743200000000002</v>
      </c>
      <c r="T66" s="28">
        <f t="shared" si="17"/>
        <v>36.055760000000006</v>
      </c>
    </row>
    <row r="67" spans="1:20">
      <c r="A67" s="83" t="s">
        <v>82</v>
      </c>
      <c r="B67" s="67">
        <v>0.57699999999999996</v>
      </c>
      <c r="C67" s="36">
        <f t="shared" si="0"/>
        <v>17.309999999999999</v>
      </c>
      <c r="D67" s="39">
        <f t="shared" si="1"/>
        <v>48.294899999999998</v>
      </c>
      <c r="E67" s="39">
        <f t="shared" si="2"/>
        <v>9.1742999999999988</v>
      </c>
      <c r="F67" s="39">
        <f t="shared" si="3"/>
        <v>34.273799999999994</v>
      </c>
      <c r="G67" s="39">
        <f t="shared" si="4"/>
        <v>46.563899999999997</v>
      </c>
      <c r="H67" s="39">
        <f t="shared" si="5"/>
        <v>65.200999999999993</v>
      </c>
      <c r="I67" s="39">
        <f t="shared" si="6"/>
        <v>16.098299999999998</v>
      </c>
      <c r="J67" s="39">
        <f t="shared" si="7"/>
        <v>16.3291</v>
      </c>
      <c r="K67" s="50">
        <f t="shared" si="8"/>
        <v>17.944700000000001</v>
      </c>
      <c r="L67" s="44">
        <f t="shared" si="9"/>
        <v>15.521299999999998</v>
      </c>
      <c r="M67" s="10">
        <f t="shared" si="10"/>
        <v>7.5009999999999994</v>
      </c>
      <c r="N67" s="19">
        <f t="shared" si="11"/>
        <v>23.022299999999998</v>
      </c>
      <c r="O67" s="44">
        <f t="shared" si="12"/>
        <v>17.944700000000001</v>
      </c>
      <c r="P67" s="10">
        <f t="shared" si="13"/>
        <v>17.944700000000001</v>
      </c>
      <c r="Q67" s="19">
        <f t="shared" si="14"/>
        <v>35.889400000000002</v>
      </c>
      <c r="R67" s="55">
        <f t="shared" si="15"/>
        <v>17.944700000000001</v>
      </c>
      <c r="S67" s="27">
        <f t="shared" si="16"/>
        <v>9.8089999999999993</v>
      </c>
      <c r="T67" s="28">
        <f t="shared" si="17"/>
        <v>27.753700000000002</v>
      </c>
    </row>
    <row r="68" spans="1:20">
      <c r="A68" s="15" t="s">
        <v>31</v>
      </c>
      <c r="B68" s="67">
        <v>0.73</v>
      </c>
      <c r="C68" s="36">
        <f t="shared" si="0"/>
        <v>21.9</v>
      </c>
      <c r="D68" s="39">
        <f t="shared" si="1"/>
        <v>61.100999999999999</v>
      </c>
      <c r="E68" s="39">
        <f t="shared" si="2"/>
        <v>11.606999999999999</v>
      </c>
      <c r="F68" s="39">
        <f t="shared" si="3"/>
        <v>43.361999999999995</v>
      </c>
      <c r="G68" s="39">
        <f t="shared" si="4"/>
        <v>58.911000000000001</v>
      </c>
      <c r="H68" s="39">
        <f t="shared" si="5"/>
        <v>82.49</v>
      </c>
      <c r="I68" s="39">
        <f t="shared" si="6"/>
        <v>20.366999999999997</v>
      </c>
      <c r="J68" s="39">
        <f t="shared" si="7"/>
        <v>20.658999999999999</v>
      </c>
      <c r="K68" s="50">
        <f t="shared" si="8"/>
        <v>22.702999999999999</v>
      </c>
      <c r="L68" s="44">
        <f t="shared" si="9"/>
        <v>19.636999999999997</v>
      </c>
      <c r="M68" s="10">
        <f t="shared" si="10"/>
        <v>9.49</v>
      </c>
      <c r="N68" s="19">
        <f t="shared" si="11"/>
        <v>29.126999999999995</v>
      </c>
      <c r="O68" s="44">
        <f t="shared" si="12"/>
        <v>22.702999999999999</v>
      </c>
      <c r="P68" s="10">
        <f t="shared" si="13"/>
        <v>22.702999999999999</v>
      </c>
      <c r="Q68" s="19">
        <f t="shared" si="14"/>
        <v>45.405999999999999</v>
      </c>
      <c r="R68" s="55">
        <f t="shared" si="15"/>
        <v>22.702999999999999</v>
      </c>
      <c r="S68" s="27">
        <f t="shared" si="16"/>
        <v>12.41</v>
      </c>
      <c r="T68" s="28">
        <f t="shared" si="17"/>
        <v>35.113</v>
      </c>
    </row>
    <row r="69" spans="1:20">
      <c r="A69" s="15" t="s">
        <v>83</v>
      </c>
      <c r="B69" s="67">
        <v>0.625</v>
      </c>
      <c r="C69" s="36">
        <f t="shared" si="0"/>
        <v>18.75</v>
      </c>
      <c r="D69" s="39">
        <f t="shared" si="1"/>
        <v>52.3125</v>
      </c>
      <c r="E69" s="39">
        <f t="shared" si="2"/>
        <v>9.9375</v>
      </c>
      <c r="F69" s="39">
        <f t="shared" si="3"/>
        <v>37.125</v>
      </c>
      <c r="G69" s="39">
        <f t="shared" si="4"/>
        <v>50.4375</v>
      </c>
      <c r="H69" s="39">
        <f t="shared" si="5"/>
        <v>70.625</v>
      </c>
      <c r="I69" s="39">
        <f t="shared" si="6"/>
        <v>17.4375</v>
      </c>
      <c r="J69" s="39">
        <f t="shared" si="7"/>
        <v>17.6875</v>
      </c>
      <c r="K69" s="50">
        <f t="shared" si="8"/>
        <v>19.4375</v>
      </c>
      <c r="L69" s="44">
        <f t="shared" si="9"/>
        <v>16.8125</v>
      </c>
      <c r="M69" s="10">
        <f t="shared" si="10"/>
        <v>8.125</v>
      </c>
      <c r="N69" s="19">
        <f t="shared" si="11"/>
        <v>24.9375</v>
      </c>
      <c r="O69" s="44">
        <f t="shared" si="12"/>
        <v>19.4375</v>
      </c>
      <c r="P69" s="10">
        <f t="shared" si="13"/>
        <v>19.4375</v>
      </c>
      <c r="Q69" s="19">
        <f t="shared" si="14"/>
        <v>38.875</v>
      </c>
      <c r="R69" s="55">
        <f t="shared" si="15"/>
        <v>19.4375</v>
      </c>
      <c r="S69" s="27">
        <f t="shared" si="16"/>
        <v>10.625</v>
      </c>
      <c r="T69" s="28">
        <f t="shared" si="17"/>
        <v>30.0625</v>
      </c>
    </row>
    <row r="70" spans="1:20">
      <c r="A70" s="15" t="s">
        <v>84</v>
      </c>
      <c r="B70" s="67">
        <v>0.78700000000000003</v>
      </c>
      <c r="C70" s="36">
        <f t="shared" si="0"/>
        <v>23.61</v>
      </c>
      <c r="D70" s="39">
        <f t="shared" si="1"/>
        <v>65.871900000000011</v>
      </c>
      <c r="E70" s="39">
        <f t="shared" si="2"/>
        <v>12.513300000000001</v>
      </c>
      <c r="F70" s="39">
        <f t="shared" si="3"/>
        <v>46.747799999999998</v>
      </c>
      <c r="G70" s="39">
        <f t="shared" si="4"/>
        <v>63.510900000000007</v>
      </c>
      <c r="H70" s="39">
        <f t="shared" si="5"/>
        <v>88.930999999999997</v>
      </c>
      <c r="I70" s="39">
        <f t="shared" si="6"/>
        <v>21.9573</v>
      </c>
      <c r="J70" s="39">
        <f t="shared" si="7"/>
        <v>22.272100000000002</v>
      </c>
      <c r="K70" s="50">
        <f t="shared" si="8"/>
        <v>24.475700000000003</v>
      </c>
      <c r="L70" s="44">
        <f t="shared" si="9"/>
        <v>21.170300000000001</v>
      </c>
      <c r="M70" s="10">
        <f t="shared" si="10"/>
        <v>10.231</v>
      </c>
      <c r="N70" s="19">
        <f t="shared" si="11"/>
        <v>31.401299999999999</v>
      </c>
      <c r="O70" s="44">
        <f t="shared" si="12"/>
        <v>24.475700000000003</v>
      </c>
      <c r="P70" s="10">
        <f t="shared" si="13"/>
        <v>24.475700000000003</v>
      </c>
      <c r="Q70" s="19">
        <f t="shared" si="14"/>
        <v>48.951400000000007</v>
      </c>
      <c r="R70" s="55">
        <f t="shared" si="15"/>
        <v>24.475700000000003</v>
      </c>
      <c r="S70" s="27">
        <f t="shared" si="16"/>
        <v>13.379000000000001</v>
      </c>
      <c r="T70" s="28">
        <f t="shared" si="17"/>
        <v>37.854700000000008</v>
      </c>
    </row>
    <row r="71" spans="1:20">
      <c r="A71" s="15" t="s">
        <v>98</v>
      </c>
      <c r="B71" s="67">
        <v>0.57099999999999995</v>
      </c>
      <c r="C71" s="36">
        <f t="shared" ref="C71:C80" si="18">B71*$C$5</f>
        <v>17.13</v>
      </c>
      <c r="D71" s="39">
        <f t="shared" ref="D71:D80" si="19">B71*$D$5</f>
        <v>47.792699999999996</v>
      </c>
      <c r="E71" s="39">
        <f t="shared" ref="E71:E80" si="20">B71*$E$5</f>
        <v>9.0788999999999991</v>
      </c>
      <c r="F71" s="39">
        <f t="shared" ref="F71:F80" si="21">B71*$F$5</f>
        <v>33.917399999999994</v>
      </c>
      <c r="G71" s="39">
        <f t="shared" ref="G71:G80" si="22">B71*$G$5</f>
        <v>46.079699999999995</v>
      </c>
      <c r="H71" s="39">
        <f t="shared" ref="H71:H80" si="23">B71*$H$5</f>
        <v>64.522999999999996</v>
      </c>
      <c r="I71" s="39">
        <f t="shared" ref="I71:I80" si="24">B71*$I$5</f>
        <v>15.930899999999998</v>
      </c>
      <c r="J71" s="39">
        <f t="shared" ref="J71:J80" si="25">B71*$J$5</f>
        <v>16.159299999999998</v>
      </c>
      <c r="K71" s="50">
        <f t="shared" ref="K71:K80" si="26">B71*$K$5</f>
        <v>17.758099999999999</v>
      </c>
      <c r="L71" s="44">
        <f t="shared" ref="L71:L80" si="27">B71*$L$5</f>
        <v>15.359899999999998</v>
      </c>
      <c r="M71" s="10">
        <f t="shared" ref="M71:M80" si="28">B71*$M$5</f>
        <v>7.4229999999999992</v>
      </c>
      <c r="N71" s="19">
        <f t="shared" ref="N71:N80" si="29">L71+M71</f>
        <v>22.782899999999998</v>
      </c>
      <c r="O71" s="44">
        <f t="shared" ref="O71:O80" si="30">B71*$O$5</f>
        <v>17.758099999999999</v>
      </c>
      <c r="P71" s="10">
        <f t="shared" ref="P71:P80" si="31">B71*$P$5</f>
        <v>17.758099999999999</v>
      </c>
      <c r="Q71" s="19">
        <f t="shared" ref="Q71:Q80" si="32">O71+P71</f>
        <v>35.516199999999998</v>
      </c>
      <c r="R71" s="55">
        <f t="shared" ref="R71:R80" si="33">B71*$R$5</f>
        <v>17.758099999999999</v>
      </c>
      <c r="S71" s="27">
        <f t="shared" ref="S71:S80" si="34">B71*$S$5</f>
        <v>9.706999999999999</v>
      </c>
      <c r="T71" s="28">
        <f t="shared" ref="T71:T80" si="35">R71+S71</f>
        <v>27.4651</v>
      </c>
    </row>
    <row r="72" spans="1:20">
      <c r="A72" s="83" t="s">
        <v>117</v>
      </c>
      <c r="B72" s="67">
        <v>1.1499999999999999</v>
      </c>
      <c r="C72" s="36">
        <f t="shared" si="18"/>
        <v>34.5</v>
      </c>
      <c r="D72" s="39">
        <f t="shared" si="19"/>
        <v>96.254999999999995</v>
      </c>
      <c r="E72" s="39">
        <f t="shared" si="20"/>
        <v>18.285</v>
      </c>
      <c r="F72" s="39">
        <f t="shared" si="21"/>
        <v>68.309999999999988</v>
      </c>
      <c r="G72" s="39">
        <f t="shared" si="22"/>
        <v>92.804999999999993</v>
      </c>
      <c r="H72" s="39">
        <f t="shared" si="23"/>
        <v>129.94999999999999</v>
      </c>
      <c r="I72" s="39">
        <f t="shared" si="24"/>
        <v>32.084999999999994</v>
      </c>
      <c r="J72" s="39">
        <f t="shared" si="25"/>
        <v>32.545000000000002</v>
      </c>
      <c r="K72" s="50">
        <f t="shared" si="26"/>
        <v>35.765000000000001</v>
      </c>
      <c r="L72" s="44">
        <f t="shared" si="27"/>
        <v>30.934999999999995</v>
      </c>
      <c r="M72" s="10">
        <f t="shared" si="28"/>
        <v>14.95</v>
      </c>
      <c r="N72" s="19">
        <f t="shared" si="29"/>
        <v>45.884999999999991</v>
      </c>
      <c r="O72" s="44">
        <f t="shared" si="30"/>
        <v>35.765000000000001</v>
      </c>
      <c r="P72" s="10">
        <f t="shared" si="31"/>
        <v>35.765000000000001</v>
      </c>
      <c r="Q72" s="19">
        <f t="shared" si="32"/>
        <v>71.53</v>
      </c>
      <c r="R72" s="55">
        <f t="shared" si="33"/>
        <v>35.765000000000001</v>
      </c>
      <c r="S72" s="27">
        <f t="shared" si="34"/>
        <v>19.549999999999997</v>
      </c>
      <c r="T72" s="28">
        <f t="shared" si="35"/>
        <v>55.314999999999998</v>
      </c>
    </row>
    <row r="73" spans="1:20">
      <c r="A73" s="83" t="s">
        <v>85</v>
      </c>
      <c r="B73" s="67">
        <v>1.17</v>
      </c>
      <c r="C73" s="36">
        <f t="shared" si="18"/>
        <v>35.099999999999994</v>
      </c>
      <c r="D73" s="39">
        <f t="shared" si="19"/>
        <v>97.929000000000002</v>
      </c>
      <c r="E73" s="39">
        <f t="shared" si="20"/>
        <v>18.602999999999998</v>
      </c>
      <c r="F73" s="39">
        <f t="shared" si="21"/>
        <v>69.49799999999999</v>
      </c>
      <c r="G73" s="39">
        <f t="shared" si="22"/>
        <v>94.418999999999997</v>
      </c>
      <c r="H73" s="39">
        <f t="shared" si="23"/>
        <v>132.20999999999998</v>
      </c>
      <c r="I73" s="39">
        <f t="shared" si="24"/>
        <v>32.642999999999994</v>
      </c>
      <c r="J73" s="39">
        <f t="shared" si="25"/>
        <v>33.110999999999997</v>
      </c>
      <c r="K73" s="50">
        <f t="shared" si="26"/>
        <v>36.387</v>
      </c>
      <c r="L73" s="44">
        <f t="shared" si="27"/>
        <v>31.472999999999995</v>
      </c>
      <c r="M73" s="10">
        <f t="shared" si="28"/>
        <v>15.209999999999999</v>
      </c>
      <c r="N73" s="19">
        <f t="shared" si="29"/>
        <v>46.682999999999993</v>
      </c>
      <c r="O73" s="44">
        <f t="shared" si="30"/>
        <v>36.387</v>
      </c>
      <c r="P73" s="10">
        <f t="shared" si="31"/>
        <v>36.387</v>
      </c>
      <c r="Q73" s="19">
        <f t="shared" si="32"/>
        <v>72.774000000000001</v>
      </c>
      <c r="R73" s="55">
        <f t="shared" si="33"/>
        <v>36.387</v>
      </c>
      <c r="S73" s="27">
        <f t="shared" si="34"/>
        <v>19.89</v>
      </c>
      <c r="T73" s="28">
        <f t="shared" si="35"/>
        <v>56.277000000000001</v>
      </c>
    </row>
    <row r="74" spans="1:20">
      <c r="A74" s="83" t="s">
        <v>99</v>
      </c>
      <c r="B74" s="67">
        <v>1.1904999999999999</v>
      </c>
      <c r="C74" s="36">
        <f t="shared" si="18"/>
        <v>35.714999999999996</v>
      </c>
      <c r="D74" s="39">
        <f t="shared" si="19"/>
        <v>99.644849999999991</v>
      </c>
      <c r="E74" s="39">
        <f t="shared" si="20"/>
        <v>18.92895</v>
      </c>
      <c r="F74" s="39">
        <f t="shared" si="21"/>
        <v>70.715699999999998</v>
      </c>
      <c r="G74" s="39">
        <f t="shared" si="22"/>
        <v>96.073349999999991</v>
      </c>
      <c r="H74" s="39">
        <f t="shared" si="23"/>
        <v>134.5265</v>
      </c>
      <c r="I74" s="39">
        <f t="shared" si="24"/>
        <v>33.214949999999995</v>
      </c>
      <c r="J74" s="39">
        <f t="shared" si="25"/>
        <v>33.69115</v>
      </c>
      <c r="K74" s="50">
        <f t="shared" si="26"/>
        <v>37.024549999999998</v>
      </c>
      <c r="L74" s="44">
        <f t="shared" si="27"/>
        <v>32.024449999999995</v>
      </c>
      <c r="M74" s="10">
        <f t="shared" si="28"/>
        <v>15.476499999999998</v>
      </c>
      <c r="N74" s="19">
        <f t="shared" si="29"/>
        <v>47.500949999999989</v>
      </c>
      <c r="O74" s="44">
        <f t="shared" si="30"/>
        <v>37.024549999999998</v>
      </c>
      <c r="P74" s="10">
        <f t="shared" si="31"/>
        <v>37.024549999999998</v>
      </c>
      <c r="Q74" s="19">
        <f t="shared" si="32"/>
        <v>74.049099999999996</v>
      </c>
      <c r="R74" s="55">
        <f t="shared" si="33"/>
        <v>37.024549999999998</v>
      </c>
      <c r="S74" s="27">
        <f t="shared" si="34"/>
        <v>20.238499999999998</v>
      </c>
      <c r="T74" s="28">
        <f t="shared" si="35"/>
        <v>57.263049999999993</v>
      </c>
    </row>
    <row r="75" spans="1:20">
      <c r="A75" s="83" t="s">
        <v>100</v>
      </c>
      <c r="B75" s="67">
        <v>1.2</v>
      </c>
      <c r="C75" s="36">
        <f t="shared" si="18"/>
        <v>36</v>
      </c>
      <c r="D75" s="39">
        <f t="shared" si="19"/>
        <v>100.44</v>
      </c>
      <c r="E75" s="39">
        <f t="shared" si="20"/>
        <v>19.079999999999998</v>
      </c>
      <c r="F75" s="39">
        <f t="shared" si="21"/>
        <v>71.28</v>
      </c>
      <c r="G75" s="39">
        <f t="shared" si="22"/>
        <v>96.84</v>
      </c>
      <c r="H75" s="39">
        <f t="shared" si="23"/>
        <v>135.6</v>
      </c>
      <c r="I75" s="39">
        <f t="shared" si="24"/>
        <v>33.479999999999997</v>
      </c>
      <c r="J75" s="39">
        <f t="shared" si="25"/>
        <v>33.96</v>
      </c>
      <c r="K75" s="50">
        <f t="shared" si="26"/>
        <v>37.32</v>
      </c>
      <c r="L75" s="44">
        <f t="shared" si="27"/>
        <v>32.279999999999994</v>
      </c>
      <c r="M75" s="10">
        <f t="shared" si="28"/>
        <v>15.6</v>
      </c>
      <c r="N75" s="19">
        <f t="shared" si="29"/>
        <v>47.879999999999995</v>
      </c>
      <c r="O75" s="44">
        <f t="shared" si="30"/>
        <v>37.32</v>
      </c>
      <c r="P75" s="10">
        <f t="shared" si="31"/>
        <v>37.32</v>
      </c>
      <c r="Q75" s="19">
        <f t="shared" si="32"/>
        <v>74.64</v>
      </c>
      <c r="R75" s="55">
        <f t="shared" si="33"/>
        <v>37.32</v>
      </c>
      <c r="S75" s="27">
        <f t="shared" si="34"/>
        <v>20.399999999999999</v>
      </c>
      <c r="T75" s="28">
        <f t="shared" si="35"/>
        <v>57.72</v>
      </c>
    </row>
    <row r="76" spans="1:20">
      <c r="A76" s="83" t="s">
        <v>86</v>
      </c>
      <c r="B76" s="67">
        <v>1.22</v>
      </c>
      <c r="C76" s="36">
        <f t="shared" si="18"/>
        <v>36.6</v>
      </c>
      <c r="D76" s="39">
        <f t="shared" si="19"/>
        <v>102.114</v>
      </c>
      <c r="E76" s="39">
        <f t="shared" si="20"/>
        <v>19.398</v>
      </c>
      <c r="F76" s="39">
        <f t="shared" si="21"/>
        <v>72.468000000000004</v>
      </c>
      <c r="G76" s="39">
        <f t="shared" si="22"/>
        <v>98.454000000000008</v>
      </c>
      <c r="H76" s="39">
        <f t="shared" si="23"/>
        <v>137.85999999999999</v>
      </c>
      <c r="I76" s="39">
        <f t="shared" si="24"/>
        <v>34.037999999999997</v>
      </c>
      <c r="J76" s="39">
        <f t="shared" si="25"/>
        <v>34.526000000000003</v>
      </c>
      <c r="K76" s="50">
        <f t="shared" si="26"/>
        <v>37.942</v>
      </c>
      <c r="L76" s="44">
        <f t="shared" si="27"/>
        <v>32.817999999999998</v>
      </c>
      <c r="M76" s="10">
        <f t="shared" si="28"/>
        <v>15.86</v>
      </c>
      <c r="N76" s="19">
        <f t="shared" si="29"/>
        <v>48.677999999999997</v>
      </c>
      <c r="O76" s="44">
        <f t="shared" si="30"/>
        <v>37.942</v>
      </c>
      <c r="P76" s="10">
        <f t="shared" si="31"/>
        <v>37.942</v>
      </c>
      <c r="Q76" s="19">
        <f t="shared" si="32"/>
        <v>75.884</v>
      </c>
      <c r="R76" s="55">
        <f t="shared" si="33"/>
        <v>37.942</v>
      </c>
      <c r="S76" s="27">
        <f t="shared" si="34"/>
        <v>20.74</v>
      </c>
      <c r="T76" s="28">
        <f t="shared" si="35"/>
        <v>58.682000000000002</v>
      </c>
    </row>
    <row r="77" spans="1:20">
      <c r="A77" s="15" t="s">
        <v>23</v>
      </c>
      <c r="B77" s="67">
        <v>0.71050000000000002</v>
      </c>
      <c r="C77" s="36">
        <f t="shared" si="18"/>
        <v>21.315000000000001</v>
      </c>
      <c r="D77" s="39">
        <f t="shared" si="19"/>
        <v>59.468850000000003</v>
      </c>
      <c r="E77" s="39">
        <f t="shared" si="20"/>
        <v>11.296950000000001</v>
      </c>
      <c r="F77" s="39">
        <f t="shared" si="21"/>
        <v>42.203699999999998</v>
      </c>
      <c r="G77" s="39">
        <f t="shared" si="22"/>
        <v>57.337350000000001</v>
      </c>
      <c r="H77" s="39">
        <f t="shared" si="23"/>
        <v>80.286500000000004</v>
      </c>
      <c r="I77" s="39">
        <f t="shared" si="24"/>
        <v>19.822949999999999</v>
      </c>
      <c r="J77" s="39">
        <f t="shared" si="25"/>
        <v>20.107150000000001</v>
      </c>
      <c r="K77" s="50">
        <f t="shared" si="26"/>
        <v>22.096550000000001</v>
      </c>
      <c r="L77" s="44">
        <f t="shared" si="27"/>
        <v>19.112449999999999</v>
      </c>
      <c r="M77" s="10">
        <f t="shared" si="28"/>
        <v>9.2364999999999995</v>
      </c>
      <c r="N77" s="19">
        <f t="shared" si="29"/>
        <v>28.348949999999999</v>
      </c>
      <c r="O77" s="44">
        <f t="shared" si="30"/>
        <v>22.096550000000001</v>
      </c>
      <c r="P77" s="10">
        <f t="shared" si="31"/>
        <v>22.096550000000001</v>
      </c>
      <c r="Q77" s="19">
        <f t="shared" si="32"/>
        <v>44.193100000000001</v>
      </c>
      <c r="R77" s="55">
        <f t="shared" si="33"/>
        <v>22.096550000000001</v>
      </c>
      <c r="S77" s="27">
        <f t="shared" si="34"/>
        <v>12.0785</v>
      </c>
      <c r="T77" s="28">
        <f t="shared" si="35"/>
        <v>34.175049999999999</v>
      </c>
    </row>
    <row r="78" spans="1:20">
      <c r="A78" s="15" t="s">
        <v>87</v>
      </c>
      <c r="B78" s="67">
        <v>1.1659999999999999</v>
      </c>
      <c r="C78" s="36">
        <f t="shared" si="18"/>
        <v>34.979999999999997</v>
      </c>
      <c r="D78" s="39">
        <f t="shared" si="19"/>
        <v>97.594200000000001</v>
      </c>
      <c r="E78" s="39">
        <f t="shared" si="20"/>
        <v>18.539400000000001</v>
      </c>
      <c r="F78" s="39">
        <f t="shared" si="21"/>
        <v>69.26039999999999</v>
      </c>
      <c r="G78" s="39">
        <f t="shared" si="22"/>
        <v>94.096199999999996</v>
      </c>
      <c r="H78" s="39">
        <f t="shared" si="23"/>
        <v>131.75799999999998</v>
      </c>
      <c r="I78" s="39">
        <f t="shared" si="24"/>
        <v>32.531399999999998</v>
      </c>
      <c r="J78" s="39">
        <f t="shared" si="25"/>
        <v>32.997799999999998</v>
      </c>
      <c r="K78" s="50">
        <f t="shared" si="26"/>
        <v>36.262599999999999</v>
      </c>
      <c r="L78" s="44">
        <f t="shared" si="27"/>
        <v>31.365399999999998</v>
      </c>
      <c r="M78" s="10">
        <f t="shared" si="28"/>
        <v>15.157999999999999</v>
      </c>
      <c r="N78" s="19">
        <f t="shared" si="29"/>
        <v>46.523399999999995</v>
      </c>
      <c r="O78" s="44">
        <f t="shared" si="30"/>
        <v>36.262599999999999</v>
      </c>
      <c r="P78" s="10">
        <f t="shared" si="31"/>
        <v>36.262599999999999</v>
      </c>
      <c r="Q78" s="19">
        <f t="shared" si="32"/>
        <v>72.525199999999998</v>
      </c>
      <c r="R78" s="55">
        <f t="shared" si="33"/>
        <v>36.262599999999999</v>
      </c>
      <c r="S78" s="27">
        <f t="shared" si="34"/>
        <v>19.821999999999999</v>
      </c>
      <c r="T78" s="28">
        <f t="shared" si="35"/>
        <v>56.084599999999995</v>
      </c>
    </row>
    <row r="79" spans="1:20">
      <c r="A79" s="14" t="s">
        <v>24</v>
      </c>
      <c r="B79" s="67">
        <v>1.254</v>
      </c>
      <c r="C79" s="36">
        <f t="shared" si="18"/>
        <v>37.619999999999997</v>
      </c>
      <c r="D79" s="39">
        <f t="shared" si="19"/>
        <v>104.9598</v>
      </c>
      <c r="E79" s="39">
        <f t="shared" si="20"/>
        <v>19.938600000000001</v>
      </c>
      <c r="F79" s="39">
        <f t="shared" si="21"/>
        <v>74.4876</v>
      </c>
      <c r="G79" s="39">
        <f t="shared" si="22"/>
        <v>101.1978</v>
      </c>
      <c r="H79" s="39">
        <f t="shared" si="23"/>
        <v>141.702</v>
      </c>
      <c r="I79" s="39">
        <f t="shared" si="24"/>
        <v>34.986599999999996</v>
      </c>
      <c r="J79" s="39">
        <f t="shared" si="25"/>
        <v>35.488199999999999</v>
      </c>
      <c r="K79" s="50">
        <f t="shared" si="26"/>
        <v>38.999400000000001</v>
      </c>
      <c r="L79" s="44">
        <f t="shared" si="27"/>
        <v>33.732599999999998</v>
      </c>
      <c r="M79" s="10">
        <f t="shared" si="28"/>
        <v>16.302</v>
      </c>
      <c r="N79" s="19">
        <f t="shared" si="29"/>
        <v>50.034599999999998</v>
      </c>
      <c r="O79" s="44">
        <f t="shared" si="30"/>
        <v>38.999400000000001</v>
      </c>
      <c r="P79" s="10">
        <f t="shared" si="31"/>
        <v>38.999400000000001</v>
      </c>
      <c r="Q79" s="19">
        <f t="shared" si="32"/>
        <v>77.998800000000003</v>
      </c>
      <c r="R79" s="55">
        <f t="shared" si="33"/>
        <v>38.999400000000001</v>
      </c>
      <c r="S79" s="27">
        <f t="shared" si="34"/>
        <v>21.318000000000001</v>
      </c>
      <c r="T79" s="28">
        <f t="shared" si="35"/>
        <v>60.317400000000006</v>
      </c>
    </row>
    <row r="80" spans="1:20" ht="15.75" thickBot="1">
      <c r="A80" s="14" t="s">
        <v>88</v>
      </c>
      <c r="B80" s="67">
        <v>1.37</v>
      </c>
      <c r="C80" s="37">
        <f t="shared" si="18"/>
        <v>41.1</v>
      </c>
      <c r="D80" s="40">
        <f t="shared" si="19"/>
        <v>114.66900000000001</v>
      </c>
      <c r="E80" s="40">
        <f t="shared" si="20"/>
        <v>21.783000000000001</v>
      </c>
      <c r="F80" s="40">
        <f t="shared" si="21"/>
        <v>81.378</v>
      </c>
      <c r="G80" s="40">
        <f t="shared" si="22"/>
        <v>110.55900000000001</v>
      </c>
      <c r="H80" s="40">
        <f t="shared" si="23"/>
        <v>154.81</v>
      </c>
      <c r="I80" s="40">
        <f t="shared" si="24"/>
        <v>38.222999999999999</v>
      </c>
      <c r="J80" s="40">
        <f t="shared" si="25"/>
        <v>38.771000000000001</v>
      </c>
      <c r="K80" s="51">
        <f t="shared" si="26"/>
        <v>42.607000000000006</v>
      </c>
      <c r="L80" s="45">
        <f t="shared" si="27"/>
        <v>36.853000000000002</v>
      </c>
      <c r="M80" s="20">
        <f t="shared" si="28"/>
        <v>17.810000000000002</v>
      </c>
      <c r="N80" s="21">
        <f t="shared" si="29"/>
        <v>54.663000000000004</v>
      </c>
      <c r="O80" s="45">
        <f t="shared" si="30"/>
        <v>42.607000000000006</v>
      </c>
      <c r="P80" s="20">
        <f t="shared" si="31"/>
        <v>42.607000000000006</v>
      </c>
      <c r="Q80" s="21">
        <f t="shared" si="32"/>
        <v>85.214000000000013</v>
      </c>
      <c r="R80" s="56">
        <f t="shared" si="33"/>
        <v>42.607000000000006</v>
      </c>
      <c r="S80" s="29">
        <f t="shared" si="34"/>
        <v>23.290000000000003</v>
      </c>
      <c r="T80" s="30">
        <f t="shared" si="35"/>
        <v>65.897000000000006</v>
      </c>
    </row>
    <row r="81" spans="1:20" ht="15.75" thickBot="1">
      <c r="A81" s="14" t="s">
        <v>25</v>
      </c>
      <c r="B81" s="67">
        <v>1.35</v>
      </c>
      <c r="C81" s="37">
        <f t="shared" ref="C81:C90" si="36">B81*$C$5</f>
        <v>40.5</v>
      </c>
      <c r="D81" s="40">
        <f t="shared" ref="D81:D90" si="37">B81*$D$5</f>
        <v>112.995</v>
      </c>
      <c r="E81" s="40">
        <f t="shared" ref="E81:E90" si="38">B81*$E$5</f>
        <v>21.465000000000003</v>
      </c>
      <c r="F81" s="40">
        <f t="shared" ref="F81:F90" si="39">B81*$F$5</f>
        <v>80.19</v>
      </c>
      <c r="G81" s="40">
        <f t="shared" ref="G81:G90" si="40">B81*$G$5</f>
        <v>108.94500000000001</v>
      </c>
      <c r="H81" s="40">
        <f t="shared" ref="H81:H90" si="41">B81*$H$5</f>
        <v>152.55000000000001</v>
      </c>
      <c r="I81" s="40">
        <f t="shared" ref="I81:I90" si="42">B81*$I$5</f>
        <v>37.664999999999999</v>
      </c>
      <c r="J81" s="40">
        <f t="shared" ref="J81:J90" si="43">B81*$J$5</f>
        <v>38.205000000000005</v>
      </c>
      <c r="K81" s="51">
        <f t="shared" ref="K81:K90" si="44">B81*$K$5</f>
        <v>41.985000000000007</v>
      </c>
      <c r="L81" s="45">
        <f t="shared" ref="L81:L90" si="45">B81*$L$5</f>
        <v>36.314999999999998</v>
      </c>
      <c r="M81" s="20">
        <f t="shared" ref="M81:M90" si="46">B81*$M$5</f>
        <v>17.55</v>
      </c>
      <c r="N81" s="21">
        <f t="shared" ref="N81:N90" si="47">L81+M81</f>
        <v>53.864999999999995</v>
      </c>
      <c r="O81" s="45">
        <f t="shared" ref="O81:O90" si="48">B81*$O$5</f>
        <v>41.985000000000007</v>
      </c>
      <c r="P81" s="20">
        <f t="shared" ref="P81:P90" si="49">B81*$P$5</f>
        <v>41.985000000000007</v>
      </c>
      <c r="Q81" s="21">
        <f t="shared" ref="Q81:Q90" si="50">O81+P81</f>
        <v>83.970000000000013</v>
      </c>
      <c r="R81" s="56">
        <f t="shared" ref="R81:R90" si="51">B81*$R$5</f>
        <v>41.985000000000007</v>
      </c>
      <c r="S81" s="29">
        <f t="shared" ref="S81:S90" si="52">B81*$S$5</f>
        <v>22.950000000000003</v>
      </c>
      <c r="T81" s="30">
        <f t="shared" ref="T81:T90" si="53">R81+S81</f>
        <v>64.935000000000002</v>
      </c>
    </row>
    <row r="82" spans="1:20" ht="15.75" thickBot="1">
      <c r="A82" s="14" t="s">
        <v>26</v>
      </c>
      <c r="B82" s="67">
        <v>1.34</v>
      </c>
      <c r="C82" s="37">
        <f t="shared" si="36"/>
        <v>40.200000000000003</v>
      </c>
      <c r="D82" s="40">
        <f t="shared" si="37"/>
        <v>112.15800000000002</v>
      </c>
      <c r="E82" s="40">
        <f t="shared" si="38"/>
        <v>21.306000000000001</v>
      </c>
      <c r="F82" s="40">
        <f t="shared" si="39"/>
        <v>79.596000000000004</v>
      </c>
      <c r="G82" s="40">
        <f t="shared" si="40"/>
        <v>108.13800000000001</v>
      </c>
      <c r="H82" s="40">
        <f t="shared" si="41"/>
        <v>151.42000000000002</v>
      </c>
      <c r="I82" s="40">
        <f t="shared" si="42"/>
        <v>37.386000000000003</v>
      </c>
      <c r="J82" s="40">
        <f t="shared" si="43"/>
        <v>37.922000000000004</v>
      </c>
      <c r="K82" s="51">
        <f t="shared" si="44"/>
        <v>41.674000000000007</v>
      </c>
      <c r="L82" s="45">
        <f t="shared" si="45"/>
        <v>36.045999999999999</v>
      </c>
      <c r="M82" s="20">
        <f t="shared" si="46"/>
        <v>17.420000000000002</v>
      </c>
      <c r="N82" s="21">
        <f t="shared" si="47"/>
        <v>53.466000000000001</v>
      </c>
      <c r="O82" s="45">
        <f t="shared" si="48"/>
        <v>41.674000000000007</v>
      </c>
      <c r="P82" s="20">
        <f t="shared" si="49"/>
        <v>41.674000000000007</v>
      </c>
      <c r="Q82" s="21">
        <f t="shared" si="50"/>
        <v>83.348000000000013</v>
      </c>
      <c r="R82" s="56">
        <f t="shared" si="51"/>
        <v>41.674000000000007</v>
      </c>
      <c r="S82" s="29">
        <f t="shared" si="52"/>
        <v>22.78</v>
      </c>
      <c r="T82" s="30">
        <f t="shared" si="53"/>
        <v>64.454000000000008</v>
      </c>
    </row>
    <row r="83" spans="1:20" ht="15.75" thickBot="1">
      <c r="A83" s="14" t="s">
        <v>27</v>
      </c>
      <c r="B83" s="67">
        <v>1.35</v>
      </c>
      <c r="C83" s="37">
        <f t="shared" si="36"/>
        <v>40.5</v>
      </c>
      <c r="D83" s="40">
        <f t="shared" si="37"/>
        <v>112.995</v>
      </c>
      <c r="E83" s="40">
        <f t="shared" si="38"/>
        <v>21.465000000000003</v>
      </c>
      <c r="F83" s="40">
        <f t="shared" si="39"/>
        <v>80.19</v>
      </c>
      <c r="G83" s="40">
        <f t="shared" si="40"/>
        <v>108.94500000000001</v>
      </c>
      <c r="H83" s="40">
        <f t="shared" si="41"/>
        <v>152.55000000000001</v>
      </c>
      <c r="I83" s="40">
        <f t="shared" si="42"/>
        <v>37.664999999999999</v>
      </c>
      <c r="J83" s="40">
        <f t="shared" si="43"/>
        <v>38.205000000000005</v>
      </c>
      <c r="K83" s="51">
        <f t="shared" si="44"/>
        <v>41.985000000000007</v>
      </c>
      <c r="L83" s="45">
        <f t="shared" si="45"/>
        <v>36.314999999999998</v>
      </c>
      <c r="M83" s="20">
        <f t="shared" si="46"/>
        <v>17.55</v>
      </c>
      <c r="N83" s="21">
        <f t="shared" si="47"/>
        <v>53.864999999999995</v>
      </c>
      <c r="O83" s="45">
        <f t="shared" si="48"/>
        <v>41.985000000000007</v>
      </c>
      <c r="P83" s="20">
        <f t="shared" si="49"/>
        <v>41.985000000000007</v>
      </c>
      <c r="Q83" s="21">
        <f t="shared" si="50"/>
        <v>83.970000000000013</v>
      </c>
      <c r="R83" s="56">
        <f t="shared" si="51"/>
        <v>41.985000000000007</v>
      </c>
      <c r="S83" s="29">
        <f t="shared" si="52"/>
        <v>22.950000000000003</v>
      </c>
      <c r="T83" s="30">
        <f t="shared" si="53"/>
        <v>64.935000000000002</v>
      </c>
    </row>
    <row r="84" spans="1:20" ht="15.75" thickBot="1">
      <c r="A84" s="15" t="s">
        <v>28</v>
      </c>
      <c r="B84" s="67">
        <v>1.29</v>
      </c>
      <c r="C84" s="37">
        <f t="shared" si="36"/>
        <v>38.700000000000003</v>
      </c>
      <c r="D84" s="40">
        <f t="shared" si="37"/>
        <v>107.97300000000001</v>
      </c>
      <c r="E84" s="40">
        <f t="shared" si="38"/>
        <v>20.511000000000003</v>
      </c>
      <c r="F84" s="40">
        <f t="shared" si="39"/>
        <v>76.626000000000005</v>
      </c>
      <c r="G84" s="40">
        <f t="shared" si="40"/>
        <v>104.10300000000001</v>
      </c>
      <c r="H84" s="40">
        <f t="shared" si="41"/>
        <v>145.77000000000001</v>
      </c>
      <c r="I84" s="40">
        <f t="shared" si="42"/>
        <v>35.991</v>
      </c>
      <c r="J84" s="40">
        <f t="shared" si="43"/>
        <v>36.507000000000005</v>
      </c>
      <c r="K84" s="51">
        <f t="shared" si="44"/>
        <v>40.119</v>
      </c>
      <c r="L84" s="45">
        <f t="shared" si="45"/>
        <v>34.701000000000001</v>
      </c>
      <c r="M84" s="20">
        <f t="shared" si="46"/>
        <v>16.77</v>
      </c>
      <c r="N84" s="21">
        <f t="shared" si="47"/>
        <v>51.471000000000004</v>
      </c>
      <c r="O84" s="45">
        <f t="shared" si="48"/>
        <v>40.119</v>
      </c>
      <c r="P84" s="20">
        <f t="shared" si="49"/>
        <v>40.119</v>
      </c>
      <c r="Q84" s="21">
        <f t="shared" si="50"/>
        <v>80.238</v>
      </c>
      <c r="R84" s="56">
        <f t="shared" si="51"/>
        <v>40.119</v>
      </c>
      <c r="S84" s="29">
        <f t="shared" si="52"/>
        <v>21.93</v>
      </c>
      <c r="T84" s="30">
        <f t="shared" si="53"/>
        <v>62.048999999999999</v>
      </c>
    </row>
    <row r="85" spans="1:20" ht="15.75" thickBot="1">
      <c r="A85" s="14" t="s">
        <v>89</v>
      </c>
      <c r="B85" s="67">
        <v>1.21</v>
      </c>
      <c r="C85" s="37">
        <f t="shared" si="36"/>
        <v>36.299999999999997</v>
      </c>
      <c r="D85" s="40">
        <f t="shared" si="37"/>
        <v>101.277</v>
      </c>
      <c r="E85" s="40">
        <f t="shared" si="38"/>
        <v>19.239000000000001</v>
      </c>
      <c r="F85" s="40">
        <f t="shared" si="39"/>
        <v>71.873999999999995</v>
      </c>
      <c r="G85" s="40">
        <f t="shared" si="40"/>
        <v>97.647000000000006</v>
      </c>
      <c r="H85" s="40">
        <f t="shared" si="41"/>
        <v>136.72999999999999</v>
      </c>
      <c r="I85" s="40">
        <f t="shared" si="42"/>
        <v>33.759</v>
      </c>
      <c r="J85" s="40">
        <f t="shared" si="43"/>
        <v>34.243000000000002</v>
      </c>
      <c r="K85" s="51">
        <f t="shared" si="44"/>
        <v>37.631</v>
      </c>
      <c r="L85" s="45">
        <f t="shared" si="45"/>
        <v>32.548999999999999</v>
      </c>
      <c r="M85" s="20">
        <f t="shared" si="46"/>
        <v>15.73</v>
      </c>
      <c r="N85" s="21">
        <f t="shared" si="47"/>
        <v>48.278999999999996</v>
      </c>
      <c r="O85" s="45">
        <f t="shared" si="48"/>
        <v>37.631</v>
      </c>
      <c r="P85" s="20">
        <f t="shared" si="49"/>
        <v>37.631</v>
      </c>
      <c r="Q85" s="21">
        <f t="shared" si="50"/>
        <v>75.262</v>
      </c>
      <c r="R85" s="56">
        <f t="shared" si="51"/>
        <v>37.631</v>
      </c>
      <c r="S85" s="29">
        <f t="shared" si="52"/>
        <v>20.57</v>
      </c>
      <c r="T85" s="30">
        <f t="shared" si="53"/>
        <v>58.201000000000001</v>
      </c>
    </row>
    <row r="86" spans="1:20" ht="15.75" thickBot="1">
      <c r="A86" s="14" t="s">
        <v>90</v>
      </c>
      <c r="B86" s="67">
        <v>1.1000000000000001</v>
      </c>
      <c r="C86" s="37">
        <f t="shared" si="36"/>
        <v>33</v>
      </c>
      <c r="D86" s="40">
        <f t="shared" si="37"/>
        <v>92.070000000000007</v>
      </c>
      <c r="E86" s="40">
        <f t="shared" si="38"/>
        <v>17.490000000000002</v>
      </c>
      <c r="F86" s="40">
        <f t="shared" si="39"/>
        <v>65.34</v>
      </c>
      <c r="G86" s="40">
        <f t="shared" si="40"/>
        <v>88.77000000000001</v>
      </c>
      <c r="H86" s="40">
        <f t="shared" si="41"/>
        <v>124.30000000000001</v>
      </c>
      <c r="I86" s="40">
        <f t="shared" si="42"/>
        <v>30.69</v>
      </c>
      <c r="J86" s="40">
        <f t="shared" si="43"/>
        <v>31.130000000000003</v>
      </c>
      <c r="K86" s="51">
        <f t="shared" si="44"/>
        <v>34.21</v>
      </c>
      <c r="L86" s="45">
        <f t="shared" si="45"/>
        <v>29.59</v>
      </c>
      <c r="M86" s="20">
        <f t="shared" si="46"/>
        <v>14.3</v>
      </c>
      <c r="N86" s="21">
        <f t="shared" si="47"/>
        <v>43.89</v>
      </c>
      <c r="O86" s="45">
        <f t="shared" si="48"/>
        <v>34.21</v>
      </c>
      <c r="P86" s="20">
        <f t="shared" si="49"/>
        <v>34.21</v>
      </c>
      <c r="Q86" s="21">
        <f t="shared" si="50"/>
        <v>68.42</v>
      </c>
      <c r="R86" s="56">
        <f t="shared" si="51"/>
        <v>34.21</v>
      </c>
      <c r="S86" s="29">
        <f t="shared" si="52"/>
        <v>18.700000000000003</v>
      </c>
      <c r="T86" s="30">
        <f t="shared" si="53"/>
        <v>52.910000000000004</v>
      </c>
    </row>
    <row r="87" spans="1:20" ht="15.75" thickBot="1">
      <c r="A87" s="14" t="s">
        <v>91</v>
      </c>
      <c r="B87" s="67">
        <v>0.68</v>
      </c>
      <c r="C87" s="37">
        <f t="shared" si="36"/>
        <v>20.400000000000002</v>
      </c>
      <c r="D87" s="40">
        <f t="shared" si="37"/>
        <v>56.916000000000004</v>
      </c>
      <c r="E87" s="40">
        <f t="shared" si="38"/>
        <v>10.812000000000001</v>
      </c>
      <c r="F87" s="40">
        <f t="shared" si="39"/>
        <v>40.392000000000003</v>
      </c>
      <c r="G87" s="40">
        <f t="shared" si="40"/>
        <v>54.876000000000005</v>
      </c>
      <c r="H87" s="40">
        <f t="shared" si="41"/>
        <v>76.84</v>
      </c>
      <c r="I87" s="40">
        <f t="shared" si="42"/>
        <v>18.972000000000001</v>
      </c>
      <c r="J87" s="40">
        <f t="shared" si="43"/>
        <v>19.244000000000003</v>
      </c>
      <c r="K87" s="51">
        <f t="shared" si="44"/>
        <v>21.148000000000003</v>
      </c>
      <c r="L87" s="45">
        <f t="shared" si="45"/>
        <v>18.292000000000002</v>
      </c>
      <c r="M87" s="20">
        <f t="shared" si="46"/>
        <v>8.84</v>
      </c>
      <c r="N87" s="21">
        <f t="shared" si="47"/>
        <v>27.132000000000001</v>
      </c>
      <c r="O87" s="45">
        <f t="shared" si="48"/>
        <v>21.148000000000003</v>
      </c>
      <c r="P87" s="20">
        <f t="shared" si="49"/>
        <v>21.148000000000003</v>
      </c>
      <c r="Q87" s="21">
        <f t="shared" si="50"/>
        <v>42.296000000000006</v>
      </c>
      <c r="R87" s="56">
        <f t="shared" si="51"/>
        <v>21.148000000000003</v>
      </c>
      <c r="S87" s="29">
        <f t="shared" si="52"/>
        <v>11.56</v>
      </c>
      <c r="T87" s="30">
        <f t="shared" si="53"/>
        <v>32.708000000000006</v>
      </c>
    </row>
    <row r="88" spans="1:20" ht="15.75" thickBot="1">
      <c r="A88" s="14" t="s">
        <v>92</v>
      </c>
      <c r="B88" s="67">
        <v>1.2270000000000001</v>
      </c>
      <c r="C88" s="37">
        <f t="shared" si="36"/>
        <v>36.81</v>
      </c>
      <c r="D88" s="40">
        <f t="shared" si="37"/>
        <v>102.69990000000001</v>
      </c>
      <c r="E88" s="40">
        <f t="shared" si="38"/>
        <v>19.509300000000003</v>
      </c>
      <c r="F88" s="40">
        <f t="shared" si="39"/>
        <v>72.883800000000008</v>
      </c>
      <c r="G88" s="40">
        <f t="shared" si="40"/>
        <v>99.018900000000016</v>
      </c>
      <c r="H88" s="40">
        <f t="shared" si="41"/>
        <v>138.65100000000001</v>
      </c>
      <c r="I88" s="40">
        <f t="shared" si="42"/>
        <v>34.2333</v>
      </c>
      <c r="J88" s="40">
        <f t="shared" si="43"/>
        <v>34.7241</v>
      </c>
      <c r="K88" s="51">
        <f t="shared" si="44"/>
        <v>38.159700000000008</v>
      </c>
      <c r="L88" s="45">
        <f t="shared" si="45"/>
        <v>33.006300000000003</v>
      </c>
      <c r="M88" s="20">
        <f t="shared" si="46"/>
        <v>15.951000000000001</v>
      </c>
      <c r="N88" s="21">
        <f t="shared" si="47"/>
        <v>48.957300000000004</v>
      </c>
      <c r="O88" s="45">
        <f t="shared" si="48"/>
        <v>38.159700000000008</v>
      </c>
      <c r="P88" s="20">
        <f t="shared" si="49"/>
        <v>38.159700000000008</v>
      </c>
      <c r="Q88" s="21">
        <f t="shared" si="50"/>
        <v>76.319400000000016</v>
      </c>
      <c r="R88" s="56">
        <f t="shared" si="51"/>
        <v>38.159700000000008</v>
      </c>
      <c r="S88" s="29">
        <f t="shared" si="52"/>
        <v>20.859000000000002</v>
      </c>
      <c r="T88" s="30">
        <f t="shared" si="53"/>
        <v>59.01870000000001</v>
      </c>
    </row>
    <row r="89" spans="1:20" ht="15.75" thickBot="1">
      <c r="A89" s="14" t="s">
        <v>29</v>
      </c>
      <c r="B89" s="67">
        <v>1.1100000000000001</v>
      </c>
      <c r="C89" s="37">
        <f t="shared" si="36"/>
        <v>33.300000000000004</v>
      </c>
      <c r="D89" s="40">
        <f t="shared" si="37"/>
        <v>92.907000000000011</v>
      </c>
      <c r="E89" s="40">
        <f t="shared" si="38"/>
        <v>17.649000000000001</v>
      </c>
      <c r="F89" s="40">
        <f t="shared" si="39"/>
        <v>65.933999999999997</v>
      </c>
      <c r="G89" s="40">
        <f t="shared" si="40"/>
        <v>89.577000000000012</v>
      </c>
      <c r="H89" s="40">
        <f t="shared" si="41"/>
        <v>125.43</v>
      </c>
      <c r="I89" s="40">
        <f t="shared" si="42"/>
        <v>30.969000000000001</v>
      </c>
      <c r="J89" s="40">
        <f t="shared" si="43"/>
        <v>31.413000000000004</v>
      </c>
      <c r="K89" s="51">
        <f t="shared" si="44"/>
        <v>34.521000000000008</v>
      </c>
      <c r="L89" s="45">
        <f t="shared" si="45"/>
        <v>29.859000000000002</v>
      </c>
      <c r="M89" s="20">
        <f t="shared" si="46"/>
        <v>14.430000000000001</v>
      </c>
      <c r="N89" s="21">
        <f t="shared" si="47"/>
        <v>44.289000000000001</v>
      </c>
      <c r="O89" s="45">
        <f t="shared" si="48"/>
        <v>34.521000000000008</v>
      </c>
      <c r="P89" s="20">
        <f t="shared" si="49"/>
        <v>34.521000000000008</v>
      </c>
      <c r="Q89" s="21">
        <f t="shared" si="50"/>
        <v>69.042000000000016</v>
      </c>
      <c r="R89" s="56">
        <f t="shared" si="51"/>
        <v>34.521000000000008</v>
      </c>
      <c r="S89" s="29">
        <f t="shared" si="52"/>
        <v>18.87</v>
      </c>
      <c r="T89" s="30">
        <f t="shared" si="53"/>
        <v>53.391000000000005</v>
      </c>
    </row>
    <row r="90" spans="1:20" ht="15.75" thickBot="1">
      <c r="A90" s="18" t="s">
        <v>93</v>
      </c>
      <c r="B90" s="69">
        <v>1.26</v>
      </c>
      <c r="C90" s="37">
        <f t="shared" si="36"/>
        <v>37.799999999999997</v>
      </c>
      <c r="D90" s="40">
        <f t="shared" si="37"/>
        <v>105.462</v>
      </c>
      <c r="E90" s="40">
        <f t="shared" si="38"/>
        <v>20.033999999999999</v>
      </c>
      <c r="F90" s="40">
        <f t="shared" si="39"/>
        <v>74.843999999999994</v>
      </c>
      <c r="G90" s="40">
        <f t="shared" si="40"/>
        <v>101.682</v>
      </c>
      <c r="H90" s="40">
        <f t="shared" si="41"/>
        <v>142.38</v>
      </c>
      <c r="I90" s="40">
        <f t="shared" si="42"/>
        <v>35.153999999999996</v>
      </c>
      <c r="J90" s="40">
        <f t="shared" si="43"/>
        <v>35.658000000000001</v>
      </c>
      <c r="K90" s="51">
        <f t="shared" si="44"/>
        <v>39.186</v>
      </c>
      <c r="L90" s="45">
        <f t="shared" si="45"/>
        <v>33.893999999999998</v>
      </c>
      <c r="M90" s="20">
        <f t="shared" si="46"/>
        <v>16.38</v>
      </c>
      <c r="N90" s="21">
        <f t="shared" si="47"/>
        <v>50.274000000000001</v>
      </c>
      <c r="O90" s="45">
        <f t="shared" si="48"/>
        <v>39.186</v>
      </c>
      <c r="P90" s="20">
        <f t="shared" si="49"/>
        <v>39.186</v>
      </c>
      <c r="Q90" s="21">
        <f t="shared" si="50"/>
        <v>78.372</v>
      </c>
      <c r="R90" s="56">
        <f t="shared" si="51"/>
        <v>39.186</v>
      </c>
      <c r="S90" s="29">
        <f t="shared" si="52"/>
        <v>21.42</v>
      </c>
      <c r="T90" s="30">
        <f t="shared" si="53"/>
        <v>60.606000000000002</v>
      </c>
    </row>
    <row r="91" spans="1:20">
      <c r="A91" s="6"/>
      <c r="B91" s="5"/>
      <c r="C91" s="5"/>
      <c r="D91" s="5"/>
      <c r="E91" s="5"/>
      <c r="F91" s="5"/>
      <c r="G91" s="5"/>
      <c r="H91" s="5"/>
      <c r="I91" s="7"/>
      <c r="J91" s="7"/>
      <c r="K91" s="7"/>
      <c r="L91" s="5"/>
      <c r="M91" s="5"/>
      <c r="N91" s="5"/>
      <c r="O91" s="5"/>
      <c r="P91" s="5"/>
      <c r="Q91" s="5"/>
    </row>
    <row r="92" spans="1:20">
      <c r="A92" s="6"/>
      <c r="B92" s="5"/>
      <c r="C92" s="5"/>
      <c r="D92" s="5"/>
      <c r="E92" s="5"/>
      <c r="F92" s="5"/>
      <c r="G92" s="5"/>
      <c r="H92" s="5"/>
      <c r="I92" s="7"/>
      <c r="J92" s="7"/>
      <c r="K92" s="7"/>
      <c r="L92" s="5"/>
      <c r="M92" s="5"/>
      <c r="N92" s="5"/>
      <c r="O92" s="5"/>
      <c r="P92" s="5"/>
      <c r="Q92" s="5"/>
    </row>
    <row r="93" spans="1:20">
      <c r="A93" s="4"/>
      <c r="B93" s="5"/>
      <c r="C93" s="5"/>
      <c r="D93" s="5"/>
      <c r="E93" s="5"/>
      <c r="F93" s="5"/>
      <c r="G93" s="5"/>
      <c r="H93" s="5"/>
      <c r="I93" s="7"/>
      <c r="J93" s="7"/>
      <c r="K93" s="7"/>
      <c r="L93" s="5"/>
      <c r="M93" s="5"/>
      <c r="N93" s="5"/>
      <c r="O93" s="5"/>
      <c r="P93" s="5"/>
      <c r="Q93" s="5"/>
    </row>
    <row r="94" spans="1:20">
      <c r="A94" s="4"/>
      <c r="B94" s="5"/>
      <c r="C94" s="5"/>
      <c r="D94" s="5"/>
      <c r="E94" s="5"/>
      <c r="F94" s="5"/>
      <c r="G94" s="5"/>
      <c r="H94" s="5"/>
      <c r="I94" s="7"/>
      <c r="J94" s="7"/>
      <c r="K94" s="7"/>
      <c r="L94" s="5"/>
      <c r="M94" s="5"/>
      <c r="N94" s="5"/>
      <c r="O94" s="5"/>
      <c r="P94" s="5"/>
      <c r="Q94" s="5"/>
    </row>
    <row r="95" spans="1:20">
      <c r="A95" s="4"/>
      <c r="B95" s="5"/>
      <c r="C95" s="5"/>
      <c r="D95" s="5"/>
      <c r="E95" s="5"/>
      <c r="F95" s="5"/>
      <c r="G95" s="5"/>
      <c r="H95" s="5"/>
      <c r="I95" s="7"/>
      <c r="J95" s="7"/>
      <c r="K95" s="7"/>
      <c r="L95" s="5"/>
      <c r="M95" s="5"/>
      <c r="N95" s="5"/>
      <c r="O95" s="5"/>
      <c r="P95" s="5"/>
      <c r="Q95" s="5"/>
    </row>
    <row r="96" spans="1:20">
      <c r="A96" s="4"/>
      <c r="B96" s="5"/>
      <c r="C96" s="5"/>
      <c r="D96" s="5"/>
      <c r="E96" s="5"/>
      <c r="F96" s="5"/>
      <c r="G96" s="5"/>
      <c r="H96" s="5"/>
      <c r="I96" s="7"/>
      <c r="J96" s="7"/>
      <c r="K96" s="7"/>
      <c r="L96" s="5"/>
      <c r="M96" s="5"/>
      <c r="N96" s="5"/>
      <c r="O96" s="5"/>
      <c r="P96" s="5"/>
      <c r="Q96" s="5"/>
    </row>
    <row r="97" spans="1:17">
      <c r="A97" s="4"/>
      <c r="B97" s="5"/>
      <c r="C97" s="5"/>
      <c r="D97" s="5"/>
      <c r="E97" s="5"/>
      <c r="F97" s="5"/>
      <c r="G97" s="5"/>
      <c r="H97" s="5"/>
      <c r="I97" s="7"/>
      <c r="J97" s="7"/>
      <c r="K97" s="7"/>
      <c r="L97" s="5"/>
      <c r="M97" s="5"/>
      <c r="N97" s="5"/>
      <c r="O97" s="5"/>
      <c r="P97" s="5"/>
      <c r="Q97" s="5"/>
    </row>
    <row r="98" spans="1:17">
      <c r="A98" s="4"/>
      <c r="B98" s="5"/>
      <c r="C98" s="5"/>
      <c r="D98" s="5"/>
      <c r="E98" s="5"/>
      <c r="F98" s="5"/>
      <c r="G98" s="5"/>
      <c r="H98" s="5"/>
      <c r="I98" s="7"/>
      <c r="J98" s="7"/>
      <c r="K98" s="7"/>
      <c r="L98" s="5"/>
      <c r="M98" s="5"/>
      <c r="N98" s="5"/>
      <c r="O98" s="5"/>
      <c r="P98" s="5"/>
      <c r="Q98" s="5"/>
    </row>
    <row r="99" spans="1:17">
      <c r="A99" s="4"/>
      <c r="B99" s="5"/>
      <c r="C99" s="5"/>
      <c r="D99" s="5"/>
      <c r="E99" s="5"/>
      <c r="F99" s="5"/>
      <c r="G99" s="5"/>
      <c r="H99" s="5"/>
      <c r="I99" s="7"/>
      <c r="J99" s="7"/>
      <c r="K99" s="7"/>
      <c r="L99" s="5"/>
      <c r="M99" s="5"/>
      <c r="N99" s="5"/>
      <c r="O99" s="5"/>
      <c r="P99" s="5"/>
      <c r="Q99" s="5"/>
    </row>
    <row r="100" spans="1:17">
      <c r="A100" s="4"/>
      <c r="B100" s="5"/>
      <c r="C100" s="5"/>
      <c r="D100" s="5"/>
      <c r="E100" s="5"/>
      <c r="F100" s="5"/>
      <c r="G100" s="5"/>
      <c r="H100" s="5"/>
      <c r="I100" s="7"/>
      <c r="J100" s="7"/>
      <c r="K100" s="7"/>
      <c r="L100" s="5"/>
      <c r="M100" s="5"/>
      <c r="N100" s="5"/>
      <c r="O100" s="5"/>
      <c r="P100" s="5"/>
      <c r="Q100" s="5"/>
    </row>
    <row r="101" spans="1:17">
      <c r="A101" s="4"/>
      <c r="B101" s="5"/>
      <c r="C101" s="5"/>
      <c r="D101" s="5"/>
      <c r="E101" s="5"/>
      <c r="F101" s="5"/>
      <c r="G101" s="5"/>
      <c r="H101" s="5"/>
      <c r="I101" s="7"/>
      <c r="J101" s="7"/>
      <c r="K101" s="7"/>
      <c r="L101" s="5"/>
      <c r="M101" s="5"/>
      <c r="N101" s="5"/>
      <c r="O101" s="5"/>
      <c r="P101" s="5"/>
      <c r="Q101" s="5"/>
    </row>
    <row r="102" spans="1:17">
      <c r="A102" s="4"/>
      <c r="B102" s="5"/>
      <c r="C102" s="5"/>
      <c r="D102" s="5"/>
      <c r="E102" s="5"/>
      <c r="F102" s="5"/>
      <c r="G102" s="5"/>
      <c r="H102" s="5"/>
      <c r="I102" s="7"/>
      <c r="J102" s="7"/>
      <c r="K102" s="7"/>
      <c r="L102" s="5"/>
      <c r="M102" s="5"/>
      <c r="N102" s="5"/>
      <c r="O102" s="5"/>
      <c r="P102" s="5"/>
      <c r="Q102" s="5"/>
    </row>
    <row r="103" spans="1:17">
      <c r="A103" s="4"/>
      <c r="B103" s="5"/>
      <c r="C103" s="5"/>
      <c r="D103" s="5"/>
      <c r="E103" s="5"/>
      <c r="F103" s="5"/>
      <c r="G103" s="5"/>
      <c r="H103" s="5"/>
      <c r="I103" s="7"/>
      <c r="J103" s="7"/>
      <c r="K103" s="7"/>
      <c r="L103" s="5"/>
      <c r="M103" s="5"/>
      <c r="N103" s="5"/>
      <c r="O103" s="5"/>
      <c r="P103" s="5"/>
      <c r="Q103" s="5"/>
    </row>
    <row r="104" spans="1:17">
      <c r="A104" s="4"/>
      <c r="B104" s="5"/>
      <c r="C104" s="5"/>
      <c r="D104" s="5"/>
      <c r="E104" s="5"/>
      <c r="F104" s="5"/>
      <c r="G104" s="5"/>
      <c r="H104" s="5"/>
      <c r="I104" s="7"/>
      <c r="J104" s="7"/>
      <c r="K104" s="7"/>
      <c r="L104" s="5"/>
      <c r="M104" s="5"/>
      <c r="N104" s="5"/>
      <c r="O104" s="5"/>
      <c r="P104" s="5"/>
      <c r="Q104" s="5"/>
    </row>
    <row r="105" spans="1:17">
      <c r="A105" s="4"/>
      <c r="B105" s="5"/>
      <c r="C105" s="5"/>
      <c r="D105" s="5"/>
      <c r="E105" s="5"/>
      <c r="F105" s="5"/>
      <c r="G105" s="5"/>
      <c r="H105" s="5"/>
      <c r="I105" s="7"/>
      <c r="J105" s="7"/>
      <c r="K105" s="7"/>
      <c r="L105" s="5"/>
      <c r="M105" s="5"/>
      <c r="N105" s="5"/>
      <c r="O105" s="5"/>
      <c r="P105" s="5"/>
      <c r="Q105" s="5"/>
    </row>
    <row r="106" spans="1:17">
      <c r="A106" s="4"/>
      <c r="B106" s="5"/>
      <c r="C106" s="5"/>
      <c r="D106" s="5"/>
      <c r="E106" s="5"/>
      <c r="F106" s="5"/>
      <c r="G106" s="5"/>
      <c r="H106" s="5"/>
      <c r="I106" s="7"/>
      <c r="J106" s="7"/>
      <c r="K106" s="7"/>
      <c r="L106" s="5"/>
      <c r="M106" s="5"/>
      <c r="N106" s="5"/>
      <c r="O106" s="5"/>
      <c r="P106" s="5"/>
      <c r="Q106" s="5"/>
    </row>
    <row r="107" spans="1:17">
      <c r="A107" s="4"/>
      <c r="B107" s="5"/>
      <c r="C107" s="5"/>
      <c r="D107" s="5"/>
      <c r="E107" s="5"/>
      <c r="F107" s="5"/>
      <c r="G107" s="5"/>
      <c r="H107" s="5"/>
      <c r="I107" s="7"/>
      <c r="J107" s="7"/>
      <c r="K107" s="7"/>
      <c r="L107" s="5"/>
      <c r="M107" s="5"/>
      <c r="N107" s="5"/>
      <c r="O107" s="5"/>
      <c r="P107" s="5"/>
      <c r="Q107" s="5"/>
    </row>
    <row r="108" spans="1:17">
      <c r="A108" s="4"/>
      <c r="B108" s="5"/>
      <c r="C108" s="5"/>
      <c r="D108" s="5"/>
      <c r="E108" s="5"/>
      <c r="F108" s="5"/>
      <c r="G108" s="5"/>
      <c r="H108" s="5"/>
      <c r="I108" s="7"/>
      <c r="J108" s="7"/>
      <c r="K108" s="7"/>
      <c r="L108" s="5"/>
      <c r="M108" s="5"/>
      <c r="N108" s="5"/>
      <c r="O108" s="5"/>
      <c r="P108" s="5"/>
      <c r="Q108" s="5"/>
    </row>
    <row r="109" spans="1:17">
      <c r="A109" s="4"/>
      <c r="B109" s="4"/>
      <c r="C109" s="4"/>
      <c r="D109" s="4"/>
      <c r="E109" s="4"/>
      <c r="F109" s="4"/>
      <c r="G109" s="4"/>
      <c r="H109" s="4"/>
      <c r="I109" s="8"/>
      <c r="J109" s="8"/>
      <c r="K109" s="8"/>
      <c r="L109" s="4"/>
      <c r="M109" s="4"/>
      <c r="N109" s="4"/>
      <c r="O109" s="4"/>
      <c r="P109" s="4"/>
      <c r="Q109" s="4"/>
    </row>
    <row r="110" spans="1:17">
      <c r="A110" s="4"/>
      <c r="B110" s="4"/>
      <c r="C110" s="4"/>
      <c r="D110" s="4"/>
      <c r="E110" s="4"/>
      <c r="F110" s="4"/>
      <c r="G110" s="4"/>
      <c r="H110" s="4"/>
      <c r="I110" s="8"/>
      <c r="J110" s="8"/>
      <c r="K110" s="8"/>
      <c r="L110" s="4"/>
      <c r="M110" s="4"/>
      <c r="N110" s="4"/>
      <c r="O110" s="4"/>
      <c r="P110" s="4"/>
      <c r="Q110" s="4"/>
    </row>
    <row r="111" spans="1:17">
      <c r="A111" s="4"/>
      <c r="B111" s="4"/>
      <c r="C111" s="4"/>
      <c r="D111" s="4"/>
      <c r="E111" s="4"/>
      <c r="F111" s="4"/>
      <c r="G111" s="4"/>
      <c r="H111" s="4"/>
      <c r="I111" s="8"/>
      <c r="J111" s="8"/>
      <c r="K111" s="8"/>
      <c r="L111" s="4"/>
      <c r="M111" s="4"/>
      <c r="N111" s="4"/>
      <c r="O111" s="4"/>
      <c r="P111" s="4"/>
      <c r="Q111" s="4"/>
    </row>
    <row r="112" spans="1:17">
      <c r="A112" s="4"/>
      <c r="B112" s="4"/>
      <c r="C112" s="4"/>
      <c r="D112" s="4"/>
      <c r="E112" s="4"/>
      <c r="F112" s="4"/>
      <c r="G112" s="4"/>
      <c r="H112" s="4"/>
      <c r="I112" s="8"/>
      <c r="J112" s="8"/>
      <c r="K112" s="8"/>
      <c r="L112" s="4"/>
      <c r="M112" s="4"/>
      <c r="N112" s="4"/>
      <c r="O112" s="4"/>
      <c r="P112" s="4"/>
      <c r="Q112" s="4"/>
    </row>
    <row r="113" spans="1:17">
      <c r="A113" s="4"/>
      <c r="B113" s="4"/>
      <c r="C113" s="4"/>
      <c r="D113" s="4"/>
      <c r="E113" s="4"/>
      <c r="F113" s="4"/>
      <c r="G113" s="4"/>
      <c r="H113" s="4"/>
      <c r="I113" s="8"/>
      <c r="J113" s="8"/>
      <c r="K113" s="8"/>
      <c r="L113" s="4"/>
      <c r="M113" s="4"/>
      <c r="N113" s="4"/>
      <c r="O113" s="4"/>
      <c r="P113" s="4"/>
      <c r="Q113" s="4"/>
    </row>
    <row r="114" spans="1:17">
      <c r="A114" s="4"/>
      <c r="B114" s="4"/>
      <c r="C114" s="4"/>
      <c r="D114" s="4"/>
      <c r="E114" s="4"/>
      <c r="F114" s="4"/>
      <c r="G114" s="4"/>
      <c r="H114" s="4"/>
      <c r="I114" s="8"/>
      <c r="J114" s="8"/>
      <c r="K114" s="8"/>
      <c r="L114" s="4"/>
      <c r="M114" s="4"/>
      <c r="N114" s="4"/>
      <c r="O114" s="4"/>
      <c r="P114" s="4"/>
      <c r="Q114" s="4"/>
    </row>
    <row r="115" spans="1:17">
      <c r="A115" s="4"/>
      <c r="B115" s="4"/>
      <c r="C115" s="4"/>
      <c r="D115" s="4"/>
      <c r="E115" s="4"/>
      <c r="F115" s="4"/>
      <c r="G115" s="4"/>
      <c r="H115" s="4"/>
      <c r="I115" s="8"/>
      <c r="J115" s="8"/>
      <c r="K115" s="8"/>
      <c r="L115" s="4"/>
      <c r="M115" s="4"/>
      <c r="N115" s="4"/>
      <c r="O115" s="4"/>
      <c r="P115" s="4"/>
      <c r="Q115" s="4"/>
    </row>
    <row r="116" spans="1:17">
      <c r="A116" s="4"/>
      <c r="B116" s="4"/>
      <c r="C116" s="4"/>
      <c r="D116" s="4"/>
      <c r="E116" s="4"/>
      <c r="F116" s="4"/>
      <c r="G116" s="4"/>
      <c r="H116" s="4"/>
      <c r="I116" s="8"/>
      <c r="J116" s="8"/>
      <c r="K116" s="8"/>
      <c r="L116" s="4"/>
      <c r="M116" s="4"/>
      <c r="N116" s="4"/>
      <c r="O116" s="4"/>
      <c r="P116" s="4"/>
      <c r="Q116" s="4"/>
    </row>
    <row r="117" spans="1:17">
      <c r="A117" s="4"/>
      <c r="B117" s="4"/>
      <c r="C117" s="4"/>
      <c r="D117" s="4"/>
      <c r="E117" s="4"/>
      <c r="F117" s="4"/>
      <c r="G117" s="4"/>
      <c r="H117" s="4"/>
      <c r="I117" s="8"/>
      <c r="J117" s="8"/>
      <c r="K117" s="8"/>
      <c r="L117" s="4"/>
      <c r="M117" s="4"/>
      <c r="N117" s="4"/>
      <c r="O117" s="4"/>
      <c r="P117" s="4"/>
      <c r="Q117" s="4"/>
    </row>
    <row r="118" spans="1:17">
      <c r="A118" s="4"/>
      <c r="B118" s="4"/>
      <c r="C118" s="4"/>
      <c r="D118" s="4"/>
      <c r="E118" s="4"/>
      <c r="F118" s="4"/>
      <c r="G118" s="4"/>
      <c r="H118" s="4"/>
      <c r="I118" s="8"/>
      <c r="J118" s="8"/>
      <c r="K118" s="8"/>
      <c r="L118" s="4"/>
      <c r="M118" s="4"/>
      <c r="N118" s="4"/>
      <c r="O118" s="4"/>
      <c r="P118" s="4"/>
      <c r="Q118" s="4"/>
    </row>
    <row r="119" spans="1:17">
      <c r="A119" s="4"/>
      <c r="B119" s="4"/>
      <c r="C119" s="4"/>
      <c r="D119" s="4"/>
      <c r="E119" s="4"/>
      <c r="F119" s="4"/>
      <c r="G119" s="4"/>
      <c r="H119" s="4"/>
      <c r="I119" s="8"/>
      <c r="J119" s="8"/>
      <c r="K119" s="8"/>
      <c r="L119" s="4"/>
      <c r="M119" s="4"/>
      <c r="N119" s="4"/>
      <c r="O119" s="4"/>
      <c r="P119" s="4"/>
      <c r="Q119" s="4"/>
    </row>
    <row r="120" spans="1:17">
      <c r="A120" s="4"/>
      <c r="B120" s="4"/>
      <c r="C120" s="4"/>
      <c r="D120" s="4"/>
      <c r="E120" s="4"/>
      <c r="F120" s="4"/>
      <c r="G120" s="4"/>
      <c r="H120" s="4"/>
      <c r="I120" s="8"/>
      <c r="J120" s="8"/>
      <c r="K120" s="8"/>
      <c r="L120" s="4"/>
      <c r="M120" s="4"/>
      <c r="N120" s="4"/>
      <c r="O120" s="4"/>
      <c r="P120" s="4"/>
      <c r="Q120" s="4"/>
    </row>
    <row r="121" spans="1:17">
      <c r="A121" s="4"/>
      <c r="B121" s="4"/>
      <c r="C121" s="4"/>
      <c r="D121" s="4"/>
      <c r="E121" s="4"/>
      <c r="F121" s="4"/>
      <c r="G121" s="4"/>
      <c r="H121" s="4"/>
      <c r="I121" s="8"/>
      <c r="J121" s="8"/>
      <c r="K121" s="8"/>
      <c r="L121" s="4"/>
      <c r="M121" s="4"/>
      <c r="N121" s="4"/>
      <c r="O121" s="4"/>
      <c r="P121" s="4"/>
      <c r="Q121" s="4"/>
    </row>
    <row r="122" spans="1:17">
      <c r="A122" s="4"/>
      <c r="B122" s="4"/>
      <c r="C122" s="4"/>
      <c r="D122" s="4"/>
      <c r="E122" s="4"/>
      <c r="F122" s="4"/>
      <c r="G122" s="4"/>
      <c r="H122" s="4"/>
      <c r="I122" s="8"/>
      <c r="J122" s="8"/>
      <c r="K122" s="8"/>
      <c r="L122" s="4"/>
      <c r="M122" s="4"/>
      <c r="N122" s="4"/>
      <c r="O122" s="4"/>
      <c r="P122" s="4"/>
      <c r="Q122" s="4"/>
    </row>
    <row r="123" spans="1:17">
      <c r="A123" s="4"/>
      <c r="B123" s="4"/>
      <c r="C123" s="4"/>
      <c r="D123" s="4"/>
      <c r="E123" s="4"/>
      <c r="F123" s="4"/>
      <c r="G123" s="4"/>
      <c r="H123" s="4"/>
      <c r="I123" s="8"/>
      <c r="J123" s="8"/>
      <c r="K123" s="8"/>
      <c r="L123" s="4"/>
      <c r="M123" s="4"/>
      <c r="N123" s="4"/>
      <c r="O123" s="4"/>
      <c r="P123" s="4"/>
      <c r="Q123" s="4"/>
    </row>
    <row r="124" spans="1:17">
      <c r="A124" s="4"/>
      <c r="B124" s="4"/>
      <c r="C124" s="4"/>
      <c r="D124" s="4"/>
      <c r="E124" s="4"/>
      <c r="F124" s="4"/>
      <c r="G124" s="4"/>
      <c r="H124" s="4"/>
      <c r="I124" s="8"/>
      <c r="J124" s="8"/>
      <c r="K124" s="8"/>
      <c r="L124" s="4"/>
      <c r="M124" s="4"/>
      <c r="N124" s="4"/>
      <c r="O124" s="4"/>
      <c r="P124" s="4"/>
      <c r="Q124" s="4"/>
    </row>
    <row r="125" spans="1:17">
      <c r="A125" s="4"/>
      <c r="B125" s="4"/>
      <c r="C125" s="4"/>
      <c r="D125" s="4"/>
      <c r="E125" s="4"/>
      <c r="F125" s="4"/>
      <c r="G125" s="4"/>
      <c r="H125" s="4"/>
      <c r="I125" s="8"/>
      <c r="J125" s="8"/>
      <c r="K125" s="8"/>
      <c r="L125" s="4"/>
      <c r="M125" s="4"/>
      <c r="N125" s="4"/>
      <c r="O125" s="4"/>
      <c r="P125" s="4"/>
      <c r="Q125" s="4"/>
    </row>
    <row r="126" spans="1:17">
      <c r="A126" s="4"/>
      <c r="B126" s="4"/>
      <c r="C126" s="4"/>
      <c r="D126" s="4"/>
      <c r="E126" s="4"/>
      <c r="F126" s="4"/>
      <c r="G126" s="4"/>
      <c r="H126" s="4"/>
      <c r="I126" s="8"/>
      <c r="J126" s="8"/>
      <c r="K126" s="8"/>
      <c r="L126" s="4"/>
      <c r="M126" s="4"/>
      <c r="N126" s="4"/>
      <c r="O126" s="4"/>
      <c r="P126" s="4"/>
      <c r="Q126" s="4"/>
    </row>
    <row r="127" spans="1:17">
      <c r="A127" s="4"/>
      <c r="B127" s="4"/>
      <c r="C127" s="4"/>
      <c r="D127" s="4"/>
      <c r="E127" s="4"/>
      <c r="F127" s="4"/>
      <c r="G127" s="4"/>
      <c r="H127" s="4"/>
      <c r="I127" s="8"/>
      <c r="J127" s="8"/>
      <c r="K127" s="8"/>
      <c r="L127" s="4"/>
      <c r="M127" s="4"/>
      <c r="N127" s="4"/>
      <c r="O127" s="4"/>
      <c r="P127" s="4"/>
      <c r="Q127" s="4"/>
    </row>
    <row r="128" spans="1:17">
      <c r="A128" s="4"/>
      <c r="B128" s="4"/>
      <c r="C128" s="4"/>
      <c r="D128" s="4"/>
      <c r="E128" s="4"/>
      <c r="F128" s="4"/>
      <c r="G128" s="4"/>
      <c r="H128" s="4"/>
      <c r="I128" s="8"/>
      <c r="J128" s="8"/>
      <c r="K128" s="8"/>
      <c r="L128" s="4"/>
      <c r="M128" s="4"/>
      <c r="N128" s="4"/>
      <c r="O128" s="4"/>
      <c r="P128" s="4"/>
      <c r="Q128" s="4"/>
    </row>
    <row r="129" spans="1:17">
      <c r="A129" s="4"/>
      <c r="B129" s="4"/>
      <c r="C129" s="4"/>
      <c r="D129" s="4"/>
      <c r="E129" s="4"/>
      <c r="F129" s="4"/>
      <c r="G129" s="4"/>
      <c r="H129" s="4"/>
      <c r="I129" s="8"/>
      <c r="J129" s="8"/>
      <c r="K129" s="8"/>
      <c r="L129" s="4"/>
      <c r="M129" s="4"/>
      <c r="N129" s="4"/>
      <c r="O129" s="4"/>
      <c r="P129" s="4"/>
      <c r="Q129" s="4"/>
    </row>
    <row r="130" spans="1:17">
      <c r="A130" s="4"/>
      <c r="B130" s="4"/>
      <c r="C130" s="4"/>
      <c r="D130" s="4"/>
      <c r="E130" s="4"/>
      <c r="F130" s="4"/>
      <c r="G130" s="4"/>
      <c r="H130" s="4"/>
      <c r="I130" s="8"/>
      <c r="J130" s="8"/>
      <c r="K130" s="8"/>
      <c r="L130" s="4"/>
      <c r="M130" s="4"/>
      <c r="N130" s="4"/>
      <c r="O130" s="4"/>
      <c r="P130" s="4"/>
      <c r="Q130" s="4"/>
    </row>
    <row r="131" spans="1:17">
      <c r="A131" s="4"/>
      <c r="B131" s="4"/>
      <c r="C131" s="4"/>
      <c r="D131" s="4"/>
      <c r="E131" s="4"/>
      <c r="F131" s="4"/>
      <c r="G131" s="4"/>
      <c r="H131" s="4"/>
      <c r="I131" s="8"/>
      <c r="J131" s="8"/>
      <c r="K131" s="8"/>
      <c r="L131" s="4"/>
      <c r="M131" s="4"/>
      <c r="N131" s="4"/>
      <c r="O131" s="4"/>
      <c r="P131" s="4"/>
      <c r="Q131" s="4"/>
    </row>
    <row r="132" spans="1:17">
      <c r="A132" s="4"/>
      <c r="B132" s="4"/>
      <c r="C132" s="4"/>
      <c r="D132" s="4"/>
      <c r="E132" s="4"/>
      <c r="F132" s="4"/>
      <c r="G132" s="4"/>
      <c r="H132" s="4"/>
      <c r="I132" s="8"/>
      <c r="J132" s="8"/>
      <c r="K132" s="8"/>
      <c r="L132" s="4"/>
      <c r="M132" s="4"/>
      <c r="N132" s="4"/>
      <c r="O132" s="4"/>
      <c r="P132" s="4"/>
      <c r="Q132" s="4"/>
    </row>
    <row r="133" spans="1:17">
      <c r="A133" s="4"/>
      <c r="B133" s="4"/>
      <c r="C133" s="4"/>
      <c r="D133" s="4"/>
      <c r="E133" s="4"/>
      <c r="F133" s="4"/>
      <c r="G133" s="4"/>
      <c r="H133" s="4"/>
      <c r="I133" s="8"/>
      <c r="J133" s="8"/>
      <c r="K133" s="8"/>
      <c r="L133" s="4"/>
      <c r="M133" s="4"/>
      <c r="N133" s="4"/>
      <c r="O133" s="4"/>
      <c r="P133" s="4"/>
      <c r="Q133" s="4"/>
    </row>
    <row r="134" spans="1:17">
      <c r="A134" s="4"/>
      <c r="B134" s="4"/>
      <c r="C134" s="4"/>
      <c r="D134" s="4"/>
      <c r="E134" s="4"/>
      <c r="F134" s="4"/>
      <c r="G134" s="4"/>
      <c r="H134" s="4"/>
      <c r="I134" s="8"/>
      <c r="J134" s="8"/>
      <c r="K134" s="8"/>
      <c r="L134" s="4"/>
      <c r="M134" s="4"/>
      <c r="N134" s="4"/>
      <c r="O134" s="4"/>
      <c r="P134" s="4"/>
      <c r="Q134" s="4"/>
    </row>
    <row r="135" spans="1:17">
      <c r="A135" s="4"/>
      <c r="B135" s="4"/>
      <c r="C135" s="4"/>
      <c r="D135" s="4"/>
      <c r="E135" s="4"/>
      <c r="F135" s="4"/>
      <c r="G135" s="4"/>
      <c r="H135" s="4"/>
      <c r="I135" s="8"/>
      <c r="J135" s="8"/>
      <c r="K135" s="8"/>
      <c r="L135" s="4"/>
      <c r="M135" s="4"/>
      <c r="N135" s="4"/>
      <c r="O135" s="4"/>
      <c r="P135" s="4"/>
      <c r="Q135" s="4"/>
    </row>
    <row r="136" spans="1:17">
      <c r="A136" s="4"/>
      <c r="B136" s="4"/>
      <c r="C136" s="4"/>
      <c r="D136" s="4"/>
      <c r="E136" s="4"/>
      <c r="F136" s="4"/>
      <c r="G136" s="4"/>
      <c r="H136" s="4"/>
      <c r="I136" s="8"/>
      <c r="J136" s="8"/>
      <c r="K136" s="8"/>
      <c r="L136" s="4"/>
      <c r="M136" s="4"/>
      <c r="N136" s="4"/>
      <c r="O136" s="4"/>
      <c r="P136" s="4"/>
      <c r="Q136" s="4"/>
    </row>
    <row r="137" spans="1:17">
      <c r="A137" s="4"/>
      <c r="B137" s="4"/>
      <c r="C137" s="4"/>
      <c r="D137" s="4"/>
      <c r="E137" s="4"/>
      <c r="F137" s="4"/>
      <c r="G137" s="4"/>
      <c r="H137" s="4"/>
      <c r="I137" s="8"/>
      <c r="J137" s="8"/>
      <c r="K137" s="8"/>
      <c r="L137" s="4"/>
      <c r="M137" s="4"/>
      <c r="N137" s="4"/>
      <c r="O137" s="4"/>
      <c r="P137" s="4"/>
      <c r="Q137" s="4"/>
    </row>
    <row r="138" spans="1:17">
      <c r="A138" s="4"/>
      <c r="B138" s="4"/>
      <c r="C138" s="4"/>
      <c r="D138" s="4"/>
      <c r="E138" s="4"/>
      <c r="F138" s="4"/>
      <c r="G138" s="4"/>
      <c r="H138" s="4"/>
      <c r="I138" s="8"/>
      <c r="J138" s="8"/>
      <c r="K138" s="8"/>
      <c r="L138" s="4"/>
      <c r="M138" s="4"/>
      <c r="N138" s="4"/>
      <c r="O138" s="4"/>
      <c r="P138" s="4"/>
      <c r="Q138" s="4"/>
    </row>
    <row r="139" spans="1:17">
      <c r="A139" s="4"/>
      <c r="B139" s="4"/>
      <c r="C139" s="4"/>
      <c r="D139" s="4"/>
      <c r="E139" s="4"/>
      <c r="F139" s="4"/>
      <c r="G139" s="4"/>
      <c r="H139" s="4"/>
      <c r="I139" s="8"/>
      <c r="J139" s="8"/>
      <c r="K139" s="8"/>
      <c r="L139" s="4"/>
      <c r="M139" s="4"/>
      <c r="N139" s="4"/>
      <c r="O139" s="4"/>
      <c r="P139" s="4"/>
      <c r="Q139" s="4"/>
    </row>
    <row r="140" spans="1:17">
      <c r="A140" s="4"/>
      <c r="B140" s="4"/>
      <c r="C140" s="4"/>
      <c r="D140" s="4"/>
      <c r="E140" s="4"/>
      <c r="F140" s="4"/>
      <c r="G140" s="4"/>
      <c r="H140" s="4"/>
      <c r="I140" s="8"/>
      <c r="J140" s="8"/>
      <c r="K140" s="8"/>
      <c r="L140" s="4"/>
      <c r="M140" s="4"/>
      <c r="N140" s="4"/>
      <c r="O140" s="4"/>
      <c r="P140" s="4"/>
      <c r="Q140" s="4"/>
    </row>
    <row r="141" spans="1:17">
      <c r="A141" s="4"/>
      <c r="B141" s="4"/>
      <c r="C141" s="4"/>
      <c r="D141" s="4"/>
      <c r="E141" s="4"/>
      <c r="F141" s="4"/>
      <c r="G141" s="4"/>
      <c r="H141" s="4"/>
      <c r="I141" s="8"/>
      <c r="J141" s="8"/>
      <c r="K141" s="8"/>
      <c r="L141" s="4"/>
      <c r="M141" s="4"/>
      <c r="N141" s="4"/>
      <c r="O141" s="4"/>
      <c r="P141" s="4"/>
      <c r="Q141" s="4"/>
    </row>
    <row r="142" spans="1:17">
      <c r="A142" s="4"/>
      <c r="B142" s="4"/>
      <c r="C142" s="4"/>
      <c r="D142" s="4"/>
      <c r="E142" s="4"/>
      <c r="F142" s="4"/>
      <c r="G142" s="4"/>
      <c r="H142" s="4"/>
      <c r="I142" s="8"/>
      <c r="J142" s="8"/>
      <c r="K142" s="8"/>
      <c r="L142" s="4"/>
      <c r="M142" s="4"/>
      <c r="N142" s="4"/>
      <c r="O142" s="4"/>
      <c r="P142" s="4"/>
      <c r="Q142" s="4"/>
    </row>
    <row r="143" spans="1:17">
      <c r="A143" s="4"/>
      <c r="B143" s="4"/>
      <c r="C143" s="4"/>
      <c r="D143" s="4"/>
      <c r="E143" s="4"/>
      <c r="F143" s="4"/>
      <c r="G143" s="4"/>
      <c r="H143" s="4"/>
      <c r="I143" s="8"/>
      <c r="J143" s="8"/>
      <c r="K143" s="8"/>
      <c r="L143" s="4"/>
      <c r="M143" s="4"/>
      <c r="N143" s="4"/>
      <c r="O143" s="4"/>
      <c r="P143" s="4"/>
      <c r="Q143" s="4"/>
    </row>
    <row r="144" spans="1:17">
      <c r="A144" s="4"/>
      <c r="B144" s="4"/>
      <c r="C144" s="4"/>
      <c r="D144" s="4"/>
      <c r="E144" s="4"/>
      <c r="F144" s="4"/>
      <c r="G144" s="4"/>
      <c r="H144" s="4"/>
      <c r="I144" s="8"/>
      <c r="J144" s="8"/>
      <c r="K144" s="8"/>
      <c r="L144" s="4"/>
      <c r="M144" s="4"/>
      <c r="N144" s="4"/>
      <c r="O144" s="4"/>
      <c r="P144" s="4"/>
      <c r="Q144" s="4"/>
    </row>
    <row r="145" spans="1:17">
      <c r="A145" s="4"/>
      <c r="B145" s="4"/>
      <c r="C145" s="4"/>
      <c r="D145" s="4"/>
      <c r="E145" s="4"/>
      <c r="F145" s="4"/>
      <c r="G145" s="4"/>
      <c r="H145" s="4"/>
      <c r="I145" s="8"/>
      <c r="J145" s="8"/>
      <c r="K145" s="8"/>
      <c r="L145" s="4"/>
      <c r="M145" s="4"/>
      <c r="N145" s="4"/>
      <c r="O145" s="4"/>
      <c r="P145" s="4"/>
      <c r="Q145" s="4"/>
    </row>
    <row r="146" spans="1:17">
      <c r="A146" s="4"/>
      <c r="B146" s="4"/>
      <c r="C146" s="4"/>
      <c r="D146" s="4"/>
      <c r="E146" s="4"/>
      <c r="F146" s="4"/>
      <c r="G146" s="4"/>
      <c r="H146" s="4"/>
      <c r="I146" s="8"/>
      <c r="J146" s="8"/>
      <c r="K146" s="8"/>
      <c r="L146" s="4"/>
      <c r="M146" s="4"/>
      <c r="N146" s="4"/>
      <c r="O146" s="4"/>
      <c r="P146" s="4"/>
      <c r="Q146" s="4"/>
    </row>
    <row r="147" spans="1:17">
      <c r="A147" s="4"/>
      <c r="B147" s="4"/>
      <c r="C147" s="4"/>
      <c r="D147" s="4"/>
      <c r="E147" s="4"/>
      <c r="F147" s="4"/>
      <c r="G147" s="4"/>
      <c r="H147" s="4"/>
      <c r="I147" s="8"/>
      <c r="J147" s="8"/>
      <c r="K147" s="8"/>
      <c r="L147" s="4"/>
      <c r="M147" s="4"/>
      <c r="N147" s="4"/>
      <c r="O147" s="4"/>
      <c r="P147" s="4"/>
      <c r="Q147" s="4"/>
    </row>
    <row r="148" spans="1:17">
      <c r="A148" s="4"/>
      <c r="B148" s="4"/>
      <c r="C148" s="4"/>
      <c r="D148" s="4"/>
      <c r="E148" s="4"/>
      <c r="F148" s="4"/>
      <c r="G148" s="4"/>
      <c r="H148" s="4"/>
      <c r="I148" s="8"/>
      <c r="J148" s="8"/>
      <c r="K148" s="8"/>
      <c r="L148" s="4"/>
      <c r="M148" s="4"/>
      <c r="N148" s="4"/>
      <c r="O148" s="4"/>
      <c r="P148" s="4"/>
      <c r="Q148" s="4"/>
    </row>
    <row r="149" spans="1:17">
      <c r="A149" s="4"/>
      <c r="B149" s="4"/>
      <c r="C149" s="4"/>
      <c r="D149" s="4"/>
      <c r="E149" s="4"/>
      <c r="F149" s="4"/>
      <c r="G149" s="4"/>
      <c r="H149" s="4"/>
      <c r="I149" s="8"/>
      <c r="J149" s="8"/>
      <c r="K149" s="8"/>
      <c r="L149" s="4"/>
      <c r="M149" s="4"/>
      <c r="N149" s="4"/>
      <c r="O149" s="4"/>
      <c r="P149" s="4"/>
      <c r="Q149" s="4"/>
    </row>
    <row r="150" spans="1:17">
      <c r="A150" s="4"/>
      <c r="B150" s="4"/>
      <c r="C150" s="4"/>
      <c r="D150" s="4"/>
      <c r="E150" s="4"/>
      <c r="F150" s="4"/>
      <c r="G150" s="4"/>
      <c r="H150" s="4"/>
      <c r="I150" s="8"/>
      <c r="J150" s="8"/>
      <c r="K150" s="8"/>
      <c r="L150" s="4"/>
      <c r="M150" s="4"/>
      <c r="N150" s="4"/>
      <c r="O150" s="4"/>
      <c r="P150" s="4"/>
      <c r="Q150" s="4"/>
    </row>
    <row r="151" spans="1:17">
      <c r="A151" s="4"/>
      <c r="B151" s="4"/>
      <c r="C151" s="4"/>
      <c r="D151" s="4"/>
      <c r="E151" s="4"/>
      <c r="F151" s="4"/>
      <c r="G151" s="4"/>
      <c r="H151" s="4"/>
      <c r="I151" s="8"/>
      <c r="J151" s="8"/>
      <c r="K151" s="8"/>
      <c r="L151" s="4"/>
      <c r="M151" s="4"/>
      <c r="N151" s="4"/>
      <c r="O151" s="4"/>
      <c r="P151" s="4"/>
      <c r="Q151" s="4"/>
    </row>
    <row r="152" spans="1:17">
      <c r="A152" s="4"/>
      <c r="B152" s="4"/>
      <c r="C152" s="4"/>
      <c r="D152" s="4"/>
      <c r="E152" s="4"/>
      <c r="F152" s="4"/>
      <c r="G152" s="4"/>
      <c r="H152" s="4"/>
      <c r="I152" s="8"/>
      <c r="J152" s="8"/>
      <c r="K152" s="8"/>
      <c r="L152" s="4"/>
      <c r="M152" s="4"/>
      <c r="N152" s="4"/>
      <c r="O152" s="4"/>
      <c r="P152" s="4"/>
      <c r="Q152" s="4"/>
    </row>
    <row r="153" spans="1:17">
      <c r="A153" s="4"/>
      <c r="B153" s="4"/>
      <c r="C153" s="4"/>
      <c r="D153" s="4"/>
      <c r="E153" s="4"/>
      <c r="F153" s="4"/>
      <c r="G153" s="4"/>
      <c r="H153" s="4"/>
      <c r="I153" s="8"/>
      <c r="J153" s="8"/>
      <c r="K153" s="8"/>
      <c r="L153" s="4"/>
      <c r="M153" s="4"/>
      <c r="N153" s="4"/>
      <c r="O153" s="4"/>
      <c r="P153" s="4"/>
      <c r="Q153" s="4"/>
    </row>
    <row r="154" spans="1:17">
      <c r="A154" s="4"/>
      <c r="B154" s="4"/>
      <c r="C154" s="4"/>
      <c r="D154" s="4"/>
      <c r="E154" s="4"/>
      <c r="F154" s="4"/>
      <c r="G154" s="4"/>
      <c r="H154" s="4"/>
      <c r="I154" s="8"/>
      <c r="J154" s="8"/>
      <c r="K154" s="8"/>
      <c r="L154" s="4"/>
      <c r="M154" s="4"/>
      <c r="N154" s="4"/>
      <c r="O154" s="4"/>
      <c r="P154" s="4"/>
      <c r="Q154" s="4"/>
    </row>
    <row r="155" spans="1:17">
      <c r="A155" s="4"/>
      <c r="B155" s="4"/>
      <c r="C155" s="4"/>
      <c r="D155" s="4"/>
      <c r="E155" s="4"/>
      <c r="F155" s="4"/>
      <c r="G155" s="4"/>
      <c r="H155" s="4"/>
      <c r="I155" s="8"/>
      <c r="J155" s="8"/>
      <c r="K155" s="8"/>
      <c r="L155" s="4"/>
      <c r="M155" s="4"/>
      <c r="N155" s="4"/>
      <c r="O155" s="4"/>
      <c r="P155" s="4"/>
      <c r="Q155" s="4"/>
    </row>
    <row r="156" spans="1:17">
      <c r="A156" s="4"/>
      <c r="B156" s="4"/>
      <c r="C156" s="4"/>
      <c r="D156" s="4"/>
      <c r="E156" s="4"/>
      <c r="F156" s="4"/>
      <c r="G156" s="4"/>
      <c r="H156" s="4"/>
      <c r="I156" s="8"/>
      <c r="J156" s="8"/>
      <c r="K156" s="8"/>
      <c r="L156" s="4"/>
      <c r="M156" s="4"/>
      <c r="N156" s="4"/>
      <c r="O156" s="4"/>
      <c r="P156" s="4"/>
      <c r="Q156" s="4"/>
    </row>
    <row r="157" spans="1:17">
      <c r="A157" s="4"/>
      <c r="B157" s="4"/>
      <c r="C157" s="4"/>
      <c r="D157" s="4"/>
      <c r="E157" s="4"/>
      <c r="F157" s="4"/>
      <c r="G157" s="4"/>
      <c r="H157" s="4"/>
      <c r="I157" s="8"/>
      <c r="J157" s="8"/>
      <c r="K157" s="8"/>
      <c r="L157" s="4"/>
      <c r="M157" s="4"/>
      <c r="N157" s="4"/>
      <c r="O157" s="4"/>
      <c r="P157" s="4"/>
      <c r="Q157" s="4"/>
    </row>
    <row r="158" spans="1:17">
      <c r="A158" s="4"/>
      <c r="B158" s="4"/>
      <c r="C158" s="4"/>
      <c r="D158" s="4"/>
      <c r="E158" s="4"/>
      <c r="F158" s="4"/>
      <c r="G158" s="4"/>
      <c r="H158" s="4"/>
      <c r="I158" s="8"/>
      <c r="J158" s="8"/>
      <c r="K158" s="8"/>
      <c r="L158" s="4"/>
      <c r="M158" s="4"/>
      <c r="N158" s="4"/>
      <c r="O158" s="4"/>
      <c r="P158" s="4"/>
      <c r="Q158" s="4"/>
    </row>
    <row r="159" spans="1:17">
      <c r="A159" s="4"/>
      <c r="B159" s="4"/>
      <c r="C159" s="4"/>
      <c r="D159" s="4"/>
      <c r="E159" s="4"/>
      <c r="F159" s="4"/>
      <c r="G159" s="4"/>
      <c r="H159" s="4"/>
      <c r="I159" s="8"/>
      <c r="J159" s="8"/>
      <c r="K159" s="8"/>
      <c r="L159" s="4"/>
      <c r="M159" s="4"/>
      <c r="N159" s="4"/>
      <c r="O159" s="4"/>
      <c r="P159" s="4"/>
      <c r="Q159" s="4"/>
    </row>
    <row r="160" spans="1:17">
      <c r="A160" s="4"/>
      <c r="B160" s="4"/>
      <c r="C160" s="4"/>
      <c r="D160" s="4"/>
      <c r="E160" s="4"/>
      <c r="F160" s="4"/>
      <c r="G160" s="4"/>
      <c r="H160" s="4"/>
      <c r="I160" s="8"/>
      <c r="J160" s="8"/>
      <c r="K160" s="8"/>
      <c r="L160" s="4"/>
      <c r="M160" s="4"/>
      <c r="N160" s="4"/>
      <c r="O160" s="4"/>
      <c r="P160" s="4"/>
      <c r="Q160" s="4"/>
    </row>
    <row r="161" spans="1:17">
      <c r="A161" s="4"/>
      <c r="B161" s="4"/>
      <c r="C161" s="4"/>
      <c r="D161" s="4"/>
      <c r="E161" s="4"/>
      <c r="F161" s="4"/>
      <c r="G161" s="4"/>
      <c r="H161" s="4"/>
      <c r="I161" s="8"/>
      <c r="J161" s="8"/>
      <c r="K161" s="8"/>
      <c r="L161" s="4"/>
      <c r="M161" s="4"/>
      <c r="N161" s="4"/>
      <c r="O161" s="4"/>
      <c r="P161" s="4"/>
      <c r="Q161" s="4"/>
    </row>
    <row r="162" spans="1:17">
      <c r="A162" s="4"/>
      <c r="B162" s="4"/>
      <c r="C162" s="4"/>
      <c r="D162" s="4"/>
      <c r="E162" s="4"/>
      <c r="F162" s="4"/>
      <c r="G162" s="4"/>
      <c r="H162" s="4"/>
      <c r="I162" s="8"/>
      <c r="J162" s="8"/>
      <c r="K162" s="8"/>
      <c r="L162" s="4"/>
      <c r="M162" s="4"/>
      <c r="N162" s="4"/>
      <c r="O162" s="4"/>
      <c r="P162" s="4"/>
      <c r="Q162" s="4"/>
    </row>
    <row r="163" spans="1:17">
      <c r="A163" s="4"/>
      <c r="B163" s="4"/>
      <c r="C163" s="4"/>
      <c r="D163" s="4"/>
      <c r="E163" s="4"/>
      <c r="F163" s="4"/>
      <c r="G163" s="4"/>
      <c r="H163" s="4"/>
      <c r="I163" s="8"/>
      <c r="J163" s="8"/>
      <c r="K163" s="8"/>
      <c r="L163" s="4"/>
      <c r="M163" s="4"/>
      <c r="N163" s="4"/>
      <c r="O163" s="4"/>
      <c r="P163" s="4"/>
      <c r="Q163" s="4"/>
    </row>
    <row r="164" spans="1:17">
      <c r="A164" s="4"/>
      <c r="B164" s="4"/>
      <c r="C164" s="4"/>
      <c r="D164" s="4"/>
      <c r="E164" s="4"/>
      <c r="F164" s="4"/>
      <c r="G164" s="4"/>
      <c r="H164" s="4"/>
      <c r="I164" s="8"/>
      <c r="J164" s="8"/>
      <c r="K164" s="8"/>
      <c r="L164" s="4"/>
      <c r="M164" s="4"/>
      <c r="N164" s="4"/>
      <c r="O164" s="4"/>
      <c r="P164" s="4"/>
      <c r="Q164" s="4"/>
    </row>
    <row r="165" spans="1:17">
      <c r="A165" s="4"/>
      <c r="B165" s="4"/>
      <c r="C165" s="4"/>
      <c r="D165" s="4"/>
      <c r="E165" s="4"/>
      <c r="F165" s="4"/>
      <c r="G165" s="4"/>
      <c r="H165" s="4"/>
      <c r="I165" s="8"/>
      <c r="J165" s="8"/>
      <c r="K165" s="8"/>
      <c r="L165" s="4"/>
      <c r="M165" s="4"/>
      <c r="N165" s="4"/>
      <c r="O165" s="4"/>
      <c r="P165" s="4"/>
      <c r="Q165" s="4"/>
    </row>
    <row r="166" spans="1:17">
      <c r="A166" s="4"/>
      <c r="B166" s="4"/>
      <c r="C166" s="4"/>
      <c r="D166" s="4"/>
      <c r="E166" s="4"/>
      <c r="F166" s="4"/>
      <c r="G166" s="4"/>
      <c r="H166" s="4"/>
      <c r="I166" s="8"/>
      <c r="J166" s="8"/>
      <c r="K166" s="8"/>
      <c r="L166" s="4"/>
      <c r="M166" s="4"/>
      <c r="N166" s="4"/>
      <c r="O166" s="4"/>
      <c r="P166" s="4"/>
      <c r="Q166" s="4"/>
    </row>
    <row r="167" spans="1:17">
      <c r="A167" s="4"/>
      <c r="B167" s="4"/>
      <c r="C167" s="4"/>
      <c r="D167" s="4"/>
      <c r="E167" s="4"/>
      <c r="F167" s="4"/>
      <c r="G167" s="4"/>
      <c r="H167" s="4"/>
      <c r="I167" s="8"/>
      <c r="J167" s="8"/>
      <c r="K167" s="8"/>
      <c r="L167" s="4"/>
      <c r="M167" s="4"/>
      <c r="N167" s="4"/>
      <c r="O167" s="4"/>
      <c r="P167" s="4"/>
      <c r="Q167" s="4"/>
    </row>
    <row r="168" spans="1:17">
      <c r="A168" s="4"/>
      <c r="B168" s="4"/>
      <c r="C168" s="4"/>
      <c r="D168" s="4"/>
      <c r="E168" s="4"/>
      <c r="F168" s="4"/>
      <c r="G168" s="4"/>
      <c r="H168" s="4"/>
      <c r="I168" s="8"/>
      <c r="J168" s="8"/>
      <c r="K168" s="8"/>
      <c r="L168" s="4"/>
      <c r="M168" s="4"/>
      <c r="N168" s="4"/>
      <c r="O168" s="4"/>
      <c r="P168" s="4"/>
      <c r="Q168" s="4"/>
    </row>
    <row r="169" spans="1:17">
      <c r="A169" s="4"/>
      <c r="B169" s="4"/>
      <c r="C169" s="4"/>
      <c r="D169" s="4"/>
      <c r="E169" s="4"/>
      <c r="F169" s="4"/>
      <c r="G169" s="4"/>
      <c r="H169" s="4"/>
      <c r="I169" s="8"/>
      <c r="J169" s="8"/>
      <c r="K169" s="8"/>
      <c r="L169" s="4"/>
      <c r="M169" s="4"/>
      <c r="N169" s="4"/>
      <c r="O169" s="4"/>
      <c r="P169" s="4"/>
      <c r="Q169" s="4"/>
    </row>
    <row r="170" spans="1:17">
      <c r="A170" s="4"/>
      <c r="B170" s="4"/>
      <c r="C170" s="4"/>
      <c r="D170" s="4"/>
      <c r="E170" s="4"/>
      <c r="F170" s="4"/>
      <c r="G170" s="4"/>
      <c r="H170" s="4"/>
      <c r="I170" s="8"/>
      <c r="J170" s="8"/>
      <c r="K170" s="8"/>
      <c r="L170" s="4"/>
      <c r="M170" s="4"/>
      <c r="N170" s="4"/>
      <c r="O170" s="4"/>
      <c r="P170" s="4"/>
      <c r="Q170" s="4"/>
    </row>
    <row r="171" spans="1:17">
      <c r="A171" s="4"/>
      <c r="B171" s="4"/>
      <c r="C171" s="4"/>
      <c r="D171" s="4"/>
      <c r="E171" s="4"/>
      <c r="F171" s="4"/>
      <c r="G171" s="4"/>
      <c r="H171" s="4"/>
      <c r="I171" s="8"/>
      <c r="J171" s="8"/>
      <c r="K171" s="8"/>
      <c r="L171" s="4"/>
      <c r="M171" s="4"/>
      <c r="N171" s="4"/>
      <c r="O171" s="4"/>
      <c r="P171" s="4"/>
      <c r="Q171" s="4"/>
    </row>
    <row r="172" spans="1:17">
      <c r="A172" s="4"/>
      <c r="B172" s="4"/>
      <c r="C172" s="4"/>
      <c r="D172" s="4"/>
      <c r="E172" s="4"/>
      <c r="F172" s="4"/>
      <c r="G172" s="4"/>
      <c r="H172" s="4"/>
      <c r="I172" s="8"/>
      <c r="J172" s="8"/>
      <c r="K172" s="8"/>
      <c r="L172" s="4"/>
      <c r="M172" s="4"/>
      <c r="N172" s="4"/>
      <c r="O172" s="4"/>
      <c r="P172" s="4"/>
      <c r="Q172" s="4"/>
    </row>
    <row r="173" spans="1:17">
      <c r="A173" s="4"/>
      <c r="B173" s="4"/>
      <c r="C173" s="4"/>
      <c r="D173" s="4"/>
      <c r="E173" s="4"/>
      <c r="F173" s="4"/>
      <c r="G173" s="4"/>
      <c r="H173" s="4"/>
      <c r="I173" s="8"/>
      <c r="J173" s="8"/>
      <c r="K173" s="8"/>
      <c r="L173" s="4"/>
      <c r="M173" s="4"/>
      <c r="N173" s="4"/>
      <c r="O173" s="4"/>
      <c r="P173" s="4"/>
      <c r="Q173" s="4"/>
    </row>
    <row r="174" spans="1:17">
      <c r="A174" s="4"/>
      <c r="B174" s="4"/>
      <c r="C174" s="4"/>
      <c r="D174" s="4"/>
      <c r="E174" s="4"/>
      <c r="F174" s="4"/>
      <c r="G174" s="4"/>
      <c r="H174" s="4"/>
      <c r="I174" s="8"/>
      <c r="J174" s="8"/>
      <c r="K174" s="8"/>
      <c r="L174" s="4"/>
      <c r="M174" s="4"/>
      <c r="N174" s="4"/>
      <c r="O174" s="4"/>
      <c r="P174" s="4"/>
      <c r="Q174" s="4"/>
    </row>
    <row r="175" spans="1:17">
      <c r="A175" s="4"/>
      <c r="B175" s="4"/>
      <c r="C175" s="4"/>
      <c r="D175" s="4"/>
      <c r="E175" s="4"/>
      <c r="F175" s="4"/>
      <c r="G175" s="4"/>
      <c r="H175" s="4"/>
      <c r="I175" s="8"/>
      <c r="J175" s="8"/>
      <c r="K175" s="8"/>
      <c r="L175" s="4"/>
      <c r="M175" s="4"/>
      <c r="N175" s="4"/>
      <c r="O175" s="4"/>
      <c r="P175" s="4"/>
      <c r="Q175" s="4"/>
    </row>
    <row r="176" spans="1:17">
      <c r="A176" s="4"/>
      <c r="B176" s="4"/>
      <c r="C176" s="4"/>
      <c r="D176" s="4"/>
      <c r="E176" s="4"/>
      <c r="F176" s="4"/>
      <c r="G176" s="4"/>
      <c r="H176" s="4"/>
      <c r="I176" s="8"/>
      <c r="J176" s="8"/>
      <c r="K176" s="8"/>
      <c r="L176" s="4"/>
      <c r="M176" s="4"/>
      <c r="N176" s="4"/>
      <c r="O176" s="4"/>
      <c r="P176" s="4"/>
      <c r="Q176" s="4"/>
    </row>
    <row r="177" spans="1:17">
      <c r="A177" s="4"/>
      <c r="B177" s="4"/>
      <c r="C177" s="4"/>
      <c r="D177" s="4"/>
      <c r="E177" s="4"/>
      <c r="F177" s="4"/>
      <c r="G177" s="4"/>
      <c r="H177" s="4"/>
      <c r="I177" s="8"/>
      <c r="J177" s="8"/>
      <c r="K177" s="8"/>
      <c r="L177" s="4"/>
      <c r="M177" s="4"/>
      <c r="N177" s="4"/>
      <c r="O177" s="4"/>
      <c r="P177" s="4"/>
      <c r="Q177" s="4"/>
    </row>
    <row r="178" spans="1:17">
      <c r="A178" s="4"/>
      <c r="B178" s="4"/>
      <c r="C178" s="4"/>
      <c r="D178" s="4"/>
      <c r="E178" s="4"/>
      <c r="F178" s="4"/>
      <c r="G178" s="4"/>
      <c r="H178" s="4"/>
      <c r="I178" s="8"/>
      <c r="J178" s="8"/>
      <c r="K178" s="8"/>
      <c r="L178" s="4"/>
      <c r="M178" s="4"/>
      <c r="N178" s="4"/>
      <c r="O178" s="4"/>
      <c r="P178" s="4"/>
      <c r="Q178" s="4"/>
    </row>
    <row r="179" spans="1:17">
      <c r="A179" s="4"/>
      <c r="B179" s="4"/>
      <c r="C179" s="4"/>
      <c r="D179" s="4"/>
      <c r="E179" s="4"/>
      <c r="F179" s="4"/>
      <c r="G179" s="4"/>
      <c r="H179" s="4"/>
      <c r="I179" s="8"/>
      <c r="J179" s="8"/>
      <c r="K179" s="8"/>
      <c r="L179" s="4"/>
      <c r="M179" s="4"/>
      <c r="N179" s="4"/>
      <c r="O179" s="4"/>
      <c r="P179" s="4"/>
      <c r="Q179" s="4"/>
    </row>
    <row r="180" spans="1:17">
      <c r="A180" s="4"/>
      <c r="B180" s="4"/>
      <c r="C180" s="4"/>
      <c r="D180" s="4"/>
      <c r="E180" s="4"/>
      <c r="F180" s="4"/>
      <c r="G180" s="4"/>
      <c r="H180" s="4"/>
      <c r="I180" s="8"/>
      <c r="J180" s="8"/>
      <c r="K180" s="8"/>
      <c r="L180" s="4"/>
      <c r="M180" s="4"/>
      <c r="N180" s="4"/>
      <c r="O180" s="4"/>
      <c r="P180" s="4"/>
      <c r="Q180" s="4"/>
    </row>
    <row r="181" spans="1:17">
      <c r="A181" s="4"/>
      <c r="B181" s="4"/>
      <c r="C181" s="4"/>
      <c r="D181" s="4"/>
      <c r="E181" s="4"/>
      <c r="F181" s="4"/>
      <c r="G181" s="4"/>
      <c r="H181" s="4"/>
      <c r="I181" s="8"/>
      <c r="J181" s="8"/>
      <c r="K181" s="8"/>
      <c r="L181" s="4"/>
      <c r="M181" s="4"/>
      <c r="N181" s="4"/>
      <c r="O181" s="4"/>
      <c r="P181" s="4"/>
      <c r="Q181" s="4"/>
    </row>
    <row r="182" spans="1:17">
      <c r="A182" s="4"/>
      <c r="B182" s="4"/>
      <c r="C182" s="4"/>
      <c r="D182" s="4"/>
      <c r="E182" s="4"/>
      <c r="F182" s="4"/>
      <c r="G182" s="4"/>
      <c r="H182" s="4"/>
      <c r="I182" s="8"/>
      <c r="J182" s="8"/>
      <c r="K182" s="8"/>
      <c r="L182" s="4"/>
      <c r="M182" s="4"/>
      <c r="N182" s="4"/>
      <c r="O182" s="4"/>
      <c r="P182" s="4"/>
      <c r="Q182" s="4"/>
    </row>
    <row r="183" spans="1:17">
      <c r="A183" s="4"/>
      <c r="B183" s="4"/>
      <c r="C183" s="4"/>
      <c r="D183" s="4"/>
      <c r="E183" s="4"/>
      <c r="F183" s="4"/>
      <c r="G183" s="4"/>
      <c r="H183" s="4"/>
      <c r="I183" s="8"/>
      <c r="J183" s="8"/>
      <c r="K183" s="8"/>
      <c r="L183" s="4"/>
      <c r="M183" s="4"/>
      <c r="N183" s="4"/>
      <c r="O183" s="4"/>
      <c r="P183" s="4"/>
      <c r="Q183" s="4"/>
    </row>
    <row r="184" spans="1:17">
      <c r="A184" s="4"/>
      <c r="B184" s="4"/>
      <c r="C184" s="4"/>
      <c r="D184" s="4"/>
      <c r="E184" s="4"/>
      <c r="F184" s="4"/>
      <c r="G184" s="4"/>
      <c r="H184" s="4"/>
      <c r="I184" s="8"/>
      <c r="J184" s="8"/>
      <c r="K184" s="8"/>
      <c r="L184" s="4"/>
      <c r="M184" s="4"/>
      <c r="N184" s="4"/>
      <c r="O184" s="4"/>
      <c r="P184" s="4"/>
      <c r="Q184" s="4"/>
    </row>
    <row r="185" spans="1:17">
      <c r="A185" s="4"/>
      <c r="B185" s="4"/>
      <c r="C185" s="4"/>
      <c r="D185" s="4"/>
      <c r="E185" s="4"/>
      <c r="F185" s="4"/>
      <c r="G185" s="4"/>
      <c r="H185" s="4"/>
      <c r="I185" s="8"/>
      <c r="J185" s="8"/>
      <c r="K185" s="8"/>
      <c r="L185" s="4"/>
      <c r="M185" s="4"/>
      <c r="N185" s="4"/>
      <c r="O185" s="4"/>
      <c r="P185" s="4"/>
      <c r="Q185" s="4"/>
    </row>
    <row r="186" spans="1:17">
      <c r="A186" s="4"/>
      <c r="B186" s="4"/>
      <c r="C186" s="4"/>
      <c r="D186" s="4"/>
      <c r="E186" s="4"/>
      <c r="F186" s="4"/>
      <c r="G186" s="4"/>
      <c r="H186" s="4"/>
      <c r="I186" s="8"/>
      <c r="J186" s="8"/>
      <c r="K186" s="8"/>
      <c r="L186" s="4"/>
      <c r="M186" s="4"/>
      <c r="N186" s="4"/>
      <c r="O186" s="4"/>
      <c r="P186" s="4"/>
      <c r="Q186" s="4"/>
    </row>
    <row r="187" spans="1:17">
      <c r="A187" s="4"/>
      <c r="B187" s="4"/>
      <c r="C187" s="4"/>
      <c r="D187" s="4"/>
      <c r="E187" s="4"/>
      <c r="F187" s="4"/>
      <c r="G187" s="4"/>
      <c r="H187" s="4"/>
      <c r="I187" s="8"/>
      <c r="J187" s="8"/>
      <c r="K187" s="8"/>
      <c r="L187" s="4"/>
      <c r="M187" s="4"/>
      <c r="N187" s="4"/>
      <c r="O187" s="4"/>
      <c r="P187" s="4"/>
      <c r="Q187" s="4"/>
    </row>
    <row r="188" spans="1:17">
      <c r="A188" s="4"/>
      <c r="B188" s="4"/>
      <c r="C188" s="4"/>
      <c r="D188" s="4"/>
      <c r="E188" s="4"/>
      <c r="F188" s="4"/>
      <c r="G188" s="4"/>
      <c r="H188" s="4"/>
      <c r="I188" s="8"/>
      <c r="J188" s="8"/>
      <c r="K188" s="8"/>
      <c r="L188" s="4"/>
      <c r="M188" s="4"/>
      <c r="N188" s="4"/>
      <c r="O188" s="4"/>
      <c r="P188" s="4"/>
      <c r="Q188" s="4"/>
    </row>
    <row r="189" spans="1:17">
      <c r="A189" s="4"/>
      <c r="B189" s="4"/>
      <c r="C189" s="4"/>
      <c r="D189" s="4"/>
      <c r="E189" s="4"/>
      <c r="F189" s="4"/>
      <c r="G189" s="4"/>
      <c r="H189" s="4"/>
      <c r="I189" s="8"/>
      <c r="J189" s="8"/>
      <c r="K189" s="8"/>
      <c r="L189" s="4"/>
      <c r="M189" s="4"/>
      <c r="N189" s="4"/>
      <c r="O189" s="4"/>
      <c r="P189" s="4"/>
      <c r="Q189" s="4"/>
    </row>
    <row r="190" spans="1:17">
      <c r="A190" s="4"/>
      <c r="B190" s="4"/>
      <c r="C190" s="4"/>
      <c r="D190" s="4"/>
      <c r="E190" s="4"/>
      <c r="F190" s="4"/>
      <c r="G190" s="4"/>
      <c r="H190" s="4"/>
      <c r="I190" s="8"/>
      <c r="J190" s="8"/>
      <c r="K190" s="8"/>
      <c r="L190" s="4"/>
      <c r="M190" s="4"/>
      <c r="N190" s="4"/>
      <c r="O190" s="4"/>
      <c r="P190" s="4"/>
      <c r="Q190" s="4"/>
    </row>
    <row r="191" spans="1:17">
      <c r="A191" s="4"/>
      <c r="B191" s="4"/>
      <c r="C191" s="4"/>
      <c r="D191" s="4"/>
      <c r="E191" s="4"/>
      <c r="F191" s="4"/>
      <c r="G191" s="4"/>
      <c r="H191" s="4"/>
      <c r="I191" s="8"/>
      <c r="J191" s="8"/>
      <c r="K191" s="8"/>
      <c r="L191" s="4"/>
      <c r="M191" s="4"/>
      <c r="N191" s="4"/>
      <c r="O191" s="4"/>
      <c r="P191" s="4"/>
      <c r="Q191" s="4"/>
    </row>
    <row r="192" spans="1:17">
      <c r="A192" s="4"/>
      <c r="B192" s="4"/>
      <c r="C192" s="4"/>
      <c r="D192" s="4"/>
      <c r="E192" s="4"/>
      <c r="F192" s="4"/>
      <c r="G192" s="4"/>
      <c r="H192" s="4"/>
      <c r="I192" s="8"/>
      <c r="J192" s="8"/>
      <c r="K192" s="8"/>
      <c r="L192" s="4"/>
      <c r="M192" s="4"/>
      <c r="N192" s="4"/>
      <c r="O192" s="4"/>
      <c r="P192" s="4"/>
      <c r="Q192" s="4"/>
    </row>
    <row r="193" spans="1:17">
      <c r="A193" s="4"/>
      <c r="B193" s="4"/>
      <c r="C193" s="4"/>
      <c r="D193" s="4"/>
      <c r="E193" s="4"/>
      <c r="F193" s="4"/>
      <c r="G193" s="4"/>
      <c r="H193" s="4"/>
      <c r="I193" s="8"/>
      <c r="J193" s="8"/>
      <c r="K193" s="8"/>
      <c r="L193" s="4"/>
      <c r="M193" s="4"/>
      <c r="N193" s="4"/>
      <c r="O193" s="4"/>
      <c r="P193" s="4"/>
      <c r="Q193" s="4"/>
    </row>
    <row r="194" spans="1:17">
      <c r="A194" s="4"/>
      <c r="B194" s="4"/>
      <c r="C194" s="4"/>
      <c r="D194" s="4"/>
      <c r="E194" s="4"/>
      <c r="F194" s="4"/>
      <c r="G194" s="4"/>
      <c r="H194" s="4"/>
      <c r="I194" s="8"/>
      <c r="J194" s="8"/>
      <c r="K194" s="8"/>
      <c r="L194" s="4"/>
      <c r="M194" s="4"/>
      <c r="N194" s="4"/>
      <c r="O194" s="4"/>
      <c r="P194" s="4"/>
      <c r="Q194" s="4"/>
    </row>
    <row r="195" spans="1:17">
      <c r="A195" s="4"/>
      <c r="B195" s="4"/>
      <c r="C195" s="4"/>
      <c r="D195" s="4"/>
      <c r="E195" s="4"/>
      <c r="F195" s="4"/>
      <c r="G195" s="4"/>
      <c r="H195" s="4"/>
      <c r="I195" s="8"/>
      <c r="J195" s="8"/>
      <c r="K195" s="8"/>
      <c r="L195" s="4"/>
      <c r="M195" s="4"/>
      <c r="N195" s="4"/>
      <c r="O195" s="4"/>
      <c r="P195" s="4"/>
      <c r="Q195" s="4"/>
    </row>
    <row r="196" spans="1:17">
      <c r="A196" s="4"/>
      <c r="B196" s="4"/>
      <c r="C196" s="4"/>
      <c r="D196" s="4"/>
      <c r="E196" s="4"/>
      <c r="F196" s="4"/>
      <c r="G196" s="4"/>
      <c r="H196" s="4"/>
      <c r="I196" s="8"/>
      <c r="J196" s="8"/>
      <c r="K196" s="8"/>
      <c r="L196" s="4"/>
      <c r="M196" s="4"/>
      <c r="N196" s="4"/>
      <c r="O196" s="4"/>
      <c r="P196" s="4"/>
      <c r="Q196" s="4"/>
    </row>
    <row r="197" spans="1:17">
      <c r="A197" s="4"/>
      <c r="B197" s="4"/>
      <c r="C197" s="4"/>
      <c r="D197" s="4"/>
      <c r="E197" s="4"/>
      <c r="F197" s="4"/>
      <c r="G197" s="4"/>
      <c r="H197" s="4"/>
      <c r="I197" s="8"/>
      <c r="J197" s="8"/>
      <c r="K197" s="8"/>
      <c r="L197" s="4"/>
      <c r="M197" s="4"/>
      <c r="N197" s="4"/>
      <c r="O197" s="4"/>
      <c r="P197" s="4"/>
      <c r="Q197" s="4"/>
    </row>
    <row r="198" spans="1:17">
      <c r="A198" s="4"/>
      <c r="B198" s="4"/>
      <c r="C198" s="4"/>
      <c r="D198" s="4"/>
      <c r="E198" s="4"/>
      <c r="F198" s="4"/>
      <c r="G198" s="4"/>
      <c r="H198" s="4"/>
      <c r="I198" s="8"/>
      <c r="J198" s="8"/>
      <c r="K198" s="8"/>
      <c r="L198" s="4"/>
      <c r="M198" s="4"/>
      <c r="N198" s="4"/>
      <c r="O198" s="4"/>
      <c r="P198" s="4"/>
      <c r="Q198" s="4"/>
    </row>
    <row r="199" spans="1:17">
      <c r="A199" s="4"/>
      <c r="B199" s="4"/>
      <c r="C199" s="4"/>
      <c r="D199" s="4"/>
      <c r="E199" s="4"/>
      <c r="F199" s="4"/>
      <c r="G199" s="4"/>
      <c r="H199" s="4"/>
      <c r="I199" s="8"/>
      <c r="J199" s="8"/>
      <c r="K199" s="8"/>
      <c r="L199" s="4"/>
      <c r="M199" s="4"/>
      <c r="N199" s="4"/>
      <c r="O199" s="4"/>
      <c r="P199" s="4"/>
      <c r="Q199" s="4"/>
    </row>
    <row r="200" spans="1:17">
      <c r="A200" s="4"/>
      <c r="B200" s="4"/>
      <c r="C200" s="4"/>
      <c r="D200" s="4"/>
      <c r="E200" s="4"/>
      <c r="F200" s="4"/>
      <c r="G200" s="4"/>
      <c r="H200" s="4"/>
      <c r="I200" s="8"/>
      <c r="J200" s="8"/>
      <c r="K200" s="8"/>
      <c r="L200" s="4"/>
      <c r="M200" s="4"/>
      <c r="N200" s="4"/>
      <c r="O200" s="4"/>
      <c r="P200" s="4"/>
      <c r="Q200" s="4"/>
    </row>
    <row r="201" spans="1:17">
      <c r="A201" s="4"/>
      <c r="B201" s="4"/>
      <c r="C201" s="4"/>
      <c r="D201" s="4"/>
      <c r="E201" s="4"/>
      <c r="F201" s="4"/>
      <c r="G201" s="4"/>
      <c r="H201" s="4"/>
      <c r="I201" s="8"/>
      <c r="J201" s="8"/>
      <c r="K201" s="8"/>
      <c r="L201" s="4"/>
      <c r="M201" s="4"/>
      <c r="N201" s="4"/>
      <c r="O201" s="4"/>
      <c r="P201" s="4"/>
      <c r="Q201" s="4"/>
    </row>
    <row r="202" spans="1:17">
      <c r="A202" s="4"/>
      <c r="B202" s="4"/>
      <c r="C202" s="4"/>
      <c r="D202" s="4"/>
      <c r="E202" s="4"/>
      <c r="F202" s="4"/>
      <c r="G202" s="4"/>
      <c r="H202" s="4"/>
      <c r="I202" s="8"/>
      <c r="J202" s="8"/>
      <c r="K202" s="8"/>
      <c r="L202" s="4"/>
      <c r="M202" s="4"/>
      <c r="N202" s="4"/>
      <c r="O202" s="4"/>
      <c r="P202" s="4"/>
      <c r="Q202" s="4"/>
    </row>
    <row r="203" spans="1:17">
      <c r="A203" s="4"/>
      <c r="B203" s="4"/>
      <c r="C203" s="4"/>
      <c r="D203" s="4"/>
      <c r="E203" s="4"/>
      <c r="F203" s="4"/>
      <c r="G203" s="4"/>
      <c r="H203" s="4"/>
      <c r="I203" s="8"/>
      <c r="J203" s="8"/>
      <c r="K203" s="8"/>
      <c r="L203" s="4"/>
      <c r="M203" s="4"/>
      <c r="N203" s="4"/>
      <c r="O203" s="4"/>
      <c r="P203" s="4"/>
      <c r="Q203" s="4"/>
    </row>
    <row r="204" spans="1:17">
      <c r="A204" s="4"/>
      <c r="B204" s="4"/>
      <c r="C204" s="4"/>
      <c r="D204" s="4"/>
      <c r="E204" s="4"/>
      <c r="F204" s="4"/>
      <c r="G204" s="4"/>
      <c r="H204" s="4"/>
      <c r="I204" s="8"/>
      <c r="J204" s="8"/>
      <c r="K204" s="8"/>
      <c r="L204" s="4"/>
      <c r="M204" s="4"/>
      <c r="N204" s="4"/>
      <c r="O204" s="4"/>
      <c r="P204" s="4"/>
      <c r="Q204" s="4"/>
    </row>
    <row r="205" spans="1:17">
      <c r="A205" s="4"/>
      <c r="B205" s="4"/>
      <c r="C205" s="4"/>
      <c r="D205" s="4"/>
      <c r="E205" s="4"/>
      <c r="F205" s="4"/>
      <c r="G205" s="4"/>
      <c r="H205" s="4"/>
      <c r="I205" s="8"/>
      <c r="J205" s="8"/>
      <c r="K205" s="8"/>
      <c r="L205" s="4"/>
      <c r="M205" s="4"/>
      <c r="N205" s="4"/>
      <c r="O205" s="4"/>
      <c r="P205" s="4"/>
      <c r="Q205" s="4"/>
    </row>
    <row r="206" spans="1:17">
      <c r="A206" s="4"/>
      <c r="B206" s="4"/>
      <c r="C206" s="4"/>
      <c r="D206" s="4"/>
      <c r="E206" s="4"/>
      <c r="F206" s="4"/>
      <c r="G206" s="4"/>
      <c r="H206" s="4"/>
      <c r="I206" s="8"/>
      <c r="J206" s="8"/>
      <c r="K206" s="8"/>
      <c r="L206" s="4"/>
      <c r="M206" s="4"/>
      <c r="N206" s="4"/>
      <c r="O206" s="4"/>
      <c r="P206" s="4"/>
      <c r="Q206" s="4"/>
    </row>
    <row r="207" spans="1:17">
      <c r="A207" s="4"/>
      <c r="B207" s="4"/>
      <c r="C207" s="4"/>
      <c r="D207" s="4"/>
      <c r="E207" s="4"/>
      <c r="F207" s="4"/>
      <c r="G207" s="4"/>
      <c r="H207" s="4"/>
      <c r="I207" s="8"/>
      <c r="J207" s="8"/>
      <c r="K207" s="8"/>
      <c r="L207" s="4"/>
      <c r="M207" s="4"/>
      <c r="N207" s="4"/>
      <c r="O207" s="4"/>
      <c r="P207" s="4"/>
      <c r="Q207" s="4"/>
    </row>
    <row r="208" spans="1:17">
      <c r="A208" s="4"/>
      <c r="B208" s="4"/>
      <c r="C208" s="4"/>
      <c r="D208" s="4"/>
      <c r="E208" s="4"/>
      <c r="F208" s="4"/>
      <c r="G208" s="4"/>
      <c r="H208" s="4"/>
      <c r="I208" s="8"/>
      <c r="J208" s="8"/>
      <c r="K208" s="8"/>
      <c r="L208" s="4"/>
      <c r="M208" s="4"/>
      <c r="N208" s="4"/>
      <c r="O208" s="4"/>
      <c r="P208" s="4"/>
      <c r="Q208" s="4"/>
    </row>
    <row r="209" spans="1:17">
      <c r="A209" s="4"/>
      <c r="B209" s="4"/>
      <c r="C209" s="4"/>
      <c r="D209" s="4"/>
      <c r="E209" s="4"/>
      <c r="F209" s="4"/>
      <c r="G209" s="4"/>
      <c r="H209" s="4"/>
      <c r="I209" s="8"/>
      <c r="J209" s="8"/>
      <c r="K209" s="8"/>
      <c r="L209" s="4"/>
      <c r="M209" s="4"/>
      <c r="N209" s="4"/>
      <c r="O209" s="4"/>
      <c r="P209" s="4"/>
      <c r="Q209" s="4"/>
    </row>
    <row r="210" spans="1:17">
      <c r="A210" s="4"/>
      <c r="B210" s="4"/>
      <c r="C210" s="4"/>
      <c r="D210" s="4"/>
      <c r="E210" s="4"/>
      <c r="F210" s="4"/>
      <c r="G210" s="4"/>
      <c r="H210" s="4"/>
      <c r="I210" s="8"/>
      <c r="J210" s="8"/>
      <c r="K210" s="8"/>
      <c r="L210" s="4"/>
      <c r="M210" s="4"/>
      <c r="N210" s="4"/>
      <c r="O210" s="4"/>
      <c r="P210" s="4"/>
      <c r="Q210" s="4"/>
    </row>
    <row r="211" spans="1:17">
      <c r="A211" s="4"/>
      <c r="B211" s="4"/>
      <c r="C211" s="4"/>
      <c r="D211" s="4"/>
      <c r="E211" s="4"/>
      <c r="F211" s="4"/>
      <c r="G211" s="4"/>
      <c r="H211" s="4"/>
      <c r="I211" s="8"/>
      <c r="J211" s="8"/>
      <c r="K211" s="8"/>
      <c r="L211" s="4"/>
      <c r="M211" s="4"/>
      <c r="N211" s="4"/>
      <c r="O211" s="4"/>
      <c r="P211" s="4"/>
      <c r="Q211" s="4"/>
    </row>
    <row r="212" spans="1:17">
      <c r="A212" s="4"/>
      <c r="B212" s="4"/>
      <c r="C212" s="4"/>
      <c r="D212" s="4"/>
      <c r="E212" s="4"/>
      <c r="F212" s="4"/>
      <c r="G212" s="4"/>
      <c r="H212" s="4"/>
      <c r="I212" s="8"/>
      <c r="J212" s="8"/>
      <c r="K212" s="8"/>
      <c r="L212" s="4"/>
      <c r="M212" s="4"/>
      <c r="N212" s="4"/>
      <c r="O212" s="4"/>
      <c r="P212" s="4"/>
      <c r="Q212" s="4"/>
    </row>
    <row r="213" spans="1:17">
      <c r="A213" s="4"/>
      <c r="B213" s="4"/>
      <c r="C213" s="4"/>
      <c r="D213" s="4"/>
      <c r="E213" s="4"/>
      <c r="F213" s="4"/>
      <c r="G213" s="4"/>
      <c r="H213" s="4"/>
      <c r="I213" s="8"/>
      <c r="J213" s="8"/>
      <c r="K213" s="8"/>
      <c r="L213" s="4"/>
      <c r="M213" s="4"/>
      <c r="N213" s="4"/>
      <c r="O213" s="4"/>
      <c r="P213" s="4"/>
      <c r="Q213" s="4"/>
    </row>
    <row r="214" spans="1:17">
      <c r="A214" s="4"/>
      <c r="B214" s="4"/>
      <c r="C214" s="4"/>
      <c r="D214" s="4"/>
      <c r="E214" s="4"/>
      <c r="F214" s="4"/>
      <c r="G214" s="4"/>
      <c r="H214" s="4"/>
      <c r="I214" s="8"/>
      <c r="J214" s="8"/>
      <c r="K214" s="8"/>
      <c r="L214" s="4"/>
      <c r="M214" s="4"/>
      <c r="N214" s="4"/>
      <c r="O214" s="4"/>
      <c r="P214" s="4"/>
      <c r="Q214" s="4"/>
    </row>
    <row r="215" spans="1:17">
      <c r="A215" s="4"/>
      <c r="B215" s="4"/>
      <c r="C215" s="4"/>
      <c r="D215" s="4"/>
      <c r="E215" s="4"/>
      <c r="F215" s="4"/>
      <c r="G215" s="4"/>
      <c r="H215" s="4"/>
      <c r="I215" s="8"/>
      <c r="J215" s="8"/>
      <c r="K215" s="8"/>
      <c r="L215" s="4"/>
      <c r="M215" s="4"/>
      <c r="N215" s="4"/>
      <c r="O215" s="4"/>
      <c r="P215" s="4"/>
      <c r="Q215" s="4"/>
    </row>
    <row r="216" spans="1:17">
      <c r="A216" s="4"/>
      <c r="B216" s="4"/>
      <c r="C216" s="4"/>
      <c r="D216" s="4"/>
      <c r="E216" s="4"/>
      <c r="F216" s="4"/>
      <c r="G216" s="4"/>
      <c r="H216" s="4"/>
      <c r="I216" s="8"/>
      <c r="J216" s="8"/>
      <c r="K216" s="8"/>
      <c r="L216" s="4"/>
      <c r="M216" s="4"/>
      <c r="N216" s="4"/>
      <c r="O216" s="4"/>
      <c r="P216" s="4"/>
      <c r="Q216" s="4"/>
    </row>
    <row r="217" spans="1:17">
      <c r="A217" s="4"/>
      <c r="B217" s="4"/>
      <c r="C217" s="4"/>
      <c r="D217" s="4"/>
      <c r="E217" s="4"/>
      <c r="F217" s="4"/>
      <c r="G217" s="4"/>
      <c r="H217" s="4"/>
      <c r="I217" s="8"/>
      <c r="J217" s="8"/>
      <c r="K217" s="8"/>
      <c r="L217" s="4"/>
      <c r="M217" s="4"/>
      <c r="N217" s="4"/>
      <c r="O217" s="4"/>
      <c r="P217" s="4"/>
      <c r="Q217" s="4"/>
    </row>
  </sheetData>
  <sheetProtection algorithmName="SHA-512" hashValue="ikMq/EsibkYvqb2tIEMCsxBgFUp51+ssuyS6U2hhpIoKqN6IYn0rimzRyFHsQRNu3XZrOAAT9oD6s+w6Kkyhqw==" saltValue="gDuZah4rQsHZpE+UYdjozg==" spinCount="100000" sheet="1" objects="1" scenarios="1"/>
  <mergeCells count="15">
    <mergeCell ref="A1:T1"/>
    <mergeCell ref="F2:F4"/>
    <mergeCell ref="G2:G4"/>
    <mergeCell ref="O3:Q3"/>
    <mergeCell ref="R3:T3"/>
    <mergeCell ref="I2:K2"/>
    <mergeCell ref="L2:T2"/>
    <mergeCell ref="H2:H4"/>
    <mergeCell ref="L3:N3"/>
    <mergeCell ref="I3:J3"/>
    <mergeCell ref="A2:A5"/>
    <mergeCell ref="B2:B5"/>
    <mergeCell ref="C2:C4"/>
    <mergeCell ref="D2:D4"/>
    <mergeCell ref="E2:E4"/>
  </mergeCells>
  <pageMargins left="0.7" right="0.7" top="0.75" bottom="0.75" header="0.3" footer="0.3"/>
  <pageSetup orientation="portrait" horizontalDpi="300" verticalDpi="30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uggestedDocument xmlns="02c7e64b-4f3d-402b-a9fd-e07d49becb32">true</SuggestedDocument>
    <i7c7954a6da6485baed72bf62adc9a98 xmlns="02c7e64b-4f3d-402b-a9fd-e07d49becb32">
      <Terms xmlns="http://schemas.microsoft.com/office/infopath/2007/PartnerControls"/>
    </i7c7954a6da6485baed72bf62adc9a98>
    <lb0c8933d6cc439796668a3c8f7729a7 xmlns="02c7e64b-4f3d-402b-a9fd-e07d49becb32">
      <Terms xmlns="http://schemas.microsoft.com/office/infopath/2007/PartnerControls"/>
    </lb0c8933d6cc439796668a3c8f7729a7>
    <SIZADocumentNumber xmlns="02c7e64b-4f3d-402b-a9fd-e07d49becb32" xsi:nil="true"/>
    <TaxCatchAll xmlns="02c7e64b-4f3d-402b-a9fd-e07d49becb32">
      <Value>13</Value>
    </TaxCatchAll>
    <cc7be7e4400b4b3e8e8dee769eded5de xmlns="02c7e64b-4f3d-402b-a9fd-e07d49becb32">
      <Terms xmlns="http://schemas.microsoft.com/office/infopath/2007/PartnerControls">
        <TermInfo xmlns="http://schemas.microsoft.com/office/infopath/2007/PartnerControls">
          <TermName xmlns="http://schemas.microsoft.com/office/infopath/2007/PartnerControls">Operations</TermName>
          <TermId xmlns="http://schemas.microsoft.com/office/infopath/2007/PartnerControls">e2841db0-b4d6-4af9-b98b-5d2b19874e18</TermId>
        </TermInfo>
      </Terms>
    </cc7be7e4400b4b3e8e8dee769eded5de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Company Document" ma:contentTypeID="0x0101006450AF52053E4366878046AAF3AB30AB000D489474509CA74F846B24CFFC1A5756" ma:contentTypeVersion="14" ma:contentTypeDescription="Basis of all company documents." ma:contentTypeScope="" ma:versionID="cf25d12b714495bbf88b25173c3488eb">
  <xsd:schema xmlns:xsd="http://www.w3.org/2001/XMLSchema" xmlns:xs="http://www.w3.org/2001/XMLSchema" xmlns:p="http://schemas.microsoft.com/office/2006/metadata/properties" xmlns:ns2="02c7e64b-4f3d-402b-a9fd-e07d49becb32" xmlns:ns3="6898f4c9-bdf1-4f55-8423-61bd055d9994" xmlns:ns4="ca9cb6b8-2e82-47da-9dc6-c64aef9c713e" targetNamespace="http://schemas.microsoft.com/office/2006/metadata/properties" ma:root="true" ma:fieldsID="3bc050a2484fd4256105db6899c3a7f5" ns2:_="" ns3:_="" ns4:_="">
    <xsd:import namespace="02c7e64b-4f3d-402b-a9fd-e07d49becb32"/>
    <xsd:import namespace="6898f4c9-bdf1-4f55-8423-61bd055d9994"/>
    <xsd:import namespace="ca9cb6b8-2e82-47da-9dc6-c64aef9c713e"/>
    <xsd:element name="properties">
      <xsd:complexType>
        <xsd:sequence>
          <xsd:element name="documentManagement">
            <xsd:complexType>
              <xsd:all>
                <xsd:element ref="ns2:SIZADocumentNumber" minOccurs="0"/>
                <xsd:element ref="ns2:i7c7954a6da6485baed72bf62adc9a98" minOccurs="0"/>
                <xsd:element ref="ns2:TaxCatchAll" minOccurs="0"/>
                <xsd:element ref="ns2:TaxCatchAllLabel" minOccurs="0"/>
                <xsd:element ref="ns2:cc7be7e4400b4b3e8e8dee769eded5de" minOccurs="0"/>
                <xsd:element ref="ns2:lb0c8933d6cc439796668a3c8f7729a7" minOccurs="0"/>
                <xsd:element ref="ns2:SuggestedDocument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c7e64b-4f3d-402b-a9fd-e07d49becb32" elementFormDefault="qualified">
    <xsd:import namespace="http://schemas.microsoft.com/office/2006/documentManagement/types"/>
    <xsd:import namespace="http://schemas.microsoft.com/office/infopath/2007/PartnerControls"/>
    <xsd:element name="SIZADocumentNumber" ma:index="8" nillable="true" ma:displayName="Document Number" ma:internalName="SIZADocumentNumber">
      <xsd:simpleType>
        <xsd:restriction base="dms:Text"/>
      </xsd:simpleType>
    </xsd:element>
    <xsd:element name="i7c7954a6da6485baed72bf62adc9a98" ma:index="9" nillable="true" ma:taxonomy="true" ma:internalName="i7c7954a6da6485baed72bf62adc9a98" ma:taxonomyFieldName="SIZADocumentType" ma:displayName="Document Type" ma:fieldId="{27c7954a-6da6-485b-aed7-2bf62adc9a98}" ma:sspId="f010a23a-bb52-4e9a-8614-5e3078a5f94d" ma:termSetId="f5074eab-6e66-4dde-b1c9-be956c7c3ee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10" nillable="true" ma:displayName="Taxonomy Catch All Column" ma:hidden="true" ma:list="{5615f3c7-14e0-423b-a7e8-e87dd16b3fa4}" ma:internalName="TaxCatchAll" ma:showField="CatchAllData" ma:web="02c7e64b-4f3d-402b-a9fd-e07d49becb3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hidden="true" ma:list="{5615f3c7-14e0-423b-a7e8-e87dd16b3fa4}" ma:internalName="TaxCatchAllLabel" ma:readOnly="true" ma:showField="CatchAllDataLabel" ma:web="02c7e64b-4f3d-402b-a9fd-e07d49becb3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cc7be7e4400b4b3e8e8dee769eded5de" ma:index="13" nillable="true" ma:taxonomy="true" ma:internalName="cc7be7e4400b4b3e8e8dee769eded5de" ma:taxonomyFieldName="SIZABusinessArea" ma:displayName="Department" ma:fieldId="{cc7be7e4-400b-4b3e-8e8d-ee769eded5de}" ma:sspId="f010a23a-bb52-4e9a-8614-5e3078a5f94d" ma:termSetId="a16b7763-60ac-4de9-aea4-a38eec74b54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lb0c8933d6cc439796668a3c8f7729a7" ma:index="15" nillable="true" ma:taxonomy="true" ma:internalName="lb0c8933d6cc439796668a3c8f7729a7" ma:taxonomyFieldName="SIZACompanyLocation" ma:displayName="Company Location" ma:fieldId="{5b0c8933-d6cc-4397-9666-8a3c8f7729a7}" ma:sspId="f010a23a-bb52-4e9a-8614-5e3078a5f94d" ma:termSetId="11c1e720-e982-466a-aacd-09d4c23fdbc0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uggestedDocument" ma:index="17" nillable="true" ma:displayName="Suggested Document" ma:default="0" ma:internalName="SuggestedDocument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98f4c9-bdf1-4f55-8423-61bd055d999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9cb6b8-2e82-47da-9dc6-c64aef9c713e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86D17A7-5198-404B-8141-F2627F7B2794}">
  <ds:schemaRefs>
    <ds:schemaRef ds:uri="http://schemas.microsoft.com/office/2006/metadata/properties"/>
    <ds:schemaRef ds:uri="http://schemas.microsoft.com/office/infopath/2007/PartnerControls"/>
    <ds:schemaRef ds:uri="02c7e64b-4f3d-402b-a9fd-e07d49becb32"/>
  </ds:schemaRefs>
</ds:datastoreItem>
</file>

<file path=customXml/itemProps2.xml><?xml version="1.0" encoding="utf-8"?>
<ds:datastoreItem xmlns:ds="http://schemas.openxmlformats.org/officeDocument/2006/customXml" ds:itemID="{64E32F13-937E-4090-9E3F-40566613AA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2c7e64b-4f3d-402b-a9fd-e07d49becb32"/>
    <ds:schemaRef ds:uri="6898f4c9-bdf1-4f55-8423-61bd055d9994"/>
    <ds:schemaRef ds:uri="ca9cb6b8-2e82-47da-9dc6-c64aef9c713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700EA08-9999-41EB-99CD-4BDCC925B55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Input Sheet</vt:lpstr>
      <vt:lpstr>Blends and Vessels List</vt:lpstr>
      <vt:lpstr>Bulker loading limits</vt:lpstr>
      <vt:lpstr>Stationary bulk equipment</vt:lpstr>
      <vt:lpstr>Weigh silo &amp; blend train</vt:lpstr>
      <vt:lpstr>Transport bulk equipment</vt:lpstr>
      <vt:lpstr>Notes</vt:lpstr>
      <vt:lpstr>All - 100% capacity (reference)</vt:lpstr>
      <vt:lpstr>DropDownList</vt:lpstr>
    </vt:vector>
  </TitlesOfParts>
  <Company>Sanjel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Niels Hansen</dc:creator>
  <cp:lastModifiedBy>Adam Wang</cp:lastModifiedBy>
  <cp:lastPrinted>2016-07-12T20:56:13Z</cp:lastPrinted>
  <dcterms:created xsi:type="dcterms:W3CDTF">2015-01-08T22:49:14Z</dcterms:created>
  <dcterms:modified xsi:type="dcterms:W3CDTF">2020-10-02T21:20:21Z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0x0101006450AF52053E4366878046AAF3AB30AB000D489474509CA74F846B24CFFC1A5756</vt:lpwstr>
  </property>
  <property fmtid="{D5CDD505-2E9C-101B-9397-08002B2CF9AE}" pid="3" name="SIZACompanyLocation">
    <vt:lpwstr/>
  </property>
  <property fmtid="{D5CDD505-2E9C-101B-9397-08002B2CF9AE}" pid="4" name="SIZADocumentType">
    <vt:lpwstr/>
  </property>
  <property fmtid="{D5CDD505-2E9C-101B-9397-08002B2CF9AE}" pid="5" name="SIZABusinessArea">
    <vt:lpwstr>13;#Operations|e2841db0-b4d6-4af9-b98b-5d2b19874e18</vt:lpwstr>
  </property>
</Properties>
</file>