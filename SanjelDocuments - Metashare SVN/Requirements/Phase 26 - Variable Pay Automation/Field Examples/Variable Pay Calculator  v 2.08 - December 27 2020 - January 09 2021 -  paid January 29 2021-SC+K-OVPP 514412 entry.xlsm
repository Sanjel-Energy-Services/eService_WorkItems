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Client\C$\Beth-info as of 19Jan2017\_CONFIDENTIAL\"/>
    </mc:Choice>
  </mc:AlternateContent>
  <bookViews>
    <workbookView xWindow="15180" yWindow="0" windowWidth="7860" windowHeight="10500" tabRatio="639" activeTab="1"/>
  </bookViews>
  <sheets>
    <sheet name="Start Here" sheetId="10" r:id="rId1"/>
    <sheet name="Pay Calcs" sheetId="7" r:id="rId2"/>
    <sheet name="Statements" sheetId="6" r:id="rId3"/>
    <sheet name="Payroll Summary" sheetId="12" state="hidden" r:id="rId4"/>
    <sheet name="WCB" sheetId="13" state="hidden" r:id="rId5"/>
    <sheet name="MBA Summary" sheetId="14" state="hidden" r:id="rId6"/>
    <sheet name="Schedule" sheetId="1" r:id="rId7"/>
  </sheets>
  <definedNames>
    <definedName name="BonusArea" localSheetId="5">AreasTable[Area]</definedName>
    <definedName name="BonusArea">AreasTable[Area]</definedName>
    <definedName name="BonusPositionList" localSheetId="5">Positions[Primary]</definedName>
    <definedName name="BonusPositionList" localSheetId="3">Positions[Primary]</definedName>
    <definedName name="BonusPositionList">Positions[]</definedName>
    <definedName name="BonusTypeList">Schedule!$X$3:$X$10</definedName>
    <definedName name="EmployeeNameList" localSheetId="5">Employees[Employee Name2]</definedName>
    <definedName name="EmployeeNameList" localSheetId="3">Employees[Employee Name2]</definedName>
    <definedName name="EmployeeNameList">Employees[Employee Name2]</definedName>
    <definedName name="LocationList" localSheetId="5">Locations[Location]</definedName>
    <definedName name="LocationList" localSheetId="3">Locations[Location]</definedName>
    <definedName name="LocationList">Locations[Location]</definedName>
    <definedName name="PayPeriodList" localSheetId="5">PayPeriods[Start]</definedName>
    <definedName name="PayPeriodList" localSheetId="3">PayPeriods[Start]</definedName>
    <definedName name="PayPeriodList">PayPeriods[Start]</definedName>
    <definedName name="PositionList_Indirect">INDIRECT(JobBonus[[#This Row],[SL]])</definedName>
    <definedName name="Primary">Schedule!$I$3:$I$13</definedName>
    <definedName name="_xlnm.Print_Area" localSheetId="1">'Pay Calcs'!$A$1:$Y$500</definedName>
    <definedName name="_xlnm.Print_Area" localSheetId="6">Schedule!$L$1:$R$23</definedName>
    <definedName name="Remedial">Schedule!$J$3:$J$13</definedName>
    <definedName name="ServiceLineList_Indirect">Positions[#Headers]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9" i="1" l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X7" i="7" l="1" a="1"/>
  <c r="X7" i="7" s="1"/>
  <c r="X8" i="7" a="1"/>
  <c r="X8" i="7" s="1"/>
  <c r="X9" i="7" a="1"/>
  <c r="X9" i="7" s="1"/>
  <c r="X10" i="7" a="1"/>
  <c r="X10" i="7" s="1"/>
  <c r="X11" i="7" a="1"/>
  <c r="X11" i="7" s="1"/>
  <c r="X12" i="7" a="1"/>
  <c r="X12" i="7" s="1"/>
  <c r="X13" i="7" a="1"/>
  <c r="X13" i="7" s="1"/>
  <c r="X14" i="7" a="1"/>
  <c r="X14" i="7" s="1"/>
  <c r="X15" i="7" a="1"/>
  <c r="X15" i="7" s="1"/>
  <c r="X16" i="7" a="1"/>
  <c r="X16" i="7" s="1"/>
  <c r="X17" i="7" a="1"/>
  <c r="X17" i="7" s="1"/>
  <c r="X18" i="7" a="1"/>
  <c r="X18" i="7" s="1"/>
  <c r="X19" i="7" a="1"/>
  <c r="X19" i="7" s="1"/>
  <c r="X20" i="7" a="1"/>
  <c r="X20" i="7" s="1"/>
  <c r="X21" i="7" a="1"/>
  <c r="X21" i="7" s="1"/>
  <c r="X22" i="7" a="1"/>
  <c r="X22" i="7" s="1"/>
  <c r="X23" i="7" a="1"/>
  <c r="X23" i="7" s="1"/>
  <c r="X24" i="7" a="1"/>
  <c r="X24" i="7" s="1"/>
  <c r="X25" i="7" a="1"/>
  <c r="X25" i="7" s="1"/>
  <c r="X26" i="7" a="1"/>
  <c r="X26" i="7" s="1"/>
  <c r="X27" i="7" a="1"/>
  <c r="X27" i="7" s="1"/>
  <c r="X28" i="7" a="1"/>
  <c r="X28" i="7" s="1"/>
  <c r="X29" i="7" a="1"/>
  <c r="X29" i="7" s="1"/>
  <c r="X30" i="7" a="1"/>
  <c r="X30" i="7" s="1"/>
  <c r="X31" i="7" a="1"/>
  <c r="X31" i="7" s="1"/>
  <c r="X32" i="7" a="1"/>
  <c r="X32" i="7" s="1"/>
  <c r="X33" i="7" a="1"/>
  <c r="X33" i="7" s="1"/>
  <c r="X34" i="7" a="1"/>
  <c r="X34" i="7" s="1"/>
  <c r="X35" i="7" a="1"/>
  <c r="X35" i="7" s="1"/>
  <c r="X36" i="7" a="1"/>
  <c r="X36" i="7" s="1"/>
  <c r="X37" i="7" a="1"/>
  <c r="X37" i="7" s="1"/>
  <c r="X38" i="7" a="1"/>
  <c r="X38" i="7" s="1"/>
  <c r="X39" i="7" a="1"/>
  <c r="X39" i="7" s="1"/>
  <c r="X40" i="7" a="1"/>
  <c r="X40" i="7" s="1"/>
  <c r="X41" i="7" a="1"/>
  <c r="X41" i="7" s="1"/>
  <c r="X42" i="7" a="1"/>
  <c r="X42" i="7" s="1"/>
  <c r="X43" i="7" a="1"/>
  <c r="X43" i="7" s="1"/>
  <c r="X44" i="7" a="1"/>
  <c r="X44" i="7" s="1"/>
  <c r="X45" i="7" a="1"/>
  <c r="X45" i="7" s="1"/>
  <c r="X46" i="7" a="1"/>
  <c r="X46" i="7" s="1"/>
  <c r="X47" i="7" a="1"/>
  <c r="X47" i="7" s="1"/>
  <c r="X48" i="7" a="1"/>
  <c r="X48" i="7" s="1"/>
  <c r="X49" i="7" a="1"/>
  <c r="X49" i="7" s="1"/>
  <c r="X50" i="7" a="1"/>
  <c r="X50" i="7" s="1"/>
  <c r="X51" i="7" a="1"/>
  <c r="X51" i="7" s="1"/>
  <c r="X52" i="7" a="1"/>
  <c r="X52" i="7" s="1"/>
  <c r="X53" i="7" a="1"/>
  <c r="X53" i="7" s="1"/>
  <c r="X54" i="7" a="1"/>
  <c r="X54" i="7" s="1"/>
  <c r="X55" i="7" a="1"/>
  <c r="X55" i="7" s="1"/>
  <c r="X56" i="7" a="1"/>
  <c r="X56" i="7" s="1"/>
  <c r="X57" i="7" a="1"/>
  <c r="X57" i="7" s="1"/>
  <c r="X58" i="7" a="1"/>
  <c r="X58" i="7" s="1"/>
  <c r="X59" i="7" a="1"/>
  <c r="X59" i="7" s="1"/>
  <c r="X60" i="7" a="1"/>
  <c r="X60" i="7" s="1"/>
  <c r="X61" i="7" a="1"/>
  <c r="X61" i="7" s="1"/>
  <c r="X62" i="7" a="1"/>
  <c r="X62" i="7" s="1"/>
  <c r="X63" i="7" a="1"/>
  <c r="X63" i="7" s="1"/>
  <c r="X64" i="7" a="1"/>
  <c r="X64" i="7" s="1"/>
  <c r="X65" i="7" a="1"/>
  <c r="X65" i="7" s="1"/>
  <c r="X66" i="7" a="1"/>
  <c r="X66" i="7" s="1"/>
  <c r="X67" i="7" a="1"/>
  <c r="X67" i="7" s="1"/>
  <c r="X68" i="7" a="1"/>
  <c r="X68" i="7" s="1"/>
  <c r="X69" i="7" a="1"/>
  <c r="X69" i="7" s="1"/>
  <c r="X70" i="7" a="1"/>
  <c r="X70" i="7" s="1"/>
  <c r="X71" i="7" a="1"/>
  <c r="X71" i="7" s="1"/>
  <c r="X72" i="7" a="1"/>
  <c r="X72" i="7" s="1"/>
  <c r="X73" i="7" a="1"/>
  <c r="X73" i="7" s="1"/>
  <c r="X74" i="7" a="1"/>
  <c r="X74" i="7" s="1"/>
  <c r="X75" i="7" a="1"/>
  <c r="X75" i="7" s="1"/>
  <c r="X76" i="7" a="1"/>
  <c r="X76" i="7" s="1"/>
  <c r="X77" i="7" a="1"/>
  <c r="X77" i="7" s="1"/>
  <c r="X78" i="7" a="1"/>
  <c r="X78" i="7" s="1"/>
  <c r="X79" i="7" a="1"/>
  <c r="X79" i="7" s="1"/>
  <c r="X80" i="7" a="1"/>
  <c r="X80" i="7" s="1"/>
  <c r="X81" i="7" a="1"/>
  <c r="X81" i="7" s="1"/>
  <c r="X82" i="7" a="1"/>
  <c r="X82" i="7" s="1"/>
  <c r="X83" i="7" a="1"/>
  <c r="X83" i="7" s="1"/>
  <c r="X84" i="7" a="1"/>
  <c r="X84" i="7" s="1"/>
  <c r="X85" i="7" a="1"/>
  <c r="X85" i="7" s="1"/>
  <c r="X86" i="7" a="1"/>
  <c r="X86" i="7" s="1"/>
  <c r="X87" i="7" a="1"/>
  <c r="X87" i="7" s="1"/>
  <c r="X88" i="7" a="1"/>
  <c r="X88" i="7" s="1"/>
  <c r="X89" i="7" a="1"/>
  <c r="X89" i="7" s="1"/>
  <c r="X90" i="7" a="1"/>
  <c r="X90" i="7" s="1"/>
  <c r="X91" i="7" a="1"/>
  <c r="X91" i="7" s="1"/>
  <c r="X92" i="7" a="1"/>
  <c r="X92" i="7" s="1"/>
  <c r="X93" i="7" a="1"/>
  <c r="X93" i="7" s="1"/>
  <c r="X94" i="7" a="1"/>
  <c r="X94" i="7" s="1"/>
  <c r="X95" i="7" a="1"/>
  <c r="X95" i="7" s="1"/>
  <c r="X96" i="7" a="1"/>
  <c r="X96" i="7" s="1"/>
  <c r="X97" i="7" a="1"/>
  <c r="X97" i="7" s="1"/>
  <c r="X98" i="7" a="1"/>
  <c r="X98" i="7" s="1"/>
  <c r="X99" i="7" a="1"/>
  <c r="X99" i="7" s="1"/>
  <c r="X100" i="7" a="1"/>
  <c r="X100" i="7" s="1"/>
  <c r="X101" i="7" a="1"/>
  <c r="X101" i="7" s="1"/>
  <c r="X102" i="7" a="1"/>
  <c r="X102" i="7" s="1"/>
  <c r="X103" i="7" a="1"/>
  <c r="X103" i="7" s="1"/>
  <c r="X104" i="7" a="1"/>
  <c r="X104" i="7" s="1"/>
  <c r="X105" i="7" a="1"/>
  <c r="X105" i="7" s="1"/>
  <c r="X106" i="7" a="1"/>
  <c r="X106" i="7" s="1"/>
  <c r="X107" i="7" a="1"/>
  <c r="X107" i="7" s="1"/>
  <c r="X108" i="7" a="1"/>
  <c r="X108" i="7" s="1"/>
  <c r="X109" i="7" a="1"/>
  <c r="X109" i="7" s="1"/>
  <c r="X110" i="7" a="1"/>
  <c r="X110" i="7" s="1"/>
  <c r="X111" i="7" a="1"/>
  <c r="X111" i="7" s="1"/>
  <c r="X112" i="7" a="1"/>
  <c r="X112" i="7" s="1"/>
  <c r="X113" i="7" a="1"/>
  <c r="X113" i="7" s="1"/>
  <c r="X114" i="7" a="1"/>
  <c r="X114" i="7" s="1"/>
  <c r="X115" i="7" a="1"/>
  <c r="X115" i="7" s="1"/>
  <c r="X116" i="7" a="1"/>
  <c r="X116" i="7" s="1"/>
  <c r="X117" i="7" a="1"/>
  <c r="X117" i="7" s="1"/>
  <c r="X118" i="7" a="1"/>
  <c r="X118" i="7" s="1"/>
  <c r="X119" i="7" a="1"/>
  <c r="X119" i="7" s="1"/>
  <c r="X120" i="7" a="1"/>
  <c r="X120" i="7" s="1"/>
  <c r="X121" i="7" a="1"/>
  <c r="X121" i="7" s="1"/>
  <c r="X122" i="7" a="1"/>
  <c r="X122" i="7" s="1"/>
  <c r="X123" i="7" a="1"/>
  <c r="X123" i="7" s="1"/>
  <c r="X124" i="7" a="1"/>
  <c r="X124" i="7" s="1"/>
  <c r="X125" i="7" a="1"/>
  <c r="X125" i="7" s="1"/>
  <c r="X126" i="7" a="1"/>
  <c r="X126" i="7" s="1"/>
  <c r="X127" i="7" a="1"/>
  <c r="X127" i="7" s="1"/>
  <c r="X128" i="7" a="1"/>
  <c r="X128" i="7" s="1"/>
  <c r="X129" i="7" a="1"/>
  <c r="X129" i="7" s="1"/>
  <c r="X130" i="7" a="1"/>
  <c r="X130" i="7" s="1"/>
  <c r="X131" i="7" a="1"/>
  <c r="X131" i="7" s="1"/>
  <c r="X132" i="7" a="1"/>
  <c r="X132" i="7" s="1"/>
  <c r="X133" i="7" a="1"/>
  <c r="X133" i="7" s="1"/>
  <c r="X134" i="7" a="1"/>
  <c r="X134" i="7" s="1"/>
  <c r="X135" i="7" a="1"/>
  <c r="X135" i="7" s="1"/>
  <c r="X136" i="7" a="1"/>
  <c r="X136" i="7" s="1"/>
  <c r="X137" i="7" a="1"/>
  <c r="X137" i="7" s="1"/>
  <c r="X138" i="7" a="1"/>
  <c r="X138" i="7" s="1"/>
  <c r="X139" i="7" a="1"/>
  <c r="X139" i="7" s="1"/>
  <c r="X140" i="7" a="1"/>
  <c r="X140" i="7" s="1"/>
  <c r="X141" i="7" a="1"/>
  <c r="X141" i="7" s="1"/>
  <c r="X142" i="7" a="1"/>
  <c r="X142" i="7" s="1"/>
  <c r="X143" i="7" a="1"/>
  <c r="X143" i="7" s="1"/>
  <c r="X144" i="7" a="1"/>
  <c r="X144" i="7" s="1"/>
  <c r="X145" i="7" a="1"/>
  <c r="X145" i="7" s="1"/>
  <c r="X146" i="7" a="1"/>
  <c r="X146" i="7" s="1"/>
  <c r="X147" i="7" a="1"/>
  <c r="X147" i="7" s="1"/>
  <c r="X148" i="7" a="1"/>
  <c r="X148" i="7" s="1"/>
  <c r="X149" i="7" a="1"/>
  <c r="X149" i="7" s="1"/>
  <c r="X150" i="7" a="1"/>
  <c r="X150" i="7" s="1"/>
  <c r="X151" i="7" a="1"/>
  <c r="X151" i="7" s="1"/>
  <c r="X152" i="7" a="1"/>
  <c r="X152" i="7" s="1"/>
  <c r="X153" i="7" a="1"/>
  <c r="X153" i="7" s="1"/>
  <c r="X154" i="7" a="1"/>
  <c r="X154" i="7" s="1"/>
  <c r="X155" i="7" a="1"/>
  <c r="X155" i="7" s="1"/>
  <c r="X156" i="7" a="1"/>
  <c r="X156" i="7" s="1"/>
  <c r="X157" i="7" a="1"/>
  <c r="X157" i="7" s="1"/>
  <c r="X158" i="7" a="1"/>
  <c r="X158" i="7" s="1"/>
  <c r="X159" i="7" a="1"/>
  <c r="X159" i="7" s="1"/>
  <c r="X160" i="7" a="1"/>
  <c r="X160" i="7" s="1"/>
  <c r="X161" i="7" a="1"/>
  <c r="X161" i="7" s="1"/>
  <c r="X162" i="7" a="1"/>
  <c r="X162" i="7" s="1"/>
  <c r="X163" i="7" a="1"/>
  <c r="X163" i="7" s="1"/>
  <c r="X164" i="7" a="1"/>
  <c r="X164" i="7" s="1"/>
  <c r="X165" i="7" a="1"/>
  <c r="X165" i="7" s="1"/>
  <c r="X166" i="7" a="1"/>
  <c r="X166" i="7" s="1"/>
  <c r="X167" i="7" a="1"/>
  <c r="X167" i="7" s="1"/>
  <c r="X168" i="7" a="1"/>
  <c r="X168" i="7" s="1"/>
  <c r="X169" i="7" a="1"/>
  <c r="X169" i="7" s="1"/>
  <c r="X170" i="7" a="1"/>
  <c r="X170" i="7" s="1"/>
  <c r="X171" i="7" a="1"/>
  <c r="X171" i="7" s="1"/>
  <c r="X172" i="7" a="1"/>
  <c r="X172" i="7" s="1"/>
  <c r="X173" i="7" a="1"/>
  <c r="X173" i="7" s="1"/>
  <c r="X174" i="7" a="1"/>
  <c r="X174" i="7" s="1"/>
  <c r="X175" i="7" a="1"/>
  <c r="X175" i="7" s="1"/>
  <c r="X176" i="7" a="1"/>
  <c r="X176" i="7" s="1"/>
  <c r="X177" i="7" a="1"/>
  <c r="X177" i="7" s="1"/>
  <c r="X178" i="7" a="1"/>
  <c r="X178" i="7" s="1"/>
  <c r="X179" i="7" a="1"/>
  <c r="X179" i="7" s="1"/>
  <c r="X180" i="7" a="1"/>
  <c r="X180" i="7" s="1"/>
  <c r="X181" i="7" a="1"/>
  <c r="X181" i="7" s="1"/>
  <c r="X182" i="7" a="1"/>
  <c r="X182" i="7" s="1"/>
  <c r="X183" i="7" a="1"/>
  <c r="X183" i="7" s="1"/>
  <c r="X184" i="7" a="1"/>
  <c r="X184" i="7" s="1"/>
  <c r="X185" i="7" a="1"/>
  <c r="X185" i="7" s="1"/>
  <c r="X186" i="7" a="1"/>
  <c r="X186" i="7" s="1"/>
  <c r="X187" i="7" a="1"/>
  <c r="X187" i="7" s="1"/>
  <c r="X188" i="7" a="1"/>
  <c r="X188" i="7" s="1"/>
  <c r="X189" i="7" a="1"/>
  <c r="X189" i="7" s="1"/>
  <c r="X190" i="7" a="1"/>
  <c r="X190" i="7" s="1"/>
  <c r="X191" i="7" a="1"/>
  <c r="X191" i="7" s="1"/>
  <c r="X192" i="7" a="1"/>
  <c r="X192" i="7" s="1"/>
  <c r="X193" i="7" a="1"/>
  <c r="X193" i="7" s="1"/>
  <c r="X194" i="7" a="1"/>
  <c r="X194" i="7" s="1"/>
  <c r="X195" i="7" a="1"/>
  <c r="X195" i="7" s="1"/>
  <c r="X196" i="7" a="1"/>
  <c r="X196" i="7" s="1"/>
  <c r="X197" i="7" a="1"/>
  <c r="X197" i="7" s="1"/>
  <c r="X198" i="7" a="1"/>
  <c r="X198" i="7" s="1"/>
  <c r="X199" i="7" a="1"/>
  <c r="X199" i="7" s="1"/>
  <c r="X200" i="7" a="1"/>
  <c r="X200" i="7" s="1"/>
  <c r="X201" i="7" a="1"/>
  <c r="X201" i="7" s="1"/>
  <c r="X202" i="7" a="1"/>
  <c r="X202" i="7" s="1"/>
  <c r="X203" i="7" a="1"/>
  <c r="X203" i="7" s="1"/>
  <c r="X204" i="7" a="1"/>
  <c r="X204" i="7" s="1"/>
  <c r="X205" i="7" a="1"/>
  <c r="X205" i="7" s="1"/>
  <c r="X206" i="7" a="1"/>
  <c r="X206" i="7" s="1"/>
  <c r="X207" i="7" a="1"/>
  <c r="X207" i="7" s="1"/>
  <c r="X208" i="7" a="1"/>
  <c r="X208" i="7" s="1"/>
  <c r="X209" i="7" a="1"/>
  <c r="X209" i="7" s="1"/>
  <c r="X210" i="7" a="1"/>
  <c r="X210" i="7" s="1"/>
  <c r="X211" i="7" a="1"/>
  <c r="X211" i="7" s="1"/>
  <c r="X212" i="7" a="1"/>
  <c r="X212" i="7" s="1"/>
  <c r="X213" i="7" a="1"/>
  <c r="X213" i="7" s="1"/>
  <c r="X214" i="7" a="1"/>
  <c r="X214" i="7" s="1"/>
  <c r="X215" i="7" a="1"/>
  <c r="X215" i="7" s="1"/>
  <c r="X216" i="7" a="1"/>
  <c r="X216" i="7" s="1"/>
  <c r="X217" i="7" a="1"/>
  <c r="X217" i="7" s="1"/>
  <c r="X218" i="7" a="1"/>
  <c r="X218" i="7" s="1"/>
  <c r="X219" i="7" a="1"/>
  <c r="X219" i="7" s="1"/>
  <c r="X220" i="7" a="1"/>
  <c r="X220" i="7" s="1"/>
  <c r="X221" i="7" a="1"/>
  <c r="X221" i="7" s="1"/>
  <c r="X222" i="7" a="1"/>
  <c r="X222" i="7" s="1"/>
  <c r="X223" i="7" a="1"/>
  <c r="X223" i="7" s="1"/>
  <c r="X224" i="7" a="1"/>
  <c r="X224" i="7" s="1"/>
  <c r="X225" i="7" a="1"/>
  <c r="X225" i="7" s="1"/>
  <c r="X226" i="7" a="1"/>
  <c r="X226" i="7" s="1"/>
  <c r="X227" i="7" a="1"/>
  <c r="X227" i="7" s="1"/>
  <c r="X228" i="7" a="1"/>
  <c r="X228" i="7" s="1"/>
  <c r="X229" i="7" a="1"/>
  <c r="X229" i="7" s="1"/>
  <c r="X230" i="7" a="1"/>
  <c r="X230" i="7" s="1"/>
  <c r="X231" i="7" a="1"/>
  <c r="X231" i="7" s="1"/>
  <c r="X232" i="7" a="1"/>
  <c r="X232" i="7" s="1"/>
  <c r="X233" i="7" a="1"/>
  <c r="X233" i="7" s="1"/>
  <c r="X234" i="7" a="1"/>
  <c r="X234" i="7" s="1"/>
  <c r="X235" i="7" a="1"/>
  <c r="X235" i="7" s="1"/>
  <c r="X236" i="7" a="1"/>
  <c r="X236" i="7" s="1"/>
  <c r="X237" i="7" a="1"/>
  <c r="X237" i="7" s="1"/>
  <c r="X238" i="7" a="1"/>
  <c r="X238" i="7" s="1"/>
  <c r="X239" i="7" a="1"/>
  <c r="X239" i="7" s="1"/>
  <c r="X240" i="7" a="1"/>
  <c r="X240" i="7" s="1"/>
  <c r="X241" i="7" a="1"/>
  <c r="X241" i="7" s="1"/>
  <c r="X242" i="7" a="1"/>
  <c r="X242" i="7" s="1"/>
  <c r="X243" i="7" a="1"/>
  <c r="X243" i="7" s="1"/>
  <c r="X244" i="7" a="1"/>
  <c r="X244" i="7" s="1"/>
  <c r="X245" i="7" a="1"/>
  <c r="X245" i="7" s="1"/>
  <c r="X246" i="7" a="1"/>
  <c r="X246" i="7" s="1"/>
  <c r="X247" i="7" a="1"/>
  <c r="X247" i="7" s="1"/>
  <c r="X248" i="7" a="1"/>
  <c r="X248" i="7" s="1"/>
  <c r="X249" i="7" a="1"/>
  <c r="X249" i="7" s="1"/>
  <c r="X250" i="7" a="1"/>
  <c r="X250" i="7" s="1"/>
  <c r="X251" i="7" a="1"/>
  <c r="X251" i="7" s="1"/>
  <c r="X252" i="7" a="1"/>
  <c r="X252" i="7" s="1"/>
  <c r="X253" i="7" a="1"/>
  <c r="X253" i="7" s="1"/>
  <c r="X254" i="7" a="1"/>
  <c r="X254" i="7" s="1"/>
  <c r="X255" i="7" a="1"/>
  <c r="X255" i="7" s="1"/>
  <c r="X256" i="7" a="1"/>
  <c r="X256" i="7" s="1"/>
  <c r="X257" i="7" a="1"/>
  <c r="X257" i="7" s="1"/>
  <c r="X258" i="7" a="1"/>
  <c r="X258" i="7" s="1"/>
  <c r="X259" i="7" a="1"/>
  <c r="X259" i="7" s="1"/>
  <c r="X260" i="7" a="1"/>
  <c r="X260" i="7" s="1"/>
  <c r="X261" i="7" a="1"/>
  <c r="X261" i="7" s="1"/>
  <c r="X262" i="7" a="1"/>
  <c r="X262" i="7" s="1"/>
  <c r="X263" i="7" a="1"/>
  <c r="X263" i="7" s="1"/>
  <c r="X264" i="7" a="1"/>
  <c r="X264" i="7" s="1"/>
  <c r="X265" i="7" a="1"/>
  <c r="X265" i="7" s="1"/>
  <c r="X266" i="7" a="1"/>
  <c r="X266" i="7" s="1"/>
  <c r="X267" i="7" a="1"/>
  <c r="X267" i="7" s="1"/>
  <c r="X268" i="7" a="1"/>
  <c r="X268" i="7" s="1"/>
  <c r="X269" i="7" a="1"/>
  <c r="X269" i="7" s="1"/>
  <c r="X270" i="7" a="1"/>
  <c r="X270" i="7" s="1"/>
  <c r="X271" i="7" a="1"/>
  <c r="X271" i="7" s="1"/>
  <c r="X272" i="7" a="1"/>
  <c r="X272" i="7" s="1"/>
  <c r="X273" i="7" a="1"/>
  <c r="X273" i="7" s="1"/>
  <c r="X274" i="7" a="1"/>
  <c r="X274" i="7" s="1"/>
  <c r="X275" i="7" a="1"/>
  <c r="X275" i="7" s="1"/>
  <c r="X276" i="7" a="1"/>
  <c r="X276" i="7" s="1"/>
  <c r="X277" i="7" a="1"/>
  <c r="X277" i="7" s="1"/>
  <c r="X278" i="7" a="1"/>
  <c r="X278" i="7" s="1"/>
  <c r="X279" i="7" a="1"/>
  <c r="X279" i="7" s="1"/>
  <c r="X280" i="7" a="1"/>
  <c r="X280" i="7" s="1"/>
  <c r="X281" i="7" a="1"/>
  <c r="X281" i="7" s="1"/>
  <c r="X282" i="7" a="1"/>
  <c r="X282" i="7" s="1"/>
  <c r="X283" i="7" a="1"/>
  <c r="X283" i="7" s="1"/>
  <c r="X284" i="7" a="1"/>
  <c r="X284" i="7" s="1"/>
  <c r="X285" i="7" a="1"/>
  <c r="X285" i="7" s="1"/>
  <c r="X286" i="7" a="1"/>
  <c r="X286" i="7" s="1"/>
  <c r="X287" i="7" a="1"/>
  <c r="X287" i="7" s="1"/>
  <c r="X288" i="7" a="1"/>
  <c r="X288" i="7" s="1"/>
  <c r="X289" i="7" a="1"/>
  <c r="X289" i="7" s="1"/>
  <c r="X290" i="7" a="1"/>
  <c r="X290" i="7" s="1"/>
  <c r="X291" i="7" a="1"/>
  <c r="X291" i="7" s="1"/>
  <c r="X292" i="7" a="1"/>
  <c r="X292" i="7" s="1"/>
  <c r="X293" i="7" a="1"/>
  <c r="X293" i="7" s="1"/>
  <c r="X294" i="7" a="1"/>
  <c r="X294" i="7" s="1"/>
  <c r="X295" i="7" a="1"/>
  <c r="X295" i="7" s="1"/>
  <c r="X296" i="7" a="1"/>
  <c r="X296" i="7" s="1"/>
  <c r="X297" i="7" a="1"/>
  <c r="X297" i="7" s="1"/>
  <c r="X298" i="7" a="1"/>
  <c r="X298" i="7" s="1"/>
  <c r="X299" i="7" a="1"/>
  <c r="X299" i="7" s="1"/>
  <c r="X300" i="7" a="1"/>
  <c r="X300" i="7" s="1"/>
  <c r="X301" i="7" a="1"/>
  <c r="X301" i="7" s="1"/>
  <c r="X302" i="7" a="1"/>
  <c r="X302" i="7" s="1"/>
  <c r="X303" i="7" a="1"/>
  <c r="X303" i="7" s="1"/>
  <c r="X304" i="7" a="1"/>
  <c r="X304" i="7" s="1"/>
  <c r="X305" i="7" a="1"/>
  <c r="X305" i="7" s="1"/>
  <c r="X306" i="7" a="1"/>
  <c r="X306" i="7" s="1"/>
  <c r="X307" i="7" a="1"/>
  <c r="X307" i="7" s="1"/>
  <c r="X308" i="7" a="1"/>
  <c r="X308" i="7" s="1"/>
  <c r="X309" i="7" a="1"/>
  <c r="X309" i="7" s="1"/>
  <c r="X310" i="7" a="1"/>
  <c r="X310" i="7" s="1"/>
  <c r="X311" i="7" a="1"/>
  <c r="X311" i="7" s="1"/>
  <c r="X312" i="7" a="1"/>
  <c r="X312" i="7" s="1"/>
  <c r="X313" i="7" a="1"/>
  <c r="X313" i="7" s="1"/>
  <c r="X314" i="7" a="1"/>
  <c r="X314" i="7" s="1"/>
  <c r="X315" i="7" a="1"/>
  <c r="X315" i="7" s="1"/>
  <c r="X316" i="7" a="1"/>
  <c r="X316" i="7" s="1"/>
  <c r="X317" i="7" a="1"/>
  <c r="X317" i="7" s="1"/>
  <c r="X318" i="7" a="1"/>
  <c r="X318" i="7" s="1"/>
  <c r="X319" i="7" a="1"/>
  <c r="X319" i="7" s="1"/>
  <c r="X320" i="7" a="1"/>
  <c r="X320" i="7" s="1"/>
  <c r="X321" i="7" a="1"/>
  <c r="X321" i="7" s="1"/>
  <c r="X322" i="7" a="1"/>
  <c r="X322" i="7" s="1"/>
  <c r="X323" i="7" a="1"/>
  <c r="X323" i="7" s="1"/>
  <c r="X324" i="7" a="1"/>
  <c r="X324" i="7" s="1"/>
  <c r="X325" i="7" a="1"/>
  <c r="X325" i="7" s="1"/>
  <c r="X326" i="7" a="1"/>
  <c r="X326" i="7" s="1"/>
  <c r="X327" i="7" a="1"/>
  <c r="X327" i="7" s="1"/>
  <c r="X328" i="7" a="1"/>
  <c r="X328" i="7" s="1"/>
  <c r="X329" i="7" a="1"/>
  <c r="X329" i="7" s="1"/>
  <c r="X330" i="7" a="1"/>
  <c r="X330" i="7" s="1"/>
  <c r="X331" i="7" a="1"/>
  <c r="X331" i="7" s="1"/>
  <c r="X332" i="7" a="1"/>
  <c r="X332" i="7" s="1"/>
  <c r="X333" i="7" a="1"/>
  <c r="X333" i="7" s="1"/>
  <c r="X334" i="7" a="1"/>
  <c r="X334" i="7" s="1"/>
  <c r="X335" i="7" a="1"/>
  <c r="X335" i="7" s="1"/>
  <c r="X336" i="7" a="1"/>
  <c r="X336" i="7" s="1"/>
  <c r="X337" i="7" a="1"/>
  <c r="X337" i="7" s="1"/>
  <c r="X338" i="7" a="1"/>
  <c r="X338" i="7" s="1"/>
  <c r="X339" i="7" a="1"/>
  <c r="X339" i="7" s="1"/>
  <c r="X340" i="7" a="1"/>
  <c r="X340" i="7" s="1"/>
  <c r="X341" i="7" a="1"/>
  <c r="X341" i="7" s="1"/>
  <c r="X342" i="7" a="1"/>
  <c r="X342" i="7" s="1"/>
  <c r="X343" i="7" a="1"/>
  <c r="X343" i="7" s="1"/>
  <c r="X344" i="7" a="1"/>
  <c r="X344" i="7" s="1"/>
  <c r="X345" i="7" a="1"/>
  <c r="X345" i="7" s="1"/>
  <c r="X346" i="7" a="1"/>
  <c r="X346" i="7" s="1"/>
  <c r="X347" i="7" a="1"/>
  <c r="X347" i="7" s="1"/>
  <c r="X348" i="7" a="1"/>
  <c r="X348" i="7" s="1"/>
  <c r="X349" i="7" a="1"/>
  <c r="X349" i="7" s="1"/>
  <c r="X350" i="7" a="1"/>
  <c r="X350" i="7" s="1"/>
  <c r="X351" i="7" a="1"/>
  <c r="X351" i="7" s="1"/>
  <c r="X352" i="7" a="1"/>
  <c r="X352" i="7" s="1"/>
  <c r="X353" i="7" a="1"/>
  <c r="X353" i="7" s="1"/>
  <c r="X354" i="7" a="1"/>
  <c r="X354" i="7" s="1"/>
  <c r="X355" i="7" a="1"/>
  <c r="X355" i="7" s="1"/>
  <c r="X356" i="7" a="1"/>
  <c r="X356" i="7" s="1"/>
  <c r="X357" i="7" a="1"/>
  <c r="X357" i="7" s="1"/>
  <c r="X358" i="7" a="1"/>
  <c r="X358" i="7" s="1"/>
  <c r="X359" i="7" a="1"/>
  <c r="X359" i="7" s="1"/>
  <c r="X360" i="7" a="1"/>
  <c r="X360" i="7" s="1"/>
  <c r="X361" i="7" a="1"/>
  <c r="X361" i="7" s="1"/>
  <c r="X362" i="7" a="1"/>
  <c r="X362" i="7" s="1"/>
  <c r="X363" i="7" a="1"/>
  <c r="X363" i="7" s="1"/>
  <c r="X364" i="7" a="1"/>
  <c r="X364" i="7" s="1"/>
  <c r="X365" i="7" a="1"/>
  <c r="X365" i="7" s="1"/>
  <c r="X366" i="7" a="1"/>
  <c r="X366" i="7" s="1"/>
  <c r="X367" i="7" a="1"/>
  <c r="X367" i="7" s="1"/>
  <c r="X368" i="7" a="1"/>
  <c r="X368" i="7" s="1"/>
  <c r="X369" i="7" a="1"/>
  <c r="X369" i="7" s="1"/>
  <c r="X370" i="7" a="1"/>
  <c r="X370" i="7" s="1"/>
  <c r="X371" i="7" a="1"/>
  <c r="X371" i="7" s="1"/>
  <c r="X372" i="7" a="1"/>
  <c r="X372" i="7" s="1"/>
  <c r="X373" i="7" a="1"/>
  <c r="X373" i="7" s="1"/>
  <c r="X374" i="7" a="1"/>
  <c r="X374" i="7" s="1"/>
  <c r="X375" i="7" a="1"/>
  <c r="X375" i="7" s="1"/>
  <c r="X376" i="7" a="1"/>
  <c r="X376" i="7" s="1"/>
  <c r="X377" i="7" a="1"/>
  <c r="X377" i="7" s="1"/>
  <c r="X378" i="7" a="1"/>
  <c r="X378" i="7" s="1"/>
  <c r="X379" i="7" a="1"/>
  <c r="X379" i="7" s="1"/>
  <c r="X380" i="7" a="1"/>
  <c r="X380" i="7" s="1"/>
  <c r="X381" i="7" a="1"/>
  <c r="X381" i="7" s="1"/>
  <c r="X382" i="7" a="1"/>
  <c r="X382" i="7" s="1"/>
  <c r="X383" i="7" a="1"/>
  <c r="X383" i="7" s="1"/>
  <c r="X384" i="7" a="1"/>
  <c r="X384" i="7" s="1"/>
  <c r="X385" i="7" a="1"/>
  <c r="X385" i="7" s="1"/>
  <c r="X386" i="7" a="1"/>
  <c r="X386" i="7" s="1"/>
  <c r="X387" i="7" a="1"/>
  <c r="X387" i="7" s="1"/>
  <c r="X388" i="7" a="1"/>
  <c r="X388" i="7" s="1"/>
  <c r="X389" i="7" a="1"/>
  <c r="X389" i="7" s="1"/>
  <c r="X390" i="7" a="1"/>
  <c r="X390" i="7" s="1"/>
  <c r="X391" i="7" a="1"/>
  <c r="X391" i="7" s="1"/>
  <c r="X392" i="7" a="1"/>
  <c r="X392" i="7" s="1"/>
  <c r="X393" i="7" a="1"/>
  <c r="X393" i="7" s="1"/>
  <c r="X394" i="7" a="1"/>
  <c r="X394" i="7" s="1"/>
  <c r="X395" i="7" a="1"/>
  <c r="X395" i="7" s="1"/>
  <c r="X396" i="7" a="1"/>
  <c r="X396" i="7" s="1"/>
  <c r="X397" i="7" a="1"/>
  <c r="X397" i="7" s="1"/>
  <c r="X398" i="7" a="1"/>
  <c r="X398" i="7" s="1"/>
  <c r="X399" i="7" a="1"/>
  <c r="X399" i="7" s="1"/>
  <c r="X400" i="7" a="1"/>
  <c r="X400" i="7" s="1"/>
  <c r="X401" i="7" a="1"/>
  <c r="X401" i="7" s="1"/>
  <c r="X402" i="7" a="1"/>
  <c r="X402" i="7" s="1"/>
  <c r="X403" i="7" a="1"/>
  <c r="X403" i="7" s="1"/>
  <c r="X404" i="7" a="1"/>
  <c r="X404" i="7" s="1"/>
  <c r="X405" i="7" a="1"/>
  <c r="X405" i="7" s="1"/>
  <c r="X406" i="7" a="1"/>
  <c r="X406" i="7" s="1"/>
  <c r="X407" i="7" a="1"/>
  <c r="X407" i="7" s="1"/>
  <c r="X408" i="7" a="1"/>
  <c r="X408" i="7" s="1"/>
  <c r="X409" i="7" a="1"/>
  <c r="X409" i="7" s="1"/>
  <c r="X410" i="7" a="1"/>
  <c r="X410" i="7" s="1"/>
  <c r="X411" i="7" a="1"/>
  <c r="X411" i="7" s="1"/>
  <c r="X412" i="7" a="1"/>
  <c r="X412" i="7" s="1"/>
  <c r="X413" i="7" a="1"/>
  <c r="X413" i="7" s="1"/>
  <c r="X414" i="7" a="1"/>
  <c r="X414" i="7" s="1"/>
  <c r="X415" i="7" a="1"/>
  <c r="X415" i="7" s="1"/>
  <c r="X416" i="7" a="1"/>
  <c r="X416" i="7" s="1"/>
  <c r="X417" i="7" a="1"/>
  <c r="X417" i="7" s="1"/>
  <c r="X418" i="7" a="1"/>
  <c r="X418" i="7" s="1"/>
  <c r="X419" i="7" a="1"/>
  <c r="X419" i="7" s="1"/>
  <c r="X420" i="7" a="1"/>
  <c r="X420" i="7" s="1"/>
  <c r="X421" i="7" a="1"/>
  <c r="X421" i="7" s="1"/>
  <c r="X422" i="7" a="1"/>
  <c r="X422" i="7" s="1"/>
  <c r="X423" i="7" a="1"/>
  <c r="X423" i="7" s="1"/>
  <c r="X424" i="7" a="1"/>
  <c r="X424" i="7" s="1"/>
  <c r="X425" i="7" a="1"/>
  <c r="X425" i="7" s="1"/>
  <c r="X426" i="7" a="1"/>
  <c r="X426" i="7" s="1"/>
  <c r="X427" i="7" a="1"/>
  <c r="X427" i="7" s="1"/>
  <c r="X428" i="7" a="1"/>
  <c r="X428" i="7" s="1"/>
  <c r="X429" i="7" a="1"/>
  <c r="X429" i="7" s="1"/>
  <c r="X430" i="7" a="1"/>
  <c r="X430" i="7" s="1"/>
  <c r="X431" i="7" a="1"/>
  <c r="X431" i="7" s="1"/>
  <c r="X432" i="7" a="1"/>
  <c r="X432" i="7" s="1"/>
  <c r="X433" i="7" a="1"/>
  <c r="X433" i="7" s="1"/>
  <c r="X434" i="7" a="1"/>
  <c r="X434" i="7" s="1"/>
  <c r="X435" i="7" a="1"/>
  <c r="X435" i="7" s="1"/>
  <c r="X436" i="7" a="1"/>
  <c r="X436" i="7" s="1"/>
  <c r="X437" i="7" a="1"/>
  <c r="X437" i="7" s="1"/>
  <c r="X438" i="7" a="1"/>
  <c r="X438" i="7" s="1"/>
  <c r="X439" i="7" a="1"/>
  <c r="X439" i="7" s="1"/>
  <c r="X440" i="7" a="1"/>
  <c r="X440" i="7" s="1"/>
  <c r="X441" i="7" a="1"/>
  <c r="X441" i="7" s="1"/>
  <c r="X442" i="7" a="1"/>
  <c r="X442" i="7" s="1"/>
  <c r="X443" i="7" a="1"/>
  <c r="X443" i="7" s="1"/>
  <c r="X444" i="7" a="1"/>
  <c r="X444" i="7" s="1"/>
  <c r="X445" i="7" a="1"/>
  <c r="X445" i="7" s="1"/>
  <c r="X446" i="7" a="1"/>
  <c r="X446" i="7" s="1"/>
  <c r="X447" i="7" a="1"/>
  <c r="X447" i="7" s="1"/>
  <c r="X448" i="7" a="1"/>
  <c r="X448" i="7" s="1"/>
  <c r="X449" i="7" a="1"/>
  <c r="X449" i="7" s="1"/>
  <c r="X450" i="7" a="1"/>
  <c r="X450" i="7" s="1"/>
  <c r="X451" i="7" a="1"/>
  <c r="X451" i="7" s="1"/>
  <c r="X452" i="7" a="1"/>
  <c r="X452" i="7" s="1"/>
  <c r="X453" i="7" a="1"/>
  <c r="X453" i="7" s="1"/>
  <c r="X454" i="7" a="1"/>
  <c r="X454" i="7" s="1"/>
  <c r="X455" i="7" a="1"/>
  <c r="X455" i="7" s="1"/>
  <c r="X456" i="7" a="1"/>
  <c r="X456" i="7" s="1"/>
  <c r="X457" i="7" a="1"/>
  <c r="X457" i="7" s="1"/>
  <c r="X458" i="7" a="1"/>
  <c r="X458" i="7" s="1"/>
  <c r="X459" i="7" a="1"/>
  <c r="X459" i="7" s="1"/>
  <c r="X460" i="7" a="1"/>
  <c r="X460" i="7" s="1"/>
  <c r="X461" i="7" a="1"/>
  <c r="X461" i="7" s="1"/>
  <c r="X462" i="7" a="1"/>
  <c r="X462" i="7" s="1"/>
  <c r="X463" i="7" a="1"/>
  <c r="X463" i="7" s="1"/>
  <c r="X464" i="7" a="1"/>
  <c r="X464" i="7" s="1"/>
  <c r="X465" i="7" a="1"/>
  <c r="X465" i="7" s="1"/>
  <c r="X466" i="7" a="1"/>
  <c r="X466" i="7" s="1"/>
  <c r="X467" i="7" a="1"/>
  <c r="X467" i="7" s="1"/>
  <c r="X468" i="7" a="1"/>
  <c r="X468" i="7" s="1"/>
  <c r="X469" i="7" a="1"/>
  <c r="X469" i="7" s="1"/>
  <c r="X470" i="7" a="1"/>
  <c r="X470" i="7" s="1"/>
  <c r="X471" i="7" a="1"/>
  <c r="X471" i="7" s="1"/>
  <c r="X472" i="7" a="1"/>
  <c r="X472" i="7" s="1"/>
  <c r="X473" i="7" a="1"/>
  <c r="X473" i="7" s="1"/>
  <c r="X474" i="7" a="1"/>
  <c r="X474" i="7" s="1"/>
  <c r="X475" i="7" a="1"/>
  <c r="X475" i="7" s="1"/>
  <c r="X476" i="7" a="1"/>
  <c r="X476" i="7" s="1"/>
  <c r="X477" i="7" a="1"/>
  <c r="X477" i="7" s="1"/>
  <c r="X478" i="7" a="1"/>
  <c r="X478" i="7" s="1"/>
  <c r="X479" i="7" a="1"/>
  <c r="X479" i="7" s="1"/>
  <c r="X480" i="7" a="1"/>
  <c r="X480" i="7" s="1"/>
  <c r="X481" i="7" a="1"/>
  <c r="X481" i="7" s="1"/>
  <c r="X482" i="7" a="1"/>
  <c r="X482" i="7" s="1"/>
  <c r="X483" i="7" a="1"/>
  <c r="X483" i="7" s="1"/>
  <c r="X484" i="7" a="1"/>
  <c r="X484" i="7" s="1"/>
  <c r="X485" i="7" a="1"/>
  <c r="X485" i="7" s="1"/>
  <c r="X486" i="7" a="1"/>
  <c r="X486" i="7" s="1"/>
  <c r="X487" i="7" a="1"/>
  <c r="X487" i="7" s="1"/>
  <c r="X488" i="7" a="1"/>
  <c r="X488" i="7" s="1"/>
  <c r="X489" i="7" a="1"/>
  <c r="X489" i="7" s="1"/>
  <c r="X490" i="7" a="1"/>
  <c r="X490" i="7" s="1"/>
  <c r="X491" i="7" a="1"/>
  <c r="X491" i="7" s="1"/>
  <c r="X492" i="7" a="1"/>
  <c r="X492" i="7" s="1"/>
  <c r="X493" i="7" a="1"/>
  <c r="X493" i="7" s="1"/>
  <c r="X494" i="7" a="1"/>
  <c r="X494" i="7" s="1"/>
  <c r="X495" i="7" a="1"/>
  <c r="X495" i="7" s="1"/>
  <c r="X496" i="7" a="1"/>
  <c r="X496" i="7" s="1"/>
  <c r="X497" i="7" a="1"/>
  <c r="X497" i="7" s="1"/>
  <c r="X498" i="7" a="1"/>
  <c r="X498" i="7" s="1"/>
  <c r="X499" i="7" a="1"/>
  <c r="X499" i="7" s="1"/>
  <c r="R74" i="1" l="1"/>
  <c r="R73" i="1"/>
  <c r="R72" i="1"/>
  <c r="R71" i="1"/>
  <c r="R70" i="1"/>
  <c r="R69" i="1"/>
  <c r="R68" i="1"/>
  <c r="R67" i="1"/>
  <c r="R66" i="1"/>
  <c r="R65" i="1"/>
  <c r="R64" i="1"/>
  <c r="R63" i="1"/>
  <c r="I9" i="7" l="1"/>
  <c r="J9" i="7"/>
  <c r="T7" i="7" a="1"/>
  <c r="T7" i="7" s="1"/>
  <c r="T8" i="7" a="1"/>
  <c r="T8" i="7" s="1"/>
  <c r="T9" i="7" a="1"/>
  <c r="T9" i="7" s="1"/>
  <c r="T10" i="7" a="1"/>
  <c r="T10" i="7" s="1"/>
  <c r="T11" i="7" a="1"/>
  <c r="T11" i="7" s="1"/>
  <c r="T12" i="7" a="1"/>
  <c r="T12" i="7" s="1"/>
  <c r="T13" i="7" a="1"/>
  <c r="T13" i="7" s="1"/>
  <c r="T14" i="7" a="1"/>
  <c r="T14" i="7" s="1"/>
  <c r="T15" i="7" a="1"/>
  <c r="T15" i="7" s="1"/>
  <c r="T16" i="7" a="1"/>
  <c r="T16" i="7" s="1"/>
  <c r="T17" i="7" a="1"/>
  <c r="T17" i="7" s="1"/>
  <c r="T18" i="7" a="1"/>
  <c r="T18" i="7" s="1"/>
  <c r="T19" i="7" a="1"/>
  <c r="T19" i="7" s="1"/>
  <c r="T20" i="7" a="1"/>
  <c r="T20" i="7" s="1"/>
  <c r="T21" i="7" a="1"/>
  <c r="T21" i="7" s="1"/>
  <c r="T22" i="7" a="1"/>
  <c r="T22" i="7" s="1"/>
  <c r="T23" i="7" a="1"/>
  <c r="T23" i="7" s="1"/>
  <c r="T24" i="7" a="1"/>
  <c r="T24" i="7" s="1"/>
  <c r="T25" i="7" a="1"/>
  <c r="T25" i="7" s="1"/>
  <c r="T26" i="7" a="1"/>
  <c r="T26" i="7" s="1"/>
  <c r="T27" i="7" a="1"/>
  <c r="T27" i="7" s="1"/>
  <c r="T28" i="7" a="1"/>
  <c r="T28" i="7" s="1"/>
  <c r="T29" i="7" a="1"/>
  <c r="T29" i="7" s="1"/>
  <c r="T30" i="7" a="1"/>
  <c r="T30" i="7" s="1"/>
  <c r="T31" i="7" a="1"/>
  <c r="T31" i="7" s="1"/>
  <c r="T32" i="7" a="1"/>
  <c r="T32" i="7" s="1"/>
  <c r="T33" i="7" a="1"/>
  <c r="T33" i="7" s="1"/>
  <c r="T34" i="7" a="1"/>
  <c r="T34" i="7" s="1"/>
  <c r="T35" i="7" a="1"/>
  <c r="T35" i="7" s="1"/>
  <c r="T36" i="7" a="1"/>
  <c r="T36" i="7" s="1"/>
  <c r="T37" i="7" a="1"/>
  <c r="T37" i="7" s="1"/>
  <c r="T38" i="7" a="1"/>
  <c r="T38" i="7" s="1"/>
  <c r="T39" i="7" a="1"/>
  <c r="T39" i="7" s="1"/>
  <c r="T40" i="7" a="1"/>
  <c r="T40" i="7" s="1"/>
  <c r="T41" i="7" a="1"/>
  <c r="T41" i="7" s="1"/>
  <c r="T42" i="7" a="1"/>
  <c r="T42" i="7" s="1"/>
  <c r="T43" i="7" a="1"/>
  <c r="T43" i="7" s="1"/>
  <c r="T44" i="7" a="1"/>
  <c r="T44" i="7" s="1"/>
  <c r="T45" i="7" a="1"/>
  <c r="T45" i="7" s="1"/>
  <c r="T46" i="7" a="1"/>
  <c r="T46" i="7" s="1"/>
  <c r="T47" i="7" a="1"/>
  <c r="T47" i="7" s="1"/>
  <c r="T48" i="7" a="1"/>
  <c r="T48" i="7" s="1"/>
  <c r="T49" i="7" a="1"/>
  <c r="T49" i="7" s="1"/>
  <c r="T50" i="7" a="1"/>
  <c r="T50" i="7" s="1"/>
  <c r="T51" i="7" a="1"/>
  <c r="T51" i="7" s="1"/>
  <c r="T52" i="7" a="1"/>
  <c r="T52" i="7" s="1"/>
  <c r="T53" i="7" a="1"/>
  <c r="T53" i="7" s="1"/>
  <c r="T54" i="7" a="1"/>
  <c r="T54" i="7" s="1"/>
  <c r="T55" i="7" a="1"/>
  <c r="T55" i="7" s="1"/>
  <c r="T56" i="7" a="1"/>
  <c r="T56" i="7" s="1"/>
  <c r="T57" i="7" a="1"/>
  <c r="T57" i="7" s="1"/>
  <c r="T58" i="7" a="1"/>
  <c r="T58" i="7" s="1"/>
  <c r="T59" i="7" a="1"/>
  <c r="T59" i="7" s="1"/>
  <c r="T60" i="7" a="1"/>
  <c r="T60" i="7" s="1"/>
  <c r="T61" i="7" a="1"/>
  <c r="T61" i="7" s="1"/>
  <c r="T62" i="7" a="1"/>
  <c r="T62" i="7" s="1"/>
  <c r="T63" i="7" a="1"/>
  <c r="T63" i="7" s="1"/>
  <c r="T64" i="7" a="1"/>
  <c r="T64" i="7" s="1"/>
  <c r="T65" i="7" a="1"/>
  <c r="T65" i="7" s="1"/>
  <c r="T66" i="7" a="1"/>
  <c r="T66" i="7" s="1"/>
  <c r="T67" i="7" a="1"/>
  <c r="T67" i="7" s="1"/>
  <c r="T68" i="7" a="1"/>
  <c r="T68" i="7" s="1"/>
  <c r="T69" i="7" a="1"/>
  <c r="T69" i="7" s="1"/>
  <c r="T70" i="7" a="1"/>
  <c r="T70" i="7" s="1"/>
  <c r="T71" i="7" a="1"/>
  <c r="T71" i="7" s="1"/>
  <c r="T72" i="7" a="1"/>
  <c r="T72" i="7" s="1"/>
  <c r="T73" i="7" a="1"/>
  <c r="T73" i="7" s="1"/>
  <c r="T74" i="7" a="1"/>
  <c r="T74" i="7" s="1"/>
  <c r="T75" i="7" a="1"/>
  <c r="T75" i="7" s="1"/>
  <c r="T76" i="7" a="1"/>
  <c r="T76" i="7" s="1"/>
  <c r="T77" i="7" a="1"/>
  <c r="T77" i="7" s="1"/>
  <c r="T78" i="7" a="1"/>
  <c r="T78" i="7" s="1"/>
  <c r="T79" i="7" a="1"/>
  <c r="T79" i="7" s="1"/>
  <c r="T80" i="7" a="1"/>
  <c r="T80" i="7" s="1"/>
  <c r="T81" i="7" a="1"/>
  <c r="T81" i="7" s="1"/>
  <c r="T82" i="7" a="1"/>
  <c r="T82" i="7" s="1"/>
  <c r="T83" i="7" a="1"/>
  <c r="T83" i="7" s="1"/>
  <c r="T84" i="7" a="1"/>
  <c r="T84" i="7" s="1"/>
  <c r="T85" i="7" a="1"/>
  <c r="T85" i="7" s="1"/>
  <c r="T86" i="7" a="1"/>
  <c r="T86" i="7" s="1"/>
  <c r="T87" i="7" a="1"/>
  <c r="T87" i="7" s="1"/>
  <c r="T88" i="7" a="1"/>
  <c r="T88" i="7" s="1"/>
  <c r="T89" i="7" a="1"/>
  <c r="T89" i="7" s="1"/>
  <c r="T90" i="7" a="1"/>
  <c r="T90" i="7" s="1"/>
  <c r="T91" i="7" a="1"/>
  <c r="T91" i="7" s="1"/>
  <c r="T92" i="7" a="1"/>
  <c r="T92" i="7" s="1"/>
  <c r="T93" i="7" a="1"/>
  <c r="T93" i="7" s="1"/>
  <c r="T94" i="7" a="1"/>
  <c r="T94" i="7" s="1"/>
  <c r="T95" i="7" a="1"/>
  <c r="T95" i="7" s="1"/>
  <c r="T96" i="7" a="1"/>
  <c r="T96" i="7" s="1"/>
  <c r="T97" i="7" a="1"/>
  <c r="T97" i="7" s="1"/>
  <c r="T98" i="7" a="1"/>
  <c r="T98" i="7" s="1"/>
  <c r="T99" i="7" a="1"/>
  <c r="T99" i="7" s="1"/>
  <c r="T100" i="7" a="1"/>
  <c r="T100" i="7" s="1"/>
  <c r="T101" i="7" a="1"/>
  <c r="T101" i="7" s="1"/>
  <c r="T102" i="7" a="1"/>
  <c r="T102" i="7" s="1"/>
  <c r="T103" i="7" a="1"/>
  <c r="T103" i="7" s="1"/>
  <c r="T104" i="7" a="1"/>
  <c r="T104" i="7" s="1"/>
  <c r="T105" i="7" a="1"/>
  <c r="T105" i="7" s="1"/>
  <c r="T106" i="7" a="1"/>
  <c r="T106" i="7" s="1"/>
  <c r="T107" i="7" a="1"/>
  <c r="T107" i="7" s="1"/>
  <c r="T108" i="7" a="1"/>
  <c r="T108" i="7" s="1"/>
  <c r="T109" i="7" a="1"/>
  <c r="T109" i="7" s="1"/>
  <c r="T110" i="7" a="1"/>
  <c r="T110" i="7" s="1"/>
  <c r="T111" i="7" a="1"/>
  <c r="T111" i="7" s="1"/>
  <c r="T112" i="7" a="1"/>
  <c r="T112" i="7" s="1"/>
  <c r="T113" i="7" a="1"/>
  <c r="T113" i="7" s="1"/>
  <c r="T114" i="7" a="1"/>
  <c r="T114" i="7" s="1"/>
  <c r="T115" i="7" a="1"/>
  <c r="T115" i="7" s="1"/>
  <c r="T116" i="7" a="1"/>
  <c r="T116" i="7" s="1"/>
  <c r="T117" i="7" a="1"/>
  <c r="T117" i="7" s="1"/>
  <c r="T118" i="7" a="1"/>
  <c r="T118" i="7" s="1"/>
  <c r="T119" i="7" a="1"/>
  <c r="T119" i="7" s="1"/>
  <c r="T120" i="7" a="1"/>
  <c r="T120" i="7" s="1"/>
  <c r="T121" i="7" a="1"/>
  <c r="T121" i="7" s="1"/>
  <c r="T122" i="7" a="1"/>
  <c r="T122" i="7" s="1"/>
  <c r="T123" i="7" a="1"/>
  <c r="T123" i="7" s="1"/>
  <c r="T124" i="7" a="1"/>
  <c r="T124" i="7" s="1"/>
  <c r="T125" i="7" a="1"/>
  <c r="T125" i="7" s="1"/>
  <c r="T126" i="7" a="1"/>
  <c r="T126" i="7" s="1"/>
  <c r="T127" i="7" a="1"/>
  <c r="T127" i="7" s="1"/>
  <c r="T128" i="7" a="1"/>
  <c r="T128" i="7" s="1"/>
  <c r="T129" i="7" a="1"/>
  <c r="T129" i="7" s="1"/>
  <c r="T130" i="7" a="1"/>
  <c r="T130" i="7" s="1"/>
  <c r="T131" i="7" a="1"/>
  <c r="T131" i="7" s="1"/>
  <c r="T132" i="7" a="1"/>
  <c r="T132" i="7" s="1"/>
  <c r="T133" i="7" a="1"/>
  <c r="T133" i="7" s="1"/>
  <c r="T134" i="7" a="1"/>
  <c r="T134" i="7" s="1"/>
  <c r="T135" i="7" a="1"/>
  <c r="T135" i="7" s="1"/>
  <c r="T136" i="7" a="1"/>
  <c r="T136" i="7" s="1"/>
  <c r="T137" i="7" a="1"/>
  <c r="T137" i="7" s="1"/>
  <c r="T138" i="7" a="1"/>
  <c r="T138" i="7" s="1"/>
  <c r="T139" i="7" a="1"/>
  <c r="T139" i="7" s="1"/>
  <c r="T140" i="7" a="1"/>
  <c r="T140" i="7" s="1"/>
  <c r="T141" i="7" a="1"/>
  <c r="T141" i="7" s="1"/>
  <c r="T142" i="7" a="1"/>
  <c r="T142" i="7" s="1"/>
  <c r="T143" i="7" a="1"/>
  <c r="T143" i="7" s="1"/>
  <c r="T144" i="7" a="1"/>
  <c r="T144" i="7" s="1"/>
  <c r="T145" i="7" a="1"/>
  <c r="T145" i="7" s="1"/>
  <c r="T146" i="7" a="1"/>
  <c r="T146" i="7" s="1"/>
  <c r="T147" i="7" a="1"/>
  <c r="T147" i="7" s="1"/>
  <c r="T148" i="7" a="1"/>
  <c r="T148" i="7" s="1"/>
  <c r="T149" i="7" a="1"/>
  <c r="T149" i="7" s="1"/>
  <c r="T150" i="7" a="1"/>
  <c r="T150" i="7" s="1"/>
  <c r="T151" i="7" a="1"/>
  <c r="T151" i="7" s="1"/>
  <c r="T152" i="7" a="1"/>
  <c r="T152" i="7" s="1"/>
  <c r="T153" i="7" a="1"/>
  <c r="T153" i="7" s="1"/>
  <c r="T154" i="7" a="1"/>
  <c r="T154" i="7" s="1"/>
  <c r="T155" i="7" a="1"/>
  <c r="T155" i="7" s="1"/>
  <c r="T156" i="7" a="1"/>
  <c r="T156" i="7" s="1"/>
  <c r="T157" i="7" a="1"/>
  <c r="T157" i="7" s="1"/>
  <c r="T158" i="7" a="1"/>
  <c r="T158" i="7" s="1"/>
  <c r="T159" i="7" a="1"/>
  <c r="T159" i="7" s="1"/>
  <c r="T160" i="7" a="1"/>
  <c r="T160" i="7" s="1"/>
  <c r="T161" i="7" a="1"/>
  <c r="T161" i="7" s="1"/>
  <c r="T162" i="7" a="1"/>
  <c r="T162" i="7" s="1"/>
  <c r="T163" i="7" a="1"/>
  <c r="T163" i="7" s="1"/>
  <c r="T164" i="7" a="1"/>
  <c r="T164" i="7" s="1"/>
  <c r="T165" i="7" a="1"/>
  <c r="T165" i="7" s="1"/>
  <c r="T166" i="7" a="1"/>
  <c r="T166" i="7" s="1"/>
  <c r="T167" i="7" a="1"/>
  <c r="T167" i="7" s="1"/>
  <c r="T168" i="7" a="1"/>
  <c r="T168" i="7" s="1"/>
  <c r="T169" i="7" a="1"/>
  <c r="T169" i="7" s="1"/>
  <c r="T170" i="7" a="1"/>
  <c r="T170" i="7" s="1"/>
  <c r="T171" i="7" a="1"/>
  <c r="T171" i="7" s="1"/>
  <c r="T172" i="7" a="1"/>
  <c r="T172" i="7" s="1"/>
  <c r="T173" i="7" a="1"/>
  <c r="T173" i="7" s="1"/>
  <c r="T174" i="7" a="1"/>
  <c r="T174" i="7" s="1"/>
  <c r="T175" i="7" a="1"/>
  <c r="T175" i="7" s="1"/>
  <c r="T176" i="7" a="1"/>
  <c r="T176" i="7" s="1"/>
  <c r="T177" i="7" a="1"/>
  <c r="T177" i="7" s="1"/>
  <c r="T178" i="7" a="1"/>
  <c r="T178" i="7" s="1"/>
  <c r="T179" i="7" a="1"/>
  <c r="T179" i="7" s="1"/>
  <c r="T180" i="7" a="1"/>
  <c r="T180" i="7" s="1"/>
  <c r="T181" i="7" a="1"/>
  <c r="T181" i="7" s="1"/>
  <c r="T182" i="7" a="1"/>
  <c r="T182" i="7" s="1"/>
  <c r="T183" i="7" a="1"/>
  <c r="T183" i="7" s="1"/>
  <c r="T184" i="7" a="1"/>
  <c r="T184" i="7" s="1"/>
  <c r="T185" i="7" a="1"/>
  <c r="T185" i="7" s="1"/>
  <c r="T186" i="7" a="1"/>
  <c r="T186" i="7" s="1"/>
  <c r="T187" i="7" a="1"/>
  <c r="T187" i="7" s="1"/>
  <c r="T188" i="7" a="1"/>
  <c r="T188" i="7" s="1"/>
  <c r="T189" i="7" a="1"/>
  <c r="T189" i="7" s="1"/>
  <c r="T190" i="7" a="1"/>
  <c r="T190" i="7" s="1"/>
  <c r="T191" i="7" a="1"/>
  <c r="T191" i="7" s="1"/>
  <c r="T192" i="7" a="1"/>
  <c r="T192" i="7" s="1"/>
  <c r="T193" i="7" a="1"/>
  <c r="T193" i="7" s="1"/>
  <c r="T194" i="7" a="1"/>
  <c r="T194" i="7" s="1"/>
  <c r="T195" i="7" a="1"/>
  <c r="T195" i="7" s="1"/>
  <c r="T196" i="7" a="1"/>
  <c r="T196" i="7" s="1"/>
  <c r="T197" i="7" a="1"/>
  <c r="T197" i="7" s="1"/>
  <c r="T198" i="7" a="1"/>
  <c r="T198" i="7" s="1"/>
  <c r="T199" i="7" a="1"/>
  <c r="T199" i="7" s="1"/>
  <c r="T200" i="7" a="1"/>
  <c r="T200" i="7" s="1"/>
  <c r="T201" i="7" a="1"/>
  <c r="T201" i="7" s="1"/>
  <c r="T202" i="7" a="1"/>
  <c r="T202" i="7" s="1"/>
  <c r="T203" i="7" a="1"/>
  <c r="T203" i="7" s="1"/>
  <c r="T204" i="7" a="1"/>
  <c r="T204" i="7" s="1"/>
  <c r="T205" i="7" a="1"/>
  <c r="T205" i="7" s="1"/>
  <c r="T206" i="7" a="1"/>
  <c r="T206" i="7" s="1"/>
  <c r="T207" i="7" a="1"/>
  <c r="T207" i="7" s="1"/>
  <c r="T208" i="7" a="1"/>
  <c r="T208" i="7" s="1"/>
  <c r="T209" i="7" a="1"/>
  <c r="T209" i="7" s="1"/>
  <c r="T210" i="7" a="1"/>
  <c r="T210" i="7" s="1"/>
  <c r="T211" i="7" a="1"/>
  <c r="T211" i="7" s="1"/>
  <c r="T212" i="7" a="1"/>
  <c r="T212" i="7" s="1"/>
  <c r="T213" i="7" a="1"/>
  <c r="T213" i="7" s="1"/>
  <c r="T214" i="7" a="1"/>
  <c r="T214" i="7" s="1"/>
  <c r="T215" i="7" a="1"/>
  <c r="T215" i="7" s="1"/>
  <c r="T216" i="7" a="1"/>
  <c r="T216" i="7" s="1"/>
  <c r="T217" i="7" a="1"/>
  <c r="T217" i="7" s="1"/>
  <c r="T218" i="7" a="1"/>
  <c r="T218" i="7" s="1"/>
  <c r="T219" i="7" a="1"/>
  <c r="T219" i="7" s="1"/>
  <c r="T220" i="7" a="1"/>
  <c r="T220" i="7" s="1"/>
  <c r="T221" i="7" a="1"/>
  <c r="T221" i="7" s="1"/>
  <c r="T222" i="7" a="1"/>
  <c r="T222" i="7" s="1"/>
  <c r="T223" i="7" a="1"/>
  <c r="T223" i="7" s="1"/>
  <c r="T224" i="7" a="1"/>
  <c r="T224" i="7" s="1"/>
  <c r="T225" i="7" a="1"/>
  <c r="T225" i="7" s="1"/>
  <c r="T226" i="7" a="1"/>
  <c r="T226" i="7" s="1"/>
  <c r="T227" i="7" a="1"/>
  <c r="T227" i="7" s="1"/>
  <c r="T228" i="7" a="1"/>
  <c r="T228" i="7" s="1"/>
  <c r="T229" i="7" a="1"/>
  <c r="T229" i="7" s="1"/>
  <c r="T230" i="7" a="1"/>
  <c r="T230" i="7" s="1"/>
  <c r="T231" i="7" a="1"/>
  <c r="T231" i="7" s="1"/>
  <c r="T232" i="7" a="1"/>
  <c r="T232" i="7" s="1"/>
  <c r="T233" i="7" a="1"/>
  <c r="T233" i="7" s="1"/>
  <c r="T234" i="7" a="1"/>
  <c r="T234" i="7" s="1"/>
  <c r="T235" i="7" a="1"/>
  <c r="T235" i="7" s="1"/>
  <c r="T236" i="7" a="1"/>
  <c r="T236" i="7" s="1"/>
  <c r="T237" i="7" a="1"/>
  <c r="T237" i="7" s="1"/>
  <c r="T238" i="7" a="1"/>
  <c r="T238" i="7" s="1"/>
  <c r="T239" i="7" a="1"/>
  <c r="T239" i="7" s="1"/>
  <c r="T240" i="7" a="1"/>
  <c r="T240" i="7" s="1"/>
  <c r="T241" i="7" a="1"/>
  <c r="T241" i="7" s="1"/>
  <c r="T242" i="7" a="1"/>
  <c r="T242" i="7" s="1"/>
  <c r="T243" i="7" a="1"/>
  <c r="T243" i="7" s="1"/>
  <c r="T244" i="7" a="1"/>
  <c r="T244" i="7" s="1"/>
  <c r="T245" i="7" a="1"/>
  <c r="T245" i="7" s="1"/>
  <c r="T246" i="7" a="1"/>
  <c r="T246" i="7" s="1"/>
  <c r="T247" i="7" a="1"/>
  <c r="T247" i="7" s="1"/>
  <c r="T248" i="7" a="1"/>
  <c r="T248" i="7" s="1"/>
  <c r="T249" i="7" a="1"/>
  <c r="T249" i="7" s="1"/>
  <c r="T250" i="7" a="1"/>
  <c r="T250" i="7" s="1"/>
  <c r="T251" i="7" a="1"/>
  <c r="T251" i="7" s="1"/>
  <c r="T252" i="7" a="1"/>
  <c r="T252" i="7" s="1"/>
  <c r="T253" i="7" a="1"/>
  <c r="T253" i="7" s="1"/>
  <c r="T254" i="7" a="1"/>
  <c r="T254" i="7" s="1"/>
  <c r="T255" i="7" a="1"/>
  <c r="T255" i="7" s="1"/>
  <c r="T256" i="7" a="1"/>
  <c r="T256" i="7" s="1"/>
  <c r="T257" i="7" a="1"/>
  <c r="T257" i="7" s="1"/>
  <c r="T258" i="7" a="1"/>
  <c r="T258" i="7" s="1"/>
  <c r="T259" i="7" a="1"/>
  <c r="T259" i="7" s="1"/>
  <c r="T260" i="7" a="1"/>
  <c r="T260" i="7" s="1"/>
  <c r="T261" i="7" a="1"/>
  <c r="T261" i="7" s="1"/>
  <c r="T262" i="7" a="1"/>
  <c r="T262" i="7" s="1"/>
  <c r="T263" i="7" a="1"/>
  <c r="T263" i="7" s="1"/>
  <c r="T264" i="7" a="1"/>
  <c r="T264" i="7" s="1"/>
  <c r="T265" i="7" a="1"/>
  <c r="T265" i="7" s="1"/>
  <c r="T266" i="7" a="1"/>
  <c r="T266" i="7" s="1"/>
  <c r="T267" i="7" a="1"/>
  <c r="T267" i="7" s="1"/>
  <c r="T268" i="7" a="1"/>
  <c r="T268" i="7" s="1"/>
  <c r="T269" i="7" a="1"/>
  <c r="T269" i="7" s="1"/>
  <c r="T270" i="7" a="1"/>
  <c r="T270" i="7" s="1"/>
  <c r="T271" i="7" a="1"/>
  <c r="T271" i="7" s="1"/>
  <c r="T272" i="7" a="1"/>
  <c r="T272" i="7" s="1"/>
  <c r="T273" i="7" a="1"/>
  <c r="T273" i="7" s="1"/>
  <c r="T274" i="7" a="1"/>
  <c r="T274" i="7" s="1"/>
  <c r="T275" i="7" a="1"/>
  <c r="T275" i="7" s="1"/>
  <c r="T276" i="7" a="1"/>
  <c r="T276" i="7" s="1"/>
  <c r="T277" i="7" a="1"/>
  <c r="T277" i="7" s="1"/>
  <c r="T278" i="7" a="1"/>
  <c r="T278" i="7" s="1"/>
  <c r="T279" i="7" a="1"/>
  <c r="T279" i="7" s="1"/>
  <c r="T280" i="7" a="1"/>
  <c r="T280" i="7" s="1"/>
  <c r="T281" i="7" a="1"/>
  <c r="T281" i="7" s="1"/>
  <c r="T282" i="7" a="1"/>
  <c r="T282" i="7" s="1"/>
  <c r="T283" i="7" a="1"/>
  <c r="T283" i="7" s="1"/>
  <c r="T284" i="7" a="1"/>
  <c r="T284" i="7" s="1"/>
  <c r="T285" i="7" a="1"/>
  <c r="T285" i="7" s="1"/>
  <c r="T286" i="7" a="1"/>
  <c r="T286" i="7" s="1"/>
  <c r="T287" i="7" a="1"/>
  <c r="T287" i="7" s="1"/>
  <c r="T288" i="7" a="1"/>
  <c r="T288" i="7" s="1"/>
  <c r="T289" i="7" a="1"/>
  <c r="T289" i="7" s="1"/>
  <c r="T290" i="7" a="1"/>
  <c r="T290" i="7" s="1"/>
  <c r="T291" i="7" a="1"/>
  <c r="T291" i="7" s="1"/>
  <c r="T292" i="7" a="1"/>
  <c r="T292" i="7" s="1"/>
  <c r="T293" i="7" a="1"/>
  <c r="T293" i="7" s="1"/>
  <c r="T294" i="7" a="1"/>
  <c r="T294" i="7" s="1"/>
  <c r="T295" i="7" a="1"/>
  <c r="T295" i="7" s="1"/>
  <c r="T296" i="7" a="1"/>
  <c r="T296" i="7" s="1"/>
  <c r="T297" i="7" a="1"/>
  <c r="T297" i="7" s="1"/>
  <c r="T298" i="7" a="1"/>
  <c r="T298" i="7" s="1"/>
  <c r="T299" i="7" a="1"/>
  <c r="T299" i="7" s="1"/>
  <c r="T300" i="7" a="1"/>
  <c r="T300" i="7" s="1"/>
  <c r="T301" i="7" a="1"/>
  <c r="T301" i="7" s="1"/>
  <c r="T302" i="7" a="1"/>
  <c r="T302" i="7" s="1"/>
  <c r="T303" i="7" a="1"/>
  <c r="T303" i="7" s="1"/>
  <c r="T304" i="7" a="1"/>
  <c r="T304" i="7" s="1"/>
  <c r="T305" i="7" a="1"/>
  <c r="T305" i="7" s="1"/>
  <c r="T306" i="7" a="1"/>
  <c r="T306" i="7" s="1"/>
  <c r="T307" i="7" a="1"/>
  <c r="T307" i="7" s="1"/>
  <c r="T308" i="7" a="1"/>
  <c r="T308" i="7" s="1"/>
  <c r="T309" i="7" a="1"/>
  <c r="T309" i="7" s="1"/>
  <c r="T310" i="7" a="1"/>
  <c r="T310" i="7" s="1"/>
  <c r="T311" i="7" a="1"/>
  <c r="T311" i="7" s="1"/>
  <c r="T312" i="7" a="1"/>
  <c r="T312" i="7" s="1"/>
  <c r="T313" i="7" a="1"/>
  <c r="T313" i="7" s="1"/>
  <c r="T314" i="7" a="1"/>
  <c r="T314" i="7" s="1"/>
  <c r="T315" i="7" a="1"/>
  <c r="T315" i="7" s="1"/>
  <c r="T316" i="7" a="1"/>
  <c r="T316" i="7" s="1"/>
  <c r="T317" i="7" a="1"/>
  <c r="T317" i="7" s="1"/>
  <c r="T318" i="7" a="1"/>
  <c r="T318" i="7" s="1"/>
  <c r="T319" i="7" a="1"/>
  <c r="T319" i="7" s="1"/>
  <c r="T320" i="7" a="1"/>
  <c r="T320" i="7" s="1"/>
  <c r="T321" i="7" a="1"/>
  <c r="T321" i="7" s="1"/>
  <c r="T322" i="7" a="1"/>
  <c r="T322" i="7" s="1"/>
  <c r="T323" i="7" a="1"/>
  <c r="T323" i="7" s="1"/>
  <c r="T324" i="7" a="1"/>
  <c r="T324" i="7" s="1"/>
  <c r="T325" i="7" a="1"/>
  <c r="T325" i="7" s="1"/>
  <c r="T326" i="7" a="1"/>
  <c r="T326" i="7" s="1"/>
  <c r="T327" i="7" a="1"/>
  <c r="T327" i="7" s="1"/>
  <c r="T328" i="7" a="1"/>
  <c r="T328" i="7" s="1"/>
  <c r="T329" i="7" a="1"/>
  <c r="T329" i="7" s="1"/>
  <c r="T330" i="7" a="1"/>
  <c r="T330" i="7" s="1"/>
  <c r="T331" i="7" a="1"/>
  <c r="T331" i="7" s="1"/>
  <c r="T332" i="7" a="1"/>
  <c r="T332" i="7" s="1"/>
  <c r="T333" i="7" a="1"/>
  <c r="T333" i="7" s="1"/>
  <c r="T334" i="7" a="1"/>
  <c r="T334" i="7" s="1"/>
  <c r="T335" i="7" a="1"/>
  <c r="T335" i="7" s="1"/>
  <c r="T336" i="7" a="1"/>
  <c r="T336" i="7" s="1"/>
  <c r="T337" i="7" a="1"/>
  <c r="T337" i="7" s="1"/>
  <c r="T338" i="7" a="1"/>
  <c r="T338" i="7" s="1"/>
  <c r="T339" i="7" a="1"/>
  <c r="T339" i="7" s="1"/>
  <c r="T340" i="7" a="1"/>
  <c r="T340" i="7" s="1"/>
  <c r="T341" i="7" a="1"/>
  <c r="T341" i="7" s="1"/>
  <c r="T342" i="7" a="1"/>
  <c r="T342" i="7" s="1"/>
  <c r="T343" i="7" a="1"/>
  <c r="T343" i="7" s="1"/>
  <c r="T344" i="7" a="1"/>
  <c r="T344" i="7" s="1"/>
  <c r="T345" i="7" a="1"/>
  <c r="T345" i="7" s="1"/>
  <c r="T346" i="7" a="1"/>
  <c r="T346" i="7" s="1"/>
  <c r="T347" i="7" a="1"/>
  <c r="T347" i="7" s="1"/>
  <c r="T348" i="7" a="1"/>
  <c r="T348" i="7" s="1"/>
  <c r="T349" i="7" a="1"/>
  <c r="T349" i="7" s="1"/>
  <c r="T350" i="7" a="1"/>
  <c r="T350" i="7" s="1"/>
  <c r="T351" i="7" a="1"/>
  <c r="T351" i="7" s="1"/>
  <c r="T352" i="7" a="1"/>
  <c r="T352" i="7" s="1"/>
  <c r="T353" i="7" a="1"/>
  <c r="T353" i="7" s="1"/>
  <c r="T354" i="7" a="1"/>
  <c r="T354" i="7" s="1"/>
  <c r="T355" i="7" a="1"/>
  <c r="T355" i="7" s="1"/>
  <c r="T356" i="7" a="1"/>
  <c r="T356" i="7" s="1"/>
  <c r="T357" i="7" a="1"/>
  <c r="T357" i="7" s="1"/>
  <c r="T358" i="7" a="1"/>
  <c r="T358" i="7" s="1"/>
  <c r="T359" i="7" a="1"/>
  <c r="T359" i="7" s="1"/>
  <c r="T360" i="7" a="1"/>
  <c r="T360" i="7" s="1"/>
  <c r="T361" i="7" a="1"/>
  <c r="T361" i="7" s="1"/>
  <c r="T362" i="7" a="1"/>
  <c r="T362" i="7" s="1"/>
  <c r="T363" i="7" a="1"/>
  <c r="T363" i="7" s="1"/>
  <c r="T364" i="7" a="1"/>
  <c r="T364" i="7" s="1"/>
  <c r="T365" i="7" a="1"/>
  <c r="T365" i="7" s="1"/>
  <c r="T366" i="7" a="1"/>
  <c r="T366" i="7" s="1"/>
  <c r="T367" i="7" a="1"/>
  <c r="T367" i="7" s="1"/>
  <c r="T368" i="7" a="1"/>
  <c r="T368" i="7" s="1"/>
  <c r="T369" i="7" a="1"/>
  <c r="T369" i="7" s="1"/>
  <c r="T370" i="7" a="1"/>
  <c r="T370" i="7" s="1"/>
  <c r="T371" i="7" a="1"/>
  <c r="T371" i="7" s="1"/>
  <c r="T372" i="7" a="1"/>
  <c r="T372" i="7" s="1"/>
  <c r="T373" i="7" a="1"/>
  <c r="T373" i="7" s="1"/>
  <c r="T374" i="7" a="1"/>
  <c r="T374" i="7" s="1"/>
  <c r="T375" i="7" a="1"/>
  <c r="T375" i="7" s="1"/>
  <c r="T376" i="7" a="1"/>
  <c r="T376" i="7" s="1"/>
  <c r="T377" i="7" a="1"/>
  <c r="T377" i="7" s="1"/>
  <c r="T378" i="7" a="1"/>
  <c r="T378" i="7" s="1"/>
  <c r="T379" i="7" a="1"/>
  <c r="T379" i="7" s="1"/>
  <c r="T380" i="7" a="1"/>
  <c r="T380" i="7" s="1"/>
  <c r="T381" i="7" a="1"/>
  <c r="T381" i="7" s="1"/>
  <c r="T382" i="7" a="1"/>
  <c r="T382" i="7" s="1"/>
  <c r="T383" i="7" a="1"/>
  <c r="T383" i="7" s="1"/>
  <c r="T384" i="7" a="1"/>
  <c r="T384" i="7" s="1"/>
  <c r="T385" i="7" a="1"/>
  <c r="T385" i="7" s="1"/>
  <c r="T386" i="7" a="1"/>
  <c r="T386" i="7" s="1"/>
  <c r="T387" i="7" a="1"/>
  <c r="T387" i="7" s="1"/>
  <c r="T388" i="7" a="1"/>
  <c r="T388" i="7" s="1"/>
  <c r="T389" i="7" a="1"/>
  <c r="T389" i="7" s="1"/>
  <c r="T390" i="7" a="1"/>
  <c r="T390" i="7" s="1"/>
  <c r="T391" i="7" a="1"/>
  <c r="T391" i="7" s="1"/>
  <c r="T392" i="7" a="1"/>
  <c r="T392" i="7" s="1"/>
  <c r="T393" i="7" a="1"/>
  <c r="T393" i="7" s="1"/>
  <c r="T394" i="7" a="1"/>
  <c r="T394" i="7" s="1"/>
  <c r="T395" i="7" a="1"/>
  <c r="T395" i="7" s="1"/>
  <c r="T396" i="7" a="1"/>
  <c r="T396" i="7" s="1"/>
  <c r="T397" i="7" a="1"/>
  <c r="T397" i="7" s="1"/>
  <c r="T398" i="7" a="1"/>
  <c r="T398" i="7" s="1"/>
  <c r="T399" i="7" a="1"/>
  <c r="T399" i="7" s="1"/>
  <c r="T400" i="7" a="1"/>
  <c r="T400" i="7" s="1"/>
  <c r="T401" i="7" a="1"/>
  <c r="T401" i="7" s="1"/>
  <c r="T402" i="7" a="1"/>
  <c r="T402" i="7" s="1"/>
  <c r="T403" i="7" a="1"/>
  <c r="T403" i="7" s="1"/>
  <c r="T404" i="7" a="1"/>
  <c r="T404" i="7" s="1"/>
  <c r="T405" i="7" a="1"/>
  <c r="T405" i="7" s="1"/>
  <c r="T406" i="7" a="1"/>
  <c r="T406" i="7" s="1"/>
  <c r="T407" i="7" a="1"/>
  <c r="T407" i="7" s="1"/>
  <c r="T408" i="7" a="1"/>
  <c r="T408" i="7" s="1"/>
  <c r="T409" i="7" a="1"/>
  <c r="T409" i="7" s="1"/>
  <c r="T410" i="7" a="1"/>
  <c r="T410" i="7" s="1"/>
  <c r="T411" i="7" a="1"/>
  <c r="T411" i="7" s="1"/>
  <c r="T412" i="7" a="1"/>
  <c r="T412" i="7" s="1"/>
  <c r="T413" i="7" a="1"/>
  <c r="T413" i="7" s="1"/>
  <c r="T414" i="7" a="1"/>
  <c r="T414" i="7" s="1"/>
  <c r="T415" i="7" a="1"/>
  <c r="T415" i="7" s="1"/>
  <c r="T416" i="7" a="1"/>
  <c r="T416" i="7" s="1"/>
  <c r="T417" i="7" a="1"/>
  <c r="T417" i="7" s="1"/>
  <c r="T418" i="7" a="1"/>
  <c r="T418" i="7" s="1"/>
  <c r="T419" i="7" a="1"/>
  <c r="T419" i="7" s="1"/>
  <c r="T420" i="7" a="1"/>
  <c r="T420" i="7" s="1"/>
  <c r="T421" i="7" a="1"/>
  <c r="T421" i="7" s="1"/>
  <c r="T422" i="7" a="1"/>
  <c r="T422" i="7" s="1"/>
  <c r="T423" i="7" a="1"/>
  <c r="T423" i="7" s="1"/>
  <c r="T424" i="7" a="1"/>
  <c r="T424" i="7" s="1"/>
  <c r="T425" i="7" a="1"/>
  <c r="T425" i="7" s="1"/>
  <c r="T426" i="7" a="1"/>
  <c r="T426" i="7" s="1"/>
  <c r="T427" i="7" a="1"/>
  <c r="T427" i="7" s="1"/>
  <c r="T428" i="7" a="1"/>
  <c r="T428" i="7" s="1"/>
  <c r="T429" i="7" a="1"/>
  <c r="T429" i="7" s="1"/>
  <c r="T430" i="7" a="1"/>
  <c r="T430" i="7" s="1"/>
  <c r="T431" i="7" a="1"/>
  <c r="T431" i="7" s="1"/>
  <c r="T432" i="7" a="1"/>
  <c r="T432" i="7" s="1"/>
  <c r="T433" i="7" a="1"/>
  <c r="T433" i="7" s="1"/>
  <c r="T434" i="7" a="1"/>
  <c r="T434" i="7" s="1"/>
  <c r="T435" i="7" a="1"/>
  <c r="T435" i="7" s="1"/>
  <c r="T436" i="7" a="1"/>
  <c r="T436" i="7" s="1"/>
  <c r="T437" i="7" a="1"/>
  <c r="T437" i="7" s="1"/>
  <c r="T438" i="7" a="1"/>
  <c r="T438" i="7" s="1"/>
  <c r="T439" i="7" a="1"/>
  <c r="T439" i="7" s="1"/>
  <c r="T440" i="7" a="1"/>
  <c r="T440" i="7" s="1"/>
  <c r="T441" i="7" a="1"/>
  <c r="T441" i="7" s="1"/>
  <c r="T442" i="7" a="1"/>
  <c r="T442" i="7" s="1"/>
  <c r="T443" i="7" a="1"/>
  <c r="T443" i="7" s="1"/>
  <c r="T444" i="7" a="1"/>
  <c r="T444" i="7" s="1"/>
  <c r="T445" i="7" a="1"/>
  <c r="T445" i="7" s="1"/>
  <c r="T446" i="7" a="1"/>
  <c r="T446" i="7" s="1"/>
  <c r="T447" i="7" a="1"/>
  <c r="T447" i="7" s="1"/>
  <c r="T448" i="7" a="1"/>
  <c r="T448" i="7" s="1"/>
  <c r="T449" i="7" a="1"/>
  <c r="T449" i="7" s="1"/>
  <c r="T450" i="7" a="1"/>
  <c r="T450" i="7" s="1"/>
  <c r="T451" i="7" a="1"/>
  <c r="T451" i="7" s="1"/>
  <c r="T452" i="7" a="1"/>
  <c r="T452" i="7" s="1"/>
  <c r="T453" i="7" a="1"/>
  <c r="T453" i="7" s="1"/>
  <c r="T454" i="7" a="1"/>
  <c r="T454" i="7" s="1"/>
  <c r="T455" i="7" a="1"/>
  <c r="T455" i="7" s="1"/>
  <c r="T456" i="7" a="1"/>
  <c r="T456" i="7" s="1"/>
  <c r="T457" i="7" a="1"/>
  <c r="T457" i="7" s="1"/>
  <c r="T458" i="7" a="1"/>
  <c r="T458" i="7" s="1"/>
  <c r="T459" i="7" a="1"/>
  <c r="T459" i="7" s="1"/>
  <c r="T460" i="7" a="1"/>
  <c r="T460" i="7" s="1"/>
  <c r="T461" i="7" a="1"/>
  <c r="T461" i="7" s="1"/>
  <c r="T462" i="7" a="1"/>
  <c r="T462" i="7" s="1"/>
  <c r="T463" i="7" a="1"/>
  <c r="T463" i="7" s="1"/>
  <c r="T464" i="7" a="1"/>
  <c r="T464" i="7" s="1"/>
  <c r="T465" i="7" a="1"/>
  <c r="T465" i="7" s="1"/>
  <c r="T466" i="7" a="1"/>
  <c r="T466" i="7" s="1"/>
  <c r="T467" i="7" a="1"/>
  <c r="T467" i="7" s="1"/>
  <c r="T468" i="7" a="1"/>
  <c r="T468" i="7" s="1"/>
  <c r="T469" i="7" a="1"/>
  <c r="T469" i="7" s="1"/>
  <c r="T470" i="7" a="1"/>
  <c r="T470" i="7" s="1"/>
  <c r="T471" i="7" a="1"/>
  <c r="T471" i="7" s="1"/>
  <c r="T472" i="7" a="1"/>
  <c r="T472" i="7" s="1"/>
  <c r="T473" i="7" a="1"/>
  <c r="T473" i="7" s="1"/>
  <c r="T474" i="7" a="1"/>
  <c r="T474" i="7" s="1"/>
  <c r="T475" i="7" a="1"/>
  <c r="T475" i="7" s="1"/>
  <c r="T476" i="7" a="1"/>
  <c r="T476" i="7" s="1"/>
  <c r="T477" i="7" a="1"/>
  <c r="T477" i="7" s="1"/>
  <c r="T478" i="7" a="1"/>
  <c r="T478" i="7" s="1"/>
  <c r="T479" i="7" a="1"/>
  <c r="T479" i="7" s="1"/>
  <c r="T480" i="7" a="1"/>
  <c r="T480" i="7" s="1"/>
  <c r="T481" i="7" a="1"/>
  <c r="T481" i="7" s="1"/>
  <c r="T482" i="7" a="1"/>
  <c r="T482" i="7" s="1"/>
  <c r="T483" i="7" a="1"/>
  <c r="T483" i="7" s="1"/>
  <c r="T484" i="7" a="1"/>
  <c r="T484" i="7" s="1"/>
  <c r="T485" i="7" a="1"/>
  <c r="T485" i="7" s="1"/>
  <c r="T486" i="7" a="1"/>
  <c r="T486" i="7" s="1"/>
  <c r="T487" i="7" a="1"/>
  <c r="T487" i="7" s="1"/>
  <c r="T488" i="7" a="1"/>
  <c r="T488" i="7" s="1"/>
  <c r="T489" i="7" a="1"/>
  <c r="T489" i="7" s="1"/>
  <c r="T490" i="7" a="1"/>
  <c r="T490" i="7" s="1"/>
  <c r="T491" i="7" a="1"/>
  <c r="T491" i="7" s="1"/>
  <c r="T492" i="7" a="1"/>
  <c r="T492" i="7" s="1"/>
  <c r="T493" i="7" a="1"/>
  <c r="T493" i="7" s="1"/>
  <c r="T494" i="7" a="1"/>
  <c r="T494" i="7" s="1"/>
  <c r="T495" i="7" a="1"/>
  <c r="T495" i="7" s="1"/>
  <c r="T496" i="7" a="1"/>
  <c r="T496" i="7" s="1"/>
  <c r="T497" i="7" a="1"/>
  <c r="T497" i="7" s="1"/>
  <c r="T498" i="7" a="1"/>
  <c r="T498" i="7" s="1"/>
  <c r="T499" i="7" a="1"/>
  <c r="T499" i="7" s="1"/>
  <c r="I10" i="7" l="1"/>
  <c r="J10" i="7"/>
  <c r="I8" i="7"/>
  <c r="J8" i="7"/>
  <c r="S9" i="7" l="1" a="1"/>
  <c r="S9" i="7" s="1"/>
  <c r="S8" i="7" l="1" a="1"/>
  <c r="S8" i="7" s="1"/>
  <c r="S7" i="7" a="1"/>
  <c r="S7" i="7" s="1"/>
  <c r="S10" i="7" a="1"/>
  <c r="S10" i="7" s="1"/>
  <c r="S11" i="7" a="1"/>
  <c r="S11" i="7" s="1"/>
  <c r="S12" i="7" a="1"/>
  <c r="S12" i="7" s="1"/>
  <c r="S13" i="7" a="1"/>
  <c r="S13" i="7" s="1"/>
  <c r="S14" i="7" a="1"/>
  <c r="S14" i="7" s="1"/>
  <c r="S15" i="7" a="1"/>
  <c r="S15" i="7" s="1"/>
  <c r="S16" i="7" a="1"/>
  <c r="S16" i="7" s="1"/>
  <c r="S17" i="7" a="1"/>
  <c r="S17" i="7" s="1"/>
  <c r="S18" i="7" a="1"/>
  <c r="S18" i="7" s="1"/>
  <c r="S19" i="7" a="1"/>
  <c r="S19" i="7" s="1"/>
  <c r="S20" i="7" a="1"/>
  <c r="S20" i="7" s="1"/>
  <c r="S21" i="7" a="1"/>
  <c r="S21" i="7" s="1"/>
  <c r="S22" i="7" a="1"/>
  <c r="S22" i="7" s="1"/>
  <c r="S23" i="7" a="1"/>
  <c r="S23" i="7" s="1"/>
  <c r="S24" i="7" a="1"/>
  <c r="S24" i="7" s="1"/>
  <c r="S25" i="7" a="1"/>
  <c r="S25" i="7" s="1"/>
  <c r="S26" i="7" a="1"/>
  <c r="S26" i="7" s="1"/>
  <c r="S27" i="7" a="1"/>
  <c r="S27" i="7" s="1"/>
  <c r="S28" i="7" a="1"/>
  <c r="S28" i="7" s="1"/>
  <c r="S29" i="7" a="1"/>
  <c r="S29" i="7" s="1"/>
  <c r="S30" i="7" a="1"/>
  <c r="S30" i="7" s="1"/>
  <c r="S31" i="7" a="1"/>
  <c r="S31" i="7" s="1"/>
  <c r="S32" i="7" a="1"/>
  <c r="S32" i="7" s="1"/>
  <c r="S33" i="7" a="1"/>
  <c r="S33" i="7" s="1"/>
  <c r="S34" i="7" a="1"/>
  <c r="S34" i="7" s="1"/>
  <c r="S35" i="7" a="1"/>
  <c r="S35" i="7" s="1"/>
  <c r="S36" i="7" a="1"/>
  <c r="S36" i="7" s="1"/>
  <c r="S37" i="7" a="1"/>
  <c r="S37" i="7" s="1"/>
  <c r="S38" i="7" a="1"/>
  <c r="S38" i="7" s="1"/>
  <c r="S39" i="7" a="1"/>
  <c r="S39" i="7" s="1"/>
  <c r="S40" i="7" a="1"/>
  <c r="S40" i="7" s="1"/>
  <c r="S41" i="7" a="1"/>
  <c r="S41" i="7" s="1"/>
  <c r="S42" i="7" a="1"/>
  <c r="S42" i="7" s="1"/>
  <c r="S43" i="7" a="1"/>
  <c r="S43" i="7" s="1"/>
  <c r="S44" i="7" a="1"/>
  <c r="S44" i="7" s="1"/>
  <c r="S45" i="7" a="1"/>
  <c r="S45" i="7" s="1"/>
  <c r="S46" i="7" a="1"/>
  <c r="S46" i="7" s="1"/>
  <c r="S47" i="7" a="1"/>
  <c r="S47" i="7" s="1"/>
  <c r="S48" i="7" a="1"/>
  <c r="S48" i="7" s="1"/>
  <c r="S49" i="7" a="1"/>
  <c r="S49" i="7" s="1"/>
  <c r="S50" i="7" a="1"/>
  <c r="S50" i="7" s="1"/>
  <c r="S51" i="7" a="1"/>
  <c r="S51" i="7" s="1"/>
  <c r="S52" i="7" a="1"/>
  <c r="S52" i="7" s="1"/>
  <c r="S53" i="7" a="1"/>
  <c r="S53" i="7" s="1"/>
  <c r="S54" i="7" a="1"/>
  <c r="S54" i="7" s="1"/>
  <c r="S55" i="7" a="1"/>
  <c r="S55" i="7" s="1"/>
  <c r="S56" i="7" a="1"/>
  <c r="S56" i="7" s="1"/>
  <c r="S57" i="7" a="1"/>
  <c r="S57" i="7" s="1"/>
  <c r="S58" i="7" a="1"/>
  <c r="S58" i="7" s="1"/>
  <c r="S59" i="7" a="1"/>
  <c r="S59" i="7" s="1"/>
  <c r="S60" i="7" a="1"/>
  <c r="S60" i="7" s="1"/>
  <c r="S61" i="7" a="1"/>
  <c r="S61" i="7" s="1"/>
  <c r="S62" i="7" a="1"/>
  <c r="S62" i="7" s="1"/>
  <c r="S63" i="7" a="1"/>
  <c r="S63" i="7" s="1"/>
  <c r="S64" i="7" a="1"/>
  <c r="S64" i="7" s="1"/>
  <c r="S65" i="7" a="1"/>
  <c r="S65" i="7" s="1"/>
  <c r="S66" i="7" a="1"/>
  <c r="S66" i="7" s="1"/>
  <c r="S67" i="7" a="1"/>
  <c r="S67" i="7" s="1"/>
  <c r="S68" i="7" a="1"/>
  <c r="S68" i="7" s="1"/>
  <c r="S69" i="7" a="1"/>
  <c r="S69" i="7" s="1"/>
  <c r="S70" i="7" a="1"/>
  <c r="S70" i="7" s="1"/>
  <c r="S71" i="7" a="1"/>
  <c r="S71" i="7" s="1"/>
  <c r="S72" i="7" a="1"/>
  <c r="S72" i="7" s="1"/>
  <c r="S73" i="7" a="1"/>
  <c r="S73" i="7" s="1"/>
  <c r="S74" i="7" a="1"/>
  <c r="S74" i="7" s="1"/>
  <c r="S75" i="7" a="1"/>
  <c r="S75" i="7" s="1"/>
  <c r="S76" i="7" a="1"/>
  <c r="S76" i="7" s="1"/>
  <c r="S77" i="7" a="1"/>
  <c r="S77" i="7" s="1"/>
  <c r="S78" i="7" a="1"/>
  <c r="S78" i="7" s="1"/>
  <c r="S79" i="7" a="1"/>
  <c r="S79" i="7" s="1"/>
  <c r="S80" i="7" a="1"/>
  <c r="S80" i="7" s="1"/>
  <c r="S81" i="7" a="1"/>
  <c r="S81" i="7" s="1"/>
  <c r="S82" i="7" a="1"/>
  <c r="S82" i="7" s="1"/>
  <c r="S83" i="7" a="1"/>
  <c r="S83" i="7" s="1"/>
  <c r="S84" i="7" a="1"/>
  <c r="S84" i="7" s="1"/>
  <c r="S85" i="7" a="1"/>
  <c r="S85" i="7" s="1"/>
  <c r="S86" i="7" a="1"/>
  <c r="S86" i="7" s="1"/>
  <c r="S87" i="7" a="1"/>
  <c r="S87" i="7" s="1"/>
  <c r="S88" i="7" a="1"/>
  <c r="S88" i="7" s="1"/>
  <c r="S89" i="7" a="1"/>
  <c r="S89" i="7" s="1"/>
  <c r="S90" i="7" a="1"/>
  <c r="S90" i="7" s="1"/>
  <c r="S91" i="7" a="1"/>
  <c r="S91" i="7" s="1"/>
  <c r="S92" i="7" a="1"/>
  <c r="S92" i="7" s="1"/>
  <c r="S93" i="7" a="1"/>
  <c r="S93" i="7" s="1"/>
  <c r="S94" i="7" a="1"/>
  <c r="S94" i="7" s="1"/>
  <c r="S95" i="7" a="1"/>
  <c r="S95" i="7" s="1"/>
  <c r="S96" i="7" a="1"/>
  <c r="S96" i="7" s="1"/>
  <c r="S97" i="7" a="1"/>
  <c r="S97" i="7" s="1"/>
  <c r="S98" i="7" a="1"/>
  <c r="S98" i="7" s="1"/>
  <c r="S99" i="7" a="1"/>
  <c r="S99" i="7" s="1"/>
  <c r="S100" i="7" a="1"/>
  <c r="S100" i="7" s="1"/>
  <c r="S101" i="7" a="1"/>
  <c r="S101" i="7" s="1"/>
  <c r="S102" i="7" a="1"/>
  <c r="S102" i="7" s="1"/>
  <c r="S103" i="7" a="1"/>
  <c r="S103" i="7" s="1"/>
  <c r="S104" i="7" a="1"/>
  <c r="S104" i="7" s="1"/>
  <c r="S105" i="7" a="1"/>
  <c r="S105" i="7" s="1"/>
  <c r="S106" i="7" a="1"/>
  <c r="S106" i="7" s="1"/>
  <c r="S107" i="7" a="1"/>
  <c r="S107" i="7" s="1"/>
  <c r="S108" i="7" a="1"/>
  <c r="S108" i="7" s="1"/>
  <c r="S109" i="7" a="1"/>
  <c r="S109" i="7" s="1"/>
  <c r="S110" i="7" a="1"/>
  <c r="S110" i="7" s="1"/>
  <c r="S111" i="7" a="1"/>
  <c r="S111" i="7" s="1"/>
  <c r="S112" i="7" a="1"/>
  <c r="S112" i="7" s="1"/>
  <c r="S113" i="7" a="1"/>
  <c r="S113" i="7" s="1"/>
  <c r="S114" i="7" a="1"/>
  <c r="S114" i="7" s="1"/>
  <c r="S115" i="7" a="1"/>
  <c r="S115" i="7" s="1"/>
  <c r="S116" i="7" a="1"/>
  <c r="S116" i="7" s="1"/>
  <c r="S117" i="7" a="1"/>
  <c r="S117" i="7" s="1"/>
  <c r="S118" i="7" a="1"/>
  <c r="S118" i="7" s="1"/>
  <c r="S119" i="7" a="1"/>
  <c r="S119" i="7" s="1"/>
  <c r="S120" i="7" a="1"/>
  <c r="S120" i="7" s="1"/>
  <c r="S121" i="7" a="1"/>
  <c r="S121" i="7" s="1"/>
  <c r="S122" i="7" a="1"/>
  <c r="S122" i="7" s="1"/>
  <c r="S123" i="7" a="1"/>
  <c r="S123" i="7" s="1"/>
  <c r="S124" i="7" a="1"/>
  <c r="S124" i="7" s="1"/>
  <c r="S125" i="7" a="1"/>
  <c r="S125" i="7" s="1"/>
  <c r="S126" i="7" a="1"/>
  <c r="S126" i="7" s="1"/>
  <c r="S127" i="7" a="1"/>
  <c r="S127" i="7" s="1"/>
  <c r="S128" i="7" a="1"/>
  <c r="S128" i="7" s="1"/>
  <c r="S129" i="7" a="1"/>
  <c r="S129" i="7" s="1"/>
  <c r="S130" i="7" a="1"/>
  <c r="S130" i="7" s="1"/>
  <c r="S131" i="7" a="1"/>
  <c r="S131" i="7" s="1"/>
  <c r="S132" i="7" a="1"/>
  <c r="S132" i="7" s="1"/>
  <c r="S133" i="7" a="1"/>
  <c r="S133" i="7" s="1"/>
  <c r="S134" i="7" a="1"/>
  <c r="S134" i="7" s="1"/>
  <c r="S135" i="7" a="1"/>
  <c r="S135" i="7" s="1"/>
  <c r="S136" i="7" a="1"/>
  <c r="S136" i="7" s="1"/>
  <c r="S137" i="7" a="1"/>
  <c r="S137" i="7" s="1"/>
  <c r="S138" i="7" a="1"/>
  <c r="S138" i="7" s="1"/>
  <c r="S139" i="7" a="1"/>
  <c r="S139" i="7" s="1"/>
  <c r="S140" i="7" a="1"/>
  <c r="S140" i="7" s="1"/>
  <c r="S141" i="7" a="1"/>
  <c r="S141" i="7" s="1"/>
  <c r="S142" i="7" a="1"/>
  <c r="S142" i="7" s="1"/>
  <c r="S143" i="7" a="1"/>
  <c r="S143" i="7" s="1"/>
  <c r="S144" i="7" a="1"/>
  <c r="S144" i="7" s="1"/>
  <c r="S145" i="7" a="1"/>
  <c r="S145" i="7" s="1"/>
  <c r="S146" i="7" a="1"/>
  <c r="S146" i="7" s="1"/>
  <c r="S147" i="7" a="1"/>
  <c r="S147" i="7" s="1"/>
  <c r="S148" i="7" a="1"/>
  <c r="S148" i="7" s="1"/>
  <c r="S149" i="7" a="1"/>
  <c r="S149" i="7" s="1"/>
  <c r="S150" i="7" a="1"/>
  <c r="S150" i="7" s="1"/>
  <c r="S151" i="7" a="1"/>
  <c r="S151" i="7" s="1"/>
  <c r="S152" i="7" a="1"/>
  <c r="S152" i="7" s="1"/>
  <c r="S153" i="7" a="1"/>
  <c r="S153" i="7" s="1"/>
  <c r="S154" i="7" a="1"/>
  <c r="S154" i="7" s="1"/>
  <c r="S155" i="7" a="1"/>
  <c r="S155" i="7" s="1"/>
  <c r="S156" i="7" a="1"/>
  <c r="S156" i="7" s="1"/>
  <c r="S157" i="7" a="1"/>
  <c r="S157" i="7" s="1"/>
  <c r="S158" i="7" a="1"/>
  <c r="S158" i="7" s="1"/>
  <c r="S159" i="7" a="1"/>
  <c r="S159" i="7" s="1"/>
  <c r="S160" i="7" a="1"/>
  <c r="S160" i="7" s="1"/>
  <c r="S161" i="7" a="1"/>
  <c r="S161" i="7" s="1"/>
  <c r="S162" i="7" a="1"/>
  <c r="S162" i="7" s="1"/>
  <c r="S163" i="7" a="1"/>
  <c r="S163" i="7" s="1"/>
  <c r="S164" i="7" a="1"/>
  <c r="S164" i="7" s="1"/>
  <c r="S165" i="7" a="1"/>
  <c r="S165" i="7" s="1"/>
  <c r="S166" i="7" a="1"/>
  <c r="S166" i="7" s="1"/>
  <c r="S167" i="7" a="1"/>
  <c r="S167" i="7" s="1"/>
  <c r="S168" i="7" a="1"/>
  <c r="S168" i="7" s="1"/>
  <c r="S169" i="7" a="1"/>
  <c r="S169" i="7" s="1"/>
  <c r="S170" i="7" a="1"/>
  <c r="S170" i="7" s="1"/>
  <c r="S171" i="7" a="1"/>
  <c r="S171" i="7" s="1"/>
  <c r="S172" i="7" a="1"/>
  <c r="S172" i="7" s="1"/>
  <c r="S173" i="7" a="1"/>
  <c r="S173" i="7" s="1"/>
  <c r="S174" i="7" a="1"/>
  <c r="S174" i="7" s="1"/>
  <c r="S175" i="7" a="1"/>
  <c r="S175" i="7" s="1"/>
  <c r="S176" i="7" a="1"/>
  <c r="S176" i="7" s="1"/>
  <c r="S177" i="7" a="1"/>
  <c r="S177" i="7" s="1"/>
  <c r="S178" i="7" a="1"/>
  <c r="S178" i="7" s="1"/>
  <c r="S179" i="7" a="1"/>
  <c r="S179" i="7" s="1"/>
  <c r="S180" i="7" a="1"/>
  <c r="S180" i="7" s="1"/>
  <c r="S181" i="7" a="1"/>
  <c r="S181" i="7" s="1"/>
  <c r="S182" i="7" a="1"/>
  <c r="S182" i="7" s="1"/>
  <c r="S183" i="7" a="1"/>
  <c r="S183" i="7" s="1"/>
  <c r="S184" i="7" a="1"/>
  <c r="S184" i="7" s="1"/>
  <c r="S185" i="7" a="1"/>
  <c r="S185" i="7" s="1"/>
  <c r="S186" i="7" a="1"/>
  <c r="S186" i="7" s="1"/>
  <c r="S187" i="7" a="1"/>
  <c r="S187" i="7" s="1"/>
  <c r="S188" i="7" a="1"/>
  <c r="S188" i="7" s="1"/>
  <c r="S189" i="7" a="1"/>
  <c r="S189" i="7" s="1"/>
  <c r="S190" i="7" a="1"/>
  <c r="S190" i="7" s="1"/>
  <c r="S191" i="7" a="1"/>
  <c r="S191" i="7" s="1"/>
  <c r="S192" i="7" a="1"/>
  <c r="S192" i="7" s="1"/>
  <c r="S193" i="7" a="1"/>
  <c r="S193" i="7" s="1"/>
  <c r="S194" i="7" a="1"/>
  <c r="S194" i="7" s="1"/>
  <c r="S195" i="7" a="1"/>
  <c r="S195" i="7" s="1"/>
  <c r="S196" i="7" a="1"/>
  <c r="S196" i="7" s="1"/>
  <c r="S197" i="7" a="1"/>
  <c r="S197" i="7" s="1"/>
  <c r="S198" i="7" a="1"/>
  <c r="S198" i="7" s="1"/>
  <c r="S199" i="7" a="1"/>
  <c r="S199" i="7" s="1"/>
  <c r="S200" i="7" a="1"/>
  <c r="S200" i="7" s="1"/>
  <c r="S201" i="7" a="1"/>
  <c r="S201" i="7" s="1"/>
  <c r="S202" i="7" a="1"/>
  <c r="S202" i="7" s="1"/>
  <c r="S203" i="7" a="1"/>
  <c r="S203" i="7" s="1"/>
  <c r="S204" i="7" a="1"/>
  <c r="S204" i="7" s="1"/>
  <c r="S205" i="7" a="1"/>
  <c r="S205" i="7" s="1"/>
  <c r="S206" i="7" a="1"/>
  <c r="S206" i="7" s="1"/>
  <c r="S207" i="7" a="1"/>
  <c r="S207" i="7" s="1"/>
  <c r="S208" i="7" a="1"/>
  <c r="S208" i="7" s="1"/>
  <c r="S209" i="7" a="1"/>
  <c r="S209" i="7" s="1"/>
  <c r="S210" i="7" a="1"/>
  <c r="S210" i="7" s="1"/>
  <c r="S211" i="7" a="1"/>
  <c r="S211" i="7" s="1"/>
  <c r="S212" i="7" a="1"/>
  <c r="S212" i="7" s="1"/>
  <c r="S213" i="7" a="1"/>
  <c r="S213" i="7" s="1"/>
  <c r="S214" i="7" a="1"/>
  <c r="S214" i="7" s="1"/>
  <c r="S215" i="7" a="1"/>
  <c r="S215" i="7" s="1"/>
  <c r="S216" i="7" a="1"/>
  <c r="S216" i="7" s="1"/>
  <c r="S217" i="7" a="1"/>
  <c r="S217" i="7" s="1"/>
  <c r="S218" i="7" a="1"/>
  <c r="S218" i="7" s="1"/>
  <c r="S219" i="7" a="1"/>
  <c r="S219" i="7" s="1"/>
  <c r="S220" i="7" a="1"/>
  <c r="S220" i="7" s="1"/>
  <c r="S221" i="7" a="1"/>
  <c r="S221" i="7" s="1"/>
  <c r="S222" i="7" a="1"/>
  <c r="S222" i="7" s="1"/>
  <c r="S223" i="7" a="1"/>
  <c r="S223" i="7" s="1"/>
  <c r="S224" i="7" a="1"/>
  <c r="S224" i="7" s="1"/>
  <c r="S225" i="7" a="1"/>
  <c r="S225" i="7" s="1"/>
  <c r="S226" i="7" a="1"/>
  <c r="S226" i="7" s="1"/>
  <c r="S227" i="7" a="1"/>
  <c r="S227" i="7" s="1"/>
  <c r="S228" i="7" a="1"/>
  <c r="S228" i="7" s="1"/>
  <c r="S229" i="7" a="1"/>
  <c r="S229" i="7" s="1"/>
  <c r="S230" i="7" a="1"/>
  <c r="S230" i="7" s="1"/>
  <c r="S231" i="7" a="1"/>
  <c r="S231" i="7" s="1"/>
  <c r="S232" i="7" a="1"/>
  <c r="S232" i="7" s="1"/>
  <c r="S233" i="7" a="1"/>
  <c r="S233" i="7" s="1"/>
  <c r="S234" i="7" a="1"/>
  <c r="S234" i="7" s="1"/>
  <c r="S235" i="7" a="1"/>
  <c r="S235" i="7" s="1"/>
  <c r="S236" i="7" a="1"/>
  <c r="S236" i="7" s="1"/>
  <c r="S237" i="7" a="1"/>
  <c r="S237" i="7" s="1"/>
  <c r="S238" i="7" a="1"/>
  <c r="S238" i="7" s="1"/>
  <c r="S239" i="7" a="1"/>
  <c r="S239" i="7" s="1"/>
  <c r="S240" i="7" a="1"/>
  <c r="S240" i="7" s="1"/>
  <c r="S241" i="7" a="1"/>
  <c r="S241" i="7" s="1"/>
  <c r="S242" i="7" a="1"/>
  <c r="S242" i="7" s="1"/>
  <c r="S243" i="7" a="1"/>
  <c r="S243" i="7" s="1"/>
  <c r="S244" i="7" a="1"/>
  <c r="S244" i="7" s="1"/>
  <c r="S245" i="7" a="1"/>
  <c r="S245" i="7" s="1"/>
  <c r="S246" i="7" a="1"/>
  <c r="S246" i="7" s="1"/>
  <c r="S247" i="7" a="1"/>
  <c r="S247" i="7" s="1"/>
  <c r="S248" i="7" a="1"/>
  <c r="S248" i="7" s="1"/>
  <c r="S249" i="7" a="1"/>
  <c r="S249" i="7" s="1"/>
  <c r="S250" i="7" a="1"/>
  <c r="S250" i="7" s="1"/>
  <c r="S251" i="7" a="1"/>
  <c r="S251" i="7" s="1"/>
  <c r="S252" i="7" a="1"/>
  <c r="S252" i="7" s="1"/>
  <c r="S253" i="7" a="1"/>
  <c r="S253" i="7" s="1"/>
  <c r="S254" i="7" a="1"/>
  <c r="S254" i="7" s="1"/>
  <c r="S255" i="7" a="1"/>
  <c r="S255" i="7" s="1"/>
  <c r="S256" i="7" a="1"/>
  <c r="S256" i="7" s="1"/>
  <c r="S257" i="7" a="1"/>
  <c r="S257" i="7" s="1"/>
  <c r="S258" i="7" a="1"/>
  <c r="S258" i="7" s="1"/>
  <c r="S259" i="7" a="1"/>
  <c r="S259" i="7" s="1"/>
  <c r="S260" i="7" a="1"/>
  <c r="S260" i="7" s="1"/>
  <c r="S261" i="7" a="1"/>
  <c r="S261" i="7" s="1"/>
  <c r="S262" i="7" a="1"/>
  <c r="S262" i="7" s="1"/>
  <c r="S263" i="7" a="1"/>
  <c r="S263" i="7" s="1"/>
  <c r="S264" i="7" a="1"/>
  <c r="S264" i="7" s="1"/>
  <c r="S265" i="7" a="1"/>
  <c r="S265" i="7" s="1"/>
  <c r="S266" i="7" a="1"/>
  <c r="S266" i="7" s="1"/>
  <c r="S267" i="7" a="1"/>
  <c r="S267" i="7" s="1"/>
  <c r="S268" i="7" a="1"/>
  <c r="S268" i="7" s="1"/>
  <c r="S269" i="7" a="1"/>
  <c r="S269" i="7" s="1"/>
  <c r="S270" i="7" a="1"/>
  <c r="S270" i="7" s="1"/>
  <c r="S271" i="7" a="1"/>
  <c r="S271" i="7" s="1"/>
  <c r="S272" i="7" a="1"/>
  <c r="S272" i="7" s="1"/>
  <c r="S273" i="7" a="1"/>
  <c r="S273" i="7" s="1"/>
  <c r="S274" i="7" a="1"/>
  <c r="S274" i="7" s="1"/>
  <c r="S275" i="7" a="1"/>
  <c r="S275" i="7" s="1"/>
  <c r="S276" i="7" a="1"/>
  <c r="S276" i="7" s="1"/>
  <c r="S277" i="7" a="1"/>
  <c r="S277" i="7" s="1"/>
  <c r="S278" i="7" a="1"/>
  <c r="S278" i="7" s="1"/>
  <c r="S279" i="7" a="1"/>
  <c r="S279" i="7" s="1"/>
  <c r="S280" i="7" a="1"/>
  <c r="S280" i="7" s="1"/>
  <c r="S281" i="7" a="1"/>
  <c r="S281" i="7" s="1"/>
  <c r="S282" i="7" a="1"/>
  <c r="S282" i="7" s="1"/>
  <c r="S283" i="7" a="1"/>
  <c r="S283" i="7" s="1"/>
  <c r="S284" i="7" a="1"/>
  <c r="S284" i="7" s="1"/>
  <c r="S285" i="7" a="1"/>
  <c r="S285" i="7" s="1"/>
  <c r="S286" i="7" a="1"/>
  <c r="S286" i="7" s="1"/>
  <c r="S287" i="7" a="1"/>
  <c r="S287" i="7" s="1"/>
  <c r="S288" i="7" a="1"/>
  <c r="S288" i="7" s="1"/>
  <c r="S289" i="7" a="1"/>
  <c r="S289" i="7" s="1"/>
  <c r="S290" i="7" a="1"/>
  <c r="S290" i="7" s="1"/>
  <c r="S291" i="7" a="1"/>
  <c r="S291" i="7" s="1"/>
  <c r="S292" i="7" a="1"/>
  <c r="S292" i="7" s="1"/>
  <c r="S293" i="7" a="1"/>
  <c r="S293" i="7" s="1"/>
  <c r="S294" i="7" a="1"/>
  <c r="S294" i="7" s="1"/>
  <c r="S295" i="7" a="1"/>
  <c r="S295" i="7" s="1"/>
  <c r="S296" i="7" a="1"/>
  <c r="S296" i="7" s="1"/>
  <c r="S297" i="7" a="1"/>
  <c r="S297" i="7" s="1"/>
  <c r="S298" i="7" a="1"/>
  <c r="S298" i="7" s="1"/>
  <c r="S299" i="7" a="1"/>
  <c r="S299" i="7" s="1"/>
  <c r="S300" i="7" a="1"/>
  <c r="S300" i="7" s="1"/>
  <c r="S301" i="7" a="1"/>
  <c r="S301" i="7" s="1"/>
  <c r="S302" i="7" a="1"/>
  <c r="S302" i="7" s="1"/>
  <c r="S303" i="7" a="1"/>
  <c r="S303" i="7" s="1"/>
  <c r="S304" i="7" a="1"/>
  <c r="S304" i="7" s="1"/>
  <c r="S305" i="7" a="1"/>
  <c r="S305" i="7" s="1"/>
  <c r="S306" i="7" a="1"/>
  <c r="S306" i="7" s="1"/>
  <c r="S307" i="7" a="1"/>
  <c r="S307" i="7" s="1"/>
  <c r="S308" i="7" a="1"/>
  <c r="S308" i="7" s="1"/>
  <c r="S309" i="7" a="1"/>
  <c r="S309" i="7" s="1"/>
  <c r="S310" i="7" a="1"/>
  <c r="S310" i="7" s="1"/>
  <c r="S311" i="7" a="1"/>
  <c r="S311" i="7" s="1"/>
  <c r="S312" i="7" a="1"/>
  <c r="S312" i="7" s="1"/>
  <c r="S313" i="7" a="1"/>
  <c r="S313" i="7" s="1"/>
  <c r="S314" i="7" a="1"/>
  <c r="S314" i="7" s="1"/>
  <c r="S315" i="7" a="1"/>
  <c r="S315" i="7" s="1"/>
  <c r="S316" i="7" a="1"/>
  <c r="S316" i="7" s="1"/>
  <c r="S317" i="7" a="1"/>
  <c r="S317" i="7" s="1"/>
  <c r="S318" i="7" a="1"/>
  <c r="S318" i="7" s="1"/>
  <c r="S319" i="7" a="1"/>
  <c r="S319" i="7" s="1"/>
  <c r="S320" i="7" a="1"/>
  <c r="S320" i="7" s="1"/>
  <c r="S321" i="7" a="1"/>
  <c r="S321" i="7" s="1"/>
  <c r="S322" i="7" a="1"/>
  <c r="S322" i="7" s="1"/>
  <c r="S323" i="7" a="1"/>
  <c r="S323" i="7" s="1"/>
  <c r="S324" i="7" a="1"/>
  <c r="S324" i="7" s="1"/>
  <c r="S325" i="7" a="1"/>
  <c r="S325" i="7" s="1"/>
  <c r="S326" i="7" a="1"/>
  <c r="S326" i="7" s="1"/>
  <c r="S327" i="7" a="1"/>
  <c r="S327" i="7" s="1"/>
  <c r="S328" i="7" a="1"/>
  <c r="S328" i="7" s="1"/>
  <c r="S329" i="7" a="1"/>
  <c r="S329" i="7" s="1"/>
  <c r="S330" i="7" a="1"/>
  <c r="S330" i="7" s="1"/>
  <c r="S331" i="7" a="1"/>
  <c r="S331" i="7" s="1"/>
  <c r="S332" i="7" a="1"/>
  <c r="S332" i="7" s="1"/>
  <c r="S333" i="7" a="1"/>
  <c r="S333" i="7" s="1"/>
  <c r="S334" i="7" a="1"/>
  <c r="S334" i="7" s="1"/>
  <c r="S335" i="7" a="1"/>
  <c r="S335" i="7" s="1"/>
  <c r="S336" i="7" a="1"/>
  <c r="S336" i="7" s="1"/>
  <c r="S337" i="7" a="1"/>
  <c r="S337" i="7" s="1"/>
  <c r="S338" i="7" a="1"/>
  <c r="S338" i="7" s="1"/>
  <c r="S339" i="7" a="1"/>
  <c r="S339" i="7" s="1"/>
  <c r="S340" i="7" a="1"/>
  <c r="S340" i="7" s="1"/>
  <c r="S341" i="7" a="1"/>
  <c r="S341" i="7" s="1"/>
  <c r="S342" i="7" a="1"/>
  <c r="S342" i="7" s="1"/>
  <c r="S343" i="7" a="1"/>
  <c r="S343" i="7" s="1"/>
  <c r="S344" i="7" a="1"/>
  <c r="S344" i="7" s="1"/>
  <c r="S345" i="7" a="1"/>
  <c r="S345" i="7" s="1"/>
  <c r="S346" i="7" a="1"/>
  <c r="S346" i="7" s="1"/>
  <c r="S347" i="7" a="1"/>
  <c r="S347" i="7" s="1"/>
  <c r="S348" i="7" a="1"/>
  <c r="S348" i="7" s="1"/>
  <c r="S349" i="7" a="1"/>
  <c r="S349" i="7" s="1"/>
  <c r="S350" i="7" a="1"/>
  <c r="S350" i="7" s="1"/>
  <c r="S351" i="7" a="1"/>
  <c r="S351" i="7" s="1"/>
  <c r="S352" i="7" a="1"/>
  <c r="S352" i="7" s="1"/>
  <c r="S353" i="7" a="1"/>
  <c r="S353" i="7" s="1"/>
  <c r="S354" i="7" a="1"/>
  <c r="S354" i="7" s="1"/>
  <c r="S355" i="7" a="1"/>
  <c r="S355" i="7" s="1"/>
  <c r="S356" i="7" a="1"/>
  <c r="S356" i="7" s="1"/>
  <c r="S357" i="7" a="1"/>
  <c r="S357" i="7" s="1"/>
  <c r="S358" i="7" a="1"/>
  <c r="S358" i="7" s="1"/>
  <c r="S359" i="7" a="1"/>
  <c r="S359" i="7" s="1"/>
  <c r="S360" i="7" a="1"/>
  <c r="S360" i="7" s="1"/>
  <c r="S361" i="7" a="1"/>
  <c r="S361" i="7" s="1"/>
  <c r="S362" i="7" a="1"/>
  <c r="S362" i="7" s="1"/>
  <c r="S363" i="7" a="1"/>
  <c r="S363" i="7" s="1"/>
  <c r="S364" i="7" a="1"/>
  <c r="S364" i="7" s="1"/>
  <c r="S365" i="7" a="1"/>
  <c r="S365" i="7" s="1"/>
  <c r="S366" i="7" a="1"/>
  <c r="S366" i="7" s="1"/>
  <c r="S367" i="7" a="1"/>
  <c r="S367" i="7" s="1"/>
  <c r="S368" i="7" a="1"/>
  <c r="S368" i="7" s="1"/>
  <c r="S369" i="7" a="1"/>
  <c r="S369" i="7" s="1"/>
  <c r="S370" i="7" a="1"/>
  <c r="S370" i="7" s="1"/>
  <c r="S371" i="7" a="1"/>
  <c r="S371" i="7" s="1"/>
  <c r="S372" i="7" a="1"/>
  <c r="S372" i="7" s="1"/>
  <c r="S373" i="7" a="1"/>
  <c r="S373" i="7" s="1"/>
  <c r="S374" i="7" a="1"/>
  <c r="S374" i="7" s="1"/>
  <c r="S375" i="7" a="1"/>
  <c r="S375" i="7" s="1"/>
  <c r="S376" i="7" a="1"/>
  <c r="S376" i="7" s="1"/>
  <c r="S377" i="7" a="1"/>
  <c r="S377" i="7" s="1"/>
  <c r="S378" i="7" a="1"/>
  <c r="S378" i="7" s="1"/>
  <c r="S379" i="7" a="1"/>
  <c r="S379" i="7" s="1"/>
  <c r="S380" i="7" a="1"/>
  <c r="S380" i="7" s="1"/>
  <c r="S381" i="7" a="1"/>
  <c r="S381" i="7" s="1"/>
  <c r="S382" i="7" a="1"/>
  <c r="S382" i="7" s="1"/>
  <c r="S383" i="7" a="1"/>
  <c r="S383" i="7" s="1"/>
  <c r="S384" i="7" a="1"/>
  <c r="S384" i="7" s="1"/>
  <c r="S385" i="7" a="1"/>
  <c r="S385" i="7" s="1"/>
  <c r="S386" i="7" a="1"/>
  <c r="S386" i="7" s="1"/>
  <c r="S387" i="7" a="1"/>
  <c r="S387" i="7" s="1"/>
  <c r="S388" i="7" a="1"/>
  <c r="S388" i="7" s="1"/>
  <c r="S389" i="7" a="1"/>
  <c r="S389" i="7" s="1"/>
  <c r="S390" i="7" a="1"/>
  <c r="S390" i="7" s="1"/>
  <c r="S391" i="7" a="1"/>
  <c r="S391" i="7" s="1"/>
  <c r="S392" i="7" a="1"/>
  <c r="S392" i="7" s="1"/>
  <c r="S393" i="7" a="1"/>
  <c r="S393" i="7" s="1"/>
  <c r="S394" i="7" a="1"/>
  <c r="S394" i="7" s="1"/>
  <c r="S395" i="7" a="1"/>
  <c r="S395" i="7" s="1"/>
  <c r="S396" i="7" a="1"/>
  <c r="S396" i="7" s="1"/>
  <c r="S397" i="7" a="1"/>
  <c r="S397" i="7" s="1"/>
  <c r="S398" i="7" a="1"/>
  <c r="S398" i="7" s="1"/>
  <c r="S399" i="7" a="1"/>
  <c r="S399" i="7" s="1"/>
  <c r="S400" i="7" a="1"/>
  <c r="S400" i="7" s="1"/>
  <c r="S401" i="7" a="1"/>
  <c r="S401" i="7" s="1"/>
  <c r="S402" i="7" a="1"/>
  <c r="S402" i="7" s="1"/>
  <c r="S403" i="7" a="1"/>
  <c r="S403" i="7" s="1"/>
  <c r="S404" i="7" a="1"/>
  <c r="S404" i="7" s="1"/>
  <c r="S405" i="7" a="1"/>
  <c r="S405" i="7" s="1"/>
  <c r="S406" i="7" a="1"/>
  <c r="S406" i="7" s="1"/>
  <c r="S407" i="7" a="1"/>
  <c r="S407" i="7" s="1"/>
  <c r="S408" i="7" a="1"/>
  <c r="S408" i="7" s="1"/>
  <c r="S409" i="7" a="1"/>
  <c r="S409" i="7" s="1"/>
  <c r="S410" i="7" a="1"/>
  <c r="S410" i="7" s="1"/>
  <c r="S411" i="7" a="1"/>
  <c r="S411" i="7" s="1"/>
  <c r="S412" i="7" a="1"/>
  <c r="S412" i="7" s="1"/>
  <c r="S413" i="7" a="1"/>
  <c r="S413" i="7" s="1"/>
  <c r="S414" i="7" a="1"/>
  <c r="S414" i="7" s="1"/>
  <c r="S415" i="7" a="1"/>
  <c r="S415" i="7" s="1"/>
  <c r="S416" i="7" a="1"/>
  <c r="S416" i="7" s="1"/>
  <c r="S417" i="7" a="1"/>
  <c r="S417" i="7" s="1"/>
  <c r="S418" i="7" a="1"/>
  <c r="S418" i="7" s="1"/>
  <c r="S419" i="7" a="1"/>
  <c r="S419" i="7" s="1"/>
  <c r="S420" i="7" a="1"/>
  <c r="S420" i="7" s="1"/>
  <c r="S421" i="7" a="1"/>
  <c r="S421" i="7" s="1"/>
  <c r="S422" i="7" a="1"/>
  <c r="S422" i="7" s="1"/>
  <c r="S423" i="7" a="1"/>
  <c r="S423" i="7" s="1"/>
  <c r="S424" i="7" a="1"/>
  <c r="S424" i="7" s="1"/>
  <c r="S425" i="7" a="1"/>
  <c r="S425" i="7" s="1"/>
  <c r="S426" i="7" a="1"/>
  <c r="S426" i="7" s="1"/>
  <c r="S427" i="7" a="1"/>
  <c r="S427" i="7" s="1"/>
  <c r="S428" i="7" a="1"/>
  <c r="S428" i="7" s="1"/>
  <c r="S429" i="7" a="1"/>
  <c r="S429" i="7" s="1"/>
  <c r="S430" i="7" a="1"/>
  <c r="S430" i="7" s="1"/>
  <c r="S431" i="7" a="1"/>
  <c r="S431" i="7" s="1"/>
  <c r="S432" i="7" a="1"/>
  <c r="S432" i="7" s="1"/>
  <c r="S433" i="7" a="1"/>
  <c r="S433" i="7" s="1"/>
  <c r="S434" i="7" a="1"/>
  <c r="S434" i="7" s="1"/>
  <c r="S435" i="7" a="1"/>
  <c r="S435" i="7" s="1"/>
  <c r="S436" i="7" a="1"/>
  <c r="S436" i="7" s="1"/>
  <c r="S437" i="7" a="1"/>
  <c r="S437" i="7" s="1"/>
  <c r="S438" i="7" a="1"/>
  <c r="S438" i="7" s="1"/>
  <c r="S439" i="7" a="1"/>
  <c r="S439" i="7" s="1"/>
  <c r="S440" i="7" a="1"/>
  <c r="S440" i="7" s="1"/>
  <c r="S441" i="7" a="1"/>
  <c r="S441" i="7" s="1"/>
  <c r="S442" i="7" a="1"/>
  <c r="S442" i="7" s="1"/>
  <c r="S443" i="7" a="1"/>
  <c r="S443" i="7" s="1"/>
  <c r="S444" i="7" a="1"/>
  <c r="S444" i="7" s="1"/>
  <c r="S445" i="7" a="1"/>
  <c r="S445" i="7" s="1"/>
  <c r="S446" i="7" a="1"/>
  <c r="S446" i="7" s="1"/>
  <c r="S447" i="7" a="1"/>
  <c r="S447" i="7" s="1"/>
  <c r="S448" i="7" a="1"/>
  <c r="S448" i="7" s="1"/>
  <c r="S449" i="7" a="1"/>
  <c r="S449" i="7" s="1"/>
  <c r="S450" i="7" a="1"/>
  <c r="S450" i="7" s="1"/>
  <c r="S451" i="7" a="1"/>
  <c r="S451" i="7" s="1"/>
  <c r="S452" i="7" a="1"/>
  <c r="S452" i="7" s="1"/>
  <c r="S453" i="7" a="1"/>
  <c r="S453" i="7" s="1"/>
  <c r="S454" i="7" a="1"/>
  <c r="S454" i="7" s="1"/>
  <c r="S455" i="7" a="1"/>
  <c r="S455" i="7" s="1"/>
  <c r="S456" i="7" a="1"/>
  <c r="S456" i="7" s="1"/>
  <c r="S457" i="7" a="1"/>
  <c r="S457" i="7" s="1"/>
  <c r="S458" i="7" a="1"/>
  <c r="S458" i="7" s="1"/>
  <c r="S459" i="7" a="1"/>
  <c r="S459" i="7" s="1"/>
  <c r="S460" i="7" a="1"/>
  <c r="S460" i="7" s="1"/>
  <c r="S461" i="7" a="1"/>
  <c r="S461" i="7" s="1"/>
  <c r="S462" i="7" a="1"/>
  <c r="S462" i="7" s="1"/>
  <c r="S463" i="7" a="1"/>
  <c r="S463" i="7" s="1"/>
  <c r="S464" i="7" a="1"/>
  <c r="S464" i="7" s="1"/>
  <c r="S465" i="7" a="1"/>
  <c r="S465" i="7" s="1"/>
  <c r="S466" i="7" a="1"/>
  <c r="S466" i="7" s="1"/>
  <c r="S467" i="7" a="1"/>
  <c r="S467" i="7" s="1"/>
  <c r="S468" i="7" a="1"/>
  <c r="S468" i="7" s="1"/>
  <c r="S469" i="7" a="1"/>
  <c r="S469" i="7" s="1"/>
  <c r="S470" i="7" a="1"/>
  <c r="S470" i="7" s="1"/>
  <c r="S471" i="7" a="1"/>
  <c r="S471" i="7" s="1"/>
  <c r="S472" i="7" a="1"/>
  <c r="S472" i="7" s="1"/>
  <c r="S473" i="7" a="1"/>
  <c r="S473" i="7" s="1"/>
  <c r="S474" i="7" a="1"/>
  <c r="S474" i="7" s="1"/>
  <c r="S475" i="7" a="1"/>
  <c r="S475" i="7" s="1"/>
  <c r="S476" i="7" a="1"/>
  <c r="S476" i="7" s="1"/>
  <c r="S477" i="7" a="1"/>
  <c r="S477" i="7" s="1"/>
  <c r="S478" i="7" a="1"/>
  <c r="S478" i="7" s="1"/>
  <c r="S479" i="7" a="1"/>
  <c r="S479" i="7" s="1"/>
  <c r="S480" i="7" a="1"/>
  <c r="S480" i="7" s="1"/>
  <c r="S481" i="7" a="1"/>
  <c r="S481" i="7" s="1"/>
  <c r="S482" i="7" a="1"/>
  <c r="S482" i="7" s="1"/>
  <c r="S483" i="7" a="1"/>
  <c r="S483" i="7" s="1"/>
  <c r="S484" i="7" a="1"/>
  <c r="S484" i="7" s="1"/>
  <c r="S485" i="7" a="1"/>
  <c r="S485" i="7" s="1"/>
  <c r="S486" i="7" a="1"/>
  <c r="S486" i="7" s="1"/>
  <c r="S487" i="7" a="1"/>
  <c r="S487" i="7" s="1"/>
  <c r="S488" i="7" a="1"/>
  <c r="S488" i="7" s="1"/>
  <c r="S489" i="7" a="1"/>
  <c r="S489" i="7" s="1"/>
  <c r="S490" i="7" a="1"/>
  <c r="S490" i="7" s="1"/>
  <c r="S491" i="7" a="1"/>
  <c r="S491" i="7" s="1"/>
  <c r="S492" i="7" a="1"/>
  <c r="S492" i="7" s="1"/>
  <c r="S493" i="7" a="1"/>
  <c r="S493" i="7" s="1"/>
  <c r="S494" i="7" a="1"/>
  <c r="S494" i="7" s="1"/>
  <c r="S495" i="7" a="1"/>
  <c r="S495" i="7" s="1"/>
  <c r="S496" i="7" a="1"/>
  <c r="S496" i="7" s="1"/>
  <c r="S497" i="7" a="1"/>
  <c r="S497" i="7" s="1"/>
  <c r="S498" i="7" a="1"/>
  <c r="S498" i="7" s="1"/>
  <c r="S499" i="7" a="1"/>
  <c r="S499" i="7" s="1"/>
  <c r="V7" i="7" l="1" a="1"/>
  <c r="V7" i="7" s="1"/>
  <c r="W7" i="7"/>
  <c r="U9" i="7"/>
  <c r="U10" i="7"/>
  <c r="U12" i="7"/>
  <c r="U13" i="7"/>
  <c r="U17" i="7"/>
  <c r="U18" i="7"/>
  <c r="U20" i="7"/>
  <c r="U21" i="7"/>
  <c r="U25" i="7"/>
  <c r="U26" i="7"/>
  <c r="U28" i="7"/>
  <c r="U29" i="7"/>
  <c r="U33" i="7"/>
  <c r="U34" i="7"/>
  <c r="U36" i="7"/>
  <c r="U37" i="7"/>
  <c r="U41" i="7"/>
  <c r="U44" i="7"/>
  <c r="U45" i="7"/>
  <c r="U49" i="7"/>
  <c r="U52" i="7"/>
  <c r="U53" i="7"/>
  <c r="U57" i="7"/>
  <c r="U60" i="7"/>
  <c r="U61" i="7"/>
  <c r="U65" i="7"/>
  <c r="U68" i="7"/>
  <c r="U69" i="7"/>
  <c r="U73" i="7"/>
  <c r="U76" i="7"/>
  <c r="U81" i="7"/>
  <c r="U84" i="7"/>
  <c r="U89" i="7"/>
  <c r="U92" i="7"/>
  <c r="U97" i="7"/>
  <c r="U100" i="7"/>
  <c r="U105" i="7"/>
  <c r="U108" i="7"/>
  <c r="U109" i="7"/>
  <c r="U113" i="7"/>
  <c r="U116" i="7"/>
  <c r="U121" i="7"/>
  <c r="U124" i="7"/>
  <c r="U129" i="7"/>
  <c r="U132" i="7"/>
  <c r="U137" i="7"/>
  <c r="U140" i="7"/>
  <c r="U145" i="7"/>
  <c r="U148" i="7"/>
  <c r="U153" i="7"/>
  <c r="U156" i="7"/>
  <c r="U161" i="7"/>
  <c r="U164" i="7"/>
  <c r="U169" i="7"/>
  <c r="U172" i="7"/>
  <c r="U173" i="7"/>
  <c r="U177" i="7"/>
  <c r="U180" i="7"/>
  <c r="U185" i="7"/>
  <c r="U188" i="7"/>
  <c r="U193" i="7"/>
  <c r="U196" i="7"/>
  <c r="U204" i="7"/>
  <c r="U212" i="7"/>
  <c r="U220" i="7"/>
  <c r="U228" i="7"/>
  <c r="U236" i="7"/>
  <c r="U237" i="7"/>
  <c r="U244" i="7"/>
  <c r="U252" i="7"/>
  <c r="U260" i="7"/>
  <c r="U268" i="7"/>
  <c r="U276" i="7"/>
  <c r="U284" i="7"/>
  <c r="U292" i="7"/>
  <c r="U300" i="7"/>
  <c r="U308" i="7"/>
  <c r="U316" i="7"/>
  <c r="U324" i="7"/>
  <c r="U332" i="7"/>
  <c r="U340" i="7"/>
  <c r="U348" i="7"/>
  <c r="U356" i="7"/>
  <c r="U364" i="7"/>
  <c r="U372" i="7"/>
  <c r="U380" i="7"/>
  <c r="U473" i="7" l="1"/>
  <c r="U465" i="7"/>
  <c r="U457" i="7"/>
  <c r="U449" i="7"/>
  <c r="U441" i="7"/>
  <c r="U433" i="7"/>
  <c r="U425" i="7"/>
  <c r="U417" i="7"/>
  <c r="U409" i="7"/>
  <c r="U401" i="7"/>
  <c r="U393" i="7"/>
  <c r="U385" i="7"/>
  <c r="U377" i="7"/>
  <c r="U369" i="7"/>
  <c r="U361" i="7"/>
  <c r="U353" i="7"/>
  <c r="U345" i="7"/>
  <c r="U337" i="7"/>
  <c r="U329" i="7"/>
  <c r="U321" i="7"/>
  <c r="U313" i="7"/>
  <c r="U305" i="7"/>
  <c r="U297" i="7"/>
  <c r="U289" i="7"/>
  <c r="U281" i="7"/>
  <c r="U273" i="7"/>
  <c r="U265" i="7"/>
  <c r="U257" i="7"/>
  <c r="U249" i="7"/>
  <c r="U241" i="7"/>
  <c r="U233" i="7"/>
  <c r="U225" i="7"/>
  <c r="U217" i="7"/>
  <c r="U209" i="7"/>
  <c r="U201" i="7"/>
  <c r="U429" i="7"/>
  <c r="U365" i="7"/>
  <c r="U493" i="7"/>
  <c r="U489" i="7"/>
  <c r="U497" i="7"/>
  <c r="U481" i="7"/>
  <c r="U240" i="7"/>
  <c r="U232" i="7"/>
  <c r="U224" i="7"/>
  <c r="U216" i="7"/>
  <c r="U208" i="7"/>
  <c r="U200" i="7"/>
  <c r="U192" i="7"/>
  <c r="U184" i="7"/>
  <c r="U176" i="7"/>
  <c r="U168" i="7"/>
  <c r="U160" i="7"/>
  <c r="U152" i="7"/>
  <c r="U144" i="7"/>
  <c r="U136" i="7"/>
  <c r="U128" i="7"/>
  <c r="U120" i="7"/>
  <c r="U112" i="7"/>
  <c r="U104" i="7"/>
  <c r="U96" i="7"/>
  <c r="U88" i="7"/>
  <c r="U80" i="7"/>
  <c r="U72" i="7"/>
  <c r="U64" i="7"/>
  <c r="U56" i="7"/>
  <c r="U48" i="7"/>
  <c r="U40" i="7"/>
  <c r="U32" i="7"/>
  <c r="U24" i="7"/>
  <c r="U16" i="7"/>
  <c r="U8" i="7"/>
  <c r="U90" i="7"/>
  <c r="U82" i="7"/>
  <c r="U74" i="7"/>
  <c r="U66" i="7"/>
  <c r="U58" i="7"/>
  <c r="U50" i="7"/>
  <c r="U42" i="7"/>
  <c r="U31" i="7"/>
  <c r="U7" i="7"/>
  <c r="U39" i="7"/>
  <c r="U23" i="7"/>
  <c r="U15" i="7"/>
  <c r="U490" i="7"/>
  <c r="U474" i="7"/>
  <c r="U458" i="7"/>
  <c r="U442" i="7"/>
  <c r="U426" i="7"/>
  <c r="U410" i="7"/>
  <c r="U394" i="7"/>
  <c r="U378" i="7"/>
  <c r="U362" i="7"/>
  <c r="U338" i="7"/>
  <c r="U322" i="7"/>
  <c r="U306" i="7"/>
  <c r="U290" i="7"/>
  <c r="U282" i="7"/>
  <c r="U266" i="7"/>
  <c r="U250" i="7"/>
  <c r="U242" i="7"/>
  <c r="U234" i="7"/>
  <c r="U226" i="7"/>
  <c r="U218" i="7"/>
  <c r="U210" i="7"/>
  <c r="U202" i="7"/>
  <c r="U194" i="7"/>
  <c r="U186" i="7"/>
  <c r="U178" i="7"/>
  <c r="U170" i="7"/>
  <c r="U162" i="7"/>
  <c r="U154" i="7"/>
  <c r="U146" i="7"/>
  <c r="U138" i="7"/>
  <c r="U130" i="7"/>
  <c r="U122" i="7"/>
  <c r="U114" i="7"/>
  <c r="U106" i="7"/>
  <c r="U98" i="7"/>
  <c r="U498" i="7"/>
  <c r="U482" i="7"/>
  <c r="U466" i="7"/>
  <c r="U450" i="7"/>
  <c r="U434" i="7"/>
  <c r="U418" i="7"/>
  <c r="U402" i="7"/>
  <c r="U386" i="7"/>
  <c r="U370" i="7"/>
  <c r="U354" i="7"/>
  <c r="U346" i="7"/>
  <c r="U330" i="7"/>
  <c r="U314" i="7"/>
  <c r="U298" i="7"/>
  <c r="U274" i="7"/>
  <c r="U258" i="7"/>
  <c r="U301" i="7"/>
  <c r="U485" i="7"/>
  <c r="U477" i="7"/>
  <c r="U469" i="7"/>
  <c r="U461" i="7"/>
  <c r="U453" i="7"/>
  <c r="U445" i="7"/>
  <c r="U437" i="7"/>
  <c r="U421" i="7"/>
  <c r="U413" i="7"/>
  <c r="U405" i="7"/>
  <c r="U397" i="7"/>
  <c r="U389" i="7"/>
  <c r="U381" i="7"/>
  <c r="U373" i="7"/>
  <c r="U357" i="7"/>
  <c r="U349" i="7"/>
  <c r="U341" i="7"/>
  <c r="U333" i="7"/>
  <c r="U325" i="7"/>
  <c r="U317" i="7"/>
  <c r="U309" i="7"/>
  <c r="U293" i="7"/>
  <c r="U285" i="7"/>
  <c r="U277" i="7"/>
  <c r="U269" i="7"/>
  <c r="U261" i="7"/>
  <c r="U253" i="7"/>
  <c r="U245" i="7"/>
  <c r="U229" i="7"/>
  <c r="U221" i="7"/>
  <c r="U213" i="7"/>
  <c r="U205" i="7"/>
  <c r="U197" i="7"/>
  <c r="U189" i="7"/>
  <c r="U181" i="7"/>
  <c r="U165" i="7"/>
  <c r="U157" i="7"/>
  <c r="U149" i="7"/>
  <c r="U141" i="7"/>
  <c r="U133" i="7"/>
  <c r="U125" i="7"/>
  <c r="U117" i="7"/>
  <c r="U101" i="7"/>
  <c r="U93" i="7"/>
  <c r="U85" i="7"/>
  <c r="U77" i="7"/>
  <c r="U499" i="7"/>
  <c r="U491" i="7"/>
  <c r="U483" i="7"/>
  <c r="U475" i="7"/>
  <c r="U467" i="7"/>
  <c r="U459" i="7"/>
  <c r="U451" i="7"/>
  <c r="U443" i="7"/>
  <c r="U435" i="7"/>
  <c r="U427" i="7"/>
  <c r="U419" i="7"/>
  <c r="U411" i="7"/>
  <c r="U403" i="7"/>
  <c r="U395" i="7"/>
  <c r="U387" i="7"/>
  <c r="U379" i="7"/>
  <c r="U371" i="7"/>
  <c r="U363" i="7"/>
  <c r="U355" i="7"/>
  <c r="U347" i="7"/>
  <c r="U339" i="7"/>
  <c r="U331" i="7"/>
  <c r="U323" i="7"/>
  <c r="U315" i="7"/>
  <c r="U307" i="7"/>
  <c r="U299" i="7"/>
  <c r="U291" i="7"/>
  <c r="U283" i="7"/>
  <c r="U275" i="7"/>
  <c r="U267" i="7"/>
  <c r="U259" i="7"/>
  <c r="U251" i="7"/>
  <c r="U243" i="7"/>
  <c r="U235" i="7"/>
  <c r="U227" i="7"/>
  <c r="U219" i="7"/>
  <c r="U211" i="7"/>
  <c r="U203" i="7"/>
  <c r="U195" i="7"/>
  <c r="U187" i="7"/>
  <c r="U179" i="7"/>
  <c r="U171" i="7"/>
  <c r="U163" i="7"/>
  <c r="U155" i="7"/>
  <c r="U147" i="7"/>
  <c r="U139" i="7"/>
  <c r="U131" i="7"/>
  <c r="U123" i="7"/>
  <c r="U115" i="7"/>
  <c r="U107" i="7"/>
  <c r="U99" i="7"/>
  <c r="U91" i="7"/>
  <c r="U83" i="7"/>
  <c r="U75" i="7"/>
  <c r="U67" i="7"/>
  <c r="U59" i="7"/>
  <c r="U51" i="7"/>
  <c r="U43" i="7"/>
  <c r="U35" i="7"/>
  <c r="U27" i="7"/>
  <c r="U19" i="7"/>
  <c r="U11" i="7"/>
  <c r="U495" i="7"/>
  <c r="U487" i="7"/>
  <c r="U479" i="7"/>
  <c r="U471" i="7"/>
  <c r="U463" i="7"/>
  <c r="U455" i="7"/>
  <c r="U447" i="7"/>
  <c r="U439" i="7"/>
  <c r="U431" i="7"/>
  <c r="U423" i="7"/>
  <c r="U415" i="7"/>
  <c r="U407" i="7"/>
  <c r="U399" i="7"/>
  <c r="U391" i="7"/>
  <c r="U383" i="7"/>
  <c r="U375" i="7"/>
  <c r="U367" i="7"/>
  <c r="U359" i="7"/>
  <c r="U351" i="7"/>
  <c r="U343" i="7"/>
  <c r="U335" i="7"/>
  <c r="U327" i="7"/>
  <c r="U319" i="7"/>
  <c r="U311" i="7"/>
  <c r="U303" i="7"/>
  <c r="U295" i="7"/>
  <c r="U287" i="7"/>
  <c r="U279" i="7"/>
  <c r="U271" i="7"/>
  <c r="U263" i="7"/>
  <c r="U255" i="7"/>
  <c r="U247" i="7"/>
  <c r="U239" i="7"/>
  <c r="U231" i="7"/>
  <c r="U223" i="7"/>
  <c r="U215" i="7"/>
  <c r="U207" i="7"/>
  <c r="U199" i="7"/>
  <c r="U191" i="7"/>
  <c r="U183" i="7"/>
  <c r="U175" i="7"/>
  <c r="U167" i="7"/>
  <c r="U159" i="7"/>
  <c r="U151" i="7"/>
  <c r="U143" i="7"/>
  <c r="U135" i="7"/>
  <c r="U127" i="7"/>
  <c r="U119" i="7"/>
  <c r="U111" i="7"/>
  <c r="U103" i="7"/>
  <c r="U95" i="7"/>
  <c r="U87" i="7"/>
  <c r="U79" i="7"/>
  <c r="U71" i="7"/>
  <c r="U63" i="7"/>
  <c r="U55" i="7"/>
  <c r="U47" i="7"/>
  <c r="U496" i="7"/>
  <c r="U488" i="7"/>
  <c r="U480" i="7"/>
  <c r="U472" i="7"/>
  <c r="U464" i="7"/>
  <c r="U456" i="7"/>
  <c r="U448" i="7"/>
  <c r="U440" i="7"/>
  <c r="U432" i="7"/>
  <c r="U424" i="7"/>
  <c r="U416" i="7"/>
  <c r="U408" i="7"/>
  <c r="U400" i="7"/>
  <c r="U392" i="7"/>
  <c r="U384" i="7"/>
  <c r="U376" i="7"/>
  <c r="U368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U256" i="7"/>
  <c r="U248" i="7"/>
  <c r="U494" i="7"/>
  <c r="U478" i="7"/>
  <c r="U462" i="7"/>
  <c r="U446" i="7"/>
  <c r="U430" i="7"/>
  <c r="U414" i="7"/>
  <c r="U398" i="7"/>
  <c r="U382" i="7"/>
  <c r="U374" i="7"/>
  <c r="U366" i="7"/>
  <c r="U358" i="7"/>
  <c r="U350" i="7"/>
  <c r="U342" i="7"/>
  <c r="U334" i="7"/>
  <c r="U326" i="7"/>
  <c r="U318" i="7"/>
  <c r="U310" i="7"/>
  <c r="U302" i="7"/>
  <c r="U294" i="7"/>
  <c r="U286" i="7"/>
  <c r="U278" i="7"/>
  <c r="U270" i="7"/>
  <c r="U262" i="7"/>
  <c r="U254" i="7"/>
  <c r="U246" i="7"/>
  <c r="U238" i="7"/>
  <c r="U230" i="7"/>
  <c r="U222" i="7"/>
  <c r="U214" i="7"/>
  <c r="U206" i="7"/>
  <c r="U198" i="7"/>
  <c r="U190" i="7"/>
  <c r="U182" i="7"/>
  <c r="U174" i="7"/>
  <c r="U166" i="7"/>
  <c r="U158" i="7"/>
  <c r="U150" i="7"/>
  <c r="U142" i="7"/>
  <c r="U134" i="7"/>
  <c r="U126" i="7"/>
  <c r="U118" i="7"/>
  <c r="U110" i="7"/>
  <c r="U102" i="7"/>
  <c r="U94" i="7"/>
  <c r="U86" i="7"/>
  <c r="U78" i="7"/>
  <c r="U70" i="7"/>
  <c r="U62" i="7"/>
  <c r="U54" i="7"/>
  <c r="U46" i="7"/>
  <c r="U38" i="7"/>
  <c r="U30" i="7"/>
  <c r="U22" i="7"/>
  <c r="U14" i="7"/>
  <c r="U486" i="7"/>
  <c r="U470" i="7"/>
  <c r="U454" i="7"/>
  <c r="U438" i="7"/>
  <c r="U422" i="7"/>
  <c r="U406" i="7"/>
  <c r="U390" i="7"/>
  <c r="U492" i="7"/>
  <c r="U484" i="7"/>
  <c r="U476" i="7"/>
  <c r="U468" i="7"/>
  <c r="U460" i="7"/>
  <c r="U452" i="7"/>
  <c r="U444" i="7"/>
  <c r="U436" i="7"/>
  <c r="U428" i="7"/>
  <c r="U420" i="7"/>
  <c r="U412" i="7"/>
  <c r="U404" i="7"/>
  <c r="U396" i="7"/>
  <c r="U388" i="7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I7" i="7" l="1"/>
  <c r="J7" i="7"/>
  <c r="V18" i="7" a="1"/>
  <c r="V18" i="7" s="1"/>
  <c r="V8" i="7" a="1"/>
  <c r="V8" i="7" s="1"/>
  <c r="Y8" i="7" s="1"/>
  <c r="V9" i="7" a="1"/>
  <c r="V9" i="7" s="1"/>
  <c r="V10" i="7" a="1"/>
  <c r="V10" i="7" s="1"/>
  <c r="V11" i="7" a="1"/>
  <c r="V11" i="7" s="1"/>
  <c r="V12" i="7" a="1"/>
  <c r="V12" i="7" s="1"/>
  <c r="V13" i="7" a="1"/>
  <c r="V13" i="7" s="1"/>
  <c r="V14" i="7" a="1"/>
  <c r="V14" i="7" s="1"/>
  <c r="V15" i="7" a="1"/>
  <c r="V15" i="7" s="1"/>
  <c r="V16" i="7" a="1"/>
  <c r="V16" i="7" s="1"/>
  <c r="V17" i="7" a="1"/>
  <c r="V17" i="7" s="1"/>
  <c r="V19" i="7" a="1"/>
  <c r="V19" i="7" s="1"/>
  <c r="V20" i="7" a="1"/>
  <c r="V20" i="7" s="1"/>
  <c r="V21" i="7" a="1"/>
  <c r="V21" i="7" s="1"/>
  <c r="V22" i="7" a="1"/>
  <c r="V22" i="7" s="1"/>
  <c r="V23" i="7" a="1"/>
  <c r="V23" i="7" s="1"/>
  <c r="V24" i="7" a="1"/>
  <c r="V24" i="7" s="1"/>
  <c r="V25" i="7" a="1"/>
  <c r="V25" i="7" s="1"/>
  <c r="V26" i="7" a="1"/>
  <c r="V26" i="7" s="1"/>
  <c r="V27" i="7" a="1"/>
  <c r="V27" i="7" s="1"/>
  <c r="V28" i="7" a="1"/>
  <c r="V28" i="7" s="1"/>
  <c r="V29" i="7" a="1"/>
  <c r="V29" i="7" s="1"/>
  <c r="V30" i="7" a="1"/>
  <c r="V30" i="7" s="1"/>
  <c r="V31" i="7" a="1"/>
  <c r="V31" i="7" s="1"/>
  <c r="V32" i="7" a="1"/>
  <c r="V32" i="7" s="1"/>
  <c r="V33" i="7" a="1"/>
  <c r="V33" i="7" s="1"/>
  <c r="V34" i="7" a="1"/>
  <c r="V34" i="7" s="1"/>
  <c r="V35" i="7" a="1"/>
  <c r="V35" i="7" s="1"/>
  <c r="V36" i="7" a="1"/>
  <c r="V36" i="7" s="1"/>
  <c r="V37" i="7" a="1"/>
  <c r="V37" i="7" s="1"/>
  <c r="V38" i="7" a="1"/>
  <c r="V38" i="7" s="1"/>
  <c r="V39" i="7" a="1"/>
  <c r="V39" i="7" s="1"/>
  <c r="V40" i="7" a="1"/>
  <c r="V40" i="7" s="1"/>
  <c r="V41" i="7" a="1"/>
  <c r="V41" i="7" s="1"/>
  <c r="V42" i="7" a="1"/>
  <c r="V42" i="7" s="1"/>
  <c r="V43" i="7" a="1"/>
  <c r="V43" i="7" s="1"/>
  <c r="V44" i="7" a="1"/>
  <c r="V44" i="7" s="1"/>
  <c r="V45" i="7" a="1"/>
  <c r="V45" i="7" s="1"/>
  <c r="V46" i="7" a="1"/>
  <c r="V46" i="7" s="1"/>
  <c r="V47" i="7" a="1"/>
  <c r="V47" i="7" s="1"/>
  <c r="V48" i="7" a="1"/>
  <c r="V48" i="7" s="1"/>
  <c r="V49" i="7" a="1"/>
  <c r="V49" i="7" s="1"/>
  <c r="V50" i="7" a="1"/>
  <c r="V50" i="7" s="1"/>
  <c r="V51" i="7" a="1"/>
  <c r="V51" i="7" s="1"/>
  <c r="V52" i="7" a="1"/>
  <c r="V52" i="7" s="1"/>
  <c r="V53" i="7" a="1"/>
  <c r="V53" i="7" s="1"/>
  <c r="V54" i="7" a="1"/>
  <c r="V54" i="7" s="1"/>
  <c r="V55" i="7" a="1"/>
  <c r="V55" i="7" s="1"/>
  <c r="V56" i="7" a="1"/>
  <c r="V56" i="7" s="1"/>
  <c r="V57" i="7" a="1"/>
  <c r="V57" i="7" s="1"/>
  <c r="V58" i="7" a="1"/>
  <c r="V58" i="7" s="1"/>
  <c r="V59" i="7" a="1"/>
  <c r="V59" i="7" s="1"/>
  <c r="V60" i="7" a="1"/>
  <c r="V60" i="7" s="1"/>
  <c r="V61" i="7" a="1"/>
  <c r="V61" i="7" s="1"/>
  <c r="V62" i="7" a="1"/>
  <c r="V62" i="7" s="1"/>
  <c r="V63" i="7" a="1"/>
  <c r="V63" i="7" s="1"/>
  <c r="V64" i="7" a="1"/>
  <c r="V64" i="7" s="1"/>
  <c r="V65" i="7" a="1"/>
  <c r="V65" i="7" s="1"/>
  <c r="V66" i="7" a="1"/>
  <c r="V66" i="7" s="1"/>
  <c r="V67" i="7" a="1"/>
  <c r="V67" i="7" s="1"/>
  <c r="V68" i="7" a="1"/>
  <c r="V68" i="7" s="1"/>
  <c r="V69" i="7" a="1"/>
  <c r="V69" i="7" s="1"/>
  <c r="V70" i="7" a="1"/>
  <c r="V70" i="7" s="1"/>
  <c r="V71" i="7" a="1"/>
  <c r="V71" i="7" s="1"/>
  <c r="V72" i="7" a="1"/>
  <c r="V72" i="7" s="1"/>
  <c r="V73" i="7" a="1"/>
  <c r="V73" i="7" s="1"/>
  <c r="V74" i="7" a="1"/>
  <c r="V74" i="7" s="1"/>
  <c r="V75" i="7" a="1"/>
  <c r="V75" i="7" s="1"/>
  <c r="V76" i="7" a="1"/>
  <c r="V76" i="7" s="1"/>
  <c r="V77" i="7" a="1"/>
  <c r="V77" i="7" s="1"/>
  <c r="V78" i="7" a="1"/>
  <c r="V78" i="7" s="1"/>
  <c r="V79" i="7" a="1"/>
  <c r="V79" i="7" s="1"/>
  <c r="V80" i="7" a="1"/>
  <c r="V80" i="7" s="1"/>
  <c r="V81" i="7" a="1"/>
  <c r="V81" i="7" s="1"/>
  <c r="V82" i="7" a="1"/>
  <c r="V82" i="7" s="1"/>
  <c r="V83" i="7" a="1"/>
  <c r="V83" i="7" s="1"/>
  <c r="V84" i="7" a="1"/>
  <c r="V84" i="7" s="1"/>
  <c r="V85" i="7" a="1"/>
  <c r="V85" i="7" s="1"/>
  <c r="V86" i="7" a="1"/>
  <c r="V86" i="7" s="1"/>
  <c r="V87" i="7" a="1"/>
  <c r="V87" i="7" s="1"/>
  <c r="V88" i="7" a="1"/>
  <c r="V88" i="7" s="1"/>
  <c r="V89" i="7" a="1"/>
  <c r="V89" i="7" s="1"/>
  <c r="V90" i="7" a="1"/>
  <c r="V90" i="7" s="1"/>
  <c r="V91" i="7" a="1"/>
  <c r="V91" i="7" s="1"/>
  <c r="V92" i="7" a="1"/>
  <c r="V92" i="7" s="1"/>
  <c r="V93" i="7" a="1"/>
  <c r="V93" i="7" s="1"/>
  <c r="V94" i="7" a="1"/>
  <c r="V94" i="7" s="1"/>
  <c r="V95" i="7" a="1"/>
  <c r="V95" i="7" s="1"/>
  <c r="V96" i="7" a="1"/>
  <c r="V96" i="7" s="1"/>
  <c r="V97" i="7" a="1"/>
  <c r="V97" i="7" s="1"/>
  <c r="V98" i="7" a="1"/>
  <c r="V98" i="7" s="1"/>
  <c r="V99" i="7" a="1"/>
  <c r="V99" i="7" s="1"/>
  <c r="V100" i="7" a="1"/>
  <c r="V100" i="7" s="1"/>
  <c r="V101" i="7" a="1"/>
  <c r="V101" i="7" s="1"/>
  <c r="V102" i="7" a="1"/>
  <c r="V102" i="7" s="1"/>
  <c r="V103" i="7" a="1"/>
  <c r="V103" i="7" s="1"/>
  <c r="V104" i="7" a="1"/>
  <c r="V104" i="7" s="1"/>
  <c r="V105" i="7" a="1"/>
  <c r="V105" i="7" s="1"/>
  <c r="V106" i="7" a="1"/>
  <c r="V106" i="7" s="1"/>
  <c r="V107" i="7" a="1"/>
  <c r="V107" i="7" s="1"/>
  <c r="V108" i="7" a="1"/>
  <c r="V108" i="7" s="1"/>
  <c r="V109" i="7" a="1"/>
  <c r="V109" i="7" s="1"/>
  <c r="V110" i="7" a="1"/>
  <c r="V110" i="7" s="1"/>
  <c r="V111" i="7" a="1"/>
  <c r="V111" i="7" s="1"/>
  <c r="V112" i="7" a="1"/>
  <c r="V112" i="7" s="1"/>
  <c r="V113" i="7" a="1"/>
  <c r="V113" i="7" s="1"/>
  <c r="V114" i="7" a="1"/>
  <c r="V114" i="7" s="1"/>
  <c r="V115" i="7" a="1"/>
  <c r="V115" i="7" s="1"/>
  <c r="V116" i="7" a="1"/>
  <c r="V116" i="7" s="1"/>
  <c r="V117" i="7" a="1"/>
  <c r="V117" i="7" s="1"/>
  <c r="V118" i="7" a="1"/>
  <c r="V118" i="7" s="1"/>
  <c r="V119" i="7" a="1"/>
  <c r="V119" i="7" s="1"/>
  <c r="V120" i="7" a="1"/>
  <c r="V120" i="7" s="1"/>
  <c r="V121" i="7" a="1"/>
  <c r="V121" i="7" s="1"/>
  <c r="V122" i="7" a="1"/>
  <c r="V122" i="7" s="1"/>
  <c r="V123" i="7" a="1"/>
  <c r="V123" i="7" s="1"/>
  <c r="V124" i="7" a="1"/>
  <c r="V124" i="7" s="1"/>
  <c r="V125" i="7" a="1"/>
  <c r="V125" i="7" s="1"/>
  <c r="V126" i="7" a="1"/>
  <c r="V126" i="7" s="1"/>
  <c r="V127" i="7" a="1"/>
  <c r="V127" i="7" s="1"/>
  <c r="V128" i="7" a="1"/>
  <c r="V128" i="7" s="1"/>
  <c r="V129" i="7" a="1"/>
  <c r="V129" i="7" s="1"/>
  <c r="V130" i="7" a="1"/>
  <c r="V130" i="7" s="1"/>
  <c r="V131" i="7" a="1"/>
  <c r="V131" i="7" s="1"/>
  <c r="V132" i="7" a="1"/>
  <c r="V132" i="7" s="1"/>
  <c r="V133" i="7" a="1"/>
  <c r="V133" i="7" s="1"/>
  <c r="V134" i="7" a="1"/>
  <c r="V134" i="7" s="1"/>
  <c r="V135" i="7" a="1"/>
  <c r="V135" i="7" s="1"/>
  <c r="V136" i="7" a="1"/>
  <c r="V136" i="7" s="1"/>
  <c r="V137" i="7" a="1"/>
  <c r="V137" i="7" s="1"/>
  <c r="V138" i="7" a="1"/>
  <c r="V138" i="7" s="1"/>
  <c r="V139" i="7" a="1"/>
  <c r="V139" i="7" s="1"/>
  <c r="V140" i="7" a="1"/>
  <c r="V140" i="7" s="1"/>
  <c r="V141" i="7" a="1"/>
  <c r="V141" i="7" s="1"/>
  <c r="V142" i="7" a="1"/>
  <c r="V142" i="7" s="1"/>
  <c r="V143" i="7" a="1"/>
  <c r="V143" i="7" s="1"/>
  <c r="V144" i="7" a="1"/>
  <c r="V144" i="7" s="1"/>
  <c r="V145" i="7" a="1"/>
  <c r="V145" i="7" s="1"/>
  <c r="V146" i="7" a="1"/>
  <c r="V146" i="7" s="1"/>
  <c r="V147" i="7" a="1"/>
  <c r="V147" i="7" s="1"/>
  <c r="V148" i="7" a="1"/>
  <c r="V148" i="7" s="1"/>
  <c r="V149" i="7" a="1"/>
  <c r="V149" i="7" s="1"/>
  <c r="V150" i="7" a="1"/>
  <c r="V150" i="7" s="1"/>
  <c r="V151" i="7" a="1"/>
  <c r="V151" i="7" s="1"/>
  <c r="V152" i="7" a="1"/>
  <c r="V152" i="7" s="1"/>
  <c r="V153" i="7" a="1"/>
  <c r="V153" i="7" s="1"/>
  <c r="V154" i="7" a="1"/>
  <c r="V154" i="7" s="1"/>
  <c r="V155" i="7" a="1"/>
  <c r="V155" i="7" s="1"/>
  <c r="V156" i="7" a="1"/>
  <c r="V156" i="7" s="1"/>
  <c r="V157" i="7" a="1"/>
  <c r="V157" i="7" s="1"/>
  <c r="V158" i="7" a="1"/>
  <c r="V158" i="7" s="1"/>
  <c r="V159" i="7" a="1"/>
  <c r="V159" i="7" s="1"/>
  <c r="V160" i="7" a="1"/>
  <c r="V160" i="7" s="1"/>
  <c r="V161" i="7" a="1"/>
  <c r="V161" i="7" s="1"/>
  <c r="V162" i="7" a="1"/>
  <c r="V162" i="7" s="1"/>
  <c r="V163" i="7" a="1"/>
  <c r="V163" i="7" s="1"/>
  <c r="V164" i="7" a="1"/>
  <c r="V164" i="7" s="1"/>
  <c r="V165" i="7" a="1"/>
  <c r="V165" i="7" s="1"/>
  <c r="V166" i="7" a="1"/>
  <c r="V166" i="7" s="1"/>
  <c r="V167" i="7" a="1"/>
  <c r="V167" i="7" s="1"/>
  <c r="V168" i="7" a="1"/>
  <c r="V168" i="7" s="1"/>
  <c r="V169" i="7" a="1"/>
  <c r="V169" i="7" s="1"/>
  <c r="V170" i="7" a="1"/>
  <c r="V170" i="7" s="1"/>
  <c r="V171" i="7" a="1"/>
  <c r="V171" i="7" s="1"/>
  <c r="V172" i="7" a="1"/>
  <c r="V172" i="7" s="1"/>
  <c r="V173" i="7" a="1"/>
  <c r="V173" i="7" s="1"/>
  <c r="V174" i="7" a="1"/>
  <c r="V174" i="7" s="1"/>
  <c r="V175" i="7" a="1"/>
  <c r="V175" i="7" s="1"/>
  <c r="V176" i="7" a="1"/>
  <c r="V176" i="7" s="1"/>
  <c r="V177" i="7" a="1"/>
  <c r="V177" i="7" s="1"/>
  <c r="V178" i="7" a="1"/>
  <c r="V178" i="7" s="1"/>
  <c r="V179" i="7" a="1"/>
  <c r="V179" i="7" s="1"/>
  <c r="V180" i="7" a="1"/>
  <c r="V180" i="7" s="1"/>
  <c r="V181" i="7" a="1"/>
  <c r="V181" i="7" s="1"/>
  <c r="V182" i="7" a="1"/>
  <c r="V182" i="7" s="1"/>
  <c r="V183" i="7" a="1"/>
  <c r="V183" i="7" s="1"/>
  <c r="V184" i="7" a="1"/>
  <c r="V184" i="7" s="1"/>
  <c r="V185" i="7" a="1"/>
  <c r="V185" i="7" s="1"/>
  <c r="V186" i="7" a="1"/>
  <c r="V186" i="7" s="1"/>
  <c r="V187" i="7" a="1"/>
  <c r="V187" i="7" s="1"/>
  <c r="V188" i="7" a="1"/>
  <c r="V188" i="7" s="1"/>
  <c r="V189" i="7" a="1"/>
  <c r="V189" i="7" s="1"/>
  <c r="V190" i="7" a="1"/>
  <c r="V190" i="7" s="1"/>
  <c r="V191" i="7" a="1"/>
  <c r="V191" i="7" s="1"/>
  <c r="V192" i="7" a="1"/>
  <c r="V192" i="7" s="1"/>
  <c r="V193" i="7" a="1"/>
  <c r="V193" i="7" s="1"/>
  <c r="V194" i="7" a="1"/>
  <c r="V194" i="7" s="1"/>
  <c r="V195" i="7" a="1"/>
  <c r="V195" i="7" s="1"/>
  <c r="V196" i="7" a="1"/>
  <c r="V196" i="7" s="1"/>
  <c r="V197" i="7" a="1"/>
  <c r="V197" i="7" s="1"/>
  <c r="V198" i="7" a="1"/>
  <c r="V198" i="7" s="1"/>
  <c r="V199" i="7" a="1"/>
  <c r="V199" i="7" s="1"/>
  <c r="V200" i="7" a="1"/>
  <c r="V200" i="7" s="1"/>
  <c r="V201" i="7" a="1"/>
  <c r="V201" i="7" s="1"/>
  <c r="V202" i="7" a="1"/>
  <c r="V202" i="7" s="1"/>
  <c r="V203" i="7" a="1"/>
  <c r="V203" i="7" s="1"/>
  <c r="V204" i="7" a="1"/>
  <c r="V204" i="7" s="1"/>
  <c r="V205" i="7" a="1"/>
  <c r="V205" i="7" s="1"/>
  <c r="V206" i="7" a="1"/>
  <c r="V206" i="7" s="1"/>
  <c r="V207" i="7" a="1"/>
  <c r="V207" i="7" s="1"/>
  <c r="V208" i="7" a="1"/>
  <c r="V208" i="7" s="1"/>
  <c r="V209" i="7" a="1"/>
  <c r="V209" i="7" s="1"/>
  <c r="V210" i="7" a="1"/>
  <c r="V210" i="7" s="1"/>
  <c r="V211" i="7" a="1"/>
  <c r="V211" i="7" s="1"/>
  <c r="V212" i="7" a="1"/>
  <c r="V212" i="7" s="1"/>
  <c r="V213" i="7" a="1"/>
  <c r="V213" i="7" s="1"/>
  <c r="V214" i="7" a="1"/>
  <c r="V214" i="7" s="1"/>
  <c r="V215" i="7" a="1"/>
  <c r="V215" i="7" s="1"/>
  <c r="V216" i="7" a="1"/>
  <c r="V216" i="7" s="1"/>
  <c r="V217" i="7" a="1"/>
  <c r="V217" i="7" s="1"/>
  <c r="V218" i="7" a="1"/>
  <c r="V218" i="7" s="1"/>
  <c r="V219" i="7" a="1"/>
  <c r="V219" i="7" s="1"/>
  <c r="V220" i="7" a="1"/>
  <c r="V220" i="7" s="1"/>
  <c r="V221" i="7" a="1"/>
  <c r="V221" i="7" s="1"/>
  <c r="V222" i="7" a="1"/>
  <c r="V222" i="7" s="1"/>
  <c r="V223" i="7" a="1"/>
  <c r="V223" i="7" s="1"/>
  <c r="V224" i="7" a="1"/>
  <c r="V224" i="7" s="1"/>
  <c r="V225" i="7" a="1"/>
  <c r="V225" i="7" s="1"/>
  <c r="V226" i="7" a="1"/>
  <c r="V226" i="7" s="1"/>
  <c r="V227" i="7" a="1"/>
  <c r="V227" i="7" s="1"/>
  <c r="V228" i="7" a="1"/>
  <c r="V228" i="7" s="1"/>
  <c r="V229" i="7" a="1"/>
  <c r="V229" i="7" s="1"/>
  <c r="V230" i="7" a="1"/>
  <c r="V230" i="7" s="1"/>
  <c r="V231" i="7" a="1"/>
  <c r="V231" i="7" s="1"/>
  <c r="V232" i="7" a="1"/>
  <c r="V232" i="7" s="1"/>
  <c r="V233" i="7" a="1"/>
  <c r="V233" i="7" s="1"/>
  <c r="V234" i="7" a="1"/>
  <c r="V234" i="7" s="1"/>
  <c r="V235" i="7" a="1"/>
  <c r="V235" i="7" s="1"/>
  <c r="V236" i="7" a="1"/>
  <c r="V236" i="7" s="1"/>
  <c r="V237" i="7" a="1"/>
  <c r="V237" i="7" s="1"/>
  <c r="V238" i="7" a="1"/>
  <c r="V238" i="7" s="1"/>
  <c r="V239" i="7" a="1"/>
  <c r="V239" i="7" s="1"/>
  <c r="V240" i="7" a="1"/>
  <c r="V240" i="7" s="1"/>
  <c r="V241" i="7" a="1"/>
  <c r="V241" i="7" s="1"/>
  <c r="V242" i="7" a="1"/>
  <c r="V242" i="7" s="1"/>
  <c r="V243" i="7" a="1"/>
  <c r="V243" i="7" s="1"/>
  <c r="V244" i="7" a="1"/>
  <c r="V244" i="7" s="1"/>
  <c r="V245" i="7" a="1"/>
  <c r="V245" i="7" s="1"/>
  <c r="V246" i="7" a="1"/>
  <c r="V246" i="7" s="1"/>
  <c r="V247" i="7" a="1"/>
  <c r="V247" i="7" s="1"/>
  <c r="V248" i="7" a="1"/>
  <c r="V248" i="7" s="1"/>
  <c r="V249" i="7" a="1"/>
  <c r="V249" i="7" s="1"/>
  <c r="V250" i="7" a="1"/>
  <c r="V250" i="7" s="1"/>
  <c r="V251" i="7" a="1"/>
  <c r="V251" i="7" s="1"/>
  <c r="V252" i="7" a="1"/>
  <c r="V252" i="7" s="1"/>
  <c r="V253" i="7" a="1"/>
  <c r="V253" i="7" s="1"/>
  <c r="V254" i="7" a="1"/>
  <c r="V254" i="7" s="1"/>
  <c r="V255" i="7" a="1"/>
  <c r="V255" i="7" s="1"/>
  <c r="V256" i="7" a="1"/>
  <c r="V256" i="7" s="1"/>
  <c r="V257" i="7" a="1"/>
  <c r="V257" i="7" s="1"/>
  <c r="V258" i="7" a="1"/>
  <c r="V258" i="7" s="1"/>
  <c r="V259" i="7" a="1"/>
  <c r="V259" i="7" s="1"/>
  <c r="V260" i="7" a="1"/>
  <c r="V260" i="7" s="1"/>
  <c r="V261" i="7" a="1"/>
  <c r="V261" i="7" s="1"/>
  <c r="V262" i="7" a="1"/>
  <c r="V262" i="7" s="1"/>
  <c r="V263" i="7" a="1"/>
  <c r="V263" i="7" s="1"/>
  <c r="V264" i="7" a="1"/>
  <c r="V264" i="7" s="1"/>
  <c r="V265" i="7" a="1"/>
  <c r="V265" i="7" s="1"/>
  <c r="V266" i="7" a="1"/>
  <c r="V266" i="7" s="1"/>
  <c r="V267" i="7" a="1"/>
  <c r="V267" i="7" s="1"/>
  <c r="V268" i="7" a="1"/>
  <c r="V268" i="7" s="1"/>
  <c r="V269" i="7" a="1"/>
  <c r="V269" i="7" s="1"/>
  <c r="V270" i="7" a="1"/>
  <c r="V270" i="7" s="1"/>
  <c r="V271" i="7" a="1"/>
  <c r="V271" i="7" s="1"/>
  <c r="V272" i="7" a="1"/>
  <c r="V272" i="7" s="1"/>
  <c r="V273" i="7" a="1"/>
  <c r="V273" i="7" s="1"/>
  <c r="V274" i="7" a="1"/>
  <c r="V274" i="7" s="1"/>
  <c r="V275" i="7" a="1"/>
  <c r="V275" i="7" s="1"/>
  <c r="V276" i="7" a="1"/>
  <c r="V276" i="7" s="1"/>
  <c r="V277" i="7" a="1"/>
  <c r="V277" i="7" s="1"/>
  <c r="V278" i="7" a="1"/>
  <c r="V278" i="7" s="1"/>
  <c r="V279" i="7" a="1"/>
  <c r="V279" i="7" s="1"/>
  <c r="V280" i="7" a="1"/>
  <c r="V280" i="7" s="1"/>
  <c r="V281" i="7" a="1"/>
  <c r="V281" i="7" s="1"/>
  <c r="V282" i="7" a="1"/>
  <c r="V282" i="7" s="1"/>
  <c r="V283" i="7" a="1"/>
  <c r="V283" i="7" s="1"/>
  <c r="V284" i="7" a="1"/>
  <c r="V284" i="7" s="1"/>
  <c r="V285" i="7" a="1"/>
  <c r="V285" i="7" s="1"/>
  <c r="V286" i="7" a="1"/>
  <c r="V286" i="7" s="1"/>
  <c r="V287" i="7" a="1"/>
  <c r="V287" i="7" s="1"/>
  <c r="V288" i="7" a="1"/>
  <c r="V288" i="7" s="1"/>
  <c r="V289" i="7" a="1"/>
  <c r="V289" i="7" s="1"/>
  <c r="V290" i="7" a="1"/>
  <c r="V290" i="7" s="1"/>
  <c r="V291" i="7" a="1"/>
  <c r="V291" i="7" s="1"/>
  <c r="V292" i="7" a="1"/>
  <c r="V292" i="7" s="1"/>
  <c r="V293" i="7" a="1"/>
  <c r="V293" i="7" s="1"/>
  <c r="V294" i="7" a="1"/>
  <c r="V294" i="7" s="1"/>
  <c r="V295" i="7" a="1"/>
  <c r="V295" i="7" s="1"/>
  <c r="V296" i="7" a="1"/>
  <c r="V296" i="7" s="1"/>
  <c r="V297" i="7" a="1"/>
  <c r="V297" i="7" s="1"/>
  <c r="V298" i="7" a="1"/>
  <c r="V298" i="7" s="1"/>
  <c r="V299" i="7" a="1"/>
  <c r="V299" i="7" s="1"/>
  <c r="V300" i="7" a="1"/>
  <c r="V300" i="7" s="1"/>
  <c r="V301" i="7" a="1"/>
  <c r="V301" i="7" s="1"/>
  <c r="V302" i="7" a="1"/>
  <c r="V302" i="7" s="1"/>
  <c r="V303" i="7" a="1"/>
  <c r="V303" i="7" s="1"/>
  <c r="V304" i="7" a="1"/>
  <c r="V304" i="7" s="1"/>
  <c r="V305" i="7" a="1"/>
  <c r="V305" i="7" s="1"/>
  <c r="V306" i="7" a="1"/>
  <c r="V306" i="7" s="1"/>
  <c r="V307" i="7" a="1"/>
  <c r="V307" i="7" s="1"/>
  <c r="V308" i="7" a="1"/>
  <c r="V308" i="7" s="1"/>
  <c r="V309" i="7" a="1"/>
  <c r="V309" i="7" s="1"/>
  <c r="V310" i="7" a="1"/>
  <c r="V310" i="7" s="1"/>
  <c r="V311" i="7" a="1"/>
  <c r="V311" i="7" s="1"/>
  <c r="V312" i="7" a="1"/>
  <c r="V312" i="7" s="1"/>
  <c r="V313" i="7" a="1"/>
  <c r="V313" i="7" s="1"/>
  <c r="V314" i="7" a="1"/>
  <c r="V314" i="7" s="1"/>
  <c r="V315" i="7" a="1"/>
  <c r="V315" i="7" s="1"/>
  <c r="V316" i="7" a="1"/>
  <c r="V316" i="7" s="1"/>
  <c r="V317" i="7" a="1"/>
  <c r="V317" i="7" s="1"/>
  <c r="V318" i="7" a="1"/>
  <c r="V318" i="7" s="1"/>
  <c r="V319" i="7" a="1"/>
  <c r="V319" i="7" s="1"/>
  <c r="V320" i="7" a="1"/>
  <c r="V320" i="7" s="1"/>
  <c r="V321" i="7" a="1"/>
  <c r="V321" i="7" s="1"/>
  <c r="V322" i="7" a="1"/>
  <c r="V322" i="7" s="1"/>
  <c r="V323" i="7" a="1"/>
  <c r="V323" i="7" s="1"/>
  <c r="V324" i="7" a="1"/>
  <c r="V324" i="7" s="1"/>
  <c r="V325" i="7" a="1"/>
  <c r="V325" i="7" s="1"/>
  <c r="V326" i="7" a="1"/>
  <c r="V326" i="7" s="1"/>
  <c r="V327" i="7" a="1"/>
  <c r="V327" i="7" s="1"/>
  <c r="V328" i="7" a="1"/>
  <c r="V328" i="7" s="1"/>
  <c r="V329" i="7" a="1"/>
  <c r="V329" i="7" s="1"/>
  <c r="V330" i="7" a="1"/>
  <c r="V330" i="7" s="1"/>
  <c r="V331" i="7" a="1"/>
  <c r="V331" i="7" s="1"/>
  <c r="V332" i="7" a="1"/>
  <c r="V332" i="7" s="1"/>
  <c r="V333" i="7" a="1"/>
  <c r="V333" i="7" s="1"/>
  <c r="V334" i="7" a="1"/>
  <c r="V334" i="7" s="1"/>
  <c r="V335" i="7" a="1"/>
  <c r="V335" i="7" s="1"/>
  <c r="V336" i="7" a="1"/>
  <c r="V336" i="7" s="1"/>
  <c r="V337" i="7" a="1"/>
  <c r="V337" i="7" s="1"/>
  <c r="V338" i="7" a="1"/>
  <c r="V338" i="7" s="1"/>
  <c r="V339" i="7" a="1"/>
  <c r="V339" i="7" s="1"/>
  <c r="V340" i="7" a="1"/>
  <c r="V340" i="7" s="1"/>
  <c r="V341" i="7" a="1"/>
  <c r="V341" i="7" s="1"/>
  <c r="V342" i="7" a="1"/>
  <c r="V342" i="7" s="1"/>
  <c r="V343" i="7" a="1"/>
  <c r="V343" i="7" s="1"/>
  <c r="V344" i="7" a="1"/>
  <c r="V344" i="7" s="1"/>
  <c r="V345" i="7" a="1"/>
  <c r="V345" i="7" s="1"/>
  <c r="V346" i="7" a="1"/>
  <c r="V346" i="7" s="1"/>
  <c r="V347" i="7" a="1"/>
  <c r="V347" i="7" s="1"/>
  <c r="V348" i="7" a="1"/>
  <c r="V348" i="7" s="1"/>
  <c r="V349" i="7" a="1"/>
  <c r="V349" i="7" s="1"/>
  <c r="V350" i="7" a="1"/>
  <c r="V350" i="7" s="1"/>
  <c r="V351" i="7" a="1"/>
  <c r="V351" i="7" s="1"/>
  <c r="V352" i="7" a="1"/>
  <c r="V352" i="7" s="1"/>
  <c r="V353" i="7" a="1"/>
  <c r="V353" i="7" s="1"/>
  <c r="V354" i="7" a="1"/>
  <c r="V354" i="7" s="1"/>
  <c r="V355" i="7" a="1"/>
  <c r="V355" i="7" s="1"/>
  <c r="V356" i="7" a="1"/>
  <c r="V356" i="7" s="1"/>
  <c r="V357" i="7" a="1"/>
  <c r="V357" i="7" s="1"/>
  <c r="V358" i="7" a="1"/>
  <c r="V358" i="7" s="1"/>
  <c r="V359" i="7" a="1"/>
  <c r="V359" i="7" s="1"/>
  <c r="V360" i="7" a="1"/>
  <c r="V360" i="7" s="1"/>
  <c r="V361" i="7" a="1"/>
  <c r="V361" i="7" s="1"/>
  <c r="V362" i="7" a="1"/>
  <c r="V362" i="7" s="1"/>
  <c r="V363" i="7" a="1"/>
  <c r="V363" i="7" s="1"/>
  <c r="V364" i="7" a="1"/>
  <c r="V364" i="7" s="1"/>
  <c r="V365" i="7" a="1"/>
  <c r="V365" i="7" s="1"/>
  <c r="V366" i="7" a="1"/>
  <c r="V366" i="7" s="1"/>
  <c r="V367" i="7" a="1"/>
  <c r="V367" i="7" s="1"/>
  <c r="V368" i="7" a="1"/>
  <c r="V368" i="7" s="1"/>
  <c r="V369" i="7" a="1"/>
  <c r="V369" i="7" s="1"/>
  <c r="V370" i="7" a="1"/>
  <c r="V370" i="7" s="1"/>
  <c r="V371" i="7" a="1"/>
  <c r="V371" i="7" s="1"/>
  <c r="V372" i="7" a="1"/>
  <c r="V372" i="7" s="1"/>
  <c r="V373" i="7" a="1"/>
  <c r="V373" i="7" s="1"/>
  <c r="V374" i="7" a="1"/>
  <c r="V374" i="7" s="1"/>
  <c r="V375" i="7" a="1"/>
  <c r="V375" i="7" s="1"/>
  <c r="V376" i="7" a="1"/>
  <c r="V376" i="7" s="1"/>
  <c r="V377" i="7" a="1"/>
  <c r="V377" i="7" s="1"/>
  <c r="V378" i="7" a="1"/>
  <c r="V378" i="7" s="1"/>
  <c r="V379" i="7" a="1"/>
  <c r="V379" i="7" s="1"/>
  <c r="V380" i="7" a="1"/>
  <c r="V380" i="7" s="1"/>
  <c r="V381" i="7" a="1"/>
  <c r="V381" i="7" s="1"/>
  <c r="V382" i="7" a="1"/>
  <c r="V382" i="7" s="1"/>
  <c r="V383" i="7" a="1"/>
  <c r="V383" i="7" s="1"/>
  <c r="V384" i="7" a="1"/>
  <c r="V384" i="7" s="1"/>
  <c r="V385" i="7" a="1"/>
  <c r="V385" i="7" s="1"/>
  <c r="V386" i="7" a="1"/>
  <c r="V386" i="7" s="1"/>
  <c r="V387" i="7" a="1"/>
  <c r="V387" i="7" s="1"/>
  <c r="V388" i="7" a="1"/>
  <c r="V388" i="7" s="1"/>
  <c r="V389" i="7" a="1"/>
  <c r="V389" i="7" s="1"/>
  <c r="V390" i="7" a="1"/>
  <c r="V390" i="7" s="1"/>
  <c r="V391" i="7" a="1"/>
  <c r="V391" i="7" s="1"/>
  <c r="V392" i="7" a="1"/>
  <c r="V392" i="7" s="1"/>
  <c r="V393" i="7" a="1"/>
  <c r="V393" i="7" s="1"/>
  <c r="V394" i="7" a="1"/>
  <c r="V394" i="7" s="1"/>
  <c r="V395" i="7" a="1"/>
  <c r="V395" i="7" s="1"/>
  <c r="V396" i="7" a="1"/>
  <c r="V396" i="7" s="1"/>
  <c r="V397" i="7" a="1"/>
  <c r="V397" i="7" s="1"/>
  <c r="V398" i="7" a="1"/>
  <c r="V398" i="7" s="1"/>
  <c r="V399" i="7" a="1"/>
  <c r="V399" i="7" s="1"/>
  <c r="V400" i="7" a="1"/>
  <c r="V400" i="7" s="1"/>
  <c r="V401" i="7" a="1"/>
  <c r="V401" i="7" s="1"/>
  <c r="V402" i="7" a="1"/>
  <c r="V402" i="7" s="1"/>
  <c r="V403" i="7" a="1"/>
  <c r="V403" i="7" s="1"/>
  <c r="V404" i="7" a="1"/>
  <c r="V404" i="7" s="1"/>
  <c r="V405" i="7" a="1"/>
  <c r="V405" i="7" s="1"/>
  <c r="V406" i="7" a="1"/>
  <c r="V406" i="7" s="1"/>
  <c r="V407" i="7" a="1"/>
  <c r="V407" i="7" s="1"/>
  <c r="V408" i="7" a="1"/>
  <c r="V408" i="7" s="1"/>
  <c r="V409" i="7" a="1"/>
  <c r="V409" i="7" s="1"/>
  <c r="V410" i="7" a="1"/>
  <c r="V410" i="7" s="1"/>
  <c r="V411" i="7" a="1"/>
  <c r="V411" i="7" s="1"/>
  <c r="V412" i="7" a="1"/>
  <c r="V412" i="7" s="1"/>
  <c r="V413" i="7" a="1"/>
  <c r="V413" i="7" s="1"/>
  <c r="V414" i="7" a="1"/>
  <c r="V414" i="7" s="1"/>
  <c r="V415" i="7" a="1"/>
  <c r="V415" i="7" s="1"/>
  <c r="V416" i="7" a="1"/>
  <c r="V416" i="7" s="1"/>
  <c r="V417" i="7" a="1"/>
  <c r="V417" i="7" s="1"/>
  <c r="V418" i="7" a="1"/>
  <c r="V418" i="7" s="1"/>
  <c r="V419" i="7" a="1"/>
  <c r="V419" i="7" s="1"/>
  <c r="V420" i="7" a="1"/>
  <c r="V420" i="7" s="1"/>
  <c r="V421" i="7" a="1"/>
  <c r="V421" i="7" s="1"/>
  <c r="V422" i="7" a="1"/>
  <c r="V422" i="7" s="1"/>
  <c r="V423" i="7" a="1"/>
  <c r="V423" i="7" s="1"/>
  <c r="V424" i="7" a="1"/>
  <c r="V424" i="7" s="1"/>
  <c r="V425" i="7" a="1"/>
  <c r="V425" i="7" s="1"/>
  <c r="V426" i="7" a="1"/>
  <c r="V426" i="7" s="1"/>
  <c r="V427" i="7" a="1"/>
  <c r="V427" i="7" s="1"/>
  <c r="V428" i="7" a="1"/>
  <c r="V428" i="7" s="1"/>
  <c r="V429" i="7" a="1"/>
  <c r="V429" i="7" s="1"/>
  <c r="V430" i="7" a="1"/>
  <c r="V430" i="7" s="1"/>
  <c r="V431" i="7" a="1"/>
  <c r="V431" i="7" s="1"/>
  <c r="V432" i="7" a="1"/>
  <c r="V432" i="7" s="1"/>
  <c r="V433" i="7" a="1"/>
  <c r="V433" i="7" s="1"/>
  <c r="V434" i="7" a="1"/>
  <c r="V434" i="7" s="1"/>
  <c r="V435" i="7" a="1"/>
  <c r="V435" i="7" s="1"/>
  <c r="V436" i="7" a="1"/>
  <c r="V436" i="7" s="1"/>
  <c r="V437" i="7" a="1"/>
  <c r="V437" i="7" s="1"/>
  <c r="V438" i="7" a="1"/>
  <c r="V438" i="7" s="1"/>
  <c r="V439" i="7" a="1"/>
  <c r="V439" i="7" s="1"/>
  <c r="V440" i="7" a="1"/>
  <c r="V440" i="7" s="1"/>
  <c r="V441" i="7" a="1"/>
  <c r="V441" i="7" s="1"/>
  <c r="V442" i="7" a="1"/>
  <c r="V442" i="7" s="1"/>
  <c r="V443" i="7" a="1"/>
  <c r="V443" i="7" s="1"/>
  <c r="V444" i="7" a="1"/>
  <c r="V444" i="7" s="1"/>
  <c r="V445" i="7" a="1"/>
  <c r="V445" i="7" s="1"/>
  <c r="V446" i="7" a="1"/>
  <c r="V446" i="7" s="1"/>
  <c r="V447" i="7" a="1"/>
  <c r="V447" i="7" s="1"/>
  <c r="V448" i="7" a="1"/>
  <c r="V448" i="7" s="1"/>
  <c r="V449" i="7" a="1"/>
  <c r="V449" i="7" s="1"/>
  <c r="V450" i="7" a="1"/>
  <c r="V450" i="7" s="1"/>
  <c r="V451" i="7" a="1"/>
  <c r="V451" i="7" s="1"/>
  <c r="V452" i="7" a="1"/>
  <c r="V452" i="7" s="1"/>
  <c r="V453" i="7" a="1"/>
  <c r="V453" i="7" s="1"/>
  <c r="V454" i="7" a="1"/>
  <c r="V454" i="7" s="1"/>
  <c r="V455" i="7" a="1"/>
  <c r="V455" i="7" s="1"/>
  <c r="V456" i="7" a="1"/>
  <c r="V456" i="7" s="1"/>
  <c r="V457" i="7" a="1"/>
  <c r="V457" i="7" s="1"/>
  <c r="V458" i="7" a="1"/>
  <c r="V458" i="7" s="1"/>
  <c r="V459" i="7" a="1"/>
  <c r="V459" i="7" s="1"/>
  <c r="V460" i="7" a="1"/>
  <c r="V460" i="7" s="1"/>
  <c r="V461" i="7" a="1"/>
  <c r="V461" i="7" s="1"/>
  <c r="V462" i="7" a="1"/>
  <c r="V462" i="7" s="1"/>
  <c r="V463" i="7" a="1"/>
  <c r="V463" i="7" s="1"/>
  <c r="V464" i="7" a="1"/>
  <c r="V464" i="7" s="1"/>
  <c r="V465" i="7" a="1"/>
  <c r="V465" i="7" s="1"/>
  <c r="V466" i="7" a="1"/>
  <c r="V466" i="7" s="1"/>
  <c r="V467" i="7" a="1"/>
  <c r="V467" i="7" s="1"/>
  <c r="V468" i="7" a="1"/>
  <c r="V468" i="7" s="1"/>
  <c r="V469" i="7" a="1"/>
  <c r="V469" i="7" s="1"/>
  <c r="V470" i="7" a="1"/>
  <c r="V470" i="7" s="1"/>
  <c r="V471" i="7" a="1"/>
  <c r="V471" i="7" s="1"/>
  <c r="V472" i="7" a="1"/>
  <c r="V472" i="7" s="1"/>
  <c r="V473" i="7" a="1"/>
  <c r="V473" i="7" s="1"/>
  <c r="V474" i="7" a="1"/>
  <c r="V474" i="7" s="1"/>
  <c r="V475" i="7" a="1"/>
  <c r="V475" i="7" s="1"/>
  <c r="V476" i="7" a="1"/>
  <c r="V476" i="7" s="1"/>
  <c r="V477" i="7" a="1"/>
  <c r="V477" i="7" s="1"/>
  <c r="V478" i="7" a="1"/>
  <c r="V478" i="7" s="1"/>
  <c r="V479" i="7" a="1"/>
  <c r="V479" i="7" s="1"/>
  <c r="V480" i="7" a="1"/>
  <c r="V480" i="7" s="1"/>
  <c r="V481" i="7" a="1"/>
  <c r="V481" i="7" s="1"/>
  <c r="V482" i="7" a="1"/>
  <c r="V482" i="7" s="1"/>
  <c r="V483" i="7" a="1"/>
  <c r="V483" i="7" s="1"/>
  <c r="V484" i="7" a="1"/>
  <c r="V484" i="7" s="1"/>
  <c r="V485" i="7" a="1"/>
  <c r="V485" i="7" s="1"/>
  <c r="V486" i="7" a="1"/>
  <c r="V486" i="7" s="1"/>
  <c r="V487" i="7" a="1"/>
  <c r="V487" i="7" s="1"/>
  <c r="V488" i="7" a="1"/>
  <c r="V488" i="7" s="1"/>
  <c r="V489" i="7" a="1"/>
  <c r="V489" i="7" s="1"/>
  <c r="V490" i="7" a="1"/>
  <c r="V490" i="7" s="1"/>
  <c r="V491" i="7" a="1"/>
  <c r="V491" i="7" s="1"/>
  <c r="V492" i="7" a="1"/>
  <c r="V492" i="7" s="1"/>
  <c r="V493" i="7" a="1"/>
  <c r="V493" i="7" s="1"/>
  <c r="V494" i="7" a="1"/>
  <c r="V494" i="7" s="1"/>
  <c r="V495" i="7" a="1"/>
  <c r="V495" i="7" s="1"/>
  <c r="V496" i="7" a="1"/>
  <c r="V496" i="7" s="1"/>
  <c r="V497" i="7" a="1"/>
  <c r="V497" i="7" s="1"/>
  <c r="V498" i="7" a="1"/>
  <c r="V498" i="7" s="1"/>
  <c r="V499" i="7" a="1"/>
  <c r="V499" i="7" s="1"/>
  <c r="I18" i="7"/>
  <c r="J18" i="7"/>
  <c r="Y7" i="7" l="1"/>
  <c r="W8" i="7"/>
  <c r="Y9" i="7" l="1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H7" i="6" l="1"/>
  <c r="W9" i="7" l="1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J19" i="7" l="1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J16" i="7" l="1"/>
  <c r="I11" i="7"/>
  <c r="J17" i="7"/>
  <c r="I12" i="7"/>
  <c r="I13" i="7"/>
  <c r="J11" i="7"/>
  <c r="I14" i="7"/>
  <c r="I16" i="7"/>
  <c r="J12" i="7"/>
  <c r="I15" i="7"/>
  <c r="J13" i="7"/>
  <c r="J14" i="7"/>
  <c r="I17" i="7"/>
  <c r="J15" i="7"/>
  <c r="F7" i="14" l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E7" i="12" l="1"/>
  <c r="E7" i="13"/>
  <c r="AD18" i="1" l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E18" i="1" l="1"/>
  <c r="AG18" i="1" s="1"/>
  <c r="AE19" i="1" l="1"/>
  <c r="AG19" i="1" s="1"/>
  <c r="AE20" i="1" l="1"/>
  <c r="AG20" i="1" s="1"/>
  <c r="AE21" i="1" l="1"/>
  <c r="AG21" i="1" s="1"/>
  <c r="AE22" i="1" l="1"/>
  <c r="AG22" i="1" s="1"/>
  <c r="AE23" i="1" l="1"/>
  <c r="AG23" i="1" s="1"/>
  <c r="AE24" i="1" l="1"/>
  <c r="AG24" i="1" s="1"/>
  <c r="AE25" i="1" l="1"/>
  <c r="AG25" i="1" s="1"/>
  <c r="AE26" i="1" l="1"/>
  <c r="AG26" i="1" s="1"/>
  <c r="AE27" i="1" l="1"/>
  <c r="AG27" i="1" s="1"/>
  <c r="AE28" i="1" l="1"/>
  <c r="AG28" i="1" s="1"/>
  <c r="AE29" i="1" l="1"/>
  <c r="AG29" i="1" s="1"/>
  <c r="AE30" i="1" l="1"/>
  <c r="AG30" i="1" s="1"/>
  <c r="AF4" i="1"/>
  <c r="AF5" i="1" l="1"/>
  <c r="AE31" i="1"/>
  <c r="AG31" i="1" s="1"/>
  <c r="AF6" i="1" l="1"/>
  <c r="AE32" i="1"/>
  <c r="AG32" i="1" s="1"/>
  <c r="AF7" i="1" l="1"/>
  <c r="AE33" i="1"/>
  <c r="AG33" i="1" s="1"/>
  <c r="AF8" i="1" l="1"/>
  <c r="AE34" i="1"/>
  <c r="AG34" i="1" s="1"/>
  <c r="AF9" i="1" l="1"/>
  <c r="AE35" i="1"/>
  <c r="AG35" i="1" s="1"/>
  <c r="AF10" i="1" l="1"/>
  <c r="AE36" i="1"/>
  <c r="AG36" i="1" s="1"/>
  <c r="AF11" i="1" l="1"/>
  <c r="AE37" i="1"/>
  <c r="AG37" i="1" s="1"/>
  <c r="AF12" i="1" l="1"/>
  <c r="AE38" i="1"/>
  <c r="AG38" i="1" s="1"/>
  <c r="AF13" i="1" l="1"/>
  <c r="AE39" i="1"/>
  <c r="AG39" i="1" s="1"/>
  <c r="AF14" i="1" l="1"/>
  <c r="AE40" i="1"/>
  <c r="AG40" i="1" s="1"/>
  <c r="AF15" i="1" l="1"/>
  <c r="AE41" i="1"/>
  <c r="AG41" i="1" s="1"/>
  <c r="AF16" i="1" l="1"/>
  <c r="AE42" i="1"/>
  <c r="AG42" i="1" s="1"/>
  <c r="AF17" i="1" l="1"/>
  <c r="AE43" i="1"/>
  <c r="AG43" i="1" s="1"/>
  <c r="AF18" i="1" l="1"/>
  <c r="AE44" i="1"/>
  <c r="AG44" i="1" s="1"/>
  <c r="AF19" i="1" l="1"/>
  <c r="AE45" i="1"/>
  <c r="AG45" i="1" l="1"/>
  <c r="AE46" i="1"/>
  <c r="AF20" i="1"/>
  <c r="AG46" i="1" l="1"/>
  <c r="AE47" i="1"/>
  <c r="AF21" i="1"/>
  <c r="AG47" i="1" l="1"/>
  <c r="AE48" i="1"/>
  <c r="AF22" i="1"/>
  <c r="AG48" i="1" l="1"/>
  <c r="AE49" i="1"/>
  <c r="AF23" i="1"/>
  <c r="AG49" i="1" l="1"/>
  <c r="AE50" i="1"/>
  <c r="AF24" i="1"/>
  <c r="AG50" i="1" l="1"/>
  <c r="AE51" i="1"/>
  <c r="AE52" i="1" s="1"/>
  <c r="AF25" i="1"/>
  <c r="AE53" i="1" l="1"/>
  <c r="AG52" i="1"/>
  <c r="AG51" i="1"/>
  <c r="AF26" i="1"/>
  <c r="AE54" i="1" l="1"/>
  <c r="AG53" i="1"/>
  <c r="AF27" i="1"/>
  <c r="AG54" i="1" l="1"/>
  <c r="AE55" i="1"/>
  <c r="AF28" i="1"/>
  <c r="AG55" i="1" l="1"/>
  <c r="AE56" i="1"/>
  <c r="AF29" i="1"/>
  <c r="AG56" i="1" l="1"/>
  <c r="AE57" i="1"/>
  <c r="AF30" i="1"/>
  <c r="AE58" i="1" l="1"/>
  <c r="AG57" i="1"/>
  <c r="AF31" i="1"/>
  <c r="AG58" i="1" l="1"/>
  <c r="AE59" i="1"/>
  <c r="AF32" i="1"/>
  <c r="AG59" i="1" l="1"/>
  <c r="AE60" i="1"/>
  <c r="AF33" i="1"/>
  <c r="AG60" i="1" l="1"/>
  <c r="AE61" i="1"/>
  <c r="AF34" i="1"/>
  <c r="AE62" i="1" l="1"/>
  <c r="AG61" i="1"/>
  <c r="AF35" i="1"/>
  <c r="AG62" i="1" l="1"/>
  <c r="AE63" i="1"/>
  <c r="AF36" i="1"/>
  <c r="AE64" i="1" l="1"/>
  <c r="AG63" i="1"/>
  <c r="AF37" i="1"/>
  <c r="AG64" i="1" l="1"/>
  <c r="AE65" i="1"/>
  <c r="AF38" i="1"/>
  <c r="AE66" i="1" l="1"/>
  <c r="AG65" i="1"/>
  <c r="AF39" i="1"/>
  <c r="AG66" i="1" l="1"/>
  <c r="AE67" i="1"/>
  <c r="AF40" i="1"/>
  <c r="AE68" i="1" l="1"/>
  <c r="AG67" i="1"/>
  <c r="AF41" i="1"/>
  <c r="AG68" i="1" l="1"/>
  <c r="AE69" i="1"/>
  <c r="AF42" i="1"/>
  <c r="AG69" i="1" l="1"/>
  <c r="AE70" i="1"/>
  <c r="AF43" i="1"/>
  <c r="AG70" i="1" l="1"/>
  <c r="AE71" i="1"/>
  <c r="AF44" i="1"/>
  <c r="AE72" i="1" l="1"/>
  <c r="AG71" i="1"/>
  <c r="AF45" i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AF127" i="1" s="1"/>
  <c r="AF128" i="1" s="1"/>
  <c r="AF129" i="1" s="1"/>
  <c r="AF130" i="1" s="1"/>
  <c r="AF131" i="1" s="1"/>
  <c r="AF132" i="1" s="1"/>
  <c r="AF133" i="1" s="1"/>
  <c r="AF134" i="1" s="1"/>
  <c r="AF135" i="1" s="1"/>
  <c r="AF136" i="1" s="1"/>
  <c r="AF137" i="1" s="1"/>
  <c r="AF138" i="1" s="1"/>
  <c r="AF139" i="1" s="1"/>
  <c r="AF140" i="1" s="1"/>
  <c r="AF141" i="1" s="1"/>
  <c r="AF142" i="1" s="1"/>
  <c r="AF143" i="1" s="1"/>
  <c r="AF144" i="1" s="1"/>
  <c r="AF145" i="1" s="1"/>
  <c r="AF146" i="1" s="1"/>
  <c r="AF147" i="1" s="1"/>
  <c r="AF148" i="1" s="1"/>
  <c r="AG72" i="1" l="1"/>
  <c r="AE73" i="1"/>
  <c r="E9" i="10"/>
  <c r="AG73" i="1" l="1"/>
  <c r="AE74" i="1"/>
  <c r="E5" i="12"/>
  <c r="F5" i="14"/>
  <c r="E5" i="13"/>
  <c r="H5" i="6"/>
  <c r="AG74" i="1" l="1"/>
  <c r="AE75" i="1"/>
  <c r="Y500" i="7"/>
  <c r="AG75" i="1" l="1"/>
  <c r="AE76" i="1"/>
  <c r="AG76" i="1" l="1"/>
  <c r="AE77" i="1"/>
  <c r="AE78" i="1" l="1"/>
  <c r="AG77" i="1"/>
  <c r="AE79" i="1" l="1"/>
  <c r="AG78" i="1"/>
  <c r="AG79" i="1" l="1"/>
  <c r="AE80" i="1"/>
  <c r="AG80" i="1" l="1"/>
  <c r="AE81" i="1"/>
  <c r="AE82" i="1" l="1"/>
  <c r="AG81" i="1"/>
  <c r="AE83" i="1" l="1"/>
  <c r="AG82" i="1"/>
  <c r="AE84" i="1" l="1"/>
  <c r="AG83" i="1"/>
  <c r="AG84" i="1" l="1"/>
  <c r="AE85" i="1"/>
  <c r="AE86" i="1" l="1"/>
  <c r="AG85" i="1"/>
  <c r="AE87" i="1" l="1"/>
  <c r="AG86" i="1"/>
  <c r="AE88" i="1" l="1"/>
  <c r="AG87" i="1"/>
  <c r="AG88" i="1" l="1"/>
  <c r="AE89" i="1"/>
  <c r="AE90" i="1" l="1"/>
  <c r="AG89" i="1"/>
  <c r="AE91" i="1" l="1"/>
  <c r="AG90" i="1"/>
  <c r="AG91" i="1" l="1"/>
  <c r="AE92" i="1"/>
  <c r="AE93" i="1" l="1"/>
  <c r="AG92" i="1"/>
  <c r="AG93" i="1" l="1"/>
  <c r="AE94" i="1"/>
  <c r="AE95" i="1" l="1"/>
  <c r="AG94" i="1"/>
  <c r="AG95" i="1" l="1"/>
  <c r="AE96" i="1"/>
  <c r="AG96" i="1" l="1"/>
  <c r="AE97" i="1"/>
  <c r="AE98" i="1" l="1"/>
  <c r="AG97" i="1"/>
  <c r="AE99" i="1" l="1"/>
  <c r="AG98" i="1"/>
  <c r="AE100" i="1" l="1"/>
  <c r="AG99" i="1"/>
  <c r="AG100" i="1" l="1"/>
  <c r="AE101" i="1"/>
  <c r="AE102" i="1" l="1"/>
  <c r="AG101" i="1"/>
  <c r="AE103" i="1" l="1"/>
  <c r="AG102" i="1"/>
  <c r="AE104" i="1" l="1"/>
  <c r="AG103" i="1"/>
  <c r="AE105" i="1" l="1"/>
  <c r="AG104" i="1"/>
  <c r="AG105" i="1" l="1"/>
  <c r="AE106" i="1"/>
  <c r="AE107" i="1" l="1"/>
  <c r="AG106" i="1"/>
  <c r="AG107" i="1" l="1"/>
  <c r="AE108" i="1"/>
  <c r="AE109" i="1" l="1"/>
  <c r="AG108" i="1"/>
  <c r="AG109" i="1" l="1"/>
  <c r="AE110" i="1"/>
  <c r="AG110" i="1" l="1"/>
  <c r="AE111" i="1"/>
  <c r="AG111" i="1" l="1"/>
  <c r="AE112" i="1"/>
  <c r="AE113" i="1" l="1"/>
  <c r="AG112" i="1"/>
  <c r="AG113" i="1" l="1"/>
  <c r="AE114" i="1"/>
  <c r="AE115" i="1" l="1"/>
  <c r="AG114" i="1"/>
  <c r="AG115" i="1" l="1"/>
  <c r="AE116" i="1"/>
  <c r="AE117" i="1" l="1"/>
  <c r="AG116" i="1"/>
  <c r="AG117" i="1" l="1"/>
  <c r="AE118" i="1"/>
  <c r="AE119" i="1" l="1"/>
  <c r="AG118" i="1"/>
  <c r="AG119" i="1" l="1"/>
  <c r="AE120" i="1"/>
  <c r="AE121" i="1" s="1"/>
  <c r="AE122" i="1" l="1"/>
  <c r="AG121" i="1"/>
  <c r="AG120" i="1"/>
  <c r="AG122" i="1" l="1"/>
  <c r="M4" i="7" s="1"/>
  <c r="AE123" i="1"/>
  <c r="D9" i="10"/>
  <c r="AG123" i="1" l="1"/>
  <c r="AE124" i="1"/>
  <c r="F2" i="7"/>
  <c r="E4" i="12"/>
  <c r="H4" i="6"/>
  <c r="E4" i="13"/>
  <c r="F4" i="14"/>
  <c r="AE125" i="1" l="1"/>
  <c r="AG124" i="1"/>
  <c r="AG125" i="1" l="1"/>
  <c r="AE126" i="1"/>
  <c r="AE127" i="1" l="1"/>
  <c r="AG126" i="1"/>
  <c r="AG127" i="1" l="1"/>
  <c r="AE128" i="1"/>
  <c r="AE129" i="1" l="1"/>
  <c r="AG128" i="1"/>
  <c r="AG129" i="1" l="1"/>
  <c r="AE130" i="1"/>
  <c r="AE131" i="1" l="1"/>
  <c r="AG130" i="1"/>
  <c r="AG131" i="1" l="1"/>
  <c r="AE132" i="1"/>
  <c r="AG132" i="1" l="1"/>
  <c r="AE133" i="1"/>
  <c r="AG133" i="1" l="1"/>
  <c r="AE134" i="1"/>
  <c r="AE135" i="1" l="1"/>
  <c r="AG134" i="1"/>
  <c r="AG135" i="1" l="1"/>
  <c r="AE136" i="1"/>
  <c r="AE137" i="1" l="1"/>
  <c r="AG136" i="1"/>
  <c r="AG137" i="1" l="1"/>
  <c r="AE138" i="1"/>
  <c r="AE139" i="1" l="1"/>
  <c r="AG138" i="1"/>
  <c r="AG139" i="1" l="1"/>
  <c r="AE140" i="1"/>
  <c r="AE141" i="1" l="1"/>
  <c r="AG140" i="1"/>
  <c r="AG141" i="1" l="1"/>
  <c r="AE142" i="1"/>
  <c r="AE143" i="1" l="1"/>
  <c r="AG142" i="1"/>
  <c r="AG143" i="1" l="1"/>
  <c r="AE144" i="1"/>
  <c r="AE145" i="1" l="1"/>
  <c r="AG144" i="1"/>
  <c r="AG145" i="1" l="1"/>
  <c r="AE146" i="1"/>
  <c r="AE147" i="1" l="1"/>
  <c r="AG146" i="1"/>
  <c r="AG147" i="1" l="1"/>
  <c r="AE148" i="1"/>
  <c r="AG148" i="1" s="1"/>
</calcChain>
</file>

<file path=xl/comments1.xml><?xml version="1.0" encoding="utf-8"?>
<comments xmlns="http://schemas.openxmlformats.org/spreadsheetml/2006/main">
  <authors>
    <author>Chris Gaine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Chris Gaine:</t>
        </r>
        <r>
          <rPr>
            <sz val="9"/>
            <color indexed="81"/>
            <rFont val="Tahoma"/>
            <family val="2"/>
          </rPr>
          <t xml:space="preserve">
Other Bonus Program Number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<sst xmlns="http://schemas.openxmlformats.org/spreadsheetml/2006/main" count="2134" uniqueCount="426">
  <si>
    <t>Total</t>
  </si>
  <si>
    <t>Position</t>
  </si>
  <si>
    <t>Employee Name</t>
  </si>
  <si>
    <t>Revenue Start</t>
  </si>
  <si>
    <t>Revenue End</t>
  </si>
  <si>
    <t>Premium</t>
  </si>
  <si>
    <t>Extended Travel</t>
  </si>
  <si>
    <t>Product Haul</t>
  </si>
  <si>
    <t>Revenue</t>
  </si>
  <si>
    <t>Grand Total</t>
  </si>
  <si>
    <t>Pay Periods</t>
  </si>
  <si>
    <t>Start</t>
  </si>
  <si>
    <t>End</t>
  </si>
  <si>
    <t>Pay Date</t>
  </si>
  <si>
    <t>Select Pay Period</t>
  </si>
  <si>
    <t>Location</t>
  </si>
  <si>
    <t>Locations</t>
  </si>
  <si>
    <t>Grande Prairie</t>
  </si>
  <si>
    <t>Lac La Biche</t>
  </si>
  <si>
    <t>Fort St. John</t>
  </si>
  <si>
    <t>Estevan</t>
  </si>
  <si>
    <t>Ticket #</t>
  </si>
  <si>
    <t>Date</t>
  </si>
  <si>
    <t>Bonuses Earned:</t>
  </si>
  <si>
    <t>Process Workflow</t>
  </si>
  <si>
    <t>Configuration</t>
  </si>
  <si>
    <t>Version:</t>
  </si>
  <si>
    <t>Customer 
Name</t>
  </si>
  <si>
    <t>Employees</t>
  </si>
  <si>
    <t>(blank)</t>
  </si>
  <si>
    <t xml:space="preserve">Customer </t>
  </si>
  <si>
    <t>Ticket Date</t>
  </si>
  <si>
    <t>Personal ID</t>
  </si>
  <si>
    <t>N20S000001068</t>
  </si>
  <si>
    <t>N20S000001065</t>
  </si>
  <si>
    <t>N20S000001072</t>
  </si>
  <si>
    <t>N20S000001071</t>
  </si>
  <si>
    <t>N20S000001105</t>
  </si>
  <si>
    <t>N20S000001099</t>
  </si>
  <si>
    <t>N20S000001088</t>
  </si>
  <si>
    <t>N20S000001095</t>
  </si>
  <si>
    <t>N20S000001114</t>
  </si>
  <si>
    <t>N20S000001115</t>
  </si>
  <si>
    <t>Niemi, Darrel</t>
  </si>
  <si>
    <t>N20S000001121</t>
  </si>
  <si>
    <t>N20S000001120</t>
  </si>
  <si>
    <t>Daley, Weldon</t>
  </si>
  <si>
    <t>N20S000001207</t>
  </si>
  <si>
    <t>Hinz, Steven</t>
  </si>
  <si>
    <t>N20S000001118</t>
  </si>
  <si>
    <t>N20S000001123</t>
  </si>
  <si>
    <t>Bauder, Jesse</t>
  </si>
  <si>
    <t>N20S000001176</t>
  </si>
  <si>
    <t>N20S000001136</t>
  </si>
  <si>
    <t>Dumont, Gary</t>
  </si>
  <si>
    <t>N20S000001201</t>
  </si>
  <si>
    <t>N20S000001060</t>
  </si>
  <si>
    <t>Triska, Donal</t>
  </si>
  <si>
    <t>N20S000001061</t>
  </si>
  <si>
    <t>N20S000001050</t>
  </si>
  <si>
    <t>Froude, Steve</t>
  </si>
  <si>
    <t>N20S000001152</t>
  </si>
  <si>
    <t>N20S000001162</t>
  </si>
  <si>
    <t>Employee Name2</t>
  </si>
  <si>
    <t>Job Title</t>
  </si>
  <si>
    <t>Employee Id</t>
  </si>
  <si>
    <t>Position Title</t>
  </si>
  <si>
    <t>.</t>
  </si>
  <si>
    <t>Due Date</t>
  </si>
  <si>
    <t>Deadline for Submission to Payroll</t>
  </si>
  <si>
    <t>Payable:</t>
  </si>
  <si>
    <t>(All)</t>
  </si>
  <si>
    <t>Lloydminster</t>
  </si>
  <si>
    <t>Notes</t>
  </si>
  <si>
    <t>Wong, Antonio</t>
  </si>
  <si>
    <t>N20S000001226</t>
  </si>
  <si>
    <t>Chamieh, Luai</t>
  </si>
  <si>
    <t>N20S000001228</t>
  </si>
  <si>
    <t>Conners, Jamie</t>
  </si>
  <si>
    <t>N20S000001237</t>
  </si>
  <si>
    <t>Andrews, Jamey</t>
  </si>
  <si>
    <t>N20S000001260</t>
  </si>
  <si>
    <t>District</t>
  </si>
  <si>
    <t>Mamer, Colton</t>
  </si>
  <si>
    <t>N20S000001291</t>
  </si>
  <si>
    <t>N20S000001301</t>
  </si>
  <si>
    <t>Guenther, Daniel</t>
  </si>
  <si>
    <t>N20S000001304</t>
  </si>
  <si>
    <t>Henderson, Samuel</t>
  </si>
  <si>
    <t>AB</t>
  </si>
  <si>
    <t>BC</t>
  </si>
  <si>
    <t>Province</t>
  </si>
  <si>
    <t>Job Prov</t>
  </si>
  <si>
    <t>Out of Prov</t>
  </si>
  <si>
    <t>Location:</t>
  </si>
  <si>
    <t>Days Worked</t>
  </si>
  <si>
    <t>Province Worked</t>
  </si>
  <si>
    <t>N20S000001310</t>
  </si>
  <si>
    <t>Gonschior, Cory</t>
  </si>
  <si>
    <t>Wilkinson, Kevin</t>
  </si>
  <si>
    <t>Meal
Allowance</t>
  </si>
  <si>
    <t>Meal Allowance</t>
  </si>
  <si>
    <t>Keir, Eric</t>
  </si>
  <si>
    <t>N20S000001385</t>
  </si>
  <si>
    <t>Thiessen, Riley</t>
  </si>
  <si>
    <t>Groisman, Mark</t>
  </si>
  <si>
    <t>Stelmacker, Matthew</t>
  </si>
  <si>
    <t>N20S000001460</t>
  </si>
  <si>
    <t>N20S000001497</t>
  </si>
  <si>
    <t>N20S000001499</t>
  </si>
  <si>
    <t>Ludington, Jayden</t>
  </si>
  <si>
    <t>N20S000001514</t>
  </si>
  <si>
    <t>Aguilar, Chino</t>
  </si>
  <si>
    <t>N20S000001530</t>
  </si>
  <si>
    <t>1 Operator</t>
  </si>
  <si>
    <t>2 Operator</t>
  </si>
  <si>
    <t>2 Driver</t>
  </si>
  <si>
    <t>4 Supervisor</t>
  </si>
  <si>
    <t>3 Supervisor</t>
  </si>
  <si>
    <t>2 Supervisor</t>
  </si>
  <si>
    <t>1 Supervisor</t>
  </si>
  <si>
    <t>3 Operator</t>
  </si>
  <si>
    <t>Benjamin, Lane</t>
  </si>
  <si>
    <t>N20S000001532</t>
  </si>
  <si>
    <t>Jolin, Bastien</t>
  </si>
  <si>
    <t>N20S000001537</t>
  </si>
  <si>
    <t>Rikardsen, Karl</t>
  </si>
  <si>
    <t>Alder, Cam</t>
  </si>
  <si>
    <t>N20S000001570</t>
  </si>
  <si>
    <t>Booker, Darren</t>
  </si>
  <si>
    <t>N20S000001577</t>
  </si>
  <si>
    <t>Apply SDOWIB</t>
  </si>
  <si>
    <t>Yes</t>
  </si>
  <si>
    <t>No</t>
  </si>
  <si>
    <t>Edson &amp; Edmonton</t>
  </si>
  <si>
    <t>Red Deer &amp; Brooks</t>
  </si>
  <si>
    <t>Grinde, Gabriel</t>
  </si>
  <si>
    <t>N20S000001612</t>
  </si>
  <si>
    <t>Swift Current &amp; Kindersley</t>
  </si>
  <si>
    <t>Steels, Darren</t>
  </si>
  <si>
    <t>N20S000001634</t>
  </si>
  <si>
    <t>Gilmore, Carson</t>
  </si>
  <si>
    <t>N20S000021671</t>
  </si>
  <si>
    <t>N20S000011435</t>
  </si>
  <si>
    <t>N20S000011340</t>
  </si>
  <si>
    <t>N20S000011515</t>
  </si>
  <si>
    <t>N20S000001689</t>
  </si>
  <si>
    <t>Grant, Dairus</t>
  </si>
  <si>
    <t>N20S000001169</t>
  </si>
  <si>
    <t>Klassen, Jody</t>
  </si>
  <si>
    <t>N20S000011379</t>
  </si>
  <si>
    <t>Best, Kevin</t>
  </si>
  <si>
    <t>N20S000001038</t>
  </si>
  <si>
    <t>Aspin, Danny</t>
  </si>
  <si>
    <t>N20S000001729</t>
  </si>
  <si>
    <t>Operator - Remedial</t>
  </si>
  <si>
    <t>Supervisor - Remedial</t>
  </si>
  <si>
    <t>N20S000001284</t>
  </si>
  <si>
    <t>N20S000011058</t>
  </si>
  <si>
    <t>N20S000011350</t>
  </si>
  <si>
    <t>Smith, Jason</t>
  </si>
  <si>
    <t>N20S000001772</t>
  </si>
  <si>
    <t>Kljucaricek, Steve</t>
  </si>
  <si>
    <t>N20S000001128</t>
  </si>
  <si>
    <t>Delaney, Alex</t>
  </si>
  <si>
    <t>Fortin, Steven</t>
  </si>
  <si>
    <t>N20S000001783</t>
  </si>
  <si>
    <t>Swann, Leonard</t>
  </si>
  <si>
    <t>N20S000001797</t>
  </si>
  <si>
    <t>Perron, Terry</t>
  </si>
  <si>
    <t>N20S000001817</t>
  </si>
  <si>
    <t>Racine, Eugene</t>
  </si>
  <si>
    <t>N20S000001818</t>
  </si>
  <si>
    <t>Allen, Lloyd</t>
  </si>
  <si>
    <t>N20S000001824</t>
  </si>
  <si>
    <t>Jardine, Darryl</t>
  </si>
  <si>
    <t>N20S000001830</t>
  </si>
  <si>
    <t>Premium Rate</t>
  </si>
  <si>
    <t>Base KM Rate</t>
  </si>
  <si>
    <t>Premium KM Rate</t>
  </si>
  <si>
    <t>Base Rate</t>
  </si>
  <si>
    <t>B-Train</t>
  </si>
  <si>
    <t>Chem Van</t>
  </si>
  <si>
    <t>3 Driver</t>
  </si>
  <si>
    <t>Hot Shot</t>
  </si>
  <si>
    <t>Offload Applies</t>
  </si>
  <si>
    <t>KM Travel</t>
  </si>
  <si>
    <t>Roqara, Anare</t>
  </si>
  <si>
    <t>N20S000001833</t>
  </si>
  <si>
    <t>Stolz, David</t>
  </si>
  <si>
    <t>N20S000001841</t>
  </si>
  <si>
    <t>Metters, Jordan</t>
  </si>
  <si>
    <t>N20S000011842</t>
  </si>
  <si>
    <t>Penner, Cody</t>
  </si>
  <si>
    <t>N20S000021848</t>
  </si>
  <si>
    <t>Self-Load</t>
  </si>
  <si>
    <t>Loads / Qty</t>
  </si>
  <si>
    <t>Use Quantity</t>
  </si>
  <si>
    <t>N20S000011087</t>
  </si>
  <si>
    <t>N20S000031155</t>
  </si>
  <si>
    <t>Bardahl, Tyler</t>
  </si>
  <si>
    <t>N20S000001151</t>
  </si>
  <si>
    <t>Variable Pay Calculation Workbook</t>
  </si>
  <si>
    <t>Positions</t>
  </si>
  <si>
    <t>Variable Pay Schedule</t>
  </si>
  <si>
    <t>Area</t>
  </si>
  <si>
    <t>Base Amount</t>
  </si>
  <si>
    <t>Type</t>
  </si>
  <si>
    <t>Areas</t>
  </si>
  <si>
    <t>Percent</t>
  </si>
  <si>
    <t>Monthly Activity Incentive</t>
  </si>
  <si>
    <t>Job Count Start</t>
  </si>
  <si>
    <t>Job Count End</t>
  </si>
  <si>
    <t>Amount</t>
  </si>
  <si>
    <t>Pay Types</t>
  </si>
  <si>
    <t>Total Amount</t>
  </si>
  <si>
    <t>Variable Pay</t>
  </si>
  <si>
    <t>Pay Type</t>
  </si>
  <si>
    <t xml:space="preserve">Total Amount </t>
  </si>
  <si>
    <t>Variable Pay Percentages</t>
  </si>
  <si>
    <t>Primary</t>
  </si>
  <si>
    <t>SL</t>
  </si>
  <si>
    <t>Remedial</t>
  </si>
  <si>
    <t>StandBy/Extended Hours Rates</t>
  </si>
  <si>
    <t>StandBy/ Ext Amount</t>
  </si>
  <si>
    <t>Standby/ Ext 
Hrs</t>
  </si>
  <si>
    <t>Hourly</t>
  </si>
  <si>
    <t>RTBA</t>
  </si>
  <si>
    <t xml:space="preserve">Standby/ Ext 
Hrs </t>
  </si>
  <si>
    <t xml:space="preserve">StandBy/ Ext Amount </t>
  </si>
  <si>
    <t>Service Line</t>
  </si>
  <si>
    <t>Threshold</t>
  </si>
  <si>
    <t>Min KMs</t>
  </si>
  <si>
    <t>Use Min KMs</t>
  </si>
  <si>
    <t>Stradeski, Greg</t>
  </si>
  <si>
    <t>Jamieson, Grant</t>
  </si>
  <si>
    <t>Triska, David</t>
  </si>
  <si>
    <t>Eade, Thomas</t>
  </si>
  <si>
    <t>Lovean, Earl</t>
  </si>
  <si>
    <t>Oatway, Peter</t>
  </si>
  <si>
    <t>Beisel, Kyle</t>
  </si>
  <si>
    <t>Blanco, Cliff</t>
  </si>
  <si>
    <t>Gauthier, Gerry</t>
  </si>
  <si>
    <t>Parish, Jordan</t>
  </si>
  <si>
    <t>Venman, Brent</t>
  </si>
  <si>
    <t>Austin, Jon</t>
  </si>
  <si>
    <t>Baron, Darcy</t>
  </si>
  <si>
    <t>Magundayao, Phil</t>
  </si>
  <si>
    <t>Loewen, Matt</t>
  </si>
  <si>
    <t>Nickolson, Jeff</t>
  </si>
  <si>
    <t>Borman, Clarence</t>
  </si>
  <si>
    <t>Terry, Lance</t>
  </si>
  <si>
    <t>MacLean, Joshua</t>
  </si>
  <si>
    <t>Sorenson, Mathew</t>
  </si>
  <si>
    <t>Heinrichs, Chris</t>
  </si>
  <si>
    <t>Braun, Luke</t>
  </si>
  <si>
    <t>Kindersley</t>
  </si>
  <si>
    <t>SK</t>
  </si>
  <si>
    <t>Fort St John</t>
  </si>
  <si>
    <t>Edmonton</t>
  </si>
  <si>
    <t>Red Deer</t>
  </si>
  <si>
    <t>Swift Current</t>
  </si>
  <si>
    <t>Engineer-Field</t>
  </si>
  <si>
    <t>W</t>
  </si>
  <si>
    <t>E</t>
  </si>
  <si>
    <t>Sort Order</t>
  </si>
  <si>
    <t>Operations Engineer</t>
  </si>
  <si>
    <t>Other Bonus Programs Schedule</t>
  </si>
  <si>
    <t>Crew Efficiency</t>
  </si>
  <si>
    <t>Calculated OBPP</t>
  </si>
  <si>
    <t>Support</t>
  </si>
  <si>
    <t>Support - Remedial</t>
  </si>
  <si>
    <t>Sum of Total Amount</t>
  </si>
  <si>
    <t>Total Variable Pay</t>
  </si>
  <si>
    <t xml:space="preserve">Total Variable Pay </t>
  </si>
  <si>
    <t>Crew Efficiency Bonus</t>
  </si>
  <si>
    <t>Version History</t>
  </si>
  <si>
    <t>Add position to Pay statement</t>
  </si>
  <si>
    <t>OVPP #</t>
  </si>
  <si>
    <t>OVPP</t>
  </si>
  <si>
    <t xml:space="preserve">Rename OBPP to OVPP </t>
  </si>
  <si>
    <t xml:space="preserve">Variable Pay </t>
  </si>
  <si>
    <t xml:space="preserve">OVPP </t>
  </si>
  <si>
    <t>Variable Pay &amp; OVPP Earned:</t>
  </si>
  <si>
    <t>Updated Statements layout</t>
  </si>
  <si>
    <t>Updated Remedial Suppoty Bonus schedule</t>
  </si>
  <si>
    <t>Fix Product Haul W/E mixup</t>
  </si>
  <si>
    <t>Added Support Standby rate</t>
  </si>
  <si>
    <t>Added Engineers to Standby</t>
  </si>
  <si>
    <t>Crew efficiency calculaton update to allow 1 or 2 workers on a ticket</t>
  </si>
  <si>
    <t xml:space="preserve"> OVPP </t>
  </si>
  <si>
    <t>Mokelky, Colton</t>
  </si>
  <si>
    <t>N20S000001134</t>
  </si>
  <si>
    <t>Webb, Ryan</t>
  </si>
  <si>
    <t>N20S000001412</t>
  </si>
  <si>
    <t>McGill, Andrew</t>
  </si>
  <si>
    <t>N20S000011604</t>
  </si>
  <si>
    <t>Olson, Landon</t>
  </si>
  <si>
    <t>Pomerleau, John</t>
  </si>
  <si>
    <t>N20S000001862</t>
  </si>
  <si>
    <t>Johnson, Tyson</t>
  </si>
  <si>
    <t>N20S000001795</t>
  </si>
  <si>
    <t>Dzikowski, Evan</t>
  </si>
  <si>
    <t>N20S000011490</t>
  </si>
  <si>
    <t>Jamieson, Jerry</t>
  </si>
  <si>
    <t>N20S000001231</t>
  </si>
  <si>
    <t>LeBlanc, Scott</t>
  </si>
  <si>
    <t>N20S000001236</t>
  </si>
  <si>
    <t>McCaw, Brad</t>
  </si>
  <si>
    <t>N20S000001111</t>
  </si>
  <si>
    <t>Peters, Kris</t>
  </si>
  <si>
    <t>N20S000001160</t>
  </si>
  <si>
    <t>Smith, Dave</t>
  </si>
  <si>
    <t>N20S000001706</t>
  </si>
  <si>
    <t>Van Someren, Chris</t>
  </si>
  <si>
    <t>N20S000001868</t>
  </si>
  <si>
    <t>Mercier, Christian</t>
  </si>
  <si>
    <t>N20S000001843</t>
  </si>
  <si>
    <t>King, Mike</t>
  </si>
  <si>
    <t>N20S000021861</t>
  </si>
  <si>
    <t>Operator 3 - Bulk Plant</t>
  </si>
  <si>
    <t>Martin, Sharla</t>
  </si>
  <si>
    <t>N20S000001871</t>
  </si>
  <si>
    <t>Riley, Dave</t>
  </si>
  <si>
    <t>N20S000011872</t>
  </si>
  <si>
    <t>Rioux, Rino</t>
  </si>
  <si>
    <t>N20S000011867</t>
  </si>
  <si>
    <t>Operator-Bulk Plant 2</t>
  </si>
  <si>
    <t>Wuchterl, Jim</t>
  </si>
  <si>
    <t>N20S000001873</t>
  </si>
  <si>
    <t>Driver 2</t>
  </si>
  <si>
    <t>Driver 3</t>
  </si>
  <si>
    <t>Headsman, Karlo</t>
  </si>
  <si>
    <t>N20S000011875</t>
  </si>
  <si>
    <t>Operator-Bulk Plant 1</t>
  </si>
  <si>
    <t>Antunes da Silva, Jorge</t>
  </si>
  <si>
    <t>N20S000001876</t>
  </si>
  <si>
    <t>Gardiner, Tyler</t>
  </si>
  <si>
    <t>N20S000001877</t>
  </si>
  <si>
    <t>Coyne, Dale</t>
  </si>
  <si>
    <t>N20S000011822</t>
  </si>
  <si>
    <t>N20S000001879</t>
  </si>
  <si>
    <t>Forsyth, Brad</t>
  </si>
  <si>
    <t>N20S000011883</t>
  </si>
  <si>
    <t>Knott, Darrell</t>
  </si>
  <si>
    <t>N20S000021880</t>
  </si>
  <si>
    <t>Coordinator - Operations</t>
  </si>
  <si>
    <t>McCooeye, Sean</t>
  </si>
  <si>
    <t>N20S000001882</t>
  </si>
  <si>
    <t>Petitpas, Joe</t>
  </si>
  <si>
    <t>N20S000001881</t>
  </si>
  <si>
    <t>Van Laar, Gerrit</t>
  </si>
  <si>
    <t>N20S000001878</t>
  </si>
  <si>
    <t>Vhal, Terry</t>
  </si>
  <si>
    <t>N20S000001141</t>
  </si>
  <si>
    <t>Count of Crew Efficiency</t>
  </si>
  <si>
    <t>Boichenko, Iurii</t>
  </si>
  <si>
    <t>N20S000001677</t>
  </si>
  <si>
    <t>Daub Turnbull, Mike</t>
  </si>
  <si>
    <t>N20S000001849</t>
  </si>
  <si>
    <t>Field Hand</t>
  </si>
  <si>
    <t>Davies, Shaun</t>
  </si>
  <si>
    <t>N20S000001891</t>
  </si>
  <si>
    <t>Diggins, Casey</t>
  </si>
  <si>
    <t>Flatla, Matthew</t>
  </si>
  <si>
    <t>N20S000001886</t>
  </si>
  <si>
    <t>Goodyear, Harris</t>
  </si>
  <si>
    <t>N20S000001889</t>
  </si>
  <si>
    <t>Kachowski, Jacob</t>
  </si>
  <si>
    <t>N20S000001885</t>
  </si>
  <si>
    <t>Lang, David</t>
  </si>
  <si>
    <t>N20S000001884</t>
  </si>
  <si>
    <t>Michalko, Martin</t>
  </si>
  <si>
    <t>N20S000001887</t>
  </si>
  <si>
    <t>Morin, Cole</t>
  </si>
  <si>
    <t>N20S000001890</t>
  </si>
  <si>
    <t>N20S000001679</t>
  </si>
  <si>
    <t>Shakeyev, Serik</t>
  </si>
  <si>
    <t>N20S000001893</t>
  </si>
  <si>
    <t>Staples, Michael</t>
  </si>
  <si>
    <t>N20S000021888</t>
  </si>
  <si>
    <t>Kramps, Dustin</t>
  </si>
  <si>
    <t>N20S000001894</t>
  </si>
  <si>
    <t>Locher, Travis</t>
  </si>
  <si>
    <t>N20S000001895</t>
  </si>
  <si>
    <t>McNeil, Sean</t>
  </si>
  <si>
    <t>N20S000011898</t>
  </si>
  <si>
    <t>Wudwud, Daniel</t>
  </si>
  <si>
    <t>N20S000001896</t>
  </si>
  <si>
    <t>Jennings, Scott</t>
  </si>
  <si>
    <t>N20S000001366</t>
  </si>
  <si>
    <t>McDonell, Andrew</t>
  </si>
  <si>
    <t>N20S000031133</t>
  </si>
  <si>
    <t>Best, Kevin (N20S000001038)</t>
  </si>
  <si>
    <t>Jamieson, Grant (N20S000011058)</t>
  </si>
  <si>
    <t>Metters, Jordan (N20S000011842)</t>
  </si>
  <si>
    <t>Whitecap Resources Inc</t>
  </si>
  <si>
    <t>Borman, Clarence (N20S000001152)</t>
  </si>
  <si>
    <t>Meg Energy Corp.</t>
  </si>
  <si>
    <t>LLB</t>
  </si>
  <si>
    <t>Klassen, Jody (N20S000011379)</t>
  </si>
  <si>
    <t>Peters, Kris (N20S000001160)</t>
  </si>
  <si>
    <t>Bardahl, Tyler (N20S000001151)</t>
  </si>
  <si>
    <t>Grant, Dairus (N20S000001169)</t>
  </si>
  <si>
    <t>MTS211768/CS1095106</t>
  </si>
  <si>
    <t>Terry, Lance (N20S000001162)</t>
  </si>
  <si>
    <t>Sanjel Energy Services</t>
  </si>
  <si>
    <t>Haul LLD to KBP</t>
  </si>
  <si>
    <t>Dzikowski, Evan (N20S000011490)</t>
  </si>
  <si>
    <t>Cenovus Energy Inc.</t>
  </si>
  <si>
    <t>Heinrichs, Chris (N20S000011515)</t>
  </si>
  <si>
    <t>Wilkinson, Kevin (N20S000011350)</t>
  </si>
  <si>
    <t>Andrews, Jamey (N20S000001260)</t>
  </si>
  <si>
    <t>Surge Energy Inc</t>
  </si>
  <si>
    <t>Gonschior, Cory (N20S000011340)</t>
  </si>
  <si>
    <t>North 40 Resources Ltd.</t>
  </si>
  <si>
    <t>Blackspur Oil Corporation</t>
  </si>
  <si>
    <t>McNeil, Sean (N20S000011898)</t>
  </si>
  <si>
    <t>MTS213469</t>
  </si>
  <si>
    <t>MTS213461</t>
  </si>
  <si>
    <t>MTS213460</t>
  </si>
  <si>
    <t>MTS213453</t>
  </si>
  <si>
    <t>Baytex Energy Ltd.</t>
  </si>
  <si>
    <t>LLD</t>
  </si>
  <si>
    <t>Mamer, Colton (N20S000001291)</t>
  </si>
  <si>
    <t>MTS211769/CS1095139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</si>
</sst>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m/d/yyyy;@"/>
    <numFmt numFmtId="165" formatCode="&quot;$&quot;#,##0"/>
    <numFmt numFmtId="166" formatCode="mmm\ d\,\ yyyy"/>
    <numFmt numFmtId="167" formatCode="dddd\,\ mmm\ d\,\ yyyy"/>
    <numFmt numFmtId="168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4659260841701"/>
      </top>
      <bottom/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6" fontId="0" fillId="0" borderId="0" xfId="0" applyNumberFormat="1"/>
    <xf numFmtId="0" fontId="0" fillId="0" borderId="0" xfId="0" applyNumberFormat="1"/>
    <xf numFmtId="0" fontId="0" fillId="0" borderId="0" xfId="0" pivotButton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2" fontId="6" fillId="0" borderId="3" xfId="0" applyNumberFormat="1" applyFont="1" applyFill="1" applyBorder="1"/>
    <xf numFmtId="0" fontId="0" fillId="0" borderId="8" xfId="0" applyFont="1" applyBorder="1"/>
    <xf numFmtId="0" fontId="0" fillId="0" borderId="5" xfId="0" applyFont="1" applyFill="1" applyBorder="1"/>
    <xf numFmtId="0" fontId="0" fillId="0" borderId="6" xfId="0" applyFont="1" applyFill="1" applyBorder="1"/>
    <xf numFmtId="0" fontId="2" fillId="4" borderId="10" xfId="0" applyFont="1" applyFill="1" applyBorder="1"/>
    <xf numFmtId="0" fontId="5" fillId="3" borderId="0" xfId="0" applyFont="1" applyFill="1"/>
    <xf numFmtId="0" fontId="2" fillId="3" borderId="0" xfId="0" applyFont="1" applyFill="1"/>
    <xf numFmtId="2" fontId="0" fillId="0" borderId="3" xfId="0" applyNumberFormat="1" applyFont="1" applyFill="1" applyBorder="1"/>
    <xf numFmtId="0" fontId="0" fillId="0" borderId="1" xfId="0" applyFont="1" applyFill="1" applyBorder="1" applyProtection="1">
      <protection locked="0"/>
    </xf>
    <xf numFmtId="164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3" xfId="0" applyNumberFormat="1" applyFont="1" applyFill="1" applyBorder="1" applyProtection="1">
      <protection locked="0"/>
    </xf>
    <xf numFmtId="164" fontId="0" fillId="0" borderId="3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Fill="1" applyAlignment="1" applyProtection="1">
      <alignment vertical="center"/>
      <protection locked="0"/>
    </xf>
    <xf numFmtId="165" fontId="3" fillId="0" borderId="0" xfId="0" applyNumberFormat="1" applyFont="1" applyFill="1" applyAlignment="1">
      <alignment horizontal="center" vertical="center"/>
    </xf>
    <xf numFmtId="165" fontId="0" fillId="0" borderId="1" xfId="1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16" fontId="0" fillId="0" borderId="1" xfId="0" applyNumberFormat="1" applyFont="1" applyFill="1" applyBorder="1"/>
    <xf numFmtId="0" fontId="0" fillId="0" borderId="11" xfId="0" applyBorder="1"/>
    <xf numFmtId="0" fontId="0" fillId="0" borderId="0" xfId="0" applyBorder="1"/>
    <xf numFmtId="0" fontId="0" fillId="2" borderId="0" xfId="0" applyFill="1" applyBorder="1"/>
    <xf numFmtId="0" fontId="0" fillId="2" borderId="12" xfId="0" applyFill="1" applyBorder="1"/>
    <xf numFmtId="0" fontId="0" fillId="2" borderId="11" xfId="0" applyFill="1" applyBorder="1"/>
    <xf numFmtId="0" fontId="0" fillId="0" borderId="11" xfId="0" applyFill="1" applyBorder="1"/>
    <xf numFmtId="0" fontId="0" fillId="0" borderId="0" xfId="0" applyFill="1" applyBorder="1"/>
    <xf numFmtId="16" fontId="0" fillId="0" borderId="13" xfId="0" applyNumberFormat="1" applyFont="1" applyFill="1" applyBorder="1"/>
    <xf numFmtId="0" fontId="0" fillId="2" borderId="14" xfId="0" applyFill="1" applyBorder="1"/>
    <xf numFmtId="0" fontId="0" fillId="2" borderId="10" xfId="0" applyFill="1" applyBorder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1" fontId="6" fillId="0" borderId="3" xfId="0" applyNumberFormat="1" applyFont="1" applyFill="1" applyBorder="1"/>
    <xf numFmtId="1" fontId="0" fillId="0" borderId="3" xfId="0" applyNumberFormat="1" applyFont="1" applyFill="1" applyBorder="1" applyProtection="1"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0" fontId="3" fillId="0" borderId="0" xfId="0" applyFont="1" applyFill="1" applyAlignment="1" applyProtection="1">
      <alignment vertical="center"/>
    </xf>
    <xf numFmtId="0" fontId="0" fillId="0" borderId="1" xfId="0" applyFont="1" applyFill="1" applyBorder="1" applyProtection="1"/>
    <xf numFmtId="0" fontId="0" fillId="0" borderId="0" xfId="0" applyProtection="1"/>
    <xf numFmtId="0" fontId="0" fillId="0" borderId="0" xfId="0" applyNumberFormat="1" applyFont="1" applyFill="1" applyBorder="1" applyProtection="1">
      <protection locked="0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166" fontId="0" fillId="5" borderId="1" xfId="0" applyNumberFormat="1" applyFont="1" applyFill="1" applyBorder="1"/>
    <xf numFmtId="166" fontId="0" fillId="5" borderId="13" xfId="0" applyNumberFormat="1" applyFont="1" applyFill="1" applyBorder="1"/>
    <xf numFmtId="166" fontId="2" fillId="3" borderId="0" xfId="0" applyNumberFormat="1" applyFont="1" applyFill="1"/>
    <xf numFmtId="166" fontId="5" fillId="3" borderId="0" xfId="0" applyNumberFormat="1" applyFont="1" applyFill="1"/>
    <xf numFmtId="166" fontId="0" fillId="0" borderId="0" xfId="0" applyNumberFormat="1"/>
    <xf numFmtId="0" fontId="2" fillId="4" borderId="2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/>
    <xf numFmtId="0" fontId="0" fillId="0" borderId="7" xfId="0" applyFont="1" applyFill="1" applyBorder="1"/>
    <xf numFmtId="1" fontId="3" fillId="0" borderId="0" xfId="0" applyNumberFormat="1" applyFont="1" applyFill="1" applyAlignment="1" applyProtection="1">
      <alignment vertical="center"/>
    </xf>
    <xf numFmtId="1" fontId="3" fillId="0" borderId="0" xfId="0" applyNumberFormat="1" applyFont="1" applyFill="1" applyAlignment="1" applyProtection="1">
      <alignment horizontal="center" vertical="center"/>
    </xf>
    <xf numFmtId="1" fontId="2" fillId="4" borderId="2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/>
    <xf numFmtId="44" fontId="0" fillId="0" borderId="0" xfId="1" applyFont="1" applyAlignment="1">
      <alignment horizontal="right"/>
    </xf>
    <xf numFmtId="0" fontId="4" fillId="0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5" borderId="1" xfId="0" applyNumberFormat="1" applyFont="1" applyFill="1" applyBorder="1" applyProtection="1">
      <protection locked="0"/>
    </xf>
    <xf numFmtId="0" fontId="2" fillId="7" borderId="2" xfId="0" applyFont="1" applyFill="1" applyBorder="1" applyAlignment="1">
      <alignment horizontal="center" vertical="center" wrapText="1"/>
    </xf>
    <xf numFmtId="0" fontId="2" fillId="7" borderId="2" xfId="0" applyNumberFormat="1" applyFont="1" applyFill="1" applyBorder="1" applyAlignment="1">
      <alignment horizontal="center" vertical="center" wrapText="1"/>
    </xf>
    <xf numFmtId="165" fontId="2" fillId="7" borderId="2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Protection="1">
      <protection locked="0"/>
    </xf>
    <xf numFmtId="165" fontId="0" fillId="0" borderId="3" xfId="1" applyNumberFormat="1" applyFont="1" applyFill="1" applyBorder="1" applyProtection="1">
      <protection locked="0"/>
    </xf>
    <xf numFmtId="0" fontId="0" fillId="5" borderId="4" xfId="0" applyFont="1" applyFill="1" applyBorder="1" applyProtection="1">
      <protection locked="0"/>
    </xf>
    <xf numFmtId="0" fontId="0" fillId="5" borderId="4" xfId="0" applyFont="1" applyFill="1" applyBorder="1" applyProtection="1"/>
    <xf numFmtId="165" fontId="0" fillId="5" borderId="4" xfId="0" applyNumberFormat="1" applyFont="1" applyFill="1" applyBorder="1" applyProtection="1">
      <protection locked="0"/>
    </xf>
    <xf numFmtId="1" fontId="0" fillId="5" borderId="4" xfId="0" applyNumberFormat="1" applyFont="1" applyFill="1" applyBorder="1" applyProtection="1"/>
    <xf numFmtId="1" fontId="0" fillId="5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>
      <protection locked="0"/>
    </xf>
    <xf numFmtId="0" fontId="0" fillId="0" borderId="7" xfId="0" applyBorder="1"/>
    <xf numFmtId="1" fontId="0" fillId="0" borderId="2" xfId="0" applyNumberFormat="1" applyFont="1" applyFill="1" applyBorder="1" applyProtection="1">
      <protection locked="0"/>
    </xf>
    <xf numFmtId="1" fontId="0" fillId="0" borderId="1" xfId="0" applyNumberFormat="1" applyFont="1" applyFill="1" applyBorder="1" applyProtection="1">
      <protection locked="0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3" borderId="0" xfId="0" applyFont="1" applyFill="1" applyAlignment="1"/>
    <xf numFmtId="49" fontId="0" fillId="0" borderId="0" xfId="0" applyNumberFormat="1"/>
    <xf numFmtId="0" fontId="0" fillId="0" borderId="0" xfId="0" applyFill="1"/>
    <xf numFmtId="0" fontId="0" fillId="0" borderId="1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" fontId="2" fillId="9" borderId="2" xfId="0" applyNumberFormat="1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2" fillId="4" borderId="0" xfId="0" applyFont="1" applyFill="1" applyBorder="1"/>
    <xf numFmtId="2" fontId="0" fillId="0" borderId="0" xfId="0" applyNumberFormat="1"/>
    <xf numFmtId="0" fontId="0" fillId="0" borderId="1" xfId="0" applyFont="1" applyFill="1" applyBorder="1"/>
    <xf numFmtId="0" fontId="0" fillId="0" borderId="3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19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9" borderId="0" xfId="0" applyFont="1" applyFill="1" applyBorder="1"/>
    <xf numFmtId="0" fontId="0" fillId="0" borderId="0" xfId="0" pivotButton="1" applyAlignment="1">
      <alignment horizontal="left"/>
    </xf>
    <xf numFmtId="3" fontId="0" fillId="0" borderId="0" xfId="0" applyNumberFormat="1"/>
    <xf numFmtId="0" fontId="2" fillId="4" borderId="2" xfId="0" applyFont="1" applyFill="1" applyBorder="1"/>
    <xf numFmtId="0" fontId="0" fillId="0" borderId="0" xfId="0" applyAlignment="1">
      <alignment horizontal="center"/>
    </xf>
    <xf numFmtId="168" fontId="0" fillId="0" borderId="0" xfId="2" applyNumberFormat="1" applyFont="1" applyFill="1" applyBorder="1"/>
    <xf numFmtId="168" fontId="0" fillId="0" borderId="0" xfId="2" applyNumberFormat="1" applyFont="1" applyFill="1"/>
    <xf numFmtId="0" fontId="2" fillId="3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3" fontId="0" fillId="0" borderId="0" xfId="0" applyNumberFormat="1" applyFont="1" applyFill="1" applyBorder="1"/>
    <xf numFmtId="3" fontId="0" fillId="0" borderId="0" xfId="0" applyNumberFormat="1" applyFont="1" applyFill="1"/>
    <xf numFmtId="0" fontId="0" fillId="8" borderId="21" xfId="0" applyNumberFormat="1" applyFill="1" applyBorder="1"/>
    <xf numFmtId="0" fontId="0" fillId="8" borderId="21" xfId="0" applyFill="1" applyBorder="1" applyAlignment="1">
      <alignment horizontal="left"/>
    </xf>
    <xf numFmtId="0" fontId="2" fillId="0" borderId="20" xfId="0" applyFont="1" applyFill="1" applyBorder="1"/>
    <xf numFmtId="0" fontId="0" fillId="2" borderId="0" xfId="0" applyFill="1"/>
    <xf numFmtId="0" fontId="0" fillId="10" borderId="0" xfId="0" applyFill="1"/>
    <xf numFmtId="164" fontId="0" fillId="0" borderId="0" xfId="0" applyNumberFormat="1" applyAlignment="1">
      <alignment horizontal="left"/>
    </xf>
    <xf numFmtId="166" fontId="16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2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0" fillId="5" borderId="15" xfId="0" applyNumberFormat="1" applyFont="1" applyFill="1" applyBorder="1" applyAlignment="1" applyProtection="1">
      <alignment horizontal="left"/>
      <protection locked="0"/>
    </xf>
    <xf numFmtId="16" fontId="0" fillId="5" borderId="16" xfId="0" applyNumberFormat="1" applyFont="1" applyFill="1" applyBorder="1" applyAlignment="1" applyProtection="1">
      <alignment horizontal="left"/>
      <protection locked="0"/>
    </xf>
    <xf numFmtId="0" fontId="9" fillId="6" borderId="17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7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3"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6" formatCode="mmm\ d\,\ yyyy"/>
    </dxf>
    <dxf>
      <numFmt numFmtId="166" formatCode="mmm\ d\,\ 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mm\ d\,\ yyyy"/>
    </dxf>
    <dxf>
      <font>
        <b/>
      </font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border>
        <top style="medium">
          <color theme="4" tint="-0.24994659260841701"/>
        </top>
      </border>
    </dxf>
    <dxf>
      <border>
        <top style="medium">
          <color theme="4" tint="-0.24994659260841701"/>
        </top>
      </border>
    </dxf>
    <dxf>
      <font>
        <b/>
      </font>
    </dxf>
    <dxf>
      <font>
        <b/>
      </font>
    </dxf>
    <dxf>
      <border>
        <bottom style="medium">
          <color theme="4" tint="-0.24994659260841701"/>
        </bottom>
      </border>
    </dxf>
    <dxf>
      <border>
        <bottom style="medium">
          <color theme="4" tint="-0.24994659260841701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wrapText="1" readingOrder="0"/>
    </dxf>
    <dxf>
      <alignment horizontal="left"/>
    </dxf>
    <dxf>
      <numFmt numFmtId="2" formatCode="0.00"/>
    </dxf>
    <dxf>
      <alignment horizontal="right" readingOrder="0"/>
    </dxf>
    <dxf>
      <numFmt numFmtId="34" formatCode="_(&quot;$&quot;* #,##0.00_);_(&quot;$&quot;* \(#,##0.00\);_(&quot;$&quot;* &quot;-&quot;??_);_(@_)"/>
    </dxf>
    <dxf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>
        <top style="thin">
          <color indexed="64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8</xdr:row>
      <xdr:rowOff>180975</xdr:rowOff>
    </xdr:from>
    <xdr:to>
      <xdr:col>10</xdr:col>
      <xdr:colOff>276639</xdr:colOff>
      <xdr:row>13</xdr:row>
      <xdr:rowOff>48292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3175" y="175260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Payroll</a:t>
          </a:r>
        </a:p>
        <a:p>
          <a:pPr algn="ctr"/>
          <a:r>
            <a:rPr lang="en-CA" sz="800" i="1"/>
            <a:t>Prepare template for new pay period (clear</a:t>
          </a:r>
          <a:r>
            <a:rPr lang="en-CA" sz="800" i="1" baseline="0"/>
            <a:t> periodic tables)</a:t>
          </a:r>
          <a:endParaRPr lang="en-CA" sz="800" i="1"/>
        </a:p>
      </xdr:txBody>
    </xdr:sp>
    <xdr:clientData/>
  </xdr:twoCellAnchor>
  <xdr:twoCellAnchor>
    <xdr:from>
      <xdr:col>7</xdr:col>
      <xdr:colOff>590550</xdr:colOff>
      <xdr:row>15</xdr:row>
      <xdr:rowOff>104775</xdr:rowOff>
    </xdr:from>
    <xdr:to>
      <xdr:col>10</xdr:col>
      <xdr:colOff>286164</xdr:colOff>
      <xdr:row>19</xdr:row>
      <xdr:rowOff>114967</xdr:rowOff>
    </xdr:to>
    <xdr:sp macro="" textlink="">
      <xdr:nvSpPr>
        <xdr:cNvPr id="12" name="Flowchart: Proces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62700" y="3009900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Update Variable Pay Calcs Table</a:t>
          </a:r>
          <a:r>
            <a:rPr lang="en-CA" sz="800" i="1" baseline="0">
              <a:solidFill>
                <a:sysClr val="windowText" lastClr="000000"/>
              </a:solidFill>
            </a:rPr>
            <a:t> with bonuses </a:t>
          </a:r>
          <a:r>
            <a:rPr lang="en-CA" sz="800" i="1">
              <a:solidFill>
                <a:sysClr val="windowText" lastClr="000000"/>
              </a:solidFill>
            </a:rPr>
            <a:t>for the period</a:t>
          </a:r>
        </a:p>
      </xdr:txBody>
    </xdr:sp>
    <xdr:clientData/>
  </xdr:twoCellAnchor>
  <xdr:twoCellAnchor>
    <xdr:from>
      <xdr:col>6</xdr:col>
      <xdr:colOff>85725</xdr:colOff>
      <xdr:row>9</xdr:row>
      <xdr:rowOff>161925</xdr:rowOff>
    </xdr:from>
    <xdr:to>
      <xdr:col>7</xdr:col>
      <xdr:colOff>11763</xdr:colOff>
      <xdr:row>12</xdr:row>
      <xdr:rowOff>66676</xdr:rowOff>
    </xdr:to>
    <xdr:sp macro="" textlink="">
      <xdr:nvSpPr>
        <xdr:cNvPr id="14" name="Flowchart: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248275" y="1924050"/>
          <a:ext cx="535638" cy="476251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Start</a:t>
          </a:r>
        </a:p>
      </xdr:txBody>
    </xdr:sp>
    <xdr:clientData/>
  </xdr:twoCellAnchor>
  <xdr:twoCellAnchor>
    <xdr:from>
      <xdr:col>11</xdr:col>
      <xdr:colOff>447675</xdr:colOff>
      <xdr:row>21</xdr:row>
      <xdr:rowOff>161925</xdr:rowOff>
    </xdr:from>
    <xdr:to>
      <xdr:col>14</xdr:col>
      <xdr:colOff>143289</xdr:colOff>
      <xdr:row>26</xdr:row>
      <xdr:rowOff>29242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943850" y="421005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Payroll</a:t>
          </a:r>
          <a:endParaRPr lang="en-US" i="0">
            <a:effectLst/>
          </a:endParaRPr>
        </a:p>
        <a:p>
          <a:pPr algn="ctr"/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Analysis,</a:t>
          </a:r>
          <a:r>
            <a:rPr lang="en-CA" sz="8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 to WFN &amp; Journaling</a:t>
          </a:r>
          <a:endParaRPr lang="en-US" sz="800" i="1">
            <a:effectLst/>
          </a:endParaRPr>
        </a:p>
      </xdr:txBody>
    </xdr:sp>
    <xdr:clientData/>
  </xdr:twoCellAnchor>
  <xdr:twoCellAnchor>
    <xdr:from>
      <xdr:col>12</xdr:col>
      <xdr:colOff>333375</xdr:colOff>
      <xdr:row>28</xdr:row>
      <xdr:rowOff>24349</xdr:rowOff>
    </xdr:from>
    <xdr:to>
      <xdr:col>13</xdr:col>
      <xdr:colOff>259414</xdr:colOff>
      <xdr:row>30</xdr:row>
      <xdr:rowOff>167225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482542" y="5411266"/>
          <a:ext cx="539872" cy="523876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End</a:t>
          </a:r>
        </a:p>
      </xdr:txBody>
    </xdr:sp>
    <xdr:clientData/>
  </xdr:twoCellAnchor>
  <xdr:twoCellAnchor>
    <xdr:from>
      <xdr:col>7</xdr:col>
      <xdr:colOff>590550</xdr:colOff>
      <xdr:row>21</xdr:row>
      <xdr:rowOff>171450</xdr:rowOff>
    </xdr:from>
    <xdr:to>
      <xdr:col>10</xdr:col>
      <xdr:colOff>286164</xdr:colOff>
      <xdr:row>25</xdr:row>
      <xdr:rowOff>181642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62700" y="4219575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Review</a:t>
          </a:r>
          <a:r>
            <a:rPr lang="en-CA" sz="800" i="1" baseline="0">
              <a:solidFill>
                <a:sysClr val="windowText" lastClr="000000"/>
              </a:solidFill>
            </a:rPr>
            <a:t> Completed Variable Pay Calc Table with District Manager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124032</xdr:colOff>
      <xdr:row>13</xdr:row>
      <xdr:rowOff>48292</xdr:rowOff>
    </xdr:from>
    <xdr:to>
      <xdr:col>9</xdr:col>
      <xdr:colOff>133557</xdr:colOff>
      <xdr:row>15</xdr:row>
      <xdr:rowOff>104775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11" idx="2"/>
          <a:endCxn id="12" idx="0"/>
        </xdr:cNvCxnSpPr>
      </xdr:nvCxnSpPr>
      <xdr:spPr>
        <a:xfrm>
          <a:off x="7115382" y="2572417"/>
          <a:ext cx="9525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133557</xdr:colOff>
      <xdr:row>19</xdr:row>
      <xdr:rowOff>114967</xdr:rowOff>
    </xdr:from>
    <xdr:to>
      <xdr:col>9</xdr:col>
      <xdr:colOff>133557</xdr:colOff>
      <xdr:row>21</xdr:row>
      <xdr:rowOff>171450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12" idx="2"/>
          <a:endCxn id="18" idx="0"/>
        </xdr:cNvCxnSpPr>
      </xdr:nvCxnSpPr>
      <xdr:spPr>
        <a:xfrm>
          <a:off x="7124907" y="3782092"/>
          <a:ext cx="0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11763</xdr:colOff>
      <xdr:row>11</xdr:row>
      <xdr:rowOff>19051</xdr:rowOff>
    </xdr:from>
    <xdr:to>
      <xdr:col>7</xdr:col>
      <xdr:colOff>581025</xdr:colOff>
      <xdr:row>11</xdr:row>
      <xdr:rowOff>19384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14" idx="6"/>
          <a:endCxn id="11" idx="1"/>
        </xdr:cNvCxnSpPr>
      </xdr:nvCxnSpPr>
      <xdr:spPr>
        <a:xfrm>
          <a:off x="5783913" y="2162176"/>
          <a:ext cx="569262" cy="3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286164</xdr:colOff>
      <xdr:row>11</xdr:row>
      <xdr:rowOff>28575</xdr:rowOff>
    </xdr:from>
    <xdr:to>
      <xdr:col>11</xdr:col>
      <xdr:colOff>447675</xdr:colOff>
      <xdr:row>23</xdr:row>
      <xdr:rowOff>176546</xdr:rowOff>
    </xdr:to>
    <xdr:cxnSp macro="">
      <xdr:nvCxnSpPr>
        <xdr:cNvPr id="36" name="Elbow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18" idx="3"/>
          <a:endCxn id="20" idx="1"/>
        </xdr:cNvCxnSpPr>
      </xdr:nvCxnSpPr>
      <xdr:spPr>
        <a:xfrm flipV="1">
          <a:off x="7172739" y="2171700"/>
          <a:ext cx="771111" cy="243397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602398</xdr:colOff>
      <xdr:row>26</xdr:row>
      <xdr:rowOff>29241</xdr:rowOff>
    </xdr:from>
    <xdr:to>
      <xdr:col>12</xdr:col>
      <xdr:colOff>603311</xdr:colOff>
      <xdr:row>28</xdr:row>
      <xdr:rowOff>24348</xdr:rowOff>
    </xdr:to>
    <xdr:cxnSp macro="">
      <xdr:nvCxnSpPr>
        <xdr:cNvPr id="39" name="Elb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5" idx="2"/>
          <a:endCxn id="17" idx="0"/>
        </xdr:cNvCxnSpPr>
      </xdr:nvCxnSpPr>
      <xdr:spPr>
        <a:xfrm rot="16200000" flipH="1">
          <a:off x="8563968" y="5222755"/>
          <a:ext cx="376107" cy="913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16</xdr:row>
      <xdr:rowOff>9525</xdr:rowOff>
    </xdr:from>
    <xdr:to>
      <xdr:col>16</xdr:col>
      <xdr:colOff>57564</xdr:colOff>
      <xdr:row>20</xdr:row>
      <xdr:rowOff>66675</xdr:rowOff>
    </xdr:to>
    <xdr:sp macro="" textlink="">
      <xdr:nvSpPr>
        <xdr:cNvPr id="44" name="Flowchart: Proces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077325" y="3105150"/>
          <a:ext cx="1524414" cy="819150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Print Employee  Statements</a:t>
          </a:r>
        </a:p>
      </xdr:txBody>
    </xdr:sp>
    <xdr:clientData/>
  </xdr:twoCellAnchor>
  <xdr:twoCellAnchor>
    <xdr:from>
      <xdr:col>11</xdr:col>
      <xdr:colOff>447675</xdr:colOff>
      <xdr:row>9</xdr:row>
      <xdr:rowOff>0</xdr:rowOff>
    </xdr:from>
    <xdr:to>
      <xdr:col>14</xdr:col>
      <xdr:colOff>143289</xdr:colOff>
      <xdr:row>13</xdr:row>
      <xdr:rowOff>57150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43850" y="1762125"/>
          <a:ext cx="1524414" cy="819150"/>
        </a:xfrm>
        <a:prstGeom prst="flowChartProcess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Manager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Forward completed Variable Pay Calc</a:t>
          </a:r>
          <a:r>
            <a:rPr lang="en-CA" sz="800" i="1" baseline="0">
              <a:solidFill>
                <a:sysClr val="windowText" lastClr="000000"/>
              </a:solidFill>
            </a:rPr>
            <a:t> workbook to Payroll.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593933</xdr:colOff>
      <xdr:row>13</xdr:row>
      <xdr:rowOff>63499</xdr:rowOff>
    </xdr:from>
    <xdr:to>
      <xdr:col>12</xdr:col>
      <xdr:colOff>606633</xdr:colOff>
      <xdr:row>21</xdr:row>
      <xdr:rowOff>168274</xdr:rowOff>
    </xdr:to>
    <xdr:cxnSp macro="">
      <xdr:nvCxnSpPr>
        <xdr:cNvPr id="22" name="Elbow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0" idx="2"/>
          <a:endCxn id="15" idx="0"/>
        </xdr:cNvCxnSpPr>
      </xdr:nvCxnSpPr>
      <xdr:spPr>
        <a:xfrm rot="5400000">
          <a:off x="7891670" y="3395662"/>
          <a:ext cx="162877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600282</xdr:colOff>
      <xdr:row>13</xdr:row>
      <xdr:rowOff>57149</xdr:rowOff>
    </xdr:from>
    <xdr:to>
      <xdr:col>14</xdr:col>
      <xdr:colOff>514557</xdr:colOff>
      <xdr:row>16</xdr:row>
      <xdr:rowOff>9524</xdr:rowOff>
    </xdr:to>
    <xdr:cxnSp macro="">
      <xdr:nvCxnSpPr>
        <xdr:cNvPr id="21" name="Elb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20" idx="2"/>
          <a:endCxn id="44" idx="0"/>
        </xdr:cNvCxnSpPr>
      </xdr:nvCxnSpPr>
      <xdr:spPr>
        <a:xfrm rot="16200000" flipH="1">
          <a:off x="9010857" y="2276474"/>
          <a:ext cx="523875" cy="11334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161925</xdr:colOff>
          <xdr:row>2</xdr:row>
          <xdr:rowOff>85725</xdr:rowOff>
        </xdr:from>
        <xdr:to>
          <xdr:col>22</xdr:col>
          <xdr:colOff>133350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Entries on Calcs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76200</xdr:rowOff>
    </xdr:from>
    <xdr:to>
      <xdr:col>4</xdr:col>
      <xdr:colOff>314325</xdr:colOff>
      <xdr:row>4</xdr:row>
      <xdr:rowOff>168944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3248025" cy="8547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</xdr:col>
      <xdr:colOff>1682</xdr:colOff>
      <xdr:row>4</xdr:row>
      <xdr:rowOff>102269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3248025" cy="8547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447675</xdr:colOff>
          <xdr:row>1</xdr:row>
          <xdr:rowOff>9525</xdr:rowOff>
        </xdr:from>
        <xdr:to>
          <xdr:col>42</xdr:col>
          <xdr:colOff>590550</xdr:colOff>
          <xdr:row>2</xdr:row>
          <xdr:rowOff>133350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0</xdr:rowOff>
        </xdr:from>
        <xdr:to>
          <xdr:col>21</xdr:col>
          <xdr:colOff>581025</xdr:colOff>
          <xdr:row>4</xdr:row>
          <xdr:rowOff>9525</xdr:rowOff>
        </xdr:to>
        <xdr:sp macro="" textlink="">
          <xdr:nvSpPr>
            <xdr:cNvPr id="2054" name="btnUploa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762000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statements to PDFs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</xdr:row>
      <xdr:rowOff>19050</xdr:rowOff>
    </xdr:from>
    <xdr:to>
      <xdr:col>3</xdr:col>
      <xdr:colOff>273050</xdr:colOff>
      <xdr:row>6</xdr:row>
      <xdr:rowOff>111794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333375</xdr:colOff>
      <xdr:row>6</xdr:row>
      <xdr:rowOff>111794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1</xdr:col>
      <xdr:colOff>1209675</xdr:colOff>
      <xdr:row>6</xdr:row>
      <xdr:rowOff>111794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419100</xdr:colOff>
      <xdr:row>6</xdr:row>
      <xdr:rowOff>111794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19050</xdr:rowOff>
        </xdr:from>
        <xdr:to>
          <xdr:col>2</xdr:col>
          <xdr:colOff>2219325</xdr:colOff>
          <xdr:row>1</xdr:row>
          <xdr:rowOff>133350</xdr:rowOff>
        </xdr:to>
        <xdr:sp macro="" textlink="">
          <xdr:nvSpPr>
            <xdr:cNvPr id="7169" name="cmdRefreshEmploye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 Kirkpatrick" refreshedDate="44209.616040740744" missingItemsLimit="0" createdVersion="5" refreshedVersion="6" minRefreshableVersion="3" recordCount="493">
  <cacheSource type="worksheet">
    <worksheetSource name="JobBonus"/>
  </cacheSource>
  <cacheFields count="26">
    <cacheField name="Employee Name" numFmtId="0">
      <sharedItems containsBlank="1" count="17">
        <s v="Best, Kevin (N20S000001038)"/>
        <s v="Jamieson, Grant (N20S000011058)"/>
        <s v="Metters, Jordan (N20S000011842)"/>
        <s v="Borman, Clarence (N20S000001152)"/>
        <s v="Klassen, Jody (N20S000011379)"/>
        <s v="Peters, Kris (N20S000001160)"/>
        <s v="Grant, Dairus (N20S000001169)"/>
        <s v="Bardahl, Tyler (N20S000001151)"/>
        <s v="Terry, Lance (N20S000001162)"/>
        <s v="Dzikowski, Evan (N20S000011490)"/>
        <s v="Heinrichs, Chris (N20S000011515)"/>
        <s v="Wilkinson, Kevin (N20S000011350)"/>
        <s v="Andrews, Jamey (N20S000001260)"/>
        <s v="Gonschior, Cory (N20S000011340)"/>
        <s v="McNeil, Sean (N20S000011898)"/>
        <s v="Mamer, Colton (N20S000001291)"/>
        <m/>
      </sharedItems>
    </cacheField>
    <cacheField name="Ticket #" numFmtId="1">
      <sharedItems containsString="0" containsBlank="1" containsNumber="1" containsInteger="1" minValue="461092" maxValue="481816" count="28">
        <n v="464091"/>
        <n v="463095"/>
        <n v="463821"/>
        <n v="463096"/>
        <n v="464629"/>
        <m/>
        <n v="464151"/>
        <n v="463425"/>
        <n v="463424"/>
        <n v="464152"/>
        <n v="463822"/>
        <n v="463823"/>
        <n v="463824"/>
        <n v="464153"/>
        <n v="464155"/>
        <n v="461816"/>
        <n v="481816"/>
        <n v="461092"/>
        <n v="461817"/>
        <n v="461818"/>
        <n v="461819"/>
        <n v="461820"/>
        <n v="461821"/>
        <n v="464180"/>
        <n v="464181"/>
        <n v="463288"/>
        <n v="463752"/>
        <n v="463825"/>
      </sharedItems>
    </cacheField>
    <cacheField name="SL" numFmtId="0">
      <sharedItems containsBlank="1" count="3">
        <s v="Primary"/>
        <s v="Remedial"/>
        <m/>
      </sharedItems>
    </cacheField>
    <cacheField name="Job Prov" numFmtId="0">
      <sharedItems containsBlank="1" count="3">
        <s v="SK"/>
        <s v="AB"/>
        <m/>
      </sharedItems>
    </cacheField>
    <cacheField name="Area" numFmtId="0">
      <sharedItems containsBlank="1"/>
    </cacheField>
    <cacheField name="OVPP #" numFmtId="0">
      <sharedItems containsString="0" containsBlank="1" containsNumber="1" containsInteger="1" minValue="504150" maxValue="514428" count="7">
        <m/>
        <n v="514410"/>
        <n v="504150"/>
        <n v="514428"/>
        <n v="514423"/>
        <n v="514422"/>
        <n v="514411"/>
      </sharedItems>
    </cacheField>
    <cacheField name="Ticket Date" numFmtId="164">
      <sharedItems containsNonDate="0" containsDate="1" containsString="0" containsBlank="1" minDate="2020-12-28T00:00:00" maxDate="2021-01-10T00:00:00" count="14">
        <d v="2020-12-31T00:00:00"/>
        <d v="2020-12-30T00:00:00"/>
        <d v="2021-01-02T00:00:00"/>
        <d v="2021-01-03T00:00:00"/>
        <d v="2020-12-28T00:00:00"/>
        <d v="2021-01-05T00:00:00"/>
        <d v="2021-01-06T00:00:00"/>
        <d v="2021-01-04T00:00:00"/>
        <d v="2021-01-07T00:00:00"/>
        <d v="2021-01-08T00:00:00"/>
        <d v="2021-01-01T00:00:00"/>
        <d v="2021-01-09T00:00:00"/>
        <d v="2020-12-29T00:00:00"/>
        <m/>
      </sharedItems>
    </cacheField>
    <cacheField name="Pay Type" numFmtId="164">
      <sharedItems containsBlank="1"/>
    </cacheField>
    <cacheField name="Position Title" numFmtId="164">
      <sharedItems/>
    </cacheField>
    <cacheField name="Out of Prov" numFmtId="164">
      <sharedItems count="3">
        <s v="No"/>
        <s v="Yes"/>
        <s v=""/>
      </sharedItems>
    </cacheField>
    <cacheField name="Position" numFmtId="0">
      <sharedItems containsBlank="1" count="10">
        <s v="Support"/>
        <s v="4 Supervisor"/>
        <s v="2 Operator"/>
        <s v="3 Supervisor"/>
        <s v="3 Operator"/>
        <s v="Supervisor - Remedial"/>
        <s v="Operator - Remedial"/>
        <s v="2 Supervisor"/>
        <s v="Support - Remedial"/>
        <m/>
      </sharedItems>
    </cacheField>
    <cacheField name="Customer _x000a_Name" numFmtId="164">
      <sharedItems containsBlank="1" count="9">
        <s v="Whitecap Resources Inc"/>
        <s v="Meg Energy Corp."/>
        <s v="Sanjel Energy Services"/>
        <s v="Cenovus Energy Inc."/>
        <s v="Surge Energy Inc"/>
        <s v="North 40 Resources Ltd."/>
        <s v="Blackspur Oil Corporation"/>
        <s v="Baytex Energy Ltd."/>
        <m/>
      </sharedItems>
    </cacheField>
    <cacheField name="Revenue" numFmtId="165">
      <sharedItems containsString="0" containsBlank="1" containsNumber="1" minValue="3457.82" maxValue="60205.1"/>
    </cacheField>
    <cacheField name="Crew Efficiency" numFmtId="0">
      <sharedItems containsBlank="1"/>
    </cacheField>
    <cacheField name="KM Travel" numFmtId="0">
      <sharedItems containsString="0" containsBlank="1" containsNumber="1" containsInteger="1" minValue="50" maxValue="520"/>
    </cacheField>
    <cacheField name="Loads / Qty" numFmtId="0">
      <sharedItems containsNonDate="0" containsString="0" containsBlank="1"/>
    </cacheField>
    <cacheField name="Standby/ Ext _x000a_Hrs" numFmtId="0">
      <sharedItems containsNonDate="0" containsString="0" containsBlank="1"/>
    </cacheField>
    <cacheField name="Meal_x000a_Allowance" numFmtId="0">
      <sharedItems containsString="0" containsBlank="1" containsNumber="1" containsInteger="1" minValue="40" maxValue="510"/>
    </cacheField>
    <cacheField name="Variable Pay" numFmtId="0">
      <sharedItems containsSemiMixedTypes="0" containsString="0" containsNumber="1" minValue="0" maxValue="356.51"/>
    </cacheField>
    <cacheField name="Crew Efficiency Bonus" numFmtId="0">
      <sharedItems containsSemiMixedTypes="0" containsString="0" containsNumber="1" minValue="0" maxValue="107.5"/>
    </cacheField>
    <cacheField name="Total Variable Pay" numFmtId="0">
      <sharedItems containsSemiMixedTypes="0" containsString="0" containsNumber="1" minValue="0" maxValue="422.5"/>
    </cacheField>
    <cacheField name="OVPP" numFmtId="0">
      <sharedItems containsSemiMixedTypes="0" containsString="0" containsNumber="1" containsInteger="1" minValue="0" maxValue="168"/>
    </cacheField>
    <cacheField name="Offload Applies" numFmtId="0">
      <sharedItems/>
    </cacheField>
    <cacheField name="StandBy/ Ext Amount" numFmtId="0">
      <sharedItems containsSemiMixedTypes="0" containsString="0" containsNumber="1" containsInteger="1" minValue="0" maxValue="0"/>
    </cacheField>
    <cacheField name="Total Amount" numFmtId="0">
      <sharedItems containsSemiMixedTypes="0" containsString="0" containsNumber="1" minValue="0" maxValue="422.5"/>
    </cacheField>
    <cacheField name="Notes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3">
  <r>
    <x v="0"/>
    <x v="0"/>
    <x v="0"/>
    <x v="0"/>
    <s v="E"/>
    <x v="0"/>
    <x v="0"/>
    <s v="Variable Pay"/>
    <s v="2 Supervisor"/>
    <x v="0"/>
    <x v="0"/>
    <x v="0"/>
    <n v="19496.25"/>
    <m/>
    <m/>
    <m/>
    <m/>
    <m/>
    <n v="190"/>
    <n v="0"/>
    <n v="190"/>
    <n v="0"/>
    <b v="0"/>
    <n v="0"/>
    <n v="190"/>
    <m/>
  </r>
  <r>
    <x v="1"/>
    <x v="0"/>
    <x v="0"/>
    <x v="0"/>
    <s v="E"/>
    <x v="0"/>
    <x v="0"/>
    <s v="Variable Pay"/>
    <s v="4 Supervisor"/>
    <x v="0"/>
    <x v="1"/>
    <x v="0"/>
    <n v="19496.25"/>
    <m/>
    <m/>
    <m/>
    <m/>
    <m/>
    <n v="335"/>
    <n v="0"/>
    <n v="335"/>
    <n v="0"/>
    <b v="0"/>
    <n v="0"/>
    <n v="335"/>
    <m/>
  </r>
  <r>
    <x v="2"/>
    <x v="0"/>
    <x v="0"/>
    <x v="0"/>
    <s v="E"/>
    <x v="0"/>
    <x v="0"/>
    <s v="Variable Pay"/>
    <s v="2 Operator"/>
    <x v="0"/>
    <x v="2"/>
    <x v="0"/>
    <n v="19496.25"/>
    <m/>
    <m/>
    <m/>
    <m/>
    <m/>
    <n v="235"/>
    <n v="0"/>
    <n v="235"/>
    <n v="0"/>
    <b v="0"/>
    <n v="0"/>
    <n v="235"/>
    <m/>
  </r>
  <r>
    <x v="3"/>
    <x v="1"/>
    <x v="0"/>
    <x v="1"/>
    <s v="E"/>
    <x v="0"/>
    <x v="1"/>
    <s v="Variable Pay"/>
    <s v="2 Operator"/>
    <x v="1"/>
    <x v="2"/>
    <x v="1"/>
    <n v="15053.3"/>
    <m/>
    <m/>
    <m/>
    <m/>
    <m/>
    <n v="235"/>
    <n v="0"/>
    <n v="235"/>
    <n v="0"/>
    <b v="0"/>
    <n v="0"/>
    <n v="235"/>
    <s v="LLB"/>
  </r>
  <r>
    <x v="4"/>
    <x v="1"/>
    <x v="0"/>
    <x v="1"/>
    <s v="E"/>
    <x v="0"/>
    <x v="1"/>
    <s v="Variable Pay"/>
    <s v="3 Supervisor"/>
    <x v="1"/>
    <x v="3"/>
    <x v="1"/>
    <n v="15053.3"/>
    <m/>
    <m/>
    <m/>
    <m/>
    <m/>
    <n v="315"/>
    <n v="0"/>
    <n v="315"/>
    <n v="0"/>
    <b v="0"/>
    <n v="0"/>
    <n v="315"/>
    <s v="LLB"/>
  </r>
  <r>
    <x v="5"/>
    <x v="1"/>
    <x v="0"/>
    <x v="1"/>
    <s v="E"/>
    <x v="0"/>
    <x v="1"/>
    <s v="Variable Pay"/>
    <s v="2 Driver"/>
    <x v="1"/>
    <x v="0"/>
    <x v="1"/>
    <n v="15053.3"/>
    <m/>
    <m/>
    <m/>
    <m/>
    <m/>
    <n v="190"/>
    <n v="0"/>
    <n v="190"/>
    <n v="0"/>
    <b v="0"/>
    <n v="0"/>
    <n v="190"/>
    <s v="LLB"/>
  </r>
  <r>
    <x v="3"/>
    <x v="2"/>
    <x v="0"/>
    <x v="1"/>
    <s v="E"/>
    <x v="0"/>
    <x v="2"/>
    <s v="Variable Pay"/>
    <s v="2 Operator"/>
    <x v="1"/>
    <x v="2"/>
    <x v="1"/>
    <n v="60205.1"/>
    <m/>
    <m/>
    <m/>
    <m/>
    <m/>
    <n v="301.34000000000003"/>
    <n v="0"/>
    <n v="301.34000000000003"/>
    <n v="0"/>
    <b v="0"/>
    <n v="0"/>
    <n v="301.34000000000003"/>
    <s v="LLB"/>
  </r>
  <r>
    <x v="4"/>
    <x v="2"/>
    <x v="0"/>
    <x v="1"/>
    <s v="E"/>
    <x v="0"/>
    <x v="2"/>
    <s v="Variable Pay"/>
    <s v="3 Supervisor"/>
    <x v="1"/>
    <x v="4"/>
    <x v="1"/>
    <n v="60205.1"/>
    <m/>
    <m/>
    <m/>
    <m/>
    <m/>
    <n v="321.39"/>
    <n v="0"/>
    <n v="321.39"/>
    <n v="0"/>
    <b v="0"/>
    <n v="0"/>
    <n v="321.39"/>
    <s v="LLB"/>
  </r>
  <r>
    <x v="3"/>
    <x v="3"/>
    <x v="0"/>
    <x v="1"/>
    <s v="E"/>
    <x v="0"/>
    <x v="3"/>
    <s v="Variable Pay"/>
    <s v="2 Operator"/>
    <x v="1"/>
    <x v="2"/>
    <x v="1"/>
    <n v="14073.6"/>
    <m/>
    <m/>
    <m/>
    <m/>
    <m/>
    <n v="235"/>
    <n v="0"/>
    <n v="235"/>
    <n v="0"/>
    <b v="0"/>
    <n v="0"/>
    <n v="235"/>
    <s v="LLB"/>
  </r>
  <r>
    <x v="4"/>
    <x v="3"/>
    <x v="0"/>
    <x v="1"/>
    <s v="E"/>
    <x v="0"/>
    <x v="3"/>
    <s v="Variable Pay"/>
    <s v="3 Supervisor"/>
    <x v="1"/>
    <x v="3"/>
    <x v="1"/>
    <n v="14073.6"/>
    <m/>
    <m/>
    <m/>
    <m/>
    <m/>
    <n v="315"/>
    <n v="0"/>
    <n v="315"/>
    <n v="0"/>
    <b v="0"/>
    <n v="0"/>
    <n v="315"/>
    <s v="LLB"/>
  </r>
  <r>
    <x v="6"/>
    <x v="4"/>
    <x v="1"/>
    <x v="0"/>
    <s v="E"/>
    <x v="0"/>
    <x v="0"/>
    <s v="Variable Pay"/>
    <s v="3 Supervisor"/>
    <x v="0"/>
    <x v="5"/>
    <x v="0"/>
    <n v="3457.82"/>
    <s v="Yes"/>
    <m/>
    <m/>
    <m/>
    <m/>
    <n v="315"/>
    <n v="107.5"/>
    <n v="422.5"/>
    <n v="0"/>
    <b v="0"/>
    <n v="0"/>
    <n v="422.5"/>
    <m/>
  </r>
  <r>
    <x v="7"/>
    <x v="4"/>
    <x v="1"/>
    <x v="0"/>
    <s v="E"/>
    <x v="0"/>
    <x v="0"/>
    <s v="Variable Pay"/>
    <s v="3 Operator"/>
    <x v="0"/>
    <x v="6"/>
    <x v="0"/>
    <n v="3457.82"/>
    <s v="Yes"/>
    <m/>
    <m/>
    <m/>
    <m/>
    <n v="230"/>
    <n v="107.5"/>
    <n v="337.5"/>
    <n v="0"/>
    <b v="0"/>
    <n v="0"/>
    <n v="337.5"/>
    <m/>
  </r>
  <r>
    <x v="2"/>
    <x v="5"/>
    <x v="0"/>
    <x v="0"/>
    <s v="E"/>
    <x v="1"/>
    <x v="4"/>
    <s v="Product Haul"/>
    <s v="2 Operator"/>
    <x v="0"/>
    <x v="2"/>
    <x v="0"/>
    <m/>
    <m/>
    <n v="50"/>
    <m/>
    <m/>
    <m/>
    <n v="0"/>
    <n v="0"/>
    <n v="0"/>
    <n v="121"/>
    <b v="0"/>
    <n v="0"/>
    <n v="121"/>
    <s v="MTS211768/CS1095106"/>
  </r>
  <r>
    <x v="8"/>
    <x v="5"/>
    <x v="0"/>
    <x v="0"/>
    <s v="E"/>
    <x v="2"/>
    <x v="5"/>
    <s v="Product Haul"/>
    <s v="2 Operator"/>
    <x v="0"/>
    <x v="2"/>
    <x v="2"/>
    <m/>
    <m/>
    <n v="520"/>
    <m/>
    <m/>
    <m/>
    <n v="0"/>
    <n v="0"/>
    <n v="0"/>
    <n v="168"/>
    <b v="0"/>
    <n v="0"/>
    <n v="168"/>
    <s v="Haul LLD to KBP"/>
  </r>
  <r>
    <x v="9"/>
    <x v="6"/>
    <x v="0"/>
    <x v="1"/>
    <s v="E"/>
    <x v="0"/>
    <x v="6"/>
    <s v="Variable Pay"/>
    <s v="2 Driver"/>
    <x v="1"/>
    <x v="0"/>
    <x v="3"/>
    <n v="12670.8"/>
    <m/>
    <m/>
    <m/>
    <m/>
    <m/>
    <n v="190"/>
    <n v="0"/>
    <n v="190"/>
    <n v="0"/>
    <b v="0"/>
    <n v="0"/>
    <n v="190"/>
    <s v="LLB"/>
  </r>
  <r>
    <x v="10"/>
    <x v="6"/>
    <x v="0"/>
    <x v="1"/>
    <s v="E"/>
    <x v="0"/>
    <x v="6"/>
    <s v="Variable Pay"/>
    <s v="2 Operator"/>
    <x v="1"/>
    <x v="2"/>
    <x v="3"/>
    <n v="12670.8"/>
    <m/>
    <m/>
    <m/>
    <m/>
    <m/>
    <n v="235"/>
    <n v="0"/>
    <n v="235"/>
    <n v="0"/>
    <b v="0"/>
    <n v="0"/>
    <n v="235"/>
    <s v="LLB"/>
  </r>
  <r>
    <x v="11"/>
    <x v="6"/>
    <x v="0"/>
    <x v="1"/>
    <s v="E"/>
    <x v="0"/>
    <x v="6"/>
    <s v="Variable Pay"/>
    <s v="3 Supervisor"/>
    <x v="1"/>
    <x v="3"/>
    <x v="3"/>
    <n v="12670.8"/>
    <m/>
    <m/>
    <m/>
    <m/>
    <m/>
    <n v="315"/>
    <n v="0"/>
    <n v="315"/>
    <n v="0"/>
    <b v="0"/>
    <n v="0"/>
    <n v="315"/>
    <s v="LLB"/>
  </r>
  <r>
    <x v="9"/>
    <x v="7"/>
    <x v="0"/>
    <x v="1"/>
    <s v="E"/>
    <x v="0"/>
    <x v="5"/>
    <s v="Variable Pay"/>
    <s v="2 Driver"/>
    <x v="1"/>
    <x v="0"/>
    <x v="3"/>
    <n v="10778.2"/>
    <m/>
    <m/>
    <m/>
    <m/>
    <m/>
    <n v="190"/>
    <n v="0"/>
    <n v="190"/>
    <n v="0"/>
    <b v="0"/>
    <n v="0"/>
    <n v="190"/>
    <s v="LLB"/>
  </r>
  <r>
    <x v="10"/>
    <x v="7"/>
    <x v="0"/>
    <x v="1"/>
    <s v="E"/>
    <x v="0"/>
    <x v="5"/>
    <s v="Variable Pay"/>
    <s v="2 Operator"/>
    <x v="1"/>
    <x v="2"/>
    <x v="3"/>
    <n v="10778.2"/>
    <m/>
    <m/>
    <m/>
    <m/>
    <m/>
    <n v="235"/>
    <n v="0"/>
    <n v="235"/>
    <n v="0"/>
    <b v="0"/>
    <n v="0"/>
    <n v="235"/>
    <s v="LLB"/>
  </r>
  <r>
    <x v="11"/>
    <x v="7"/>
    <x v="0"/>
    <x v="1"/>
    <s v="E"/>
    <x v="0"/>
    <x v="5"/>
    <s v="Variable Pay"/>
    <s v="3 Supervisor"/>
    <x v="1"/>
    <x v="3"/>
    <x v="3"/>
    <n v="10778.2"/>
    <m/>
    <m/>
    <m/>
    <m/>
    <m/>
    <n v="315"/>
    <n v="0"/>
    <n v="315"/>
    <n v="0"/>
    <b v="0"/>
    <n v="0"/>
    <n v="315"/>
    <s v="LLB"/>
  </r>
  <r>
    <x v="9"/>
    <x v="8"/>
    <x v="0"/>
    <x v="1"/>
    <s v="E"/>
    <x v="0"/>
    <x v="7"/>
    <s v="Variable Pay"/>
    <s v="2 Driver"/>
    <x v="1"/>
    <x v="0"/>
    <x v="3"/>
    <n v="11546.2"/>
    <m/>
    <m/>
    <m/>
    <m/>
    <m/>
    <n v="190"/>
    <n v="0"/>
    <n v="190"/>
    <n v="0"/>
    <b v="0"/>
    <n v="0"/>
    <n v="190"/>
    <s v="LLB"/>
  </r>
  <r>
    <x v="10"/>
    <x v="8"/>
    <x v="0"/>
    <x v="1"/>
    <s v="E"/>
    <x v="0"/>
    <x v="7"/>
    <s v="Variable Pay"/>
    <s v="2 Operator"/>
    <x v="1"/>
    <x v="2"/>
    <x v="3"/>
    <n v="11546.2"/>
    <m/>
    <m/>
    <m/>
    <m/>
    <m/>
    <n v="235"/>
    <n v="0"/>
    <n v="235"/>
    <n v="0"/>
    <b v="0"/>
    <n v="0"/>
    <n v="235"/>
    <s v="LLB"/>
  </r>
  <r>
    <x v="11"/>
    <x v="8"/>
    <x v="0"/>
    <x v="1"/>
    <s v="E"/>
    <x v="0"/>
    <x v="7"/>
    <s v="Variable Pay"/>
    <s v="3 Supervisor"/>
    <x v="1"/>
    <x v="3"/>
    <x v="3"/>
    <n v="11546.2"/>
    <m/>
    <m/>
    <m/>
    <m/>
    <m/>
    <n v="315"/>
    <n v="0"/>
    <n v="315"/>
    <n v="0"/>
    <b v="0"/>
    <n v="0"/>
    <n v="315"/>
    <s v="LLB"/>
  </r>
  <r>
    <x v="9"/>
    <x v="9"/>
    <x v="0"/>
    <x v="1"/>
    <s v="E"/>
    <x v="0"/>
    <x v="6"/>
    <s v="Variable Pay"/>
    <s v="2 Driver"/>
    <x v="1"/>
    <x v="0"/>
    <x v="3"/>
    <n v="10497.2"/>
    <m/>
    <m/>
    <m/>
    <m/>
    <m/>
    <n v="190"/>
    <n v="0"/>
    <n v="190"/>
    <n v="0"/>
    <b v="0"/>
    <n v="0"/>
    <n v="190"/>
    <s v="LLB"/>
  </r>
  <r>
    <x v="10"/>
    <x v="9"/>
    <x v="0"/>
    <x v="1"/>
    <s v="E"/>
    <x v="0"/>
    <x v="6"/>
    <s v="Variable Pay"/>
    <s v="2 Operator"/>
    <x v="1"/>
    <x v="2"/>
    <x v="3"/>
    <n v="10497.2"/>
    <m/>
    <m/>
    <m/>
    <m/>
    <m/>
    <n v="235"/>
    <n v="0"/>
    <n v="235"/>
    <n v="0"/>
    <b v="0"/>
    <n v="0"/>
    <n v="235"/>
    <s v="LLB"/>
  </r>
  <r>
    <x v="11"/>
    <x v="9"/>
    <x v="0"/>
    <x v="1"/>
    <s v="E"/>
    <x v="0"/>
    <x v="6"/>
    <s v="Variable Pay"/>
    <s v="3 Supervisor"/>
    <x v="1"/>
    <x v="3"/>
    <x v="3"/>
    <n v="10497.2"/>
    <m/>
    <m/>
    <m/>
    <m/>
    <m/>
    <n v="315"/>
    <n v="0"/>
    <n v="315"/>
    <n v="0"/>
    <b v="0"/>
    <n v="0"/>
    <n v="315"/>
    <s v="LLB"/>
  </r>
  <r>
    <x v="3"/>
    <x v="10"/>
    <x v="0"/>
    <x v="1"/>
    <s v="E"/>
    <x v="0"/>
    <x v="5"/>
    <s v="Variable Pay"/>
    <s v="2 Operator"/>
    <x v="1"/>
    <x v="2"/>
    <x v="3"/>
    <n v="40285.4"/>
    <m/>
    <m/>
    <m/>
    <m/>
    <m/>
    <n v="268.47000000000003"/>
    <n v="0"/>
    <n v="268.47000000000003"/>
    <n v="0"/>
    <b v="0"/>
    <n v="0"/>
    <n v="268.47000000000003"/>
    <s v="LLB"/>
  </r>
  <r>
    <x v="4"/>
    <x v="10"/>
    <x v="0"/>
    <x v="1"/>
    <s v="E"/>
    <x v="0"/>
    <x v="5"/>
    <s v="Variable Pay"/>
    <s v="3 Supervisor"/>
    <x v="1"/>
    <x v="4"/>
    <x v="3"/>
    <n v="40285.4"/>
    <m/>
    <m/>
    <m/>
    <m/>
    <m/>
    <n v="283.54000000000002"/>
    <n v="0"/>
    <n v="283.54000000000002"/>
    <n v="0"/>
    <b v="0"/>
    <n v="0"/>
    <n v="283.54000000000002"/>
    <s v="LLB"/>
  </r>
  <r>
    <x v="7"/>
    <x v="11"/>
    <x v="0"/>
    <x v="1"/>
    <s v="E"/>
    <x v="0"/>
    <x v="6"/>
    <s v="Variable Pay"/>
    <s v="3 Operator"/>
    <x v="1"/>
    <x v="4"/>
    <x v="3"/>
    <n v="27334"/>
    <m/>
    <m/>
    <m/>
    <m/>
    <m/>
    <n v="258.93"/>
    <n v="0"/>
    <n v="258.93"/>
    <n v="0"/>
    <b v="0"/>
    <n v="0"/>
    <n v="258.93"/>
    <s v="LLB"/>
  </r>
  <r>
    <x v="6"/>
    <x v="11"/>
    <x v="0"/>
    <x v="1"/>
    <s v="E"/>
    <x v="0"/>
    <x v="6"/>
    <s v="Variable Pay"/>
    <s v="3 Supervisor"/>
    <x v="1"/>
    <x v="4"/>
    <x v="3"/>
    <n v="27334"/>
    <m/>
    <m/>
    <m/>
    <m/>
    <m/>
    <n v="258.93"/>
    <n v="0"/>
    <n v="258.93"/>
    <n v="0"/>
    <b v="0"/>
    <n v="0"/>
    <n v="258.93"/>
    <s v="LLB"/>
  </r>
  <r>
    <x v="7"/>
    <x v="12"/>
    <x v="0"/>
    <x v="1"/>
    <s v="E"/>
    <x v="0"/>
    <x v="8"/>
    <s v="Variable Pay"/>
    <s v="3 Operator"/>
    <x v="1"/>
    <x v="4"/>
    <x v="3"/>
    <n v="24457.200000000001"/>
    <m/>
    <m/>
    <m/>
    <m/>
    <m/>
    <n v="253.47"/>
    <n v="0"/>
    <n v="253.47"/>
    <n v="0"/>
    <b v="0"/>
    <n v="0"/>
    <n v="253.47"/>
    <s v="LLB"/>
  </r>
  <r>
    <x v="6"/>
    <x v="12"/>
    <x v="0"/>
    <x v="1"/>
    <s v="E"/>
    <x v="0"/>
    <x v="8"/>
    <s v="Variable Pay"/>
    <s v="3 Supervisor"/>
    <x v="1"/>
    <x v="3"/>
    <x v="3"/>
    <n v="24457.200000000001"/>
    <m/>
    <m/>
    <m/>
    <m/>
    <m/>
    <n v="329.04"/>
    <n v="0"/>
    <n v="329.04"/>
    <n v="0"/>
    <b v="0"/>
    <n v="0"/>
    <n v="329.04"/>
    <s v="LLB"/>
  </r>
  <r>
    <x v="9"/>
    <x v="13"/>
    <x v="0"/>
    <x v="1"/>
    <s v="E"/>
    <x v="0"/>
    <x v="8"/>
    <s v="Variable Pay"/>
    <s v="2 Driver"/>
    <x v="1"/>
    <x v="0"/>
    <x v="3"/>
    <n v="12801.4"/>
    <m/>
    <m/>
    <m/>
    <m/>
    <m/>
    <n v="190"/>
    <n v="0"/>
    <n v="190"/>
    <n v="0"/>
    <b v="0"/>
    <n v="0"/>
    <n v="190"/>
    <s v="LLB"/>
  </r>
  <r>
    <x v="10"/>
    <x v="13"/>
    <x v="0"/>
    <x v="1"/>
    <s v="E"/>
    <x v="0"/>
    <x v="8"/>
    <s v="Variable Pay"/>
    <s v="2 Operator"/>
    <x v="1"/>
    <x v="2"/>
    <x v="3"/>
    <n v="12801.4"/>
    <m/>
    <m/>
    <m/>
    <m/>
    <m/>
    <n v="235"/>
    <n v="0"/>
    <n v="235"/>
    <n v="0"/>
    <b v="0"/>
    <n v="0"/>
    <n v="235"/>
    <s v="LLB"/>
  </r>
  <r>
    <x v="11"/>
    <x v="13"/>
    <x v="0"/>
    <x v="1"/>
    <s v="E"/>
    <x v="0"/>
    <x v="8"/>
    <s v="Variable Pay"/>
    <s v="3 Supervisor"/>
    <x v="1"/>
    <x v="3"/>
    <x v="3"/>
    <n v="12801.4"/>
    <m/>
    <m/>
    <m/>
    <m/>
    <m/>
    <n v="315"/>
    <n v="0"/>
    <n v="315"/>
    <n v="0"/>
    <b v="0"/>
    <n v="0"/>
    <n v="315"/>
    <s v="LLB"/>
  </r>
  <r>
    <x v="9"/>
    <x v="14"/>
    <x v="0"/>
    <x v="1"/>
    <s v="E"/>
    <x v="0"/>
    <x v="9"/>
    <s v="Variable Pay"/>
    <s v="2 Driver"/>
    <x v="1"/>
    <x v="0"/>
    <x v="3"/>
    <n v="9118.15"/>
    <m/>
    <m/>
    <m/>
    <m/>
    <m/>
    <n v="175"/>
    <n v="0"/>
    <n v="175"/>
    <n v="0"/>
    <b v="0"/>
    <n v="0"/>
    <n v="175"/>
    <s v="LLB"/>
  </r>
  <r>
    <x v="10"/>
    <x v="14"/>
    <x v="0"/>
    <x v="1"/>
    <s v="E"/>
    <x v="0"/>
    <x v="9"/>
    <s v="Variable Pay"/>
    <s v="2 Operator"/>
    <x v="1"/>
    <x v="2"/>
    <x v="3"/>
    <n v="9118.15"/>
    <m/>
    <m/>
    <m/>
    <m/>
    <m/>
    <n v="195"/>
    <n v="0"/>
    <n v="195"/>
    <n v="0"/>
    <b v="0"/>
    <n v="0"/>
    <n v="195"/>
    <s v="LLB"/>
  </r>
  <r>
    <x v="11"/>
    <x v="14"/>
    <x v="0"/>
    <x v="1"/>
    <s v="E"/>
    <x v="0"/>
    <x v="9"/>
    <s v="Variable Pay"/>
    <s v="3 Supervisor"/>
    <x v="1"/>
    <x v="3"/>
    <x v="3"/>
    <n v="9118.15"/>
    <m/>
    <m/>
    <m/>
    <m/>
    <m/>
    <n v="265"/>
    <n v="0"/>
    <n v="265"/>
    <n v="0"/>
    <b v="0"/>
    <n v="0"/>
    <n v="265"/>
    <s v="LLB"/>
  </r>
  <r>
    <x v="12"/>
    <x v="15"/>
    <x v="0"/>
    <x v="1"/>
    <s v="E"/>
    <x v="0"/>
    <x v="10"/>
    <s v="Variable Pay"/>
    <s v="2 Supervisor"/>
    <x v="1"/>
    <x v="7"/>
    <x v="4"/>
    <n v="18084.5"/>
    <m/>
    <m/>
    <m/>
    <m/>
    <m/>
    <n v="295"/>
    <n v="0"/>
    <n v="295"/>
    <n v="0"/>
    <b v="0"/>
    <n v="0"/>
    <n v="295"/>
    <m/>
  </r>
  <r>
    <x v="13"/>
    <x v="16"/>
    <x v="0"/>
    <x v="1"/>
    <s v="E"/>
    <x v="0"/>
    <x v="10"/>
    <s v="Variable Pay"/>
    <s v="2 Operator"/>
    <x v="1"/>
    <x v="2"/>
    <x v="4"/>
    <n v="18084.5"/>
    <m/>
    <m/>
    <m/>
    <m/>
    <m/>
    <n v="235"/>
    <n v="0"/>
    <n v="235"/>
    <n v="0"/>
    <b v="0"/>
    <n v="0"/>
    <n v="235"/>
    <m/>
  </r>
  <r>
    <x v="0"/>
    <x v="17"/>
    <x v="0"/>
    <x v="0"/>
    <s v="E"/>
    <x v="0"/>
    <x v="10"/>
    <s v="Variable Pay"/>
    <s v="2 Supervisor"/>
    <x v="0"/>
    <x v="0"/>
    <x v="0"/>
    <n v="18960.53"/>
    <m/>
    <m/>
    <m/>
    <m/>
    <m/>
    <n v="190"/>
    <n v="0"/>
    <n v="190"/>
    <n v="0"/>
    <b v="0"/>
    <n v="0"/>
    <n v="190"/>
    <m/>
  </r>
  <r>
    <x v="1"/>
    <x v="17"/>
    <x v="0"/>
    <x v="0"/>
    <s v="E"/>
    <x v="0"/>
    <x v="10"/>
    <s v="Variable Pay"/>
    <s v="4 Supervisor"/>
    <x v="0"/>
    <x v="1"/>
    <x v="0"/>
    <n v="18960.53"/>
    <m/>
    <m/>
    <m/>
    <m/>
    <m/>
    <n v="335"/>
    <n v="0"/>
    <n v="335"/>
    <n v="0"/>
    <b v="0"/>
    <n v="0"/>
    <n v="335"/>
    <m/>
  </r>
  <r>
    <x v="2"/>
    <x v="17"/>
    <x v="0"/>
    <x v="0"/>
    <s v="E"/>
    <x v="0"/>
    <x v="10"/>
    <s v="Variable Pay"/>
    <s v="2 Operator"/>
    <x v="0"/>
    <x v="2"/>
    <x v="0"/>
    <n v="18960.53"/>
    <m/>
    <m/>
    <m/>
    <m/>
    <m/>
    <n v="235"/>
    <n v="0"/>
    <n v="235"/>
    <n v="0"/>
    <b v="0"/>
    <n v="0"/>
    <n v="235"/>
    <m/>
  </r>
  <r>
    <x v="12"/>
    <x v="18"/>
    <x v="0"/>
    <x v="0"/>
    <s v="E"/>
    <x v="0"/>
    <x v="2"/>
    <s v="Variable Pay"/>
    <s v="2 Supervisor"/>
    <x v="0"/>
    <x v="7"/>
    <x v="0"/>
    <n v="4309.43"/>
    <m/>
    <m/>
    <m/>
    <m/>
    <m/>
    <n v="245"/>
    <n v="0"/>
    <n v="245"/>
    <n v="0"/>
    <b v="0"/>
    <n v="0"/>
    <n v="245"/>
    <m/>
  </r>
  <r>
    <x v="13"/>
    <x v="18"/>
    <x v="0"/>
    <x v="0"/>
    <s v="E"/>
    <x v="0"/>
    <x v="2"/>
    <s v="Variable Pay"/>
    <s v="2 Operator"/>
    <x v="0"/>
    <x v="2"/>
    <x v="0"/>
    <n v="4309.43"/>
    <m/>
    <m/>
    <m/>
    <m/>
    <m/>
    <n v="195"/>
    <n v="0"/>
    <n v="195"/>
    <n v="0"/>
    <b v="0"/>
    <n v="0"/>
    <n v="195"/>
    <m/>
  </r>
  <r>
    <x v="5"/>
    <x v="18"/>
    <x v="0"/>
    <x v="0"/>
    <s v="E"/>
    <x v="0"/>
    <x v="2"/>
    <s v="Variable Pay"/>
    <s v="2 Driver"/>
    <x v="0"/>
    <x v="0"/>
    <x v="0"/>
    <n v="4309.34"/>
    <m/>
    <m/>
    <m/>
    <m/>
    <m/>
    <n v="175"/>
    <n v="0"/>
    <n v="175"/>
    <n v="0"/>
    <b v="0"/>
    <n v="0"/>
    <n v="175"/>
    <m/>
  </r>
  <r>
    <x v="12"/>
    <x v="19"/>
    <x v="1"/>
    <x v="0"/>
    <s v="E"/>
    <x v="0"/>
    <x v="3"/>
    <s v="Variable Pay"/>
    <s v="2 Supervisor"/>
    <x v="0"/>
    <x v="5"/>
    <x v="0"/>
    <n v="4271.3599999999997"/>
    <m/>
    <m/>
    <m/>
    <m/>
    <m/>
    <n v="315"/>
    <n v="0"/>
    <n v="315"/>
    <n v="0"/>
    <b v="0"/>
    <n v="0"/>
    <n v="315"/>
    <m/>
  </r>
  <r>
    <x v="13"/>
    <x v="19"/>
    <x v="1"/>
    <x v="0"/>
    <s v="E"/>
    <x v="0"/>
    <x v="3"/>
    <s v="Variable Pay"/>
    <s v="2 Operator"/>
    <x v="0"/>
    <x v="6"/>
    <x v="0"/>
    <n v="4271.3599999999997"/>
    <m/>
    <m/>
    <m/>
    <m/>
    <m/>
    <n v="230"/>
    <n v="0"/>
    <n v="230"/>
    <n v="0"/>
    <b v="0"/>
    <n v="0"/>
    <n v="230"/>
    <m/>
  </r>
  <r>
    <x v="8"/>
    <x v="19"/>
    <x v="1"/>
    <x v="0"/>
    <s v="E"/>
    <x v="0"/>
    <x v="3"/>
    <s v="Variable Pay"/>
    <s v="2 Operator"/>
    <x v="0"/>
    <x v="8"/>
    <x v="0"/>
    <n v="4271.3599999999997"/>
    <m/>
    <m/>
    <m/>
    <m/>
    <m/>
    <n v="220"/>
    <n v="0"/>
    <n v="220"/>
    <n v="0"/>
    <b v="0"/>
    <n v="0"/>
    <n v="220"/>
    <m/>
  </r>
  <r>
    <x v="12"/>
    <x v="20"/>
    <x v="1"/>
    <x v="0"/>
    <s v="E"/>
    <x v="0"/>
    <x v="7"/>
    <s v="Variable Pay"/>
    <s v="2 Supervisor"/>
    <x v="0"/>
    <x v="5"/>
    <x v="0"/>
    <n v="4724.2700000000004"/>
    <m/>
    <m/>
    <m/>
    <m/>
    <m/>
    <n v="315"/>
    <n v="0"/>
    <n v="315"/>
    <n v="0"/>
    <b v="0"/>
    <n v="0"/>
    <n v="315"/>
    <m/>
  </r>
  <r>
    <x v="13"/>
    <x v="20"/>
    <x v="1"/>
    <x v="0"/>
    <s v="E"/>
    <x v="0"/>
    <x v="7"/>
    <s v="Variable Pay"/>
    <s v="2 Operator"/>
    <x v="0"/>
    <x v="6"/>
    <x v="0"/>
    <n v="4724.2700000000004"/>
    <m/>
    <m/>
    <m/>
    <m/>
    <m/>
    <n v="230"/>
    <n v="0"/>
    <n v="230"/>
    <n v="0"/>
    <b v="0"/>
    <n v="0"/>
    <n v="230"/>
    <m/>
  </r>
  <r>
    <x v="5"/>
    <x v="20"/>
    <x v="1"/>
    <x v="0"/>
    <s v="E"/>
    <x v="0"/>
    <x v="7"/>
    <s v="Variable Pay"/>
    <s v="2 Driver"/>
    <x v="0"/>
    <x v="8"/>
    <x v="0"/>
    <n v="4724.2700000000004"/>
    <m/>
    <m/>
    <m/>
    <m/>
    <m/>
    <n v="220"/>
    <n v="0"/>
    <n v="220"/>
    <n v="0"/>
    <b v="0"/>
    <n v="0"/>
    <n v="220"/>
    <m/>
  </r>
  <r>
    <x v="12"/>
    <x v="21"/>
    <x v="0"/>
    <x v="1"/>
    <s v="E"/>
    <x v="0"/>
    <x v="5"/>
    <s v="Variable Pay"/>
    <s v="2 Supervisor"/>
    <x v="1"/>
    <x v="7"/>
    <x v="5"/>
    <n v="3944"/>
    <m/>
    <m/>
    <m/>
    <m/>
    <m/>
    <n v="245"/>
    <n v="0"/>
    <n v="245"/>
    <n v="0"/>
    <b v="0"/>
    <n v="0"/>
    <n v="245"/>
    <m/>
  </r>
  <r>
    <x v="13"/>
    <x v="21"/>
    <x v="0"/>
    <x v="1"/>
    <s v="E"/>
    <x v="0"/>
    <x v="5"/>
    <s v="Variable Pay"/>
    <s v="2 Operator"/>
    <x v="1"/>
    <x v="2"/>
    <x v="5"/>
    <n v="3944"/>
    <m/>
    <m/>
    <m/>
    <m/>
    <m/>
    <n v="195"/>
    <n v="0"/>
    <n v="195"/>
    <n v="0"/>
    <b v="0"/>
    <n v="0"/>
    <n v="195"/>
    <m/>
  </r>
  <r>
    <x v="5"/>
    <x v="21"/>
    <x v="0"/>
    <x v="1"/>
    <s v="E"/>
    <x v="0"/>
    <x v="5"/>
    <s v="Variable Pay"/>
    <s v="2 Driver"/>
    <x v="1"/>
    <x v="0"/>
    <x v="5"/>
    <n v="3944"/>
    <m/>
    <m/>
    <m/>
    <m/>
    <m/>
    <n v="175"/>
    <n v="0"/>
    <n v="175"/>
    <n v="0"/>
    <b v="0"/>
    <n v="0"/>
    <n v="175"/>
    <m/>
  </r>
  <r>
    <x v="12"/>
    <x v="22"/>
    <x v="1"/>
    <x v="1"/>
    <s v="E"/>
    <x v="0"/>
    <x v="5"/>
    <s v="Variable Pay"/>
    <s v="2 Supervisor"/>
    <x v="1"/>
    <x v="5"/>
    <x v="6"/>
    <n v="8671.5"/>
    <m/>
    <m/>
    <m/>
    <m/>
    <m/>
    <n v="315"/>
    <n v="0"/>
    <n v="315"/>
    <n v="0"/>
    <b v="0"/>
    <n v="0"/>
    <n v="315"/>
    <m/>
  </r>
  <r>
    <x v="13"/>
    <x v="22"/>
    <x v="1"/>
    <x v="1"/>
    <s v="E"/>
    <x v="0"/>
    <x v="5"/>
    <s v="Variable Pay"/>
    <s v="2 Operator"/>
    <x v="1"/>
    <x v="6"/>
    <x v="6"/>
    <n v="8671.5"/>
    <m/>
    <m/>
    <m/>
    <m/>
    <m/>
    <n v="230"/>
    <n v="0"/>
    <n v="230"/>
    <n v="0"/>
    <b v="0"/>
    <n v="0"/>
    <n v="230"/>
    <m/>
  </r>
  <r>
    <x v="5"/>
    <x v="22"/>
    <x v="1"/>
    <x v="1"/>
    <s v="E"/>
    <x v="0"/>
    <x v="5"/>
    <s v="Variable Pay"/>
    <s v="2 Driver"/>
    <x v="1"/>
    <x v="8"/>
    <x v="6"/>
    <n v="8671.5"/>
    <m/>
    <m/>
    <m/>
    <m/>
    <m/>
    <n v="220"/>
    <n v="0"/>
    <n v="220"/>
    <n v="0"/>
    <b v="0"/>
    <n v="0"/>
    <n v="220"/>
    <m/>
  </r>
  <r>
    <x v="0"/>
    <x v="23"/>
    <x v="0"/>
    <x v="0"/>
    <s v="E"/>
    <x v="0"/>
    <x v="6"/>
    <s v="Variable Pay"/>
    <s v="2 Supervisor"/>
    <x v="0"/>
    <x v="7"/>
    <x v="0"/>
    <n v="28562.67"/>
    <m/>
    <m/>
    <m/>
    <m/>
    <m/>
    <n v="317.69"/>
    <n v="0"/>
    <n v="317.69"/>
    <n v="0"/>
    <b v="0"/>
    <n v="0"/>
    <n v="317.69"/>
    <m/>
  </r>
  <r>
    <x v="13"/>
    <x v="23"/>
    <x v="0"/>
    <x v="0"/>
    <s v="E"/>
    <x v="0"/>
    <x v="6"/>
    <s v="Variable Pay"/>
    <s v="2 Operator"/>
    <x v="0"/>
    <x v="2"/>
    <x v="0"/>
    <n v="28562.67"/>
    <m/>
    <m/>
    <m/>
    <m/>
    <m/>
    <n v="249.13"/>
    <n v="0"/>
    <n v="249.13"/>
    <n v="0"/>
    <b v="0"/>
    <n v="0"/>
    <n v="249.13"/>
    <m/>
  </r>
  <r>
    <x v="8"/>
    <x v="23"/>
    <x v="0"/>
    <x v="0"/>
    <s v="E"/>
    <x v="0"/>
    <x v="6"/>
    <s v="Variable Pay"/>
    <s v="2 Operator"/>
    <x v="0"/>
    <x v="0"/>
    <x v="0"/>
    <n v="28562.67"/>
    <m/>
    <m/>
    <m/>
    <m/>
    <m/>
    <n v="199.85"/>
    <n v="0"/>
    <n v="199.85"/>
    <n v="0"/>
    <b v="0"/>
    <n v="0"/>
    <n v="199.85"/>
    <m/>
  </r>
  <r>
    <x v="0"/>
    <x v="24"/>
    <x v="0"/>
    <x v="0"/>
    <s v="E"/>
    <x v="0"/>
    <x v="8"/>
    <s v="Variable Pay"/>
    <s v="2 Supervisor"/>
    <x v="0"/>
    <x v="7"/>
    <x v="0"/>
    <n v="6366.15"/>
    <m/>
    <m/>
    <m/>
    <m/>
    <m/>
    <n v="245"/>
    <n v="0"/>
    <n v="245"/>
    <n v="0"/>
    <b v="0"/>
    <n v="0"/>
    <n v="245"/>
    <m/>
  </r>
  <r>
    <x v="13"/>
    <x v="24"/>
    <x v="0"/>
    <x v="0"/>
    <s v="E"/>
    <x v="0"/>
    <x v="8"/>
    <s v="Variable Pay"/>
    <s v="2 Operator"/>
    <x v="0"/>
    <x v="2"/>
    <x v="0"/>
    <n v="6366.15"/>
    <m/>
    <m/>
    <m/>
    <m/>
    <m/>
    <n v="195"/>
    <n v="0"/>
    <n v="195"/>
    <n v="0"/>
    <b v="0"/>
    <n v="0"/>
    <n v="195"/>
    <m/>
  </r>
  <r>
    <x v="8"/>
    <x v="24"/>
    <x v="0"/>
    <x v="0"/>
    <s v="E"/>
    <x v="0"/>
    <x v="8"/>
    <s v="Variable Pay"/>
    <s v="2 Operator"/>
    <x v="0"/>
    <x v="0"/>
    <x v="0"/>
    <n v="6366.15"/>
    <m/>
    <m/>
    <m/>
    <m/>
    <m/>
    <n v="175"/>
    <n v="0"/>
    <n v="175"/>
    <n v="0"/>
    <b v="0"/>
    <n v="0"/>
    <n v="175"/>
    <m/>
  </r>
  <r>
    <x v="14"/>
    <x v="5"/>
    <x v="0"/>
    <x v="0"/>
    <s v="E"/>
    <x v="3"/>
    <x v="11"/>
    <s v="Product Haul"/>
    <s v="2 Driver"/>
    <x v="0"/>
    <x v="0"/>
    <x v="0"/>
    <m/>
    <m/>
    <n v="70"/>
    <m/>
    <m/>
    <m/>
    <n v="0"/>
    <n v="0"/>
    <n v="0"/>
    <n v="123"/>
    <b v="0"/>
    <n v="0"/>
    <n v="123"/>
    <s v="MTS213469"/>
  </r>
  <r>
    <x v="5"/>
    <x v="5"/>
    <x v="0"/>
    <x v="0"/>
    <s v="E"/>
    <x v="4"/>
    <x v="6"/>
    <s v="Product Haul"/>
    <s v="2 Driver"/>
    <x v="0"/>
    <x v="0"/>
    <x v="0"/>
    <m/>
    <m/>
    <n v="110"/>
    <m/>
    <m/>
    <m/>
    <n v="0"/>
    <n v="0"/>
    <n v="0"/>
    <n v="127"/>
    <b v="0"/>
    <n v="0"/>
    <n v="127"/>
    <s v="MTS213461"/>
  </r>
  <r>
    <x v="5"/>
    <x v="5"/>
    <x v="0"/>
    <x v="0"/>
    <s v="E"/>
    <x v="5"/>
    <x v="6"/>
    <s v="Product Haul"/>
    <s v="2 Driver"/>
    <x v="0"/>
    <x v="0"/>
    <x v="0"/>
    <m/>
    <m/>
    <n v="110"/>
    <m/>
    <m/>
    <m/>
    <n v="0"/>
    <n v="0"/>
    <n v="0"/>
    <n v="127"/>
    <b v="0"/>
    <n v="0"/>
    <n v="127"/>
    <s v="MTS213460"/>
  </r>
  <r>
    <x v="9"/>
    <x v="5"/>
    <x v="0"/>
    <x v="0"/>
    <s v="E"/>
    <x v="6"/>
    <x v="12"/>
    <s v="Product Haul"/>
    <s v="2 Driver"/>
    <x v="0"/>
    <x v="0"/>
    <x v="0"/>
    <m/>
    <m/>
    <n v="300"/>
    <m/>
    <m/>
    <m/>
    <n v="0"/>
    <n v="0"/>
    <n v="0"/>
    <n v="146"/>
    <b v="0"/>
    <n v="0"/>
    <n v="146"/>
    <s v="MTS213453"/>
  </r>
  <r>
    <x v="2"/>
    <x v="25"/>
    <x v="0"/>
    <x v="0"/>
    <s v="E"/>
    <x v="0"/>
    <x v="11"/>
    <s v="Variable Pay"/>
    <s v="2 Operator"/>
    <x v="0"/>
    <x v="0"/>
    <x v="7"/>
    <n v="20782.5"/>
    <m/>
    <m/>
    <m/>
    <m/>
    <m/>
    <n v="190.9"/>
    <n v="0"/>
    <n v="190.9"/>
    <n v="0"/>
    <b v="0"/>
    <n v="0"/>
    <n v="190.9"/>
    <s v="LLD"/>
  </r>
  <r>
    <x v="7"/>
    <x v="26"/>
    <x v="0"/>
    <x v="1"/>
    <s v="E"/>
    <x v="0"/>
    <x v="11"/>
    <s v="Variable Pay"/>
    <s v="3 Operator"/>
    <x v="1"/>
    <x v="4"/>
    <x v="3"/>
    <n v="33180.400000000001"/>
    <m/>
    <m/>
    <m/>
    <m/>
    <m/>
    <n v="270.04000000000002"/>
    <n v="0"/>
    <n v="270.04000000000002"/>
    <n v="0"/>
    <b v="0"/>
    <n v="0"/>
    <n v="270.04000000000002"/>
    <s v="LLB"/>
  </r>
  <r>
    <x v="6"/>
    <x v="26"/>
    <x v="0"/>
    <x v="1"/>
    <s v="E"/>
    <x v="0"/>
    <x v="11"/>
    <s v="Variable Pay"/>
    <s v="3 Supervisor"/>
    <x v="1"/>
    <x v="3"/>
    <x v="3"/>
    <n v="33180"/>
    <m/>
    <m/>
    <m/>
    <m/>
    <m/>
    <n v="356.51"/>
    <n v="0"/>
    <n v="356.51"/>
    <n v="0"/>
    <b v="0"/>
    <n v="0"/>
    <n v="356.51"/>
    <s v="LLB"/>
  </r>
  <r>
    <x v="7"/>
    <x v="27"/>
    <x v="0"/>
    <x v="1"/>
    <s v="E"/>
    <x v="0"/>
    <x v="9"/>
    <s v="Variable Pay"/>
    <s v="3 Operator"/>
    <x v="1"/>
    <x v="4"/>
    <x v="3"/>
    <n v="31289.599999999999"/>
    <m/>
    <m/>
    <m/>
    <m/>
    <m/>
    <n v="266.45"/>
    <n v="0"/>
    <n v="266.45"/>
    <n v="0"/>
    <b v="0"/>
    <n v="0"/>
    <n v="266.45"/>
    <s v="LLB"/>
  </r>
  <r>
    <x v="6"/>
    <x v="27"/>
    <x v="0"/>
    <x v="1"/>
    <s v="E"/>
    <x v="0"/>
    <x v="9"/>
    <s v="Variable Pay"/>
    <s v="3 Supervisor"/>
    <x v="1"/>
    <x v="4"/>
    <x v="3"/>
    <n v="31289.599999999999"/>
    <m/>
    <m/>
    <m/>
    <m/>
    <m/>
    <n v="266.45"/>
    <n v="0"/>
    <n v="266.45"/>
    <n v="0"/>
    <b v="0"/>
    <n v="0"/>
    <n v="266.45"/>
    <s v="LLB"/>
  </r>
  <r>
    <x v="12"/>
    <x v="5"/>
    <x v="2"/>
    <x v="2"/>
    <m/>
    <x v="0"/>
    <x v="11"/>
    <m/>
    <s v="2 Supervisor"/>
    <x v="2"/>
    <x v="9"/>
    <x v="8"/>
    <m/>
    <m/>
    <m/>
    <m/>
    <m/>
    <n v="233"/>
    <n v="0"/>
    <n v="0"/>
    <n v="0"/>
    <n v="0"/>
    <b v="0"/>
    <n v="0"/>
    <n v="0"/>
    <m/>
  </r>
  <r>
    <x v="7"/>
    <x v="5"/>
    <x v="2"/>
    <x v="2"/>
    <m/>
    <x v="0"/>
    <x v="11"/>
    <m/>
    <s v="3 Operator"/>
    <x v="2"/>
    <x v="9"/>
    <x v="8"/>
    <m/>
    <m/>
    <m/>
    <m/>
    <m/>
    <n v="40"/>
    <n v="0"/>
    <n v="0"/>
    <n v="0"/>
    <n v="0"/>
    <b v="0"/>
    <n v="0"/>
    <n v="0"/>
    <m/>
  </r>
  <r>
    <x v="0"/>
    <x v="5"/>
    <x v="2"/>
    <x v="2"/>
    <m/>
    <x v="0"/>
    <x v="11"/>
    <m/>
    <s v="2 Supervisor"/>
    <x v="2"/>
    <x v="9"/>
    <x v="8"/>
    <m/>
    <m/>
    <m/>
    <m/>
    <m/>
    <n v="510"/>
    <n v="0"/>
    <n v="0"/>
    <n v="0"/>
    <n v="0"/>
    <b v="0"/>
    <n v="0"/>
    <n v="0"/>
    <m/>
  </r>
  <r>
    <x v="3"/>
    <x v="5"/>
    <x v="2"/>
    <x v="2"/>
    <m/>
    <x v="0"/>
    <x v="11"/>
    <m/>
    <s v="2 Operator"/>
    <x v="2"/>
    <x v="9"/>
    <x v="8"/>
    <m/>
    <m/>
    <m/>
    <m/>
    <m/>
    <n v="495"/>
    <n v="0"/>
    <n v="0"/>
    <n v="0"/>
    <n v="0"/>
    <b v="0"/>
    <n v="0"/>
    <n v="0"/>
    <m/>
  </r>
  <r>
    <x v="9"/>
    <x v="5"/>
    <x v="2"/>
    <x v="2"/>
    <m/>
    <x v="0"/>
    <x v="11"/>
    <m/>
    <s v="2 Driver"/>
    <x v="2"/>
    <x v="9"/>
    <x v="8"/>
    <m/>
    <m/>
    <m/>
    <m/>
    <m/>
    <n v="94"/>
    <n v="0"/>
    <n v="0"/>
    <n v="0"/>
    <n v="0"/>
    <b v="0"/>
    <n v="0"/>
    <n v="0"/>
    <m/>
  </r>
  <r>
    <x v="6"/>
    <x v="5"/>
    <x v="2"/>
    <x v="2"/>
    <m/>
    <x v="0"/>
    <x v="11"/>
    <m/>
    <s v="3 Supervisor"/>
    <x v="2"/>
    <x v="9"/>
    <x v="8"/>
    <m/>
    <m/>
    <m/>
    <m/>
    <m/>
    <n v="60"/>
    <n v="0"/>
    <n v="0"/>
    <n v="0"/>
    <n v="0"/>
    <b v="0"/>
    <n v="0"/>
    <n v="0"/>
    <m/>
  </r>
  <r>
    <x v="10"/>
    <x v="5"/>
    <x v="2"/>
    <x v="2"/>
    <m/>
    <x v="0"/>
    <x v="11"/>
    <m/>
    <s v="2 Operator"/>
    <x v="2"/>
    <x v="9"/>
    <x v="8"/>
    <m/>
    <m/>
    <m/>
    <m/>
    <m/>
    <n v="87"/>
    <n v="0"/>
    <n v="0"/>
    <n v="0"/>
    <n v="0"/>
    <b v="0"/>
    <n v="0"/>
    <n v="0"/>
    <m/>
  </r>
  <r>
    <x v="1"/>
    <x v="5"/>
    <x v="2"/>
    <x v="2"/>
    <m/>
    <x v="0"/>
    <x v="11"/>
    <m/>
    <s v="4 Supervisor"/>
    <x v="2"/>
    <x v="9"/>
    <x v="8"/>
    <m/>
    <m/>
    <m/>
    <m/>
    <m/>
    <n v="214"/>
    <n v="0"/>
    <n v="0"/>
    <n v="0"/>
    <n v="0"/>
    <b v="0"/>
    <n v="0"/>
    <n v="0"/>
    <m/>
  </r>
  <r>
    <x v="4"/>
    <x v="5"/>
    <x v="2"/>
    <x v="2"/>
    <m/>
    <x v="0"/>
    <x v="11"/>
    <m/>
    <s v="3 Supervisor"/>
    <x v="2"/>
    <x v="9"/>
    <x v="8"/>
    <m/>
    <m/>
    <m/>
    <m/>
    <m/>
    <n v="495"/>
    <n v="0"/>
    <n v="0"/>
    <n v="0"/>
    <n v="0"/>
    <b v="0"/>
    <n v="0"/>
    <n v="0"/>
    <m/>
  </r>
  <r>
    <x v="15"/>
    <x v="5"/>
    <x v="2"/>
    <x v="2"/>
    <m/>
    <x v="0"/>
    <x v="11"/>
    <m/>
    <s v="2 Operator"/>
    <x v="2"/>
    <x v="9"/>
    <x v="8"/>
    <m/>
    <m/>
    <m/>
    <m/>
    <m/>
    <n v="193"/>
    <n v="0"/>
    <n v="0"/>
    <n v="0"/>
    <n v="0"/>
    <b v="0"/>
    <n v="0"/>
    <n v="0"/>
    <m/>
  </r>
  <r>
    <x v="14"/>
    <x v="5"/>
    <x v="2"/>
    <x v="2"/>
    <m/>
    <x v="0"/>
    <x v="11"/>
    <m/>
    <s v="2 Driver"/>
    <x v="2"/>
    <x v="9"/>
    <x v="8"/>
    <m/>
    <m/>
    <m/>
    <m/>
    <m/>
    <n v="188"/>
    <n v="0"/>
    <n v="0"/>
    <n v="0"/>
    <n v="0"/>
    <b v="0"/>
    <n v="0"/>
    <n v="0"/>
    <m/>
  </r>
  <r>
    <x v="5"/>
    <x v="5"/>
    <x v="2"/>
    <x v="2"/>
    <m/>
    <x v="0"/>
    <x v="11"/>
    <m/>
    <s v="2 Driver"/>
    <x v="2"/>
    <x v="9"/>
    <x v="8"/>
    <m/>
    <m/>
    <m/>
    <m/>
    <m/>
    <n v="303"/>
    <n v="0"/>
    <n v="0"/>
    <n v="0"/>
    <n v="0"/>
    <b v="0"/>
    <n v="0"/>
    <n v="0"/>
    <m/>
  </r>
  <r>
    <x v="8"/>
    <x v="5"/>
    <x v="2"/>
    <x v="2"/>
    <m/>
    <x v="0"/>
    <x v="11"/>
    <m/>
    <s v="2 Operator"/>
    <x v="2"/>
    <x v="9"/>
    <x v="8"/>
    <m/>
    <m/>
    <m/>
    <m/>
    <m/>
    <n v="194"/>
    <n v="0"/>
    <n v="0"/>
    <n v="0"/>
    <n v="0"/>
    <b v="0"/>
    <n v="0"/>
    <n v="0"/>
    <m/>
  </r>
  <r>
    <x v="11"/>
    <x v="5"/>
    <x v="2"/>
    <x v="2"/>
    <m/>
    <x v="0"/>
    <x v="11"/>
    <m/>
    <s v="3 Supervisor"/>
    <x v="2"/>
    <x v="9"/>
    <x v="8"/>
    <m/>
    <m/>
    <m/>
    <m/>
    <m/>
    <n v="84"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Date">
  <location ref="A10:L84" firstHeaderRow="0" firstDataRow="1" firstDataCol="5" rowPageCount="1" colPageCount="1"/>
  <pivotFields count="26">
    <pivotField axis="axisPage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outline="0" showAll="0" defaultSubtotal="0">
      <items count="28">
        <item x="5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outline="0" showAll="0"/>
    <pivotField showAll="0" defaultSubtotal="0"/>
    <pivotField showAll="0"/>
    <pivotField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numFmtId="164" outline="0" showAll="0" defaultSubtotal="0">
      <items count="14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/>
    <pivotField showAll="0" defaultSubtotal="0"/>
    <pivotField showAll="0" defaultSubtotal="0"/>
    <pivotField axis="axisRow" showAll="0">
      <items count="11"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name="Customer " axis="axisRow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showAll="0"/>
    <pivotField dataField="1" showAll="0"/>
    <pivotField showAll="0"/>
    <pivotField showAll="0" defaultSubtotal="0"/>
    <pivotField dataField="1" showAll="0"/>
    <pivotField dataField="1" showAll="0" defaultSubtotal="0"/>
    <pivotField name="Variable Pay2"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5">
    <field x="6"/>
    <field x="1"/>
    <field x="5"/>
    <field x="11"/>
    <field x="10"/>
  </rowFields>
  <rowItems count="74">
    <i>
      <x/>
      <x/>
      <x/>
      <x/>
      <x/>
    </i>
    <i>
      <x v="1"/>
      <x v="1"/>
      <x/>
      <x v="1"/>
      <x v="1"/>
    </i>
    <i r="4">
      <x v="2"/>
    </i>
    <i r="4">
      <x v="3"/>
    </i>
    <i r="1">
      <x v="5"/>
      <x/>
      <x v="1"/>
      <x v="6"/>
    </i>
    <i r="4">
      <x v="7"/>
    </i>
    <i>
      <x v="2"/>
      <x v="2"/>
      <x/>
      <x v="2"/>
      <x v="1"/>
    </i>
    <i r="4">
      <x v="3"/>
    </i>
    <i r="4">
      <x v="4"/>
    </i>
    <i>
      <x v="3"/>
      <x v="3"/>
      <x/>
      <x v="2"/>
      <x v="3"/>
    </i>
    <i r="4">
      <x v="5"/>
    </i>
    <i r="1">
      <x v="18"/>
      <x/>
      <x v="1"/>
      <x v="1"/>
    </i>
    <i r="4">
      <x v="3"/>
    </i>
    <i r="4">
      <x v="8"/>
    </i>
    <i>
      <x v="4"/>
      <x v="4"/>
      <x/>
      <x v="2"/>
      <x v="3"/>
    </i>
    <i r="4">
      <x v="4"/>
    </i>
    <i r="1">
      <x v="19"/>
      <x/>
      <x v="1"/>
      <x v="6"/>
    </i>
    <i r="4">
      <x v="7"/>
    </i>
    <i r="4">
      <x v="9"/>
    </i>
    <i>
      <x v="5"/>
      <x/>
      <x v="1"/>
      <x v="1"/>
      <x v="3"/>
    </i>
    <i>
      <x v="6"/>
      <x/>
      <x v="2"/>
      <x v="3"/>
      <x v="3"/>
    </i>
    <i r="1">
      <x v="7"/>
      <x/>
      <x v="4"/>
      <x v="1"/>
    </i>
    <i r="4">
      <x v="3"/>
    </i>
    <i r="4">
      <x v="4"/>
    </i>
    <i r="1">
      <x v="10"/>
      <x/>
      <x v="4"/>
      <x v="3"/>
    </i>
    <i r="4">
      <x v="5"/>
    </i>
    <i r="1">
      <x v="21"/>
      <x/>
      <x v="6"/>
      <x v="1"/>
    </i>
    <i r="4">
      <x v="3"/>
    </i>
    <i r="4">
      <x v="8"/>
    </i>
    <i r="1">
      <x v="22"/>
      <x/>
      <x v="7"/>
      <x v="6"/>
    </i>
    <i r="4">
      <x v="7"/>
    </i>
    <i r="4">
      <x v="9"/>
    </i>
    <i>
      <x v="7"/>
      <x/>
      <x v="4"/>
      <x v="1"/>
      <x v="1"/>
    </i>
    <i r="2">
      <x v="5"/>
      <x v="1"/>
      <x v="1"/>
    </i>
    <i r="1">
      <x v="6"/>
      <x/>
      <x v="4"/>
      <x v="1"/>
    </i>
    <i r="4">
      <x v="3"/>
    </i>
    <i r="4">
      <x v="4"/>
    </i>
    <i r="1">
      <x v="9"/>
      <x/>
      <x v="4"/>
      <x v="1"/>
    </i>
    <i r="4">
      <x v="3"/>
    </i>
    <i r="4">
      <x v="4"/>
    </i>
    <i r="1">
      <x v="11"/>
      <x/>
      <x v="4"/>
      <x v="5"/>
    </i>
    <i r="1">
      <x v="23"/>
      <x/>
      <x v="1"/>
      <x v="1"/>
    </i>
    <i r="4">
      <x v="3"/>
    </i>
    <i r="4">
      <x v="8"/>
    </i>
    <i>
      <x v="8"/>
      <x v="8"/>
      <x/>
      <x v="4"/>
      <x v="1"/>
    </i>
    <i r="4">
      <x v="3"/>
    </i>
    <i r="4">
      <x v="4"/>
    </i>
    <i r="1">
      <x v="20"/>
      <x/>
      <x v="1"/>
      <x v="6"/>
    </i>
    <i r="4">
      <x v="7"/>
    </i>
    <i r="4">
      <x v="9"/>
    </i>
    <i>
      <x v="9"/>
      <x v="12"/>
      <x/>
      <x v="4"/>
      <x v="4"/>
    </i>
    <i r="4">
      <x v="5"/>
    </i>
    <i r="1">
      <x v="13"/>
      <x/>
      <x v="4"/>
      <x v="1"/>
    </i>
    <i r="4">
      <x v="3"/>
    </i>
    <i r="4">
      <x v="4"/>
    </i>
    <i r="1">
      <x v="24"/>
      <x/>
      <x v="1"/>
      <x v="1"/>
    </i>
    <i r="4">
      <x v="3"/>
    </i>
    <i r="4">
      <x v="8"/>
    </i>
    <i>
      <x v="10"/>
      <x v="14"/>
      <x/>
      <x v="4"/>
      <x v="1"/>
    </i>
    <i r="4">
      <x v="3"/>
    </i>
    <i r="4">
      <x v="4"/>
    </i>
    <i r="1">
      <x v="27"/>
      <x/>
      <x v="4"/>
      <x v="5"/>
    </i>
    <i>
      <x v="11"/>
      <x v="15"/>
      <x/>
      <x v="5"/>
      <x v="8"/>
    </i>
    <i r="1">
      <x v="16"/>
      <x/>
      <x v="5"/>
      <x v="3"/>
    </i>
    <i r="1">
      <x v="17"/>
      <x/>
      <x v="1"/>
      <x v="1"/>
    </i>
    <i r="4">
      <x v="2"/>
    </i>
    <i r="4">
      <x v="3"/>
    </i>
    <i>
      <x v="12"/>
      <x/>
      <x/>
      <x/>
      <x/>
    </i>
    <i r="2">
      <x v="3"/>
      <x v="1"/>
      <x v="1"/>
    </i>
    <i r="1">
      <x v="25"/>
      <x/>
      <x v="8"/>
      <x v="1"/>
    </i>
    <i r="1">
      <x v="26"/>
      <x/>
      <x v="4"/>
      <x v="4"/>
    </i>
    <i r="4">
      <x v="5"/>
    </i>
    <i>
      <x v="13"/>
      <x/>
      <x v="6"/>
      <x v="1"/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hier="-1"/>
  </pageFields>
  <dataFields count="7">
    <dataField name="Variable Pay " fld="20" baseField="0" baseItem="0"/>
    <dataField name="OVPP " fld="21" baseField="0" baseItem="0"/>
    <dataField name="Standby/ Ext _x000a_Hrs " fld="16" baseField="0" baseItem="0"/>
    <dataField name="StandBy/ Ext Amount " fld="23" baseField="0" baseItem="0"/>
    <dataField name="Meal Allowance" fld="17" baseField="9" baseItem="0"/>
    <dataField name="Total Amount " fld="24" baseField="0" baseItem="0"/>
    <dataField name="Count of Crew Efficiency" fld="13" subtotal="count" baseField="0" baseItem="0"/>
  </dataFields>
  <formats count="5">
    <format dxfId="84">
      <pivotArea grandRow="1" outline="0" collapsedLevelsAreSubtotals="1" fieldPosition="0"/>
    </format>
    <format dxfId="83">
      <pivotArea field="1" type="button" dataOnly="0" labelOnly="1" outline="0" axis="axisRow" fieldPosition="1"/>
    </format>
    <format dxfId="82">
      <pivotArea outline="0" collapsedLevelsAreSubtotals="1" fieldPosition="0"/>
    </format>
    <format dxfId="81">
      <pivotArea field="1" type="button" dataOnly="0" labelOnly="1" outline="0" axis="axisRow" fieldPosition="1"/>
    </format>
    <format dxfId="80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F28" firstHeaderRow="0" firstDataRow="1" firstDataCol="1" rowPageCount="1" colPageCount="1"/>
  <pivotFields count="26">
    <pivotField axis="axisRow" outline="0" showAll="0" defaultSubtotal="0">
      <items count="17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outline="0" showAll="0" defaultSubtotal="0"/>
    <pivotField name="Service Line" axis="axisPage" showAll="0">
      <items count="4">
        <item x="2"/>
        <item x="0"/>
        <item x="1"/>
        <item t="default"/>
      </items>
    </pivotField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dataField="1" showAll="0" defaultSubtota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-1"/>
  </pageFields>
  <dataFields count="5">
    <dataField name="Total Variable Pay " fld="20" baseField="0" baseItem="0"/>
    <dataField name=" OVPP " fld="21" baseField="0" baseItem="0"/>
    <dataField name="StandBy/ Ext Amount " fld="23" baseField="0" baseItem="0"/>
    <dataField name="Sum of Total Amount" fld="24" baseField="0" baseItem="0"/>
    <dataField name="Meal Allowance" fld="1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Employee Name">
  <location ref="A13:C31" firstHeaderRow="0" firstDataRow="1" firstDataCol="1" rowPageCount="2" colPageCount="1"/>
  <pivotFields count="26">
    <pivotField axis="axisRow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name="Province Worked" axis="axisPage" showAll="0" defaultSubtotal="0">
      <items count="3">
        <item x="2"/>
        <item x="0"/>
        <item x="1"/>
      </items>
    </pivotField>
    <pivotField showAll="0"/>
    <pivotField showAll="0"/>
    <pivotField dataField="1" showAll="0"/>
    <pivotField showAll="0"/>
    <pivotField showAll="0"/>
    <pivotField axis="axisPage" showAll="0" defaultSubtotal="0">
      <items count="3">
        <item x="2"/>
        <item x="0"/>
        <item x="1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pageFields count="2">
    <pageField fld="9" hier="-1"/>
    <pageField fld="3" hier="-1"/>
  </pageFields>
  <dataFields count="2">
    <dataField name="Sum of Total Amount" fld="24" baseField="0" baseItem="0"/>
    <dataField name="Days Worked" fld="6" subtotal="count" baseField="0" baseItem="0"/>
  </dataFields>
  <formats count="23">
    <format dxfId="79">
      <pivotArea field="0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  <format dxfId="76">
      <pivotArea field="0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field="0" type="button" dataOnly="0" labelOnly="1" outline="0" axis="axisRow" fieldPosition="0"/>
    </format>
    <format dxfId="72">
      <pivotArea dataOnly="0" labelOnly="1" outline="0" axis="axisValues" fieldPosition="0"/>
    </format>
    <format dxfId="71">
      <pivotArea dataOnly="0" labelOnly="1" outline="0" axis="axisValues" fieldPosition="0"/>
    </format>
    <format dxfId="7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8">
      <pivotArea grandRow="1" outline="0" collapsedLevelsAreSubtotals="1" fieldPosition="0"/>
    </format>
    <format dxfId="67">
      <pivotArea dataOnly="0" labelOnly="1" grandRow="1" outline="0" fieldPosition="0"/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field="0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2">
      <pivotArea field="0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">
      <pivotArea field="0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A28" firstHeaderRow="1" firstDataRow="1" firstDataCol="1"/>
  <pivotFields count="26">
    <pivotField axis="axisRow" outline="0" showAll="0" defaultSubtotal="0">
      <items count="17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outline="0" showAll="0" defaultSubtotal="0"/>
    <pivotField showAll="0"/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JobBonus" displayName="JobBonus" ref="A6:Z500" totalsRowCount="1" headerRowDxfId="141" dataDxfId="139" headerRowBorderDxfId="140" tableBorderDxfId="138" totalsRowBorderDxfId="137">
  <autoFilter ref="A6:Z499">
    <filterColumn colId="5">
      <filters>
        <filter val="514412"/>
      </filters>
    </filterColumn>
  </autoFilter>
  <tableColumns count="26">
    <tableColumn id="15" name="Employee Name" dataDxfId="136" totalsRowDxfId="135"/>
    <tableColumn id="1" name="Ticket #" dataDxfId="134" totalsRowDxfId="133"/>
    <tableColumn id="31" name="SL" dataDxfId="132" totalsRowDxfId="131"/>
    <tableColumn id="6" name="Job Prov" dataDxfId="130" totalsRowDxfId="129"/>
    <tableColumn id="24" name="Area" dataDxfId="128" totalsRowDxfId="127"/>
    <tableColumn id="20" name="OVPP #" dataDxfId="126" totalsRowDxfId="125"/>
    <tableColumn id="2" name="Ticket Date" dataDxfId="124" totalsRowDxfId="123"/>
    <tableColumn id="16" name="Pay Type" dataDxfId="122" totalsRowDxfId="121"/>
    <tableColumn id="21" name="Position Title" dataDxfId="120" totalsRowDxfId="119">
      <calculatedColumnFormula>IF(ISBLANK(JobBonus[[#This Row],[Employee Name]]),"",INDEX(Employees[Job Title],MATCH(JobBonus[[#This Row],[Employee Name]],Employees[Employee Name2],0)))</calculatedColumnFormula>
    </tableColumn>
    <tableColumn id="11" name="Out of Prov" dataDxfId="118" totalsRowDxfId="117">
      <calculatedColumnFormula>IF(ISBLANK(JobBonus[[#This Row],[Job Prov]]),"",IF(JobBonus[[#This Row],[Job Prov]]=INDEX(Employees[Province],MATCH(JobBonus[[#This Row],[Employee Name]],Employees[Employee Name2],0)),"No","Yes"))</calculatedColumnFormula>
    </tableColumn>
    <tableColumn id="7" name="Position" dataDxfId="116" totalsRowDxfId="115"/>
    <tableColumn id="13" name="Customer _x000a_Name" dataDxfId="114" totalsRowDxfId="113"/>
    <tableColumn id="3" name="Revenue" totalsRowLabel="." dataDxfId="112" totalsRowDxfId="111"/>
    <tableColumn id="4" name="Crew Efficiency" dataDxfId="110" totalsRowDxfId="109"/>
    <tableColumn id="27" name="KM Travel" dataDxfId="108" totalsRowDxfId="107"/>
    <tableColumn id="29" name="Loads / Qty" dataDxfId="106" totalsRowDxfId="105"/>
    <tableColumn id="12" name="Standby/ Ext _x000a_Hrs" dataDxfId="104" totalsRowDxfId="103"/>
    <tableColumn id="23" name="Meal_x000a_Allowance" dataDxfId="102" totalsRowDxfId="101"/>
    <tableColumn id="8" name="Variable Pay" dataDxfId="100" totalsRowDxfId="99">
      <calculatedColumnFormula array="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calculatedColumnFormula>
    </tableColumn>
    <tableColumn id="9" name="Crew Efficiency Bonus" dataDxfId="98" totalsRowDxfId="97">
      <calculatedColumnFormula array="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calculatedColumnFormula>
    </tableColumn>
    <tableColumn id="28" name="Total Variable Pay" dataDxfId="96" totalsRowDxfId="95">
      <calculatedColumnFormula>JobBonus[[#This Row],[Variable Pay]]+JobBonus[[#This Row],[Crew Efficiency Bonus]]</calculatedColumnFormula>
    </tableColumn>
    <tableColumn id="17" name="OVPP" dataDxfId="94" totalsRowDxfId="93">
      <calculatedColumnFormula array="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calculatedColumnFormula>
    </tableColumn>
    <tableColumn id="30" name="Offload Applies" dataDxfId="92" totalsRowDxfId="91">
      <calculatedColumnFormula>_xlfn.IFNA(EXACT(VLOOKUP(JobBonus[[#This Row],[Pay Type]],PayTypes[#All],4,FALSE),"Yes"),FALSE)</calculatedColumnFormula>
    </tableColumn>
    <tableColumn id="14" name="StandBy/ Ext Amount" dataDxfId="90" totalsRowDxfId="89">
      <calculatedColumnFormula array="1">SUMPRODUCT((StandByRates[Position]=JobBonus[[#This Row],[Position]])*(JobBonus[[#This Row],[Area]]=StandByRates[Area])*(StandByRates[Hourly]*JobBonus[[#This Row],[Standby/ Ext 
Hrs]]))</calculatedColumnFormula>
    </tableColumn>
    <tableColumn id="10" name="Total Amount" totalsRowFunction="sum" dataDxfId="88" totalsRowDxfId="87">
      <calculatedColumnFormula>JobBonus[[#This Row],[Variable Pay]]+JobBonus[[#This Row],[Crew Efficiency Bonus]]+JobBonus[[#This Row],[OVPP]]+JobBonus[[#This Row],[StandBy/ Ext Amount]]</calculatedColumnFormula>
    </tableColumn>
    <tableColumn id="5" name="Notes" dataDxfId="86" totalsRow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ayTypes" displayName="PayTypes" ref="X2:AB10" totalsRowShown="0" headerRowDxfId="56" dataDxfId="54" headerRowBorderDxfId="55" tableBorderDxfId="53" totalsRowBorderDxfId="52">
  <autoFilter ref="X2:AB10"/>
  <tableColumns count="5">
    <tableColumn id="1" name="Type" dataDxfId="51"/>
    <tableColumn id="2" name="Apply SDOWIB" dataDxfId="50"/>
    <tableColumn id="3" name="Calculated OBPP" dataDxfId="49"/>
    <tableColumn id="4" name="Use Quantity" dataDxfId="48"/>
    <tableColumn id="5" name="Use Min KMs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tandByRates" displayName="StandByRates" ref="T2:V30" totalsRowShown="0">
  <autoFilter ref="T2:V30"/>
  <tableColumns count="3">
    <tableColumn id="1" name="Position" dataDxfId="46"/>
    <tableColumn id="3" name="Area"/>
    <tableColumn id="2" name="Hourl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ayPeriods" displayName="PayPeriods" ref="AD2:AG160" totalsRowCount="1" headerRowDxfId="45" dataDxfId="44" totalsRowDxfId="43">
  <autoFilter ref="AD2:AG159"/>
  <tableColumns count="4">
    <tableColumn id="1" name="Start" dataDxfId="42" totalsRowDxfId="41"/>
    <tableColumn id="2" name="End" dataDxfId="40" totalsRowDxfId="39"/>
    <tableColumn id="3" name="Pay Date" dataDxfId="38" totalsRowDxfId="37"/>
    <tableColumn id="4" name="Due Date" dataDxfId="36" totalsRowDxfId="35">
      <calculatedColumnFormula>PayPeriods[[#This Row],[End]]+10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Locations" displayName="Locations" ref="AI2:AI10" totalsRowShown="0">
  <autoFilter ref="AI2:AI10"/>
  <tableColumns count="1">
    <tableColumn id="1" name="Loca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Positions" displayName="Positions" ref="I2:J13" totalsRowShown="0" dataDxfId="34" tableBorderDxfId="33">
  <autoFilter ref="I2:J13"/>
  <tableColumns count="2">
    <tableColumn id="1" name="Primary" dataDxfId="32"/>
    <tableColumn id="2" name="Remedial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AreasTable" displayName="AreasTable" ref="AK2:AK4" totalsRowShown="0">
  <autoFilter ref="AK2:AK4"/>
  <tableColumns count="1">
    <tableColumn id="1" name="Are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Employees" displayName="Employees" ref="A2:G119" totalsRowShown="0">
  <autoFilter ref="A2:G119"/>
  <sortState ref="A3:G81">
    <sortCondition ref="A2:A81"/>
  </sortState>
  <tableColumns count="7">
    <tableColumn id="1" name="Employee Name"/>
    <tableColumn id="2" name="Personal ID"/>
    <tableColumn id="3" name="Job Title"/>
    <tableColumn id="5" name="Employee Name2" dataDxfId="30">
      <calculatedColumnFormula>Employees[[#This Row],[Employee Name]]&amp;" ("&amp;Employees[[#This Row],[Personal ID]]&amp;")"</calculatedColumnFormula>
    </tableColumn>
    <tableColumn id="4" name="Employee Id" dataDxfId="29"/>
    <tableColumn id="6" name="District"/>
    <tableColumn id="7" name="Provi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MBATable" displayName="MBATable" ref="AM2:AT96" totalsRowShown="0" headerRowDxfId="28" dataDxfId="26" headerRowBorderDxfId="27" tableBorderDxfId="25" totalsRowBorderDxfId="24">
  <autoFilter ref="AM2:AT96"/>
  <tableColumns count="8">
    <tableColumn id="1" name="Type" dataDxfId="23"/>
    <tableColumn id="7" name="Position" dataDxfId="22"/>
    <tableColumn id="2" name="Area" dataDxfId="21"/>
    <tableColumn id="3" name="Base Rate" dataDxfId="20"/>
    <tableColumn id="4" name="Premium Rate" dataDxfId="19"/>
    <tableColumn id="5" name="Base KM Rate" dataDxfId="18"/>
    <tableColumn id="6" name="Premium KM Rate" dataDxfId="17"/>
    <tableColumn id="8" name="Min KMs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VPayOver" displayName="VPayOver" ref="AV2:AZ28" totalsRowShown="0" headerRowDxfId="15" dataDxfId="14">
  <autoFilter ref="AV2:AZ28"/>
  <sortState ref="AV3:AZ23">
    <sortCondition ref="AW2:AW23"/>
  </sortState>
  <tableColumns count="5">
    <tableColumn id="1" name="Position" dataDxfId="13"/>
    <tableColumn id="5" name="Sort Order" dataDxfId="12"/>
    <tableColumn id="3" name="Area"/>
    <tableColumn id="4" name="Threshold" dataDxfId="11"/>
    <tableColumn id="2" name="Percent" dataDxfId="10" dataCellStyle="Perc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MonthlyIncentive" displayName="MonthlyIncentive" ref="BB2:BE8" totalsRowShown="0" headerRowDxfId="9" dataDxfId="8">
  <autoFilter ref="BB2:BE8"/>
  <sortState ref="BB3:BE10">
    <sortCondition ref="BD2:BD10"/>
  </sortState>
  <tableColumns count="4">
    <tableColumn id="1" name="Job Count Start" dataDxfId="7"/>
    <tableColumn id="3" name="Job Count End" dataDxfId="6"/>
    <tableColumn id="4" name="Area"/>
    <tableColumn id="2" name="Amount" dataDxfId="5" dataCellStyle="Perc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VariablePayTable" displayName="VariablePayTable" ref="L2:R74" totalsRowShown="0">
  <autoFilter ref="L2:R74"/>
  <tableColumns count="7">
    <tableColumn id="7" name="Area"/>
    <tableColumn id="1" name="Position"/>
    <tableColumn id="2" name="Revenue Start" dataDxfId="4"/>
    <tableColumn id="3" name="Revenue End" dataDxfId="3"/>
    <tableColumn id="4" name="Base Amount" dataDxfId="2"/>
    <tableColumn id="5" name="Premium" dataDxfId="1"/>
    <tableColumn id="6" name="Total" dataDxfId="0">
      <calculatedColumnFormula>VariablePayTable[[#This Row],[Base Amount]]+VariablePayTable[[#This Row],[Premium]]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7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image" Target="../media/image4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3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2:P75"/>
  <sheetViews>
    <sheetView showGridLines="0" zoomScaleNormal="100" workbookViewId="0">
      <selection activeCell="C11" sqref="C11:E11"/>
    </sheetView>
  </sheetViews>
  <sheetFormatPr defaultRowHeight="15" x14ac:dyDescent="0.25"/>
  <cols>
    <col min="3" max="3" width="12.7109375" customWidth="1"/>
    <col min="4" max="4" width="13" customWidth="1"/>
    <col min="5" max="5" width="13.5703125" customWidth="1"/>
  </cols>
  <sheetData>
    <row r="2" spans="1:16" ht="15" customHeight="1" x14ac:dyDescent="0.25">
      <c r="E2" s="132" t="s">
        <v>202</v>
      </c>
      <c r="F2" s="132"/>
      <c r="G2" s="132"/>
      <c r="H2" s="132"/>
      <c r="I2" s="132"/>
      <c r="J2" s="132"/>
      <c r="K2" s="132"/>
      <c r="L2" s="132"/>
      <c r="M2" s="132"/>
      <c r="O2" s="126" t="s">
        <v>26</v>
      </c>
      <c r="P2" s="125">
        <v>2.08</v>
      </c>
    </row>
    <row r="3" spans="1:16" ht="15" customHeight="1" x14ac:dyDescent="0.25">
      <c r="E3" s="132"/>
      <c r="F3" s="132"/>
      <c r="G3" s="132"/>
      <c r="H3" s="132"/>
      <c r="I3" s="132"/>
      <c r="J3" s="132"/>
      <c r="K3" s="132"/>
      <c r="L3" s="132"/>
      <c r="M3" s="132"/>
      <c r="O3" s="126"/>
      <c r="P3" s="125"/>
    </row>
    <row r="7" spans="1:16" ht="18.75" x14ac:dyDescent="0.3">
      <c r="A7" s="129" t="s">
        <v>25</v>
      </c>
      <c r="B7" s="130"/>
      <c r="C7" s="130"/>
      <c r="D7" s="130"/>
      <c r="E7" s="131"/>
      <c r="G7" s="129" t="s">
        <v>24</v>
      </c>
      <c r="H7" s="130"/>
      <c r="I7" s="130"/>
      <c r="J7" s="130"/>
      <c r="K7" s="130"/>
      <c r="L7" s="130"/>
      <c r="M7" s="130"/>
      <c r="N7" s="130"/>
      <c r="O7" s="131"/>
    </row>
    <row r="8" spans="1:16" x14ac:dyDescent="0.25">
      <c r="A8" s="27"/>
      <c r="B8" s="28"/>
      <c r="C8" s="29" t="s">
        <v>11</v>
      </c>
      <c r="D8" s="29" t="s">
        <v>12</v>
      </c>
      <c r="E8" s="30" t="s">
        <v>13</v>
      </c>
    </row>
    <row r="9" spans="1:16" x14ac:dyDescent="0.25">
      <c r="A9" s="31" t="s">
        <v>14</v>
      </c>
      <c r="B9" s="29"/>
      <c r="C9" s="66">
        <v>44192</v>
      </c>
      <c r="D9" s="50">
        <f>VLOOKUP('Start Here'!C9,PayPeriods[],2,TRUE)</f>
        <v>44205</v>
      </c>
      <c r="E9" s="51">
        <f>VLOOKUP('Start Here'!C9,PayPeriods[],3,TRUE)</f>
        <v>44225</v>
      </c>
    </row>
    <row r="10" spans="1:16" x14ac:dyDescent="0.25">
      <c r="A10" s="32"/>
      <c r="B10" s="33"/>
      <c r="C10" s="26"/>
      <c r="D10" s="26"/>
      <c r="E10" s="34"/>
    </row>
    <row r="11" spans="1:16" x14ac:dyDescent="0.25">
      <c r="A11" s="35" t="s">
        <v>15</v>
      </c>
      <c r="B11" s="36"/>
      <c r="C11" s="127" t="s">
        <v>138</v>
      </c>
      <c r="D11" s="127"/>
      <c r="E11" s="128"/>
    </row>
    <row r="60" spans="1:5" x14ac:dyDescent="0.25">
      <c r="A60" s="119" t="s">
        <v>276</v>
      </c>
      <c r="B60" s="119"/>
      <c r="C60" s="119"/>
      <c r="D60" s="119"/>
      <c r="E60" s="119"/>
    </row>
    <row r="61" spans="1:5" x14ac:dyDescent="0.25">
      <c r="A61" s="120">
        <v>2.0299999999999998</v>
      </c>
      <c r="B61" s="120"/>
      <c r="C61" s="120"/>
      <c r="D61" s="120"/>
      <c r="E61" s="120"/>
    </row>
    <row r="62" spans="1:5" x14ac:dyDescent="0.25">
      <c r="B62" t="s">
        <v>277</v>
      </c>
    </row>
    <row r="63" spans="1:5" x14ac:dyDescent="0.25">
      <c r="B63" t="s">
        <v>280</v>
      </c>
    </row>
    <row r="64" spans="1:5" x14ac:dyDescent="0.25">
      <c r="A64" s="120">
        <v>2.04</v>
      </c>
      <c r="B64" s="120"/>
      <c r="C64" s="120"/>
      <c r="D64" s="120"/>
      <c r="E64" s="120"/>
    </row>
    <row r="65" spans="1:5" x14ac:dyDescent="0.25">
      <c r="B65" t="s">
        <v>284</v>
      </c>
    </row>
    <row r="66" spans="1:5" x14ac:dyDescent="0.25">
      <c r="B66" t="s">
        <v>285</v>
      </c>
    </row>
    <row r="67" spans="1:5" x14ac:dyDescent="0.25">
      <c r="B67" t="s">
        <v>286</v>
      </c>
    </row>
    <row r="68" spans="1:5" x14ac:dyDescent="0.25">
      <c r="B68" t="s">
        <v>287</v>
      </c>
    </row>
    <row r="69" spans="1:5" x14ac:dyDescent="0.25">
      <c r="B69" t="s">
        <v>288</v>
      </c>
    </row>
    <row r="70" spans="1:5" x14ac:dyDescent="0.25">
      <c r="A70" s="120">
        <v>2.0499999999999998</v>
      </c>
      <c r="B70" s="120"/>
      <c r="C70" s="120"/>
      <c r="D70" s="120"/>
      <c r="E70" s="120"/>
    </row>
    <row r="71" spans="1:5" x14ac:dyDescent="0.25">
      <c r="B71" t="s">
        <v>289</v>
      </c>
    </row>
    <row r="75" spans="1:5" x14ac:dyDescent="0.25">
      <c r="A75" s="120"/>
      <c r="B75" s="120"/>
      <c r="C75" s="120"/>
      <c r="D75" s="120"/>
      <c r="E75" s="120"/>
    </row>
  </sheetData>
  <mergeCells count="6">
    <mergeCell ref="P2:P3"/>
    <mergeCell ref="O2:O3"/>
    <mergeCell ref="C11:E11"/>
    <mergeCell ref="A7:E7"/>
    <mergeCell ref="E2:M3"/>
    <mergeCell ref="G7:O7"/>
  </mergeCells>
  <dataValidations count="2">
    <dataValidation type="list" allowBlank="1" showInputMessage="1" showErrorMessage="1" sqref="C9:C10">
      <formula1>PayPeriodList</formula1>
    </dataValidation>
    <dataValidation type="list" allowBlank="1" showInputMessage="1" showErrorMessage="1" sqref="C11:E11">
      <formula1>LocationList</formula1>
    </dataValidation>
  </dataValidations>
  <pageMargins left="0.7" right="0.7" top="0.75" bottom="0.75" header="0.3" footer="0.3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BonusCalcsTable">
                <anchor>
                  <from>
                    <xdr:col>19</xdr:col>
                    <xdr:colOff>161925</xdr:colOff>
                    <xdr:row>2</xdr:row>
                    <xdr:rowOff>85725</xdr:rowOff>
                  </from>
                  <to>
                    <xdr:col>22</xdr:col>
                    <xdr:colOff>133350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501"/>
  <sheetViews>
    <sheetView tabSelected="1" zoomScale="85" zoomScaleNormal="85" workbookViewId="0">
      <selection activeCell="A98" sqref="A98"/>
    </sheetView>
  </sheetViews>
  <sheetFormatPr defaultRowHeight="15" x14ac:dyDescent="0.25"/>
  <cols>
    <col min="1" max="1" width="33.42578125" customWidth="1"/>
    <col min="2" max="2" width="10.7109375" customWidth="1"/>
    <col min="3" max="3" width="12.7109375" customWidth="1"/>
    <col min="4" max="4" width="10" customWidth="1"/>
    <col min="5" max="5" width="6" customWidth="1"/>
    <col min="6" max="6" width="9.140625" customWidth="1"/>
    <col min="7" max="7" width="12.140625" customWidth="1"/>
    <col min="8" max="8" width="14.85546875" customWidth="1"/>
    <col min="9" max="9" width="17" hidden="1" customWidth="1"/>
    <col min="10" max="10" width="20" hidden="1" customWidth="1"/>
    <col min="11" max="11" width="21.140625" customWidth="1"/>
    <col min="12" max="12" width="22.42578125" customWidth="1"/>
    <col min="13" max="13" width="14.5703125" customWidth="1"/>
    <col min="14" max="14" width="11.42578125" customWidth="1"/>
    <col min="15" max="15" width="9.85546875" customWidth="1"/>
    <col min="16" max="16" width="10" customWidth="1"/>
    <col min="17" max="17" width="8.42578125" customWidth="1"/>
    <col min="18" max="18" width="9.28515625" style="25" customWidth="1"/>
    <col min="19" max="19" width="10.140625" style="25" customWidth="1"/>
    <col min="20" max="20" width="11" style="25" customWidth="1"/>
    <col min="21" max="21" width="9.85546875" style="45" customWidth="1"/>
    <col min="22" max="22" width="9.28515625" customWidth="1"/>
    <col min="23" max="23" width="9.28515625" style="45" hidden="1" customWidth="1"/>
    <col min="25" max="26" width="10" style="45" customWidth="1"/>
    <col min="27" max="28" width="9.5703125" style="45" customWidth="1"/>
    <col min="29" max="29" width="12.28515625" style="61" customWidth="1"/>
    <col min="30" max="30" width="16.42578125" style="42" customWidth="1"/>
    <col min="31" max="32" width="9.140625" style="42" customWidth="1"/>
    <col min="33" max="33" width="12" customWidth="1"/>
    <col min="34" max="34" width="12.5703125" customWidth="1"/>
    <col min="35" max="35" width="16.42578125" customWidth="1"/>
    <col min="36" max="36" width="14.42578125" customWidth="1"/>
    <col min="37" max="37" width="16.140625" customWidth="1"/>
  </cols>
  <sheetData>
    <row r="1" spans="1:32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N1" s="25"/>
      <c r="O1" s="25"/>
      <c r="P1" s="25"/>
      <c r="Q1" s="5"/>
      <c r="R1" s="5"/>
      <c r="S1" s="58"/>
      <c r="T1" s="58"/>
      <c r="U1" s="58"/>
      <c r="V1" s="43"/>
      <c r="W1" s="43"/>
      <c r="X1" s="58"/>
      <c r="Y1" s="58"/>
      <c r="Z1"/>
      <c r="AA1"/>
      <c r="AB1"/>
      <c r="AC1"/>
      <c r="AD1"/>
      <c r="AE1"/>
      <c r="AF1"/>
    </row>
    <row r="2" spans="1:32" ht="15" customHeight="1" x14ac:dyDescent="0.25">
      <c r="A2" s="5"/>
      <c r="B2" s="5"/>
      <c r="C2" s="5"/>
      <c r="D2" s="5"/>
      <c r="E2" s="5"/>
      <c r="F2" s="133" t="str">
        <f>"Employee Pay Calculations "&amp;"From "&amp;TEXT('Start Here'!C9,"mmm d, yyyy")&amp;" to "&amp;TEXT('Start Here'!D9,"mmm d, yyyy")</f>
        <v>Employee Pay Calculations From Dec 27, 2020 to Jan 9, 2021</v>
      </c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5"/>
      <c r="S2" s="58"/>
      <c r="T2" s="58"/>
      <c r="U2" s="58"/>
      <c r="V2" s="43"/>
      <c r="W2" s="43"/>
      <c r="X2" s="58"/>
      <c r="Y2" s="58"/>
      <c r="Z2"/>
      <c r="AA2"/>
      <c r="AB2"/>
      <c r="AC2"/>
      <c r="AD2"/>
      <c r="AE2"/>
      <c r="AF2"/>
    </row>
    <row r="3" spans="1:32" ht="15" customHeight="1" x14ac:dyDescent="0.25">
      <c r="A3" s="5"/>
      <c r="B3" s="4"/>
      <c r="C3" s="101"/>
      <c r="D3" s="81"/>
      <c r="E3" s="8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5"/>
      <c r="S3" s="58"/>
      <c r="T3" s="58"/>
      <c r="U3" s="58"/>
      <c r="V3" s="43"/>
      <c r="W3" s="43"/>
      <c r="X3" s="58"/>
      <c r="Y3" s="58"/>
      <c r="Z3"/>
      <c r="AA3"/>
      <c r="AB3"/>
      <c r="AC3"/>
      <c r="AD3"/>
      <c r="AE3"/>
      <c r="AF3"/>
    </row>
    <row r="4" spans="1:32" ht="15" customHeight="1" x14ac:dyDescent="0.25">
      <c r="A4" s="5"/>
      <c r="B4" s="4"/>
      <c r="C4" s="101"/>
      <c r="D4" s="81"/>
      <c r="E4" s="83"/>
      <c r="F4" s="37"/>
      <c r="G4" s="4"/>
      <c r="H4" t="s">
        <v>69</v>
      </c>
      <c r="I4" s="21"/>
      <c r="J4" s="21"/>
      <c r="M4" s="134">
        <f>VLOOKUP('Start Here'!C9,PayPeriods[],4,TRUE)</f>
        <v>44215</v>
      </c>
      <c r="N4" s="134"/>
      <c r="O4" s="134"/>
      <c r="P4" s="134"/>
      <c r="Q4" s="5"/>
      <c r="R4" s="5"/>
      <c r="S4" s="58"/>
      <c r="T4" s="58"/>
      <c r="U4" s="58"/>
      <c r="V4" s="43"/>
      <c r="W4" s="43"/>
      <c r="X4" s="58"/>
      <c r="Y4" s="58"/>
      <c r="Z4"/>
      <c r="AA4"/>
      <c r="AB4"/>
      <c r="AC4"/>
      <c r="AD4"/>
      <c r="AE4"/>
      <c r="AF4"/>
    </row>
    <row r="5" spans="1:32" ht="9" customHeight="1" x14ac:dyDescent="0.25">
      <c r="A5" s="6"/>
      <c r="B5" s="4"/>
      <c r="C5" s="101"/>
      <c r="D5" s="81"/>
      <c r="E5" s="83"/>
      <c r="F5" s="37"/>
      <c r="G5" s="4"/>
      <c r="H5" s="4"/>
      <c r="I5" s="37"/>
      <c r="J5" s="81"/>
      <c r="K5" s="4"/>
      <c r="L5" s="4"/>
      <c r="M5" s="22"/>
      <c r="N5" s="4"/>
      <c r="O5" s="93"/>
      <c r="P5" s="93"/>
      <c r="Q5" s="4"/>
      <c r="R5" s="82"/>
      <c r="S5" s="59"/>
      <c r="T5" s="59"/>
      <c r="U5" s="59"/>
      <c r="V5" s="38"/>
      <c r="W5" s="38"/>
      <c r="X5" s="59"/>
      <c r="Y5" s="59"/>
      <c r="Z5"/>
      <c r="AA5"/>
      <c r="AB5"/>
      <c r="AC5"/>
      <c r="AD5"/>
      <c r="AE5"/>
      <c r="AF5"/>
    </row>
    <row r="6" spans="1:32" ht="44.25" customHeight="1" x14ac:dyDescent="0.25">
      <c r="A6" s="67" t="s">
        <v>2</v>
      </c>
      <c r="B6" s="67" t="s">
        <v>21</v>
      </c>
      <c r="C6" s="67" t="s">
        <v>221</v>
      </c>
      <c r="D6" s="67" t="s">
        <v>92</v>
      </c>
      <c r="E6" s="67" t="s">
        <v>205</v>
      </c>
      <c r="F6" s="67" t="s">
        <v>278</v>
      </c>
      <c r="G6" s="67" t="s">
        <v>31</v>
      </c>
      <c r="H6" s="67" t="s">
        <v>217</v>
      </c>
      <c r="I6" s="95" t="s">
        <v>66</v>
      </c>
      <c r="J6" s="95" t="s">
        <v>93</v>
      </c>
      <c r="K6" s="68" t="s">
        <v>1</v>
      </c>
      <c r="L6" s="67" t="s">
        <v>27</v>
      </c>
      <c r="M6" s="69" t="s">
        <v>8</v>
      </c>
      <c r="N6" s="69" t="s">
        <v>268</v>
      </c>
      <c r="O6" s="67" t="s">
        <v>186</v>
      </c>
      <c r="P6" s="67" t="s">
        <v>196</v>
      </c>
      <c r="Q6" s="67" t="s">
        <v>225</v>
      </c>
      <c r="R6" s="67" t="s">
        <v>100</v>
      </c>
      <c r="S6" s="60" t="s">
        <v>216</v>
      </c>
      <c r="T6" s="60" t="s">
        <v>275</v>
      </c>
      <c r="U6" s="55" t="s">
        <v>273</v>
      </c>
      <c r="V6" s="55" t="s">
        <v>279</v>
      </c>
      <c r="W6" s="94" t="s">
        <v>185</v>
      </c>
      <c r="X6" s="60" t="s">
        <v>224</v>
      </c>
      <c r="Y6" s="60" t="s">
        <v>215</v>
      </c>
      <c r="Z6" s="67" t="s">
        <v>73</v>
      </c>
      <c r="AA6"/>
      <c r="AB6"/>
      <c r="AC6"/>
      <c r="AD6"/>
      <c r="AE6"/>
      <c r="AF6"/>
    </row>
    <row r="7" spans="1:32" hidden="1" x14ac:dyDescent="0.25">
      <c r="A7" s="77" t="s">
        <v>393</v>
      </c>
      <c r="B7" s="80">
        <v>464091</v>
      </c>
      <c r="C7" s="15" t="s">
        <v>220</v>
      </c>
      <c r="D7" s="15" t="s">
        <v>257</v>
      </c>
      <c r="E7" s="15" t="s">
        <v>264</v>
      </c>
      <c r="F7" s="15"/>
      <c r="G7" s="16">
        <v>44196</v>
      </c>
      <c r="H7" s="16" t="s">
        <v>216</v>
      </c>
      <c r="I7" s="19" t="str">
        <f>IF(ISBLANK(JobBonus[[#This Row],[Employee Name]]),"",INDEX(Employees[Job Title],MATCH(JobBonus[[#This Row],[Employee Name]],Employees[Employee Name2],0)))</f>
        <v>2 Supervisor</v>
      </c>
      <c r="J7" s="19" t="str">
        <f>IF(ISBLANK(JobBonus[[#This Row],[Job Prov]]),"",IF(JobBonus[[#This Row],[Job Prov]]=INDEX(Employees[Province],MATCH(JobBonus[[#This Row],[Employee Name]],Employees[Employee Name2],0)),"No","Yes"))</f>
        <v>No</v>
      </c>
      <c r="K7" s="17" t="s">
        <v>270</v>
      </c>
      <c r="L7" s="16" t="s">
        <v>396</v>
      </c>
      <c r="M7" s="23">
        <v>19496.25</v>
      </c>
      <c r="N7" s="23"/>
      <c r="O7" s="15"/>
      <c r="P7" s="15"/>
      <c r="Q7" s="15"/>
      <c r="R7" s="15"/>
      <c r="S7" s="44" cm="1">
        <f t="array" ref="S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7" s="44" cm="1">
        <f t="array" ref="T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" s="44">
        <f>JobBonus[[#This Row],[Variable Pay]]+JobBonus[[#This Row],[Crew Efficiency Bonus]]</f>
        <v>190</v>
      </c>
      <c r="V7" s="44" cm="1">
        <f t="array" ref="V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" s="44" t="b">
        <f>_xlfn.IFNA(EXACT(VLOOKUP(JobBonus[[#This Row],[Pay Type]],PayTypes[#All],4,FALSE),"Yes"),FALSE)</f>
        <v>0</v>
      </c>
      <c r="X7" s="44" cm="1">
        <f t="array" ref="X7">SUMPRODUCT((StandByRates[Position]=JobBonus[[#This Row],[Position]])*(JobBonus[[#This Row],[Area]]=StandByRates[Area])*(StandByRates[Hourly]*JobBonus[[#This Row],[Standby/ Ext 
Hrs]]))</f>
        <v>0</v>
      </c>
      <c r="Y7" s="44">
        <f>JobBonus[[#This Row],[Variable Pay]]+JobBonus[[#This Row],[Crew Efficiency Bonus]]+JobBonus[[#This Row],[OVPP]]+JobBonus[[#This Row],[StandBy/ Ext Amount]]</f>
        <v>190</v>
      </c>
      <c r="Z7" s="79"/>
      <c r="AA7"/>
      <c r="AB7"/>
      <c r="AC7"/>
      <c r="AD7"/>
      <c r="AE7"/>
      <c r="AF7"/>
    </row>
    <row r="8" spans="1:32" hidden="1" x14ac:dyDescent="0.25">
      <c r="A8" s="77" t="s">
        <v>394</v>
      </c>
      <c r="B8" s="80">
        <v>464091</v>
      </c>
      <c r="C8" s="15" t="s">
        <v>220</v>
      </c>
      <c r="D8" s="15" t="s">
        <v>257</v>
      </c>
      <c r="E8" s="15" t="s">
        <v>264</v>
      </c>
      <c r="F8" s="15"/>
      <c r="G8" s="16">
        <v>44196</v>
      </c>
      <c r="H8" s="16" t="s">
        <v>216</v>
      </c>
      <c r="I8" s="19" t="str">
        <f>IF(ISBLANK(JobBonus[[#This Row],[Employee Name]]),"",INDEX(Employees[Job Title],MATCH(JobBonus[[#This Row],[Employee Name]],Employees[Employee Name2],0)))</f>
        <v>4 Supervisor</v>
      </c>
      <c r="J8" s="19" t="str">
        <f>IF(ISBLANK(JobBonus[[#This Row],[Job Prov]]),"",IF(JobBonus[[#This Row],[Job Prov]]=INDEX(Employees[Province],MATCH(JobBonus[[#This Row],[Employee Name]],Employees[Employee Name2],0)),"No","Yes"))</f>
        <v>No</v>
      </c>
      <c r="K8" s="17" t="s">
        <v>117</v>
      </c>
      <c r="L8" s="16" t="s">
        <v>396</v>
      </c>
      <c r="M8" s="23">
        <v>19496.25</v>
      </c>
      <c r="N8" s="23"/>
      <c r="O8" s="15"/>
      <c r="P8" s="15"/>
      <c r="Q8" s="15"/>
      <c r="R8" s="15"/>
      <c r="S8" s="44" cm="1">
        <f t="array" ref="S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8" s="44" cm="1">
        <f t="array" ref="T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" s="44">
        <f>JobBonus[[#This Row],[Variable Pay]]+JobBonus[[#This Row],[Crew Efficiency Bonus]]</f>
        <v>335</v>
      </c>
      <c r="V8" s="44" cm="1">
        <f t="array" ref="V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" s="44" t="b">
        <f>_xlfn.IFNA(EXACT(VLOOKUP(JobBonus[[#This Row],[Pay Type]],PayTypes[#All],4,FALSE),"Yes"),FALSE)</f>
        <v>0</v>
      </c>
      <c r="X8" s="44" cm="1">
        <f t="array" ref="X8">SUMPRODUCT((StandByRates[Position]=JobBonus[[#This Row],[Position]])*(JobBonus[[#This Row],[Area]]=StandByRates[Area])*(StandByRates[Hourly]*JobBonus[[#This Row],[Standby/ Ext 
Hrs]]))</f>
        <v>0</v>
      </c>
      <c r="Y8" s="44">
        <f>JobBonus[[#This Row],[Variable Pay]]+JobBonus[[#This Row],[Crew Efficiency Bonus]]+JobBonus[[#This Row],[OVPP]]+JobBonus[[#This Row],[StandBy/ Ext Amount]]</f>
        <v>335</v>
      </c>
      <c r="Z8" s="80"/>
      <c r="AA8"/>
      <c r="AB8"/>
      <c r="AC8"/>
      <c r="AD8"/>
      <c r="AE8"/>
      <c r="AF8"/>
    </row>
    <row r="9" spans="1:32" hidden="1" x14ac:dyDescent="0.25">
      <c r="A9" s="77" t="s">
        <v>395</v>
      </c>
      <c r="B9" s="80">
        <v>464091</v>
      </c>
      <c r="C9" s="15" t="s">
        <v>220</v>
      </c>
      <c r="D9" s="15" t="s">
        <v>257</v>
      </c>
      <c r="E9" s="15" t="s">
        <v>264</v>
      </c>
      <c r="F9" s="15"/>
      <c r="G9" s="16">
        <v>44196</v>
      </c>
      <c r="H9" s="16" t="s">
        <v>216</v>
      </c>
      <c r="I9" s="19" t="str">
        <f>IF(ISBLANK(JobBonus[[#This Row],[Employee Name]]),"",INDEX(Employees[Job Title],MATCH(JobBonus[[#This Row],[Employee Name]],Employees[Employee Name2],0)))</f>
        <v>2 Operator</v>
      </c>
      <c r="J9" s="19" t="str">
        <f>IF(ISBLANK(JobBonus[[#This Row],[Job Prov]]),"",IF(JobBonus[[#This Row],[Job Prov]]=INDEX(Employees[Province],MATCH(JobBonus[[#This Row],[Employee Name]],Employees[Employee Name2],0)),"No","Yes"))</f>
        <v>No</v>
      </c>
      <c r="K9" s="17" t="s">
        <v>115</v>
      </c>
      <c r="L9" s="16" t="s">
        <v>396</v>
      </c>
      <c r="M9" s="23">
        <v>19496.25</v>
      </c>
      <c r="N9" s="23"/>
      <c r="O9" s="15"/>
      <c r="P9" s="15"/>
      <c r="Q9" s="15"/>
      <c r="R9" s="15"/>
      <c r="S9" s="44" cm="1">
        <f t="array" ref="S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9" s="44" cm="1">
        <f t="array" ref="T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" s="44">
        <f>JobBonus[[#This Row],[Variable Pay]]+JobBonus[[#This Row],[Crew Efficiency Bonus]]</f>
        <v>235</v>
      </c>
      <c r="V9" s="44" cm="1">
        <f t="array" ref="V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" s="44" t="b">
        <f>_xlfn.IFNA(EXACT(VLOOKUP(JobBonus[[#This Row],[Pay Type]],PayTypes[#All],4,FALSE),"Yes"),FALSE)</f>
        <v>0</v>
      </c>
      <c r="X9" s="44" cm="1">
        <f t="array" ref="X9">SUMPRODUCT((StandByRates[Position]=JobBonus[[#This Row],[Position]])*(JobBonus[[#This Row],[Area]]=StandByRates[Area])*(StandByRates[Hourly]*JobBonus[[#This Row],[Standby/ Ext 
Hrs]]))</f>
        <v>0</v>
      </c>
      <c r="Y9" s="44">
        <f>JobBonus[[#This Row],[Variable Pay]]+JobBonus[[#This Row],[Crew Efficiency Bonus]]+JobBonus[[#This Row],[OVPP]]+JobBonus[[#This Row],[StandBy/ Ext Amount]]</f>
        <v>235</v>
      </c>
      <c r="Z9" s="80"/>
      <c r="AA9"/>
      <c r="AB9"/>
      <c r="AC9"/>
      <c r="AD9"/>
      <c r="AE9"/>
      <c r="AF9"/>
    </row>
    <row r="10" spans="1:32" hidden="1" x14ac:dyDescent="0.25">
      <c r="A10" s="77" t="s">
        <v>397</v>
      </c>
      <c r="B10" s="80">
        <v>463095</v>
      </c>
      <c r="C10" s="15" t="s">
        <v>220</v>
      </c>
      <c r="D10" s="15" t="s">
        <v>89</v>
      </c>
      <c r="E10" s="15" t="s">
        <v>264</v>
      </c>
      <c r="F10" s="15"/>
      <c r="G10" s="16">
        <v>44195</v>
      </c>
      <c r="H10" s="16" t="s">
        <v>216</v>
      </c>
      <c r="I10" s="19" t="str">
        <f>IF(ISBLANK(JobBonus[[#This Row],[Employee Name]]),"",INDEX(Employees[Job Title],MATCH(JobBonus[[#This Row],[Employee Name]],Employees[Employee Name2],0)))</f>
        <v>2 Operator</v>
      </c>
      <c r="J10" s="19" t="str">
        <f>IF(ISBLANK(JobBonus[[#This Row],[Job Prov]]),"",IF(JobBonus[[#This Row],[Job Prov]]=INDEX(Employees[Province],MATCH(JobBonus[[#This Row],[Employee Name]],Employees[Employee Name2],0)),"No","Yes"))</f>
        <v>Yes</v>
      </c>
      <c r="K10" s="17" t="s">
        <v>115</v>
      </c>
      <c r="L10" s="16" t="s">
        <v>398</v>
      </c>
      <c r="M10" s="23">
        <v>15053.3</v>
      </c>
      <c r="N10" s="23"/>
      <c r="O10" s="15"/>
      <c r="P10" s="15"/>
      <c r="Q10" s="15"/>
      <c r="R10" s="15"/>
      <c r="S10" s="44" cm="1">
        <f t="array" ref="S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10" s="44" cm="1">
        <f t="array" ref="T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" s="44">
        <f>JobBonus[[#This Row],[Variable Pay]]+JobBonus[[#This Row],[Crew Efficiency Bonus]]</f>
        <v>235</v>
      </c>
      <c r="V10" s="44" cm="1">
        <f t="array" ref="V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" s="44" t="b">
        <f>_xlfn.IFNA(EXACT(VLOOKUP(JobBonus[[#This Row],[Pay Type]],PayTypes[#All],4,FALSE),"Yes"),FALSE)</f>
        <v>0</v>
      </c>
      <c r="X10" s="44" cm="1">
        <f t="array" ref="X10">SUMPRODUCT((StandByRates[Position]=JobBonus[[#This Row],[Position]])*(JobBonus[[#This Row],[Area]]=StandByRates[Area])*(StandByRates[Hourly]*JobBonus[[#This Row],[Standby/ Ext 
Hrs]]))</f>
        <v>0</v>
      </c>
      <c r="Y10" s="44">
        <f>JobBonus[[#This Row],[Variable Pay]]+JobBonus[[#This Row],[Crew Efficiency Bonus]]+JobBonus[[#This Row],[OVPP]]+JobBonus[[#This Row],[StandBy/ Ext Amount]]</f>
        <v>235</v>
      </c>
      <c r="Z10" s="80" t="s">
        <v>399</v>
      </c>
      <c r="AA10"/>
      <c r="AB10"/>
      <c r="AC10"/>
      <c r="AD10"/>
      <c r="AE10"/>
      <c r="AF10"/>
    </row>
    <row r="11" spans="1:32" hidden="1" x14ac:dyDescent="0.25">
      <c r="A11" s="77" t="s">
        <v>400</v>
      </c>
      <c r="B11" s="80">
        <v>463095</v>
      </c>
      <c r="C11" s="15" t="s">
        <v>220</v>
      </c>
      <c r="D11" s="15" t="s">
        <v>89</v>
      </c>
      <c r="E11" s="15" t="s">
        <v>264</v>
      </c>
      <c r="F11" s="15"/>
      <c r="G11" s="16">
        <v>44195</v>
      </c>
      <c r="H11" s="16" t="s">
        <v>216</v>
      </c>
      <c r="I11" s="19" t="str">
        <f>IF(ISBLANK(JobBonus[[#This Row],[Employee Name]]),"",INDEX(Employees[Job Title],MATCH(JobBonus[[#This Row],[Employee Name]],Employees[Employee Name2],0)))</f>
        <v>3 Supervisor</v>
      </c>
      <c r="J11" s="19" t="str">
        <f>IF(ISBLANK(JobBonus[[#This Row],[Job Prov]]),"",IF(JobBonus[[#This Row],[Job Prov]]=INDEX(Employees[Province],MATCH(JobBonus[[#This Row],[Employee Name]],Employees[Employee Name2],0)),"No","Yes"))</f>
        <v>Yes</v>
      </c>
      <c r="K11" s="17" t="s">
        <v>118</v>
      </c>
      <c r="L11" s="19" t="s">
        <v>398</v>
      </c>
      <c r="M11" s="23">
        <v>15053.3</v>
      </c>
      <c r="N11" s="23"/>
      <c r="O11" s="15"/>
      <c r="P11" s="15"/>
      <c r="Q11" s="17"/>
      <c r="R11" s="15"/>
      <c r="S11" s="44" cm="1">
        <f t="array" ref="S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1" s="44" cm="1">
        <f t="array" ref="T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" s="44">
        <f>JobBonus[[#This Row],[Variable Pay]]+JobBonus[[#This Row],[Crew Efficiency Bonus]]</f>
        <v>315</v>
      </c>
      <c r="V11" s="44" cm="1">
        <f t="array" ref="V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" s="44" t="b">
        <f>_xlfn.IFNA(EXACT(VLOOKUP(JobBonus[[#This Row],[Pay Type]],PayTypes[#All],4,FALSE),"Yes"),FALSE)</f>
        <v>0</v>
      </c>
      <c r="X11" s="44" cm="1">
        <f t="array" ref="X11">SUMPRODUCT((StandByRates[Position]=JobBonus[[#This Row],[Position]])*(JobBonus[[#This Row],[Area]]=StandByRates[Area])*(StandByRates[Hourly]*JobBonus[[#This Row],[Standby/ Ext 
Hrs]]))</f>
        <v>0</v>
      </c>
      <c r="Y11" s="44">
        <f>JobBonus[[#This Row],[Variable Pay]]+JobBonus[[#This Row],[Crew Efficiency Bonus]]+JobBonus[[#This Row],[OVPP]]+JobBonus[[#This Row],[StandBy/ Ext Amount]]</f>
        <v>315</v>
      </c>
      <c r="Z11" s="80" t="s">
        <v>399</v>
      </c>
      <c r="AA11" s="7"/>
      <c r="AB11"/>
      <c r="AC11"/>
      <c r="AD11"/>
      <c r="AE11"/>
      <c r="AF11"/>
    </row>
    <row r="12" spans="1:32" hidden="1" x14ac:dyDescent="0.25">
      <c r="A12" s="77" t="s">
        <v>401</v>
      </c>
      <c r="B12" s="80">
        <v>463095</v>
      </c>
      <c r="C12" s="15" t="s">
        <v>220</v>
      </c>
      <c r="D12" s="15" t="s">
        <v>89</v>
      </c>
      <c r="E12" s="15" t="s">
        <v>264</v>
      </c>
      <c r="F12" s="15"/>
      <c r="G12" s="16">
        <v>44195</v>
      </c>
      <c r="H12" s="16" t="s">
        <v>216</v>
      </c>
      <c r="I12" s="19" t="str">
        <f>IF(ISBLANK(JobBonus[[#This Row],[Employee Name]]),"",INDEX(Employees[Job Title],MATCH(JobBonus[[#This Row],[Employee Name]],Employees[Employee Name2],0)))</f>
        <v>2 Driver</v>
      </c>
      <c r="J12" s="19" t="str">
        <f>IF(ISBLANK(JobBonus[[#This Row],[Job Prov]]),"",IF(JobBonus[[#This Row],[Job Prov]]=INDEX(Employees[Province],MATCH(JobBonus[[#This Row],[Employee Name]],Employees[Employee Name2],0)),"No","Yes"))</f>
        <v>Yes</v>
      </c>
      <c r="K12" s="17" t="s">
        <v>270</v>
      </c>
      <c r="L12" s="19" t="s">
        <v>398</v>
      </c>
      <c r="M12" s="23">
        <v>15053.3</v>
      </c>
      <c r="N12" s="23"/>
      <c r="O12" s="15"/>
      <c r="P12" s="15"/>
      <c r="Q12" s="17"/>
      <c r="R12" s="15"/>
      <c r="S12" s="44" cm="1">
        <f t="array" ref="S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12" s="44" cm="1">
        <f t="array" ref="T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" s="44">
        <f>JobBonus[[#This Row],[Variable Pay]]+JobBonus[[#This Row],[Crew Efficiency Bonus]]</f>
        <v>190</v>
      </c>
      <c r="V12" s="44" cm="1">
        <f t="array" ref="V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" s="44" t="b">
        <f>_xlfn.IFNA(EXACT(VLOOKUP(JobBonus[[#This Row],[Pay Type]],PayTypes[#All],4,FALSE),"Yes"),FALSE)</f>
        <v>0</v>
      </c>
      <c r="X12" s="44" cm="1">
        <f t="array" ref="X12">SUMPRODUCT((StandByRates[Position]=JobBonus[[#This Row],[Position]])*(JobBonus[[#This Row],[Area]]=StandByRates[Area])*(StandByRates[Hourly]*JobBonus[[#This Row],[Standby/ Ext 
Hrs]]))</f>
        <v>0</v>
      </c>
      <c r="Y12" s="44">
        <f>JobBonus[[#This Row],[Variable Pay]]+JobBonus[[#This Row],[Crew Efficiency Bonus]]+JobBonus[[#This Row],[OVPP]]+JobBonus[[#This Row],[StandBy/ Ext Amount]]</f>
        <v>190</v>
      </c>
      <c r="Z12" s="80" t="s">
        <v>399</v>
      </c>
      <c r="AA12" s="39"/>
      <c r="AB12" s="39"/>
      <c r="AC12" s="14"/>
      <c r="AD12" s="14"/>
      <c r="AE12"/>
      <c r="AF12"/>
    </row>
    <row r="13" spans="1:32" hidden="1" x14ac:dyDescent="0.25">
      <c r="A13" s="77" t="s">
        <v>397</v>
      </c>
      <c r="B13" s="80">
        <v>463821</v>
      </c>
      <c r="C13" s="15" t="s">
        <v>220</v>
      </c>
      <c r="D13" s="15" t="s">
        <v>89</v>
      </c>
      <c r="E13" s="15" t="s">
        <v>264</v>
      </c>
      <c r="F13" s="15"/>
      <c r="G13" s="16">
        <v>44198</v>
      </c>
      <c r="H13" s="16" t="s">
        <v>216</v>
      </c>
      <c r="I13" s="19" t="str">
        <f>IF(ISBLANK(JobBonus[[#This Row],[Employee Name]]),"",INDEX(Employees[Job Title],MATCH(JobBonus[[#This Row],[Employee Name]],Employees[Employee Name2],0)))</f>
        <v>2 Operator</v>
      </c>
      <c r="J13" s="19" t="str">
        <f>IF(ISBLANK(JobBonus[[#This Row],[Job Prov]]),"",IF(JobBonus[[#This Row],[Job Prov]]=INDEX(Employees[Province],MATCH(JobBonus[[#This Row],[Employee Name]],Employees[Employee Name2],0)),"No","Yes"))</f>
        <v>Yes</v>
      </c>
      <c r="K13" s="17" t="s">
        <v>115</v>
      </c>
      <c r="L13" s="19" t="s">
        <v>398</v>
      </c>
      <c r="M13" s="23">
        <v>60205.1</v>
      </c>
      <c r="N13" s="23"/>
      <c r="O13" s="15"/>
      <c r="P13" s="15"/>
      <c r="Q13" s="17"/>
      <c r="R13" s="15"/>
      <c r="S13" s="44" cm="1">
        <f t="array" ref="S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301.34000000000003</v>
      </c>
      <c r="T13" s="44" cm="1">
        <f t="array" ref="T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" s="44">
        <f>JobBonus[[#This Row],[Variable Pay]]+JobBonus[[#This Row],[Crew Efficiency Bonus]]</f>
        <v>301.34000000000003</v>
      </c>
      <c r="V13" s="44" cm="1">
        <f t="array" ref="V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" s="44" t="b">
        <f>_xlfn.IFNA(EXACT(VLOOKUP(JobBonus[[#This Row],[Pay Type]],PayTypes[#All],4,FALSE),"Yes"),FALSE)</f>
        <v>0</v>
      </c>
      <c r="X13" s="44" cm="1">
        <f t="array" ref="X13">SUMPRODUCT((StandByRates[Position]=JobBonus[[#This Row],[Position]])*(JobBonus[[#This Row],[Area]]=StandByRates[Area])*(StandByRates[Hourly]*JobBonus[[#This Row],[Standby/ Ext 
Hrs]]))</f>
        <v>0</v>
      </c>
      <c r="Y13" s="44">
        <f>JobBonus[[#This Row],[Variable Pay]]+JobBonus[[#This Row],[Crew Efficiency Bonus]]+JobBonus[[#This Row],[OVPP]]+JobBonus[[#This Row],[StandBy/ Ext Amount]]</f>
        <v>301.34000000000003</v>
      </c>
      <c r="Z13" s="80" t="s">
        <v>399</v>
      </c>
      <c r="AA13" s="39"/>
      <c r="AB13" s="39"/>
      <c r="AC13" s="14"/>
      <c r="AD13" s="14"/>
      <c r="AE13"/>
      <c r="AF13"/>
    </row>
    <row r="14" spans="1:32" hidden="1" x14ac:dyDescent="0.25">
      <c r="A14" s="77" t="s">
        <v>400</v>
      </c>
      <c r="B14" s="80">
        <v>463821</v>
      </c>
      <c r="C14" s="15" t="s">
        <v>220</v>
      </c>
      <c r="D14" s="15" t="s">
        <v>89</v>
      </c>
      <c r="E14" s="15" t="s">
        <v>264</v>
      </c>
      <c r="F14" s="15"/>
      <c r="G14" s="16">
        <v>44198</v>
      </c>
      <c r="H14" s="16" t="s">
        <v>216</v>
      </c>
      <c r="I14" s="19" t="str">
        <f>IF(ISBLANK(JobBonus[[#This Row],[Employee Name]]),"",INDEX(Employees[Job Title],MATCH(JobBonus[[#This Row],[Employee Name]],Employees[Employee Name2],0)))</f>
        <v>3 Supervisor</v>
      </c>
      <c r="J14" s="19" t="str">
        <f>IF(ISBLANK(JobBonus[[#This Row],[Job Prov]]),"",IF(JobBonus[[#This Row],[Job Prov]]=INDEX(Employees[Province],MATCH(JobBonus[[#This Row],[Employee Name]],Employees[Employee Name2],0)),"No","Yes"))</f>
        <v>Yes</v>
      </c>
      <c r="K14" s="17" t="s">
        <v>121</v>
      </c>
      <c r="L14" s="16" t="s">
        <v>398</v>
      </c>
      <c r="M14" s="23">
        <v>60205.1</v>
      </c>
      <c r="N14" s="23"/>
      <c r="O14" s="15"/>
      <c r="P14" s="15"/>
      <c r="Q14" s="15"/>
      <c r="R14" s="15"/>
      <c r="S14" s="44" cm="1">
        <f t="array" ref="S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321.39</v>
      </c>
      <c r="T14" s="44" cm="1">
        <f t="array" ref="T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" s="44">
        <f>JobBonus[[#This Row],[Variable Pay]]+JobBonus[[#This Row],[Crew Efficiency Bonus]]</f>
        <v>321.39</v>
      </c>
      <c r="V14" s="44" cm="1">
        <f t="array" ref="V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" s="44" t="b">
        <f>_xlfn.IFNA(EXACT(VLOOKUP(JobBonus[[#This Row],[Pay Type]],PayTypes[#All],4,FALSE),"Yes"),FALSE)</f>
        <v>0</v>
      </c>
      <c r="X14" s="44" cm="1">
        <f t="array" ref="X14">SUMPRODUCT((StandByRates[Position]=JobBonus[[#This Row],[Position]])*(JobBonus[[#This Row],[Area]]=StandByRates[Area])*(StandByRates[Hourly]*JobBonus[[#This Row],[Standby/ Ext 
Hrs]]))</f>
        <v>0</v>
      </c>
      <c r="Y14" s="44">
        <f>JobBonus[[#This Row],[Variable Pay]]+JobBonus[[#This Row],[Crew Efficiency Bonus]]+JobBonus[[#This Row],[OVPP]]+JobBonus[[#This Row],[StandBy/ Ext Amount]]</f>
        <v>321.39</v>
      </c>
      <c r="Z14" s="80" t="s">
        <v>399</v>
      </c>
      <c r="AA14" s="39"/>
      <c r="AB14" s="39"/>
      <c r="AC14"/>
      <c r="AD14"/>
      <c r="AE14"/>
      <c r="AF14"/>
    </row>
    <row r="15" spans="1:32" hidden="1" x14ac:dyDescent="0.25">
      <c r="A15" s="77" t="s">
        <v>397</v>
      </c>
      <c r="B15" s="80">
        <v>463096</v>
      </c>
      <c r="C15" s="15" t="s">
        <v>220</v>
      </c>
      <c r="D15" s="15" t="s">
        <v>89</v>
      </c>
      <c r="E15" s="15" t="s">
        <v>264</v>
      </c>
      <c r="F15" s="15"/>
      <c r="G15" s="16">
        <v>44199</v>
      </c>
      <c r="H15" s="16" t="s">
        <v>216</v>
      </c>
      <c r="I15" s="19" t="str">
        <f>IF(ISBLANK(JobBonus[[#This Row],[Employee Name]]),"",INDEX(Employees[Job Title],MATCH(JobBonus[[#This Row],[Employee Name]],Employees[Employee Name2],0)))</f>
        <v>2 Operator</v>
      </c>
      <c r="J15" s="19" t="str">
        <f>IF(ISBLANK(JobBonus[[#This Row],[Job Prov]]),"",IF(JobBonus[[#This Row],[Job Prov]]=INDEX(Employees[Province],MATCH(JobBonus[[#This Row],[Employee Name]],Employees[Employee Name2],0)),"No","Yes"))</f>
        <v>Yes</v>
      </c>
      <c r="K15" s="17" t="s">
        <v>115</v>
      </c>
      <c r="L15" s="16" t="s">
        <v>398</v>
      </c>
      <c r="M15" s="23">
        <v>14073.6</v>
      </c>
      <c r="N15" s="23"/>
      <c r="O15" s="15"/>
      <c r="P15" s="15"/>
      <c r="Q15" s="15"/>
      <c r="R15" s="15"/>
      <c r="S15" s="44" cm="1">
        <f t="array" ref="S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15" s="44" cm="1">
        <f t="array" ref="T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" s="44">
        <f>JobBonus[[#This Row],[Variable Pay]]+JobBonus[[#This Row],[Crew Efficiency Bonus]]</f>
        <v>235</v>
      </c>
      <c r="V15" s="44" cm="1">
        <f t="array" ref="V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" s="44" t="b">
        <f>_xlfn.IFNA(EXACT(VLOOKUP(JobBonus[[#This Row],[Pay Type]],PayTypes[#All],4,FALSE),"Yes"),FALSE)</f>
        <v>0</v>
      </c>
      <c r="X15" s="44" cm="1">
        <f t="array" ref="X15">SUMPRODUCT((StandByRates[Position]=JobBonus[[#This Row],[Position]])*(JobBonus[[#This Row],[Area]]=StandByRates[Area])*(StandByRates[Hourly]*JobBonus[[#This Row],[Standby/ Ext 
Hrs]]))</f>
        <v>0</v>
      </c>
      <c r="Y15" s="44">
        <f>JobBonus[[#This Row],[Variable Pay]]+JobBonus[[#This Row],[Crew Efficiency Bonus]]+JobBonus[[#This Row],[OVPP]]+JobBonus[[#This Row],[StandBy/ Ext Amount]]</f>
        <v>235</v>
      </c>
      <c r="Z15" s="80" t="s">
        <v>399</v>
      </c>
      <c r="AA15" s="42"/>
      <c r="AB15" s="42"/>
      <c r="AC15"/>
      <c r="AD15"/>
      <c r="AE15"/>
      <c r="AF15"/>
    </row>
    <row r="16" spans="1:32" hidden="1" x14ac:dyDescent="0.25">
      <c r="A16" s="77" t="s">
        <v>400</v>
      </c>
      <c r="B16" s="80">
        <v>463096</v>
      </c>
      <c r="C16" s="15" t="s">
        <v>220</v>
      </c>
      <c r="D16" s="15" t="s">
        <v>89</v>
      </c>
      <c r="E16" s="15" t="s">
        <v>264</v>
      </c>
      <c r="F16" s="15"/>
      <c r="G16" s="16">
        <v>44199</v>
      </c>
      <c r="H16" s="16" t="s">
        <v>216</v>
      </c>
      <c r="I16" s="19" t="str">
        <f>IF(ISBLANK(JobBonus[[#This Row],[Employee Name]]),"",INDEX(Employees[Job Title],MATCH(JobBonus[[#This Row],[Employee Name]],Employees[Employee Name2],0)))</f>
        <v>3 Supervisor</v>
      </c>
      <c r="J16" s="19" t="str">
        <f>IF(ISBLANK(JobBonus[[#This Row],[Job Prov]]),"",IF(JobBonus[[#This Row],[Job Prov]]=INDEX(Employees[Province],MATCH(JobBonus[[#This Row],[Employee Name]],Employees[Employee Name2],0)),"No","Yes"))</f>
        <v>Yes</v>
      </c>
      <c r="K16" s="17" t="s">
        <v>118</v>
      </c>
      <c r="L16" s="19" t="s">
        <v>398</v>
      </c>
      <c r="M16" s="23">
        <v>14073.6</v>
      </c>
      <c r="N16" s="23"/>
      <c r="O16" s="15"/>
      <c r="P16" s="15"/>
      <c r="Q16" s="17"/>
      <c r="R16" s="15"/>
      <c r="S16" s="44" cm="1">
        <f t="array" ref="S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6" s="44" cm="1">
        <f t="array" ref="T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" s="44">
        <f>JobBonus[[#This Row],[Variable Pay]]+JobBonus[[#This Row],[Crew Efficiency Bonus]]</f>
        <v>315</v>
      </c>
      <c r="V16" s="44" cm="1">
        <f t="array" ref="V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" s="44" t="b">
        <f>_xlfn.IFNA(EXACT(VLOOKUP(JobBonus[[#This Row],[Pay Type]],PayTypes[#All],4,FALSE),"Yes"),FALSE)</f>
        <v>0</v>
      </c>
      <c r="X16" s="44" cm="1">
        <f t="array" ref="X16">SUMPRODUCT((StandByRates[Position]=JobBonus[[#This Row],[Position]])*(JobBonus[[#This Row],[Area]]=StandByRates[Area])*(StandByRates[Hourly]*JobBonus[[#This Row],[Standby/ Ext 
Hrs]]))</f>
        <v>0</v>
      </c>
      <c r="Y16" s="44">
        <f>JobBonus[[#This Row],[Variable Pay]]+JobBonus[[#This Row],[Crew Efficiency Bonus]]+JobBonus[[#This Row],[OVPP]]+JobBonus[[#This Row],[StandBy/ Ext Amount]]</f>
        <v>315</v>
      </c>
      <c r="Z16" s="80" t="s">
        <v>399</v>
      </c>
      <c r="AA16" s="42"/>
      <c r="AB16" s="42"/>
      <c r="AC16"/>
      <c r="AD16"/>
      <c r="AE16"/>
      <c r="AF16"/>
    </row>
    <row r="17" spans="1:32" hidden="1" x14ac:dyDescent="0.25">
      <c r="A17" s="77" t="s">
        <v>403</v>
      </c>
      <c r="B17" s="80">
        <v>464629</v>
      </c>
      <c r="C17" s="15" t="s">
        <v>222</v>
      </c>
      <c r="D17" s="15" t="s">
        <v>257</v>
      </c>
      <c r="E17" s="15" t="s">
        <v>264</v>
      </c>
      <c r="F17" s="15"/>
      <c r="G17" s="16">
        <v>44196</v>
      </c>
      <c r="H17" s="16" t="s">
        <v>216</v>
      </c>
      <c r="I17" s="19" t="str">
        <f>IF(ISBLANK(JobBonus[[#This Row],[Employee Name]]),"",INDEX(Employees[Job Title],MATCH(JobBonus[[#This Row],[Employee Name]],Employees[Employee Name2],0)))</f>
        <v>3 Supervisor</v>
      </c>
      <c r="J17" s="19" t="str">
        <f>IF(ISBLANK(JobBonus[[#This Row],[Job Prov]]),"",IF(JobBonus[[#This Row],[Job Prov]]=INDEX(Employees[Province],MATCH(JobBonus[[#This Row],[Employee Name]],Employees[Employee Name2],0)),"No","Yes"))</f>
        <v>No</v>
      </c>
      <c r="K17" s="17" t="s">
        <v>156</v>
      </c>
      <c r="L17" s="19" t="s">
        <v>396</v>
      </c>
      <c r="M17" s="23">
        <v>3457.82</v>
      </c>
      <c r="N17" s="23" t="s">
        <v>132</v>
      </c>
      <c r="O17" s="15"/>
      <c r="P17" s="15"/>
      <c r="Q17" s="17"/>
      <c r="R17" s="15"/>
      <c r="S17" s="44" cm="1">
        <f t="array" ref="S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7" s="44" cm="1">
        <f t="array" ref="T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17" s="44">
        <f>JobBonus[[#This Row],[Variable Pay]]+JobBonus[[#This Row],[Crew Efficiency Bonus]]</f>
        <v>422.5</v>
      </c>
      <c r="V17" s="44" cm="1">
        <f t="array" ref="V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" s="44" t="b">
        <f>_xlfn.IFNA(EXACT(VLOOKUP(JobBonus[[#This Row],[Pay Type]],PayTypes[#All],4,FALSE),"Yes"),FALSE)</f>
        <v>0</v>
      </c>
      <c r="X17" s="44" cm="1">
        <f t="array" ref="X17">SUMPRODUCT((StandByRates[Position]=JobBonus[[#This Row],[Position]])*(JobBonus[[#This Row],[Area]]=StandByRates[Area])*(StandByRates[Hourly]*JobBonus[[#This Row],[Standby/ Ext 
Hrs]]))</f>
        <v>0</v>
      </c>
      <c r="Y17" s="44">
        <f>JobBonus[[#This Row],[Variable Pay]]+JobBonus[[#This Row],[Crew Efficiency Bonus]]+JobBonus[[#This Row],[OVPP]]+JobBonus[[#This Row],[StandBy/ Ext Amount]]</f>
        <v>422.5</v>
      </c>
      <c r="Z17" s="80"/>
      <c r="AA17" s="42"/>
      <c r="AB17" s="42"/>
      <c r="AC17"/>
      <c r="AD17"/>
      <c r="AE17"/>
      <c r="AF17"/>
    </row>
    <row r="18" spans="1:32" hidden="1" x14ac:dyDescent="0.25">
      <c r="A18" s="77" t="s">
        <v>402</v>
      </c>
      <c r="B18" s="80">
        <v>464629</v>
      </c>
      <c r="C18" s="15" t="s">
        <v>222</v>
      </c>
      <c r="D18" s="15" t="s">
        <v>257</v>
      </c>
      <c r="E18" s="15" t="s">
        <v>264</v>
      </c>
      <c r="F18" s="15"/>
      <c r="G18" s="16">
        <v>44196</v>
      </c>
      <c r="H18" s="16" t="s">
        <v>216</v>
      </c>
      <c r="I18" s="19" t="str">
        <f>IF(ISBLANK(JobBonus[[#This Row],[Employee Name]]),"",INDEX(Employees[Job Title],MATCH(JobBonus[[#This Row],[Employee Name]],Employees[Employee Name2],0)))</f>
        <v>3 Operator</v>
      </c>
      <c r="J18" s="19" t="str">
        <f>IF(ISBLANK(JobBonus[[#This Row],[Job Prov]]),"",IF(JobBonus[[#This Row],[Job Prov]]=INDEX(Employees[Province],MATCH(JobBonus[[#This Row],[Employee Name]],Employees[Employee Name2],0)),"No","Yes"))</f>
        <v>No</v>
      </c>
      <c r="K18" s="17" t="s">
        <v>155</v>
      </c>
      <c r="L18" s="19" t="s">
        <v>396</v>
      </c>
      <c r="M18" s="23">
        <v>3457.82</v>
      </c>
      <c r="N18" s="23" t="s">
        <v>132</v>
      </c>
      <c r="O18" s="15"/>
      <c r="P18" s="15"/>
      <c r="Q18" s="17"/>
      <c r="R18" s="15"/>
      <c r="S18" s="44" cm="1">
        <f t="array" ref="S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18" s="44" cm="1">
        <f t="array" ref="T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18" s="44">
        <f>JobBonus[[#This Row],[Variable Pay]]+JobBonus[[#This Row],[Crew Efficiency Bonus]]</f>
        <v>337.5</v>
      </c>
      <c r="V18" s="44" cm="1">
        <f t="array" ref="V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" s="44" t="b">
        <f>_xlfn.IFNA(EXACT(VLOOKUP(JobBonus[[#This Row],[Pay Type]],PayTypes[#All],4,FALSE),"Yes"),FALSE)</f>
        <v>0</v>
      </c>
      <c r="X18" s="44" cm="1">
        <f t="array" ref="X18">SUMPRODUCT((StandByRates[Position]=JobBonus[[#This Row],[Position]])*(JobBonus[[#This Row],[Area]]=StandByRates[Area])*(StandByRates[Hourly]*JobBonus[[#This Row],[Standby/ Ext 
Hrs]]))</f>
        <v>0</v>
      </c>
      <c r="Y18" s="44">
        <f>JobBonus[[#This Row],[Variable Pay]]+JobBonus[[#This Row],[Crew Efficiency Bonus]]+JobBonus[[#This Row],[OVPP]]+JobBonus[[#This Row],[StandBy/ Ext Amount]]</f>
        <v>337.5</v>
      </c>
      <c r="Z18" s="80"/>
      <c r="AA18" s="42"/>
      <c r="AB18" s="42"/>
      <c r="AC18"/>
      <c r="AD18"/>
      <c r="AE18"/>
      <c r="AF18"/>
    </row>
    <row r="19" spans="1:32" hidden="1" x14ac:dyDescent="0.25">
      <c r="A19" s="18" t="s">
        <v>395</v>
      </c>
      <c r="B19" s="80"/>
      <c r="C19" s="15" t="s">
        <v>220</v>
      </c>
      <c r="D19" s="15" t="s">
        <v>257</v>
      </c>
      <c r="E19" s="15" t="s">
        <v>264</v>
      </c>
      <c r="F19" s="15">
        <v>514410</v>
      </c>
      <c r="G19" s="16">
        <v>44193</v>
      </c>
      <c r="H19" s="16" t="s">
        <v>7</v>
      </c>
      <c r="I19" s="19" t="str">
        <f>IF(ISBLANK(JobBonus[[#This Row],[Employee Name]]),"",INDEX(Employees[Job Title],MATCH(JobBonus[[#This Row],[Employee Name]],Employees[Employee Name2],0)))</f>
        <v>2 Operator</v>
      </c>
      <c r="J19" s="19" t="str">
        <f>IF(ISBLANK(JobBonus[[#This Row],[Job Prov]]),"",IF(JobBonus[[#This Row],[Job Prov]]=INDEX(Employees[Province],MATCH(JobBonus[[#This Row],[Employee Name]],Employees[Employee Name2],0)),"No","Yes"))</f>
        <v>No</v>
      </c>
      <c r="K19" s="17" t="s">
        <v>115</v>
      </c>
      <c r="L19" s="19" t="s">
        <v>396</v>
      </c>
      <c r="M19" s="23"/>
      <c r="N19" s="23"/>
      <c r="O19" s="15">
        <v>50</v>
      </c>
      <c r="P19" s="15"/>
      <c r="Q19" s="17"/>
      <c r="R19" s="15"/>
      <c r="S19" s="44" cm="1">
        <f t="array" ref="S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" s="44" cm="1">
        <f t="array" ref="T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" s="44">
        <f>JobBonus[[#This Row],[Variable Pay]]+JobBonus[[#This Row],[Crew Efficiency Bonus]]</f>
        <v>0</v>
      </c>
      <c r="V19" s="44" cm="1">
        <f t="array" ref="V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121</v>
      </c>
      <c r="W19" s="44" t="b">
        <f>_xlfn.IFNA(EXACT(VLOOKUP(JobBonus[[#This Row],[Pay Type]],PayTypes[#All],4,FALSE),"Yes"),FALSE)</f>
        <v>0</v>
      </c>
      <c r="X19" s="44" cm="1">
        <f t="array" ref="X19">SUMPRODUCT((StandByRates[Position]=JobBonus[[#This Row],[Position]])*(JobBonus[[#This Row],[Area]]=StandByRates[Area])*(StandByRates[Hourly]*JobBonus[[#This Row],[Standby/ Ext 
Hrs]]))</f>
        <v>0</v>
      </c>
      <c r="Y19" s="44">
        <f>JobBonus[[#This Row],[Variable Pay]]+JobBonus[[#This Row],[Crew Efficiency Bonus]]+JobBonus[[#This Row],[OVPP]]+JobBonus[[#This Row],[StandBy/ Ext Amount]]</f>
        <v>121</v>
      </c>
      <c r="Z19" s="80" t="s">
        <v>404</v>
      </c>
      <c r="AA19" s="42"/>
      <c r="AB19" s="42"/>
      <c r="AC19"/>
      <c r="AD19"/>
      <c r="AE19"/>
      <c r="AF19"/>
    </row>
    <row r="20" spans="1:32" hidden="1" x14ac:dyDescent="0.25">
      <c r="A20" s="18" t="s">
        <v>405</v>
      </c>
      <c r="B20" s="80"/>
      <c r="C20" s="15" t="s">
        <v>220</v>
      </c>
      <c r="D20" s="15" t="s">
        <v>257</v>
      </c>
      <c r="E20" s="15" t="s">
        <v>264</v>
      </c>
      <c r="F20" s="15">
        <v>504150</v>
      </c>
      <c r="G20" s="16">
        <v>44201</v>
      </c>
      <c r="H20" s="16" t="s">
        <v>7</v>
      </c>
      <c r="I20" s="19" t="str">
        <f>IF(ISBLANK(JobBonus[[#This Row],[Employee Name]]),"",INDEX(Employees[Job Title],MATCH(JobBonus[[#This Row],[Employee Name]],Employees[Employee Name2],0)))</f>
        <v>2 Operator</v>
      </c>
      <c r="J20" s="19" t="str">
        <f>IF(ISBLANK(JobBonus[[#This Row],[Job Prov]]),"",IF(JobBonus[[#This Row],[Job Prov]]=INDEX(Employees[Province],MATCH(JobBonus[[#This Row],[Employee Name]],Employees[Employee Name2],0)),"No","Yes"))</f>
        <v>No</v>
      </c>
      <c r="K20" s="17" t="s">
        <v>115</v>
      </c>
      <c r="L20" s="19" t="s">
        <v>406</v>
      </c>
      <c r="M20" s="23"/>
      <c r="N20" s="23"/>
      <c r="O20" s="15">
        <v>520</v>
      </c>
      <c r="P20" s="15"/>
      <c r="Q20" s="17"/>
      <c r="R20" s="15"/>
      <c r="S20" s="44" cm="1">
        <f t="array" ref="S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" s="44" cm="1">
        <f t="array" ref="T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" s="44">
        <f>JobBonus[[#This Row],[Variable Pay]]+JobBonus[[#This Row],[Crew Efficiency Bonus]]</f>
        <v>0</v>
      </c>
      <c r="V20" s="44" cm="1">
        <f t="array" ref="V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168</v>
      </c>
      <c r="W20" s="44" t="b">
        <f>_xlfn.IFNA(EXACT(VLOOKUP(JobBonus[[#This Row],[Pay Type]],PayTypes[#All],4,FALSE),"Yes"),FALSE)</f>
        <v>0</v>
      </c>
      <c r="X20" s="44" cm="1">
        <f t="array" ref="X20">SUMPRODUCT((StandByRates[Position]=JobBonus[[#This Row],[Position]])*(JobBonus[[#This Row],[Area]]=StandByRates[Area])*(StandByRates[Hourly]*JobBonus[[#This Row],[Standby/ Ext 
Hrs]]))</f>
        <v>0</v>
      </c>
      <c r="Y20" s="44">
        <f>JobBonus[[#This Row],[Variable Pay]]+JobBonus[[#This Row],[Crew Efficiency Bonus]]+JobBonus[[#This Row],[OVPP]]+JobBonus[[#This Row],[StandBy/ Ext Amount]]</f>
        <v>168</v>
      </c>
      <c r="Z20" s="80" t="s">
        <v>407</v>
      </c>
      <c r="AA20" s="42"/>
      <c r="AB20" s="42"/>
      <c r="AC20"/>
      <c r="AD20"/>
      <c r="AE20"/>
      <c r="AF20"/>
    </row>
    <row r="21" spans="1:32" hidden="1" x14ac:dyDescent="0.25">
      <c r="A21" s="46" t="s">
        <v>408</v>
      </c>
      <c r="B21" s="80">
        <v>464151</v>
      </c>
      <c r="C21" s="15" t="s">
        <v>220</v>
      </c>
      <c r="D21" s="15" t="s">
        <v>89</v>
      </c>
      <c r="E21" s="15" t="s">
        <v>264</v>
      </c>
      <c r="F21" s="15"/>
      <c r="G21" s="16">
        <v>44202</v>
      </c>
      <c r="H21" s="16" t="s">
        <v>216</v>
      </c>
      <c r="I21" s="19" t="str">
        <f>IF(ISBLANK(JobBonus[[#This Row],[Employee Name]]),"",INDEX(Employees[Job Title],MATCH(JobBonus[[#This Row],[Employee Name]],Employees[Employee Name2],0)))</f>
        <v>2 Driver</v>
      </c>
      <c r="J21" s="19" t="str">
        <f>IF(ISBLANK(JobBonus[[#This Row],[Job Prov]]),"",IF(JobBonus[[#This Row],[Job Prov]]=INDEX(Employees[Province],MATCH(JobBonus[[#This Row],[Employee Name]],Employees[Employee Name2],0)),"No","Yes"))</f>
        <v>Yes</v>
      </c>
      <c r="K21" s="17" t="s">
        <v>270</v>
      </c>
      <c r="L21" s="19" t="s">
        <v>409</v>
      </c>
      <c r="M21" s="23">
        <v>12670.8</v>
      </c>
      <c r="N21" s="23"/>
      <c r="O21" s="15"/>
      <c r="P21" s="15"/>
      <c r="Q21" s="17"/>
      <c r="R21" s="15"/>
      <c r="S21" s="44" cm="1">
        <f t="array" ref="S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1" s="44" cm="1">
        <f t="array" ref="T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" s="44">
        <f>JobBonus[[#This Row],[Variable Pay]]+JobBonus[[#This Row],[Crew Efficiency Bonus]]</f>
        <v>190</v>
      </c>
      <c r="V21" s="44" cm="1">
        <f t="array" ref="V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" s="44" t="b">
        <f>_xlfn.IFNA(EXACT(VLOOKUP(JobBonus[[#This Row],[Pay Type]],PayTypes[#All],4,FALSE),"Yes"),FALSE)</f>
        <v>0</v>
      </c>
      <c r="X21" s="44" cm="1">
        <f t="array" ref="X21">SUMPRODUCT((StandByRates[Position]=JobBonus[[#This Row],[Position]])*(JobBonus[[#This Row],[Area]]=StandByRates[Area])*(StandByRates[Hourly]*JobBonus[[#This Row],[Standby/ Ext 
Hrs]]))</f>
        <v>0</v>
      </c>
      <c r="Y21" s="44">
        <f>JobBonus[[#This Row],[Variable Pay]]+JobBonus[[#This Row],[Crew Efficiency Bonus]]+JobBonus[[#This Row],[OVPP]]+JobBonus[[#This Row],[StandBy/ Ext Amount]]</f>
        <v>190</v>
      </c>
      <c r="Z21" s="80" t="s">
        <v>399</v>
      </c>
      <c r="AA21" s="42"/>
      <c r="AB21" s="42"/>
      <c r="AC21"/>
      <c r="AD21"/>
      <c r="AE21"/>
      <c r="AF21"/>
    </row>
    <row r="22" spans="1:32" hidden="1" x14ac:dyDescent="0.25">
      <c r="A22" s="46" t="s">
        <v>410</v>
      </c>
      <c r="B22" s="80">
        <v>464151</v>
      </c>
      <c r="C22" s="15" t="s">
        <v>220</v>
      </c>
      <c r="D22" s="15" t="s">
        <v>89</v>
      </c>
      <c r="E22" s="15" t="s">
        <v>264</v>
      </c>
      <c r="F22" s="15"/>
      <c r="G22" s="16">
        <v>44202</v>
      </c>
      <c r="H22" s="16" t="s">
        <v>216</v>
      </c>
      <c r="I22" s="19" t="str">
        <f>IF(ISBLANK(JobBonus[[#This Row],[Employee Name]]),"",INDEX(Employees[Job Title],MATCH(JobBonus[[#This Row],[Employee Name]],Employees[Employee Name2],0)))</f>
        <v>2 Operator</v>
      </c>
      <c r="J22" s="19" t="str">
        <f>IF(ISBLANK(JobBonus[[#This Row],[Job Prov]]),"",IF(JobBonus[[#This Row],[Job Prov]]=INDEX(Employees[Province],MATCH(JobBonus[[#This Row],[Employee Name]],Employees[Employee Name2],0)),"No","Yes"))</f>
        <v>Yes</v>
      </c>
      <c r="K22" s="17" t="s">
        <v>115</v>
      </c>
      <c r="L22" s="19" t="s">
        <v>409</v>
      </c>
      <c r="M22" s="23">
        <v>12670.8</v>
      </c>
      <c r="N22" s="23"/>
      <c r="O22" s="15"/>
      <c r="P22" s="15"/>
      <c r="Q22" s="15"/>
      <c r="R22" s="15"/>
      <c r="S22" s="44" cm="1">
        <f t="array" ref="S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2" s="44" cm="1">
        <f t="array" ref="T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" s="44">
        <f>JobBonus[[#This Row],[Variable Pay]]+JobBonus[[#This Row],[Crew Efficiency Bonus]]</f>
        <v>235</v>
      </c>
      <c r="V22" s="44" cm="1">
        <f t="array" ref="V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" s="44" t="b">
        <f>_xlfn.IFNA(EXACT(VLOOKUP(JobBonus[[#This Row],[Pay Type]],PayTypes[#All],4,FALSE),"Yes"),FALSE)</f>
        <v>0</v>
      </c>
      <c r="X22" s="44" cm="1">
        <f t="array" ref="X22">SUMPRODUCT((StandByRates[Position]=JobBonus[[#This Row],[Position]])*(JobBonus[[#This Row],[Area]]=StandByRates[Area])*(StandByRates[Hourly]*JobBonus[[#This Row],[Standby/ Ext 
Hrs]]))</f>
        <v>0</v>
      </c>
      <c r="Y22" s="44">
        <f>JobBonus[[#This Row],[Variable Pay]]+JobBonus[[#This Row],[Crew Efficiency Bonus]]+JobBonus[[#This Row],[OVPP]]+JobBonus[[#This Row],[StandBy/ Ext Amount]]</f>
        <v>235</v>
      </c>
      <c r="Z22" s="80" t="s">
        <v>399</v>
      </c>
      <c r="AA22" s="42"/>
      <c r="AB22" s="42"/>
      <c r="AC22"/>
      <c r="AD22"/>
      <c r="AE22"/>
      <c r="AF22"/>
    </row>
    <row r="23" spans="1:32" hidden="1" x14ac:dyDescent="0.25">
      <c r="A23" s="46" t="s">
        <v>411</v>
      </c>
      <c r="B23" s="80">
        <v>464151</v>
      </c>
      <c r="C23" s="15" t="s">
        <v>220</v>
      </c>
      <c r="D23" s="15" t="s">
        <v>89</v>
      </c>
      <c r="E23" s="15" t="s">
        <v>264</v>
      </c>
      <c r="F23" s="15"/>
      <c r="G23" s="16">
        <v>44202</v>
      </c>
      <c r="H23" s="16" t="s">
        <v>216</v>
      </c>
      <c r="I23" s="19" t="str">
        <f>IF(ISBLANK(JobBonus[[#This Row],[Employee Name]]),"",INDEX(Employees[Job Title],MATCH(JobBonus[[#This Row],[Employee Name]],Employees[Employee Name2],0)))</f>
        <v>3 Supervisor</v>
      </c>
      <c r="J23" s="19" t="str">
        <f>IF(ISBLANK(JobBonus[[#This Row],[Job Prov]]),"",IF(JobBonus[[#This Row],[Job Prov]]=INDEX(Employees[Province],MATCH(JobBonus[[#This Row],[Employee Name]],Employees[Employee Name2],0)),"No","Yes"))</f>
        <v>Yes</v>
      </c>
      <c r="K23" s="17" t="s">
        <v>118</v>
      </c>
      <c r="L23" s="19" t="s">
        <v>409</v>
      </c>
      <c r="M23" s="23">
        <v>12670.8</v>
      </c>
      <c r="N23" s="23"/>
      <c r="O23" s="15"/>
      <c r="P23" s="15"/>
      <c r="Q23" s="15"/>
      <c r="R23" s="15"/>
      <c r="S23" s="44" cm="1">
        <f t="array" ref="S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3" s="44" cm="1">
        <f t="array" ref="T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" s="44">
        <f>JobBonus[[#This Row],[Variable Pay]]+JobBonus[[#This Row],[Crew Efficiency Bonus]]</f>
        <v>315</v>
      </c>
      <c r="V23" s="44" cm="1">
        <f t="array" ref="V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" s="44" t="b">
        <f>_xlfn.IFNA(EXACT(VLOOKUP(JobBonus[[#This Row],[Pay Type]],PayTypes[#All],4,FALSE),"Yes"),FALSE)</f>
        <v>0</v>
      </c>
      <c r="X23" s="44" cm="1">
        <f t="array" ref="X23">SUMPRODUCT((StandByRates[Position]=JobBonus[[#This Row],[Position]])*(JobBonus[[#This Row],[Area]]=StandByRates[Area])*(StandByRates[Hourly]*JobBonus[[#This Row],[Standby/ Ext 
Hrs]]))</f>
        <v>0</v>
      </c>
      <c r="Y23" s="44">
        <f>JobBonus[[#This Row],[Variable Pay]]+JobBonus[[#This Row],[Crew Efficiency Bonus]]+JobBonus[[#This Row],[OVPP]]+JobBonus[[#This Row],[StandBy/ Ext Amount]]</f>
        <v>315</v>
      </c>
      <c r="Z23" s="80" t="s">
        <v>399</v>
      </c>
      <c r="AA23" s="42"/>
      <c r="AB23" s="42"/>
      <c r="AC23"/>
      <c r="AD23"/>
      <c r="AE23"/>
      <c r="AF23"/>
    </row>
    <row r="24" spans="1:32" hidden="1" x14ac:dyDescent="0.25">
      <c r="A24" s="46" t="s">
        <v>408</v>
      </c>
      <c r="B24" s="80">
        <v>463425</v>
      </c>
      <c r="C24" s="15" t="s">
        <v>220</v>
      </c>
      <c r="D24" s="15" t="s">
        <v>89</v>
      </c>
      <c r="E24" s="15" t="s">
        <v>264</v>
      </c>
      <c r="F24" s="15"/>
      <c r="G24" s="16">
        <v>44201</v>
      </c>
      <c r="H24" s="16" t="s">
        <v>216</v>
      </c>
      <c r="I24" s="19" t="str">
        <f>IF(ISBLANK(JobBonus[[#This Row],[Employee Name]]),"",INDEX(Employees[Job Title],MATCH(JobBonus[[#This Row],[Employee Name]],Employees[Employee Name2],0)))</f>
        <v>2 Driver</v>
      </c>
      <c r="J24" s="19" t="str">
        <f>IF(ISBLANK(JobBonus[[#This Row],[Job Prov]]),"",IF(JobBonus[[#This Row],[Job Prov]]=INDEX(Employees[Province],MATCH(JobBonus[[#This Row],[Employee Name]],Employees[Employee Name2],0)),"No","Yes"))</f>
        <v>Yes</v>
      </c>
      <c r="K24" s="17" t="s">
        <v>270</v>
      </c>
      <c r="L24" s="19" t="s">
        <v>409</v>
      </c>
      <c r="M24" s="23">
        <v>10778.2</v>
      </c>
      <c r="N24" s="23"/>
      <c r="O24" s="15"/>
      <c r="P24" s="15"/>
      <c r="Q24" s="15"/>
      <c r="R24" s="15"/>
      <c r="S24" s="44" cm="1">
        <f t="array" ref="S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4" s="44" cm="1">
        <f t="array" ref="T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" s="44">
        <f>JobBonus[[#This Row],[Variable Pay]]+JobBonus[[#This Row],[Crew Efficiency Bonus]]</f>
        <v>190</v>
      </c>
      <c r="V24" s="44" cm="1">
        <f t="array" ref="V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" s="44" t="b">
        <f>_xlfn.IFNA(EXACT(VLOOKUP(JobBonus[[#This Row],[Pay Type]],PayTypes[#All],4,FALSE),"Yes"),FALSE)</f>
        <v>0</v>
      </c>
      <c r="X24" s="44" cm="1">
        <f t="array" ref="X24">SUMPRODUCT((StandByRates[Position]=JobBonus[[#This Row],[Position]])*(JobBonus[[#This Row],[Area]]=StandByRates[Area])*(StandByRates[Hourly]*JobBonus[[#This Row],[Standby/ Ext 
Hrs]]))</f>
        <v>0</v>
      </c>
      <c r="Y24" s="44">
        <f>JobBonus[[#This Row],[Variable Pay]]+JobBonus[[#This Row],[Crew Efficiency Bonus]]+JobBonus[[#This Row],[OVPP]]+JobBonus[[#This Row],[StandBy/ Ext Amount]]</f>
        <v>190</v>
      </c>
      <c r="Z24" s="80" t="s">
        <v>399</v>
      </c>
      <c r="AA24" s="42"/>
      <c r="AB24" s="42"/>
      <c r="AC24"/>
      <c r="AD24"/>
      <c r="AE24"/>
      <c r="AF24"/>
    </row>
    <row r="25" spans="1:32" hidden="1" x14ac:dyDescent="0.25">
      <c r="A25" s="46" t="s">
        <v>410</v>
      </c>
      <c r="B25" s="80">
        <v>463425</v>
      </c>
      <c r="C25" s="15" t="s">
        <v>220</v>
      </c>
      <c r="D25" s="15" t="s">
        <v>89</v>
      </c>
      <c r="E25" s="15" t="s">
        <v>264</v>
      </c>
      <c r="F25" s="15"/>
      <c r="G25" s="16">
        <v>44201</v>
      </c>
      <c r="H25" s="16" t="s">
        <v>216</v>
      </c>
      <c r="I25" s="19" t="str">
        <f>IF(ISBLANK(JobBonus[[#This Row],[Employee Name]]),"",INDEX(Employees[Job Title],MATCH(JobBonus[[#This Row],[Employee Name]],Employees[Employee Name2],0)))</f>
        <v>2 Operator</v>
      </c>
      <c r="J25" s="19" t="str">
        <f>IF(ISBLANK(JobBonus[[#This Row],[Job Prov]]),"",IF(JobBonus[[#This Row],[Job Prov]]=INDEX(Employees[Province],MATCH(JobBonus[[#This Row],[Employee Name]],Employees[Employee Name2],0)),"No","Yes"))</f>
        <v>Yes</v>
      </c>
      <c r="K25" s="17" t="s">
        <v>115</v>
      </c>
      <c r="L25" s="19" t="s">
        <v>409</v>
      </c>
      <c r="M25" s="23">
        <v>10778.2</v>
      </c>
      <c r="N25" s="23"/>
      <c r="O25" s="15"/>
      <c r="P25" s="15"/>
      <c r="Q25" s="15"/>
      <c r="R25" s="15"/>
      <c r="S25" s="44" cm="1">
        <f t="array" ref="S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5" s="44" cm="1">
        <f t="array" ref="T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" s="44">
        <f>JobBonus[[#This Row],[Variable Pay]]+JobBonus[[#This Row],[Crew Efficiency Bonus]]</f>
        <v>235</v>
      </c>
      <c r="V25" s="44" cm="1">
        <f t="array" ref="V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" s="44" t="b">
        <f>_xlfn.IFNA(EXACT(VLOOKUP(JobBonus[[#This Row],[Pay Type]],PayTypes[#All],4,FALSE),"Yes"),FALSE)</f>
        <v>0</v>
      </c>
      <c r="X25" s="44" cm="1">
        <f t="array" ref="X25">SUMPRODUCT((StandByRates[Position]=JobBonus[[#This Row],[Position]])*(JobBonus[[#This Row],[Area]]=StandByRates[Area])*(StandByRates[Hourly]*JobBonus[[#This Row],[Standby/ Ext 
Hrs]]))</f>
        <v>0</v>
      </c>
      <c r="Y25" s="44">
        <f>JobBonus[[#This Row],[Variable Pay]]+JobBonus[[#This Row],[Crew Efficiency Bonus]]+JobBonus[[#This Row],[OVPP]]+JobBonus[[#This Row],[StandBy/ Ext Amount]]</f>
        <v>235</v>
      </c>
      <c r="Z25" s="80" t="s">
        <v>399</v>
      </c>
      <c r="AA25" s="42"/>
      <c r="AB25" s="42"/>
      <c r="AC25"/>
      <c r="AD25"/>
      <c r="AE25"/>
      <c r="AF25"/>
    </row>
    <row r="26" spans="1:32" hidden="1" x14ac:dyDescent="0.25">
      <c r="A26" s="46" t="s">
        <v>411</v>
      </c>
      <c r="B26" s="80">
        <v>463425</v>
      </c>
      <c r="C26" s="15" t="s">
        <v>220</v>
      </c>
      <c r="D26" s="15" t="s">
        <v>89</v>
      </c>
      <c r="E26" s="15" t="s">
        <v>264</v>
      </c>
      <c r="F26" s="15"/>
      <c r="G26" s="16">
        <v>44201</v>
      </c>
      <c r="H26" s="16" t="s">
        <v>216</v>
      </c>
      <c r="I26" s="19" t="str">
        <f>IF(ISBLANK(JobBonus[[#This Row],[Employee Name]]),"",INDEX(Employees[Job Title],MATCH(JobBonus[[#This Row],[Employee Name]],Employees[Employee Name2],0)))</f>
        <v>3 Supervisor</v>
      </c>
      <c r="J26" s="19" t="str">
        <f>IF(ISBLANK(JobBonus[[#This Row],[Job Prov]]),"",IF(JobBonus[[#This Row],[Job Prov]]=INDEX(Employees[Province],MATCH(JobBonus[[#This Row],[Employee Name]],Employees[Employee Name2],0)),"No","Yes"))</f>
        <v>Yes</v>
      </c>
      <c r="K26" s="17" t="s">
        <v>118</v>
      </c>
      <c r="L26" s="19" t="s">
        <v>409</v>
      </c>
      <c r="M26" s="23">
        <v>10778.2</v>
      </c>
      <c r="N26" s="23"/>
      <c r="O26" s="15"/>
      <c r="P26" s="15"/>
      <c r="Q26" s="15"/>
      <c r="R26" s="15"/>
      <c r="S26" s="44" cm="1">
        <f t="array" ref="S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6" s="44" cm="1">
        <f t="array" ref="T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" s="44">
        <f>JobBonus[[#This Row],[Variable Pay]]+JobBonus[[#This Row],[Crew Efficiency Bonus]]</f>
        <v>315</v>
      </c>
      <c r="V26" s="44" cm="1">
        <f t="array" ref="V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" s="44" t="b">
        <f>_xlfn.IFNA(EXACT(VLOOKUP(JobBonus[[#This Row],[Pay Type]],PayTypes[#All],4,FALSE),"Yes"),FALSE)</f>
        <v>0</v>
      </c>
      <c r="X26" s="44" cm="1">
        <f t="array" ref="X26">SUMPRODUCT((StandByRates[Position]=JobBonus[[#This Row],[Position]])*(JobBonus[[#This Row],[Area]]=StandByRates[Area])*(StandByRates[Hourly]*JobBonus[[#This Row],[Standby/ Ext 
Hrs]]))</f>
        <v>0</v>
      </c>
      <c r="Y26" s="44">
        <f>JobBonus[[#This Row],[Variable Pay]]+JobBonus[[#This Row],[Crew Efficiency Bonus]]+JobBonus[[#This Row],[OVPP]]+JobBonus[[#This Row],[StandBy/ Ext Amount]]</f>
        <v>315</v>
      </c>
      <c r="Z26" s="80" t="s">
        <v>399</v>
      </c>
      <c r="AA26" s="42"/>
      <c r="AB26" s="42"/>
      <c r="AC26"/>
      <c r="AD26"/>
      <c r="AE26"/>
      <c r="AF26"/>
    </row>
    <row r="27" spans="1:32" hidden="1" x14ac:dyDescent="0.25">
      <c r="A27" s="46" t="s">
        <v>408</v>
      </c>
      <c r="B27" s="80">
        <v>463424</v>
      </c>
      <c r="C27" s="15" t="s">
        <v>220</v>
      </c>
      <c r="D27" s="15" t="s">
        <v>89</v>
      </c>
      <c r="E27" s="15" t="s">
        <v>264</v>
      </c>
      <c r="F27" s="15"/>
      <c r="G27" s="16">
        <v>44200</v>
      </c>
      <c r="H27" s="16" t="s">
        <v>216</v>
      </c>
      <c r="I27" s="19" t="str">
        <f>IF(ISBLANK(JobBonus[[#This Row],[Employee Name]]),"",INDEX(Employees[Job Title],MATCH(JobBonus[[#This Row],[Employee Name]],Employees[Employee Name2],0)))</f>
        <v>2 Driver</v>
      </c>
      <c r="J27" s="19" t="str">
        <f>IF(ISBLANK(JobBonus[[#This Row],[Job Prov]]),"",IF(JobBonus[[#This Row],[Job Prov]]=INDEX(Employees[Province],MATCH(JobBonus[[#This Row],[Employee Name]],Employees[Employee Name2],0)),"No","Yes"))</f>
        <v>Yes</v>
      </c>
      <c r="K27" s="17" t="s">
        <v>270</v>
      </c>
      <c r="L27" s="19" t="s">
        <v>409</v>
      </c>
      <c r="M27" s="23">
        <v>11546.2</v>
      </c>
      <c r="N27" s="23"/>
      <c r="O27" s="15"/>
      <c r="P27" s="15"/>
      <c r="Q27" s="15"/>
      <c r="R27" s="15"/>
      <c r="S27" s="44" cm="1">
        <f t="array" ref="S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7" s="44" cm="1">
        <f t="array" ref="T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" s="44">
        <f>JobBonus[[#This Row],[Variable Pay]]+JobBonus[[#This Row],[Crew Efficiency Bonus]]</f>
        <v>190</v>
      </c>
      <c r="V27" s="44" cm="1">
        <f t="array" ref="V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" s="44" t="b">
        <f>_xlfn.IFNA(EXACT(VLOOKUP(JobBonus[[#This Row],[Pay Type]],PayTypes[#All],4,FALSE),"Yes"),FALSE)</f>
        <v>0</v>
      </c>
      <c r="X27" s="44" cm="1">
        <f t="array" ref="X27">SUMPRODUCT((StandByRates[Position]=JobBonus[[#This Row],[Position]])*(JobBonus[[#This Row],[Area]]=StandByRates[Area])*(StandByRates[Hourly]*JobBonus[[#This Row],[Standby/ Ext 
Hrs]]))</f>
        <v>0</v>
      </c>
      <c r="Y27" s="44">
        <f>JobBonus[[#This Row],[Variable Pay]]+JobBonus[[#This Row],[Crew Efficiency Bonus]]+JobBonus[[#This Row],[OVPP]]+JobBonus[[#This Row],[StandBy/ Ext Amount]]</f>
        <v>190</v>
      </c>
      <c r="Z27" s="80" t="s">
        <v>399</v>
      </c>
      <c r="AA27" s="42"/>
      <c r="AB27" s="42"/>
      <c r="AC27"/>
      <c r="AD27"/>
      <c r="AE27"/>
      <c r="AF27"/>
    </row>
    <row r="28" spans="1:32" hidden="1" x14ac:dyDescent="0.25">
      <c r="A28" s="46" t="s">
        <v>410</v>
      </c>
      <c r="B28" s="80">
        <v>463424</v>
      </c>
      <c r="C28" s="15" t="s">
        <v>220</v>
      </c>
      <c r="D28" s="15" t="s">
        <v>89</v>
      </c>
      <c r="E28" s="15" t="s">
        <v>264</v>
      </c>
      <c r="F28" s="15"/>
      <c r="G28" s="16">
        <v>44200</v>
      </c>
      <c r="H28" s="16" t="s">
        <v>216</v>
      </c>
      <c r="I28" s="19" t="str">
        <f>IF(ISBLANK(JobBonus[[#This Row],[Employee Name]]),"",INDEX(Employees[Job Title],MATCH(JobBonus[[#This Row],[Employee Name]],Employees[Employee Name2],0)))</f>
        <v>2 Operator</v>
      </c>
      <c r="J28" s="19" t="str">
        <f>IF(ISBLANK(JobBonus[[#This Row],[Job Prov]]),"",IF(JobBonus[[#This Row],[Job Prov]]=INDEX(Employees[Province],MATCH(JobBonus[[#This Row],[Employee Name]],Employees[Employee Name2],0)),"No","Yes"))</f>
        <v>Yes</v>
      </c>
      <c r="K28" s="17" t="s">
        <v>115</v>
      </c>
      <c r="L28" s="19" t="s">
        <v>409</v>
      </c>
      <c r="M28" s="23">
        <v>11546.2</v>
      </c>
      <c r="N28" s="23"/>
      <c r="O28" s="15"/>
      <c r="P28" s="15"/>
      <c r="Q28" s="15"/>
      <c r="R28" s="15"/>
      <c r="S28" s="44" cm="1">
        <f t="array" ref="S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8" s="44" cm="1">
        <f t="array" ref="T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" s="44">
        <f>JobBonus[[#This Row],[Variable Pay]]+JobBonus[[#This Row],[Crew Efficiency Bonus]]</f>
        <v>235</v>
      </c>
      <c r="V28" s="44" cm="1">
        <f t="array" ref="V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" s="44" t="b">
        <f>_xlfn.IFNA(EXACT(VLOOKUP(JobBonus[[#This Row],[Pay Type]],PayTypes[#All],4,FALSE),"Yes"),FALSE)</f>
        <v>0</v>
      </c>
      <c r="X28" s="44" cm="1">
        <f t="array" ref="X28">SUMPRODUCT((StandByRates[Position]=JobBonus[[#This Row],[Position]])*(JobBonus[[#This Row],[Area]]=StandByRates[Area])*(StandByRates[Hourly]*JobBonus[[#This Row],[Standby/ Ext 
Hrs]]))</f>
        <v>0</v>
      </c>
      <c r="Y28" s="44">
        <f>JobBonus[[#This Row],[Variable Pay]]+JobBonus[[#This Row],[Crew Efficiency Bonus]]+JobBonus[[#This Row],[OVPP]]+JobBonus[[#This Row],[StandBy/ Ext Amount]]</f>
        <v>235</v>
      </c>
      <c r="Z28" s="80" t="s">
        <v>399</v>
      </c>
      <c r="AA28" s="42"/>
      <c r="AB28" s="42"/>
      <c r="AC28"/>
      <c r="AD28"/>
      <c r="AE28"/>
      <c r="AF28"/>
    </row>
    <row r="29" spans="1:32" hidden="1" x14ac:dyDescent="0.25">
      <c r="A29" s="46" t="s">
        <v>411</v>
      </c>
      <c r="B29" s="80">
        <v>463424</v>
      </c>
      <c r="C29" s="15" t="s">
        <v>220</v>
      </c>
      <c r="D29" s="15" t="s">
        <v>89</v>
      </c>
      <c r="E29" s="15" t="s">
        <v>264</v>
      </c>
      <c r="F29" s="15"/>
      <c r="G29" s="16">
        <v>44200</v>
      </c>
      <c r="H29" s="16" t="s">
        <v>216</v>
      </c>
      <c r="I29" s="19" t="str">
        <f>IF(ISBLANK(JobBonus[[#This Row],[Employee Name]]),"",INDEX(Employees[Job Title],MATCH(JobBonus[[#This Row],[Employee Name]],Employees[Employee Name2],0)))</f>
        <v>3 Supervisor</v>
      </c>
      <c r="J29" s="19" t="str">
        <f>IF(ISBLANK(JobBonus[[#This Row],[Job Prov]]),"",IF(JobBonus[[#This Row],[Job Prov]]=INDEX(Employees[Province],MATCH(JobBonus[[#This Row],[Employee Name]],Employees[Employee Name2],0)),"No","Yes"))</f>
        <v>Yes</v>
      </c>
      <c r="K29" s="17" t="s">
        <v>118</v>
      </c>
      <c r="L29" s="19" t="s">
        <v>409</v>
      </c>
      <c r="M29" s="23">
        <v>11546.2</v>
      </c>
      <c r="N29" s="23"/>
      <c r="O29" s="15"/>
      <c r="P29" s="15"/>
      <c r="Q29" s="15"/>
      <c r="R29" s="15"/>
      <c r="S29" s="44" cm="1">
        <f t="array" ref="S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9" s="44" cm="1">
        <f t="array" ref="T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" s="44">
        <f>JobBonus[[#This Row],[Variable Pay]]+JobBonus[[#This Row],[Crew Efficiency Bonus]]</f>
        <v>315</v>
      </c>
      <c r="V29" s="44" cm="1">
        <f t="array" ref="V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" s="44" t="b">
        <f>_xlfn.IFNA(EXACT(VLOOKUP(JobBonus[[#This Row],[Pay Type]],PayTypes[#All],4,FALSE),"Yes"),FALSE)</f>
        <v>0</v>
      </c>
      <c r="X29" s="44" cm="1">
        <f t="array" ref="X29">SUMPRODUCT((StandByRates[Position]=JobBonus[[#This Row],[Position]])*(JobBonus[[#This Row],[Area]]=StandByRates[Area])*(StandByRates[Hourly]*JobBonus[[#This Row],[Standby/ Ext 
Hrs]]))</f>
        <v>0</v>
      </c>
      <c r="Y29" s="44">
        <f>JobBonus[[#This Row],[Variable Pay]]+JobBonus[[#This Row],[Crew Efficiency Bonus]]+JobBonus[[#This Row],[OVPP]]+JobBonus[[#This Row],[StandBy/ Ext Amount]]</f>
        <v>315</v>
      </c>
      <c r="Z29" s="80" t="s">
        <v>399</v>
      </c>
      <c r="AA29" s="42"/>
      <c r="AB29" s="42"/>
      <c r="AC29"/>
      <c r="AD29"/>
      <c r="AE29"/>
      <c r="AF29"/>
    </row>
    <row r="30" spans="1:32" hidden="1" x14ac:dyDescent="0.25">
      <c r="A30" s="46" t="s">
        <v>408</v>
      </c>
      <c r="B30" s="80">
        <v>464152</v>
      </c>
      <c r="C30" s="15" t="s">
        <v>220</v>
      </c>
      <c r="D30" s="15" t="s">
        <v>89</v>
      </c>
      <c r="E30" s="15" t="s">
        <v>264</v>
      </c>
      <c r="F30" s="15"/>
      <c r="G30" s="16">
        <v>44202</v>
      </c>
      <c r="H30" s="16" t="s">
        <v>216</v>
      </c>
      <c r="I30" s="19" t="str">
        <f>IF(ISBLANK(JobBonus[[#This Row],[Employee Name]]),"",INDEX(Employees[Job Title],MATCH(JobBonus[[#This Row],[Employee Name]],Employees[Employee Name2],0)))</f>
        <v>2 Driver</v>
      </c>
      <c r="J30" s="19" t="str">
        <f>IF(ISBLANK(JobBonus[[#This Row],[Job Prov]]),"",IF(JobBonus[[#This Row],[Job Prov]]=INDEX(Employees[Province],MATCH(JobBonus[[#This Row],[Employee Name]],Employees[Employee Name2],0)),"No","Yes"))</f>
        <v>Yes</v>
      </c>
      <c r="K30" s="17" t="s">
        <v>270</v>
      </c>
      <c r="L30" s="19" t="s">
        <v>409</v>
      </c>
      <c r="M30" s="23">
        <v>10497.2</v>
      </c>
      <c r="N30" s="23"/>
      <c r="O30" s="15"/>
      <c r="P30" s="15"/>
      <c r="Q30" s="15"/>
      <c r="R30" s="15"/>
      <c r="S30" s="44" cm="1">
        <f t="array" ref="S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30" s="44" cm="1">
        <f t="array" ref="T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" s="44">
        <f>JobBonus[[#This Row],[Variable Pay]]+JobBonus[[#This Row],[Crew Efficiency Bonus]]</f>
        <v>190</v>
      </c>
      <c r="V30" s="44" cm="1">
        <f t="array" ref="V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" s="44" t="b">
        <f>_xlfn.IFNA(EXACT(VLOOKUP(JobBonus[[#This Row],[Pay Type]],PayTypes[#All],4,FALSE),"Yes"),FALSE)</f>
        <v>0</v>
      </c>
      <c r="X30" s="44" cm="1">
        <f t="array" ref="X30">SUMPRODUCT((StandByRates[Position]=JobBonus[[#This Row],[Position]])*(JobBonus[[#This Row],[Area]]=StandByRates[Area])*(StandByRates[Hourly]*JobBonus[[#This Row],[Standby/ Ext 
Hrs]]))</f>
        <v>0</v>
      </c>
      <c r="Y30" s="44">
        <f>JobBonus[[#This Row],[Variable Pay]]+JobBonus[[#This Row],[Crew Efficiency Bonus]]+JobBonus[[#This Row],[OVPP]]+JobBonus[[#This Row],[StandBy/ Ext Amount]]</f>
        <v>190</v>
      </c>
      <c r="Z30" s="80" t="s">
        <v>399</v>
      </c>
      <c r="AA30" s="42"/>
      <c r="AB30" s="42"/>
      <c r="AC30"/>
      <c r="AD30"/>
      <c r="AE30"/>
      <c r="AF30"/>
    </row>
    <row r="31" spans="1:32" hidden="1" x14ac:dyDescent="0.25">
      <c r="A31" s="46" t="s">
        <v>410</v>
      </c>
      <c r="B31" s="80">
        <v>464152</v>
      </c>
      <c r="C31" s="15" t="s">
        <v>220</v>
      </c>
      <c r="D31" s="15" t="s">
        <v>89</v>
      </c>
      <c r="E31" s="15" t="s">
        <v>264</v>
      </c>
      <c r="F31" s="15"/>
      <c r="G31" s="16">
        <v>44202</v>
      </c>
      <c r="H31" s="16" t="s">
        <v>216</v>
      </c>
      <c r="I31" s="19" t="str">
        <f>IF(ISBLANK(JobBonus[[#This Row],[Employee Name]]),"",INDEX(Employees[Job Title],MATCH(JobBonus[[#This Row],[Employee Name]],Employees[Employee Name2],0)))</f>
        <v>2 Operator</v>
      </c>
      <c r="J31" s="19" t="str">
        <f>IF(ISBLANK(JobBonus[[#This Row],[Job Prov]]),"",IF(JobBonus[[#This Row],[Job Prov]]=INDEX(Employees[Province],MATCH(JobBonus[[#This Row],[Employee Name]],Employees[Employee Name2],0)),"No","Yes"))</f>
        <v>Yes</v>
      </c>
      <c r="K31" s="17" t="s">
        <v>115</v>
      </c>
      <c r="L31" s="19" t="s">
        <v>409</v>
      </c>
      <c r="M31" s="23">
        <v>10497.2</v>
      </c>
      <c r="N31" s="23"/>
      <c r="O31" s="15"/>
      <c r="P31" s="15"/>
      <c r="Q31" s="15"/>
      <c r="R31" s="15"/>
      <c r="S31" s="44" cm="1">
        <f t="array" ref="S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31" s="44" cm="1">
        <f t="array" ref="T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" s="44">
        <f>JobBonus[[#This Row],[Variable Pay]]+JobBonus[[#This Row],[Crew Efficiency Bonus]]</f>
        <v>235</v>
      </c>
      <c r="V31" s="44" cm="1">
        <f t="array" ref="V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" s="44" t="b">
        <f>_xlfn.IFNA(EXACT(VLOOKUP(JobBonus[[#This Row],[Pay Type]],PayTypes[#All],4,FALSE),"Yes"),FALSE)</f>
        <v>0</v>
      </c>
      <c r="X31" s="44" cm="1">
        <f t="array" ref="X31">SUMPRODUCT((StandByRates[Position]=JobBonus[[#This Row],[Position]])*(JobBonus[[#This Row],[Area]]=StandByRates[Area])*(StandByRates[Hourly]*JobBonus[[#This Row],[Standby/ Ext 
Hrs]]))</f>
        <v>0</v>
      </c>
      <c r="Y31" s="44">
        <f>JobBonus[[#This Row],[Variable Pay]]+JobBonus[[#This Row],[Crew Efficiency Bonus]]+JobBonus[[#This Row],[OVPP]]+JobBonus[[#This Row],[StandBy/ Ext Amount]]</f>
        <v>235</v>
      </c>
      <c r="Z31" s="80" t="s">
        <v>399</v>
      </c>
      <c r="AA31" s="42"/>
      <c r="AB31" s="42"/>
      <c r="AC31"/>
      <c r="AD31"/>
      <c r="AE31"/>
      <c r="AF31"/>
    </row>
    <row r="32" spans="1:32" hidden="1" x14ac:dyDescent="0.25">
      <c r="A32" s="46" t="s">
        <v>411</v>
      </c>
      <c r="B32" s="80">
        <v>464152</v>
      </c>
      <c r="C32" s="15" t="s">
        <v>220</v>
      </c>
      <c r="D32" s="15" t="s">
        <v>89</v>
      </c>
      <c r="E32" s="15" t="s">
        <v>264</v>
      </c>
      <c r="F32" s="15"/>
      <c r="G32" s="16">
        <v>44202</v>
      </c>
      <c r="H32" s="16" t="s">
        <v>216</v>
      </c>
      <c r="I32" s="19" t="str">
        <f>IF(ISBLANK(JobBonus[[#This Row],[Employee Name]]),"",INDEX(Employees[Job Title],MATCH(JobBonus[[#This Row],[Employee Name]],Employees[Employee Name2],0)))</f>
        <v>3 Supervisor</v>
      </c>
      <c r="J32" s="19" t="str">
        <f>IF(ISBLANK(JobBonus[[#This Row],[Job Prov]]),"",IF(JobBonus[[#This Row],[Job Prov]]=INDEX(Employees[Province],MATCH(JobBonus[[#This Row],[Employee Name]],Employees[Employee Name2],0)),"No","Yes"))</f>
        <v>Yes</v>
      </c>
      <c r="K32" s="17" t="s">
        <v>118</v>
      </c>
      <c r="L32" s="19" t="s">
        <v>409</v>
      </c>
      <c r="M32" s="23">
        <v>10497.2</v>
      </c>
      <c r="N32" s="23"/>
      <c r="O32" s="15"/>
      <c r="P32" s="15"/>
      <c r="Q32" s="15"/>
      <c r="R32" s="15"/>
      <c r="S32" s="44" cm="1">
        <f t="array" ref="S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32" s="44" cm="1">
        <f t="array" ref="T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" s="44">
        <f>JobBonus[[#This Row],[Variable Pay]]+JobBonus[[#This Row],[Crew Efficiency Bonus]]</f>
        <v>315</v>
      </c>
      <c r="V32" s="44" cm="1">
        <f t="array" ref="V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" s="44" t="b">
        <f>_xlfn.IFNA(EXACT(VLOOKUP(JobBonus[[#This Row],[Pay Type]],PayTypes[#All],4,FALSE),"Yes"),FALSE)</f>
        <v>0</v>
      </c>
      <c r="X32" s="44" cm="1">
        <f t="array" ref="X32">SUMPRODUCT((StandByRates[Position]=JobBonus[[#This Row],[Position]])*(JobBonus[[#This Row],[Area]]=StandByRates[Area])*(StandByRates[Hourly]*JobBonus[[#This Row],[Standby/ Ext 
Hrs]]))</f>
        <v>0</v>
      </c>
      <c r="Y32" s="44">
        <f>JobBonus[[#This Row],[Variable Pay]]+JobBonus[[#This Row],[Crew Efficiency Bonus]]+JobBonus[[#This Row],[OVPP]]+JobBonus[[#This Row],[StandBy/ Ext Amount]]</f>
        <v>315</v>
      </c>
      <c r="Z32" s="80" t="s">
        <v>399</v>
      </c>
      <c r="AA32" s="42"/>
      <c r="AB32" s="42"/>
      <c r="AC32"/>
      <c r="AD32"/>
      <c r="AE32"/>
      <c r="AF32"/>
    </row>
    <row r="33" spans="1:32" hidden="1" x14ac:dyDescent="0.25">
      <c r="A33" s="46" t="s">
        <v>397</v>
      </c>
      <c r="B33" s="80">
        <v>463822</v>
      </c>
      <c r="C33" s="15" t="s">
        <v>220</v>
      </c>
      <c r="D33" s="15" t="s">
        <v>89</v>
      </c>
      <c r="E33" s="15" t="s">
        <v>264</v>
      </c>
      <c r="F33" s="15"/>
      <c r="G33" s="16">
        <v>44201</v>
      </c>
      <c r="H33" s="16" t="s">
        <v>216</v>
      </c>
      <c r="I33" s="19" t="str">
        <f>IF(ISBLANK(JobBonus[[#This Row],[Employee Name]]),"",INDEX(Employees[Job Title],MATCH(JobBonus[[#This Row],[Employee Name]],Employees[Employee Name2],0)))</f>
        <v>2 Operator</v>
      </c>
      <c r="J33" s="19" t="str">
        <f>IF(ISBLANK(JobBonus[[#This Row],[Job Prov]]),"",IF(JobBonus[[#This Row],[Job Prov]]=INDEX(Employees[Province],MATCH(JobBonus[[#This Row],[Employee Name]],Employees[Employee Name2],0)),"No","Yes"))</f>
        <v>Yes</v>
      </c>
      <c r="K33" s="17" t="s">
        <v>115</v>
      </c>
      <c r="L33" s="19" t="s">
        <v>409</v>
      </c>
      <c r="M33" s="23">
        <v>40285.4</v>
      </c>
      <c r="N33" s="23"/>
      <c r="O33" s="15"/>
      <c r="P33" s="15"/>
      <c r="Q33" s="15"/>
      <c r="R33" s="15"/>
      <c r="S33" s="44" cm="1">
        <f t="array" ref="S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268.47000000000003</v>
      </c>
      <c r="T33" s="44" cm="1">
        <f t="array" ref="T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" s="44">
        <f>JobBonus[[#This Row],[Variable Pay]]+JobBonus[[#This Row],[Crew Efficiency Bonus]]</f>
        <v>268.47000000000003</v>
      </c>
      <c r="V33" s="44" cm="1">
        <f t="array" ref="V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" s="44" t="b">
        <f>_xlfn.IFNA(EXACT(VLOOKUP(JobBonus[[#This Row],[Pay Type]],PayTypes[#All],4,FALSE),"Yes"),FALSE)</f>
        <v>0</v>
      </c>
      <c r="X33" s="44" cm="1">
        <f t="array" ref="X33">SUMPRODUCT((StandByRates[Position]=JobBonus[[#This Row],[Position]])*(JobBonus[[#This Row],[Area]]=StandByRates[Area])*(StandByRates[Hourly]*JobBonus[[#This Row],[Standby/ Ext 
Hrs]]))</f>
        <v>0</v>
      </c>
      <c r="Y33" s="44">
        <f>JobBonus[[#This Row],[Variable Pay]]+JobBonus[[#This Row],[Crew Efficiency Bonus]]+JobBonus[[#This Row],[OVPP]]+JobBonus[[#This Row],[StandBy/ Ext Amount]]</f>
        <v>268.47000000000003</v>
      </c>
      <c r="Z33" s="80" t="s">
        <v>399</v>
      </c>
      <c r="AA33" s="42"/>
      <c r="AB33" s="42"/>
      <c r="AC33"/>
      <c r="AD33"/>
      <c r="AE33"/>
      <c r="AF33"/>
    </row>
    <row r="34" spans="1:32" hidden="1" x14ac:dyDescent="0.25">
      <c r="A34" s="46" t="s">
        <v>400</v>
      </c>
      <c r="B34" s="80">
        <v>463822</v>
      </c>
      <c r="C34" s="15" t="s">
        <v>220</v>
      </c>
      <c r="D34" s="15" t="s">
        <v>89</v>
      </c>
      <c r="E34" s="15" t="s">
        <v>264</v>
      </c>
      <c r="F34" s="15"/>
      <c r="G34" s="16">
        <v>44201</v>
      </c>
      <c r="H34" s="16" t="s">
        <v>216</v>
      </c>
      <c r="I34" s="19" t="str">
        <f>IF(ISBLANK(JobBonus[[#This Row],[Employee Name]]),"",INDEX(Employees[Job Title],MATCH(JobBonus[[#This Row],[Employee Name]],Employees[Employee Name2],0)))</f>
        <v>3 Supervisor</v>
      </c>
      <c r="J34" s="19" t="str">
        <f>IF(ISBLANK(JobBonus[[#This Row],[Job Prov]]),"",IF(JobBonus[[#This Row],[Job Prov]]=INDEX(Employees[Province],MATCH(JobBonus[[#This Row],[Employee Name]],Employees[Employee Name2],0)),"No","Yes"))</f>
        <v>Yes</v>
      </c>
      <c r="K34" s="17" t="s">
        <v>121</v>
      </c>
      <c r="L34" s="19" t="s">
        <v>409</v>
      </c>
      <c r="M34" s="23">
        <v>40285.4</v>
      </c>
      <c r="N34" s="23"/>
      <c r="O34" s="15"/>
      <c r="P34" s="15"/>
      <c r="Q34" s="15"/>
      <c r="R34" s="15"/>
      <c r="S34" s="44" cm="1">
        <f t="array" ref="S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283.54000000000002</v>
      </c>
      <c r="T34" s="44" cm="1">
        <f t="array" ref="T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" s="44">
        <f>JobBonus[[#This Row],[Variable Pay]]+JobBonus[[#This Row],[Crew Efficiency Bonus]]</f>
        <v>283.54000000000002</v>
      </c>
      <c r="V34" s="44" cm="1">
        <f t="array" ref="V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" s="44" t="b">
        <f>_xlfn.IFNA(EXACT(VLOOKUP(JobBonus[[#This Row],[Pay Type]],PayTypes[#All],4,FALSE),"Yes"),FALSE)</f>
        <v>0</v>
      </c>
      <c r="X34" s="44" cm="1">
        <f t="array" ref="X34">SUMPRODUCT((StandByRates[Position]=JobBonus[[#This Row],[Position]])*(JobBonus[[#This Row],[Area]]=StandByRates[Area])*(StandByRates[Hourly]*JobBonus[[#This Row],[Standby/ Ext 
Hrs]]))</f>
        <v>0</v>
      </c>
      <c r="Y34" s="44">
        <f>JobBonus[[#This Row],[Variable Pay]]+JobBonus[[#This Row],[Crew Efficiency Bonus]]+JobBonus[[#This Row],[OVPP]]+JobBonus[[#This Row],[StandBy/ Ext Amount]]</f>
        <v>283.54000000000002</v>
      </c>
      <c r="Z34" s="80" t="s">
        <v>399</v>
      </c>
      <c r="AA34" s="42"/>
      <c r="AB34" s="42"/>
      <c r="AC34"/>
      <c r="AD34"/>
      <c r="AE34"/>
      <c r="AF34"/>
    </row>
    <row r="35" spans="1:32" hidden="1" x14ac:dyDescent="0.25">
      <c r="A35" s="46" t="s">
        <v>402</v>
      </c>
      <c r="B35" s="80">
        <v>463823</v>
      </c>
      <c r="C35" s="15" t="s">
        <v>220</v>
      </c>
      <c r="D35" s="15" t="s">
        <v>89</v>
      </c>
      <c r="E35" s="15" t="s">
        <v>264</v>
      </c>
      <c r="F35" s="15"/>
      <c r="G35" s="16">
        <v>44202</v>
      </c>
      <c r="H35" s="16" t="s">
        <v>216</v>
      </c>
      <c r="I35" s="19" t="str">
        <f>IF(ISBLANK(JobBonus[[#This Row],[Employee Name]]),"",INDEX(Employees[Job Title],MATCH(JobBonus[[#This Row],[Employee Name]],Employees[Employee Name2],0)))</f>
        <v>3 Operator</v>
      </c>
      <c r="J35" s="19" t="str">
        <f>IF(ISBLANK(JobBonus[[#This Row],[Job Prov]]),"",IF(JobBonus[[#This Row],[Job Prov]]=INDEX(Employees[Province],MATCH(JobBonus[[#This Row],[Employee Name]],Employees[Employee Name2],0)),"No","Yes"))</f>
        <v>Yes</v>
      </c>
      <c r="K35" s="17" t="s">
        <v>121</v>
      </c>
      <c r="L35" s="19" t="s">
        <v>409</v>
      </c>
      <c r="M35" s="23">
        <v>27334</v>
      </c>
      <c r="N35" s="23"/>
      <c r="O35" s="15"/>
      <c r="P35" s="15"/>
      <c r="Q35" s="15"/>
      <c r="R35" s="15"/>
      <c r="S35" s="44" cm="1">
        <f t="array" ref="S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258.93</v>
      </c>
      <c r="T35" s="44" cm="1">
        <f t="array" ref="T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" s="44">
        <f>JobBonus[[#This Row],[Variable Pay]]+JobBonus[[#This Row],[Crew Efficiency Bonus]]</f>
        <v>258.93</v>
      </c>
      <c r="V35" s="44" cm="1">
        <f t="array" ref="V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" s="44" t="b">
        <f>_xlfn.IFNA(EXACT(VLOOKUP(JobBonus[[#This Row],[Pay Type]],PayTypes[#All],4,FALSE),"Yes"),FALSE)</f>
        <v>0</v>
      </c>
      <c r="X35" s="44" cm="1">
        <f t="array" ref="X35">SUMPRODUCT((StandByRates[Position]=JobBonus[[#This Row],[Position]])*(JobBonus[[#This Row],[Area]]=StandByRates[Area])*(StandByRates[Hourly]*JobBonus[[#This Row],[Standby/ Ext 
Hrs]]))</f>
        <v>0</v>
      </c>
      <c r="Y35" s="44">
        <f>JobBonus[[#This Row],[Variable Pay]]+JobBonus[[#This Row],[Crew Efficiency Bonus]]+JobBonus[[#This Row],[OVPP]]+JobBonus[[#This Row],[StandBy/ Ext Amount]]</f>
        <v>258.93</v>
      </c>
      <c r="Z35" s="80" t="s">
        <v>399</v>
      </c>
      <c r="AA35" s="42"/>
      <c r="AB35" s="42"/>
      <c r="AC35"/>
      <c r="AD35"/>
      <c r="AE35"/>
      <c r="AF35"/>
    </row>
    <row r="36" spans="1:32" hidden="1" x14ac:dyDescent="0.25">
      <c r="A36" s="46" t="s">
        <v>403</v>
      </c>
      <c r="B36" s="80">
        <v>463823</v>
      </c>
      <c r="C36" s="15" t="s">
        <v>220</v>
      </c>
      <c r="D36" s="15" t="s">
        <v>89</v>
      </c>
      <c r="E36" s="15" t="s">
        <v>264</v>
      </c>
      <c r="F36" s="15"/>
      <c r="G36" s="16">
        <v>44202</v>
      </c>
      <c r="H36" s="16" t="s">
        <v>216</v>
      </c>
      <c r="I36" s="19" t="str">
        <f>IF(ISBLANK(JobBonus[[#This Row],[Employee Name]]),"",INDEX(Employees[Job Title],MATCH(JobBonus[[#This Row],[Employee Name]],Employees[Employee Name2],0)))</f>
        <v>3 Supervisor</v>
      </c>
      <c r="J36" s="19" t="str">
        <f>IF(ISBLANK(JobBonus[[#This Row],[Job Prov]]),"",IF(JobBonus[[#This Row],[Job Prov]]=INDEX(Employees[Province],MATCH(JobBonus[[#This Row],[Employee Name]],Employees[Employee Name2],0)),"No","Yes"))</f>
        <v>Yes</v>
      </c>
      <c r="K36" s="17" t="s">
        <v>121</v>
      </c>
      <c r="L36" s="19" t="s">
        <v>409</v>
      </c>
      <c r="M36" s="23">
        <v>27334</v>
      </c>
      <c r="N36" s="23"/>
      <c r="O36" s="15"/>
      <c r="P36" s="15"/>
      <c r="Q36" s="15"/>
      <c r="R36" s="15"/>
      <c r="S36" s="44" cm="1">
        <f t="array" ref="S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258.93</v>
      </c>
      <c r="T36" s="44" cm="1">
        <f t="array" ref="T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" s="44">
        <f>JobBonus[[#This Row],[Variable Pay]]+JobBonus[[#This Row],[Crew Efficiency Bonus]]</f>
        <v>258.93</v>
      </c>
      <c r="V36" s="44" cm="1">
        <f t="array" ref="V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" s="44" t="b">
        <f>_xlfn.IFNA(EXACT(VLOOKUP(JobBonus[[#This Row],[Pay Type]],PayTypes[#All],4,FALSE),"Yes"),FALSE)</f>
        <v>0</v>
      </c>
      <c r="X36" s="44" cm="1">
        <f t="array" ref="X36">SUMPRODUCT((StandByRates[Position]=JobBonus[[#This Row],[Position]])*(JobBonus[[#This Row],[Area]]=StandByRates[Area])*(StandByRates[Hourly]*JobBonus[[#This Row],[Standby/ Ext 
Hrs]]))</f>
        <v>0</v>
      </c>
      <c r="Y36" s="44">
        <f>JobBonus[[#This Row],[Variable Pay]]+JobBonus[[#This Row],[Crew Efficiency Bonus]]+JobBonus[[#This Row],[OVPP]]+JobBonus[[#This Row],[StandBy/ Ext Amount]]</f>
        <v>258.93</v>
      </c>
      <c r="Z36" s="80" t="s">
        <v>399</v>
      </c>
      <c r="AA36" s="42"/>
      <c r="AB36" s="42"/>
      <c r="AC36"/>
      <c r="AD36"/>
      <c r="AE36"/>
      <c r="AF36"/>
    </row>
    <row r="37" spans="1:32" hidden="1" x14ac:dyDescent="0.25">
      <c r="A37" s="46" t="s">
        <v>402</v>
      </c>
      <c r="B37" s="80">
        <v>463824</v>
      </c>
      <c r="C37" s="15" t="s">
        <v>220</v>
      </c>
      <c r="D37" s="15" t="s">
        <v>89</v>
      </c>
      <c r="E37" s="15" t="s">
        <v>264</v>
      </c>
      <c r="F37" s="15"/>
      <c r="G37" s="16">
        <v>44203</v>
      </c>
      <c r="H37" s="16" t="s">
        <v>216</v>
      </c>
      <c r="I37" s="19" t="str">
        <f>IF(ISBLANK(JobBonus[[#This Row],[Employee Name]]),"",INDEX(Employees[Job Title],MATCH(JobBonus[[#This Row],[Employee Name]],Employees[Employee Name2],0)))</f>
        <v>3 Operator</v>
      </c>
      <c r="J37" s="19" t="str">
        <f>IF(ISBLANK(JobBonus[[#This Row],[Job Prov]]),"",IF(JobBonus[[#This Row],[Job Prov]]=INDEX(Employees[Province],MATCH(JobBonus[[#This Row],[Employee Name]],Employees[Employee Name2],0)),"No","Yes"))</f>
        <v>Yes</v>
      </c>
      <c r="K37" s="17" t="s">
        <v>121</v>
      </c>
      <c r="L37" s="19" t="s">
        <v>409</v>
      </c>
      <c r="M37" s="23">
        <v>24457.200000000001</v>
      </c>
      <c r="N37" s="23"/>
      <c r="O37" s="15"/>
      <c r="P37" s="15"/>
      <c r="Q37" s="15"/>
      <c r="R37" s="15"/>
      <c r="S37" s="44" cm="1">
        <f t="array" ref="S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253.47</v>
      </c>
      <c r="T37" s="44" cm="1">
        <f t="array" ref="T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" s="44">
        <f>JobBonus[[#This Row],[Variable Pay]]+JobBonus[[#This Row],[Crew Efficiency Bonus]]</f>
        <v>253.47</v>
      </c>
      <c r="V37" s="44" cm="1">
        <f t="array" ref="V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" s="44" t="b">
        <f>_xlfn.IFNA(EXACT(VLOOKUP(JobBonus[[#This Row],[Pay Type]],PayTypes[#All],4,FALSE),"Yes"),FALSE)</f>
        <v>0</v>
      </c>
      <c r="X37" s="44" cm="1">
        <f t="array" ref="X37">SUMPRODUCT((StandByRates[Position]=JobBonus[[#This Row],[Position]])*(JobBonus[[#This Row],[Area]]=StandByRates[Area])*(StandByRates[Hourly]*JobBonus[[#This Row],[Standby/ Ext 
Hrs]]))</f>
        <v>0</v>
      </c>
      <c r="Y37" s="44">
        <f>JobBonus[[#This Row],[Variable Pay]]+JobBonus[[#This Row],[Crew Efficiency Bonus]]+JobBonus[[#This Row],[OVPP]]+JobBonus[[#This Row],[StandBy/ Ext Amount]]</f>
        <v>253.47</v>
      </c>
      <c r="Z37" s="80" t="s">
        <v>399</v>
      </c>
      <c r="AA37" s="42"/>
      <c r="AB37" s="42"/>
      <c r="AC37"/>
      <c r="AD37"/>
      <c r="AE37"/>
      <c r="AF37"/>
    </row>
    <row r="38" spans="1:32" hidden="1" x14ac:dyDescent="0.25">
      <c r="A38" s="46" t="s">
        <v>403</v>
      </c>
      <c r="B38" s="80">
        <v>463824</v>
      </c>
      <c r="C38" s="15" t="s">
        <v>220</v>
      </c>
      <c r="D38" s="15" t="s">
        <v>89</v>
      </c>
      <c r="E38" s="15" t="s">
        <v>264</v>
      </c>
      <c r="F38" s="15"/>
      <c r="G38" s="16">
        <v>44203</v>
      </c>
      <c r="H38" s="16" t="s">
        <v>216</v>
      </c>
      <c r="I38" s="19" t="str">
        <f>IF(ISBLANK(JobBonus[[#This Row],[Employee Name]]),"",INDEX(Employees[Job Title],MATCH(JobBonus[[#This Row],[Employee Name]],Employees[Employee Name2],0)))</f>
        <v>3 Supervisor</v>
      </c>
      <c r="J38" s="19" t="str">
        <f>IF(ISBLANK(JobBonus[[#This Row],[Job Prov]]),"",IF(JobBonus[[#This Row],[Job Prov]]=INDEX(Employees[Province],MATCH(JobBonus[[#This Row],[Employee Name]],Employees[Employee Name2],0)),"No","Yes"))</f>
        <v>Yes</v>
      </c>
      <c r="K38" s="17" t="s">
        <v>118</v>
      </c>
      <c r="L38" s="19" t="s">
        <v>409</v>
      </c>
      <c r="M38" s="23">
        <v>24457.200000000001</v>
      </c>
      <c r="N38" s="23"/>
      <c r="O38" s="15"/>
      <c r="P38" s="15"/>
      <c r="Q38" s="15"/>
      <c r="R38" s="15"/>
      <c r="S38" s="44" cm="1">
        <f t="array" ref="S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329.04</v>
      </c>
      <c r="T38" s="44" cm="1">
        <f t="array" ref="T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" s="44">
        <f>JobBonus[[#This Row],[Variable Pay]]+JobBonus[[#This Row],[Crew Efficiency Bonus]]</f>
        <v>329.04</v>
      </c>
      <c r="V38" s="44" cm="1">
        <f t="array" ref="V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" s="44" t="b">
        <f>_xlfn.IFNA(EXACT(VLOOKUP(JobBonus[[#This Row],[Pay Type]],PayTypes[#All],4,FALSE),"Yes"),FALSE)</f>
        <v>0</v>
      </c>
      <c r="X38" s="44" cm="1">
        <f t="array" ref="X38">SUMPRODUCT((StandByRates[Position]=JobBonus[[#This Row],[Position]])*(JobBonus[[#This Row],[Area]]=StandByRates[Area])*(StandByRates[Hourly]*JobBonus[[#This Row],[Standby/ Ext 
Hrs]]))</f>
        <v>0</v>
      </c>
      <c r="Y38" s="44">
        <f>JobBonus[[#This Row],[Variable Pay]]+JobBonus[[#This Row],[Crew Efficiency Bonus]]+JobBonus[[#This Row],[OVPP]]+JobBonus[[#This Row],[StandBy/ Ext Amount]]</f>
        <v>329.04</v>
      </c>
      <c r="Z38" s="80" t="s">
        <v>399</v>
      </c>
      <c r="AA38" s="42"/>
      <c r="AB38" s="42"/>
      <c r="AC38"/>
      <c r="AD38"/>
      <c r="AE38"/>
      <c r="AF38"/>
    </row>
    <row r="39" spans="1:32" hidden="1" x14ac:dyDescent="0.25">
      <c r="A39" s="18" t="s">
        <v>408</v>
      </c>
      <c r="B39" s="80">
        <v>464153</v>
      </c>
      <c r="C39" s="15" t="s">
        <v>220</v>
      </c>
      <c r="D39" s="15" t="s">
        <v>89</v>
      </c>
      <c r="E39" s="15" t="s">
        <v>264</v>
      </c>
      <c r="F39" s="15"/>
      <c r="G39" s="16">
        <v>44203</v>
      </c>
      <c r="H39" s="16" t="s">
        <v>216</v>
      </c>
      <c r="I39" s="19" t="str">
        <f>IF(ISBLANK(JobBonus[[#This Row],[Employee Name]]),"",INDEX(Employees[Job Title],MATCH(JobBonus[[#This Row],[Employee Name]],Employees[Employee Name2],0)))</f>
        <v>2 Driver</v>
      </c>
      <c r="J39" s="19" t="str">
        <f>IF(ISBLANK(JobBonus[[#This Row],[Job Prov]]),"",IF(JobBonus[[#This Row],[Job Prov]]=INDEX(Employees[Province],MATCH(JobBonus[[#This Row],[Employee Name]],Employees[Employee Name2],0)),"No","Yes"))</f>
        <v>Yes</v>
      </c>
      <c r="K39" s="17" t="s">
        <v>270</v>
      </c>
      <c r="L39" s="19" t="s">
        <v>409</v>
      </c>
      <c r="M39" s="23">
        <v>12801.4</v>
      </c>
      <c r="N39" s="23"/>
      <c r="O39" s="15"/>
      <c r="P39" s="15"/>
      <c r="Q39" s="15"/>
      <c r="R39" s="15"/>
      <c r="S39" s="44" cm="1">
        <f t="array" ref="S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39" s="44" cm="1">
        <f t="array" ref="T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" s="44">
        <f>JobBonus[[#This Row],[Variable Pay]]+JobBonus[[#This Row],[Crew Efficiency Bonus]]</f>
        <v>190</v>
      </c>
      <c r="V39" s="44" cm="1">
        <f t="array" ref="V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" s="44" t="b">
        <f>_xlfn.IFNA(EXACT(VLOOKUP(JobBonus[[#This Row],[Pay Type]],PayTypes[#All],4,FALSE),"Yes"),FALSE)</f>
        <v>0</v>
      </c>
      <c r="X39" s="44" cm="1">
        <f t="array" ref="X39">SUMPRODUCT((StandByRates[Position]=JobBonus[[#This Row],[Position]])*(JobBonus[[#This Row],[Area]]=StandByRates[Area])*(StandByRates[Hourly]*JobBonus[[#This Row],[Standby/ Ext 
Hrs]]))</f>
        <v>0</v>
      </c>
      <c r="Y39" s="44">
        <f>JobBonus[[#This Row],[Variable Pay]]+JobBonus[[#This Row],[Crew Efficiency Bonus]]+JobBonus[[#This Row],[OVPP]]+JobBonus[[#This Row],[StandBy/ Ext Amount]]</f>
        <v>190</v>
      </c>
      <c r="Z39" s="80" t="s">
        <v>399</v>
      </c>
      <c r="AA39" s="42"/>
      <c r="AB39" s="42"/>
      <c r="AC39"/>
      <c r="AD39"/>
      <c r="AE39"/>
      <c r="AF39"/>
    </row>
    <row r="40" spans="1:32" hidden="1" x14ac:dyDescent="0.25">
      <c r="A40" s="46" t="s">
        <v>410</v>
      </c>
      <c r="B40" s="80">
        <v>464153</v>
      </c>
      <c r="C40" s="15" t="s">
        <v>220</v>
      </c>
      <c r="D40" s="15" t="s">
        <v>89</v>
      </c>
      <c r="E40" s="15" t="s">
        <v>264</v>
      </c>
      <c r="F40" s="15"/>
      <c r="G40" s="16">
        <v>44203</v>
      </c>
      <c r="H40" s="16" t="s">
        <v>216</v>
      </c>
      <c r="I40" s="19" t="str">
        <f>IF(ISBLANK(JobBonus[[#This Row],[Employee Name]]),"",INDEX(Employees[Job Title],MATCH(JobBonus[[#This Row],[Employee Name]],Employees[Employee Name2],0)))</f>
        <v>2 Operator</v>
      </c>
      <c r="J40" s="19" t="str">
        <f>IF(ISBLANK(JobBonus[[#This Row],[Job Prov]]),"",IF(JobBonus[[#This Row],[Job Prov]]=INDEX(Employees[Province],MATCH(JobBonus[[#This Row],[Employee Name]],Employees[Employee Name2],0)),"No","Yes"))</f>
        <v>Yes</v>
      </c>
      <c r="K40" s="17" t="s">
        <v>115</v>
      </c>
      <c r="L40" s="19" t="s">
        <v>409</v>
      </c>
      <c r="M40" s="23">
        <v>12801.4</v>
      </c>
      <c r="N40" s="23"/>
      <c r="O40" s="15"/>
      <c r="P40" s="15"/>
      <c r="Q40" s="15"/>
      <c r="R40" s="15"/>
      <c r="S40" s="44" cm="1">
        <f t="array" ref="S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0" s="44" cm="1">
        <f t="array" ref="T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" s="44">
        <f>JobBonus[[#This Row],[Variable Pay]]+JobBonus[[#This Row],[Crew Efficiency Bonus]]</f>
        <v>235</v>
      </c>
      <c r="V40" s="44" cm="1">
        <f t="array" ref="V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" s="44" t="b">
        <f>_xlfn.IFNA(EXACT(VLOOKUP(JobBonus[[#This Row],[Pay Type]],PayTypes[#All],4,FALSE),"Yes"),FALSE)</f>
        <v>0</v>
      </c>
      <c r="X40" s="44" cm="1">
        <f t="array" ref="X40">SUMPRODUCT((StandByRates[Position]=JobBonus[[#This Row],[Position]])*(JobBonus[[#This Row],[Area]]=StandByRates[Area])*(StandByRates[Hourly]*JobBonus[[#This Row],[Standby/ Ext 
Hrs]]))</f>
        <v>0</v>
      </c>
      <c r="Y40" s="44">
        <f>JobBonus[[#This Row],[Variable Pay]]+JobBonus[[#This Row],[Crew Efficiency Bonus]]+JobBonus[[#This Row],[OVPP]]+JobBonus[[#This Row],[StandBy/ Ext Amount]]</f>
        <v>235</v>
      </c>
      <c r="Z40" s="80" t="s">
        <v>399</v>
      </c>
      <c r="AA40" s="42"/>
      <c r="AB40" s="42"/>
      <c r="AC40"/>
      <c r="AD40"/>
      <c r="AE40"/>
      <c r="AF40"/>
    </row>
    <row r="41" spans="1:32" hidden="1" x14ac:dyDescent="0.25">
      <c r="A41" s="46" t="s">
        <v>411</v>
      </c>
      <c r="B41" s="80">
        <v>464153</v>
      </c>
      <c r="C41" s="15" t="s">
        <v>220</v>
      </c>
      <c r="D41" s="15" t="s">
        <v>89</v>
      </c>
      <c r="E41" s="15" t="s">
        <v>264</v>
      </c>
      <c r="F41" s="15"/>
      <c r="G41" s="16">
        <v>44203</v>
      </c>
      <c r="H41" s="16" t="s">
        <v>216</v>
      </c>
      <c r="I41" s="19" t="str">
        <f>IF(ISBLANK(JobBonus[[#This Row],[Employee Name]]),"",INDEX(Employees[Job Title],MATCH(JobBonus[[#This Row],[Employee Name]],Employees[Employee Name2],0)))</f>
        <v>3 Supervisor</v>
      </c>
      <c r="J41" s="19" t="str">
        <f>IF(ISBLANK(JobBonus[[#This Row],[Job Prov]]),"",IF(JobBonus[[#This Row],[Job Prov]]=INDEX(Employees[Province],MATCH(JobBonus[[#This Row],[Employee Name]],Employees[Employee Name2],0)),"No","Yes"))</f>
        <v>Yes</v>
      </c>
      <c r="K41" s="17" t="s">
        <v>118</v>
      </c>
      <c r="L41" s="19" t="s">
        <v>409</v>
      </c>
      <c r="M41" s="23">
        <v>12801.4</v>
      </c>
      <c r="N41" s="23"/>
      <c r="O41" s="15"/>
      <c r="P41" s="15"/>
      <c r="Q41" s="15"/>
      <c r="R41" s="15"/>
      <c r="S41" s="44" cm="1">
        <f t="array" ref="S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41" s="44" cm="1">
        <f t="array" ref="T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" s="44">
        <f>JobBonus[[#This Row],[Variable Pay]]+JobBonus[[#This Row],[Crew Efficiency Bonus]]</f>
        <v>315</v>
      </c>
      <c r="V41" s="44" cm="1">
        <f t="array" ref="V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" s="44" t="b">
        <f>_xlfn.IFNA(EXACT(VLOOKUP(JobBonus[[#This Row],[Pay Type]],PayTypes[#All],4,FALSE),"Yes"),FALSE)</f>
        <v>0</v>
      </c>
      <c r="X41" s="44" cm="1">
        <f t="array" ref="X41">SUMPRODUCT((StandByRates[Position]=JobBonus[[#This Row],[Position]])*(JobBonus[[#This Row],[Area]]=StandByRates[Area])*(StandByRates[Hourly]*JobBonus[[#This Row],[Standby/ Ext 
Hrs]]))</f>
        <v>0</v>
      </c>
      <c r="Y41" s="44">
        <f>JobBonus[[#This Row],[Variable Pay]]+JobBonus[[#This Row],[Crew Efficiency Bonus]]+JobBonus[[#This Row],[OVPP]]+JobBonus[[#This Row],[StandBy/ Ext Amount]]</f>
        <v>315</v>
      </c>
      <c r="Z41" s="80" t="s">
        <v>399</v>
      </c>
      <c r="AA41" s="42"/>
      <c r="AB41" s="42"/>
      <c r="AC41"/>
      <c r="AD41"/>
      <c r="AE41"/>
      <c r="AF41"/>
    </row>
    <row r="42" spans="1:32" hidden="1" x14ac:dyDescent="0.25">
      <c r="A42" s="46" t="s">
        <v>408</v>
      </c>
      <c r="B42" s="80">
        <v>464155</v>
      </c>
      <c r="C42" s="15" t="s">
        <v>220</v>
      </c>
      <c r="D42" s="15" t="s">
        <v>89</v>
      </c>
      <c r="E42" s="15" t="s">
        <v>264</v>
      </c>
      <c r="F42" s="15"/>
      <c r="G42" s="16">
        <v>44204</v>
      </c>
      <c r="H42" s="16" t="s">
        <v>216</v>
      </c>
      <c r="I42" s="19" t="str">
        <f>IF(ISBLANK(JobBonus[[#This Row],[Employee Name]]),"",INDEX(Employees[Job Title],MATCH(JobBonus[[#This Row],[Employee Name]],Employees[Employee Name2],0)))</f>
        <v>2 Driver</v>
      </c>
      <c r="J42" s="19" t="str">
        <f>IF(ISBLANK(JobBonus[[#This Row],[Job Prov]]),"",IF(JobBonus[[#This Row],[Job Prov]]=INDEX(Employees[Province],MATCH(JobBonus[[#This Row],[Employee Name]],Employees[Employee Name2],0)),"No","Yes"))</f>
        <v>Yes</v>
      </c>
      <c r="K42" s="17" t="s">
        <v>270</v>
      </c>
      <c r="L42" s="19" t="s">
        <v>409</v>
      </c>
      <c r="M42" s="23">
        <v>9118.15</v>
      </c>
      <c r="N42" s="23"/>
      <c r="O42" s="15"/>
      <c r="P42" s="15"/>
      <c r="Q42" s="15"/>
      <c r="R42" s="15"/>
      <c r="S42" s="44" cm="1">
        <f t="array" ref="S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42" s="44" cm="1">
        <f t="array" ref="T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" s="44">
        <f>JobBonus[[#This Row],[Variable Pay]]+JobBonus[[#This Row],[Crew Efficiency Bonus]]</f>
        <v>175</v>
      </c>
      <c r="V42" s="44" cm="1">
        <f t="array" ref="V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" s="44" t="b">
        <f>_xlfn.IFNA(EXACT(VLOOKUP(JobBonus[[#This Row],[Pay Type]],PayTypes[#All],4,FALSE),"Yes"),FALSE)</f>
        <v>0</v>
      </c>
      <c r="X42" s="44" cm="1">
        <f t="array" ref="X42">SUMPRODUCT((StandByRates[Position]=JobBonus[[#This Row],[Position]])*(JobBonus[[#This Row],[Area]]=StandByRates[Area])*(StandByRates[Hourly]*JobBonus[[#This Row],[Standby/ Ext 
Hrs]]))</f>
        <v>0</v>
      </c>
      <c r="Y42" s="44">
        <f>JobBonus[[#This Row],[Variable Pay]]+JobBonus[[#This Row],[Crew Efficiency Bonus]]+JobBonus[[#This Row],[OVPP]]+JobBonus[[#This Row],[StandBy/ Ext Amount]]</f>
        <v>175</v>
      </c>
      <c r="Z42" s="80" t="s">
        <v>399</v>
      </c>
      <c r="AA42" s="42"/>
      <c r="AB42" s="42"/>
      <c r="AC42"/>
      <c r="AD42"/>
      <c r="AE42"/>
      <c r="AF42"/>
    </row>
    <row r="43" spans="1:32" hidden="1" x14ac:dyDescent="0.25">
      <c r="A43" s="46" t="s">
        <v>410</v>
      </c>
      <c r="B43" s="80">
        <v>464155</v>
      </c>
      <c r="C43" s="15" t="s">
        <v>220</v>
      </c>
      <c r="D43" s="15" t="s">
        <v>89</v>
      </c>
      <c r="E43" s="15" t="s">
        <v>264</v>
      </c>
      <c r="F43" s="15"/>
      <c r="G43" s="16">
        <v>44204</v>
      </c>
      <c r="H43" s="16" t="s">
        <v>216</v>
      </c>
      <c r="I43" s="19" t="str">
        <f>IF(ISBLANK(JobBonus[[#This Row],[Employee Name]]),"",INDEX(Employees[Job Title],MATCH(JobBonus[[#This Row],[Employee Name]],Employees[Employee Name2],0)))</f>
        <v>2 Operator</v>
      </c>
      <c r="J43" s="19" t="str">
        <f>IF(ISBLANK(JobBonus[[#This Row],[Job Prov]]),"",IF(JobBonus[[#This Row],[Job Prov]]=INDEX(Employees[Province],MATCH(JobBonus[[#This Row],[Employee Name]],Employees[Employee Name2],0)),"No","Yes"))</f>
        <v>Yes</v>
      </c>
      <c r="K43" s="17" t="s">
        <v>115</v>
      </c>
      <c r="L43" s="19" t="s">
        <v>409</v>
      </c>
      <c r="M43" s="23">
        <v>9118.15</v>
      </c>
      <c r="N43" s="23"/>
      <c r="O43" s="15"/>
      <c r="P43" s="15"/>
      <c r="Q43" s="15"/>
      <c r="R43" s="15"/>
      <c r="S43" s="44" cm="1">
        <f t="array" ref="S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43" s="44" cm="1">
        <f t="array" ref="T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" s="44">
        <f>JobBonus[[#This Row],[Variable Pay]]+JobBonus[[#This Row],[Crew Efficiency Bonus]]</f>
        <v>195</v>
      </c>
      <c r="V43" s="44" cm="1">
        <f t="array" ref="V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" s="44" t="b">
        <f>_xlfn.IFNA(EXACT(VLOOKUP(JobBonus[[#This Row],[Pay Type]],PayTypes[#All],4,FALSE),"Yes"),FALSE)</f>
        <v>0</v>
      </c>
      <c r="X43" s="44" cm="1">
        <f t="array" ref="X43">SUMPRODUCT((StandByRates[Position]=JobBonus[[#This Row],[Position]])*(JobBonus[[#This Row],[Area]]=StandByRates[Area])*(StandByRates[Hourly]*JobBonus[[#This Row],[Standby/ Ext 
Hrs]]))</f>
        <v>0</v>
      </c>
      <c r="Y43" s="44">
        <f>JobBonus[[#This Row],[Variable Pay]]+JobBonus[[#This Row],[Crew Efficiency Bonus]]+JobBonus[[#This Row],[OVPP]]+JobBonus[[#This Row],[StandBy/ Ext Amount]]</f>
        <v>195</v>
      </c>
      <c r="Z43" s="80" t="s">
        <v>399</v>
      </c>
      <c r="AA43" s="42"/>
      <c r="AB43" s="42"/>
      <c r="AC43"/>
      <c r="AD43"/>
      <c r="AE43"/>
      <c r="AF43"/>
    </row>
    <row r="44" spans="1:32" hidden="1" x14ac:dyDescent="0.25">
      <c r="A44" s="46" t="s">
        <v>411</v>
      </c>
      <c r="B44" s="80">
        <v>464155</v>
      </c>
      <c r="C44" s="15" t="s">
        <v>220</v>
      </c>
      <c r="D44" s="15" t="s">
        <v>89</v>
      </c>
      <c r="E44" s="15" t="s">
        <v>264</v>
      </c>
      <c r="F44" s="15"/>
      <c r="G44" s="16">
        <v>44204</v>
      </c>
      <c r="H44" s="16" t="s">
        <v>216</v>
      </c>
      <c r="I44" s="19" t="str">
        <f>IF(ISBLANK(JobBonus[[#This Row],[Employee Name]]),"",INDEX(Employees[Job Title],MATCH(JobBonus[[#This Row],[Employee Name]],Employees[Employee Name2],0)))</f>
        <v>3 Supervisor</v>
      </c>
      <c r="J44" s="19" t="str">
        <f>IF(ISBLANK(JobBonus[[#This Row],[Job Prov]]),"",IF(JobBonus[[#This Row],[Job Prov]]=INDEX(Employees[Province],MATCH(JobBonus[[#This Row],[Employee Name]],Employees[Employee Name2],0)),"No","Yes"))</f>
        <v>Yes</v>
      </c>
      <c r="K44" s="17" t="s">
        <v>118</v>
      </c>
      <c r="L44" s="19" t="s">
        <v>409</v>
      </c>
      <c r="M44" s="23">
        <v>9118.15</v>
      </c>
      <c r="N44" s="23"/>
      <c r="O44" s="15"/>
      <c r="P44" s="15"/>
      <c r="Q44" s="15"/>
      <c r="R44" s="15"/>
      <c r="S44" s="44" cm="1">
        <f t="array" ref="S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265</v>
      </c>
      <c r="T44" s="44" cm="1">
        <f t="array" ref="T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" s="44">
        <f>JobBonus[[#This Row],[Variable Pay]]+JobBonus[[#This Row],[Crew Efficiency Bonus]]</f>
        <v>265</v>
      </c>
      <c r="V44" s="44" cm="1">
        <f t="array" ref="V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" s="44" t="b">
        <f>_xlfn.IFNA(EXACT(VLOOKUP(JobBonus[[#This Row],[Pay Type]],PayTypes[#All],4,FALSE),"Yes"),FALSE)</f>
        <v>0</v>
      </c>
      <c r="X44" s="44" cm="1">
        <f t="array" ref="X44">SUMPRODUCT((StandByRates[Position]=JobBonus[[#This Row],[Position]])*(JobBonus[[#This Row],[Area]]=StandByRates[Area])*(StandByRates[Hourly]*JobBonus[[#This Row],[Standby/ Ext 
Hrs]]))</f>
        <v>0</v>
      </c>
      <c r="Y44" s="44">
        <f>JobBonus[[#This Row],[Variable Pay]]+JobBonus[[#This Row],[Crew Efficiency Bonus]]+JobBonus[[#This Row],[OVPP]]+JobBonus[[#This Row],[StandBy/ Ext Amount]]</f>
        <v>265</v>
      </c>
      <c r="Z44" s="80" t="s">
        <v>399</v>
      </c>
      <c r="AA44" s="42"/>
      <c r="AB44" s="42"/>
      <c r="AC44"/>
      <c r="AD44"/>
      <c r="AE44"/>
      <c r="AF44"/>
    </row>
    <row r="45" spans="1:32" hidden="1" x14ac:dyDescent="0.25">
      <c r="A45" s="46" t="s">
        <v>412</v>
      </c>
      <c r="B45" s="80">
        <v>461816</v>
      </c>
      <c r="C45" s="15" t="s">
        <v>220</v>
      </c>
      <c r="D45" s="15" t="s">
        <v>89</v>
      </c>
      <c r="E45" s="15" t="s">
        <v>264</v>
      </c>
      <c r="F45" s="15"/>
      <c r="G45" s="16">
        <v>44197</v>
      </c>
      <c r="H45" s="16" t="s">
        <v>216</v>
      </c>
      <c r="I45" s="19" t="str">
        <f>IF(ISBLANK(JobBonus[[#This Row],[Employee Name]]),"",INDEX(Employees[Job Title],MATCH(JobBonus[[#This Row],[Employee Name]],Employees[Employee Name2],0)))</f>
        <v>2 Supervisor</v>
      </c>
      <c r="J45" s="19" t="str">
        <f>IF(ISBLANK(JobBonus[[#This Row],[Job Prov]]),"",IF(JobBonus[[#This Row],[Job Prov]]=INDEX(Employees[Province],MATCH(JobBonus[[#This Row],[Employee Name]],Employees[Employee Name2],0)),"No","Yes"))</f>
        <v>Yes</v>
      </c>
      <c r="K45" s="17" t="s">
        <v>119</v>
      </c>
      <c r="L45" s="19" t="s">
        <v>413</v>
      </c>
      <c r="M45" s="23">
        <v>18084.5</v>
      </c>
      <c r="N45" s="23"/>
      <c r="O45" s="15"/>
      <c r="P45" s="15"/>
      <c r="Q45" s="15"/>
      <c r="R45" s="15"/>
      <c r="S45" s="44" cm="1">
        <f t="array" ref="S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295</v>
      </c>
      <c r="T45" s="44" cm="1">
        <f t="array" ref="T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" s="44">
        <f>JobBonus[[#This Row],[Variable Pay]]+JobBonus[[#This Row],[Crew Efficiency Bonus]]</f>
        <v>295</v>
      </c>
      <c r="V45" s="44" cm="1">
        <f t="array" ref="V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" s="44" t="b">
        <f>_xlfn.IFNA(EXACT(VLOOKUP(JobBonus[[#This Row],[Pay Type]],PayTypes[#All],4,FALSE),"Yes"),FALSE)</f>
        <v>0</v>
      </c>
      <c r="X45" s="44" cm="1">
        <f t="array" ref="X45">SUMPRODUCT((StandByRates[Position]=JobBonus[[#This Row],[Position]])*(JobBonus[[#This Row],[Area]]=StandByRates[Area])*(StandByRates[Hourly]*JobBonus[[#This Row],[Standby/ Ext 
Hrs]]))</f>
        <v>0</v>
      </c>
      <c r="Y45" s="44">
        <f>JobBonus[[#This Row],[Variable Pay]]+JobBonus[[#This Row],[Crew Efficiency Bonus]]+JobBonus[[#This Row],[OVPP]]+JobBonus[[#This Row],[StandBy/ Ext Amount]]</f>
        <v>295</v>
      </c>
      <c r="Z45" s="80"/>
      <c r="AA45" s="42"/>
      <c r="AB45" s="42"/>
      <c r="AC45"/>
      <c r="AD45"/>
      <c r="AE45"/>
      <c r="AF45"/>
    </row>
    <row r="46" spans="1:32" hidden="1" x14ac:dyDescent="0.25">
      <c r="A46" s="46" t="s">
        <v>414</v>
      </c>
      <c r="B46" s="80">
        <v>481816</v>
      </c>
      <c r="C46" s="15" t="s">
        <v>220</v>
      </c>
      <c r="D46" s="15" t="s">
        <v>89</v>
      </c>
      <c r="E46" s="15" t="s">
        <v>264</v>
      </c>
      <c r="F46" s="15"/>
      <c r="G46" s="16">
        <v>44197</v>
      </c>
      <c r="H46" s="16" t="s">
        <v>216</v>
      </c>
      <c r="I46" s="19" t="str">
        <f>IF(ISBLANK(JobBonus[[#This Row],[Employee Name]]),"",INDEX(Employees[Job Title],MATCH(JobBonus[[#This Row],[Employee Name]],Employees[Employee Name2],0)))</f>
        <v>2 Operator</v>
      </c>
      <c r="J46" s="19" t="str">
        <f>IF(ISBLANK(JobBonus[[#This Row],[Job Prov]]),"",IF(JobBonus[[#This Row],[Job Prov]]=INDEX(Employees[Province],MATCH(JobBonus[[#This Row],[Employee Name]],Employees[Employee Name2],0)),"No","Yes"))</f>
        <v>Yes</v>
      </c>
      <c r="K46" s="17" t="s">
        <v>115</v>
      </c>
      <c r="L46" s="19" t="s">
        <v>413</v>
      </c>
      <c r="M46" s="23">
        <v>18084.5</v>
      </c>
      <c r="N46" s="23"/>
      <c r="O46" s="15"/>
      <c r="P46" s="15"/>
      <c r="Q46" s="15"/>
      <c r="R46" s="15"/>
      <c r="S46" s="44" cm="1">
        <f t="array" ref="S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6" s="44" cm="1">
        <f t="array" ref="T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" s="44">
        <f>JobBonus[[#This Row],[Variable Pay]]+JobBonus[[#This Row],[Crew Efficiency Bonus]]</f>
        <v>235</v>
      </c>
      <c r="V46" s="44" cm="1">
        <f t="array" ref="V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" s="44" t="b">
        <f>_xlfn.IFNA(EXACT(VLOOKUP(JobBonus[[#This Row],[Pay Type]],PayTypes[#All],4,FALSE),"Yes"),FALSE)</f>
        <v>0</v>
      </c>
      <c r="X46" s="44" cm="1">
        <f t="array" ref="X46">SUMPRODUCT((StandByRates[Position]=JobBonus[[#This Row],[Position]])*(JobBonus[[#This Row],[Area]]=StandByRates[Area])*(StandByRates[Hourly]*JobBonus[[#This Row],[Standby/ Ext 
Hrs]]))</f>
        <v>0</v>
      </c>
      <c r="Y46" s="44">
        <f>JobBonus[[#This Row],[Variable Pay]]+JobBonus[[#This Row],[Crew Efficiency Bonus]]+JobBonus[[#This Row],[OVPP]]+JobBonus[[#This Row],[StandBy/ Ext Amount]]</f>
        <v>235</v>
      </c>
      <c r="Z46" s="80"/>
      <c r="AA46" s="42"/>
      <c r="AB46" s="42"/>
      <c r="AC46"/>
      <c r="AD46"/>
      <c r="AE46"/>
      <c r="AF46"/>
    </row>
    <row r="47" spans="1:32" hidden="1" x14ac:dyDescent="0.25">
      <c r="A47" s="46" t="s">
        <v>393</v>
      </c>
      <c r="B47" s="80">
        <v>461092</v>
      </c>
      <c r="C47" s="15" t="s">
        <v>220</v>
      </c>
      <c r="D47" s="15" t="s">
        <v>257</v>
      </c>
      <c r="E47" s="15" t="s">
        <v>264</v>
      </c>
      <c r="F47" s="15"/>
      <c r="G47" s="16">
        <v>44197</v>
      </c>
      <c r="H47" s="16" t="s">
        <v>216</v>
      </c>
      <c r="I47" s="19" t="str">
        <f>IF(ISBLANK(JobBonus[[#This Row],[Employee Name]]),"",INDEX(Employees[Job Title],MATCH(JobBonus[[#This Row],[Employee Name]],Employees[Employee Name2],0)))</f>
        <v>2 Supervisor</v>
      </c>
      <c r="J47" s="19" t="str">
        <f>IF(ISBLANK(JobBonus[[#This Row],[Job Prov]]),"",IF(JobBonus[[#This Row],[Job Prov]]=INDEX(Employees[Province],MATCH(JobBonus[[#This Row],[Employee Name]],Employees[Employee Name2],0)),"No","Yes"))</f>
        <v>No</v>
      </c>
      <c r="K47" s="17" t="s">
        <v>270</v>
      </c>
      <c r="L47" s="19" t="s">
        <v>396</v>
      </c>
      <c r="M47" s="23">
        <v>18960.53</v>
      </c>
      <c r="N47" s="23"/>
      <c r="O47" s="15"/>
      <c r="P47" s="15"/>
      <c r="Q47" s="15"/>
      <c r="R47" s="15"/>
      <c r="S47" s="44" cm="1">
        <f t="array" ref="S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47" s="44" cm="1">
        <f t="array" ref="T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" s="44">
        <f>JobBonus[[#This Row],[Variable Pay]]+JobBonus[[#This Row],[Crew Efficiency Bonus]]</f>
        <v>190</v>
      </c>
      <c r="V47" s="44" cm="1">
        <f t="array" ref="V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" s="44" t="b">
        <f>_xlfn.IFNA(EXACT(VLOOKUP(JobBonus[[#This Row],[Pay Type]],PayTypes[#All],4,FALSE),"Yes"),FALSE)</f>
        <v>0</v>
      </c>
      <c r="X47" s="44" cm="1">
        <f t="array" ref="X47">SUMPRODUCT((StandByRates[Position]=JobBonus[[#This Row],[Position]])*(JobBonus[[#This Row],[Area]]=StandByRates[Area])*(StandByRates[Hourly]*JobBonus[[#This Row],[Standby/ Ext 
Hrs]]))</f>
        <v>0</v>
      </c>
      <c r="Y47" s="44">
        <f>JobBonus[[#This Row],[Variable Pay]]+JobBonus[[#This Row],[Crew Efficiency Bonus]]+JobBonus[[#This Row],[OVPP]]+JobBonus[[#This Row],[StandBy/ Ext Amount]]</f>
        <v>190</v>
      </c>
      <c r="Z47" s="80"/>
      <c r="AA47" s="42"/>
      <c r="AB47" s="42"/>
      <c r="AC47"/>
      <c r="AD47"/>
      <c r="AE47"/>
      <c r="AF47"/>
    </row>
    <row r="48" spans="1:32" hidden="1" x14ac:dyDescent="0.25">
      <c r="A48" s="46" t="s">
        <v>394</v>
      </c>
      <c r="B48" s="80">
        <v>461092</v>
      </c>
      <c r="C48" s="15" t="s">
        <v>220</v>
      </c>
      <c r="D48" s="15" t="s">
        <v>257</v>
      </c>
      <c r="E48" s="15" t="s">
        <v>264</v>
      </c>
      <c r="F48" s="15"/>
      <c r="G48" s="16">
        <v>44197</v>
      </c>
      <c r="H48" s="16" t="s">
        <v>216</v>
      </c>
      <c r="I48" s="19" t="str">
        <f>IF(ISBLANK(JobBonus[[#This Row],[Employee Name]]),"",INDEX(Employees[Job Title],MATCH(JobBonus[[#This Row],[Employee Name]],Employees[Employee Name2],0)))</f>
        <v>4 Supervisor</v>
      </c>
      <c r="J48" s="19" t="str">
        <f>IF(ISBLANK(JobBonus[[#This Row],[Job Prov]]),"",IF(JobBonus[[#This Row],[Job Prov]]=INDEX(Employees[Province],MATCH(JobBonus[[#This Row],[Employee Name]],Employees[Employee Name2],0)),"No","Yes"))</f>
        <v>No</v>
      </c>
      <c r="K48" s="17" t="s">
        <v>117</v>
      </c>
      <c r="L48" s="19" t="s">
        <v>396</v>
      </c>
      <c r="M48" s="23">
        <v>18960.53</v>
      </c>
      <c r="N48" s="23"/>
      <c r="O48" s="15"/>
      <c r="P48" s="15"/>
      <c r="Q48" s="15"/>
      <c r="R48" s="15"/>
      <c r="S48" s="44" cm="1">
        <f t="array" ref="S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48" s="44" cm="1">
        <f t="array" ref="T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" s="44">
        <f>JobBonus[[#This Row],[Variable Pay]]+JobBonus[[#This Row],[Crew Efficiency Bonus]]</f>
        <v>335</v>
      </c>
      <c r="V48" s="44" cm="1">
        <f t="array" ref="V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" s="44" t="b">
        <f>_xlfn.IFNA(EXACT(VLOOKUP(JobBonus[[#This Row],[Pay Type]],PayTypes[#All],4,FALSE),"Yes"),FALSE)</f>
        <v>0</v>
      </c>
      <c r="X48" s="44" cm="1">
        <f t="array" ref="X48">SUMPRODUCT((StandByRates[Position]=JobBonus[[#This Row],[Position]])*(JobBonus[[#This Row],[Area]]=StandByRates[Area])*(StandByRates[Hourly]*JobBonus[[#This Row],[Standby/ Ext 
Hrs]]))</f>
        <v>0</v>
      </c>
      <c r="Y48" s="44">
        <f>JobBonus[[#This Row],[Variable Pay]]+JobBonus[[#This Row],[Crew Efficiency Bonus]]+JobBonus[[#This Row],[OVPP]]+JobBonus[[#This Row],[StandBy/ Ext Amount]]</f>
        <v>335</v>
      </c>
      <c r="Z48" s="80"/>
      <c r="AA48" s="42"/>
      <c r="AB48" s="42"/>
      <c r="AC48"/>
      <c r="AD48"/>
      <c r="AE48"/>
      <c r="AF48"/>
    </row>
    <row r="49" spans="1:32" hidden="1" x14ac:dyDescent="0.25">
      <c r="A49" s="46" t="s">
        <v>395</v>
      </c>
      <c r="B49" s="80">
        <v>461092</v>
      </c>
      <c r="C49" s="15" t="s">
        <v>220</v>
      </c>
      <c r="D49" s="15" t="s">
        <v>257</v>
      </c>
      <c r="E49" s="15" t="s">
        <v>264</v>
      </c>
      <c r="F49" s="15"/>
      <c r="G49" s="16">
        <v>44197</v>
      </c>
      <c r="H49" s="16" t="s">
        <v>216</v>
      </c>
      <c r="I49" s="19" t="str">
        <f>IF(ISBLANK(JobBonus[[#This Row],[Employee Name]]),"",INDEX(Employees[Job Title],MATCH(JobBonus[[#This Row],[Employee Name]],Employees[Employee Name2],0)))</f>
        <v>2 Operator</v>
      </c>
      <c r="J49" s="19" t="str">
        <f>IF(ISBLANK(JobBonus[[#This Row],[Job Prov]]),"",IF(JobBonus[[#This Row],[Job Prov]]=INDEX(Employees[Province],MATCH(JobBonus[[#This Row],[Employee Name]],Employees[Employee Name2],0)),"No","Yes"))</f>
        <v>No</v>
      </c>
      <c r="K49" s="17" t="s">
        <v>115</v>
      </c>
      <c r="L49" s="19" t="s">
        <v>396</v>
      </c>
      <c r="M49" s="23">
        <v>18960.53</v>
      </c>
      <c r="N49" s="23"/>
      <c r="O49" s="15"/>
      <c r="P49" s="15"/>
      <c r="Q49" s="15"/>
      <c r="R49" s="15"/>
      <c r="S49" s="44" cm="1">
        <f t="array" ref="S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9" s="44" cm="1">
        <f t="array" ref="T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" s="44">
        <f>JobBonus[[#This Row],[Variable Pay]]+JobBonus[[#This Row],[Crew Efficiency Bonus]]</f>
        <v>235</v>
      </c>
      <c r="V49" s="44" cm="1">
        <f t="array" ref="V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" s="44" t="b">
        <f>_xlfn.IFNA(EXACT(VLOOKUP(JobBonus[[#This Row],[Pay Type]],PayTypes[#All],4,FALSE),"Yes"),FALSE)</f>
        <v>0</v>
      </c>
      <c r="X49" s="44" cm="1">
        <f t="array" ref="X49">SUMPRODUCT((StandByRates[Position]=JobBonus[[#This Row],[Position]])*(JobBonus[[#This Row],[Area]]=StandByRates[Area])*(StandByRates[Hourly]*JobBonus[[#This Row],[Standby/ Ext 
Hrs]]))</f>
        <v>0</v>
      </c>
      <c r="Y49" s="44">
        <f>JobBonus[[#This Row],[Variable Pay]]+JobBonus[[#This Row],[Crew Efficiency Bonus]]+JobBonus[[#This Row],[OVPP]]+JobBonus[[#This Row],[StandBy/ Ext Amount]]</f>
        <v>235</v>
      </c>
      <c r="Z49" s="80"/>
      <c r="AA49" s="42"/>
      <c r="AB49" s="42"/>
      <c r="AC49"/>
      <c r="AD49"/>
      <c r="AE49"/>
      <c r="AF49"/>
    </row>
    <row r="50" spans="1:32" hidden="1" x14ac:dyDescent="0.25">
      <c r="A50" s="46" t="s">
        <v>412</v>
      </c>
      <c r="B50" s="80">
        <v>461817</v>
      </c>
      <c r="C50" s="15" t="s">
        <v>220</v>
      </c>
      <c r="D50" s="15" t="s">
        <v>257</v>
      </c>
      <c r="E50" s="15" t="s">
        <v>264</v>
      </c>
      <c r="F50" s="15"/>
      <c r="G50" s="16">
        <v>44198</v>
      </c>
      <c r="H50" s="16" t="s">
        <v>216</v>
      </c>
      <c r="I50" s="19" t="str">
        <f>IF(ISBLANK(JobBonus[[#This Row],[Employee Name]]),"",INDEX(Employees[Job Title],MATCH(JobBonus[[#This Row],[Employee Name]],Employees[Employee Name2],0)))</f>
        <v>2 Supervisor</v>
      </c>
      <c r="J50" s="19" t="str">
        <f>IF(ISBLANK(JobBonus[[#This Row],[Job Prov]]),"",IF(JobBonus[[#This Row],[Job Prov]]=INDEX(Employees[Province],MATCH(JobBonus[[#This Row],[Employee Name]],Employees[Employee Name2],0)),"No","Yes"))</f>
        <v>No</v>
      </c>
      <c r="K50" s="17" t="s">
        <v>119</v>
      </c>
      <c r="L50" s="19" t="s">
        <v>396</v>
      </c>
      <c r="M50" s="23">
        <v>4309.43</v>
      </c>
      <c r="N50" s="23"/>
      <c r="O50" s="15"/>
      <c r="P50" s="15"/>
      <c r="Q50" s="15"/>
      <c r="R50" s="15"/>
      <c r="S50" s="44" cm="1">
        <f t="array" ref="S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50" s="44" cm="1">
        <f t="array" ref="T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0" s="44">
        <f>JobBonus[[#This Row],[Variable Pay]]+JobBonus[[#This Row],[Crew Efficiency Bonus]]</f>
        <v>245</v>
      </c>
      <c r="V50" s="44" cm="1">
        <f t="array" ref="V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0" s="44" t="b">
        <f>_xlfn.IFNA(EXACT(VLOOKUP(JobBonus[[#This Row],[Pay Type]],PayTypes[#All],4,FALSE),"Yes"),FALSE)</f>
        <v>0</v>
      </c>
      <c r="X50" s="44" cm="1">
        <f t="array" ref="X50">SUMPRODUCT((StandByRates[Position]=JobBonus[[#This Row],[Position]])*(JobBonus[[#This Row],[Area]]=StandByRates[Area])*(StandByRates[Hourly]*JobBonus[[#This Row],[Standby/ Ext 
Hrs]]))</f>
        <v>0</v>
      </c>
      <c r="Y50" s="44">
        <f>JobBonus[[#This Row],[Variable Pay]]+JobBonus[[#This Row],[Crew Efficiency Bonus]]+JobBonus[[#This Row],[OVPP]]+JobBonus[[#This Row],[StandBy/ Ext Amount]]</f>
        <v>245</v>
      </c>
      <c r="Z50" s="80"/>
      <c r="AA50" s="42"/>
      <c r="AB50" s="42"/>
      <c r="AC50"/>
      <c r="AD50"/>
      <c r="AE50"/>
      <c r="AF50"/>
    </row>
    <row r="51" spans="1:32" hidden="1" x14ac:dyDescent="0.25">
      <c r="A51" s="46" t="s">
        <v>414</v>
      </c>
      <c r="B51" s="80">
        <v>461817</v>
      </c>
      <c r="C51" s="15" t="s">
        <v>220</v>
      </c>
      <c r="D51" s="15" t="s">
        <v>257</v>
      </c>
      <c r="E51" s="15" t="s">
        <v>264</v>
      </c>
      <c r="F51" s="15"/>
      <c r="G51" s="16">
        <v>44198</v>
      </c>
      <c r="H51" s="16" t="s">
        <v>216</v>
      </c>
      <c r="I51" s="19" t="str">
        <f>IF(ISBLANK(JobBonus[[#This Row],[Employee Name]]),"",INDEX(Employees[Job Title],MATCH(JobBonus[[#This Row],[Employee Name]],Employees[Employee Name2],0)))</f>
        <v>2 Operator</v>
      </c>
      <c r="J51" s="19" t="str">
        <f>IF(ISBLANK(JobBonus[[#This Row],[Job Prov]]),"",IF(JobBonus[[#This Row],[Job Prov]]=INDEX(Employees[Province],MATCH(JobBonus[[#This Row],[Employee Name]],Employees[Employee Name2],0)),"No","Yes"))</f>
        <v>No</v>
      </c>
      <c r="K51" s="17" t="s">
        <v>115</v>
      </c>
      <c r="L51" s="19" t="s">
        <v>396</v>
      </c>
      <c r="M51" s="23">
        <v>4309.43</v>
      </c>
      <c r="N51" s="23"/>
      <c r="O51" s="15"/>
      <c r="P51" s="15"/>
      <c r="Q51" s="15"/>
      <c r="R51" s="15"/>
      <c r="S51" s="44" cm="1">
        <f t="array" ref="S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51" s="44" cm="1">
        <f t="array" ref="T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1" s="44">
        <f>JobBonus[[#This Row],[Variable Pay]]+JobBonus[[#This Row],[Crew Efficiency Bonus]]</f>
        <v>195</v>
      </c>
      <c r="V51" s="44" cm="1">
        <f t="array" ref="V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1" s="44" t="b">
        <f>_xlfn.IFNA(EXACT(VLOOKUP(JobBonus[[#This Row],[Pay Type]],PayTypes[#All],4,FALSE),"Yes"),FALSE)</f>
        <v>0</v>
      </c>
      <c r="X51" s="44" cm="1">
        <f t="array" ref="X51">SUMPRODUCT((StandByRates[Position]=JobBonus[[#This Row],[Position]])*(JobBonus[[#This Row],[Area]]=StandByRates[Area])*(StandByRates[Hourly]*JobBonus[[#This Row],[Standby/ Ext 
Hrs]]))</f>
        <v>0</v>
      </c>
      <c r="Y51" s="44">
        <f>JobBonus[[#This Row],[Variable Pay]]+JobBonus[[#This Row],[Crew Efficiency Bonus]]+JobBonus[[#This Row],[OVPP]]+JobBonus[[#This Row],[StandBy/ Ext Amount]]</f>
        <v>195</v>
      </c>
      <c r="Z51" s="80"/>
      <c r="AA51" s="42"/>
      <c r="AB51" s="42"/>
      <c r="AC51"/>
      <c r="AD51"/>
      <c r="AE51"/>
      <c r="AF51"/>
    </row>
    <row r="52" spans="1:32" hidden="1" x14ac:dyDescent="0.25">
      <c r="A52" s="46" t="s">
        <v>401</v>
      </c>
      <c r="B52" s="80">
        <v>461817</v>
      </c>
      <c r="C52" s="15" t="s">
        <v>220</v>
      </c>
      <c r="D52" s="15" t="s">
        <v>257</v>
      </c>
      <c r="E52" s="15" t="s">
        <v>264</v>
      </c>
      <c r="F52" s="15"/>
      <c r="G52" s="16">
        <v>44198</v>
      </c>
      <c r="H52" s="16" t="s">
        <v>216</v>
      </c>
      <c r="I52" s="19" t="str">
        <f>IF(ISBLANK(JobBonus[[#This Row],[Employee Name]]),"",INDEX(Employees[Job Title],MATCH(JobBonus[[#This Row],[Employee Name]],Employees[Employee Name2],0)))</f>
        <v>2 Driver</v>
      </c>
      <c r="J52" s="19" t="str">
        <f>IF(ISBLANK(JobBonus[[#This Row],[Job Prov]]),"",IF(JobBonus[[#This Row],[Job Prov]]=INDEX(Employees[Province],MATCH(JobBonus[[#This Row],[Employee Name]],Employees[Employee Name2],0)),"No","Yes"))</f>
        <v>No</v>
      </c>
      <c r="K52" s="17" t="s">
        <v>270</v>
      </c>
      <c r="L52" s="19" t="s">
        <v>396</v>
      </c>
      <c r="M52" s="23">
        <v>4309.34</v>
      </c>
      <c r="N52" s="23"/>
      <c r="O52" s="15"/>
      <c r="P52" s="15"/>
      <c r="Q52" s="15"/>
      <c r="R52" s="15"/>
      <c r="S52" s="44" cm="1">
        <f t="array" ref="S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52" s="44" cm="1">
        <f t="array" ref="T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2" s="44">
        <f>JobBonus[[#This Row],[Variable Pay]]+JobBonus[[#This Row],[Crew Efficiency Bonus]]</f>
        <v>175</v>
      </c>
      <c r="V52" s="44" cm="1">
        <f t="array" ref="V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2" s="44" t="b">
        <f>_xlfn.IFNA(EXACT(VLOOKUP(JobBonus[[#This Row],[Pay Type]],PayTypes[#All],4,FALSE),"Yes"),FALSE)</f>
        <v>0</v>
      </c>
      <c r="X52" s="44" cm="1">
        <f t="array" ref="X52">SUMPRODUCT((StandByRates[Position]=JobBonus[[#This Row],[Position]])*(JobBonus[[#This Row],[Area]]=StandByRates[Area])*(StandByRates[Hourly]*JobBonus[[#This Row],[Standby/ Ext 
Hrs]]))</f>
        <v>0</v>
      </c>
      <c r="Y52" s="44">
        <f>JobBonus[[#This Row],[Variable Pay]]+JobBonus[[#This Row],[Crew Efficiency Bonus]]+JobBonus[[#This Row],[OVPP]]+JobBonus[[#This Row],[StandBy/ Ext Amount]]</f>
        <v>175</v>
      </c>
      <c r="Z52" s="80"/>
      <c r="AA52" s="42"/>
      <c r="AB52" s="42"/>
      <c r="AC52"/>
      <c r="AD52"/>
      <c r="AE52"/>
      <c r="AF52"/>
    </row>
    <row r="53" spans="1:32" hidden="1" x14ac:dyDescent="0.25">
      <c r="A53" s="46" t="s">
        <v>412</v>
      </c>
      <c r="B53" s="80">
        <v>461818</v>
      </c>
      <c r="C53" s="15" t="s">
        <v>222</v>
      </c>
      <c r="D53" s="15" t="s">
        <v>257</v>
      </c>
      <c r="E53" s="15" t="s">
        <v>264</v>
      </c>
      <c r="F53" s="15"/>
      <c r="G53" s="16">
        <v>44199</v>
      </c>
      <c r="H53" s="16" t="s">
        <v>216</v>
      </c>
      <c r="I53" s="19" t="str">
        <f>IF(ISBLANK(JobBonus[[#This Row],[Employee Name]]),"",INDEX(Employees[Job Title],MATCH(JobBonus[[#This Row],[Employee Name]],Employees[Employee Name2],0)))</f>
        <v>2 Supervisor</v>
      </c>
      <c r="J53" s="19" t="str">
        <f>IF(ISBLANK(JobBonus[[#This Row],[Job Prov]]),"",IF(JobBonus[[#This Row],[Job Prov]]=INDEX(Employees[Province],MATCH(JobBonus[[#This Row],[Employee Name]],Employees[Employee Name2],0)),"No","Yes"))</f>
        <v>No</v>
      </c>
      <c r="K53" s="17" t="s">
        <v>156</v>
      </c>
      <c r="L53" s="19" t="s">
        <v>396</v>
      </c>
      <c r="M53" s="23">
        <v>4271.3599999999997</v>
      </c>
      <c r="N53" s="23"/>
      <c r="O53" s="15"/>
      <c r="P53" s="15"/>
      <c r="Q53" s="15"/>
      <c r="R53" s="15"/>
      <c r="S53" s="44" cm="1">
        <f t="array" ref="S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53" s="44" cm="1">
        <f t="array" ref="T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3" s="44">
        <f>JobBonus[[#This Row],[Variable Pay]]+JobBonus[[#This Row],[Crew Efficiency Bonus]]</f>
        <v>315</v>
      </c>
      <c r="V53" s="44" cm="1">
        <f t="array" ref="V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3" s="44" t="b">
        <f>_xlfn.IFNA(EXACT(VLOOKUP(JobBonus[[#This Row],[Pay Type]],PayTypes[#All],4,FALSE),"Yes"),FALSE)</f>
        <v>0</v>
      </c>
      <c r="X53" s="44" cm="1">
        <f t="array" ref="X53">SUMPRODUCT((StandByRates[Position]=JobBonus[[#This Row],[Position]])*(JobBonus[[#This Row],[Area]]=StandByRates[Area])*(StandByRates[Hourly]*JobBonus[[#This Row],[Standby/ Ext 
Hrs]]))</f>
        <v>0</v>
      </c>
      <c r="Y53" s="44">
        <f>JobBonus[[#This Row],[Variable Pay]]+JobBonus[[#This Row],[Crew Efficiency Bonus]]+JobBonus[[#This Row],[OVPP]]+JobBonus[[#This Row],[StandBy/ Ext Amount]]</f>
        <v>315</v>
      </c>
      <c r="Z53" s="80"/>
      <c r="AA53" s="42"/>
      <c r="AB53" s="42"/>
      <c r="AC53"/>
      <c r="AD53"/>
      <c r="AE53"/>
      <c r="AF53"/>
    </row>
    <row r="54" spans="1:32" hidden="1" x14ac:dyDescent="0.25">
      <c r="A54" s="46" t="s">
        <v>414</v>
      </c>
      <c r="B54" s="80">
        <v>461818</v>
      </c>
      <c r="C54" s="15" t="s">
        <v>222</v>
      </c>
      <c r="D54" s="15" t="s">
        <v>257</v>
      </c>
      <c r="E54" s="15" t="s">
        <v>264</v>
      </c>
      <c r="F54" s="15"/>
      <c r="G54" s="16">
        <v>44199</v>
      </c>
      <c r="H54" s="16" t="s">
        <v>216</v>
      </c>
      <c r="I54" s="19" t="str">
        <f>IF(ISBLANK(JobBonus[[#This Row],[Employee Name]]),"",INDEX(Employees[Job Title],MATCH(JobBonus[[#This Row],[Employee Name]],Employees[Employee Name2],0)))</f>
        <v>2 Operator</v>
      </c>
      <c r="J54" s="19" t="str">
        <f>IF(ISBLANK(JobBonus[[#This Row],[Job Prov]]),"",IF(JobBonus[[#This Row],[Job Prov]]=INDEX(Employees[Province],MATCH(JobBonus[[#This Row],[Employee Name]],Employees[Employee Name2],0)),"No","Yes"))</f>
        <v>No</v>
      </c>
      <c r="K54" s="17" t="s">
        <v>155</v>
      </c>
      <c r="L54" s="19" t="s">
        <v>396</v>
      </c>
      <c r="M54" s="23">
        <v>4271.3599999999997</v>
      </c>
      <c r="N54" s="23"/>
      <c r="O54" s="15"/>
      <c r="P54" s="15"/>
      <c r="Q54" s="15"/>
      <c r="R54" s="15"/>
      <c r="S54" s="44" cm="1">
        <f t="array" ref="S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54" s="44" cm="1">
        <f t="array" ref="T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4" s="44">
        <f>JobBonus[[#This Row],[Variable Pay]]+JobBonus[[#This Row],[Crew Efficiency Bonus]]</f>
        <v>230</v>
      </c>
      <c r="V54" s="44" cm="1">
        <f t="array" ref="V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4" s="44" t="b">
        <f>_xlfn.IFNA(EXACT(VLOOKUP(JobBonus[[#This Row],[Pay Type]],PayTypes[#All],4,FALSE),"Yes"),FALSE)</f>
        <v>0</v>
      </c>
      <c r="X54" s="44" cm="1">
        <f t="array" ref="X54">SUMPRODUCT((StandByRates[Position]=JobBonus[[#This Row],[Position]])*(JobBonus[[#This Row],[Area]]=StandByRates[Area])*(StandByRates[Hourly]*JobBonus[[#This Row],[Standby/ Ext 
Hrs]]))</f>
        <v>0</v>
      </c>
      <c r="Y54" s="44">
        <f>JobBonus[[#This Row],[Variable Pay]]+JobBonus[[#This Row],[Crew Efficiency Bonus]]+JobBonus[[#This Row],[OVPP]]+JobBonus[[#This Row],[StandBy/ Ext Amount]]</f>
        <v>230</v>
      </c>
      <c r="Z54" s="80"/>
      <c r="AA54" s="42"/>
      <c r="AB54" s="42"/>
      <c r="AC54"/>
      <c r="AD54"/>
      <c r="AE54"/>
      <c r="AF54"/>
    </row>
    <row r="55" spans="1:32" hidden="1" x14ac:dyDescent="0.25">
      <c r="A55" s="46" t="s">
        <v>405</v>
      </c>
      <c r="B55" s="80">
        <v>461818</v>
      </c>
      <c r="C55" s="15" t="s">
        <v>222</v>
      </c>
      <c r="D55" s="15" t="s">
        <v>257</v>
      </c>
      <c r="E55" s="15" t="s">
        <v>264</v>
      </c>
      <c r="F55" s="15"/>
      <c r="G55" s="16">
        <v>44199</v>
      </c>
      <c r="H55" s="16" t="s">
        <v>216</v>
      </c>
      <c r="I55" s="19" t="str">
        <f>IF(ISBLANK(JobBonus[[#This Row],[Employee Name]]),"",INDEX(Employees[Job Title],MATCH(JobBonus[[#This Row],[Employee Name]],Employees[Employee Name2],0)))</f>
        <v>2 Operator</v>
      </c>
      <c r="J55" s="19" t="str">
        <f>IF(ISBLANK(JobBonus[[#This Row],[Job Prov]]),"",IF(JobBonus[[#This Row],[Job Prov]]=INDEX(Employees[Province],MATCH(JobBonus[[#This Row],[Employee Name]],Employees[Employee Name2],0)),"No","Yes"))</f>
        <v>No</v>
      </c>
      <c r="K55" s="17" t="s">
        <v>271</v>
      </c>
      <c r="L55" s="19" t="s">
        <v>396</v>
      </c>
      <c r="M55" s="23">
        <v>4271.3599999999997</v>
      </c>
      <c r="N55" s="23"/>
      <c r="O55" s="15"/>
      <c r="P55" s="15"/>
      <c r="Q55" s="15"/>
      <c r="R55" s="15"/>
      <c r="S55" s="44" cm="1">
        <f t="array" ref="S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55" s="44" cm="1">
        <f t="array" ref="T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5" s="44">
        <f>JobBonus[[#This Row],[Variable Pay]]+JobBonus[[#This Row],[Crew Efficiency Bonus]]</f>
        <v>220</v>
      </c>
      <c r="V55" s="44" cm="1">
        <f t="array" ref="V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5" s="44" t="b">
        <f>_xlfn.IFNA(EXACT(VLOOKUP(JobBonus[[#This Row],[Pay Type]],PayTypes[#All],4,FALSE),"Yes"),FALSE)</f>
        <v>0</v>
      </c>
      <c r="X55" s="44" cm="1">
        <f t="array" ref="X55">SUMPRODUCT((StandByRates[Position]=JobBonus[[#This Row],[Position]])*(JobBonus[[#This Row],[Area]]=StandByRates[Area])*(StandByRates[Hourly]*JobBonus[[#This Row],[Standby/ Ext 
Hrs]]))</f>
        <v>0</v>
      </c>
      <c r="Y55" s="44">
        <f>JobBonus[[#This Row],[Variable Pay]]+JobBonus[[#This Row],[Crew Efficiency Bonus]]+JobBonus[[#This Row],[OVPP]]+JobBonus[[#This Row],[StandBy/ Ext Amount]]</f>
        <v>220</v>
      </c>
      <c r="Z55" s="80"/>
      <c r="AA55" s="42"/>
      <c r="AB55" s="42"/>
      <c r="AC55"/>
      <c r="AD55"/>
      <c r="AE55"/>
      <c r="AF55"/>
    </row>
    <row r="56" spans="1:32" hidden="1" x14ac:dyDescent="0.25">
      <c r="A56" s="46" t="s">
        <v>412</v>
      </c>
      <c r="B56" s="80">
        <v>461819</v>
      </c>
      <c r="C56" s="15" t="s">
        <v>222</v>
      </c>
      <c r="D56" s="15" t="s">
        <v>257</v>
      </c>
      <c r="E56" s="15" t="s">
        <v>264</v>
      </c>
      <c r="F56" s="15"/>
      <c r="G56" s="16">
        <v>44200</v>
      </c>
      <c r="H56" s="16" t="s">
        <v>216</v>
      </c>
      <c r="I56" s="19" t="str">
        <f>IF(ISBLANK(JobBonus[[#This Row],[Employee Name]]),"",INDEX(Employees[Job Title],MATCH(JobBonus[[#This Row],[Employee Name]],Employees[Employee Name2],0)))</f>
        <v>2 Supervisor</v>
      </c>
      <c r="J56" s="19" t="str">
        <f>IF(ISBLANK(JobBonus[[#This Row],[Job Prov]]),"",IF(JobBonus[[#This Row],[Job Prov]]=INDEX(Employees[Province],MATCH(JobBonus[[#This Row],[Employee Name]],Employees[Employee Name2],0)),"No","Yes"))</f>
        <v>No</v>
      </c>
      <c r="K56" s="17" t="s">
        <v>156</v>
      </c>
      <c r="L56" s="19" t="s">
        <v>396</v>
      </c>
      <c r="M56" s="23">
        <v>4724.2700000000004</v>
      </c>
      <c r="N56" s="23"/>
      <c r="O56" s="15"/>
      <c r="P56" s="15"/>
      <c r="Q56" s="15"/>
      <c r="R56" s="15"/>
      <c r="S56" s="44" cm="1">
        <f t="array" ref="S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56" s="44" cm="1">
        <f t="array" ref="T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6" s="44">
        <f>JobBonus[[#This Row],[Variable Pay]]+JobBonus[[#This Row],[Crew Efficiency Bonus]]</f>
        <v>315</v>
      </c>
      <c r="V56" s="44" cm="1">
        <f t="array" ref="V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6" s="44" t="b">
        <f>_xlfn.IFNA(EXACT(VLOOKUP(JobBonus[[#This Row],[Pay Type]],PayTypes[#All],4,FALSE),"Yes"),FALSE)</f>
        <v>0</v>
      </c>
      <c r="X56" s="44" cm="1">
        <f t="array" ref="X56">SUMPRODUCT((StandByRates[Position]=JobBonus[[#This Row],[Position]])*(JobBonus[[#This Row],[Area]]=StandByRates[Area])*(StandByRates[Hourly]*JobBonus[[#This Row],[Standby/ Ext 
Hrs]]))</f>
        <v>0</v>
      </c>
      <c r="Y56" s="44">
        <f>JobBonus[[#This Row],[Variable Pay]]+JobBonus[[#This Row],[Crew Efficiency Bonus]]+JobBonus[[#This Row],[OVPP]]+JobBonus[[#This Row],[StandBy/ Ext Amount]]</f>
        <v>315</v>
      </c>
      <c r="Z56" s="80"/>
      <c r="AA56" s="42"/>
      <c r="AB56" s="42"/>
      <c r="AC56"/>
      <c r="AD56"/>
      <c r="AE56"/>
      <c r="AF56"/>
    </row>
    <row r="57" spans="1:32" hidden="1" x14ac:dyDescent="0.25">
      <c r="A57" s="46" t="s">
        <v>414</v>
      </c>
      <c r="B57" s="80">
        <v>461819</v>
      </c>
      <c r="C57" s="15" t="s">
        <v>222</v>
      </c>
      <c r="D57" s="15" t="s">
        <v>257</v>
      </c>
      <c r="E57" s="15" t="s">
        <v>264</v>
      </c>
      <c r="F57" s="15"/>
      <c r="G57" s="16">
        <v>44200</v>
      </c>
      <c r="H57" s="16" t="s">
        <v>216</v>
      </c>
      <c r="I57" s="19" t="str">
        <f>IF(ISBLANK(JobBonus[[#This Row],[Employee Name]]),"",INDEX(Employees[Job Title],MATCH(JobBonus[[#This Row],[Employee Name]],Employees[Employee Name2],0)))</f>
        <v>2 Operator</v>
      </c>
      <c r="J57" s="19" t="str">
        <f>IF(ISBLANK(JobBonus[[#This Row],[Job Prov]]),"",IF(JobBonus[[#This Row],[Job Prov]]=INDEX(Employees[Province],MATCH(JobBonus[[#This Row],[Employee Name]],Employees[Employee Name2],0)),"No","Yes"))</f>
        <v>No</v>
      </c>
      <c r="K57" s="17" t="s">
        <v>155</v>
      </c>
      <c r="L57" s="19" t="s">
        <v>396</v>
      </c>
      <c r="M57" s="23">
        <v>4724.2700000000004</v>
      </c>
      <c r="N57" s="23"/>
      <c r="O57" s="15"/>
      <c r="P57" s="15"/>
      <c r="Q57" s="15"/>
      <c r="R57" s="15"/>
      <c r="S57" s="44" cm="1">
        <f t="array" ref="S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57" s="44" cm="1">
        <f t="array" ref="T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7" s="44">
        <f>JobBonus[[#This Row],[Variable Pay]]+JobBonus[[#This Row],[Crew Efficiency Bonus]]</f>
        <v>230</v>
      </c>
      <c r="V57" s="44" cm="1">
        <f t="array" ref="V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7" s="44" t="b">
        <f>_xlfn.IFNA(EXACT(VLOOKUP(JobBonus[[#This Row],[Pay Type]],PayTypes[#All],4,FALSE),"Yes"),FALSE)</f>
        <v>0</v>
      </c>
      <c r="X57" s="44" cm="1">
        <f t="array" ref="X57">SUMPRODUCT((StandByRates[Position]=JobBonus[[#This Row],[Position]])*(JobBonus[[#This Row],[Area]]=StandByRates[Area])*(StandByRates[Hourly]*JobBonus[[#This Row],[Standby/ Ext 
Hrs]]))</f>
        <v>0</v>
      </c>
      <c r="Y57" s="44">
        <f>JobBonus[[#This Row],[Variable Pay]]+JobBonus[[#This Row],[Crew Efficiency Bonus]]+JobBonus[[#This Row],[OVPP]]+JobBonus[[#This Row],[StandBy/ Ext Amount]]</f>
        <v>230</v>
      </c>
      <c r="Z57" s="80"/>
      <c r="AA57" s="42"/>
      <c r="AB57" s="42"/>
      <c r="AC57"/>
      <c r="AD57"/>
      <c r="AE57"/>
      <c r="AF57"/>
    </row>
    <row r="58" spans="1:32" hidden="1" x14ac:dyDescent="0.25">
      <c r="A58" s="46" t="s">
        <v>401</v>
      </c>
      <c r="B58" s="80">
        <v>461819</v>
      </c>
      <c r="C58" s="15" t="s">
        <v>222</v>
      </c>
      <c r="D58" s="15" t="s">
        <v>257</v>
      </c>
      <c r="E58" s="15" t="s">
        <v>264</v>
      </c>
      <c r="F58" s="15"/>
      <c r="G58" s="16">
        <v>44200</v>
      </c>
      <c r="H58" s="16" t="s">
        <v>216</v>
      </c>
      <c r="I58" s="19" t="str">
        <f>IF(ISBLANK(JobBonus[[#This Row],[Employee Name]]),"",INDEX(Employees[Job Title],MATCH(JobBonus[[#This Row],[Employee Name]],Employees[Employee Name2],0)))</f>
        <v>2 Driver</v>
      </c>
      <c r="J58" s="19" t="str">
        <f>IF(ISBLANK(JobBonus[[#This Row],[Job Prov]]),"",IF(JobBonus[[#This Row],[Job Prov]]=INDEX(Employees[Province],MATCH(JobBonus[[#This Row],[Employee Name]],Employees[Employee Name2],0)),"No","Yes"))</f>
        <v>No</v>
      </c>
      <c r="K58" s="17" t="s">
        <v>271</v>
      </c>
      <c r="L58" s="19" t="s">
        <v>396</v>
      </c>
      <c r="M58" s="23">
        <v>4724.2700000000004</v>
      </c>
      <c r="N58" s="23"/>
      <c r="O58" s="15"/>
      <c r="P58" s="15"/>
      <c r="Q58" s="15"/>
      <c r="R58" s="15"/>
      <c r="S58" s="44" cm="1">
        <f t="array" ref="S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58" s="44" cm="1">
        <f t="array" ref="T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8" s="44">
        <f>JobBonus[[#This Row],[Variable Pay]]+JobBonus[[#This Row],[Crew Efficiency Bonus]]</f>
        <v>220</v>
      </c>
      <c r="V58" s="44" cm="1">
        <f t="array" ref="V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8" s="44" t="b">
        <f>_xlfn.IFNA(EXACT(VLOOKUP(JobBonus[[#This Row],[Pay Type]],PayTypes[#All],4,FALSE),"Yes"),FALSE)</f>
        <v>0</v>
      </c>
      <c r="X58" s="44" cm="1">
        <f t="array" ref="X58">SUMPRODUCT((StandByRates[Position]=JobBonus[[#This Row],[Position]])*(JobBonus[[#This Row],[Area]]=StandByRates[Area])*(StandByRates[Hourly]*JobBonus[[#This Row],[Standby/ Ext 
Hrs]]))</f>
        <v>0</v>
      </c>
      <c r="Y58" s="44">
        <f>JobBonus[[#This Row],[Variable Pay]]+JobBonus[[#This Row],[Crew Efficiency Bonus]]+JobBonus[[#This Row],[OVPP]]+JobBonus[[#This Row],[StandBy/ Ext Amount]]</f>
        <v>220</v>
      </c>
      <c r="Z58" s="80"/>
      <c r="AA58" s="42"/>
      <c r="AB58" s="42"/>
      <c r="AC58"/>
      <c r="AD58"/>
      <c r="AE58"/>
      <c r="AF58"/>
    </row>
    <row r="59" spans="1:32" hidden="1" x14ac:dyDescent="0.25">
      <c r="A59" s="46" t="s">
        <v>412</v>
      </c>
      <c r="B59" s="80">
        <v>461820</v>
      </c>
      <c r="C59" s="15" t="s">
        <v>220</v>
      </c>
      <c r="D59" s="15" t="s">
        <v>89</v>
      </c>
      <c r="E59" s="15" t="s">
        <v>264</v>
      </c>
      <c r="F59" s="15"/>
      <c r="G59" s="16">
        <v>44201</v>
      </c>
      <c r="H59" s="16" t="s">
        <v>216</v>
      </c>
      <c r="I59" s="19" t="str">
        <f>IF(ISBLANK(JobBonus[[#This Row],[Employee Name]]),"",INDEX(Employees[Job Title],MATCH(JobBonus[[#This Row],[Employee Name]],Employees[Employee Name2],0)))</f>
        <v>2 Supervisor</v>
      </c>
      <c r="J59" s="19" t="str">
        <f>IF(ISBLANK(JobBonus[[#This Row],[Job Prov]]),"",IF(JobBonus[[#This Row],[Job Prov]]=INDEX(Employees[Province],MATCH(JobBonus[[#This Row],[Employee Name]],Employees[Employee Name2],0)),"No","Yes"))</f>
        <v>Yes</v>
      </c>
      <c r="K59" s="17" t="s">
        <v>119</v>
      </c>
      <c r="L59" s="19" t="s">
        <v>415</v>
      </c>
      <c r="M59" s="23">
        <v>3944</v>
      </c>
      <c r="N59" s="23"/>
      <c r="O59" s="15"/>
      <c r="P59" s="15"/>
      <c r="Q59" s="15"/>
      <c r="R59" s="15"/>
      <c r="S59" s="44" cm="1">
        <f t="array" ref="S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59" s="44" cm="1">
        <f t="array" ref="T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9" s="44">
        <f>JobBonus[[#This Row],[Variable Pay]]+JobBonus[[#This Row],[Crew Efficiency Bonus]]</f>
        <v>245</v>
      </c>
      <c r="V59" s="44" cm="1">
        <f t="array" ref="V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9" s="44" t="b">
        <f>_xlfn.IFNA(EXACT(VLOOKUP(JobBonus[[#This Row],[Pay Type]],PayTypes[#All],4,FALSE),"Yes"),FALSE)</f>
        <v>0</v>
      </c>
      <c r="X59" s="44" cm="1">
        <f t="array" ref="X59">SUMPRODUCT((StandByRates[Position]=JobBonus[[#This Row],[Position]])*(JobBonus[[#This Row],[Area]]=StandByRates[Area])*(StandByRates[Hourly]*JobBonus[[#This Row],[Standby/ Ext 
Hrs]]))</f>
        <v>0</v>
      </c>
      <c r="Y59" s="44">
        <f>JobBonus[[#This Row],[Variable Pay]]+JobBonus[[#This Row],[Crew Efficiency Bonus]]+JobBonus[[#This Row],[OVPP]]+JobBonus[[#This Row],[StandBy/ Ext Amount]]</f>
        <v>245</v>
      </c>
      <c r="Z59" s="80"/>
      <c r="AA59" s="42"/>
      <c r="AB59" s="42"/>
      <c r="AC59"/>
      <c r="AD59"/>
      <c r="AE59"/>
      <c r="AF59"/>
    </row>
    <row r="60" spans="1:32" hidden="1" x14ac:dyDescent="0.25">
      <c r="A60" s="46" t="s">
        <v>414</v>
      </c>
      <c r="B60" s="80">
        <v>461820</v>
      </c>
      <c r="C60" s="15" t="s">
        <v>220</v>
      </c>
      <c r="D60" s="15" t="s">
        <v>89</v>
      </c>
      <c r="E60" s="15" t="s">
        <v>264</v>
      </c>
      <c r="F60" s="15"/>
      <c r="G60" s="16">
        <v>44201</v>
      </c>
      <c r="H60" s="16" t="s">
        <v>216</v>
      </c>
      <c r="I60" s="19" t="str">
        <f>IF(ISBLANK(JobBonus[[#This Row],[Employee Name]]),"",INDEX(Employees[Job Title],MATCH(JobBonus[[#This Row],[Employee Name]],Employees[Employee Name2],0)))</f>
        <v>2 Operator</v>
      </c>
      <c r="J60" s="19" t="str">
        <f>IF(ISBLANK(JobBonus[[#This Row],[Job Prov]]),"",IF(JobBonus[[#This Row],[Job Prov]]=INDEX(Employees[Province],MATCH(JobBonus[[#This Row],[Employee Name]],Employees[Employee Name2],0)),"No","Yes"))</f>
        <v>Yes</v>
      </c>
      <c r="K60" s="17" t="s">
        <v>115</v>
      </c>
      <c r="L60" s="19" t="s">
        <v>415</v>
      </c>
      <c r="M60" s="23">
        <v>3944</v>
      </c>
      <c r="N60" s="23"/>
      <c r="O60" s="15"/>
      <c r="P60" s="15"/>
      <c r="Q60" s="15"/>
      <c r="R60" s="15"/>
      <c r="S60" s="44" cm="1">
        <f t="array" ref="S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60" s="44" cm="1">
        <f t="array" ref="T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0" s="44">
        <f>JobBonus[[#This Row],[Variable Pay]]+JobBonus[[#This Row],[Crew Efficiency Bonus]]</f>
        <v>195</v>
      </c>
      <c r="V60" s="44" cm="1">
        <f t="array" ref="V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0" s="44" t="b">
        <f>_xlfn.IFNA(EXACT(VLOOKUP(JobBonus[[#This Row],[Pay Type]],PayTypes[#All],4,FALSE),"Yes"),FALSE)</f>
        <v>0</v>
      </c>
      <c r="X60" s="44" cm="1">
        <f t="array" ref="X60">SUMPRODUCT((StandByRates[Position]=JobBonus[[#This Row],[Position]])*(JobBonus[[#This Row],[Area]]=StandByRates[Area])*(StandByRates[Hourly]*JobBonus[[#This Row],[Standby/ Ext 
Hrs]]))</f>
        <v>0</v>
      </c>
      <c r="Y60" s="44">
        <f>JobBonus[[#This Row],[Variable Pay]]+JobBonus[[#This Row],[Crew Efficiency Bonus]]+JobBonus[[#This Row],[OVPP]]+JobBonus[[#This Row],[StandBy/ Ext Amount]]</f>
        <v>195</v>
      </c>
      <c r="Z60" s="80"/>
      <c r="AA60" s="42"/>
      <c r="AB60" s="42"/>
      <c r="AC60"/>
      <c r="AD60"/>
      <c r="AE60"/>
      <c r="AF60"/>
    </row>
    <row r="61" spans="1:32" hidden="1" x14ac:dyDescent="0.25">
      <c r="A61" s="46" t="s">
        <v>401</v>
      </c>
      <c r="B61" s="80">
        <v>461820</v>
      </c>
      <c r="C61" s="15" t="s">
        <v>220</v>
      </c>
      <c r="D61" s="15" t="s">
        <v>89</v>
      </c>
      <c r="E61" s="15" t="s">
        <v>264</v>
      </c>
      <c r="F61" s="15"/>
      <c r="G61" s="16">
        <v>44201</v>
      </c>
      <c r="H61" s="16" t="s">
        <v>216</v>
      </c>
      <c r="I61" s="19" t="str">
        <f>IF(ISBLANK(JobBonus[[#This Row],[Employee Name]]),"",INDEX(Employees[Job Title],MATCH(JobBonus[[#This Row],[Employee Name]],Employees[Employee Name2],0)))</f>
        <v>2 Driver</v>
      </c>
      <c r="J61" s="19" t="str">
        <f>IF(ISBLANK(JobBonus[[#This Row],[Job Prov]]),"",IF(JobBonus[[#This Row],[Job Prov]]=INDEX(Employees[Province],MATCH(JobBonus[[#This Row],[Employee Name]],Employees[Employee Name2],0)),"No","Yes"))</f>
        <v>Yes</v>
      </c>
      <c r="K61" s="17" t="s">
        <v>270</v>
      </c>
      <c r="L61" s="19" t="s">
        <v>415</v>
      </c>
      <c r="M61" s="23">
        <v>3944</v>
      </c>
      <c r="N61" s="23"/>
      <c r="O61" s="15"/>
      <c r="P61" s="15"/>
      <c r="Q61" s="15"/>
      <c r="R61" s="15"/>
      <c r="S61" s="44" cm="1">
        <f t="array" ref="S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61" s="44" cm="1">
        <f t="array" ref="T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1" s="44">
        <f>JobBonus[[#This Row],[Variable Pay]]+JobBonus[[#This Row],[Crew Efficiency Bonus]]</f>
        <v>175</v>
      </c>
      <c r="V61" s="44" cm="1">
        <f t="array" ref="V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1" s="44" t="b">
        <f>_xlfn.IFNA(EXACT(VLOOKUP(JobBonus[[#This Row],[Pay Type]],PayTypes[#All],4,FALSE),"Yes"),FALSE)</f>
        <v>0</v>
      </c>
      <c r="X61" s="44" cm="1">
        <f t="array" ref="X61">SUMPRODUCT((StandByRates[Position]=JobBonus[[#This Row],[Position]])*(JobBonus[[#This Row],[Area]]=StandByRates[Area])*(StandByRates[Hourly]*JobBonus[[#This Row],[Standby/ Ext 
Hrs]]))</f>
        <v>0</v>
      </c>
      <c r="Y61" s="44">
        <f>JobBonus[[#This Row],[Variable Pay]]+JobBonus[[#This Row],[Crew Efficiency Bonus]]+JobBonus[[#This Row],[OVPP]]+JobBonus[[#This Row],[StandBy/ Ext Amount]]</f>
        <v>175</v>
      </c>
      <c r="Z61" s="80"/>
      <c r="AA61" s="42"/>
      <c r="AB61" s="42"/>
      <c r="AC61"/>
      <c r="AD61"/>
      <c r="AE61"/>
      <c r="AF61"/>
    </row>
    <row r="62" spans="1:32" hidden="1" x14ac:dyDescent="0.25">
      <c r="A62" s="46" t="s">
        <v>412</v>
      </c>
      <c r="B62" s="80">
        <v>461821</v>
      </c>
      <c r="C62" s="15" t="s">
        <v>222</v>
      </c>
      <c r="D62" s="15" t="s">
        <v>89</v>
      </c>
      <c r="E62" s="15" t="s">
        <v>264</v>
      </c>
      <c r="F62" s="15"/>
      <c r="G62" s="16">
        <v>44201</v>
      </c>
      <c r="H62" s="16" t="s">
        <v>216</v>
      </c>
      <c r="I62" s="19" t="str">
        <f>IF(ISBLANK(JobBonus[[#This Row],[Employee Name]]),"",INDEX(Employees[Job Title],MATCH(JobBonus[[#This Row],[Employee Name]],Employees[Employee Name2],0)))</f>
        <v>2 Supervisor</v>
      </c>
      <c r="J62" s="19" t="str">
        <f>IF(ISBLANK(JobBonus[[#This Row],[Job Prov]]),"",IF(JobBonus[[#This Row],[Job Prov]]=INDEX(Employees[Province],MATCH(JobBonus[[#This Row],[Employee Name]],Employees[Employee Name2],0)),"No","Yes"))</f>
        <v>Yes</v>
      </c>
      <c r="K62" s="17" t="s">
        <v>156</v>
      </c>
      <c r="L62" s="19" t="s">
        <v>416</v>
      </c>
      <c r="M62" s="23">
        <v>8671.5</v>
      </c>
      <c r="N62" s="23"/>
      <c r="O62" s="15"/>
      <c r="P62" s="15"/>
      <c r="Q62" s="15"/>
      <c r="R62" s="15"/>
      <c r="S62" s="44" cm="1">
        <f t="array" ref="S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62" s="44" cm="1">
        <f t="array" ref="T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2" s="44">
        <f>JobBonus[[#This Row],[Variable Pay]]+JobBonus[[#This Row],[Crew Efficiency Bonus]]</f>
        <v>315</v>
      </c>
      <c r="V62" s="44" cm="1">
        <f t="array" ref="V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2" s="44" t="b">
        <f>_xlfn.IFNA(EXACT(VLOOKUP(JobBonus[[#This Row],[Pay Type]],PayTypes[#All],4,FALSE),"Yes"),FALSE)</f>
        <v>0</v>
      </c>
      <c r="X62" s="44" cm="1">
        <f t="array" ref="X62">SUMPRODUCT((StandByRates[Position]=JobBonus[[#This Row],[Position]])*(JobBonus[[#This Row],[Area]]=StandByRates[Area])*(StandByRates[Hourly]*JobBonus[[#This Row],[Standby/ Ext 
Hrs]]))</f>
        <v>0</v>
      </c>
      <c r="Y62" s="44">
        <f>JobBonus[[#This Row],[Variable Pay]]+JobBonus[[#This Row],[Crew Efficiency Bonus]]+JobBonus[[#This Row],[OVPP]]+JobBonus[[#This Row],[StandBy/ Ext Amount]]</f>
        <v>315</v>
      </c>
      <c r="Z62" s="80"/>
      <c r="AA62" s="42"/>
      <c r="AB62" s="42"/>
      <c r="AC62"/>
      <c r="AD62"/>
      <c r="AE62"/>
      <c r="AF62"/>
    </row>
    <row r="63" spans="1:32" hidden="1" x14ac:dyDescent="0.25">
      <c r="A63" s="46" t="s">
        <v>414</v>
      </c>
      <c r="B63" s="80">
        <v>461821</v>
      </c>
      <c r="C63" s="15" t="s">
        <v>222</v>
      </c>
      <c r="D63" s="15" t="s">
        <v>89</v>
      </c>
      <c r="E63" s="15" t="s">
        <v>264</v>
      </c>
      <c r="F63" s="15"/>
      <c r="G63" s="16">
        <v>44201</v>
      </c>
      <c r="H63" s="16" t="s">
        <v>216</v>
      </c>
      <c r="I63" s="19" t="str">
        <f>IF(ISBLANK(JobBonus[[#This Row],[Employee Name]]),"",INDEX(Employees[Job Title],MATCH(JobBonus[[#This Row],[Employee Name]],Employees[Employee Name2],0)))</f>
        <v>2 Operator</v>
      </c>
      <c r="J63" s="19" t="str">
        <f>IF(ISBLANK(JobBonus[[#This Row],[Job Prov]]),"",IF(JobBonus[[#This Row],[Job Prov]]=INDEX(Employees[Province],MATCH(JobBonus[[#This Row],[Employee Name]],Employees[Employee Name2],0)),"No","Yes"))</f>
        <v>Yes</v>
      </c>
      <c r="K63" s="17" t="s">
        <v>155</v>
      </c>
      <c r="L63" s="19" t="s">
        <v>416</v>
      </c>
      <c r="M63" s="23">
        <v>8671.5</v>
      </c>
      <c r="N63" s="23"/>
      <c r="O63" s="15"/>
      <c r="P63" s="15"/>
      <c r="Q63" s="15"/>
      <c r="R63" s="15"/>
      <c r="S63" s="44" cm="1">
        <f t="array" ref="S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63" s="44" cm="1">
        <f t="array" ref="T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3" s="44">
        <f>JobBonus[[#This Row],[Variable Pay]]+JobBonus[[#This Row],[Crew Efficiency Bonus]]</f>
        <v>230</v>
      </c>
      <c r="V63" s="44" cm="1">
        <f t="array" ref="V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3" s="44" t="b">
        <f>_xlfn.IFNA(EXACT(VLOOKUP(JobBonus[[#This Row],[Pay Type]],PayTypes[#All],4,FALSE),"Yes"),FALSE)</f>
        <v>0</v>
      </c>
      <c r="X63" s="44" cm="1">
        <f t="array" ref="X63">SUMPRODUCT((StandByRates[Position]=JobBonus[[#This Row],[Position]])*(JobBonus[[#This Row],[Area]]=StandByRates[Area])*(StandByRates[Hourly]*JobBonus[[#This Row],[Standby/ Ext 
Hrs]]))</f>
        <v>0</v>
      </c>
      <c r="Y63" s="44">
        <f>JobBonus[[#This Row],[Variable Pay]]+JobBonus[[#This Row],[Crew Efficiency Bonus]]+JobBonus[[#This Row],[OVPP]]+JobBonus[[#This Row],[StandBy/ Ext Amount]]</f>
        <v>230</v>
      </c>
      <c r="Z63" s="80"/>
      <c r="AA63" s="42"/>
      <c r="AB63" s="42"/>
      <c r="AC63"/>
      <c r="AD63"/>
      <c r="AE63"/>
      <c r="AF63"/>
    </row>
    <row r="64" spans="1:32" hidden="1" x14ac:dyDescent="0.25">
      <c r="A64" s="46" t="s">
        <v>401</v>
      </c>
      <c r="B64" s="80">
        <v>461821</v>
      </c>
      <c r="C64" s="15" t="s">
        <v>222</v>
      </c>
      <c r="D64" s="15" t="s">
        <v>89</v>
      </c>
      <c r="E64" s="15" t="s">
        <v>264</v>
      </c>
      <c r="F64" s="15"/>
      <c r="G64" s="16">
        <v>44201</v>
      </c>
      <c r="H64" s="16" t="s">
        <v>216</v>
      </c>
      <c r="I64" s="19" t="str">
        <f>IF(ISBLANK(JobBonus[[#This Row],[Employee Name]]),"",INDEX(Employees[Job Title],MATCH(JobBonus[[#This Row],[Employee Name]],Employees[Employee Name2],0)))</f>
        <v>2 Driver</v>
      </c>
      <c r="J64" s="19" t="str">
        <f>IF(ISBLANK(JobBonus[[#This Row],[Job Prov]]),"",IF(JobBonus[[#This Row],[Job Prov]]=INDEX(Employees[Province],MATCH(JobBonus[[#This Row],[Employee Name]],Employees[Employee Name2],0)),"No","Yes"))</f>
        <v>Yes</v>
      </c>
      <c r="K64" s="17" t="s">
        <v>271</v>
      </c>
      <c r="L64" s="19" t="s">
        <v>416</v>
      </c>
      <c r="M64" s="23">
        <v>8671.5</v>
      </c>
      <c r="N64" s="23"/>
      <c r="O64" s="15"/>
      <c r="P64" s="15"/>
      <c r="Q64" s="15"/>
      <c r="R64" s="15"/>
      <c r="S64" s="44" cm="1">
        <f t="array" ref="S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64" s="44" cm="1">
        <f t="array" ref="T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4" s="44">
        <f>JobBonus[[#This Row],[Variable Pay]]+JobBonus[[#This Row],[Crew Efficiency Bonus]]</f>
        <v>220</v>
      </c>
      <c r="V64" s="44" cm="1">
        <f t="array" ref="V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4" s="44" t="b">
        <f>_xlfn.IFNA(EXACT(VLOOKUP(JobBonus[[#This Row],[Pay Type]],PayTypes[#All],4,FALSE),"Yes"),FALSE)</f>
        <v>0</v>
      </c>
      <c r="X64" s="44" cm="1">
        <f t="array" ref="X64">SUMPRODUCT((StandByRates[Position]=JobBonus[[#This Row],[Position]])*(JobBonus[[#This Row],[Area]]=StandByRates[Area])*(StandByRates[Hourly]*JobBonus[[#This Row],[Standby/ Ext 
Hrs]]))</f>
        <v>0</v>
      </c>
      <c r="Y64" s="44">
        <f>JobBonus[[#This Row],[Variable Pay]]+JobBonus[[#This Row],[Crew Efficiency Bonus]]+JobBonus[[#This Row],[OVPP]]+JobBonus[[#This Row],[StandBy/ Ext Amount]]</f>
        <v>220</v>
      </c>
      <c r="Z64" s="80"/>
      <c r="AA64" s="42"/>
      <c r="AB64" s="42"/>
      <c r="AC64"/>
      <c r="AD64"/>
      <c r="AE64"/>
      <c r="AF64"/>
    </row>
    <row r="65" spans="1:32" hidden="1" x14ac:dyDescent="0.25">
      <c r="A65" s="46" t="s">
        <v>393</v>
      </c>
      <c r="B65" s="80">
        <v>464180</v>
      </c>
      <c r="C65" s="15" t="s">
        <v>220</v>
      </c>
      <c r="D65" s="15" t="s">
        <v>257</v>
      </c>
      <c r="E65" s="15" t="s">
        <v>264</v>
      </c>
      <c r="F65" s="15"/>
      <c r="G65" s="16">
        <v>44202</v>
      </c>
      <c r="H65" s="16" t="s">
        <v>216</v>
      </c>
      <c r="I65" s="19" t="str">
        <f>IF(ISBLANK(JobBonus[[#This Row],[Employee Name]]),"",INDEX(Employees[Job Title],MATCH(JobBonus[[#This Row],[Employee Name]],Employees[Employee Name2],0)))</f>
        <v>2 Supervisor</v>
      </c>
      <c r="J65" s="19" t="str">
        <f>IF(ISBLANK(JobBonus[[#This Row],[Job Prov]]),"",IF(JobBonus[[#This Row],[Job Prov]]=INDEX(Employees[Province],MATCH(JobBonus[[#This Row],[Employee Name]],Employees[Employee Name2],0)),"No","Yes"))</f>
        <v>No</v>
      </c>
      <c r="K65" s="17" t="s">
        <v>119</v>
      </c>
      <c r="L65" s="19" t="s">
        <v>396</v>
      </c>
      <c r="M65" s="23">
        <v>28562.67</v>
      </c>
      <c r="N65" s="23"/>
      <c r="O65" s="15"/>
      <c r="P65" s="15"/>
      <c r="Q65" s="15"/>
      <c r="R65" s="15"/>
      <c r="S65" s="44" cm="1">
        <f t="array" ref="S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317.69</v>
      </c>
      <c r="T65" s="44" cm="1">
        <f t="array" ref="T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5" s="44">
        <f>JobBonus[[#This Row],[Variable Pay]]+JobBonus[[#This Row],[Crew Efficiency Bonus]]</f>
        <v>317.69</v>
      </c>
      <c r="V65" s="44" cm="1">
        <f t="array" ref="V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5" s="44" t="b">
        <f>_xlfn.IFNA(EXACT(VLOOKUP(JobBonus[[#This Row],[Pay Type]],PayTypes[#All],4,FALSE),"Yes"),FALSE)</f>
        <v>0</v>
      </c>
      <c r="X65" s="44" cm="1">
        <f t="array" ref="X65">SUMPRODUCT((StandByRates[Position]=JobBonus[[#This Row],[Position]])*(JobBonus[[#This Row],[Area]]=StandByRates[Area])*(StandByRates[Hourly]*JobBonus[[#This Row],[Standby/ Ext 
Hrs]]))</f>
        <v>0</v>
      </c>
      <c r="Y65" s="44">
        <f>JobBonus[[#This Row],[Variable Pay]]+JobBonus[[#This Row],[Crew Efficiency Bonus]]+JobBonus[[#This Row],[OVPP]]+JobBonus[[#This Row],[StandBy/ Ext Amount]]</f>
        <v>317.69</v>
      </c>
      <c r="Z65" s="80"/>
      <c r="AA65" s="42"/>
      <c r="AB65" s="42"/>
      <c r="AC65"/>
      <c r="AD65"/>
      <c r="AE65"/>
      <c r="AF65"/>
    </row>
    <row r="66" spans="1:32" hidden="1" x14ac:dyDescent="0.25">
      <c r="A66" s="46" t="s">
        <v>414</v>
      </c>
      <c r="B66" s="80">
        <v>464180</v>
      </c>
      <c r="C66" s="15" t="s">
        <v>220</v>
      </c>
      <c r="D66" s="15" t="s">
        <v>257</v>
      </c>
      <c r="E66" s="15" t="s">
        <v>264</v>
      </c>
      <c r="F66" s="15"/>
      <c r="G66" s="16">
        <v>44202</v>
      </c>
      <c r="H66" s="16" t="s">
        <v>216</v>
      </c>
      <c r="I66" s="19" t="str">
        <f>IF(ISBLANK(JobBonus[[#This Row],[Employee Name]]),"",INDEX(Employees[Job Title],MATCH(JobBonus[[#This Row],[Employee Name]],Employees[Employee Name2],0)))</f>
        <v>2 Operator</v>
      </c>
      <c r="J66" s="19" t="str">
        <f>IF(ISBLANK(JobBonus[[#This Row],[Job Prov]]),"",IF(JobBonus[[#This Row],[Job Prov]]=INDEX(Employees[Province],MATCH(JobBonus[[#This Row],[Employee Name]],Employees[Employee Name2],0)),"No","Yes"))</f>
        <v>No</v>
      </c>
      <c r="K66" s="17" t="s">
        <v>115</v>
      </c>
      <c r="L66" s="19" t="s">
        <v>396</v>
      </c>
      <c r="M66" s="23">
        <v>28562.67</v>
      </c>
      <c r="N66" s="23"/>
      <c r="O66" s="15"/>
      <c r="P66" s="15"/>
      <c r="Q66" s="15"/>
      <c r="R66" s="15"/>
      <c r="S66" s="44" cm="1">
        <f t="array" ref="S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249.13</v>
      </c>
      <c r="T66" s="44" cm="1">
        <f t="array" ref="T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6" s="44">
        <f>JobBonus[[#This Row],[Variable Pay]]+JobBonus[[#This Row],[Crew Efficiency Bonus]]</f>
        <v>249.13</v>
      </c>
      <c r="V66" s="44" cm="1">
        <f t="array" ref="V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6" s="44" t="b">
        <f>_xlfn.IFNA(EXACT(VLOOKUP(JobBonus[[#This Row],[Pay Type]],PayTypes[#All],4,FALSE),"Yes"),FALSE)</f>
        <v>0</v>
      </c>
      <c r="X66" s="44" cm="1">
        <f t="array" ref="X66">SUMPRODUCT((StandByRates[Position]=JobBonus[[#This Row],[Position]])*(JobBonus[[#This Row],[Area]]=StandByRates[Area])*(StandByRates[Hourly]*JobBonus[[#This Row],[Standby/ Ext 
Hrs]]))</f>
        <v>0</v>
      </c>
      <c r="Y66" s="44">
        <f>JobBonus[[#This Row],[Variable Pay]]+JobBonus[[#This Row],[Crew Efficiency Bonus]]+JobBonus[[#This Row],[OVPP]]+JobBonus[[#This Row],[StandBy/ Ext Amount]]</f>
        <v>249.13</v>
      </c>
      <c r="Z66" s="80"/>
      <c r="AA66" s="42"/>
      <c r="AB66" s="42"/>
      <c r="AC66"/>
      <c r="AD66"/>
      <c r="AE66"/>
      <c r="AF66"/>
    </row>
    <row r="67" spans="1:32" hidden="1" x14ac:dyDescent="0.25">
      <c r="A67" s="46" t="s">
        <v>405</v>
      </c>
      <c r="B67" s="80">
        <v>464180</v>
      </c>
      <c r="C67" s="15" t="s">
        <v>220</v>
      </c>
      <c r="D67" s="15" t="s">
        <v>257</v>
      </c>
      <c r="E67" s="15" t="s">
        <v>264</v>
      </c>
      <c r="F67" s="15"/>
      <c r="G67" s="16">
        <v>44202</v>
      </c>
      <c r="H67" s="16" t="s">
        <v>216</v>
      </c>
      <c r="I67" s="19" t="str">
        <f>IF(ISBLANK(JobBonus[[#This Row],[Employee Name]]),"",INDEX(Employees[Job Title],MATCH(JobBonus[[#This Row],[Employee Name]],Employees[Employee Name2],0)))</f>
        <v>2 Operator</v>
      </c>
      <c r="J67" s="19" t="str">
        <f>IF(ISBLANK(JobBonus[[#This Row],[Job Prov]]),"",IF(JobBonus[[#This Row],[Job Prov]]=INDEX(Employees[Province],MATCH(JobBonus[[#This Row],[Employee Name]],Employees[Employee Name2],0)),"No","Yes"))</f>
        <v>No</v>
      </c>
      <c r="K67" s="17" t="s">
        <v>270</v>
      </c>
      <c r="L67" s="19" t="s">
        <v>396</v>
      </c>
      <c r="M67" s="23">
        <v>28562.67</v>
      </c>
      <c r="N67" s="23"/>
      <c r="O67" s="15"/>
      <c r="P67" s="15"/>
      <c r="Q67" s="15"/>
      <c r="R67" s="15"/>
      <c r="S67" s="44" cm="1">
        <f t="array" ref="S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199.85</v>
      </c>
      <c r="T67" s="44" cm="1">
        <f t="array" ref="T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7" s="44">
        <f>JobBonus[[#This Row],[Variable Pay]]+JobBonus[[#This Row],[Crew Efficiency Bonus]]</f>
        <v>199.85</v>
      </c>
      <c r="V67" s="44" cm="1">
        <f t="array" ref="V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7" s="44" t="b">
        <f>_xlfn.IFNA(EXACT(VLOOKUP(JobBonus[[#This Row],[Pay Type]],PayTypes[#All],4,FALSE),"Yes"),FALSE)</f>
        <v>0</v>
      </c>
      <c r="X67" s="44" cm="1">
        <f t="array" ref="X67">SUMPRODUCT((StandByRates[Position]=JobBonus[[#This Row],[Position]])*(JobBonus[[#This Row],[Area]]=StandByRates[Area])*(StandByRates[Hourly]*JobBonus[[#This Row],[Standby/ Ext 
Hrs]]))</f>
        <v>0</v>
      </c>
      <c r="Y67" s="44">
        <f>JobBonus[[#This Row],[Variable Pay]]+JobBonus[[#This Row],[Crew Efficiency Bonus]]+JobBonus[[#This Row],[OVPP]]+JobBonus[[#This Row],[StandBy/ Ext Amount]]</f>
        <v>199.85</v>
      </c>
      <c r="Z67" s="80"/>
      <c r="AA67" s="42"/>
      <c r="AB67" s="42"/>
      <c r="AC67"/>
      <c r="AD67"/>
      <c r="AE67"/>
      <c r="AF67"/>
    </row>
    <row r="68" spans="1:32" hidden="1" x14ac:dyDescent="0.25">
      <c r="A68" s="46" t="s">
        <v>393</v>
      </c>
      <c r="B68" s="80">
        <v>464181</v>
      </c>
      <c r="C68" s="15" t="s">
        <v>220</v>
      </c>
      <c r="D68" s="15" t="s">
        <v>257</v>
      </c>
      <c r="E68" s="15" t="s">
        <v>264</v>
      </c>
      <c r="F68" s="15"/>
      <c r="G68" s="16">
        <v>44203</v>
      </c>
      <c r="H68" s="16" t="s">
        <v>216</v>
      </c>
      <c r="I68" s="19" t="str">
        <f>IF(ISBLANK(JobBonus[[#This Row],[Employee Name]]),"",INDEX(Employees[Job Title],MATCH(JobBonus[[#This Row],[Employee Name]],Employees[Employee Name2],0)))</f>
        <v>2 Supervisor</v>
      </c>
      <c r="J68" s="19" t="str">
        <f>IF(ISBLANK(JobBonus[[#This Row],[Job Prov]]),"",IF(JobBonus[[#This Row],[Job Prov]]=INDEX(Employees[Province],MATCH(JobBonus[[#This Row],[Employee Name]],Employees[Employee Name2],0)),"No","Yes"))</f>
        <v>No</v>
      </c>
      <c r="K68" s="17" t="s">
        <v>119</v>
      </c>
      <c r="L68" s="19" t="s">
        <v>396</v>
      </c>
      <c r="M68" s="23">
        <v>6366.15</v>
      </c>
      <c r="N68" s="23"/>
      <c r="O68" s="15"/>
      <c r="P68" s="15"/>
      <c r="Q68" s="15"/>
      <c r="R68" s="15"/>
      <c r="S68" s="44" cm="1">
        <f t="array" ref="S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68" s="44" cm="1">
        <f t="array" ref="T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8" s="44">
        <f>JobBonus[[#This Row],[Variable Pay]]+JobBonus[[#This Row],[Crew Efficiency Bonus]]</f>
        <v>245</v>
      </c>
      <c r="V68" s="44" cm="1">
        <f t="array" ref="V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8" s="44" t="b">
        <f>_xlfn.IFNA(EXACT(VLOOKUP(JobBonus[[#This Row],[Pay Type]],PayTypes[#All],4,FALSE),"Yes"),FALSE)</f>
        <v>0</v>
      </c>
      <c r="X68" s="44" cm="1">
        <f t="array" ref="X68">SUMPRODUCT((StandByRates[Position]=JobBonus[[#This Row],[Position]])*(JobBonus[[#This Row],[Area]]=StandByRates[Area])*(StandByRates[Hourly]*JobBonus[[#This Row],[Standby/ Ext 
Hrs]]))</f>
        <v>0</v>
      </c>
      <c r="Y68" s="44">
        <f>JobBonus[[#This Row],[Variable Pay]]+JobBonus[[#This Row],[Crew Efficiency Bonus]]+JobBonus[[#This Row],[OVPP]]+JobBonus[[#This Row],[StandBy/ Ext Amount]]</f>
        <v>245</v>
      </c>
      <c r="Z68" s="80"/>
      <c r="AA68" s="42"/>
      <c r="AB68" s="42"/>
      <c r="AC68"/>
      <c r="AD68"/>
      <c r="AE68"/>
      <c r="AF68"/>
    </row>
    <row r="69" spans="1:32" hidden="1" x14ac:dyDescent="0.25">
      <c r="A69" s="46" t="s">
        <v>414</v>
      </c>
      <c r="B69" s="80">
        <v>464181</v>
      </c>
      <c r="C69" s="15" t="s">
        <v>220</v>
      </c>
      <c r="D69" s="15" t="s">
        <v>257</v>
      </c>
      <c r="E69" s="15" t="s">
        <v>264</v>
      </c>
      <c r="F69" s="15"/>
      <c r="G69" s="16">
        <v>44203</v>
      </c>
      <c r="H69" s="16" t="s">
        <v>216</v>
      </c>
      <c r="I69" s="19" t="str">
        <f>IF(ISBLANK(JobBonus[[#This Row],[Employee Name]]),"",INDEX(Employees[Job Title],MATCH(JobBonus[[#This Row],[Employee Name]],Employees[Employee Name2],0)))</f>
        <v>2 Operator</v>
      </c>
      <c r="J69" s="19" t="str">
        <f>IF(ISBLANK(JobBonus[[#This Row],[Job Prov]]),"",IF(JobBonus[[#This Row],[Job Prov]]=INDEX(Employees[Province],MATCH(JobBonus[[#This Row],[Employee Name]],Employees[Employee Name2],0)),"No","Yes"))</f>
        <v>No</v>
      </c>
      <c r="K69" s="17" t="s">
        <v>115</v>
      </c>
      <c r="L69" s="19" t="s">
        <v>396</v>
      </c>
      <c r="M69" s="23">
        <v>6366.15</v>
      </c>
      <c r="N69" s="23"/>
      <c r="O69" s="15"/>
      <c r="P69" s="15"/>
      <c r="Q69" s="15"/>
      <c r="R69" s="15"/>
      <c r="S69" s="44" cm="1">
        <f t="array" ref="S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69" s="44" cm="1">
        <f t="array" ref="T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9" s="44">
        <f>JobBonus[[#This Row],[Variable Pay]]+JobBonus[[#This Row],[Crew Efficiency Bonus]]</f>
        <v>195</v>
      </c>
      <c r="V69" s="44" cm="1">
        <f t="array" ref="V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9" s="44" t="b">
        <f>_xlfn.IFNA(EXACT(VLOOKUP(JobBonus[[#This Row],[Pay Type]],PayTypes[#All],4,FALSE),"Yes"),FALSE)</f>
        <v>0</v>
      </c>
      <c r="X69" s="44" cm="1">
        <f t="array" ref="X69">SUMPRODUCT((StandByRates[Position]=JobBonus[[#This Row],[Position]])*(JobBonus[[#This Row],[Area]]=StandByRates[Area])*(StandByRates[Hourly]*JobBonus[[#This Row],[Standby/ Ext 
Hrs]]))</f>
        <v>0</v>
      </c>
      <c r="Y69" s="44">
        <f>JobBonus[[#This Row],[Variable Pay]]+JobBonus[[#This Row],[Crew Efficiency Bonus]]+JobBonus[[#This Row],[OVPP]]+JobBonus[[#This Row],[StandBy/ Ext Amount]]</f>
        <v>195</v>
      </c>
      <c r="Z69" s="80"/>
      <c r="AA69" s="42"/>
      <c r="AB69" s="42"/>
      <c r="AC69"/>
      <c r="AD69"/>
      <c r="AE69"/>
      <c r="AF69"/>
    </row>
    <row r="70" spans="1:32" hidden="1" x14ac:dyDescent="0.25">
      <c r="A70" s="46" t="s">
        <v>405</v>
      </c>
      <c r="B70" s="80">
        <v>464181</v>
      </c>
      <c r="C70" s="15" t="s">
        <v>220</v>
      </c>
      <c r="D70" s="15" t="s">
        <v>257</v>
      </c>
      <c r="E70" s="15" t="s">
        <v>264</v>
      </c>
      <c r="F70" s="15"/>
      <c r="G70" s="16">
        <v>44203</v>
      </c>
      <c r="H70" s="16" t="s">
        <v>216</v>
      </c>
      <c r="I70" s="19" t="str">
        <f>IF(ISBLANK(JobBonus[[#This Row],[Employee Name]]),"",INDEX(Employees[Job Title],MATCH(JobBonus[[#This Row],[Employee Name]],Employees[Employee Name2],0)))</f>
        <v>2 Operator</v>
      </c>
      <c r="J70" s="19" t="str">
        <f>IF(ISBLANK(JobBonus[[#This Row],[Job Prov]]),"",IF(JobBonus[[#This Row],[Job Prov]]=INDEX(Employees[Province],MATCH(JobBonus[[#This Row],[Employee Name]],Employees[Employee Name2],0)),"No","Yes"))</f>
        <v>No</v>
      </c>
      <c r="K70" s="17" t="s">
        <v>270</v>
      </c>
      <c r="L70" s="19" t="s">
        <v>396</v>
      </c>
      <c r="M70" s="23">
        <v>6366.15</v>
      </c>
      <c r="N70" s="23"/>
      <c r="O70" s="15"/>
      <c r="P70" s="15"/>
      <c r="Q70" s="15"/>
      <c r="R70" s="15"/>
      <c r="S70" s="44" cm="1">
        <f t="array" ref="S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70" s="44" cm="1">
        <f t="array" ref="T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0" s="44">
        <f>JobBonus[[#This Row],[Variable Pay]]+JobBonus[[#This Row],[Crew Efficiency Bonus]]</f>
        <v>175</v>
      </c>
      <c r="V70" s="44" cm="1">
        <f t="array" ref="V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0" s="44" t="b">
        <f>_xlfn.IFNA(EXACT(VLOOKUP(JobBonus[[#This Row],[Pay Type]],PayTypes[#All],4,FALSE),"Yes"),FALSE)</f>
        <v>0</v>
      </c>
      <c r="X70" s="44" cm="1">
        <f t="array" ref="X70">SUMPRODUCT((StandByRates[Position]=JobBonus[[#This Row],[Position]])*(JobBonus[[#This Row],[Area]]=StandByRates[Area])*(StandByRates[Hourly]*JobBonus[[#This Row],[Standby/ Ext 
Hrs]]))</f>
        <v>0</v>
      </c>
      <c r="Y70" s="44">
        <f>JobBonus[[#This Row],[Variable Pay]]+JobBonus[[#This Row],[Crew Efficiency Bonus]]+JobBonus[[#This Row],[OVPP]]+JobBonus[[#This Row],[StandBy/ Ext Amount]]</f>
        <v>175</v>
      </c>
      <c r="Z70" s="80"/>
      <c r="AA70" s="42"/>
      <c r="AB70" s="42"/>
      <c r="AC70"/>
      <c r="AD70"/>
      <c r="AE70"/>
      <c r="AF70"/>
    </row>
    <row r="71" spans="1:32" hidden="1" x14ac:dyDescent="0.25">
      <c r="A71" s="46" t="s">
        <v>417</v>
      </c>
      <c r="B71" s="80"/>
      <c r="C71" s="15" t="s">
        <v>220</v>
      </c>
      <c r="D71" s="15" t="s">
        <v>257</v>
      </c>
      <c r="E71" s="15" t="s">
        <v>264</v>
      </c>
      <c r="F71" s="15">
        <v>514428</v>
      </c>
      <c r="G71" s="16">
        <v>44205</v>
      </c>
      <c r="H71" s="16" t="s">
        <v>7</v>
      </c>
      <c r="I71" s="19" t="str">
        <f>IF(ISBLANK(JobBonus[[#This Row],[Employee Name]]),"",INDEX(Employees[Job Title],MATCH(JobBonus[[#This Row],[Employee Name]],Employees[Employee Name2],0)))</f>
        <v>2 Driver</v>
      </c>
      <c r="J71" s="19" t="str">
        <f>IF(ISBLANK(JobBonus[[#This Row],[Job Prov]]),"",IF(JobBonus[[#This Row],[Job Prov]]=INDEX(Employees[Province],MATCH(JobBonus[[#This Row],[Employee Name]],Employees[Employee Name2],0)),"No","Yes"))</f>
        <v>No</v>
      </c>
      <c r="K71" s="17" t="s">
        <v>270</v>
      </c>
      <c r="L71" s="19" t="s">
        <v>396</v>
      </c>
      <c r="M71" s="23"/>
      <c r="N71" s="23"/>
      <c r="O71" s="15">
        <v>70</v>
      </c>
      <c r="P71" s="15"/>
      <c r="Q71" s="15"/>
      <c r="R71" s="15"/>
      <c r="S71" s="44" cm="1">
        <f t="array" ref="S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1" s="44" cm="1">
        <f t="array" ref="T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1" s="44">
        <f>JobBonus[[#This Row],[Variable Pay]]+JobBonus[[#This Row],[Crew Efficiency Bonus]]</f>
        <v>0</v>
      </c>
      <c r="V71" s="44" cm="1">
        <f t="array" ref="V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123</v>
      </c>
      <c r="W71" s="44" t="b">
        <f>_xlfn.IFNA(EXACT(VLOOKUP(JobBonus[[#This Row],[Pay Type]],PayTypes[#All],4,FALSE),"Yes"),FALSE)</f>
        <v>0</v>
      </c>
      <c r="X71" s="44" cm="1">
        <f t="array" ref="X71">SUMPRODUCT((StandByRates[Position]=JobBonus[[#This Row],[Position]])*(JobBonus[[#This Row],[Area]]=StandByRates[Area])*(StandByRates[Hourly]*JobBonus[[#This Row],[Standby/ Ext 
Hrs]]))</f>
        <v>0</v>
      </c>
      <c r="Y71" s="44">
        <f>JobBonus[[#This Row],[Variable Pay]]+JobBonus[[#This Row],[Crew Efficiency Bonus]]+JobBonus[[#This Row],[OVPP]]+JobBonus[[#This Row],[StandBy/ Ext Amount]]</f>
        <v>123</v>
      </c>
      <c r="Z71" s="80" t="s">
        <v>418</v>
      </c>
      <c r="AA71" s="42"/>
      <c r="AB71" s="42"/>
      <c r="AC71"/>
      <c r="AD71"/>
      <c r="AE71"/>
      <c r="AF71"/>
    </row>
    <row r="72" spans="1:32" hidden="1" x14ac:dyDescent="0.25">
      <c r="A72" s="46" t="s">
        <v>401</v>
      </c>
      <c r="B72" s="80"/>
      <c r="C72" s="15" t="s">
        <v>220</v>
      </c>
      <c r="D72" s="15" t="s">
        <v>257</v>
      </c>
      <c r="E72" s="15" t="s">
        <v>264</v>
      </c>
      <c r="F72" s="15">
        <v>514423</v>
      </c>
      <c r="G72" s="16">
        <v>44202</v>
      </c>
      <c r="H72" s="16" t="s">
        <v>7</v>
      </c>
      <c r="I72" s="19" t="str">
        <f>IF(ISBLANK(JobBonus[[#This Row],[Employee Name]]),"",INDEX(Employees[Job Title],MATCH(JobBonus[[#This Row],[Employee Name]],Employees[Employee Name2],0)))</f>
        <v>2 Driver</v>
      </c>
      <c r="J72" s="19" t="str">
        <f>IF(ISBLANK(JobBonus[[#This Row],[Job Prov]]),"",IF(JobBonus[[#This Row],[Job Prov]]=INDEX(Employees[Province],MATCH(JobBonus[[#This Row],[Employee Name]],Employees[Employee Name2],0)),"No","Yes"))</f>
        <v>No</v>
      </c>
      <c r="K72" s="17" t="s">
        <v>270</v>
      </c>
      <c r="L72" s="19" t="s">
        <v>396</v>
      </c>
      <c r="M72" s="23"/>
      <c r="N72" s="23"/>
      <c r="O72" s="15">
        <v>110</v>
      </c>
      <c r="P72" s="15"/>
      <c r="Q72" s="15"/>
      <c r="R72" s="15"/>
      <c r="S72" s="44" cm="1">
        <f t="array" ref="S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2" s="44" cm="1">
        <f t="array" ref="T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2" s="44">
        <f>JobBonus[[#This Row],[Variable Pay]]+JobBonus[[#This Row],[Crew Efficiency Bonus]]</f>
        <v>0</v>
      </c>
      <c r="V72" s="44" cm="1">
        <f t="array" ref="V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127</v>
      </c>
      <c r="W72" s="44" t="b">
        <f>_xlfn.IFNA(EXACT(VLOOKUP(JobBonus[[#This Row],[Pay Type]],PayTypes[#All],4,FALSE),"Yes"),FALSE)</f>
        <v>0</v>
      </c>
      <c r="X72" s="44" cm="1">
        <f t="array" ref="X72">SUMPRODUCT((StandByRates[Position]=JobBonus[[#This Row],[Position]])*(JobBonus[[#This Row],[Area]]=StandByRates[Area])*(StandByRates[Hourly]*JobBonus[[#This Row],[Standby/ Ext 
Hrs]]))</f>
        <v>0</v>
      </c>
      <c r="Y72" s="44">
        <f>JobBonus[[#This Row],[Variable Pay]]+JobBonus[[#This Row],[Crew Efficiency Bonus]]+JobBonus[[#This Row],[OVPP]]+JobBonus[[#This Row],[StandBy/ Ext Amount]]</f>
        <v>127</v>
      </c>
      <c r="Z72" s="80" t="s">
        <v>419</v>
      </c>
      <c r="AA72" s="42"/>
      <c r="AB72" s="42"/>
      <c r="AC72"/>
      <c r="AD72"/>
      <c r="AE72"/>
      <c r="AF72"/>
    </row>
    <row r="73" spans="1:32" hidden="1" x14ac:dyDescent="0.25">
      <c r="A73" s="46" t="s">
        <v>401</v>
      </c>
      <c r="B73" s="80"/>
      <c r="C73" s="15" t="s">
        <v>220</v>
      </c>
      <c r="D73" s="15" t="s">
        <v>257</v>
      </c>
      <c r="E73" s="15" t="s">
        <v>264</v>
      </c>
      <c r="F73" s="15">
        <v>514422</v>
      </c>
      <c r="G73" s="16">
        <v>44202</v>
      </c>
      <c r="H73" s="16" t="s">
        <v>7</v>
      </c>
      <c r="I73" s="19" t="str">
        <f>IF(ISBLANK(JobBonus[[#This Row],[Employee Name]]),"",INDEX(Employees[Job Title],MATCH(JobBonus[[#This Row],[Employee Name]],Employees[Employee Name2],0)))</f>
        <v>2 Driver</v>
      </c>
      <c r="J73" s="19" t="str">
        <f>IF(ISBLANK(JobBonus[[#This Row],[Job Prov]]),"",IF(JobBonus[[#This Row],[Job Prov]]=INDEX(Employees[Province],MATCH(JobBonus[[#This Row],[Employee Name]],Employees[Employee Name2],0)),"No","Yes"))</f>
        <v>No</v>
      </c>
      <c r="K73" s="17" t="s">
        <v>270</v>
      </c>
      <c r="L73" s="19" t="s">
        <v>396</v>
      </c>
      <c r="M73" s="23"/>
      <c r="N73" s="23"/>
      <c r="O73" s="15">
        <v>110</v>
      </c>
      <c r="P73" s="15"/>
      <c r="Q73" s="15"/>
      <c r="R73" s="15"/>
      <c r="S73" s="44" cm="1">
        <f t="array" ref="S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3" s="44" cm="1">
        <f t="array" ref="T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3" s="44">
        <f>JobBonus[[#This Row],[Variable Pay]]+JobBonus[[#This Row],[Crew Efficiency Bonus]]</f>
        <v>0</v>
      </c>
      <c r="V73" s="44" cm="1">
        <f t="array" ref="V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127</v>
      </c>
      <c r="W73" s="44" t="b">
        <f>_xlfn.IFNA(EXACT(VLOOKUP(JobBonus[[#This Row],[Pay Type]],PayTypes[#All],4,FALSE),"Yes"),FALSE)</f>
        <v>0</v>
      </c>
      <c r="X73" s="44" cm="1">
        <f t="array" ref="X73">SUMPRODUCT((StandByRates[Position]=JobBonus[[#This Row],[Position]])*(JobBonus[[#This Row],[Area]]=StandByRates[Area])*(StandByRates[Hourly]*JobBonus[[#This Row],[Standby/ Ext 
Hrs]]))</f>
        <v>0</v>
      </c>
      <c r="Y73" s="44">
        <f>JobBonus[[#This Row],[Variable Pay]]+JobBonus[[#This Row],[Crew Efficiency Bonus]]+JobBonus[[#This Row],[OVPP]]+JobBonus[[#This Row],[StandBy/ Ext Amount]]</f>
        <v>127</v>
      </c>
      <c r="Z73" s="80" t="s">
        <v>420</v>
      </c>
      <c r="AA73" s="42"/>
      <c r="AB73" s="42"/>
      <c r="AC73"/>
      <c r="AD73"/>
      <c r="AE73"/>
      <c r="AF73"/>
    </row>
    <row r="74" spans="1:32" hidden="1" x14ac:dyDescent="0.25">
      <c r="A74" s="46" t="s">
        <v>408</v>
      </c>
      <c r="B74" s="80"/>
      <c r="C74" s="15" t="s">
        <v>220</v>
      </c>
      <c r="D74" s="15" t="s">
        <v>257</v>
      </c>
      <c r="E74" s="15" t="s">
        <v>264</v>
      </c>
      <c r="F74" s="15">
        <v>514411</v>
      </c>
      <c r="G74" s="16">
        <v>44194</v>
      </c>
      <c r="H74" s="16" t="s">
        <v>7</v>
      </c>
      <c r="I74" s="19" t="str">
        <f>IF(ISBLANK(JobBonus[[#This Row],[Employee Name]]),"",INDEX(Employees[Job Title],MATCH(JobBonus[[#This Row],[Employee Name]],Employees[Employee Name2],0)))</f>
        <v>2 Driver</v>
      </c>
      <c r="J74" s="19" t="str">
        <f>IF(ISBLANK(JobBonus[[#This Row],[Job Prov]]),"",IF(JobBonus[[#This Row],[Job Prov]]=INDEX(Employees[Province],MATCH(JobBonus[[#This Row],[Employee Name]],Employees[Employee Name2],0)),"No","Yes"))</f>
        <v>No</v>
      </c>
      <c r="K74" s="17" t="s">
        <v>270</v>
      </c>
      <c r="L74" s="19" t="s">
        <v>396</v>
      </c>
      <c r="M74" s="23"/>
      <c r="N74" s="23"/>
      <c r="O74" s="15">
        <v>300</v>
      </c>
      <c r="P74" s="15"/>
      <c r="Q74" s="15"/>
      <c r="R74" s="15"/>
      <c r="S74" s="44" cm="1">
        <f t="array" ref="S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4" s="44" cm="1">
        <f t="array" ref="T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4" s="44">
        <f>JobBonus[[#This Row],[Variable Pay]]+JobBonus[[#This Row],[Crew Efficiency Bonus]]</f>
        <v>0</v>
      </c>
      <c r="V74" s="44" cm="1">
        <f t="array" ref="V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146</v>
      </c>
      <c r="W74" s="44" t="b">
        <f>_xlfn.IFNA(EXACT(VLOOKUP(JobBonus[[#This Row],[Pay Type]],PayTypes[#All],4,FALSE),"Yes"),FALSE)</f>
        <v>0</v>
      </c>
      <c r="X74" s="44" cm="1">
        <f t="array" ref="X74">SUMPRODUCT((StandByRates[Position]=JobBonus[[#This Row],[Position]])*(JobBonus[[#This Row],[Area]]=StandByRates[Area])*(StandByRates[Hourly]*JobBonus[[#This Row],[Standby/ Ext 
Hrs]]))</f>
        <v>0</v>
      </c>
      <c r="Y74" s="44">
        <f>JobBonus[[#This Row],[Variable Pay]]+JobBonus[[#This Row],[Crew Efficiency Bonus]]+JobBonus[[#This Row],[OVPP]]+JobBonus[[#This Row],[StandBy/ Ext Amount]]</f>
        <v>146</v>
      </c>
      <c r="Z74" s="80" t="s">
        <v>421</v>
      </c>
      <c r="AA74" s="42"/>
      <c r="AB74" s="42"/>
      <c r="AC74"/>
      <c r="AD74"/>
      <c r="AE74"/>
      <c r="AF74"/>
    </row>
    <row r="75" spans="1:32" hidden="1" x14ac:dyDescent="0.25">
      <c r="A75" s="46" t="s">
        <v>395</v>
      </c>
      <c r="B75" s="80">
        <v>463288</v>
      </c>
      <c r="C75" s="15" t="s">
        <v>220</v>
      </c>
      <c r="D75" s="15" t="s">
        <v>257</v>
      </c>
      <c r="E75" s="15" t="s">
        <v>264</v>
      </c>
      <c r="F75" s="15"/>
      <c r="G75" s="16">
        <v>44205</v>
      </c>
      <c r="H75" s="16" t="s">
        <v>216</v>
      </c>
      <c r="I75" s="19" t="str">
        <f>IF(ISBLANK(JobBonus[[#This Row],[Employee Name]]),"",INDEX(Employees[Job Title],MATCH(JobBonus[[#This Row],[Employee Name]],Employees[Employee Name2],0)))</f>
        <v>2 Operator</v>
      </c>
      <c r="J75" s="19" t="str">
        <f>IF(ISBLANK(JobBonus[[#This Row],[Job Prov]]),"",IF(JobBonus[[#This Row],[Job Prov]]=INDEX(Employees[Province],MATCH(JobBonus[[#This Row],[Employee Name]],Employees[Employee Name2],0)),"No","Yes"))</f>
        <v>No</v>
      </c>
      <c r="K75" s="17" t="s">
        <v>270</v>
      </c>
      <c r="L75" s="19" t="s">
        <v>422</v>
      </c>
      <c r="M75" s="23">
        <v>20782.5</v>
      </c>
      <c r="N75" s="23"/>
      <c r="O75" s="15"/>
      <c r="P75" s="15"/>
      <c r="Q75" s="15"/>
      <c r="R75" s="15"/>
      <c r="S75" s="44" cm="1">
        <f t="array" ref="S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190.9</v>
      </c>
      <c r="T75" s="44" cm="1">
        <f t="array" ref="T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5" s="44">
        <f>JobBonus[[#This Row],[Variable Pay]]+JobBonus[[#This Row],[Crew Efficiency Bonus]]</f>
        <v>190.9</v>
      </c>
      <c r="V75" s="44" cm="1">
        <f t="array" ref="V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5" s="44" t="b">
        <f>_xlfn.IFNA(EXACT(VLOOKUP(JobBonus[[#This Row],[Pay Type]],PayTypes[#All],4,FALSE),"Yes"),FALSE)</f>
        <v>0</v>
      </c>
      <c r="X75" s="44" cm="1">
        <f t="array" ref="X75">SUMPRODUCT((StandByRates[Position]=JobBonus[[#This Row],[Position]])*(JobBonus[[#This Row],[Area]]=StandByRates[Area])*(StandByRates[Hourly]*JobBonus[[#This Row],[Standby/ Ext 
Hrs]]))</f>
        <v>0</v>
      </c>
      <c r="Y75" s="44">
        <f>JobBonus[[#This Row],[Variable Pay]]+JobBonus[[#This Row],[Crew Efficiency Bonus]]+JobBonus[[#This Row],[OVPP]]+JobBonus[[#This Row],[StandBy/ Ext Amount]]</f>
        <v>190.9</v>
      </c>
      <c r="Z75" s="80" t="s">
        <v>423</v>
      </c>
      <c r="AA75" s="42"/>
      <c r="AB75" s="42"/>
      <c r="AC75"/>
      <c r="AD75"/>
      <c r="AE75"/>
      <c r="AF75"/>
    </row>
    <row r="76" spans="1:32" hidden="1" x14ac:dyDescent="0.25">
      <c r="A76" s="46" t="s">
        <v>402</v>
      </c>
      <c r="B76" s="80">
        <v>463752</v>
      </c>
      <c r="C76" s="15" t="s">
        <v>220</v>
      </c>
      <c r="D76" s="15" t="s">
        <v>89</v>
      </c>
      <c r="E76" s="15" t="s">
        <v>264</v>
      </c>
      <c r="F76" s="15"/>
      <c r="G76" s="16">
        <v>44205</v>
      </c>
      <c r="H76" s="16" t="s">
        <v>216</v>
      </c>
      <c r="I76" s="19" t="str">
        <f>IF(ISBLANK(JobBonus[[#This Row],[Employee Name]]),"",INDEX(Employees[Job Title],MATCH(JobBonus[[#This Row],[Employee Name]],Employees[Employee Name2],0)))</f>
        <v>3 Operator</v>
      </c>
      <c r="J76" s="19" t="str">
        <f>IF(ISBLANK(JobBonus[[#This Row],[Job Prov]]),"",IF(JobBonus[[#This Row],[Job Prov]]=INDEX(Employees[Province],MATCH(JobBonus[[#This Row],[Employee Name]],Employees[Employee Name2],0)),"No","Yes"))</f>
        <v>Yes</v>
      </c>
      <c r="K76" s="17" t="s">
        <v>121</v>
      </c>
      <c r="L76" s="19" t="s">
        <v>409</v>
      </c>
      <c r="M76" s="23">
        <v>33180.400000000001</v>
      </c>
      <c r="N76" s="23"/>
      <c r="O76" s="15"/>
      <c r="P76" s="15"/>
      <c r="Q76" s="15"/>
      <c r="R76" s="15"/>
      <c r="S76" s="44" cm="1">
        <f t="array" ref="S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270.04000000000002</v>
      </c>
      <c r="T76" s="44" cm="1">
        <f t="array" ref="T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6" s="44">
        <f>JobBonus[[#This Row],[Variable Pay]]+JobBonus[[#This Row],[Crew Efficiency Bonus]]</f>
        <v>270.04000000000002</v>
      </c>
      <c r="V76" s="44" cm="1">
        <f t="array" ref="V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6" s="44" t="b">
        <f>_xlfn.IFNA(EXACT(VLOOKUP(JobBonus[[#This Row],[Pay Type]],PayTypes[#All],4,FALSE),"Yes"),FALSE)</f>
        <v>0</v>
      </c>
      <c r="X76" s="44" cm="1">
        <f t="array" ref="X76">SUMPRODUCT((StandByRates[Position]=JobBonus[[#This Row],[Position]])*(JobBonus[[#This Row],[Area]]=StandByRates[Area])*(StandByRates[Hourly]*JobBonus[[#This Row],[Standby/ Ext 
Hrs]]))</f>
        <v>0</v>
      </c>
      <c r="Y76" s="44">
        <f>JobBonus[[#This Row],[Variable Pay]]+JobBonus[[#This Row],[Crew Efficiency Bonus]]+JobBonus[[#This Row],[OVPP]]+JobBonus[[#This Row],[StandBy/ Ext Amount]]</f>
        <v>270.04000000000002</v>
      </c>
      <c r="Z76" s="80" t="s">
        <v>399</v>
      </c>
      <c r="AA76" s="42"/>
      <c r="AB76" s="42"/>
      <c r="AC76"/>
      <c r="AD76"/>
      <c r="AE76"/>
      <c r="AF76"/>
    </row>
    <row r="77" spans="1:32" hidden="1" x14ac:dyDescent="0.25">
      <c r="A77" s="46" t="s">
        <v>403</v>
      </c>
      <c r="B77" s="80">
        <v>463752</v>
      </c>
      <c r="C77" s="15" t="s">
        <v>220</v>
      </c>
      <c r="D77" s="15" t="s">
        <v>89</v>
      </c>
      <c r="E77" s="15" t="s">
        <v>264</v>
      </c>
      <c r="F77" s="15"/>
      <c r="G77" s="16">
        <v>44205</v>
      </c>
      <c r="H77" s="16" t="s">
        <v>216</v>
      </c>
      <c r="I77" s="19" t="str">
        <f>IF(ISBLANK(JobBonus[[#This Row],[Employee Name]]),"",INDEX(Employees[Job Title],MATCH(JobBonus[[#This Row],[Employee Name]],Employees[Employee Name2],0)))</f>
        <v>3 Supervisor</v>
      </c>
      <c r="J77" s="19" t="str">
        <f>IF(ISBLANK(JobBonus[[#This Row],[Job Prov]]),"",IF(JobBonus[[#This Row],[Job Prov]]=INDEX(Employees[Province],MATCH(JobBonus[[#This Row],[Employee Name]],Employees[Employee Name2],0)),"No","Yes"))</f>
        <v>Yes</v>
      </c>
      <c r="K77" s="17" t="s">
        <v>118</v>
      </c>
      <c r="L77" s="19" t="s">
        <v>409</v>
      </c>
      <c r="M77" s="23">
        <v>33180</v>
      </c>
      <c r="N77" s="23"/>
      <c r="O77" s="15"/>
      <c r="P77" s="15"/>
      <c r="Q77" s="15"/>
      <c r="R77" s="15"/>
      <c r="S77" s="44" cm="1">
        <f t="array" ref="S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356.51</v>
      </c>
      <c r="T77" s="44" cm="1">
        <f t="array" ref="T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7" s="44">
        <f>JobBonus[[#This Row],[Variable Pay]]+JobBonus[[#This Row],[Crew Efficiency Bonus]]</f>
        <v>356.51</v>
      </c>
      <c r="V77" s="44" cm="1">
        <f t="array" ref="V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7" s="44" t="b">
        <f>_xlfn.IFNA(EXACT(VLOOKUP(JobBonus[[#This Row],[Pay Type]],PayTypes[#All],4,FALSE),"Yes"),FALSE)</f>
        <v>0</v>
      </c>
      <c r="X77" s="44" cm="1">
        <f t="array" ref="X77">SUMPRODUCT((StandByRates[Position]=JobBonus[[#This Row],[Position]])*(JobBonus[[#This Row],[Area]]=StandByRates[Area])*(StandByRates[Hourly]*JobBonus[[#This Row],[Standby/ Ext 
Hrs]]))</f>
        <v>0</v>
      </c>
      <c r="Y77" s="44">
        <f>JobBonus[[#This Row],[Variable Pay]]+JobBonus[[#This Row],[Crew Efficiency Bonus]]+JobBonus[[#This Row],[OVPP]]+JobBonus[[#This Row],[StandBy/ Ext Amount]]</f>
        <v>356.51</v>
      </c>
      <c r="Z77" s="80" t="s">
        <v>399</v>
      </c>
      <c r="AA77" s="42"/>
      <c r="AB77" s="42"/>
      <c r="AC77"/>
      <c r="AD77"/>
      <c r="AE77"/>
      <c r="AF77"/>
    </row>
    <row r="78" spans="1:32" hidden="1" x14ac:dyDescent="0.25">
      <c r="A78" s="46" t="s">
        <v>402</v>
      </c>
      <c r="B78" s="80">
        <v>463825</v>
      </c>
      <c r="C78" s="15" t="s">
        <v>220</v>
      </c>
      <c r="D78" s="15" t="s">
        <v>89</v>
      </c>
      <c r="E78" s="15" t="s">
        <v>264</v>
      </c>
      <c r="F78" s="15"/>
      <c r="G78" s="16">
        <v>44204</v>
      </c>
      <c r="H78" s="16" t="s">
        <v>216</v>
      </c>
      <c r="I78" s="19" t="str">
        <f>IF(ISBLANK(JobBonus[[#This Row],[Employee Name]]),"",INDEX(Employees[Job Title],MATCH(JobBonus[[#This Row],[Employee Name]],Employees[Employee Name2],0)))</f>
        <v>3 Operator</v>
      </c>
      <c r="J78" s="19" t="str">
        <f>IF(ISBLANK(JobBonus[[#This Row],[Job Prov]]),"",IF(JobBonus[[#This Row],[Job Prov]]=INDEX(Employees[Province],MATCH(JobBonus[[#This Row],[Employee Name]],Employees[Employee Name2],0)),"No","Yes"))</f>
        <v>Yes</v>
      </c>
      <c r="K78" s="17" t="s">
        <v>121</v>
      </c>
      <c r="L78" s="19" t="s">
        <v>409</v>
      </c>
      <c r="M78" s="23">
        <v>31289.599999999999</v>
      </c>
      <c r="N78" s="23"/>
      <c r="O78" s="15"/>
      <c r="P78" s="15"/>
      <c r="Q78" s="15"/>
      <c r="R78" s="15"/>
      <c r="S78" s="44" cm="1">
        <f t="array" ref="S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266.45</v>
      </c>
      <c r="T78" s="44" cm="1">
        <f t="array" ref="T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8" s="44">
        <f>JobBonus[[#This Row],[Variable Pay]]+JobBonus[[#This Row],[Crew Efficiency Bonus]]</f>
        <v>266.45</v>
      </c>
      <c r="V78" s="44" cm="1">
        <f t="array" ref="V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8" s="44" t="b">
        <f>_xlfn.IFNA(EXACT(VLOOKUP(JobBonus[[#This Row],[Pay Type]],PayTypes[#All],4,FALSE),"Yes"),FALSE)</f>
        <v>0</v>
      </c>
      <c r="X78" s="44" cm="1">
        <f t="array" ref="X78">SUMPRODUCT((StandByRates[Position]=JobBonus[[#This Row],[Position]])*(JobBonus[[#This Row],[Area]]=StandByRates[Area])*(StandByRates[Hourly]*JobBonus[[#This Row],[Standby/ Ext 
Hrs]]))</f>
        <v>0</v>
      </c>
      <c r="Y78" s="44">
        <f>JobBonus[[#This Row],[Variable Pay]]+JobBonus[[#This Row],[Crew Efficiency Bonus]]+JobBonus[[#This Row],[OVPP]]+JobBonus[[#This Row],[StandBy/ Ext Amount]]</f>
        <v>266.45</v>
      </c>
      <c r="Z78" s="80" t="s">
        <v>399</v>
      </c>
      <c r="AA78" s="42"/>
      <c r="AB78" s="42"/>
      <c r="AC78"/>
      <c r="AD78"/>
      <c r="AE78"/>
      <c r="AF78"/>
    </row>
    <row r="79" spans="1:32" hidden="1" x14ac:dyDescent="0.25">
      <c r="A79" s="46" t="s">
        <v>403</v>
      </c>
      <c r="B79" s="80">
        <v>463825</v>
      </c>
      <c r="C79" s="15" t="s">
        <v>220</v>
      </c>
      <c r="D79" s="15" t="s">
        <v>89</v>
      </c>
      <c r="E79" s="15" t="s">
        <v>264</v>
      </c>
      <c r="F79" s="15"/>
      <c r="G79" s="16">
        <v>44204</v>
      </c>
      <c r="H79" s="16" t="s">
        <v>216</v>
      </c>
      <c r="I79" s="19" t="str">
        <f>IF(ISBLANK(JobBonus[[#This Row],[Employee Name]]),"",INDEX(Employees[Job Title],MATCH(JobBonus[[#This Row],[Employee Name]],Employees[Employee Name2],0)))</f>
        <v>3 Supervisor</v>
      </c>
      <c r="J79" s="19" t="str">
        <f>IF(ISBLANK(JobBonus[[#This Row],[Job Prov]]),"",IF(JobBonus[[#This Row],[Job Prov]]=INDEX(Employees[Province],MATCH(JobBonus[[#This Row],[Employee Name]],Employees[Employee Name2],0)),"No","Yes"))</f>
        <v>Yes</v>
      </c>
      <c r="K79" s="17" t="s">
        <v>121</v>
      </c>
      <c r="L79" s="19" t="s">
        <v>409</v>
      </c>
      <c r="M79" s="23">
        <v>31289.599999999999</v>
      </c>
      <c r="N79" s="23"/>
      <c r="O79" s="15"/>
      <c r="P79" s="15"/>
      <c r="Q79" s="15"/>
      <c r="R79" s="15"/>
      <c r="S79" s="44" cm="1">
        <f t="array" ref="S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266.45</v>
      </c>
      <c r="T79" s="44" cm="1">
        <f t="array" ref="T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9" s="44">
        <f>JobBonus[[#This Row],[Variable Pay]]+JobBonus[[#This Row],[Crew Efficiency Bonus]]</f>
        <v>266.45</v>
      </c>
      <c r="V79" s="44" cm="1">
        <f t="array" ref="V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9" s="44" t="b">
        <f>_xlfn.IFNA(EXACT(VLOOKUP(JobBonus[[#This Row],[Pay Type]],PayTypes[#All],4,FALSE),"Yes"),FALSE)</f>
        <v>0</v>
      </c>
      <c r="X79" s="44" cm="1">
        <f t="array" ref="X79">SUMPRODUCT((StandByRates[Position]=JobBonus[[#This Row],[Position]])*(JobBonus[[#This Row],[Area]]=StandByRates[Area])*(StandByRates[Hourly]*JobBonus[[#This Row],[Standby/ Ext 
Hrs]]))</f>
        <v>0</v>
      </c>
      <c r="Y79" s="44">
        <f>JobBonus[[#This Row],[Variable Pay]]+JobBonus[[#This Row],[Crew Efficiency Bonus]]+JobBonus[[#This Row],[OVPP]]+JobBonus[[#This Row],[StandBy/ Ext Amount]]</f>
        <v>266.45</v>
      </c>
      <c r="Z79" s="80" t="s">
        <v>399</v>
      </c>
      <c r="AA79" s="42"/>
      <c r="AB79" s="42"/>
      <c r="AC79"/>
      <c r="AD79"/>
      <c r="AE79"/>
      <c r="AF79"/>
    </row>
    <row r="80" spans="1:32" hidden="1" x14ac:dyDescent="0.25">
      <c r="A80" s="46" t="s">
        <v>412</v>
      </c>
      <c r="B80" s="80"/>
      <c r="C80" s="15"/>
      <c r="D80" s="15"/>
      <c r="E80" s="15"/>
      <c r="F80" s="15"/>
      <c r="G80" s="16">
        <v>44205</v>
      </c>
      <c r="H80" s="16"/>
      <c r="I80" s="19" t="str">
        <f>IF(ISBLANK(JobBonus[[#This Row],[Employee Name]]),"",INDEX(Employees[Job Title],MATCH(JobBonus[[#This Row],[Employee Name]],Employees[Employee Name2],0)))</f>
        <v>2 Supervisor</v>
      </c>
      <c r="J80" s="19" t="str">
        <f>IF(ISBLANK(JobBonus[[#This Row],[Job Prov]]),"",IF(JobBonus[[#This Row],[Job Prov]]=INDEX(Employees[Province],MATCH(JobBonus[[#This Row],[Employee Name]],Employees[Employee Name2],0)),"No","Yes"))</f>
        <v/>
      </c>
      <c r="K80" s="17"/>
      <c r="L80" s="19"/>
      <c r="M80" s="23"/>
      <c r="N80" s="23"/>
      <c r="O80" s="15"/>
      <c r="P80" s="15"/>
      <c r="Q80" s="15"/>
      <c r="R80" s="15">
        <v>233</v>
      </c>
      <c r="S80" s="44" cm="1">
        <f t="array" ref="S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0" s="44" cm="1">
        <f t="array" ref="T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0" s="44">
        <f>JobBonus[[#This Row],[Variable Pay]]+JobBonus[[#This Row],[Crew Efficiency Bonus]]</f>
        <v>0</v>
      </c>
      <c r="V80" s="44" cm="1">
        <f t="array" ref="V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0" s="44" t="b">
        <f>_xlfn.IFNA(EXACT(VLOOKUP(JobBonus[[#This Row],[Pay Type]],PayTypes[#All],4,FALSE),"Yes"),FALSE)</f>
        <v>0</v>
      </c>
      <c r="X80" s="44" cm="1">
        <f t="array" ref="X80">SUMPRODUCT((StandByRates[Position]=JobBonus[[#This Row],[Position]])*(JobBonus[[#This Row],[Area]]=StandByRates[Area])*(StandByRates[Hourly]*JobBonus[[#This Row],[Standby/ Ext 
Hrs]]))</f>
        <v>0</v>
      </c>
      <c r="Y80" s="44">
        <f>JobBonus[[#This Row],[Variable Pay]]+JobBonus[[#This Row],[Crew Efficiency Bonus]]+JobBonus[[#This Row],[OVPP]]+JobBonus[[#This Row],[StandBy/ Ext Amount]]</f>
        <v>0</v>
      </c>
      <c r="Z80" s="80"/>
      <c r="AA80" s="42"/>
      <c r="AB80" s="42"/>
      <c r="AC80"/>
      <c r="AD80"/>
      <c r="AE80"/>
      <c r="AF80"/>
    </row>
    <row r="81" spans="1:32" hidden="1" x14ac:dyDescent="0.25">
      <c r="A81" s="46" t="s">
        <v>402</v>
      </c>
      <c r="B81" s="80"/>
      <c r="C81" s="15"/>
      <c r="D81" s="15"/>
      <c r="E81" s="15"/>
      <c r="F81" s="15"/>
      <c r="G81" s="16">
        <v>44205</v>
      </c>
      <c r="H81" s="16"/>
      <c r="I81" s="19" t="str">
        <f>IF(ISBLANK(JobBonus[[#This Row],[Employee Name]]),"",INDEX(Employees[Job Title],MATCH(JobBonus[[#This Row],[Employee Name]],Employees[Employee Name2],0)))</f>
        <v>3 Operator</v>
      </c>
      <c r="J81" s="19" t="str">
        <f>IF(ISBLANK(JobBonus[[#This Row],[Job Prov]]),"",IF(JobBonus[[#This Row],[Job Prov]]=INDEX(Employees[Province],MATCH(JobBonus[[#This Row],[Employee Name]],Employees[Employee Name2],0)),"No","Yes"))</f>
        <v/>
      </c>
      <c r="K81" s="17"/>
      <c r="L81" s="19"/>
      <c r="M81" s="23"/>
      <c r="N81" s="23"/>
      <c r="O81" s="15"/>
      <c r="P81" s="15"/>
      <c r="Q81" s="15"/>
      <c r="R81" s="15">
        <v>40</v>
      </c>
      <c r="S81" s="44" cm="1">
        <f t="array" ref="S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1" s="44" cm="1">
        <f t="array" ref="T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1" s="44">
        <f>JobBonus[[#This Row],[Variable Pay]]+JobBonus[[#This Row],[Crew Efficiency Bonus]]</f>
        <v>0</v>
      </c>
      <c r="V81" s="44" cm="1">
        <f t="array" ref="V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1" s="44" t="b">
        <f>_xlfn.IFNA(EXACT(VLOOKUP(JobBonus[[#This Row],[Pay Type]],PayTypes[#All],4,FALSE),"Yes"),FALSE)</f>
        <v>0</v>
      </c>
      <c r="X81" s="44" cm="1">
        <f t="array" ref="X81">SUMPRODUCT((StandByRates[Position]=JobBonus[[#This Row],[Position]])*(JobBonus[[#This Row],[Area]]=StandByRates[Area])*(StandByRates[Hourly]*JobBonus[[#This Row],[Standby/ Ext 
Hrs]]))</f>
        <v>0</v>
      </c>
      <c r="Y81" s="44">
        <f>JobBonus[[#This Row],[Variable Pay]]+JobBonus[[#This Row],[Crew Efficiency Bonus]]+JobBonus[[#This Row],[OVPP]]+JobBonus[[#This Row],[StandBy/ Ext Amount]]</f>
        <v>0</v>
      </c>
      <c r="Z81" s="80"/>
      <c r="AA81" s="42"/>
      <c r="AB81" s="42"/>
      <c r="AC81"/>
      <c r="AD81"/>
      <c r="AE81"/>
      <c r="AF81"/>
    </row>
    <row r="82" spans="1:32" hidden="1" x14ac:dyDescent="0.25">
      <c r="A82" s="46" t="s">
        <v>393</v>
      </c>
      <c r="B82" s="80"/>
      <c r="C82" s="15"/>
      <c r="D82" s="15"/>
      <c r="E82" s="15"/>
      <c r="F82" s="15"/>
      <c r="G82" s="16">
        <v>44205</v>
      </c>
      <c r="H82" s="16"/>
      <c r="I82" s="19" t="str">
        <f>IF(ISBLANK(JobBonus[[#This Row],[Employee Name]]),"",INDEX(Employees[Job Title],MATCH(JobBonus[[#This Row],[Employee Name]],Employees[Employee Name2],0)))</f>
        <v>2 Supervisor</v>
      </c>
      <c r="J82" s="19" t="str">
        <f>IF(ISBLANK(JobBonus[[#This Row],[Job Prov]]),"",IF(JobBonus[[#This Row],[Job Prov]]=INDEX(Employees[Province],MATCH(JobBonus[[#This Row],[Employee Name]],Employees[Employee Name2],0)),"No","Yes"))</f>
        <v/>
      </c>
      <c r="K82" s="17"/>
      <c r="L82" s="19"/>
      <c r="M82" s="23"/>
      <c r="N82" s="23"/>
      <c r="O82" s="15"/>
      <c r="P82" s="15"/>
      <c r="Q82" s="15"/>
      <c r="R82" s="15">
        <v>510</v>
      </c>
      <c r="S82" s="44" cm="1">
        <f t="array" ref="S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2" s="44" cm="1">
        <f t="array" ref="T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2" s="44">
        <f>JobBonus[[#This Row],[Variable Pay]]+JobBonus[[#This Row],[Crew Efficiency Bonus]]</f>
        <v>0</v>
      </c>
      <c r="V82" s="44" cm="1">
        <f t="array" ref="V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2" s="44" t="b">
        <f>_xlfn.IFNA(EXACT(VLOOKUP(JobBonus[[#This Row],[Pay Type]],PayTypes[#All],4,FALSE),"Yes"),FALSE)</f>
        <v>0</v>
      </c>
      <c r="X82" s="44" cm="1">
        <f t="array" ref="X82">SUMPRODUCT((StandByRates[Position]=JobBonus[[#This Row],[Position]])*(JobBonus[[#This Row],[Area]]=StandByRates[Area])*(StandByRates[Hourly]*JobBonus[[#This Row],[Standby/ Ext 
Hrs]]))</f>
        <v>0</v>
      </c>
      <c r="Y82" s="44">
        <f>JobBonus[[#This Row],[Variable Pay]]+JobBonus[[#This Row],[Crew Efficiency Bonus]]+JobBonus[[#This Row],[OVPP]]+JobBonus[[#This Row],[StandBy/ Ext Amount]]</f>
        <v>0</v>
      </c>
      <c r="Z82" s="80"/>
      <c r="AA82" s="42"/>
      <c r="AB82" s="42"/>
      <c r="AC82"/>
      <c r="AD82"/>
      <c r="AE82"/>
      <c r="AF82"/>
    </row>
    <row r="83" spans="1:32" hidden="1" x14ac:dyDescent="0.25">
      <c r="A83" s="46" t="s">
        <v>397</v>
      </c>
      <c r="B83" s="80"/>
      <c r="C83" s="15"/>
      <c r="D83" s="15"/>
      <c r="E83" s="15"/>
      <c r="F83" s="15"/>
      <c r="G83" s="16">
        <v>44205</v>
      </c>
      <c r="H83" s="16"/>
      <c r="I83" s="19" t="str">
        <f>IF(ISBLANK(JobBonus[[#This Row],[Employee Name]]),"",INDEX(Employees[Job Title],MATCH(JobBonus[[#This Row],[Employee Name]],Employees[Employee Name2],0)))</f>
        <v>2 Operator</v>
      </c>
      <c r="J83" s="19" t="str">
        <f>IF(ISBLANK(JobBonus[[#This Row],[Job Prov]]),"",IF(JobBonus[[#This Row],[Job Prov]]=INDEX(Employees[Province],MATCH(JobBonus[[#This Row],[Employee Name]],Employees[Employee Name2],0)),"No","Yes"))</f>
        <v/>
      </c>
      <c r="K83" s="17"/>
      <c r="L83" s="19"/>
      <c r="M83" s="23"/>
      <c r="N83" s="23"/>
      <c r="O83" s="15"/>
      <c r="P83" s="15"/>
      <c r="Q83" s="15"/>
      <c r="R83" s="15">
        <v>495</v>
      </c>
      <c r="S83" s="44" cm="1">
        <f t="array" ref="S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3" s="44" cm="1">
        <f t="array" ref="T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3" s="44">
        <f>JobBonus[[#This Row],[Variable Pay]]+JobBonus[[#This Row],[Crew Efficiency Bonus]]</f>
        <v>0</v>
      </c>
      <c r="V83" s="44" cm="1">
        <f t="array" ref="V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3" s="44" t="b">
        <f>_xlfn.IFNA(EXACT(VLOOKUP(JobBonus[[#This Row],[Pay Type]],PayTypes[#All],4,FALSE),"Yes"),FALSE)</f>
        <v>0</v>
      </c>
      <c r="X83" s="44" cm="1">
        <f t="array" ref="X83">SUMPRODUCT((StandByRates[Position]=JobBonus[[#This Row],[Position]])*(JobBonus[[#This Row],[Area]]=StandByRates[Area])*(StandByRates[Hourly]*JobBonus[[#This Row],[Standby/ Ext 
Hrs]]))</f>
        <v>0</v>
      </c>
      <c r="Y83" s="44">
        <f>JobBonus[[#This Row],[Variable Pay]]+JobBonus[[#This Row],[Crew Efficiency Bonus]]+JobBonus[[#This Row],[OVPP]]+JobBonus[[#This Row],[StandBy/ Ext Amount]]</f>
        <v>0</v>
      </c>
      <c r="Z83" s="80"/>
      <c r="AA83" s="42"/>
      <c r="AB83" s="42"/>
      <c r="AC83"/>
      <c r="AD83"/>
      <c r="AE83"/>
      <c r="AF83"/>
    </row>
    <row r="84" spans="1:32" hidden="1" x14ac:dyDescent="0.25">
      <c r="A84" s="46" t="s">
        <v>408</v>
      </c>
      <c r="B84" s="80"/>
      <c r="C84" s="15"/>
      <c r="D84" s="15"/>
      <c r="E84" s="15"/>
      <c r="F84" s="15"/>
      <c r="G84" s="16">
        <v>44205</v>
      </c>
      <c r="H84" s="16"/>
      <c r="I84" s="19" t="str">
        <f>IF(ISBLANK(JobBonus[[#This Row],[Employee Name]]),"",INDEX(Employees[Job Title],MATCH(JobBonus[[#This Row],[Employee Name]],Employees[Employee Name2],0)))</f>
        <v>2 Driver</v>
      </c>
      <c r="J84" s="19" t="str">
        <f>IF(ISBLANK(JobBonus[[#This Row],[Job Prov]]),"",IF(JobBonus[[#This Row],[Job Prov]]=INDEX(Employees[Province],MATCH(JobBonus[[#This Row],[Employee Name]],Employees[Employee Name2],0)),"No","Yes"))</f>
        <v/>
      </c>
      <c r="K84" s="17"/>
      <c r="L84" s="19"/>
      <c r="M84" s="23"/>
      <c r="N84" s="23"/>
      <c r="O84" s="15"/>
      <c r="P84" s="15"/>
      <c r="Q84" s="15"/>
      <c r="R84" s="15">
        <v>94</v>
      </c>
      <c r="S84" s="44" cm="1">
        <f t="array" ref="S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4" s="44" cm="1">
        <f t="array" ref="T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4" s="44">
        <f>JobBonus[[#This Row],[Variable Pay]]+JobBonus[[#This Row],[Crew Efficiency Bonus]]</f>
        <v>0</v>
      </c>
      <c r="V84" s="44" cm="1">
        <f t="array" ref="V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4" s="44" t="b">
        <f>_xlfn.IFNA(EXACT(VLOOKUP(JobBonus[[#This Row],[Pay Type]],PayTypes[#All],4,FALSE),"Yes"),FALSE)</f>
        <v>0</v>
      </c>
      <c r="X84" s="44" cm="1">
        <f t="array" ref="X84">SUMPRODUCT((StandByRates[Position]=JobBonus[[#This Row],[Position]])*(JobBonus[[#This Row],[Area]]=StandByRates[Area])*(StandByRates[Hourly]*JobBonus[[#This Row],[Standby/ Ext 
Hrs]]))</f>
        <v>0</v>
      </c>
      <c r="Y84" s="44">
        <f>JobBonus[[#This Row],[Variable Pay]]+JobBonus[[#This Row],[Crew Efficiency Bonus]]+JobBonus[[#This Row],[OVPP]]+JobBonus[[#This Row],[StandBy/ Ext Amount]]</f>
        <v>0</v>
      </c>
      <c r="Z84" s="80"/>
      <c r="AA84" s="42"/>
      <c r="AB84" s="42"/>
      <c r="AC84"/>
      <c r="AD84"/>
      <c r="AE84"/>
      <c r="AF84"/>
    </row>
    <row r="85" spans="1:32" hidden="1" x14ac:dyDescent="0.25">
      <c r="A85" s="46" t="s">
        <v>403</v>
      </c>
      <c r="B85" s="80"/>
      <c r="C85" s="15"/>
      <c r="D85" s="15"/>
      <c r="E85" s="15"/>
      <c r="F85" s="15"/>
      <c r="G85" s="16">
        <v>44205</v>
      </c>
      <c r="H85" s="16"/>
      <c r="I85" s="19" t="str">
        <f>IF(ISBLANK(JobBonus[[#This Row],[Employee Name]]),"",INDEX(Employees[Job Title],MATCH(JobBonus[[#This Row],[Employee Name]],Employees[Employee Name2],0)))</f>
        <v>3 Supervisor</v>
      </c>
      <c r="J85" s="19" t="str">
        <f>IF(ISBLANK(JobBonus[[#This Row],[Job Prov]]),"",IF(JobBonus[[#This Row],[Job Prov]]=INDEX(Employees[Province],MATCH(JobBonus[[#This Row],[Employee Name]],Employees[Employee Name2],0)),"No","Yes"))</f>
        <v/>
      </c>
      <c r="K85" s="17"/>
      <c r="L85" s="19"/>
      <c r="M85" s="23"/>
      <c r="N85" s="23"/>
      <c r="O85" s="15"/>
      <c r="P85" s="15"/>
      <c r="Q85" s="15"/>
      <c r="R85" s="15">
        <v>60</v>
      </c>
      <c r="S85" s="44" cm="1">
        <f t="array" ref="S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5" s="44" cm="1">
        <f t="array" ref="T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5" s="44">
        <f>JobBonus[[#This Row],[Variable Pay]]+JobBonus[[#This Row],[Crew Efficiency Bonus]]</f>
        <v>0</v>
      </c>
      <c r="V85" s="44" cm="1">
        <f t="array" ref="V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5" s="44" t="b">
        <f>_xlfn.IFNA(EXACT(VLOOKUP(JobBonus[[#This Row],[Pay Type]],PayTypes[#All],4,FALSE),"Yes"),FALSE)</f>
        <v>0</v>
      </c>
      <c r="X85" s="44" cm="1">
        <f t="array" ref="X85">SUMPRODUCT((StandByRates[Position]=JobBonus[[#This Row],[Position]])*(JobBonus[[#This Row],[Area]]=StandByRates[Area])*(StandByRates[Hourly]*JobBonus[[#This Row],[Standby/ Ext 
Hrs]]))</f>
        <v>0</v>
      </c>
      <c r="Y85" s="44">
        <f>JobBonus[[#This Row],[Variable Pay]]+JobBonus[[#This Row],[Crew Efficiency Bonus]]+JobBonus[[#This Row],[OVPP]]+JobBonus[[#This Row],[StandBy/ Ext Amount]]</f>
        <v>0</v>
      </c>
      <c r="Z85" s="80"/>
      <c r="AA85" s="42"/>
      <c r="AB85" s="42"/>
      <c r="AC85"/>
      <c r="AD85"/>
      <c r="AE85"/>
      <c r="AF85"/>
    </row>
    <row r="86" spans="1:32" hidden="1" x14ac:dyDescent="0.25">
      <c r="A86" s="46" t="s">
        <v>410</v>
      </c>
      <c r="B86" s="80"/>
      <c r="C86" s="15"/>
      <c r="D86" s="15"/>
      <c r="E86" s="15"/>
      <c r="F86" s="15"/>
      <c r="G86" s="16">
        <v>44205</v>
      </c>
      <c r="H86" s="16"/>
      <c r="I86" s="19" t="str">
        <f>IF(ISBLANK(JobBonus[[#This Row],[Employee Name]]),"",INDEX(Employees[Job Title],MATCH(JobBonus[[#This Row],[Employee Name]],Employees[Employee Name2],0)))</f>
        <v>2 Operator</v>
      </c>
      <c r="J86" s="19" t="str">
        <f>IF(ISBLANK(JobBonus[[#This Row],[Job Prov]]),"",IF(JobBonus[[#This Row],[Job Prov]]=INDEX(Employees[Province],MATCH(JobBonus[[#This Row],[Employee Name]],Employees[Employee Name2],0)),"No","Yes"))</f>
        <v/>
      </c>
      <c r="K86" s="17"/>
      <c r="L86" s="19"/>
      <c r="M86" s="23"/>
      <c r="N86" s="23"/>
      <c r="O86" s="15"/>
      <c r="P86" s="15"/>
      <c r="Q86" s="15"/>
      <c r="R86" s="15">
        <v>87</v>
      </c>
      <c r="S86" s="44" cm="1">
        <f t="array" ref="S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6" s="44" cm="1">
        <f t="array" ref="T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6" s="44">
        <f>JobBonus[[#This Row],[Variable Pay]]+JobBonus[[#This Row],[Crew Efficiency Bonus]]</f>
        <v>0</v>
      </c>
      <c r="V86" s="44" cm="1">
        <f t="array" ref="V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6" s="44" t="b">
        <f>_xlfn.IFNA(EXACT(VLOOKUP(JobBonus[[#This Row],[Pay Type]],PayTypes[#All],4,FALSE),"Yes"),FALSE)</f>
        <v>0</v>
      </c>
      <c r="X86" s="44" cm="1">
        <f t="array" ref="X86">SUMPRODUCT((StandByRates[Position]=JobBonus[[#This Row],[Position]])*(JobBonus[[#This Row],[Area]]=StandByRates[Area])*(StandByRates[Hourly]*JobBonus[[#This Row],[Standby/ Ext 
Hrs]]))</f>
        <v>0</v>
      </c>
      <c r="Y86" s="44">
        <f>JobBonus[[#This Row],[Variable Pay]]+JobBonus[[#This Row],[Crew Efficiency Bonus]]+JobBonus[[#This Row],[OVPP]]+JobBonus[[#This Row],[StandBy/ Ext Amount]]</f>
        <v>0</v>
      </c>
      <c r="Z86" s="80"/>
      <c r="AA86" s="42"/>
      <c r="AB86" s="42"/>
      <c r="AC86"/>
      <c r="AD86"/>
      <c r="AE86"/>
      <c r="AF86"/>
    </row>
    <row r="87" spans="1:32" hidden="1" x14ac:dyDescent="0.25">
      <c r="A87" s="46" t="s">
        <v>394</v>
      </c>
      <c r="B87" s="80"/>
      <c r="C87" s="15"/>
      <c r="D87" s="15"/>
      <c r="E87" s="15"/>
      <c r="F87" s="15"/>
      <c r="G87" s="16">
        <v>44205</v>
      </c>
      <c r="H87" s="16"/>
      <c r="I87" s="19" t="str">
        <f>IF(ISBLANK(JobBonus[[#This Row],[Employee Name]]),"",INDEX(Employees[Job Title],MATCH(JobBonus[[#This Row],[Employee Name]],Employees[Employee Name2],0)))</f>
        <v>4 Supervisor</v>
      </c>
      <c r="J87" s="19" t="str">
        <f>IF(ISBLANK(JobBonus[[#This Row],[Job Prov]]),"",IF(JobBonus[[#This Row],[Job Prov]]=INDEX(Employees[Province],MATCH(JobBonus[[#This Row],[Employee Name]],Employees[Employee Name2],0)),"No","Yes"))</f>
        <v/>
      </c>
      <c r="K87" s="17"/>
      <c r="L87" s="19"/>
      <c r="M87" s="23"/>
      <c r="N87" s="23"/>
      <c r="O87" s="15"/>
      <c r="P87" s="15"/>
      <c r="Q87" s="15"/>
      <c r="R87" s="15">
        <v>214</v>
      </c>
      <c r="S87" s="44" cm="1">
        <f t="array" ref="S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7" s="44" cm="1">
        <f t="array" ref="T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7" s="44">
        <f>JobBonus[[#This Row],[Variable Pay]]+JobBonus[[#This Row],[Crew Efficiency Bonus]]</f>
        <v>0</v>
      </c>
      <c r="V87" s="44" cm="1">
        <f t="array" ref="V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7" s="44" t="b">
        <f>_xlfn.IFNA(EXACT(VLOOKUP(JobBonus[[#This Row],[Pay Type]],PayTypes[#All],4,FALSE),"Yes"),FALSE)</f>
        <v>0</v>
      </c>
      <c r="X87" s="44" cm="1">
        <f t="array" ref="X87">SUMPRODUCT((StandByRates[Position]=JobBonus[[#This Row],[Position]])*(JobBonus[[#This Row],[Area]]=StandByRates[Area])*(StandByRates[Hourly]*JobBonus[[#This Row],[Standby/ Ext 
Hrs]]))</f>
        <v>0</v>
      </c>
      <c r="Y87" s="44">
        <f>JobBonus[[#This Row],[Variable Pay]]+JobBonus[[#This Row],[Crew Efficiency Bonus]]+JobBonus[[#This Row],[OVPP]]+JobBonus[[#This Row],[StandBy/ Ext Amount]]</f>
        <v>0</v>
      </c>
      <c r="Z87" s="80"/>
      <c r="AA87" s="42"/>
      <c r="AB87" s="42"/>
      <c r="AC87"/>
      <c r="AD87"/>
      <c r="AE87"/>
      <c r="AF87"/>
    </row>
    <row r="88" spans="1:32" hidden="1" x14ac:dyDescent="0.25">
      <c r="A88" s="46" t="s">
        <v>400</v>
      </c>
      <c r="B88" s="80"/>
      <c r="C88" s="15"/>
      <c r="D88" s="15"/>
      <c r="E88" s="15"/>
      <c r="F88" s="15"/>
      <c r="G88" s="16">
        <v>44205</v>
      </c>
      <c r="H88" s="16"/>
      <c r="I88" s="19" t="str">
        <f>IF(ISBLANK(JobBonus[[#This Row],[Employee Name]]),"",INDEX(Employees[Job Title],MATCH(JobBonus[[#This Row],[Employee Name]],Employees[Employee Name2],0)))</f>
        <v>3 Supervisor</v>
      </c>
      <c r="J88" s="19" t="str">
        <f>IF(ISBLANK(JobBonus[[#This Row],[Job Prov]]),"",IF(JobBonus[[#This Row],[Job Prov]]=INDEX(Employees[Province],MATCH(JobBonus[[#This Row],[Employee Name]],Employees[Employee Name2],0)),"No","Yes"))</f>
        <v/>
      </c>
      <c r="K88" s="17"/>
      <c r="L88" s="19"/>
      <c r="M88" s="23"/>
      <c r="N88" s="23"/>
      <c r="O88" s="15"/>
      <c r="P88" s="15"/>
      <c r="Q88" s="15"/>
      <c r="R88" s="15">
        <v>495</v>
      </c>
      <c r="S88" s="44" cm="1">
        <f t="array" ref="S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8" s="44" cm="1">
        <f t="array" ref="T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8" s="44">
        <f>JobBonus[[#This Row],[Variable Pay]]+JobBonus[[#This Row],[Crew Efficiency Bonus]]</f>
        <v>0</v>
      </c>
      <c r="V88" s="44" cm="1">
        <f t="array" ref="V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8" s="44" t="b">
        <f>_xlfn.IFNA(EXACT(VLOOKUP(JobBonus[[#This Row],[Pay Type]],PayTypes[#All],4,FALSE),"Yes"),FALSE)</f>
        <v>0</v>
      </c>
      <c r="X88" s="44" cm="1">
        <f t="array" ref="X88">SUMPRODUCT((StandByRates[Position]=JobBonus[[#This Row],[Position]])*(JobBonus[[#This Row],[Area]]=StandByRates[Area])*(StandByRates[Hourly]*JobBonus[[#This Row],[Standby/ Ext 
Hrs]]))</f>
        <v>0</v>
      </c>
      <c r="Y88" s="44">
        <f>JobBonus[[#This Row],[Variable Pay]]+JobBonus[[#This Row],[Crew Efficiency Bonus]]+JobBonus[[#This Row],[OVPP]]+JobBonus[[#This Row],[StandBy/ Ext Amount]]</f>
        <v>0</v>
      </c>
      <c r="Z88" s="80"/>
      <c r="AA88" s="42"/>
      <c r="AB88" s="42"/>
      <c r="AC88"/>
      <c r="AD88"/>
      <c r="AE88"/>
      <c r="AF88"/>
    </row>
    <row r="89" spans="1:32" hidden="1" x14ac:dyDescent="0.25">
      <c r="A89" s="46" t="s">
        <v>424</v>
      </c>
      <c r="B89" s="80"/>
      <c r="C89" s="15"/>
      <c r="D89" s="15"/>
      <c r="E89" s="15"/>
      <c r="F89" s="15"/>
      <c r="G89" s="16">
        <v>44205</v>
      </c>
      <c r="H89" s="16"/>
      <c r="I89" s="19" t="str">
        <f>IF(ISBLANK(JobBonus[[#This Row],[Employee Name]]),"",INDEX(Employees[Job Title],MATCH(JobBonus[[#This Row],[Employee Name]],Employees[Employee Name2],0)))</f>
        <v>2 Operator</v>
      </c>
      <c r="J89" s="19" t="str">
        <f>IF(ISBLANK(JobBonus[[#This Row],[Job Prov]]),"",IF(JobBonus[[#This Row],[Job Prov]]=INDEX(Employees[Province],MATCH(JobBonus[[#This Row],[Employee Name]],Employees[Employee Name2],0)),"No","Yes"))</f>
        <v/>
      </c>
      <c r="K89" s="17"/>
      <c r="L89" s="19"/>
      <c r="M89" s="23"/>
      <c r="N89" s="23"/>
      <c r="O89" s="15"/>
      <c r="P89" s="15"/>
      <c r="Q89" s="15"/>
      <c r="R89" s="15">
        <v>193</v>
      </c>
      <c r="S89" s="44" cm="1">
        <f t="array" ref="S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9" s="44" cm="1">
        <f t="array" ref="T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9" s="44">
        <f>JobBonus[[#This Row],[Variable Pay]]+JobBonus[[#This Row],[Crew Efficiency Bonus]]</f>
        <v>0</v>
      </c>
      <c r="V89" s="44" cm="1">
        <f t="array" ref="V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9" s="44" t="b">
        <f>_xlfn.IFNA(EXACT(VLOOKUP(JobBonus[[#This Row],[Pay Type]],PayTypes[#All],4,FALSE),"Yes"),FALSE)</f>
        <v>0</v>
      </c>
      <c r="X89" s="44" cm="1">
        <f t="array" ref="X89">SUMPRODUCT((StandByRates[Position]=JobBonus[[#This Row],[Position]])*(JobBonus[[#This Row],[Area]]=StandByRates[Area])*(StandByRates[Hourly]*JobBonus[[#This Row],[Standby/ Ext 
Hrs]]))</f>
        <v>0</v>
      </c>
      <c r="Y89" s="44">
        <f>JobBonus[[#This Row],[Variable Pay]]+JobBonus[[#This Row],[Crew Efficiency Bonus]]+JobBonus[[#This Row],[OVPP]]+JobBonus[[#This Row],[StandBy/ Ext Amount]]</f>
        <v>0</v>
      </c>
      <c r="Z89" s="80"/>
      <c r="AA89" s="42"/>
      <c r="AB89" s="42"/>
      <c r="AC89"/>
      <c r="AD89"/>
      <c r="AE89"/>
      <c r="AF89"/>
    </row>
    <row r="90" spans="1:32" hidden="1" x14ac:dyDescent="0.25">
      <c r="A90" s="46" t="s">
        <v>417</v>
      </c>
      <c r="B90" s="80"/>
      <c r="C90" s="15"/>
      <c r="D90" s="15"/>
      <c r="E90" s="15"/>
      <c r="F90" s="15"/>
      <c r="G90" s="16">
        <v>44205</v>
      </c>
      <c r="H90" s="16"/>
      <c r="I90" s="19" t="str">
        <f>IF(ISBLANK(JobBonus[[#This Row],[Employee Name]]),"",INDEX(Employees[Job Title],MATCH(JobBonus[[#This Row],[Employee Name]],Employees[Employee Name2],0)))</f>
        <v>2 Driver</v>
      </c>
      <c r="J90" s="19" t="str">
        <f>IF(ISBLANK(JobBonus[[#This Row],[Job Prov]]),"",IF(JobBonus[[#This Row],[Job Prov]]=INDEX(Employees[Province],MATCH(JobBonus[[#This Row],[Employee Name]],Employees[Employee Name2],0)),"No","Yes"))</f>
        <v/>
      </c>
      <c r="K90" s="17"/>
      <c r="L90" s="19"/>
      <c r="M90" s="23"/>
      <c r="N90" s="23"/>
      <c r="O90" s="15"/>
      <c r="P90" s="15"/>
      <c r="Q90" s="15"/>
      <c r="R90" s="15">
        <v>188</v>
      </c>
      <c r="S90" s="44" cm="1">
        <f t="array" ref="S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0" s="44" cm="1">
        <f t="array" ref="T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0" s="44">
        <f>JobBonus[[#This Row],[Variable Pay]]+JobBonus[[#This Row],[Crew Efficiency Bonus]]</f>
        <v>0</v>
      </c>
      <c r="V90" s="44" cm="1">
        <f t="array" ref="V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0" s="44" t="b">
        <f>_xlfn.IFNA(EXACT(VLOOKUP(JobBonus[[#This Row],[Pay Type]],PayTypes[#All],4,FALSE),"Yes"),FALSE)</f>
        <v>0</v>
      </c>
      <c r="X90" s="44" cm="1">
        <f t="array" ref="X90">SUMPRODUCT((StandByRates[Position]=JobBonus[[#This Row],[Position]])*(JobBonus[[#This Row],[Area]]=StandByRates[Area])*(StandByRates[Hourly]*JobBonus[[#This Row],[Standby/ Ext 
Hrs]]))</f>
        <v>0</v>
      </c>
      <c r="Y90" s="44">
        <f>JobBonus[[#This Row],[Variable Pay]]+JobBonus[[#This Row],[Crew Efficiency Bonus]]+JobBonus[[#This Row],[OVPP]]+JobBonus[[#This Row],[StandBy/ Ext Amount]]</f>
        <v>0</v>
      </c>
      <c r="Z90" s="80"/>
      <c r="AA90" s="42"/>
      <c r="AB90" s="42"/>
      <c r="AC90"/>
      <c r="AD90"/>
      <c r="AE90"/>
      <c r="AF90"/>
    </row>
    <row r="91" spans="1:32" hidden="1" x14ac:dyDescent="0.25">
      <c r="A91" s="46" t="s">
        <v>401</v>
      </c>
      <c r="B91" s="80"/>
      <c r="C91" s="15"/>
      <c r="D91" s="15"/>
      <c r="E91" s="15"/>
      <c r="F91" s="15"/>
      <c r="G91" s="16">
        <v>44205</v>
      </c>
      <c r="H91" s="16"/>
      <c r="I91" s="19" t="str">
        <f>IF(ISBLANK(JobBonus[[#This Row],[Employee Name]]),"",INDEX(Employees[Job Title],MATCH(JobBonus[[#This Row],[Employee Name]],Employees[Employee Name2],0)))</f>
        <v>2 Driver</v>
      </c>
      <c r="J91" s="19" t="str">
        <f>IF(ISBLANK(JobBonus[[#This Row],[Job Prov]]),"",IF(JobBonus[[#This Row],[Job Prov]]=INDEX(Employees[Province],MATCH(JobBonus[[#This Row],[Employee Name]],Employees[Employee Name2],0)),"No","Yes"))</f>
        <v/>
      </c>
      <c r="K91" s="17"/>
      <c r="L91" s="19"/>
      <c r="M91" s="23"/>
      <c r="N91" s="23"/>
      <c r="O91" s="15"/>
      <c r="P91" s="15"/>
      <c r="Q91" s="15"/>
      <c r="R91" s="15">
        <v>303</v>
      </c>
      <c r="S91" s="44" cm="1">
        <f t="array" ref="S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1" s="44" cm="1">
        <f t="array" ref="T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1" s="44">
        <f>JobBonus[[#This Row],[Variable Pay]]+JobBonus[[#This Row],[Crew Efficiency Bonus]]</f>
        <v>0</v>
      </c>
      <c r="V91" s="44" cm="1">
        <f t="array" ref="V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1" s="44" t="b">
        <f>_xlfn.IFNA(EXACT(VLOOKUP(JobBonus[[#This Row],[Pay Type]],PayTypes[#All],4,FALSE),"Yes"),FALSE)</f>
        <v>0</v>
      </c>
      <c r="X91" s="44" cm="1">
        <f t="array" ref="X91">SUMPRODUCT((StandByRates[Position]=JobBonus[[#This Row],[Position]])*(JobBonus[[#This Row],[Area]]=StandByRates[Area])*(StandByRates[Hourly]*JobBonus[[#This Row],[Standby/ Ext 
Hrs]]))</f>
        <v>0</v>
      </c>
      <c r="Y91" s="44">
        <f>JobBonus[[#This Row],[Variable Pay]]+JobBonus[[#This Row],[Crew Efficiency Bonus]]+JobBonus[[#This Row],[OVPP]]+JobBonus[[#This Row],[StandBy/ Ext Amount]]</f>
        <v>0</v>
      </c>
      <c r="Z91" s="80"/>
      <c r="AA91" s="42"/>
      <c r="AB91" s="42"/>
      <c r="AC91"/>
      <c r="AD91"/>
      <c r="AE91"/>
      <c r="AF91"/>
    </row>
    <row r="92" spans="1:32" hidden="1" x14ac:dyDescent="0.25">
      <c r="A92" s="46" t="s">
        <v>405</v>
      </c>
      <c r="B92" s="80"/>
      <c r="C92" s="15"/>
      <c r="D92" s="15"/>
      <c r="E92" s="15"/>
      <c r="F92" s="15"/>
      <c r="G92" s="16">
        <v>44205</v>
      </c>
      <c r="H92" s="16"/>
      <c r="I92" s="19" t="str">
        <f>IF(ISBLANK(JobBonus[[#This Row],[Employee Name]]),"",INDEX(Employees[Job Title],MATCH(JobBonus[[#This Row],[Employee Name]],Employees[Employee Name2],0)))</f>
        <v>2 Operator</v>
      </c>
      <c r="J92" s="19" t="str">
        <f>IF(ISBLANK(JobBonus[[#This Row],[Job Prov]]),"",IF(JobBonus[[#This Row],[Job Prov]]=INDEX(Employees[Province],MATCH(JobBonus[[#This Row],[Employee Name]],Employees[Employee Name2],0)),"No","Yes"))</f>
        <v/>
      </c>
      <c r="K92" s="17"/>
      <c r="L92" s="19"/>
      <c r="M92" s="23"/>
      <c r="N92" s="23"/>
      <c r="O92" s="15"/>
      <c r="P92" s="15"/>
      <c r="Q92" s="15"/>
      <c r="R92" s="15">
        <v>194</v>
      </c>
      <c r="S92" s="44" cm="1">
        <f t="array" ref="S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2" s="44" cm="1">
        <f t="array" ref="T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2" s="44">
        <f>JobBonus[[#This Row],[Variable Pay]]+JobBonus[[#This Row],[Crew Efficiency Bonus]]</f>
        <v>0</v>
      </c>
      <c r="V92" s="44" cm="1">
        <f t="array" ref="V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2" s="44" t="b">
        <f>_xlfn.IFNA(EXACT(VLOOKUP(JobBonus[[#This Row],[Pay Type]],PayTypes[#All],4,FALSE),"Yes"),FALSE)</f>
        <v>0</v>
      </c>
      <c r="X92" s="44" cm="1">
        <f t="array" ref="X92">SUMPRODUCT((StandByRates[Position]=JobBonus[[#This Row],[Position]])*(JobBonus[[#This Row],[Area]]=StandByRates[Area])*(StandByRates[Hourly]*JobBonus[[#This Row],[Standby/ Ext 
Hrs]]))</f>
        <v>0</v>
      </c>
      <c r="Y92" s="44">
        <f>JobBonus[[#This Row],[Variable Pay]]+JobBonus[[#This Row],[Crew Efficiency Bonus]]+JobBonus[[#This Row],[OVPP]]+JobBonus[[#This Row],[StandBy/ Ext Amount]]</f>
        <v>0</v>
      </c>
      <c r="Z92" s="80"/>
      <c r="AA92" s="42"/>
      <c r="AB92" s="42"/>
      <c r="AC92"/>
      <c r="AD92"/>
      <c r="AE92"/>
      <c r="AF92"/>
    </row>
    <row r="93" spans="1:32" hidden="1" x14ac:dyDescent="0.25">
      <c r="A93" s="46" t="s">
        <v>411</v>
      </c>
      <c r="B93" s="80"/>
      <c r="C93" s="15"/>
      <c r="D93" s="15"/>
      <c r="E93" s="15"/>
      <c r="F93" s="15"/>
      <c r="G93" s="16">
        <v>44205</v>
      </c>
      <c r="H93" s="16"/>
      <c r="I93" s="19" t="str">
        <f>IF(ISBLANK(JobBonus[[#This Row],[Employee Name]]),"",INDEX(Employees[Job Title],MATCH(JobBonus[[#This Row],[Employee Name]],Employees[Employee Name2],0)))</f>
        <v>3 Supervisor</v>
      </c>
      <c r="J93" s="19" t="str">
        <f>IF(ISBLANK(JobBonus[[#This Row],[Job Prov]]),"",IF(JobBonus[[#This Row],[Job Prov]]=INDEX(Employees[Province],MATCH(JobBonus[[#This Row],[Employee Name]],Employees[Employee Name2],0)),"No","Yes"))</f>
        <v/>
      </c>
      <c r="K93" s="17"/>
      <c r="L93" s="19"/>
      <c r="M93" s="23"/>
      <c r="N93" s="23"/>
      <c r="O93" s="15"/>
      <c r="P93" s="15"/>
      <c r="Q93" s="15"/>
      <c r="R93" s="15">
        <v>84</v>
      </c>
      <c r="S93" s="44" cm="1">
        <f t="array" ref="S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3" s="44" cm="1">
        <f t="array" ref="T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3" s="44">
        <f>JobBonus[[#This Row],[Variable Pay]]+JobBonus[[#This Row],[Crew Efficiency Bonus]]</f>
        <v>0</v>
      </c>
      <c r="V93" s="44" cm="1">
        <f t="array" ref="V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3" s="44" t="b">
        <f>_xlfn.IFNA(EXACT(VLOOKUP(JobBonus[[#This Row],[Pay Type]],PayTypes[#All],4,FALSE),"Yes"),FALSE)</f>
        <v>0</v>
      </c>
      <c r="X93" s="44" cm="1">
        <f t="array" ref="X93">SUMPRODUCT((StandByRates[Position]=JobBonus[[#This Row],[Position]])*(JobBonus[[#This Row],[Area]]=StandByRates[Area])*(StandByRates[Hourly]*JobBonus[[#This Row],[Standby/ Ext 
Hrs]]))</f>
        <v>0</v>
      </c>
      <c r="Y93" s="44">
        <f>JobBonus[[#This Row],[Variable Pay]]+JobBonus[[#This Row],[Crew Efficiency Bonus]]+JobBonus[[#This Row],[OVPP]]+JobBonus[[#This Row],[StandBy/ Ext Amount]]</f>
        <v>0</v>
      </c>
      <c r="Z93" s="80"/>
      <c r="AA93" s="42"/>
      <c r="AB93" s="42"/>
      <c r="AC93"/>
      <c r="AD93"/>
      <c r="AE93"/>
      <c r="AF93"/>
    </row>
    <row r="94" spans="1:32" hidden="1" x14ac:dyDescent="0.25">
      <c r="A94" s="46" t="s">
        <v>393</v>
      </c>
      <c r="B94" s="80">
        <v>464093</v>
      </c>
      <c r="C94" s="15" t="s">
        <v>220</v>
      </c>
      <c r="D94" s="15" t="s">
        <v>257</v>
      </c>
      <c r="E94" s="15" t="s">
        <v>264</v>
      </c>
      <c r="F94" s="15"/>
      <c r="G94" s="16">
        <v>44199</v>
      </c>
      <c r="H94" s="16" t="s">
        <v>216</v>
      </c>
      <c r="I94" s="19" t="str">
        <f>IF(ISBLANK(JobBonus[[#This Row],[Employee Name]]),"",INDEX(Employees[Job Title],MATCH(JobBonus[[#This Row],[Employee Name]],Employees[Employee Name2],0)))</f>
        <v>2 Supervisor</v>
      </c>
      <c r="J94" s="19" t="str">
        <f>IF(ISBLANK(JobBonus[[#This Row],[Job Prov]]),"",IF(JobBonus[[#This Row],[Job Prov]]=INDEX(Employees[Province],MATCH(JobBonus[[#This Row],[Employee Name]],Employees[Employee Name2],0)),"No","Yes"))</f>
        <v>No</v>
      </c>
      <c r="K94" s="17" t="s">
        <v>270</v>
      </c>
      <c r="L94" s="19" t="s">
        <v>396</v>
      </c>
      <c r="M94" s="23">
        <v>19255.5</v>
      </c>
      <c r="N94" s="23"/>
      <c r="O94" s="15"/>
      <c r="P94" s="15"/>
      <c r="Q94" s="15"/>
      <c r="R94" s="15"/>
      <c r="S94" s="44" cm="1">
        <f t="array" ref="S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94" s="44" cm="1">
        <f t="array" ref="T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4" s="44">
        <f>JobBonus[[#This Row],[Variable Pay]]+JobBonus[[#This Row],[Crew Efficiency Bonus]]</f>
        <v>190</v>
      </c>
      <c r="V94" s="44" cm="1">
        <f t="array" ref="V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4" s="44" t="b">
        <f>_xlfn.IFNA(EXACT(VLOOKUP(JobBonus[[#This Row],[Pay Type]],PayTypes[#All],4,FALSE),"Yes"),FALSE)</f>
        <v>0</v>
      </c>
      <c r="X94" s="44" cm="1">
        <f t="array" ref="X94">SUMPRODUCT((StandByRates[Position]=JobBonus[[#This Row],[Position]])*(JobBonus[[#This Row],[Area]]=StandByRates[Area])*(StandByRates[Hourly]*JobBonus[[#This Row],[Standby/ Ext 
Hrs]]))</f>
        <v>0</v>
      </c>
      <c r="Y94" s="44">
        <f>JobBonus[[#This Row],[Variable Pay]]+JobBonus[[#This Row],[Crew Efficiency Bonus]]+JobBonus[[#This Row],[OVPP]]+JobBonus[[#This Row],[StandBy/ Ext Amount]]</f>
        <v>190</v>
      </c>
      <c r="Z94" s="80"/>
      <c r="AA94" s="42"/>
      <c r="AB94" s="42"/>
      <c r="AC94"/>
      <c r="AD94"/>
      <c r="AE94"/>
      <c r="AF94"/>
    </row>
    <row r="95" spans="1:32" hidden="1" x14ac:dyDescent="0.25">
      <c r="A95" s="46" t="s">
        <v>394</v>
      </c>
      <c r="B95" s="80">
        <v>464093</v>
      </c>
      <c r="C95" s="15" t="s">
        <v>220</v>
      </c>
      <c r="D95" s="15" t="s">
        <v>257</v>
      </c>
      <c r="E95" s="15" t="s">
        <v>264</v>
      </c>
      <c r="F95" s="15"/>
      <c r="G95" s="16">
        <v>44199</v>
      </c>
      <c r="H95" s="16" t="s">
        <v>216</v>
      </c>
      <c r="I95" s="19" t="str">
        <f>IF(ISBLANK(JobBonus[[#This Row],[Employee Name]]),"",INDEX(Employees[Job Title],MATCH(JobBonus[[#This Row],[Employee Name]],Employees[Employee Name2],0)))</f>
        <v>4 Supervisor</v>
      </c>
      <c r="J95" s="19" t="str">
        <f>IF(ISBLANK(JobBonus[[#This Row],[Job Prov]]),"",IF(JobBonus[[#This Row],[Job Prov]]=INDEX(Employees[Province],MATCH(JobBonus[[#This Row],[Employee Name]],Employees[Employee Name2],0)),"No","Yes"))</f>
        <v>No</v>
      </c>
      <c r="K95" s="17" t="s">
        <v>117</v>
      </c>
      <c r="L95" s="19" t="s">
        <v>396</v>
      </c>
      <c r="M95" s="23">
        <v>19255.5</v>
      </c>
      <c r="N95" s="23"/>
      <c r="O95" s="15"/>
      <c r="P95" s="15"/>
      <c r="Q95" s="15"/>
      <c r="R95" s="15"/>
      <c r="S95" s="44" cm="1">
        <f t="array" ref="S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95" s="44" cm="1">
        <f t="array" ref="T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5" s="44">
        <f>JobBonus[[#This Row],[Variable Pay]]+JobBonus[[#This Row],[Crew Efficiency Bonus]]</f>
        <v>335</v>
      </c>
      <c r="V95" s="44" cm="1">
        <f t="array" ref="V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5" s="44" t="b">
        <f>_xlfn.IFNA(EXACT(VLOOKUP(JobBonus[[#This Row],[Pay Type]],PayTypes[#All],4,FALSE),"Yes"),FALSE)</f>
        <v>0</v>
      </c>
      <c r="X95" s="44" cm="1">
        <f t="array" ref="X95">SUMPRODUCT((StandByRates[Position]=JobBonus[[#This Row],[Position]])*(JobBonus[[#This Row],[Area]]=StandByRates[Area])*(StandByRates[Hourly]*JobBonus[[#This Row],[Standby/ Ext 
Hrs]]))</f>
        <v>0</v>
      </c>
      <c r="Y95" s="44">
        <f>JobBonus[[#This Row],[Variable Pay]]+JobBonus[[#This Row],[Crew Efficiency Bonus]]+JobBonus[[#This Row],[OVPP]]+JobBonus[[#This Row],[StandBy/ Ext Amount]]</f>
        <v>335</v>
      </c>
      <c r="Z95" s="80"/>
      <c r="AA95" s="42"/>
      <c r="AB95" s="42"/>
      <c r="AC95"/>
      <c r="AD95"/>
      <c r="AE95"/>
      <c r="AF95"/>
    </row>
    <row r="96" spans="1:32" hidden="1" x14ac:dyDescent="0.25">
      <c r="A96" s="46" t="s">
        <v>395</v>
      </c>
      <c r="B96" s="80">
        <v>464093</v>
      </c>
      <c r="C96" s="15" t="s">
        <v>220</v>
      </c>
      <c r="D96" s="15" t="s">
        <v>257</v>
      </c>
      <c r="E96" s="15" t="s">
        <v>264</v>
      </c>
      <c r="F96" s="15"/>
      <c r="G96" s="16">
        <v>44199</v>
      </c>
      <c r="H96" s="16" t="s">
        <v>216</v>
      </c>
      <c r="I96" s="19" t="str">
        <f>IF(ISBLANK(JobBonus[[#This Row],[Employee Name]]),"",INDEX(Employees[Job Title],MATCH(JobBonus[[#This Row],[Employee Name]],Employees[Employee Name2],0)))</f>
        <v>2 Operator</v>
      </c>
      <c r="J96" s="19" t="str">
        <f>IF(ISBLANK(JobBonus[[#This Row],[Job Prov]]),"",IF(JobBonus[[#This Row],[Job Prov]]=INDEX(Employees[Province],MATCH(JobBonus[[#This Row],[Employee Name]],Employees[Employee Name2],0)),"No","Yes"))</f>
        <v>No</v>
      </c>
      <c r="K96" s="17" t="s">
        <v>115</v>
      </c>
      <c r="L96" s="19" t="s">
        <v>396</v>
      </c>
      <c r="M96" s="23">
        <v>19255.5</v>
      </c>
      <c r="N96" s="23"/>
      <c r="O96" s="15"/>
      <c r="P96" s="15"/>
      <c r="Q96" s="15"/>
      <c r="R96" s="15"/>
      <c r="S96" s="44" cm="1">
        <f t="array" ref="S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96" s="44" cm="1">
        <f t="array" ref="T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6" s="44">
        <f>JobBonus[[#This Row],[Variable Pay]]+JobBonus[[#This Row],[Crew Efficiency Bonus]]</f>
        <v>235</v>
      </c>
      <c r="V96" s="44" cm="1">
        <f t="array" ref="V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6" s="44" t="b">
        <f>_xlfn.IFNA(EXACT(VLOOKUP(JobBonus[[#This Row],[Pay Type]],PayTypes[#All],4,FALSE),"Yes"),FALSE)</f>
        <v>0</v>
      </c>
      <c r="X96" s="44" cm="1">
        <f t="array" ref="X96">SUMPRODUCT((StandByRates[Position]=JobBonus[[#This Row],[Position]])*(JobBonus[[#This Row],[Area]]=StandByRates[Area])*(StandByRates[Hourly]*JobBonus[[#This Row],[Standby/ Ext 
Hrs]]))</f>
        <v>0</v>
      </c>
      <c r="Y96" s="44">
        <f>JobBonus[[#This Row],[Variable Pay]]+JobBonus[[#This Row],[Crew Efficiency Bonus]]+JobBonus[[#This Row],[OVPP]]+JobBonus[[#This Row],[StandBy/ Ext Amount]]</f>
        <v>235</v>
      </c>
      <c r="Z96" s="80"/>
      <c r="AA96" s="42"/>
      <c r="AB96" s="42"/>
      <c r="AC96"/>
      <c r="AD96"/>
      <c r="AE96"/>
      <c r="AF96"/>
    </row>
    <row r="97" spans="1:32" x14ac:dyDescent="0.25">
      <c r="A97" s="46" t="s">
        <v>393</v>
      </c>
      <c r="B97" s="80"/>
      <c r="C97" s="15" t="s">
        <v>220</v>
      </c>
      <c r="D97" s="15" t="s">
        <v>257</v>
      </c>
      <c r="E97" s="15" t="s">
        <v>264</v>
      </c>
      <c r="F97" s="15">
        <v>514412</v>
      </c>
      <c r="G97" s="16">
        <v>44197</v>
      </c>
      <c r="H97" s="16" t="s">
        <v>7</v>
      </c>
      <c r="I97" s="19" t="str">
        <f>IF(ISBLANK(JobBonus[[#This Row],[Employee Name]]),"",INDEX(Employees[Job Title],MATCH(JobBonus[[#This Row],[Employee Name]],Employees[Employee Name2],0)))</f>
        <v>2 Supervisor</v>
      </c>
      <c r="J97" s="19" t="str">
        <f>IF(ISBLANK(JobBonus[[#This Row],[Job Prov]]),"",IF(JobBonus[[#This Row],[Job Prov]]=INDEX(Employees[Province],MATCH(JobBonus[[#This Row],[Employee Name]],Employees[Employee Name2],0)),"No","Yes"))</f>
        <v>No</v>
      </c>
      <c r="K97" s="17" t="s">
        <v>119</v>
      </c>
      <c r="L97" s="19" t="s">
        <v>396</v>
      </c>
      <c r="M97" s="23"/>
      <c r="N97" s="23"/>
      <c r="O97" s="15">
        <v>50</v>
      </c>
      <c r="P97" s="15"/>
      <c r="Q97" s="15"/>
      <c r="R97" s="15"/>
      <c r="S97" s="44" cm="1">
        <f t="array" ref="S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7" s="44" cm="1">
        <f t="array" ref="T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7" s="44">
        <f>JobBonus[[#This Row],[Variable Pay]]+JobBonus[[#This Row],[Crew Efficiency Bonus]]</f>
        <v>0</v>
      </c>
      <c r="V97" s="44" cm="1">
        <f t="array" ref="V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121</v>
      </c>
      <c r="W97" s="44" t="b">
        <f>_xlfn.IFNA(EXACT(VLOOKUP(JobBonus[[#This Row],[Pay Type]],PayTypes[#All],4,FALSE),"Yes"),FALSE)</f>
        <v>0</v>
      </c>
      <c r="X97" s="44" cm="1">
        <f t="array" ref="X97">SUMPRODUCT((StandByRates[Position]=JobBonus[[#This Row],[Position]])*(JobBonus[[#This Row],[Area]]=StandByRates[Area])*(StandByRates[Hourly]*JobBonus[[#This Row],[Standby/ Ext 
Hrs]]))</f>
        <v>0</v>
      </c>
      <c r="Y97" s="44">
        <f>JobBonus[[#This Row],[Variable Pay]]+JobBonus[[#This Row],[Crew Efficiency Bonus]]+JobBonus[[#This Row],[OVPP]]+JobBonus[[#This Row],[StandBy/ Ext Amount]]</f>
        <v>121</v>
      </c>
      <c r="Z97" s="80" t="s">
        <v>425</v>
      </c>
      <c r="AA97" s="42"/>
      <c r="AB97" s="42"/>
      <c r="AC97"/>
      <c r="AD97"/>
      <c r="AE97"/>
      <c r="AF97"/>
    </row>
    <row r="98" spans="1:32" hidden="1" x14ac:dyDescent="0.25">
      <c r="A98" s="46"/>
      <c r="B98" s="80"/>
      <c r="C98" s="15"/>
      <c r="D98" s="15"/>
      <c r="E98" s="15"/>
      <c r="F98" s="15"/>
      <c r="G98" s="16"/>
      <c r="H98" s="16"/>
      <c r="I98" s="19" t="str">
        <f>IF(ISBLANK(JobBonus[[#This Row],[Employee Name]]),"",INDEX(Employees[Job Title],MATCH(JobBonus[[#This Row],[Employee Name]],Employees[Employee Name2],0)))</f>
        <v/>
      </c>
      <c r="J98" s="19" t="str">
        <f>IF(ISBLANK(JobBonus[[#This Row],[Job Prov]]),"",IF(JobBonus[[#This Row],[Job Prov]]=INDEX(Employees[Province],MATCH(JobBonus[[#This Row],[Employee Name]],Employees[Employee Name2],0)),"No","Yes"))</f>
        <v/>
      </c>
      <c r="K98" s="17"/>
      <c r="L98" s="19"/>
      <c r="M98" s="23"/>
      <c r="N98" s="23"/>
      <c r="O98" s="15"/>
      <c r="P98" s="15"/>
      <c r="Q98" s="15"/>
      <c r="R98" s="15"/>
      <c r="S98" s="44" cm="1">
        <f t="array" ref="S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8" s="44" cm="1">
        <f t="array" ref="T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8" s="44">
        <f>JobBonus[[#This Row],[Variable Pay]]+JobBonus[[#This Row],[Crew Efficiency Bonus]]</f>
        <v>0</v>
      </c>
      <c r="V98" s="44" cm="1">
        <f t="array" ref="V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8" s="44" t="b">
        <f>_xlfn.IFNA(EXACT(VLOOKUP(JobBonus[[#This Row],[Pay Type]],PayTypes[#All],4,FALSE),"Yes"),FALSE)</f>
        <v>0</v>
      </c>
      <c r="X98" s="44" cm="1">
        <f t="array" ref="X98">SUMPRODUCT((StandByRates[Position]=JobBonus[[#This Row],[Position]])*(JobBonus[[#This Row],[Area]]=StandByRates[Area])*(StandByRates[Hourly]*JobBonus[[#This Row],[Standby/ Ext 
Hrs]]))</f>
        <v>0</v>
      </c>
      <c r="Y98" s="44">
        <f>JobBonus[[#This Row],[Variable Pay]]+JobBonus[[#This Row],[Crew Efficiency Bonus]]+JobBonus[[#This Row],[OVPP]]+JobBonus[[#This Row],[StandBy/ Ext Amount]]</f>
        <v>0</v>
      </c>
      <c r="Z98" s="80"/>
      <c r="AA98" s="42"/>
      <c r="AB98" s="42"/>
      <c r="AC98"/>
      <c r="AD98"/>
      <c r="AE98"/>
      <c r="AF98"/>
    </row>
    <row r="99" spans="1:32" hidden="1" x14ac:dyDescent="0.25">
      <c r="A99" s="46"/>
      <c r="B99" s="80"/>
      <c r="C99" s="15"/>
      <c r="D99" s="15"/>
      <c r="E99" s="15"/>
      <c r="F99" s="15"/>
      <c r="G99" s="16"/>
      <c r="H99" s="16"/>
      <c r="I99" s="19" t="str">
        <f>IF(ISBLANK(JobBonus[[#This Row],[Employee Name]]),"",INDEX(Employees[Job Title],MATCH(JobBonus[[#This Row],[Employee Name]],Employees[Employee Name2],0)))</f>
        <v/>
      </c>
      <c r="J99" s="19" t="str">
        <f>IF(ISBLANK(JobBonus[[#This Row],[Job Prov]]),"",IF(JobBonus[[#This Row],[Job Prov]]=INDEX(Employees[Province],MATCH(JobBonus[[#This Row],[Employee Name]],Employees[Employee Name2],0)),"No","Yes"))</f>
        <v/>
      </c>
      <c r="K99" s="17"/>
      <c r="L99" s="19"/>
      <c r="M99" s="23"/>
      <c r="N99" s="23"/>
      <c r="O99" s="15"/>
      <c r="P99" s="15"/>
      <c r="Q99" s="15"/>
      <c r="R99" s="15"/>
      <c r="S99" s="44" cm="1">
        <f t="array" ref="S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9" s="44" cm="1">
        <f t="array" ref="T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9" s="44">
        <f>JobBonus[[#This Row],[Variable Pay]]+JobBonus[[#This Row],[Crew Efficiency Bonus]]</f>
        <v>0</v>
      </c>
      <c r="V99" s="44" cm="1">
        <f t="array" ref="V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9" s="44" t="b">
        <f>_xlfn.IFNA(EXACT(VLOOKUP(JobBonus[[#This Row],[Pay Type]],PayTypes[#All],4,FALSE),"Yes"),FALSE)</f>
        <v>0</v>
      </c>
      <c r="X99" s="44" cm="1">
        <f t="array" ref="X99">SUMPRODUCT((StandByRates[Position]=JobBonus[[#This Row],[Position]])*(JobBonus[[#This Row],[Area]]=StandByRates[Area])*(StandByRates[Hourly]*JobBonus[[#This Row],[Standby/ Ext 
Hrs]]))</f>
        <v>0</v>
      </c>
      <c r="Y99" s="44">
        <f>JobBonus[[#This Row],[Variable Pay]]+JobBonus[[#This Row],[Crew Efficiency Bonus]]+JobBonus[[#This Row],[OVPP]]+JobBonus[[#This Row],[StandBy/ Ext Amount]]</f>
        <v>0</v>
      </c>
      <c r="Z99" s="80"/>
      <c r="AA99" s="42"/>
      <c r="AB99" s="42"/>
      <c r="AC99"/>
      <c r="AD99"/>
      <c r="AE99"/>
      <c r="AF99"/>
    </row>
    <row r="100" spans="1:32" hidden="1" x14ac:dyDescent="0.25">
      <c r="A100" s="46"/>
      <c r="B100" s="80"/>
      <c r="C100" s="15"/>
      <c r="D100" s="15"/>
      <c r="E100" s="15"/>
      <c r="F100" s="15"/>
      <c r="G100" s="16"/>
      <c r="H100" s="16"/>
      <c r="I100" s="19" t="str">
        <f>IF(ISBLANK(JobBonus[[#This Row],[Employee Name]]),"",INDEX(Employees[Job Title],MATCH(JobBonus[[#This Row],[Employee Name]],Employees[Employee Name2],0)))</f>
        <v/>
      </c>
      <c r="J100" s="19" t="str">
        <f>IF(ISBLANK(JobBonus[[#This Row],[Job Prov]]),"",IF(JobBonus[[#This Row],[Job Prov]]=INDEX(Employees[Province],MATCH(JobBonus[[#This Row],[Employee Name]],Employees[Employee Name2],0)),"No","Yes"))</f>
        <v/>
      </c>
      <c r="K100" s="17"/>
      <c r="L100" s="19"/>
      <c r="M100" s="23"/>
      <c r="N100" s="23"/>
      <c r="O100" s="15"/>
      <c r="P100" s="15"/>
      <c r="Q100" s="15"/>
      <c r="R100" s="15"/>
      <c r="S100" s="44" cm="1">
        <f t="array" ref="S1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0" s="44" cm="1">
        <f t="array" ref="T1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0" s="44">
        <f>JobBonus[[#This Row],[Variable Pay]]+JobBonus[[#This Row],[Crew Efficiency Bonus]]</f>
        <v>0</v>
      </c>
      <c r="V100" s="44" cm="1">
        <f t="array" ref="V1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0" s="44" t="b">
        <f>_xlfn.IFNA(EXACT(VLOOKUP(JobBonus[[#This Row],[Pay Type]],PayTypes[#All],4,FALSE),"Yes"),FALSE)</f>
        <v>0</v>
      </c>
      <c r="X100" s="44" cm="1">
        <f t="array" ref="X100">SUMPRODUCT((StandByRates[Position]=JobBonus[[#This Row],[Position]])*(JobBonus[[#This Row],[Area]]=StandByRates[Area])*(StandByRates[Hourly]*JobBonus[[#This Row],[Standby/ Ext 
Hrs]]))</f>
        <v>0</v>
      </c>
      <c r="Y100" s="44">
        <f>JobBonus[[#This Row],[Variable Pay]]+JobBonus[[#This Row],[Crew Efficiency Bonus]]+JobBonus[[#This Row],[OVPP]]+JobBonus[[#This Row],[StandBy/ Ext Amount]]</f>
        <v>0</v>
      </c>
      <c r="Z100" s="80"/>
      <c r="AA100" s="42"/>
      <c r="AB100" s="42"/>
      <c r="AC100"/>
      <c r="AD100"/>
      <c r="AE100"/>
      <c r="AF100"/>
    </row>
    <row r="101" spans="1:32" hidden="1" x14ac:dyDescent="0.25">
      <c r="A101" s="46"/>
      <c r="B101" s="80"/>
      <c r="C101" s="15"/>
      <c r="D101" s="15"/>
      <c r="E101" s="15"/>
      <c r="F101" s="15"/>
      <c r="G101" s="16"/>
      <c r="H101" s="16"/>
      <c r="I101" s="19" t="str">
        <f>IF(ISBLANK(JobBonus[[#This Row],[Employee Name]]),"",INDEX(Employees[Job Title],MATCH(JobBonus[[#This Row],[Employee Name]],Employees[Employee Name2],0)))</f>
        <v/>
      </c>
      <c r="J101" s="19" t="str">
        <f>IF(ISBLANK(JobBonus[[#This Row],[Job Prov]]),"",IF(JobBonus[[#This Row],[Job Prov]]=INDEX(Employees[Province],MATCH(JobBonus[[#This Row],[Employee Name]],Employees[Employee Name2],0)),"No","Yes"))</f>
        <v/>
      </c>
      <c r="K101" s="17"/>
      <c r="L101" s="19"/>
      <c r="M101" s="23"/>
      <c r="N101" s="23"/>
      <c r="O101" s="15"/>
      <c r="P101" s="15"/>
      <c r="Q101" s="15"/>
      <c r="R101" s="15"/>
      <c r="S101" s="44" cm="1">
        <f t="array" ref="S1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1" s="44" cm="1">
        <f t="array" ref="T1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1" s="44">
        <f>JobBonus[[#This Row],[Variable Pay]]+JobBonus[[#This Row],[Crew Efficiency Bonus]]</f>
        <v>0</v>
      </c>
      <c r="V101" s="44" cm="1">
        <f t="array" ref="V1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1" s="44" t="b">
        <f>_xlfn.IFNA(EXACT(VLOOKUP(JobBonus[[#This Row],[Pay Type]],PayTypes[#All],4,FALSE),"Yes"),FALSE)</f>
        <v>0</v>
      </c>
      <c r="X101" s="44" cm="1">
        <f t="array" ref="X101">SUMPRODUCT((StandByRates[Position]=JobBonus[[#This Row],[Position]])*(JobBonus[[#This Row],[Area]]=StandByRates[Area])*(StandByRates[Hourly]*JobBonus[[#This Row],[Standby/ Ext 
Hrs]]))</f>
        <v>0</v>
      </c>
      <c r="Y101" s="44">
        <f>JobBonus[[#This Row],[Variable Pay]]+JobBonus[[#This Row],[Crew Efficiency Bonus]]+JobBonus[[#This Row],[OVPP]]+JobBonus[[#This Row],[StandBy/ Ext Amount]]</f>
        <v>0</v>
      </c>
      <c r="Z101" s="80"/>
      <c r="AA101" s="42"/>
      <c r="AB101" s="42"/>
      <c r="AC101"/>
      <c r="AD101"/>
      <c r="AE101"/>
      <c r="AF101"/>
    </row>
    <row r="102" spans="1:32" hidden="1" x14ac:dyDescent="0.25">
      <c r="A102" s="46"/>
      <c r="B102" s="80"/>
      <c r="C102" s="15"/>
      <c r="D102" s="15"/>
      <c r="E102" s="15"/>
      <c r="F102" s="15"/>
      <c r="G102" s="16"/>
      <c r="H102" s="16"/>
      <c r="I102" s="19" t="str">
        <f>IF(ISBLANK(JobBonus[[#This Row],[Employee Name]]),"",INDEX(Employees[Job Title],MATCH(JobBonus[[#This Row],[Employee Name]],Employees[Employee Name2],0)))</f>
        <v/>
      </c>
      <c r="J102" s="19" t="str">
        <f>IF(ISBLANK(JobBonus[[#This Row],[Job Prov]]),"",IF(JobBonus[[#This Row],[Job Prov]]=INDEX(Employees[Province],MATCH(JobBonus[[#This Row],[Employee Name]],Employees[Employee Name2],0)),"No","Yes"))</f>
        <v/>
      </c>
      <c r="K102" s="17"/>
      <c r="L102" s="19"/>
      <c r="M102" s="23"/>
      <c r="N102" s="23"/>
      <c r="O102" s="15"/>
      <c r="P102" s="15"/>
      <c r="Q102" s="15"/>
      <c r="R102" s="15"/>
      <c r="S102" s="44" cm="1">
        <f t="array" ref="S1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2" s="44" cm="1">
        <f t="array" ref="T1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2" s="44">
        <f>JobBonus[[#This Row],[Variable Pay]]+JobBonus[[#This Row],[Crew Efficiency Bonus]]</f>
        <v>0</v>
      </c>
      <c r="V102" s="44" cm="1">
        <f t="array" ref="V1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2" s="44" t="b">
        <f>_xlfn.IFNA(EXACT(VLOOKUP(JobBonus[[#This Row],[Pay Type]],PayTypes[#All],4,FALSE),"Yes"),FALSE)</f>
        <v>0</v>
      </c>
      <c r="X102" s="44" cm="1">
        <f t="array" ref="X102">SUMPRODUCT((StandByRates[Position]=JobBonus[[#This Row],[Position]])*(JobBonus[[#This Row],[Area]]=StandByRates[Area])*(StandByRates[Hourly]*JobBonus[[#This Row],[Standby/ Ext 
Hrs]]))</f>
        <v>0</v>
      </c>
      <c r="Y102" s="44">
        <f>JobBonus[[#This Row],[Variable Pay]]+JobBonus[[#This Row],[Crew Efficiency Bonus]]+JobBonus[[#This Row],[OVPP]]+JobBonus[[#This Row],[StandBy/ Ext Amount]]</f>
        <v>0</v>
      </c>
      <c r="Z102" s="80"/>
      <c r="AA102" s="42"/>
      <c r="AB102" s="42"/>
      <c r="AC102"/>
      <c r="AD102"/>
      <c r="AE102"/>
      <c r="AF102"/>
    </row>
    <row r="103" spans="1:32" hidden="1" x14ac:dyDescent="0.25">
      <c r="A103" s="46"/>
      <c r="B103" s="80"/>
      <c r="C103" s="15"/>
      <c r="D103" s="15"/>
      <c r="E103" s="15"/>
      <c r="F103" s="15"/>
      <c r="G103" s="16"/>
      <c r="H103" s="16"/>
      <c r="I103" s="19" t="str">
        <f>IF(ISBLANK(JobBonus[[#This Row],[Employee Name]]),"",INDEX(Employees[Job Title],MATCH(JobBonus[[#This Row],[Employee Name]],Employees[Employee Name2],0)))</f>
        <v/>
      </c>
      <c r="J103" s="19" t="str">
        <f>IF(ISBLANK(JobBonus[[#This Row],[Job Prov]]),"",IF(JobBonus[[#This Row],[Job Prov]]=INDEX(Employees[Province],MATCH(JobBonus[[#This Row],[Employee Name]],Employees[Employee Name2],0)),"No","Yes"))</f>
        <v/>
      </c>
      <c r="K103" s="17"/>
      <c r="L103" s="19"/>
      <c r="M103" s="23"/>
      <c r="N103" s="23"/>
      <c r="O103" s="15"/>
      <c r="P103" s="15"/>
      <c r="Q103" s="15"/>
      <c r="R103" s="15"/>
      <c r="S103" s="44" cm="1">
        <f t="array" ref="S1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3" s="44" cm="1">
        <f t="array" ref="T1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3" s="44">
        <f>JobBonus[[#This Row],[Variable Pay]]+JobBonus[[#This Row],[Crew Efficiency Bonus]]</f>
        <v>0</v>
      </c>
      <c r="V103" s="44" cm="1">
        <f t="array" ref="V1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3" s="44" t="b">
        <f>_xlfn.IFNA(EXACT(VLOOKUP(JobBonus[[#This Row],[Pay Type]],PayTypes[#All],4,FALSE),"Yes"),FALSE)</f>
        <v>0</v>
      </c>
      <c r="X103" s="44" cm="1">
        <f t="array" ref="X103">SUMPRODUCT((StandByRates[Position]=JobBonus[[#This Row],[Position]])*(JobBonus[[#This Row],[Area]]=StandByRates[Area])*(StandByRates[Hourly]*JobBonus[[#This Row],[Standby/ Ext 
Hrs]]))</f>
        <v>0</v>
      </c>
      <c r="Y103" s="44">
        <f>JobBonus[[#This Row],[Variable Pay]]+JobBonus[[#This Row],[Crew Efficiency Bonus]]+JobBonus[[#This Row],[OVPP]]+JobBonus[[#This Row],[StandBy/ Ext Amount]]</f>
        <v>0</v>
      </c>
      <c r="Z103" s="80"/>
      <c r="AA103" s="42"/>
      <c r="AB103" s="42"/>
      <c r="AC103"/>
      <c r="AD103"/>
      <c r="AE103"/>
      <c r="AF103"/>
    </row>
    <row r="104" spans="1:32" hidden="1" x14ac:dyDescent="0.25">
      <c r="A104" s="46"/>
      <c r="B104" s="80"/>
      <c r="C104" s="15"/>
      <c r="D104" s="15"/>
      <c r="E104" s="15"/>
      <c r="F104" s="15"/>
      <c r="G104" s="16"/>
      <c r="H104" s="16"/>
      <c r="I104" s="19" t="str">
        <f>IF(ISBLANK(JobBonus[[#This Row],[Employee Name]]),"",INDEX(Employees[Job Title],MATCH(JobBonus[[#This Row],[Employee Name]],Employees[Employee Name2],0)))</f>
        <v/>
      </c>
      <c r="J104" s="19" t="str">
        <f>IF(ISBLANK(JobBonus[[#This Row],[Job Prov]]),"",IF(JobBonus[[#This Row],[Job Prov]]=INDEX(Employees[Province],MATCH(JobBonus[[#This Row],[Employee Name]],Employees[Employee Name2],0)),"No","Yes"))</f>
        <v/>
      </c>
      <c r="K104" s="17"/>
      <c r="L104" s="19"/>
      <c r="M104" s="23"/>
      <c r="N104" s="23"/>
      <c r="O104" s="15"/>
      <c r="P104" s="15"/>
      <c r="Q104" s="15"/>
      <c r="R104" s="15"/>
      <c r="S104" s="44" cm="1">
        <f t="array" ref="S1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4" s="44" cm="1">
        <f t="array" ref="T1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4" s="44">
        <f>JobBonus[[#This Row],[Variable Pay]]+JobBonus[[#This Row],[Crew Efficiency Bonus]]</f>
        <v>0</v>
      </c>
      <c r="V104" s="44" cm="1">
        <f t="array" ref="V1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4" s="44" t="b">
        <f>_xlfn.IFNA(EXACT(VLOOKUP(JobBonus[[#This Row],[Pay Type]],PayTypes[#All],4,FALSE),"Yes"),FALSE)</f>
        <v>0</v>
      </c>
      <c r="X104" s="44" cm="1">
        <f t="array" ref="X104">SUMPRODUCT((StandByRates[Position]=JobBonus[[#This Row],[Position]])*(JobBonus[[#This Row],[Area]]=StandByRates[Area])*(StandByRates[Hourly]*JobBonus[[#This Row],[Standby/ Ext 
Hrs]]))</f>
        <v>0</v>
      </c>
      <c r="Y104" s="44">
        <f>JobBonus[[#This Row],[Variable Pay]]+JobBonus[[#This Row],[Crew Efficiency Bonus]]+JobBonus[[#This Row],[OVPP]]+JobBonus[[#This Row],[StandBy/ Ext Amount]]</f>
        <v>0</v>
      </c>
      <c r="Z104" s="80"/>
      <c r="AA104" s="42"/>
      <c r="AB104" s="42"/>
      <c r="AC104"/>
      <c r="AD104"/>
      <c r="AE104"/>
      <c r="AF104"/>
    </row>
    <row r="105" spans="1:32" hidden="1" x14ac:dyDescent="0.25">
      <c r="A105" s="46"/>
      <c r="B105" s="80"/>
      <c r="C105" s="15"/>
      <c r="D105" s="15"/>
      <c r="E105" s="15"/>
      <c r="F105" s="15"/>
      <c r="G105" s="16"/>
      <c r="H105" s="16"/>
      <c r="I105" s="19" t="str">
        <f>IF(ISBLANK(JobBonus[[#This Row],[Employee Name]]),"",INDEX(Employees[Job Title],MATCH(JobBonus[[#This Row],[Employee Name]],Employees[Employee Name2],0)))</f>
        <v/>
      </c>
      <c r="J105" s="19" t="str">
        <f>IF(ISBLANK(JobBonus[[#This Row],[Job Prov]]),"",IF(JobBonus[[#This Row],[Job Prov]]=INDEX(Employees[Province],MATCH(JobBonus[[#This Row],[Employee Name]],Employees[Employee Name2],0)),"No","Yes"))</f>
        <v/>
      </c>
      <c r="K105" s="17"/>
      <c r="L105" s="19"/>
      <c r="M105" s="23"/>
      <c r="N105" s="23"/>
      <c r="O105" s="15"/>
      <c r="P105" s="15"/>
      <c r="Q105" s="15"/>
      <c r="R105" s="15"/>
      <c r="S105" s="44" cm="1">
        <f t="array" ref="S1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5" s="44" cm="1">
        <f t="array" ref="T1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5" s="44">
        <f>JobBonus[[#This Row],[Variable Pay]]+JobBonus[[#This Row],[Crew Efficiency Bonus]]</f>
        <v>0</v>
      </c>
      <c r="V105" s="44" cm="1">
        <f t="array" ref="V1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5" s="44" t="b">
        <f>_xlfn.IFNA(EXACT(VLOOKUP(JobBonus[[#This Row],[Pay Type]],PayTypes[#All],4,FALSE),"Yes"),FALSE)</f>
        <v>0</v>
      </c>
      <c r="X105" s="44" cm="1">
        <f t="array" ref="X105">SUMPRODUCT((StandByRates[Position]=JobBonus[[#This Row],[Position]])*(JobBonus[[#This Row],[Area]]=StandByRates[Area])*(StandByRates[Hourly]*JobBonus[[#This Row],[Standby/ Ext 
Hrs]]))</f>
        <v>0</v>
      </c>
      <c r="Y105" s="44">
        <f>JobBonus[[#This Row],[Variable Pay]]+JobBonus[[#This Row],[Crew Efficiency Bonus]]+JobBonus[[#This Row],[OVPP]]+JobBonus[[#This Row],[StandBy/ Ext Amount]]</f>
        <v>0</v>
      </c>
      <c r="Z105" s="80"/>
      <c r="AA105" s="42"/>
      <c r="AB105" s="42"/>
      <c r="AC105"/>
      <c r="AD105"/>
      <c r="AE105"/>
      <c r="AF105"/>
    </row>
    <row r="106" spans="1:32" hidden="1" x14ac:dyDescent="0.25">
      <c r="A106" s="46"/>
      <c r="B106" s="80"/>
      <c r="C106" s="15"/>
      <c r="D106" s="15"/>
      <c r="E106" s="15"/>
      <c r="F106" s="15"/>
      <c r="G106" s="16"/>
      <c r="H106" s="16"/>
      <c r="I106" s="19" t="str">
        <f>IF(ISBLANK(JobBonus[[#This Row],[Employee Name]]),"",INDEX(Employees[Job Title],MATCH(JobBonus[[#This Row],[Employee Name]],Employees[Employee Name2],0)))</f>
        <v/>
      </c>
      <c r="J106" s="19" t="str">
        <f>IF(ISBLANK(JobBonus[[#This Row],[Job Prov]]),"",IF(JobBonus[[#This Row],[Job Prov]]=INDEX(Employees[Province],MATCH(JobBonus[[#This Row],[Employee Name]],Employees[Employee Name2],0)),"No","Yes"))</f>
        <v/>
      </c>
      <c r="K106" s="17"/>
      <c r="L106" s="19"/>
      <c r="M106" s="23"/>
      <c r="N106" s="23"/>
      <c r="O106" s="15"/>
      <c r="P106" s="15"/>
      <c r="Q106" s="15"/>
      <c r="R106" s="15"/>
      <c r="S106" s="44" cm="1">
        <f t="array" ref="S1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6" s="44" cm="1">
        <f t="array" ref="T1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6" s="44">
        <f>JobBonus[[#This Row],[Variable Pay]]+JobBonus[[#This Row],[Crew Efficiency Bonus]]</f>
        <v>0</v>
      </c>
      <c r="V106" s="44" cm="1">
        <f t="array" ref="V1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6" s="44" t="b">
        <f>_xlfn.IFNA(EXACT(VLOOKUP(JobBonus[[#This Row],[Pay Type]],PayTypes[#All],4,FALSE),"Yes"),FALSE)</f>
        <v>0</v>
      </c>
      <c r="X106" s="44" cm="1">
        <f t="array" ref="X106">SUMPRODUCT((StandByRates[Position]=JobBonus[[#This Row],[Position]])*(JobBonus[[#This Row],[Area]]=StandByRates[Area])*(StandByRates[Hourly]*JobBonus[[#This Row],[Standby/ Ext 
Hrs]]))</f>
        <v>0</v>
      </c>
      <c r="Y106" s="44">
        <f>JobBonus[[#This Row],[Variable Pay]]+JobBonus[[#This Row],[Crew Efficiency Bonus]]+JobBonus[[#This Row],[OVPP]]+JobBonus[[#This Row],[StandBy/ Ext Amount]]</f>
        <v>0</v>
      </c>
      <c r="Z106" s="80"/>
      <c r="AA106" s="42"/>
      <c r="AB106" s="42"/>
      <c r="AC106"/>
      <c r="AD106"/>
      <c r="AE106"/>
      <c r="AF106"/>
    </row>
    <row r="107" spans="1:32" hidden="1" x14ac:dyDescent="0.25">
      <c r="A107" s="46"/>
      <c r="B107" s="80"/>
      <c r="C107" s="15"/>
      <c r="D107" s="15"/>
      <c r="E107" s="15"/>
      <c r="F107" s="15"/>
      <c r="G107" s="16"/>
      <c r="H107" s="16"/>
      <c r="I107" s="19" t="str">
        <f>IF(ISBLANK(JobBonus[[#This Row],[Employee Name]]),"",INDEX(Employees[Job Title],MATCH(JobBonus[[#This Row],[Employee Name]],Employees[Employee Name2],0)))</f>
        <v/>
      </c>
      <c r="J107" s="19" t="str">
        <f>IF(ISBLANK(JobBonus[[#This Row],[Job Prov]]),"",IF(JobBonus[[#This Row],[Job Prov]]=INDEX(Employees[Province],MATCH(JobBonus[[#This Row],[Employee Name]],Employees[Employee Name2],0)),"No","Yes"))</f>
        <v/>
      </c>
      <c r="K107" s="17"/>
      <c r="L107" s="19"/>
      <c r="M107" s="23"/>
      <c r="N107" s="23"/>
      <c r="O107" s="15"/>
      <c r="P107" s="15"/>
      <c r="Q107" s="15"/>
      <c r="R107" s="15"/>
      <c r="S107" s="44" cm="1">
        <f t="array" ref="S1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7" s="44" cm="1">
        <f t="array" ref="T1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7" s="44">
        <f>JobBonus[[#This Row],[Variable Pay]]+JobBonus[[#This Row],[Crew Efficiency Bonus]]</f>
        <v>0</v>
      </c>
      <c r="V107" s="44" cm="1">
        <f t="array" ref="V1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7" s="44" t="b">
        <f>_xlfn.IFNA(EXACT(VLOOKUP(JobBonus[[#This Row],[Pay Type]],PayTypes[#All],4,FALSE),"Yes"),FALSE)</f>
        <v>0</v>
      </c>
      <c r="X107" s="44" cm="1">
        <f t="array" ref="X107">SUMPRODUCT((StandByRates[Position]=JobBonus[[#This Row],[Position]])*(JobBonus[[#This Row],[Area]]=StandByRates[Area])*(StandByRates[Hourly]*JobBonus[[#This Row],[Standby/ Ext 
Hrs]]))</f>
        <v>0</v>
      </c>
      <c r="Y107" s="44">
        <f>JobBonus[[#This Row],[Variable Pay]]+JobBonus[[#This Row],[Crew Efficiency Bonus]]+JobBonus[[#This Row],[OVPP]]+JobBonus[[#This Row],[StandBy/ Ext Amount]]</f>
        <v>0</v>
      </c>
      <c r="Z107" s="80"/>
      <c r="AA107" s="42"/>
      <c r="AB107" s="42"/>
      <c r="AC107"/>
      <c r="AD107"/>
      <c r="AE107"/>
      <c r="AF107"/>
    </row>
    <row r="108" spans="1:32" hidden="1" x14ac:dyDescent="0.25">
      <c r="A108" s="46"/>
      <c r="B108" s="80"/>
      <c r="C108" s="15"/>
      <c r="D108" s="15"/>
      <c r="E108" s="15"/>
      <c r="F108" s="15"/>
      <c r="G108" s="16"/>
      <c r="H108" s="16"/>
      <c r="I108" s="19" t="str">
        <f>IF(ISBLANK(JobBonus[[#This Row],[Employee Name]]),"",INDEX(Employees[Job Title],MATCH(JobBonus[[#This Row],[Employee Name]],Employees[Employee Name2],0)))</f>
        <v/>
      </c>
      <c r="J108" s="19" t="str">
        <f>IF(ISBLANK(JobBonus[[#This Row],[Job Prov]]),"",IF(JobBonus[[#This Row],[Job Prov]]=INDEX(Employees[Province],MATCH(JobBonus[[#This Row],[Employee Name]],Employees[Employee Name2],0)),"No","Yes"))</f>
        <v/>
      </c>
      <c r="K108" s="17"/>
      <c r="L108" s="19"/>
      <c r="M108" s="23"/>
      <c r="N108" s="23"/>
      <c r="O108" s="15"/>
      <c r="P108" s="15"/>
      <c r="Q108" s="15"/>
      <c r="R108" s="15"/>
      <c r="S108" s="44" cm="1">
        <f t="array" ref="S1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8" s="44" cm="1">
        <f t="array" ref="T1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8" s="44">
        <f>JobBonus[[#This Row],[Variable Pay]]+JobBonus[[#This Row],[Crew Efficiency Bonus]]</f>
        <v>0</v>
      </c>
      <c r="V108" s="44" cm="1">
        <f t="array" ref="V1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8" s="44" t="b">
        <f>_xlfn.IFNA(EXACT(VLOOKUP(JobBonus[[#This Row],[Pay Type]],PayTypes[#All],4,FALSE),"Yes"),FALSE)</f>
        <v>0</v>
      </c>
      <c r="X108" s="44" cm="1">
        <f t="array" ref="X108">SUMPRODUCT((StandByRates[Position]=JobBonus[[#This Row],[Position]])*(JobBonus[[#This Row],[Area]]=StandByRates[Area])*(StandByRates[Hourly]*JobBonus[[#This Row],[Standby/ Ext 
Hrs]]))</f>
        <v>0</v>
      </c>
      <c r="Y108" s="44">
        <f>JobBonus[[#This Row],[Variable Pay]]+JobBonus[[#This Row],[Crew Efficiency Bonus]]+JobBonus[[#This Row],[OVPP]]+JobBonus[[#This Row],[StandBy/ Ext Amount]]</f>
        <v>0</v>
      </c>
      <c r="Z108" s="80"/>
      <c r="AA108" s="42"/>
      <c r="AB108" s="42"/>
      <c r="AC108"/>
      <c r="AD108"/>
      <c r="AE108"/>
      <c r="AF108"/>
    </row>
    <row r="109" spans="1:32" hidden="1" x14ac:dyDescent="0.25">
      <c r="A109" s="46"/>
      <c r="B109" s="80"/>
      <c r="C109" s="15"/>
      <c r="D109" s="15"/>
      <c r="E109" s="15"/>
      <c r="F109" s="15"/>
      <c r="G109" s="16"/>
      <c r="H109" s="16"/>
      <c r="I109" s="19" t="str">
        <f>IF(ISBLANK(JobBonus[[#This Row],[Employee Name]]),"",INDEX(Employees[Job Title],MATCH(JobBonus[[#This Row],[Employee Name]],Employees[Employee Name2],0)))</f>
        <v/>
      </c>
      <c r="J109" s="19" t="str">
        <f>IF(ISBLANK(JobBonus[[#This Row],[Job Prov]]),"",IF(JobBonus[[#This Row],[Job Prov]]=INDEX(Employees[Province],MATCH(JobBonus[[#This Row],[Employee Name]],Employees[Employee Name2],0)),"No","Yes"))</f>
        <v/>
      </c>
      <c r="K109" s="17"/>
      <c r="L109" s="19"/>
      <c r="M109" s="23"/>
      <c r="N109" s="23"/>
      <c r="O109" s="15"/>
      <c r="P109" s="15"/>
      <c r="Q109" s="15"/>
      <c r="R109" s="15"/>
      <c r="S109" s="44" cm="1">
        <f t="array" ref="S1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9" s="44" cm="1">
        <f t="array" ref="T1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9" s="44">
        <f>JobBonus[[#This Row],[Variable Pay]]+JobBonus[[#This Row],[Crew Efficiency Bonus]]</f>
        <v>0</v>
      </c>
      <c r="V109" s="44" cm="1">
        <f t="array" ref="V1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9" s="44" t="b">
        <f>_xlfn.IFNA(EXACT(VLOOKUP(JobBonus[[#This Row],[Pay Type]],PayTypes[#All],4,FALSE),"Yes"),FALSE)</f>
        <v>0</v>
      </c>
      <c r="X109" s="44" cm="1">
        <f t="array" ref="X109">SUMPRODUCT((StandByRates[Position]=JobBonus[[#This Row],[Position]])*(JobBonus[[#This Row],[Area]]=StandByRates[Area])*(StandByRates[Hourly]*JobBonus[[#This Row],[Standby/ Ext 
Hrs]]))</f>
        <v>0</v>
      </c>
      <c r="Y109" s="44">
        <f>JobBonus[[#This Row],[Variable Pay]]+JobBonus[[#This Row],[Crew Efficiency Bonus]]+JobBonus[[#This Row],[OVPP]]+JobBonus[[#This Row],[StandBy/ Ext Amount]]</f>
        <v>0</v>
      </c>
      <c r="Z109" s="80"/>
      <c r="AA109" s="42"/>
      <c r="AB109" s="42"/>
      <c r="AC109"/>
      <c r="AD109"/>
      <c r="AE109"/>
      <c r="AF109"/>
    </row>
    <row r="110" spans="1:32" hidden="1" x14ac:dyDescent="0.25">
      <c r="A110" s="46"/>
      <c r="B110" s="80"/>
      <c r="C110" s="15"/>
      <c r="D110" s="15"/>
      <c r="E110" s="15"/>
      <c r="F110" s="15"/>
      <c r="G110" s="16"/>
      <c r="H110" s="16"/>
      <c r="I110" s="19" t="str">
        <f>IF(ISBLANK(JobBonus[[#This Row],[Employee Name]]),"",INDEX(Employees[Job Title],MATCH(JobBonus[[#This Row],[Employee Name]],Employees[Employee Name2],0)))</f>
        <v/>
      </c>
      <c r="J110" s="19" t="str">
        <f>IF(ISBLANK(JobBonus[[#This Row],[Job Prov]]),"",IF(JobBonus[[#This Row],[Job Prov]]=INDEX(Employees[Province],MATCH(JobBonus[[#This Row],[Employee Name]],Employees[Employee Name2],0)),"No","Yes"))</f>
        <v/>
      </c>
      <c r="K110" s="17"/>
      <c r="L110" s="19"/>
      <c r="M110" s="23"/>
      <c r="N110" s="23"/>
      <c r="O110" s="15"/>
      <c r="P110" s="15"/>
      <c r="Q110" s="15"/>
      <c r="R110" s="15"/>
      <c r="S110" s="44" cm="1">
        <f t="array" ref="S1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0" s="44" cm="1">
        <f t="array" ref="T1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0" s="44">
        <f>JobBonus[[#This Row],[Variable Pay]]+JobBonus[[#This Row],[Crew Efficiency Bonus]]</f>
        <v>0</v>
      </c>
      <c r="V110" s="44" cm="1">
        <f t="array" ref="V1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0" s="44" t="b">
        <f>_xlfn.IFNA(EXACT(VLOOKUP(JobBonus[[#This Row],[Pay Type]],PayTypes[#All],4,FALSE),"Yes"),FALSE)</f>
        <v>0</v>
      </c>
      <c r="X110" s="44" cm="1">
        <f t="array" ref="X110">SUMPRODUCT((StandByRates[Position]=JobBonus[[#This Row],[Position]])*(JobBonus[[#This Row],[Area]]=StandByRates[Area])*(StandByRates[Hourly]*JobBonus[[#This Row],[Standby/ Ext 
Hrs]]))</f>
        <v>0</v>
      </c>
      <c r="Y110" s="44">
        <f>JobBonus[[#This Row],[Variable Pay]]+JobBonus[[#This Row],[Crew Efficiency Bonus]]+JobBonus[[#This Row],[OVPP]]+JobBonus[[#This Row],[StandBy/ Ext Amount]]</f>
        <v>0</v>
      </c>
      <c r="Z110" s="80"/>
      <c r="AA110" s="42"/>
      <c r="AB110" s="42"/>
      <c r="AC110"/>
      <c r="AD110"/>
      <c r="AE110"/>
      <c r="AF110"/>
    </row>
    <row r="111" spans="1:32" hidden="1" x14ac:dyDescent="0.25">
      <c r="A111" s="46"/>
      <c r="B111" s="80"/>
      <c r="C111" s="15"/>
      <c r="D111" s="15"/>
      <c r="E111" s="15"/>
      <c r="F111" s="15"/>
      <c r="G111" s="16"/>
      <c r="H111" s="16"/>
      <c r="I111" s="19" t="str">
        <f>IF(ISBLANK(JobBonus[[#This Row],[Employee Name]]),"",INDEX(Employees[Job Title],MATCH(JobBonus[[#This Row],[Employee Name]],Employees[Employee Name2],0)))</f>
        <v/>
      </c>
      <c r="J111" s="19" t="str">
        <f>IF(ISBLANK(JobBonus[[#This Row],[Job Prov]]),"",IF(JobBonus[[#This Row],[Job Prov]]=INDEX(Employees[Province],MATCH(JobBonus[[#This Row],[Employee Name]],Employees[Employee Name2],0)),"No","Yes"))</f>
        <v/>
      </c>
      <c r="K111" s="17"/>
      <c r="L111" s="19"/>
      <c r="M111" s="23"/>
      <c r="N111" s="23"/>
      <c r="O111" s="15"/>
      <c r="P111" s="15"/>
      <c r="Q111" s="15"/>
      <c r="R111" s="15"/>
      <c r="S111" s="44" cm="1">
        <f t="array" ref="S1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1" s="44" cm="1">
        <f t="array" ref="T1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1" s="44">
        <f>JobBonus[[#This Row],[Variable Pay]]+JobBonus[[#This Row],[Crew Efficiency Bonus]]</f>
        <v>0</v>
      </c>
      <c r="V111" s="44" cm="1">
        <f t="array" ref="V1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1" s="44" t="b">
        <f>_xlfn.IFNA(EXACT(VLOOKUP(JobBonus[[#This Row],[Pay Type]],PayTypes[#All],4,FALSE),"Yes"),FALSE)</f>
        <v>0</v>
      </c>
      <c r="X111" s="44" cm="1">
        <f t="array" ref="X111">SUMPRODUCT((StandByRates[Position]=JobBonus[[#This Row],[Position]])*(JobBonus[[#This Row],[Area]]=StandByRates[Area])*(StandByRates[Hourly]*JobBonus[[#This Row],[Standby/ Ext 
Hrs]]))</f>
        <v>0</v>
      </c>
      <c r="Y111" s="44">
        <f>JobBonus[[#This Row],[Variable Pay]]+JobBonus[[#This Row],[Crew Efficiency Bonus]]+JobBonus[[#This Row],[OVPP]]+JobBonus[[#This Row],[StandBy/ Ext Amount]]</f>
        <v>0</v>
      </c>
      <c r="Z111" s="80"/>
      <c r="AA111" s="42"/>
      <c r="AB111" s="42"/>
      <c r="AC111"/>
      <c r="AD111"/>
      <c r="AE111"/>
      <c r="AF111"/>
    </row>
    <row r="112" spans="1:32" hidden="1" x14ac:dyDescent="0.25">
      <c r="A112" s="46"/>
      <c r="B112" s="80"/>
      <c r="C112" s="15"/>
      <c r="D112" s="15"/>
      <c r="E112" s="15"/>
      <c r="F112" s="15"/>
      <c r="G112" s="16"/>
      <c r="H112" s="16"/>
      <c r="I112" s="19" t="str">
        <f>IF(ISBLANK(JobBonus[[#This Row],[Employee Name]]),"",INDEX(Employees[Job Title],MATCH(JobBonus[[#This Row],[Employee Name]],Employees[Employee Name2],0)))</f>
        <v/>
      </c>
      <c r="J112" s="19" t="str">
        <f>IF(ISBLANK(JobBonus[[#This Row],[Job Prov]]),"",IF(JobBonus[[#This Row],[Job Prov]]=INDEX(Employees[Province],MATCH(JobBonus[[#This Row],[Employee Name]],Employees[Employee Name2],0)),"No","Yes"))</f>
        <v/>
      </c>
      <c r="K112" s="17"/>
      <c r="L112" s="19"/>
      <c r="M112" s="23"/>
      <c r="N112" s="23"/>
      <c r="O112" s="15"/>
      <c r="P112" s="15"/>
      <c r="Q112" s="15"/>
      <c r="R112" s="15"/>
      <c r="S112" s="44" cm="1">
        <f t="array" ref="S1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2" s="44" cm="1">
        <f t="array" ref="T1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2" s="44">
        <f>JobBonus[[#This Row],[Variable Pay]]+JobBonus[[#This Row],[Crew Efficiency Bonus]]</f>
        <v>0</v>
      </c>
      <c r="V112" s="44" cm="1">
        <f t="array" ref="V1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2" s="44" t="b">
        <f>_xlfn.IFNA(EXACT(VLOOKUP(JobBonus[[#This Row],[Pay Type]],PayTypes[#All],4,FALSE),"Yes"),FALSE)</f>
        <v>0</v>
      </c>
      <c r="X112" s="44" cm="1">
        <f t="array" ref="X112">SUMPRODUCT((StandByRates[Position]=JobBonus[[#This Row],[Position]])*(JobBonus[[#This Row],[Area]]=StandByRates[Area])*(StandByRates[Hourly]*JobBonus[[#This Row],[Standby/ Ext 
Hrs]]))</f>
        <v>0</v>
      </c>
      <c r="Y112" s="44">
        <f>JobBonus[[#This Row],[Variable Pay]]+JobBonus[[#This Row],[Crew Efficiency Bonus]]+JobBonus[[#This Row],[OVPP]]+JobBonus[[#This Row],[StandBy/ Ext Amount]]</f>
        <v>0</v>
      </c>
      <c r="Z112" s="80"/>
      <c r="AA112" s="42"/>
      <c r="AB112" s="42"/>
      <c r="AC112"/>
      <c r="AD112"/>
      <c r="AE112"/>
      <c r="AF112"/>
    </row>
    <row r="113" spans="1:32" hidden="1" x14ac:dyDescent="0.25">
      <c r="A113" s="46"/>
      <c r="B113" s="80"/>
      <c r="C113" s="15"/>
      <c r="D113" s="15"/>
      <c r="E113" s="15"/>
      <c r="F113" s="15"/>
      <c r="G113" s="16"/>
      <c r="H113" s="16"/>
      <c r="I113" s="19" t="str">
        <f>IF(ISBLANK(JobBonus[[#This Row],[Employee Name]]),"",INDEX(Employees[Job Title],MATCH(JobBonus[[#This Row],[Employee Name]],Employees[Employee Name2],0)))</f>
        <v/>
      </c>
      <c r="J113" s="19" t="str">
        <f>IF(ISBLANK(JobBonus[[#This Row],[Job Prov]]),"",IF(JobBonus[[#This Row],[Job Prov]]=INDEX(Employees[Province],MATCH(JobBonus[[#This Row],[Employee Name]],Employees[Employee Name2],0)),"No","Yes"))</f>
        <v/>
      </c>
      <c r="K113" s="17"/>
      <c r="L113" s="19"/>
      <c r="M113" s="23"/>
      <c r="N113" s="23"/>
      <c r="O113" s="15"/>
      <c r="P113" s="15"/>
      <c r="Q113" s="15"/>
      <c r="R113" s="15"/>
      <c r="S113" s="44" cm="1">
        <f t="array" ref="S1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3" s="44" cm="1">
        <f t="array" ref="T1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3" s="44">
        <f>JobBonus[[#This Row],[Variable Pay]]+JobBonus[[#This Row],[Crew Efficiency Bonus]]</f>
        <v>0</v>
      </c>
      <c r="V113" s="44" cm="1">
        <f t="array" ref="V1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3" s="44" t="b">
        <f>_xlfn.IFNA(EXACT(VLOOKUP(JobBonus[[#This Row],[Pay Type]],PayTypes[#All],4,FALSE),"Yes"),FALSE)</f>
        <v>0</v>
      </c>
      <c r="X113" s="44" cm="1">
        <f t="array" ref="X113">SUMPRODUCT((StandByRates[Position]=JobBonus[[#This Row],[Position]])*(JobBonus[[#This Row],[Area]]=StandByRates[Area])*(StandByRates[Hourly]*JobBonus[[#This Row],[Standby/ Ext 
Hrs]]))</f>
        <v>0</v>
      </c>
      <c r="Y113" s="44">
        <f>JobBonus[[#This Row],[Variable Pay]]+JobBonus[[#This Row],[Crew Efficiency Bonus]]+JobBonus[[#This Row],[OVPP]]+JobBonus[[#This Row],[StandBy/ Ext Amount]]</f>
        <v>0</v>
      </c>
      <c r="Z113" s="80"/>
      <c r="AA113" s="42"/>
      <c r="AB113" s="42"/>
      <c r="AC113"/>
      <c r="AD113"/>
      <c r="AE113"/>
      <c r="AF113"/>
    </row>
    <row r="114" spans="1:32" hidden="1" x14ac:dyDescent="0.25">
      <c r="A114" s="46"/>
      <c r="B114" s="80"/>
      <c r="C114" s="15"/>
      <c r="D114" s="15"/>
      <c r="E114" s="15"/>
      <c r="F114" s="15"/>
      <c r="G114" s="16"/>
      <c r="H114" s="16"/>
      <c r="I114" s="19" t="str">
        <f>IF(ISBLANK(JobBonus[[#This Row],[Employee Name]]),"",INDEX(Employees[Job Title],MATCH(JobBonus[[#This Row],[Employee Name]],Employees[Employee Name2],0)))</f>
        <v/>
      </c>
      <c r="J114" s="19" t="str">
        <f>IF(ISBLANK(JobBonus[[#This Row],[Job Prov]]),"",IF(JobBonus[[#This Row],[Job Prov]]=INDEX(Employees[Province],MATCH(JobBonus[[#This Row],[Employee Name]],Employees[Employee Name2],0)),"No","Yes"))</f>
        <v/>
      </c>
      <c r="K114" s="17"/>
      <c r="L114" s="19"/>
      <c r="M114" s="23"/>
      <c r="N114" s="23"/>
      <c r="O114" s="15"/>
      <c r="P114" s="15"/>
      <c r="Q114" s="15"/>
      <c r="R114" s="15"/>
      <c r="S114" s="44" cm="1">
        <f t="array" ref="S1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4" s="44" cm="1">
        <f t="array" ref="T1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4" s="44">
        <f>JobBonus[[#This Row],[Variable Pay]]+JobBonus[[#This Row],[Crew Efficiency Bonus]]</f>
        <v>0</v>
      </c>
      <c r="V114" s="44" cm="1">
        <f t="array" ref="V1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4" s="44" t="b">
        <f>_xlfn.IFNA(EXACT(VLOOKUP(JobBonus[[#This Row],[Pay Type]],PayTypes[#All],4,FALSE),"Yes"),FALSE)</f>
        <v>0</v>
      </c>
      <c r="X114" s="44" cm="1">
        <f t="array" ref="X114">SUMPRODUCT((StandByRates[Position]=JobBonus[[#This Row],[Position]])*(JobBonus[[#This Row],[Area]]=StandByRates[Area])*(StandByRates[Hourly]*JobBonus[[#This Row],[Standby/ Ext 
Hrs]]))</f>
        <v>0</v>
      </c>
      <c r="Y114" s="44">
        <f>JobBonus[[#This Row],[Variable Pay]]+JobBonus[[#This Row],[Crew Efficiency Bonus]]+JobBonus[[#This Row],[OVPP]]+JobBonus[[#This Row],[StandBy/ Ext Amount]]</f>
        <v>0</v>
      </c>
      <c r="Z114" s="80"/>
      <c r="AA114" s="42"/>
      <c r="AB114" s="42"/>
      <c r="AC114"/>
      <c r="AD114"/>
      <c r="AE114"/>
      <c r="AF114"/>
    </row>
    <row r="115" spans="1:32" hidden="1" x14ac:dyDescent="0.25">
      <c r="A115" s="46"/>
      <c r="B115" s="80"/>
      <c r="C115" s="15"/>
      <c r="D115" s="15"/>
      <c r="E115" s="15"/>
      <c r="F115" s="15"/>
      <c r="G115" s="16"/>
      <c r="H115" s="16"/>
      <c r="I115" s="19" t="str">
        <f>IF(ISBLANK(JobBonus[[#This Row],[Employee Name]]),"",INDEX(Employees[Job Title],MATCH(JobBonus[[#This Row],[Employee Name]],Employees[Employee Name2],0)))</f>
        <v/>
      </c>
      <c r="J115" s="19" t="str">
        <f>IF(ISBLANK(JobBonus[[#This Row],[Job Prov]]),"",IF(JobBonus[[#This Row],[Job Prov]]=INDEX(Employees[Province],MATCH(JobBonus[[#This Row],[Employee Name]],Employees[Employee Name2],0)),"No","Yes"))</f>
        <v/>
      </c>
      <c r="K115" s="17"/>
      <c r="L115" s="19"/>
      <c r="M115" s="23"/>
      <c r="N115" s="23"/>
      <c r="O115" s="15"/>
      <c r="P115" s="15"/>
      <c r="Q115" s="15"/>
      <c r="R115" s="15"/>
      <c r="S115" s="44" cm="1">
        <f t="array" ref="S1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5" s="44" cm="1">
        <f t="array" ref="T1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5" s="44">
        <f>JobBonus[[#This Row],[Variable Pay]]+JobBonus[[#This Row],[Crew Efficiency Bonus]]</f>
        <v>0</v>
      </c>
      <c r="V115" s="44" cm="1">
        <f t="array" ref="V1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5" s="44" t="b">
        <f>_xlfn.IFNA(EXACT(VLOOKUP(JobBonus[[#This Row],[Pay Type]],PayTypes[#All],4,FALSE),"Yes"),FALSE)</f>
        <v>0</v>
      </c>
      <c r="X115" s="44" cm="1">
        <f t="array" ref="X115">SUMPRODUCT((StandByRates[Position]=JobBonus[[#This Row],[Position]])*(JobBonus[[#This Row],[Area]]=StandByRates[Area])*(StandByRates[Hourly]*JobBonus[[#This Row],[Standby/ Ext 
Hrs]]))</f>
        <v>0</v>
      </c>
      <c r="Y115" s="44">
        <f>JobBonus[[#This Row],[Variable Pay]]+JobBonus[[#This Row],[Crew Efficiency Bonus]]+JobBonus[[#This Row],[OVPP]]+JobBonus[[#This Row],[StandBy/ Ext Amount]]</f>
        <v>0</v>
      </c>
      <c r="Z115" s="80"/>
      <c r="AA115" s="42"/>
      <c r="AB115" s="42"/>
      <c r="AC115"/>
      <c r="AD115"/>
      <c r="AE115"/>
      <c r="AF115"/>
    </row>
    <row r="116" spans="1:32" hidden="1" x14ac:dyDescent="0.25">
      <c r="A116" s="46"/>
      <c r="B116" s="80"/>
      <c r="C116" s="15"/>
      <c r="D116" s="15"/>
      <c r="E116" s="15"/>
      <c r="F116" s="15"/>
      <c r="G116" s="16"/>
      <c r="H116" s="16"/>
      <c r="I116" s="19" t="str">
        <f>IF(ISBLANK(JobBonus[[#This Row],[Employee Name]]),"",INDEX(Employees[Job Title],MATCH(JobBonus[[#This Row],[Employee Name]],Employees[Employee Name2],0)))</f>
        <v/>
      </c>
      <c r="J116" s="19" t="str">
        <f>IF(ISBLANK(JobBonus[[#This Row],[Job Prov]]),"",IF(JobBonus[[#This Row],[Job Prov]]=INDEX(Employees[Province],MATCH(JobBonus[[#This Row],[Employee Name]],Employees[Employee Name2],0)),"No","Yes"))</f>
        <v/>
      </c>
      <c r="K116" s="17"/>
      <c r="L116" s="19"/>
      <c r="M116" s="23"/>
      <c r="N116" s="23"/>
      <c r="O116" s="15"/>
      <c r="P116" s="15"/>
      <c r="Q116" s="15"/>
      <c r="R116" s="15"/>
      <c r="S116" s="44" cm="1">
        <f t="array" ref="S1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6" s="44" cm="1">
        <f t="array" ref="T1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6" s="44">
        <f>JobBonus[[#This Row],[Variable Pay]]+JobBonus[[#This Row],[Crew Efficiency Bonus]]</f>
        <v>0</v>
      </c>
      <c r="V116" s="44" cm="1">
        <f t="array" ref="V1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6" s="44" t="b">
        <f>_xlfn.IFNA(EXACT(VLOOKUP(JobBonus[[#This Row],[Pay Type]],PayTypes[#All],4,FALSE),"Yes"),FALSE)</f>
        <v>0</v>
      </c>
      <c r="X116" s="44" cm="1">
        <f t="array" ref="X116">SUMPRODUCT((StandByRates[Position]=JobBonus[[#This Row],[Position]])*(JobBonus[[#This Row],[Area]]=StandByRates[Area])*(StandByRates[Hourly]*JobBonus[[#This Row],[Standby/ Ext 
Hrs]]))</f>
        <v>0</v>
      </c>
      <c r="Y116" s="44">
        <f>JobBonus[[#This Row],[Variable Pay]]+JobBonus[[#This Row],[Crew Efficiency Bonus]]+JobBonus[[#This Row],[OVPP]]+JobBonus[[#This Row],[StandBy/ Ext Amount]]</f>
        <v>0</v>
      </c>
      <c r="Z116" s="80"/>
      <c r="AA116" s="42"/>
      <c r="AB116" s="42"/>
      <c r="AC116"/>
      <c r="AD116"/>
      <c r="AE116"/>
      <c r="AF116"/>
    </row>
    <row r="117" spans="1:32" hidden="1" x14ac:dyDescent="0.25">
      <c r="A117" s="46"/>
      <c r="B117" s="80"/>
      <c r="C117" s="15"/>
      <c r="D117" s="15"/>
      <c r="E117" s="15"/>
      <c r="F117" s="15"/>
      <c r="G117" s="16"/>
      <c r="H117" s="16"/>
      <c r="I117" s="19" t="str">
        <f>IF(ISBLANK(JobBonus[[#This Row],[Employee Name]]),"",INDEX(Employees[Job Title],MATCH(JobBonus[[#This Row],[Employee Name]],Employees[Employee Name2],0)))</f>
        <v/>
      </c>
      <c r="J117" s="19" t="str">
        <f>IF(ISBLANK(JobBonus[[#This Row],[Job Prov]]),"",IF(JobBonus[[#This Row],[Job Prov]]=INDEX(Employees[Province],MATCH(JobBonus[[#This Row],[Employee Name]],Employees[Employee Name2],0)),"No","Yes"))</f>
        <v/>
      </c>
      <c r="K117" s="17"/>
      <c r="L117" s="19"/>
      <c r="M117" s="23"/>
      <c r="N117" s="23"/>
      <c r="O117" s="15"/>
      <c r="P117" s="15"/>
      <c r="Q117" s="15"/>
      <c r="R117" s="15"/>
      <c r="S117" s="44" cm="1">
        <f t="array" ref="S1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7" s="44" cm="1">
        <f t="array" ref="T1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7" s="44">
        <f>JobBonus[[#This Row],[Variable Pay]]+JobBonus[[#This Row],[Crew Efficiency Bonus]]</f>
        <v>0</v>
      </c>
      <c r="V117" s="44" cm="1">
        <f t="array" ref="V1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7" s="44" t="b">
        <f>_xlfn.IFNA(EXACT(VLOOKUP(JobBonus[[#This Row],[Pay Type]],PayTypes[#All],4,FALSE),"Yes"),FALSE)</f>
        <v>0</v>
      </c>
      <c r="X117" s="44" cm="1">
        <f t="array" ref="X117">SUMPRODUCT((StandByRates[Position]=JobBonus[[#This Row],[Position]])*(JobBonus[[#This Row],[Area]]=StandByRates[Area])*(StandByRates[Hourly]*JobBonus[[#This Row],[Standby/ Ext 
Hrs]]))</f>
        <v>0</v>
      </c>
      <c r="Y117" s="44">
        <f>JobBonus[[#This Row],[Variable Pay]]+JobBonus[[#This Row],[Crew Efficiency Bonus]]+JobBonus[[#This Row],[OVPP]]+JobBonus[[#This Row],[StandBy/ Ext Amount]]</f>
        <v>0</v>
      </c>
      <c r="Z117" s="80"/>
      <c r="AA117" s="42"/>
      <c r="AB117" s="42"/>
      <c r="AC117"/>
      <c r="AD117"/>
      <c r="AE117"/>
      <c r="AF117"/>
    </row>
    <row r="118" spans="1:32" hidden="1" x14ac:dyDescent="0.25">
      <c r="A118" s="46"/>
      <c r="B118" s="80"/>
      <c r="C118" s="15"/>
      <c r="D118" s="15"/>
      <c r="E118" s="15"/>
      <c r="F118" s="15"/>
      <c r="G118" s="16"/>
      <c r="H118" s="16"/>
      <c r="I118" s="19" t="str">
        <f>IF(ISBLANK(JobBonus[[#This Row],[Employee Name]]),"",INDEX(Employees[Job Title],MATCH(JobBonus[[#This Row],[Employee Name]],Employees[Employee Name2],0)))</f>
        <v/>
      </c>
      <c r="J118" s="19" t="str">
        <f>IF(ISBLANK(JobBonus[[#This Row],[Job Prov]]),"",IF(JobBonus[[#This Row],[Job Prov]]=INDEX(Employees[Province],MATCH(JobBonus[[#This Row],[Employee Name]],Employees[Employee Name2],0)),"No","Yes"))</f>
        <v/>
      </c>
      <c r="K118" s="17"/>
      <c r="L118" s="19"/>
      <c r="M118" s="23"/>
      <c r="N118" s="23"/>
      <c r="O118" s="15"/>
      <c r="P118" s="15"/>
      <c r="Q118" s="15"/>
      <c r="R118" s="15"/>
      <c r="S118" s="44" cm="1">
        <f t="array" ref="S1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8" s="44" cm="1">
        <f t="array" ref="T1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8" s="44">
        <f>JobBonus[[#This Row],[Variable Pay]]+JobBonus[[#This Row],[Crew Efficiency Bonus]]</f>
        <v>0</v>
      </c>
      <c r="V118" s="44" cm="1">
        <f t="array" ref="V1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8" s="44" t="b">
        <f>_xlfn.IFNA(EXACT(VLOOKUP(JobBonus[[#This Row],[Pay Type]],PayTypes[#All],4,FALSE),"Yes"),FALSE)</f>
        <v>0</v>
      </c>
      <c r="X118" s="44" cm="1">
        <f t="array" ref="X118">SUMPRODUCT((StandByRates[Position]=JobBonus[[#This Row],[Position]])*(JobBonus[[#This Row],[Area]]=StandByRates[Area])*(StandByRates[Hourly]*JobBonus[[#This Row],[Standby/ Ext 
Hrs]]))</f>
        <v>0</v>
      </c>
      <c r="Y118" s="44">
        <f>JobBonus[[#This Row],[Variable Pay]]+JobBonus[[#This Row],[Crew Efficiency Bonus]]+JobBonus[[#This Row],[OVPP]]+JobBonus[[#This Row],[StandBy/ Ext Amount]]</f>
        <v>0</v>
      </c>
      <c r="Z118" s="80"/>
      <c r="AA118" s="42"/>
      <c r="AB118" s="42"/>
      <c r="AC118"/>
      <c r="AD118"/>
      <c r="AE118"/>
      <c r="AF118"/>
    </row>
    <row r="119" spans="1:32" hidden="1" x14ac:dyDescent="0.25">
      <c r="A119" s="46"/>
      <c r="B119" s="80"/>
      <c r="C119" s="15"/>
      <c r="D119" s="15"/>
      <c r="E119" s="15"/>
      <c r="F119" s="15"/>
      <c r="G119" s="16"/>
      <c r="H119" s="16"/>
      <c r="I119" s="19" t="str">
        <f>IF(ISBLANK(JobBonus[[#This Row],[Employee Name]]),"",INDEX(Employees[Job Title],MATCH(JobBonus[[#This Row],[Employee Name]],Employees[Employee Name2],0)))</f>
        <v/>
      </c>
      <c r="J119" s="19" t="str">
        <f>IF(ISBLANK(JobBonus[[#This Row],[Job Prov]]),"",IF(JobBonus[[#This Row],[Job Prov]]=INDEX(Employees[Province],MATCH(JobBonus[[#This Row],[Employee Name]],Employees[Employee Name2],0)),"No","Yes"))</f>
        <v/>
      </c>
      <c r="K119" s="17"/>
      <c r="L119" s="19"/>
      <c r="M119" s="23"/>
      <c r="N119" s="23"/>
      <c r="O119" s="15"/>
      <c r="P119" s="15"/>
      <c r="Q119" s="15"/>
      <c r="R119" s="15"/>
      <c r="S119" s="44" cm="1">
        <f t="array" ref="S1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9" s="44" cm="1">
        <f t="array" ref="T1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9" s="44">
        <f>JobBonus[[#This Row],[Variable Pay]]+JobBonus[[#This Row],[Crew Efficiency Bonus]]</f>
        <v>0</v>
      </c>
      <c r="V119" s="44" cm="1">
        <f t="array" ref="V1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9" s="44" t="b">
        <f>_xlfn.IFNA(EXACT(VLOOKUP(JobBonus[[#This Row],[Pay Type]],PayTypes[#All],4,FALSE),"Yes"),FALSE)</f>
        <v>0</v>
      </c>
      <c r="X119" s="44" cm="1">
        <f t="array" ref="X119">SUMPRODUCT((StandByRates[Position]=JobBonus[[#This Row],[Position]])*(JobBonus[[#This Row],[Area]]=StandByRates[Area])*(StandByRates[Hourly]*JobBonus[[#This Row],[Standby/ Ext 
Hrs]]))</f>
        <v>0</v>
      </c>
      <c r="Y119" s="44">
        <f>JobBonus[[#This Row],[Variable Pay]]+JobBonus[[#This Row],[Crew Efficiency Bonus]]+JobBonus[[#This Row],[OVPP]]+JobBonus[[#This Row],[StandBy/ Ext Amount]]</f>
        <v>0</v>
      </c>
      <c r="Z119" s="80"/>
      <c r="AA119" s="42"/>
      <c r="AB119" s="42"/>
      <c r="AC119"/>
      <c r="AD119"/>
      <c r="AE119"/>
      <c r="AF119"/>
    </row>
    <row r="120" spans="1:32" hidden="1" x14ac:dyDescent="0.25">
      <c r="A120" s="46"/>
      <c r="B120" s="80"/>
      <c r="C120" s="15"/>
      <c r="D120" s="15"/>
      <c r="E120" s="15"/>
      <c r="F120" s="15"/>
      <c r="G120" s="16"/>
      <c r="H120" s="16"/>
      <c r="I120" s="19" t="str">
        <f>IF(ISBLANK(JobBonus[[#This Row],[Employee Name]]),"",INDEX(Employees[Job Title],MATCH(JobBonus[[#This Row],[Employee Name]],Employees[Employee Name2],0)))</f>
        <v/>
      </c>
      <c r="J120" s="19" t="str">
        <f>IF(ISBLANK(JobBonus[[#This Row],[Job Prov]]),"",IF(JobBonus[[#This Row],[Job Prov]]=INDEX(Employees[Province],MATCH(JobBonus[[#This Row],[Employee Name]],Employees[Employee Name2],0)),"No","Yes"))</f>
        <v/>
      </c>
      <c r="K120" s="17"/>
      <c r="L120" s="19"/>
      <c r="M120" s="23"/>
      <c r="N120" s="23"/>
      <c r="O120" s="15"/>
      <c r="P120" s="15"/>
      <c r="Q120" s="15"/>
      <c r="R120" s="15"/>
      <c r="S120" s="44" cm="1">
        <f t="array" ref="S1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0" s="44" cm="1">
        <f t="array" ref="T1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0" s="44">
        <f>JobBonus[[#This Row],[Variable Pay]]+JobBonus[[#This Row],[Crew Efficiency Bonus]]</f>
        <v>0</v>
      </c>
      <c r="V120" s="44" cm="1">
        <f t="array" ref="V1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0" s="44" t="b">
        <f>_xlfn.IFNA(EXACT(VLOOKUP(JobBonus[[#This Row],[Pay Type]],PayTypes[#All],4,FALSE),"Yes"),FALSE)</f>
        <v>0</v>
      </c>
      <c r="X120" s="44" cm="1">
        <f t="array" ref="X120">SUMPRODUCT((StandByRates[Position]=JobBonus[[#This Row],[Position]])*(JobBonus[[#This Row],[Area]]=StandByRates[Area])*(StandByRates[Hourly]*JobBonus[[#This Row],[Standby/ Ext 
Hrs]]))</f>
        <v>0</v>
      </c>
      <c r="Y120" s="44">
        <f>JobBonus[[#This Row],[Variable Pay]]+JobBonus[[#This Row],[Crew Efficiency Bonus]]+JobBonus[[#This Row],[OVPP]]+JobBonus[[#This Row],[StandBy/ Ext Amount]]</f>
        <v>0</v>
      </c>
      <c r="Z120" s="80"/>
      <c r="AA120" s="42"/>
      <c r="AB120" s="42"/>
      <c r="AC120"/>
      <c r="AD120"/>
      <c r="AE120"/>
      <c r="AF120"/>
    </row>
    <row r="121" spans="1:32" hidden="1" x14ac:dyDescent="0.25">
      <c r="A121" s="46"/>
      <c r="B121" s="80"/>
      <c r="C121" s="15"/>
      <c r="D121" s="15"/>
      <c r="E121" s="15"/>
      <c r="F121" s="15"/>
      <c r="G121" s="16"/>
      <c r="H121" s="16"/>
      <c r="I121" s="19" t="str">
        <f>IF(ISBLANK(JobBonus[[#This Row],[Employee Name]]),"",INDEX(Employees[Job Title],MATCH(JobBonus[[#This Row],[Employee Name]],Employees[Employee Name2],0)))</f>
        <v/>
      </c>
      <c r="J121" s="19" t="str">
        <f>IF(ISBLANK(JobBonus[[#This Row],[Job Prov]]),"",IF(JobBonus[[#This Row],[Job Prov]]=INDEX(Employees[Province],MATCH(JobBonus[[#This Row],[Employee Name]],Employees[Employee Name2],0)),"No","Yes"))</f>
        <v/>
      </c>
      <c r="K121" s="17"/>
      <c r="L121" s="19"/>
      <c r="M121" s="23"/>
      <c r="N121" s="23"/>
      <c r="O121" s="15"/>
      <c r="P121" s="15"/>
      <c r="Q121" s="15"/>
      <c r="R121" s="15"/>
      <c r="S121" s="44" cm="1">
        <f t="array" ref="S1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1" s="44" cm="1">
        <f t="array" ref="T1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1" s="44">
        <f>JobBonus[[#This Row],[Variable Pay]]+JobBonus[[#This Row],[Crew Efficiency Bonus]]</f>
        <v>0</v>
      </c>
      <c r="V121" s="44" cm="1">
        <f t="array" ref="V1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1" s="44" t="b">
        <f>_xlfn.IFNA(EXACT(VLOOKUP(JobBonus[[#This Row],[Pay Type]],PayTypes[#All],4,FALSE),"Yes"),FALSE)</f>
        <v>0</v>
      </c>
      <c r="X121" s="44" cm="1">
        <f t="array" ref="X121">SUMPRODUCT((StandByRates[Position]=JobBonus[[#This Row],[Position]])*(JobBonus[[#This Row],[Area]]=StandByRates[Area])*(StandByRates[Hourly]*JobBonus[[#This Row],[Standby/ Ext 
Hrs]]))</f>
        <v>0</v>
      </c>
      <c r="Y121" s="44">
        <f>JobBonus[[#This Row],[Variable Pay]]+JobBonus[[#This Row],[Crew Efficiency Bonus]]+JobBonus[[#This Row],[OVPP]]+JobBonus[[#This Row],[StandBy/ Ext Amount]]</f>
        <v>0</v>
      </c>
      <c r="Z121" s="80"/>
      <c r="AA121" s="42"/>
      <c r="AB121" s="42"/>
      <c r="AC121"/>
      <c r="AD121"/>
      <c r="AE121"/>
      <c r="AF121"/>
    </row>
    <row r="122" spans="1:32" hidden="1" x14ac:dyDescent="0.25">
      <c r="A122" s="46"/>
      <c r="B122" s="80"/>
      <c r="C122" s="15"/>
      <c r="D122" s="15"/>
      <c r="E122" s="15"/>
      <c r="F122" s="15"/>
      <c r="G122" s="16"/>
      <c r="H122" s="16"/>
      <c r="I122" s="19" t="str">
        <f>IF(ISBLANK(JobBonus[[#This Row],[Employee Name]]),"",INDEX(Employees[Job Title],MATCH(JobBonus[[#This Row],[Employee Name]],Employees[Employee Name2],0)))</f>
        <v/>
      </c>
      <c r="J122" s="19" t="str">
        <f>IF(ISBLANK(JobBonus[[#This Row],[Job Prov]]),"",IF(JobBonus[[#This Row],[Job Prov]]=INDEX(Employees[Province],MATCH(JobBonus[[#This Row],[Employee Name]],Employees[Employee Name2],0)),"No","Yes"))</f>
        <v/>
      </c>
      <c r="K122" s="17"/>
      <c r="L122" s="19"/>
      <c r="M122" s="23"/>
      <c r="N122" s="23"/>
      <c r="O122" s="15"/>
      <c r="P122" s="15"/>
      <c r="Q122" s="15"/>
      <c r="R122" s="15"/>
      <c r="S122" s="44" cm="1">
        <f t="array" ref="S1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2" s="44" cm="1">
        <f t="array" ref="T1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2" s="44">
        <f>JobBonus[[#This Row],[Variable Pay]]+JobBonus[[#This Row],[Crew Efficiency Bonus]]</f>
        <v>0</v>
      </c>
      <c r="V122" s="44" cm="1">
        <f t="array" ref="V1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2" s="44" t="b">
        <f>_xlfn.IFNA(EXACT(VLOOKUP(JobBonus[[#This Row],[Pay Type]],PayTypes[#All],4,FALSE),"Yes"),FALSE)</f>
        <v>0</v>
      </c>
      <c r="X122" s="44" cm="1">
        <f t="array" ref="X122">SUMPRODUCT((StandByRates[Position]=JobBonus[[#This Row],[Position]])*(JobBonus[[#This Row],[Area]]=StandByRates[Area])*(StandByRates[Hourly]*JobBonus[[#This Row],[Standby/ Ext 
Hrs]]))</f>
        <v>0</v>
      </c>
      <c r="Y122" s="44">
        <f>JobBonus[[#This Row],[Variable Pay]]+JobBonus[[#This Row],[Crew Efficiency Bonus]]+JobBonus[[#This Row],[OVPP]]+JobBonus[[#This Row],[StandBy/ Ext Amount]]</f>
        <v>0</v>
      </c>
      <c r="Z122" s="80"/>
      <c r="AA122" s="42"/>
      <c r="AB122" s="42"/>
      <c r="AC122"/>
      <c r="AD122"/>
      <c r="AE122"/>
      <c r="AF122"/>
    </row>
    <row r="123" spans="1:32" hidden="1" x14ac:dyDescent="0.25">
      <c r="A123" s="46"/>
      <c r="B123" s="80"/>
      <c r="C123" s="15"/>
      <c r="D123" s="15"/>
      <c r="E123" s="15"/>
      <c r="F123" s="15"/>
      <c r="G123" s="16"/>
      <c r="H123" s="16"/>
      <c r="I123" s="19" t="str">
        <f>IF(ISBLANK(JobBonus[[#This Row],[Employee Name]]),"",INDEX(Employees[Job Title],MATCH(JobBonus[[#This Row],[Employee Name]],Employees[Employee Name2],0)))</f>
        <v/>
      </c>
      <c r="J123" s="19" t="str">
        <f>IF(ISBLANK(JobBonus[[#This Row],[Job Prov]]),"",IF(JobBonus[[#This Row],[Job Prov]]=INDEX(Employees[Province],MATCH(JobBonus[[#This Row],[Employee Name]],Employees[Employee Name2],0)),"No","Yes"))</f>
        <v/>
      </c>
      <c r="K123" s="17"/>
      <c r="L123" s="19"/>
      <c r="M123" s="23"/>
      <c r="N123" s="23"/>
      <c r="O123" s="15"/>
      <c r="P123" s="15"/>
      <c r="Q123" s="15"/>
      <c r="R123" s="15"/>
      <c r="S123" s="44" cm="1">
        <f t="array" ref="S1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3" s="44" cm="1">
        <f t="array" ref="T1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3" s="44">
        <f>JobBonus[[#This Row],[Variable Pay]]+JobBonus[[#This Row],[Crew Efficiency Bonus]]</f>
        <v>0</v>
      </c>
      <c r="V123" s="44" cm="1">
        <f t="array" ref="V1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3" s="44" t="b">
        <f>_xlfn.IFNA(EXACT(VLOOKUP(JobBonus[[#This Row],[Pay Type]],PayTypes[#All],4,FALSE),"Yes"),FALSE)</f>
        <v>0</v>
      </c>
      <c r="X123" s="44" cm="1">
        <f t="array" ref="X123">SUMPRODUCT((StandByRates[Position]=JobBonus[[#This Row],[Position]])*(JobBonus[[#This Row],[Area]]=StandByRates[Area])*(StandByRates[Hourly]*JobBonus[[#This Row],[Standby/ Ext 
Hrs]]))</f>
        <v>0</v>
      </c>
      <c r="Y123" s="44">
        <f>JobBonus[[#This Row],[Variable Pay]]+JobBonus[[#This Row],[Crew Efficiency Bonus]]+JobBonus[[#This Row],[OVPP]]+JobBonus[[#This Row],[StandBy/ Ext Amount]]</f>
        <v>0</v>
      </c>
      <c r="Z123" s="80"/>
      <c r="AA123" s="42"/>
      <c r="AB123" s="42"/>
      <c r="AC123"/>
      <c r="AD123"/>
      <c r="AE123"/>
      <c r="AF123"/>
    </row>
    <row r="124" spans="1:32" hidden="1" x14ac:dyDescent="0.25">
      <c r="A124" s="46"/>
      <c r="B124" s="80"/>
      <c r="C124" s="15"/>
      <c r="D124" s="15"/>
      <c r="E124" s="15"/>
      <c r="F124" s="15"/>
      <c r="G124" s="16"/>
      <c r="H124" s="16"/>
      <c r="I124" s="19" t="str">
        <f>IF(ISBLANK(JobBonus[[#This Row],[Employee Name]]),"",INDEX(Employees[Job Title],MATCH(JobBonus[[#This Row],[Employee Name]],Employees[Employee Name2],0)))</f>
        <v/>
      </c>
      <c r="J124" s="19" t="str">
        <f>IF(ISBLANK(JobBonus[[#This Row],[Job Prov]]),"",IF(JobBonus[[#This Row],[Job Prov]]=INDEX(Employees[Province],MATCH(JobBonus[[#This Row],[Employee Name]],Employees[Employee Name2],0)),"No","Yes"))</f>
        <v/>
      </c>
      <c r="K124" s="17"/>
      <c r="L124" s="19"/>
      <c r="M124" s="23"/>
      <c r="N124" s="23"/>
      <c r="O124" s="15"/>
      <c r="P124" s="15"/>
      <c r="Q124" s="15"/>
      <c r="R124" s="15"/>
      <c r="S124" s="44" cm="1">
        <f t="array" ref="S1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4" s="44" cm="1">
        <f t="array" ref="T1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4" s="44">
        <f>JobBonus[[#This Row],[Variable Pay]]+JobBonus[[#This Row],[Crew Efficiency Bonus]]</f>
        <v>0</v>
      </c>
      <c r="V124" s="44" cm="1">
        <f t="array" ref="V1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4" s="44" t="b">
        <f>_xlfn.IFNA(EXACT(VLOOKUP(JobBonus[[#This Row],[Pay Type]],PayTypes[#All],4,FALSE),"Yes"),FALSE)</f>
        <v>0</v>
      </c>
      <c r="X124" s="44" cm="1">
        <f t="array" ref="X124">SUMPRODUCT((StandByRates[Position]=JobBonus[[#This Row],[Position]])*(JobBonus[[#This Row],[Area]]=StandByRates[Area])*(StandByRates[Hourly]*JobBonus[[#This Row],[Standby/ Ext 
Hrs]]))</f>
        <v>0</v>
      </c>
      <c r="Y124" s="44">
        <f>JobBonus[[#This Row],[Variable Pay]]+JobBonus[[#This Row],[Crew Efficiency Bonus]]+JobBonus[[#This Row],[OVPP]]+JobBonus[[#This Row],[StandBy/ Ext Amount]]</f>
        <v>0</v>
      </c>
      <c r="Z124" s="80"/>
      <c r="AA124" s="42"/>
      <c r="AB124" s="42"/>
      <c r="AC124"/>
      <c r="AD124"/>
      <c r="AE124"/>
      <c r="AF124"/>
    </row>
    <row r="125" spans="1:32" hidden="1" x14ac:dyDescent="0.25">
      <c r="A125" s="46"/>
      <c r="B125" s="80"/>
      <c r="C125" s="15"/>
      <c r="D125" s="15"/>
      <c r="E125" s="15"/>
      <c r="F125" s="15"/>
      <c r="G125" s="16"/>
      <c r="H125" s="16"/>
      <c r="I125" s="19" t="str">
        <f>IF(ISBLANK(JobBonus[[#This Row],[Employee Name]]),"",INDEX(Employees[Job Title],MATCH(JobBonus[[#This Row],[Employee Name]],Employees[Employee Name2],0)))</f>
        <v/>
      </c>
      <c r="J125" s="19" t="str">
        <f>IF(ISBLANK(JobBonus[[#This Row],[Job Prov]]),"",IF(JobBonus[[#This Row],[Job Prov]]=INDEX(Employees[Province],MATCH(JobBonus[[#This Row],[Employee Name]],Employees[Employee Name2],0)),"No","Yes"))</f>
        <v/>
      </c>
      <c r="K125" s="17"/>
      <c r="L125" s="19"/>
      <c r="M125" s="23"/>
      <c r="N125" s="23"/>
      <c r="O125" s="15"/>
      <c r="P125" s="15"/>
      <c r="Q125" s="15"/>
      <c r="R125" s="15"/>
      <c r="S125" s="44" cm="1">
        <f t="array" ref="S1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5" s="44" cm="1">
        <f t="array" ref="T1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5" s="44">
        <f>JobBonus[[#This Row],[Variable Pay]]+JobBonus[[#This Row],[Crew Efficiency Bonus]]</f>
        <v>0</v>
      </c>
      <c r="V125" s="44" cm="1">
        <f t="array" ref="V1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5" s="44" t="b">
        <f>_xlfn.IFNA(EXACT(VLOOKUP(JobBonus[[#This Row],[Pay Type]],PayTypes[#All],4,FALSE),"Yes"),FALSE)</f>
        <v>0</v>
      </c>
      <c r="X125" s="44" cm="1">
        <f t="array" ref="X125">SUMPRODUCT((StandByRates[Position]=JobBonus[[#This Row],[Position]])*(JobBonus[[#This Row],[Area]]=StandByRates[Area])*(StandByRates[Hourly]*JobBonus[[#This Row],[Standby/ Ext 
Hrs]]))</f>
        <v>0</v>
      </c>
      <c r="Y125" s="44">
        <f>JobBonus[[#This Row],[Variable Pay]]+JobBonus[[#This Row],[Crew Efficiency Bonus]]+JobBonus[[#This Row],[OVPP]]+JobBonus[[#This Row],[StandBy/ Ext Amount]]</f>
        <v>0</v>
      </c>
      <c r="Z125" s="80"/>
      <c r="AA125" s="42"/>
      <c r="AB125" s="42"/>
      <c r="AC125"/>
      <c r="AD125"/>
      <c r="AE125"/>
      <c r="AF125"/>
    </row>
    <row r="126" spans="1:32" hidden="1" x14ac:dyDescent="0.25">
      <c r="A126" s="46"/>
      <c r="B126" s="80"/>
      <c r="C126" s="15"/>
      <c r="D126" s="15"/>
      <c r="E126" s="15"/>
      <c r="F126" s="15"/>
      <c r="G126" s="16"/>
      <c r="H126" s="16"/>
      <c r="I126" s="19" t="str">
        <f>IF(ISBLANK(JobBonus[[#This Row],[Employee Name]]),"",INDEX(Employees[Job Title],MATCH(JobBonus[[#This Row],[Employee Name]],Employees[Employee Name2],0)))</f>
        <v/>
      </c>
      <c r="J126" s="19" t="str">
        <f>IF(ISBLANK(JobBonus[[#This Row],[Job Prov]]),"",IF(JobBonus[[#This Row],[Job Prov]]=INDEX(Employees[Province],MATCH(JobBonus[[#This Row],[Employee Name]],Employees[Employee Name2],0)),"No","Yes"))</f>
        <v/>
      </c>
      <c r="K126" s="17"/>
      <c r="L126" s="19"/>
      <c r="M126" s="23"/>
      <c r="N126" s="23"/>
      <c r="O126" s="15"/>
      <c r="P126" s="15"/>
      <c r="Q126" s="15"/>
      <c r="R126" s="15"/>
      <c r="S126" s="44" cm="1">
        <f t="array" ref="S1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6" s="44" cm="1">
        <f t="array" ref="T1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6" s="44">
        <f>JobBonus[[#This Row],[Variable Pay]]+JobBonus[[#This Row],[Crew Efficiency Bonus]]</f>
        <v>0</v>
      </c>
      <c r="V126" s="44" cm="1">
        <f t="array" ref="V1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6" s="44" t="b">
        <f>_xlfn.IFNA(EXACT(VLOOKUP(JobBonus[[#This Row],[Pay Type]],PayTypes[#All],4,FALSE),"Yes"),FALSE)</f>
        <v>0</v>
      </c>
      <c r="X126" s="44" cm="1">
        <f t="array" ref="X126">SUMPRODUCT((StandByRates[Position]=JobBonus[[#This Row],[Position]])*(JobBonus[[#This Row],[Area]]=StandByRates[Area])*(StandByRates[Hourly]*JobBonus[[#This Row],[Standby/ Ext 
Hrs]]))</f>
        <v>0</v>
      </c>
      <c r="Y126" s="44">
        <f>JobBonus[[#This Row],[Variable Pay]]+JobBonus[[#This Row],[Crew Efficiency Bonus]]+JobBonus[[#This Row],[OVPP]]+JobBonus[[#This Row],[StandBy/ Ext Amount]]</f>
        <v>0</v>
      </c>
      <c r="Z126" s="80"/>
      <c r="AA126" s="42"/>
      <c r="AB126" s="42"/>
      <c r="AC126"/>
      <c r="AD126"/>
      <c r="AE126"/>
      <c r="AF126"/>
    </row>
    <row r="127" spans="1:32" hidden="1" x14ac:dyDescent="0.25">
      <c r="A127" s="46"/>
      <c r="B127" s="80"/>
      <c r="C127" s="15"/>
      <c r="D127" s="15"/>
      <c r="E127" s="15"/>
      <c r="F127" s="15"/>
      <c r="G127" s="16"/>
      <c r="H127" s="16"/>
      <c r="I127" s="19" t="str">
        <f>IF(ISBLANK(JobBonus[[#This Row],[Employee Name]]),"",INDEX(Employees[Job Title],MATCH(JobBonus[[#This Row],[Employee Name]],Employees[Employee Name2],0)))</f>
        <v/>
      </c>
      <c r="J127" s="19" t="str">
        <f>IF(ISBLANK(JobBonus[[#This Row],[Job Prov]]),"",IF(JobBonus[[#This Row],[Job Prov]]=INDEX(Employees[Province],MATCH(JobBonus[[#This Row],[Employee Name]],Employees[Employee Name2],0)),"No","Yes"))</f>
        <v/>
      </c>
      <c r="K127" s="17"/>
      <c r="L127" s="19"/>
      <c r="M127" s="23"/>
      <c r="N127" s="23"/>
      <c r="O127" s="15"/>
      <c r="P127" s="15"/>
      <c r="Q127" s="15"/>
      <c r="R127" s="15"/>
      <c r="S127" s="44" cm="1">
        <f t="array" ref="S1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7" s="44" cm="1">
        <f t="array" ref="T1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7" s="44">
        <f>JobBonus[[#This Row],[Variable Pay]]+JobBonus[[#This Row],[Crew Efficiency Bonus]]</f>
        <v>0</v>
      </c>
      <c r="V127" s="44" cm="1">
        <f t="array" ref="V1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7" s="44" t="b">
        <f>_xlfn.IFNA(EXACT(VLOOKUP(JobBonus[[#This Row],[Pay Type]],PayTypes[#All],4,FALSE),"Yes"),FALSE)</f>
        <v>0</v>
      </c>
      <c r="X127" s="44" cm="1">
        <f t="array" ref="X127">SUMPRODUCT((StandByRates[Position]=JobBonus[[#This Row],[Position]])*(JobBonus[[#This Row],[Area]]=StandByRates[Area])*(StandByRates[Hourly]*JobBonus[[#This Row],[Standby/ Ext 
Hrs]]))</f>
        <v>0</v>
      </c>
      <c r="Y127" s="44">
        <f>JobBonus[[#This Row],[Variable Pay]]+JobBonus[[#This Row],[Crew Efficiency Bonus]]+JobBonus[[#This Row],[OVPP]]+JobBonus[[#This Row],[StandBy/ Ext Amount]]</f>
        <v>0</v>
      </c>
      <c r="Z127" s="80"/>
      <c r="AA127" s="42"/>
      <c r="AB127" s="42"/>
      <c r="AC127"/>
      <c r="AD127"/>
      <c r="AE127"/>
      <c r="AF127"/>
    </row>
    <row r="128" spans="1:32" hidden="1" x14ac:dyDescent="0.25">
      <c r="A128" s="46"/>
      <c r="B128" s="80"/>
      <c r="C128" s="15"/>
      <c r="D128" s="15"/>
      <c r="E128" s="15"/>
      <c r="F128" s="15"/>
      <c r="G128" s="16"/>
      <c r="H128" s="16"/>
      <c r="I128" s="19" t="str">
        <f>IF(ISBLANK(JobBonus[[#This Row],[Employee Name]]),"",INDEX(Employees[Job Title],MATCH(JobBonus[[#This Row],[Employee Name]],Employees[Employee Name2],0)))</f>
        <v/>
      </c>
      <c r="J128" s="19" t="str">
        <f>IF(ISBLANK(JobBonus[[#This Row],[Job Prov]]),"",IF(JobBonus[[#This Row],[Job Prov]]=INDEX(Employees[Province],MATCH(JobBonus[[#This Row],[Employee Name]],Employees[Employee Name2],0)),"No","Yes"))</f>
        <v/>
      </c>
      <c r="K128" s="17"/>
      <c r="L128" s="19"/>
      <c r="M128" s="23"/>
      <c r="N128" s="23"/>
      <c r="O128" s="15"/>
      <c r="P128" s="15"/>
      <c r="Q128" s="15"/>
      <c r="R128" s="15"/>
      <c r="S128" s="44" cm="1">
        <f t="array" ref="S1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8" s="44" cm="1">
        <f t="array" ref="T1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8" s="44">
        <f>JobBonus[[#This Row],[Variable Pay]]+JobBonus[[#This Row],[Crew Efficiency Bonus]]</f>
        <v>0</v>
      </c>
      <c r="V128" s="44" cm="1">
        <f t="array" ref="V1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8" s="44" t="b">
        <f>_xlfn.IFNA(EXACT(VLOOKUP(JobBonus[[#This Row],[Pay Type]],PayTypes[#All],4,FALSE),"Yes"),FALSE)</f>
        <v>0</v>
      </c>
      <c r="X128" s="44" cm="1">
        <f t="array" ref="X128">SUMPRODUCT((StandByRates[Position]=JobBonus[[#This Row],[Position]])*(JobBonus[[#This Row],[Area]]=StandByRates[Area])*(StandByRates[Hourly]*JobBonus[[#This Row],[Standby/ Ext 
Hrs]]))</f>
        <v>0</v>
      </c>
      <c r="Y128" s="44">
        <f>JobBonus[[#This Row],[Variable Pay]]+JobBonus[[#This Row],[Crew Efficiency Bonus]]+JobBonus[[#This Row],[OVPP]]+JobBonus[[#This Row],[StandBy/ Ext Amount]]</f>
        <v>0</v>
      </c>
      <c r="Z128" s="80"/>
      <c r="AA128" s="42"/>
      <c r="AB128" s="42"/>
      <c r="AC128"/>
      <c r="AD128"/>
      <c r="AE128"/>
      <c r="AF128"/>
    </row>
    <row r="129" spans="1:32" hidden="1" x14ac:dyDescent="0.25">
      <c r="A129" s="46"/>
      <c r="B129" s="80"/>
      <c r="C129" s="15"/>
      <c r="D129" s="15"/>
      <c r="E129" s="15"/>
      <c r="F129" s="15"/>
      <c r="G129" s="16"/>
      <c r="H129" s="16"/>
      <c r="I129" s="19" t="str">
        <f>IF(ISBLANK(JobBonus[[#This Row],[Employee Name]]),"",INDEX(Employees[Job Title],MATCH(JobBonus[[#This Row],[Employee Name]],Employees[Employee Name2],0)))</f>
        <v/>
      </c>
      <c r="J129" s="19" t="str">
        <f>IF(ISBLANK(JobBonus[[#This Row],[Job Prov]]),"",IF(JobBonus[[#This Row],[Job Prov]]=INDEX(Employees[Province],MATCH(JobBonus[[#This Row],[Employee Name]],Employees[Employee Name2],0)),"No","Yes"))</f>
        <v/>
      </c>
      <c r="K129" s="17"/>
      <c r="L129" s="19"/>
      <c r="M129" s="23"/>
      <c r="N129" s="23"/>
      <c r="O129" s="15"/>
      <c r="P129" s="15"/>
      <c r="Q129" s="15"/>
      <c r="R129" s="15"/>
      <c r="S129" s="44" cm="1">
        <f t="array" ref="S1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9" s="44" cm="1">
        <f t="array" ref="T1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9" s="44">
        <f>JobBonus[[#This Row],[Variable Pay]]+JobBonus[[#This Row],[Crew Efficiency Bonus]]</f>
        <v>0</v>
      </c>
      <c r="V129" s="44" cm="1">
        <f t="array" ref="V1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9" s="44" t="b">
        <f>_xlfn.IFNA(EXACT(VLOOKUP(JobBonus[[#This Row],[Pay Type]],PayTypes[#All],4,FALSE),"Yes"),FALSE)</f>
        <v>0</v>
      </c>
      <c r="X129" s="44" cm="1">
        <f t="array" ref="X129">SUMPRODUCT((StandByRates[Position]=JobBonus[[#This Row],[Position]])*(JobBonus[[#This Row],[Area]]=StandByRates[Area])*(StandByRates[Hourly]*JobBonus[[#This Row],[Standby/ Ext 
Hrs]]))</f>
        <v>0</v>
      </c>
      <c r="Y129" s="44">
        <f>JobBonus[[#This Row],[Variable Pay]]+JobBonus[[#This Row],[Crew Efficiency Bonus]]+JobBonus[[#This Row],[OVPP]]+JobBonus[[#This Row],[StandBy/ Ext Amount]]</f>
        <v>0</v>
      </c>
      <c r="Z129" s="80"/>
      <c r="AA129" s="42"/>
      <c r="AB129" s="42"/>
      <c r="AC129"/>
      <c r="AD129"/>
      <c r="AE129"/>
      <c r="AF129"/>
    </row>
    <row r="130" spans="1:32" hidden="1" x14ac:dyDescent="0.25">
      <c r="A130" s="46"/>
      <c r="B130" s="80"/>
      <c r="C130" s="15"/>
      <c r="D130" s="15"/>
      <c r="E130" s="15"/>
      <c r="F130" s="15"/>
      <c r="G130" s="16"/>
      <c r="H130" s="16"/>
      <c r="I130" s="19" t="str">
        <f>IF(ISBLANK(JobBonus[[#This Row],[Employee Name]]),"",INDEX(Employees[Job Title],MATCH(JobBonus[[#This Row],[Employee Name]],Employees[Employee Name2],0)))</f>
        <v/>
      </c>
      <c r="J130" s="19" t="str">
        <f>IF(ISBLANK(JobBonus[[#This Row],[Job Prov]]),"",IF(JobBonus[[#This Row],[Job Prov]]=INDEX(Employees[Province],MATCH(JobBonus[[#This Row],[Employee Name]],Employees[Employee Name2],0)),"No","Yes"))</f>
        <v/>
      </c>
      <c r="K130" s="17"/>
      <c r="L130" s="19"/>
      <c r="M130" s="23"/>
      <c r="N130" s="23"/>
      <c r="O130" s="15"/>
      <c r="P130" s="15"/>
      <c r="Q130" s="15"/>
      <c r="R130" s="15"/>
      <c r="S130" s="44" cm="1">
        <f t="array" ref="S1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0" s="44" cm="1">
        <f t="array" ref="T1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0" s="44">
        <f>JobBonus[[#This Row],[Variable Pay]]+JobBonus[[#This Row],[Crew Efficiency Bonus]]</f>
        <v>0</v>
      </c>
      <c r="V130" s="44" cm="1">
        <f t="array" ref="V1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0" s="44" t="b">
        <f>_xlfn.IFNA(EXACT(VLOOKUP(JobBonus[[#This Row],[Pay Type]],PayTypes[#All],4,FALSE),"Yes"),FALSE)</f>
        <v>0</v>
      </c>
      <c r="X130" s="44" cm="1">
        <f t="array" ref="X130">SUMPRODUCT((StandByRates[Position]=JobBonus[[#This Row],[Position]])*(JobBonus[[#This Row],[Area]]=StandByRates[Area])*(StandByRates[Hourly]*JobBonus[[#This Row],[Standby/ Ext 
Hrs]]))</f>
        <v>0</v>
      </c>
      <c r="Y130" s="44">
        <f>JobBonus[[#This Row],[Variable Pay]]+JobBonus[[#This Row],[Crew Efficiency Bonus]]+JobBonus[[#This Row],[OVPP]]+JobBonus[[#This Row],[StandBy/ Ext Amount]]</f>
        <v>0</v>
      </c>
      <c r="Z130" s="80"/>
      <c r="AA130" s="42"/>
      <c r="AB130" s="42"/>
      <c r="AC130"/>
      <c r="AD130"/>
      <c r="AE130"/>
      <c r="AF130"/>
    </row>
    <row r="131" spans="1:32" hidden="1" x14ac:dyDescent="0.25">
      <c r="A131" s="46"/>
      <c r="B131" s="80"/>
      <c r="C131" s="15"/>
      <c r="D131" s="15"/>
      <c r="E131" s="15"/>
      <c r="F131" s="15"/>
      <c r="G131" s="16"/>
      <c r="H131" s="16"/>
      <c r="I131" s="19" t="str">
        <f>IF(ISBLANK(JobBonus[[#This Row],[Employee Name]]),"",INDEX(Employees[Job Title],MATCH(JobBonus[[#This Row],[Employee Name]],Employees[Employee Name2],0)))</f>
        <v/>
      </c>
      <c r="J131" s="19" t="str">
        <f>IF(ISBLANK(JobBonus[[#This Row],[Job Prov]]),"",IF(JobBonus[[#This Row],[Job Prov]]=INDEX(Employees[Province],MATCH(JobBonus[[#This Row],[Employee Name]],Employees[Employee Name2],0)),"No","Yes"))</f>
        <v/>
      </c>
      <c r="K131" s="17"/>
      <c r="L131" s="19"/>
      <c r="M131" s="23"/>
      <c r="N131" s="23"/>
      <c r="O131" s="15"/>
      <c r="P131" s="15"/>
      <c r="Q131" s="15"/>
      <c r="R131" s="15"/>
      <c r="S131" s="44" cm="1">
        <f t="array" ref="S1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1" s="44" cm="1">
        <f t="array" ref="T1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1" s="44">
        <f>JobBonus[[#This Row],[Variable Pay]]+JobBonus[[#This Row],[Crew Efficiency Bonus]]</f>
        <v>0</v>
      </c>
      <c r="V131" s="44" cm="1">
        <f t="array" ref="V1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1" s="44" t="b">
        <f>_xlfn.IFNA(EXACT(VLOOKUP(JobBonus[[#This Row],[Pay Type]],PayTypes[#All],4,FALSE),"Yes"),FALSE)</f>
        <v>0</v>
      </c>
      <c r="X131" s="44" cm="1">
        <f t="array" ref="X131">SUMPRODUCT((StandByRates[Position]=JobBonus[[#This Row],[Position]])*(JobBonus[[#This Row],[Area]]=StandByRates[Area])*(StandByRates[Hourly]*JobBonus[[#This Row],[Standby/ Ext 
Hrs]]))</f>
        <v>0</v>
      </c>
      <c r="Y131" s="44">
        <f>JobBonus[[#This Row],[Variable Pay]]+JobBonus[[#This Row],[Crew Efficiency Bonus]]+JobBonus[[#This Row],[OVPP]]+JobBonus[[#This Row],[StandBy/ Ext Amount]]</f>
        <v>0</v>
      </c>
      <c r="Z131" s="80"/>
      <c r="AA131" s="42"/>
      <c r="AB131" s="42"/>
      <c r="AC131"/>
      <c r="AD131"/>
      <c r="AE131"/>
      <c r="AF131"/>
    </row>
    <row r="132" spans="1:32" hidden="1" x14ac:dyDescent="0.25">
      <c r="A132" s="46"/>
      <c r="B132" s="80"/>
      <c r="C132" s="15"/>
      <c r="D132" s="15"/>
      <c r="E132" s="15"/>
      <c r="F132" s="15"/>
      <c r="G132" s="16"/>
      <c r="H132" s="16"/>
      <c r="I132" s="19" t="str">
        <f>IF(ISBLANK(JobBonus[[#This Row],[Employee Name]]),"",INDEX(Employees[Job Title],MATCH(JobBonus[[#This Row],[Employee Name]],Employees[Employee Name2],0)))</f>
        <v/>
      </c>
      <c r="J132" s="19" t="str">
        <f>IF(ISBLANK(JobBonus[[#This Row],[Job Prov]]),"",IF(JobBonus[[#This Row],[Job Prov]]=INDEX(Employees[Province],MATCH(JobBonus[[#This Row],[Employee Name]],Employees[Employee Name2],0)),"No","Yes"))</f>
        <v/>
      </c>
      <c r="K132" s="17"/>
      <c r="L132" s="19"/>
      <c r="M132" s="23"/>
      <c r="N132" s="23"/>
      <c r="O132" s="15"/>
      <c r="P132" s="15"/>
      <c r="Q132" s="15"/>
      <c r="R132" s="15"/>
      <c r="S132" s="44" cm="1">
        <f t="array" ref="S1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2" s="44" cm="1">
        <f t="array" ref="T1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2" s="44">
        <f>JobBonus[[#This Row],[Variable Pay]]+JobBonus[[#This Row],[Crew Efficiency Bonus]]</f>
        <v>0</v>
      </c>
      <c r="V132" s="44" cm="1">
        <f t="array" ref="V1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2" s="44" t="b">
        <f>_xlfn.IFNA(EXACT(VLOOKUP(JobBonus[[#This Row],[Pay Type]],PayTypes[#All],4,FALSE),"Yes"),FALSE)</f>
        <v>0</v>
      </c>
      <c r="X132" s="44" cm="1">
        <f t="array" ref="X132">SUMPRODUCT((StandByRates[Position]=JobBonus[[#This Row],[Position]])*(JobBonus[[#This Row],[Area]]=StandByRates[Area])*(StandByRates[Hourly]*JobBonus[[#This Row],[Standby/ Ext 
Hrs]]))</f>
        <v>0</v>
      </c>
      <c r="Y132" s="44">
        <f>JobBonus[[#This Row],[Variable Pay]]+JobBonus[[#This Row],[Crew Efficiency Bonus]]+JobBonus[[#This Row],[OVPP]]+JobBonus[[#This Row],[StandBy/ Ext Amount]]</f>
        <v>0</v>
      </c>
      <c r="Z132" s="80"/>
      <c r="AA132" s="42"/>
      <c r="AB132" s="42"/>
      <c r="AC132"/>
      <c r="AD132"/>
      <c r="AE132"/>
      <c r="AF132"/>
    </row>
    <row r="133" spans="1:32" hidden="1" x14ac:dyDescent="0.25">
      <c r="A133" s="46"/>
      <c r="B133" s="80"/>
      <c r="C133" s="15"/>
      <c r="D133" s="15"/>
      <c r="E133" s="15"/>
      <c r="F133" s="15"/>
      <c r="G133" s="16"/>
      <c r="H133" s="16"/>
      <c r="I133" s="19" t="str">
        <f>IF(ISBLANK(JobBonus[[#This Row],[Employee Name]]),"",INDEX(Employees[Job Title],MATCH(JobBonus[[#This Row],[Employee Name]],Employees[Employee Name2],0)))</f>
        <v/>
      </c>
      <c r="J133" s="19" t="str">
        <f>IF(ISBLANK(JobBonus[[#This Row],[Job Prov]]),"",IF(JobBonus[[#This Row],[Job Prov]]=INDEX(Employees[Province],MATCH(JobBonus[[#This Row],[Employee Name]],Employees[Employee Name2],0)),"No","Yes"))</f>
        <v/>
      </c>
      <c r="K133" s="17"/>
      <c r="L133" s="19"/>
      <c r="M133" s="23"/>
      <c r="N133" s="23"/>
      <c r="O133" s="15"/>
      <c r="P133" s="15"/>
      <c r="Q133" s="15"/>
      <c r="R133" s="15"/>
      <c r="S133" s="44" cm="1">
        <f t="array" ref="S1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3" s="44" cm="1">
        <f t="array" ref="T1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3" s="44">
        <f>JobBonus[[#This Row],[Variable Pay]]+JobBonus[[#This Row],[Crew Efficiency Bonus]]</f>
        <v>0</v>
      </c>
      <c r="V133" s="44" cm="1">
        <f t="array" ref="V1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3" s="44" t="b">
        <f>_xlfn.IFNA(EXACT(VLOOKUP(JobBonus[[#This Row],[Pay Type]],PayTypes[#All],4,FALSE),"Yes"),FALSE)</f>
        <v>0</v>
      </c>
      <c r="X133" s="44" cm="1">
        <f t="array" ref="X133">SUMPRODUCT((StandByRates[Position]=JobBonus[[#This Row],[Position]])*(JobBonus[[#This Row],[Area]]=StandByRates[Area])*(StandByRates[Hourly]*JobBonus[[#This Row],[Standby/ Ext 
Hrs]]))</f>
        <v>0</v>
      </c>
      <c r="Y133" s="44">
        <f>JobBonus[[#This Row],[Variable Pay]]+JobBonus[[#This Row],[Crew Efficiency Bonus]]+JobBonus[[#This Row],[OVPP]]+JobBonus[[#This Row],[StandBy/ Ext Amount]]</f>
        <v>0</v>
      </c>
      <c r="Z133" s="80"/>
      <c r="AA133" s="42"/>
      <c r="AB133" s="42"/>
      <c r="AC133"/>
      <c r="AD133"/>
      <c r="AE133"/>
      <c r="AF133"/>
    </row>
    <row r="134" spans="1:32" hidden="1" x14ac:dyDescent="0.25">
      <c r="A134" s="46"/>
      <c r="B134" s="80"/>
      <c r="C134" s="15"/>
      <c r="D134" s="15"/>
      <c r="E134" s="15"/>
      <c r="F134" s="15"/>
      <c r="G134" s="16"/>
      <c r="H134" s="16"/>
      <c r="I134" s="19" t="str">
        <f>IF(ISBLANK(JobBonus[[#This Row],[Employee Name]]),"",INDEX(Employees[Job Title],MATCH(JobBonus[[#This Row],[Employee Name]],Employees[Employee Name2],0)))</f>
        <v/>
      </c>
      <c r="J134" s="19" t="str">
        <f>IF(ISBLANK(JobBonus[[#This Row],[Job Prov]]),"",IF(JobBonus[[#This Row],[Job Prov]]=INDEX(Employees[Province],MATCH(JobBonus[[#This Row],[Employee Name]],Employees[Employee Name2],0)),"No","Yes"))</f>
        <v/>
      </c>
      <c r="K134" s="17"/>
      <c r="L134" s="19"/>
      <c r="M134" s="23"/>
      <c r="N134" s="23"/>
      <c r="O134" s="15"/>
      <c r="P134" s="15"/>
      <c r="Q134" s="15"/>
      <c r="R134" s="15"/>
      <c r="S134" s="44" cm="1">
        <f t="array" ref="S1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4" s="44" cm="1">
        <f t="array" ref="T1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4" s="44">
        <f>JobBonus[[#This Row],[Variable Pay]]+JobBonus[[#This Row],[Crew Efficiency Bonus]]</f>
        <v>0</v>
      </c>
      <c r="V134" s="44" cm="1">
        <f t="array" ref="V1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4" s="44" t="b">
        <f>_xlfn.IFNA(EXACT(VLOOKUP(JobBonus[[#This Row],[Pay Type]],PayTypes[#All],4,FALSE),"Yes"),FALSE)</f>
        <v>0</v>
      </c>
      <c r="X134" s="44" cm="1">
        <f t="array" ref="X134">SUMPRODUCT((StandByRates[Position]=JobBonus[[#This Row],[Position]])*(JobBonus[[#This Row],[Area]]=StandByRates[Area])*(StandByRates[Hourly]*JobBonus[[#This Row],[Standby/ Ext 
Hrs]]))</f>
        <v>0</v>
      </c>
      <c r="Y134" s="44">
        <f>JobBonus[[#This Row],[Variable Pay]]+JobBonus[[#This Row],[Crew Efficiency Bonus]]+JobBonus[[#This Row],[OVPP]]+JobBonus[[#This Row],[StandBy/ Ext Amount]]</f>
        <v>0</v>
      </c>
      <c r="Z134" s="80"/>
      <c r="AA134" s="42"/>
      <c r="AB134" s="42"/>
      <c r="AC134"/>
      <c r="AD134"/>
      <c r="AE134"/>
      <c r="AF134"/>
    </row>
    <row r="135" spans="1:32" hidden="1" x14ac:dyDescent="0.25">
      <c r="A135" s="46"/>
      <c r="B135" s="80"/>
      <c r="C135" s="15"/>
      <c r="D135" s="15"/>
      <c r="E135" s="15"/>
      <c r="F135" s="15"/>
      <c r="G135" s="16"/>
      <c r="H135" s="16"/>
      <c r="I135" s="19" t="str">
        <f>IF(ISBLANK(JobBonus[[#This Row],[Employee Name]]),"",INDEX(Employees[Job Title],MATCH(JobBonus[[#This Row],[Employee Name]],Employees[Employee Name2],0)))</f>
        <v/>
      </c>
      <c r="J135" s="19" t="str">
        <f>IF(ISBLANK(JobBonus[[#This Row],[Job Prov]]),"",IF(JobBonus[[#This Row],[Job Prov]]=INDEX(Employees[Province],MATCH(JobBonus[[#This Row],[Employee Name]],Employees[Employee Name2],0)),"No","Yes"))</f>
        <v/>
      </c>
      <c r="K135" s="17"/>
      <c r="L135" s="19"/>
      <c r="M135" s="23"/>
      <c r="N135" s="23"/>
      <c r="O135" s="15"/>
      <c r="P135" s="15"/>
      <c r="Q135" s="15"/>
      <c r="R135" s="15"/>
      <c r="S135" s="44" cm="1">
        <f t="array" ref="S1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5" s="44" cm="1">
        <f t="array" ref="T1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5" s="44">
        <f>JobBonus[[#This Row],[Variable Pay]]+JobBonus[[#This Row],[Crew Efficiency Bonus]]</f>
        <v>0</v>
      </c>
      <c r="V135" s="44" cm="1">
        <f t="array" ref="V1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5" s="44" t="b">
        <f>_xlfn.IFNA(EXACT(VLOOKUP(JobBonus[[#This Row],[Pay Type]],PayTypes[#All],4,FALSE),"Yes"),FALSE)</f>
        <v>0</v>
      </c>
      <c r="X135" s="44" cm="1">
        <f t="array" ref="X135">SUMPRODUCT((StandByRates[Position]=JobBonus[[#This Row],[Position]])*(JobBonus[[#This Row],[Area]]=StandByRates[Area])*(StandByRates[Hourly]*JobBonus[[#This Row],[Standby/ Ext 
Hrs]]))</f>
        <v>0</v>
      </c>
      <c r="Y135" s="44">
        <f>JobBonus[[#This Row],[Variable Pay]]+JobBonus[[#This Row],[Crew Efficiency Bonus]]+JobBonus[[#This Row],[OVPP]]+JobBonus[[#This Row],[StandBy/ Ext Amount]]</f>
        <v>0</v>
      </c>
      <c r="Z135" s="80"/>
      <c r="AA135" s="42"/>
      <c r="AB135" s="42"/>
      <c r="AC135"/>
      <c r="AD135"/>
      <c r="AE135"/>
      <c r="AF135"/>
    </row>
    <row r="136" spans="1:32" hidden="1" x14ac:dyDescent="0.25">
      <c r="A136" s="46"/>
      <c r="B136" s="80"/>
      <c r="C136" s="15"/>
      <c r="D136" s="15"/>
      <c r="E136" s="15"/>
      <c r="F136" s="15"/>
      <c r="G136" s="16"/>
      <c r="H136" s="16"/>
      <c r="I136" s="19" t="str">
        <f>IF(ISBLANK(JobBonus[[#This Row],[Employee Name]]),"",INDEX(Employees[Job Title],MATCH(JobBonus[[#This Row],[Employee Name]],Employees[Employee Name2],0)))</f>
        <v/>
      </c>
      <c r="J136" s="19" t="str">
        <f>IF(ISBLANK(JobBonus[[#This Row],[Job Prov]]),"",IF(JobBonus[[#This Row],[Job Prov]]=INDEX(Employees[Province],MATCH(JobBonus[[#This Row],[Employee Name]],Employees[Employee Name2],0)),"No","Yes"))</f>
        <v/>
      </c>
      <c r="K136" s="17"/>
      <c r="L136" s="19"/>
      <c r="M136" s="23"/>
      <c r="N136" s="23"/>
      <c r="O136" s="15"/>
      <c r="P136" s="15"/>
      <c r="Q136" s="15"/>
      <c r="R136" s="15"/>
      <c r="S136" s="44" cm="1">
        <f t="array" ref="S1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6" s="44" cm="1">
        <f t="array" ref="T1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6" s="44">
        <f>JobBonus[[#This Row],[Variable Pay]]+JobBonus[[#This Row],[Crew Efficiency Bonus]]</f>
        <v>0</v>
      </c>
      <c r="V136" s="44" cm="1">
        <f t="array" ref="V1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6" s="44" t="b">
        <f>_xlfn.IFNA(EXACT(VLOOKUP(JobBonus[[#This Row],[Pay Type]],PayTypes[#All],4,FALSE),"Yes"),FALSE)</f>
        <v>0</v>
      </c>
      <c r="X136" s="44" cm="1">
        <f t="array" ref="X136">SUMPRODUCT((StandByRates[Position]=JobBonus[[#This Row],[Position]])*(JobBonus[[#This Row],[Area]]=StandByRates[Area])*(StandByRates[Hourly]*JobBonus[[#This Row],[Standby/ Ext 
Hrs]]))</f>
        <v>0</v>
      </c>
      <c r="Y136" s="44">
        <f>JobBonus[[#This Row],[Variable Pay]]+JobBonus[[#This Row],[Crew Efficiency Bonus]]+JobBonus[[#This Row],[OVPP]]+JobBonus[[#This Row],[StandBy/ Ext Amount]]</f>
        <v>0</v>
      </c>
      <c r="Z136" s="80"/>
      <c r="AA136" s="42"/>
      <c r="AB136" s="42"/>
      <c r="AC136"/>
      <c r="AD136"/>
      <c r="AE136"/>
      <c r="AF136"/>
    </row>
    <row r="137" spans="1:32" hidden="1" x14ac:dyDescent="0.25">
      <c r="A137" s="46"/>
      <c r="B137" s="80"/>
      <c r="C137" s="15"/>
      <c r="D137" s="15"/>
      <c r="E137" s="15"/>
      <c r="F137" s="15"/>
      <c r="G137" s="16"/>
      <c r="H137" s="16"/>
      <c r="I137" s="19" t="str">
        <f>IF(ISBLANK(JobBonus[[#This Row],[Employee Name]]),"",INDEX(Employees[Job Title],MATCH(JobBonus[[#This Row],[Employee Name]],Employees[Employee Name2],0)))</f>
        <v/>
      </c>
      <c r="J137" s="19" t="str">
        <f>IF(ISBLANK(JobBonus[[#This Row],[Job Prov]]),"",IF(JobBonus[[#This Row],[Job Prov]]=INDEX(Employees[Province],MATCH(JobBonus[[#This Row],[Employee Name]],Employees[Employee Name2],0)),"No","Yes"))</f>
        <v/>
      </c>
      <c r="K137" s="17"/>
      <c r="L137" s="19"/>
      <c r="M137" s="23"/>
      <c r="N137" s="23"/>
      <c r="O137" s="15"/>
      <c r="P137" s="15"/>
      <c r="Q137" s="15"/>
      <c r="R137" s="15"/>
      <c r="S137" s="44" cm="1">
        <f t="array" ref="S1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7" s="44" cm="1">
        <f t="array" ref="T1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7" s="44">
        <f>JobBonus[[#This Row],[Variable Pay]]+JobBonus[[#This Row],[Crew Efficiency Bonus]]</f>
        <v>0</v>
      </c>
      <c r="V137" s="44" cm="1">
        <f t="array" ref="V1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7" s="44" t="b">
        <f>_xlfn.IFNA(EXACT(VLOOKUP(JobBonus[[#This Row],[Pay Type]],PayTypes[#All],4,FALSE),"Yes"),FALSE)</f>
        <v>0</v>
      </c>
      <c r="X137" s="44" cm="1">
        <f t="array" ref="X137">SUMPRODUCT((StandByRates[Position]=JobBonus[[#This Row],[Position]])*(JobBonus[[#This Row],[Area]]=StandByRates[Area])*(StandByRates[Hourly]*JobBonus[[#This Row],[Standby/ Ext 
Hrs]]))</f>
        <v>0</v>
      </c>
      <c r="Y137" s="44">
        <f>JobBonus[[#This Row],[Variable Pay]]+JobBonus[[#This Row],[Crew Efficiency Bonus]]+JobBonus[[#This Row],[OVPP]]+JobBonus[[#This Row],[StandBy/ Ext Amount]]</f>
        <v>0</v>
      </c>
      <c r="Z137" s="80"/>
      <c r="AA137" s="42"/>
      <c r="AB137" s="42"/>
      <c r="AC137"/>
      <c r="AD137"/>
      <c r="AE137"/>
      <c r="AF137"/>
    </row>
    <row r="138" spans="1:32" hidden="1" x14ac:dyDescent="0.25">
      <c r="A138" s="46"/>
      <c r="B138" s="80"/>
      <c r="C138" s="15"/>
      <c r="D138" s="15"/>
      <c r="E138" s="15"/>
      <c r="F138" s="15"/>
      <c r="G138" s="16"/>
      <c r="H138" s="16"/>
      <c r="I138" s="19" t="str">
        <f>IF(ISBLANK(JobBonus[[#This Row],[Employee Name]]),"",INDEX(Employees[Job Title],MATCH(JobBonus[[#This Row],[Employee Name]],Employees[Employee Name2],0)))</f>
        <v/>
      </c>
      <c r="J138" s="19" t="str">
        <f>IF(ISBLANK(JobBonus[[#This Row],[Job Prov]]),"",IF(JobBonus[[#This Row],[Job Prov]]=INDEX(Employees[Province],MATCH(JobBonus[[#This Row],[Employee Name]],Employees[Employee Name2],0)),"No","Yes"))</f>
        <v/>
      </c>
      <c r="K138" s="17"/>
      <c r="L138" s="19"/>
      <c r="M138" s="23"/>
      <c r="N138" s="23"/>
      <c r="O138" s="15"/>
      <c r="P138" s="15"/>
      <c r="Q138" s="15"/>
      <c r="R138" s="15"/>
      <c r="S138" s="44" cm="1">
        <f t="array" ref="S1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8" s="44" cm="1">
        <f t="array" ref="T1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8" s="44">
        <f>JobBonus[[#This Row],[Variable Pay]]+JobBonus[[#This Row],[Crew Efficiency Bonus]]</f>
        <v>0</v>
      </c>
      <c r="V138" s="44" cm="1">
        <f t="array" ref="V1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8" s="44" t="b">
        <f>_xlfn.IFNA(EXACT(VLOOKUP(JobBonus[[#This Row],[Pay Type]],PayTypes[#All],4,FALSE),"Yes"),FALSE)</f>
        <v>0</v>
      </c>
      <c r="X138" s="44" cm="1">
        <f t="array" ref="X138">SUMPRODUCT((StandByRates[Position]=JobBonus[[#This Row],[Position]])*(JobBonus[[#This Row],[Area]]=StandByRates[Area])*(StandByRates[Hourly]*JobBonus[[#This Row],[Standby/ Ext 
Hrs]]))</f>
        <v>0</v>
      </c>
      <c r="Y138" s="44">
        <f>JobBonus[[#This Row],[Variable Pay]]+JobBonus[[#This Row],[Crew Efficiency Bonus]]+JobBonus[[#This Row],[OVPP]]+JobBonus[[#This Row],[StandBy/ Ext Amount]]</f>
        <v>0</v>
      </c>
      <c r="Z138" s="80"/>
      <c r="AA138" s="42"/>
      <c r="AB138" s="42"/>
      <c r="AC138"/>
      <c r="AD138"/>
      <c r="AE138"/>
      <c r="AF138"/>
    </row>
    <row r="139" spans="1:32" hidden="1" x14ac:dyDescent="0.25">
      <c r="A139" s="46"/>
      <c r="B139" s="80"/>
      <c r="C139" s="15"/>
      <c r="D139" s="15"/>
      <c r="E139" s="15"/>
      <c r="F139" s="15"/>
      <c r="G139" s="16"/>
      <c r="H139" s="16"/>
      <c r="I139" s="19" t="str">
        <f>IF(ISBLANK(JobBonus[[#This Row],[Employee Name]]),"",INDEX(Employees[Job Title],MATCH(JobBonus[[#This Row],[Employee Name]],Employees[Employee Name2],0)))</f>
        <v/>
      </c>
      <c r="J139" s="19" t="str">
        <f>IF(ISBLANK(JobBonus[[#This Row],[Job Prov]]),"",IF(JobBonus[[#This Row],[Job Prov]]=INDEX(Employees[Province],MATCH(JobBonus[[#This Row],[Employee Name]],Employees[Employee Name2],0)),"No","Yes"))</f>
        <v/>
      </c>
      <c r="K139" s="17"/>
      <c r="L139" s="19"/>
      <c r="M139" s="23"/>
      <c r="N139" s="23"/>
      <c r="O139" s="15"/>
      <c r="P139" s="15"/>
      <c r="Q139" s="15"/>
      <c r="R139" s="15"/>
      <c r="S139" s="44" cm="1">
        <f t="array" ref="S1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9" s="44" cm="1">
        <f t="array" ref="T1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9" s="44">
        <f>JobBonus[[#This Row],[Variable Pay]]+JobBonus[[#This Row],[Crew Efficiency Bonus]]</f>
        <v>0</v>
      </c>
      <c r="V139" s="44" cm="1">
        <f t="array" ref="V1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9" s="44" t="b">
        <f>_xlfn.IFNA(EXACT(VLOOKUP(JobBonus[[#This Row],[Pay Type]],PayTypes[#All],4,FALSE),"Yes"),FALSE)</f>
        <v>0</v>
      </c>
      <c r="X139" s="44" cm="1">
        <f t="array" ref="X139">SUMPRODUCT((StandByRates[Position]=JobBonus[[#This Row],[Position]])*(JobBonus[[#This Row],[Area]]=StandByRates[Area])*(StandByRates[Hourly]*JobBonus[[#This Row],[Standby/ Ext 
Hrs]]))</f>
        <v>0</v>
      </c>
      <c r="Y139" s="44">
        <f>JobBonus[[#This Row],[Variable Pay]]+JobBonus[[#This Row],[Crew Efficiency Bonus]]+JobBonus[[#This Row],[OVPP]]+JobBonus[[#This Row],[StandBy/ Ext Amount]]</f>
        <v>0</v>
      </c>
      <c r="Z139" s="80"/>
      <c r="AA139" s="42"/>
      <c r="AB139" s="42"/>
      <c r="AC139"/>
      <c r="AD139"/>
      <c r="AE139"/>
      <c r="AF139"/>
    </row>
    <row r="140" spans="1:32" hidden="1" x14ac:dyDescent="0.25">
      <c r="A140" s="46"/>
      <c r="B140" s="80"/>
      <c r="C140" s="15"/>
      <c r="D140" s="15"/>
      <c r="E140" s="15"/>
      <c r="F140" s="15"/>
      <c r="G140" s="16"/>
      <c r="H140" s="16"/>
      <c r="I140" s="19" t="str">
        <f>IF(ISBLANK(JobBonus[[#This Row],[Employee Name]]),"",INDEX(Employees[Job Title],MATCH(JobBonus[[#This Row],[Employee Name]],Employees[Employee Name2],0)))</f>
        <v/>
      </c>
      <c r="J140" s="19" t="str">
        <f>IF(ISBLANK(JobBonus[[#This Row],[Job Prov]]),"",IF(JobBonus[[#This Row],[Job Prov]]=INDEX(Employees[Province],MATCH(JobBonus[[#This Row],[Employee Name]],Employees[Employee Name2],0)),"No","Yes"))</f>
        <v/>
      </c>
      <c r="K140" s="17"/>
      <c r="L140" s="19"/>
      <c r="M140" s="23"/>
      <c r="N140" s="23"/>
      <c r="O140" s="15"/>
      <c r="P140" s="15"/>
      <c r="Q140" s="15"/>
      <c r="R140" s="15"/>
      <c r="S140" s="44" cm="1">
        <f t="array" ref="S1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0" s="44" cm="1">
        <f t="array" ref="T1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0" s="44">
        <f>JobBonus[[#This Row],[Variable Pay]]+JobBonus[[#This Row],[Crew Efficiency Bonus]]</f>
        <v>0</v>
      </c>
      <c r="V140" s="44" cm="1">
        <f t="array" ref="V1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0" s="44" t="b">
        <f>_xlfn.IFNA(EXACT(VLOOKUP(JobBonus[[#This Row],[Pay Type]],PayTypes[#All],4,FALSE),"Yes"),FALSE)</f>
        <v>0</v>
      </c>
      <c r="X140" s="44" cm="1">
        <f t="array" ref="X140">SUMPRODUCT((StandByRates[Position]=JobBonus[[#This Row],[Position]])*(JobBonus[[#This Row],[Area]]=StandByRates[Area])*(StandByRates[Hourly]*JobBonus[[#This Row],[Standby/ Ext 
Hrs]]))</f>
        <v>0</v>
      </c>
      <c r="Y140" s="44">
        <f>JobBonus[[#This Row],[Variable Pay]]+JobBonus[[#This Row],[Crew Efficiency Bonus]]+JobBonus[[#This Row],[OVPP]]+JobBonus[[#This Row],[StandBy/ Ext Amount]]</f>
        <v>0</v>
      </c>
      <c r="Z140" s="80"/>
      <c r="AA140" s="42"/>
      <c r="AB140" s="42"/>
      <c r="AC140"/>
      <c r="AD140"/>
      <c r="AE140"/>
      <c r="AF140"/>
    </row>
    <row r="141" spans="1:32" hidden="1" x14ac:dyDescent="0.25">
      <c r="A141" s="46"/>
      <c r="B141" s="80"/>
      <c r="C141" s="15"/>
      <c r="D141" s="15"/>
      <c r="E141" s="15"/>
      <c r="F141" s="15"/>
      <c r="G141" s="16"/>
      <c r="H141" s="16"/>
      <c r="I141" s="19" t="str">
        <f>IF(ISBLANK(JobBonus[[#This Row],[Employee Name]]),"",INDEX(Employees[Job Title],MATCH(JobBonus[[#This Row],[Employee Name]],Employees[Employee Name2],0)))</f>
        <v/>
      </c>
      <c r="J141" s="19" t="str">
        <f>IF(ISBLANK(JobBonus[[#This Row],[Job Prov]]),"",IF(JobBonus[[#This Row],[Job Prov]]=INDEX(Employees[Province],MATCH(JobBonus[[#This Row],[Employee Name]],Employees[Employee Name2],0)),"No","Yes"))</f>
        <v/>
      </c>
      <c r="K141" s="17"/>
      <c r="L141" s="19"/>
      <c r="M141" s="23"/>
      <c r="N141" s="23"/>
      <c r="O141" s="15"/>
      <c r="P141" s="15"/>
      <c r="Q141" s="15"/>
      <c r="R141" s="15"/>
      <c r="S141" s="44" cm="1">
        <f t="array" ref="S1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1" s="44" cm="1">
        <f t="array" ref="T1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1" s="44">
        <f>JobBonus[[#This Row],[Variable Pay]]+JobBonus[[#This Row],[Crew Efficiency Bonus]]</f>
        <v>0</v>
      </c>
      <c r="V141" s="44" cm="1">
        <f t="array" ref="V1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1" s="44" t="b">
        <f>_xlfn.IFNA(EXACT(VLOOKUP(JobBonus[[#This Row],[Pay Type]],PayTypes[#All],4,FALSE),"Yes"),FALSE)</f>
        <v>0</v>
      </c>
      <c r="X141" s="44" cm="1">
        <f t="array" ref="X141">SUMPRODUCT((StandByRates[Position]=JobBonus[[#This Row],[Position]])*(JobBonus[[#This Row],[Area]]=StandByRates[Area])*(StandByRates[Hourly]*JobBonus[[#This Row],[Standby/ Ext 
Hrs]]))</f>
        <v>0</v>
      </c>
      <c r="Y141" s="44">
        <f>JobBonus[[#This Row],[Variable Pay]]+JobBonus[[#This Row],[Crew Efficiency Bonus]]+JobBonus[[#This Row],[OVPP]]+JobBonus[[#This Row],[StandBy/ Ext Amount]]</f>
        <v>0</v>
      </c>
      <c r="Z141" s="80"/>
      <c r="AA141" s="42"/>
      <c r="AB141" s="42"/>
      <c r="AC141"/>
      <c r="AD141"/>
      <c r="AE141"/>
      <c r="AF141"/>
    </row>
    <row r="142" spans="1:32" hidden="1" x14ac:dyDescent="0.25">
      <c r="A142" s="46"/>
      <c r="B142" s="80"/>
      <c r="C142" s="15"/>
      <c r="D142" s="15"/>
      <c r="E142" s="15"/>
      <c r="F142" s="15"/>
      <c r="G142" s="16"/>
      <c r="H142" s="16"/>
      <c r="I142" s="19" t="str">
        <f>IF(ISBLANK(JobBonus[[#This Row],[Employee Name]]),"",INDEX(Employees[Job Title],MATCH(JobBonus[[#This Row],[Employee Name]],Employees[Employee Name2],0)))</f>
        <v/>
      </c>
      <c r="J142" s="19" t="str">
        <f>IF(ISBLANK(JobBonus[[#This Row],[Job Prov]]),"",IF(JobBonus[[#This Row],[Job Prov]]=INDEX(Employees[Province],MATCH(JobBonus[[#This Row],[Employee Name]],Employees[Employee Name2],0)),"No","Yes"))</f>
        <v/>
      </c>
      <c r="K142" s="17"/>
      <c r="L142" s="19"/>
      <c r="M142" s="23"/>
      <c r="N142" s="23"/>
      <c r="O142" s="15"/>
      <c r="P142" s="15"/>
      <c r="Q142" s="15"/>
      <c r="R142" s="15"/>
      <c r="S142" s="44" cm="1">
        <f t="array" ref="S1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2" s="44" cm="1">
        <f t="array" ref="T1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2" s="44">
        <f>JobBonus[[#This Row],[Variable Pay]]+JobBonus[[#This Row],[Crew Efficiency Bonus]]</f>
        <v>0</v>
      </c>
      <c r="V142" s="44" cm="1">
        <f t="array" ref="V1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2" s="44" t="b">
        <f>_xlfn.IFNA(EXACT(VLOOKUP(JobBonus[[#This Row],[Pay Type]],PayTypes[#All],4,FALSE),"Yes"),FALSE)</f>
        <v>0</v>
      </c>
      <c r="X142" s="44" cm="1">
        <f t="array" ref="X142">SUMPRODUCT((StandByRates[Position]=JobBonus[[#This Row],[Position]])*(JobBonus[[#This Row],[Area]]=StandByRates[Area])*(StandByRates[Hourly]*JobBonus[[#This Row],[Standby/ Ext 
Hrs]]))</f>
        <v>0</v>
      </c>
      <c r="Y142" s="44">
        <f>JobBonus[[#This Row],[Variable Pay]]+JobBonus[[#This Row],[Crew Efficiency Bonus]]+JobBonus[[#This Row],[OVPP]]+JobBonus[[#This Row],[StandBy/ Ext Amount]]</f>
        <v>0</v>
      </c>
      <c r="Z142" s="80"/>
      <c r="AA142" s="42"/>
      <c r="AB142" s="42"/>
      <c r="AC142"/>
      <c r="AD142"/>
      <c r="AE142"/>
      <c r="AF142"/>
    </row>
    <row r="143" spans="1:32" hidden="1" x14ac:dyDescent="0.25">
      <c r="A143" s="46"/>
      <c r="B143" s="80"/>
      <c r="C143" s="15"/>
      <c r="D143" s="15"/>
      <c r="E143" s="15"/>
      <c r="F143" s="15"/>
      <c r="G143" s="16"/>
      <c r="H143" s="16"/>
      <c r="I143" s="19" t="str">
        <f>IF(ISBLANK(JobBonus[[#This Row],[Employee Name]]),"",INDEX(Employees[Job Title],MATCH(JobBonus[[#This Row],[Employee Name]],Employees[Employee Name2],0)))</f>
        <v/>
      </c>
      <c r="J143" s="19" t="str">
        <f>IF(ISBLANK(JobBonus[[#This Row],[Job Prov]]),"",IF(JobBonus[[#This Row],[Job Prov]]=INDEX(Employees[Province],MATCH(JobBonus[[#This Row],[Employee Name]],Employees[Employee Name2],0)),"No","Yes"))</f>
        <v/>
      </c>
      <c r="K143" s="17"/>
      <c r="L143" s="19"/>
      <c r="M143" s="23"/>
      <c r="N143" s="23"/>
      <c r="O143" s="15"/>
      <c r="P143" s="15"/>
      <c r="Q143" s="15"/>
      <c r="R143" s="15"/>
      <c r="S143" s="44" cm="1">
        <f t="array" ref="S1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3" s="44" cm="1">
        <f t="array" ref="T1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3" s="44">
        <f>JobBonus[[#This Row],[Variable Pay]]+JobBonus[[#This Row],[Crew Efficiency Bonus]]</f>
        <v>0</v>
      </c>
      <c r="V143" s="44" cm="1">
        <f t="array" ref="V1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3" s="44" t="b">
        <f>_xlfn.IFNA(EXACT(VLOOKUP(JobBonus[[#This Row],[Pay Type]],PayTypes[#All],4,FALSE),"Yes"),FALSE)</f>
        <v>0</v>
      </c>
      <c r="X143" s="44" cm="1">
        <f t="array" ref="X143">SUMPRODUCT((StandByRates[Position]=JobBonus[[#This Row],[Position]])*(JobBonus[[#This Row],[Area]]=StandByRates[Area])*(StandByRates[Hourly]*JobBonus[[#This Row],[Standby/ Ext 
Hrs]]))</f>
        <v>0</v>
      </c>
      <c r="Y143" s="44">
        <f>JobBonus[[#This Row],[Variable Pay]]+JobBonus[[#This Row],[Crew Efficiency Bonus]]+JobBonus[[#This Row],[OVPP]]+JobBonus[[#This Row],[StandBy/ Ext Amount]]</f>
        <v>0</v>
      </c>
      <c r="Z143" s="80"/>
      <c r="AA143" s="42"/>
      <c r="AB143" s="42"/>
      <c r="AC143"/>
      <c r="AD143"/>
      <c r="AE143"/>
      <c r="AF143"/>
    </row>
    <row r="144" spans="1:32" hidden="1" x14ac:dyDescent="0.25">
      <c r="A144" s="46"/>
      <c r="B144" s="80"/>
      <c r="C144" s="15"/>
      <c r="D144" s="15"/>
      <c r="E144" s="15"/>
      <c r="F144" s="15"/>
      <c r="G144" s="16"/>
      <c r="H144" s="16"/>
      <c r="I144" s="19" t="str">
        <f>IF(ISBLANK(JobBonus[[#This Row],[Employee Name]]),"",INDEX(Employees[Job Title],MATCH(JobBonus[[#This Row],[Employee Name]],Employees[Employee Name2],0)))</f>
        <v/>
      </c>
      <c r="J144" s="19" t="str">
        <f>IF(ISBLANK(JobBonus[[#This Row],[Job Prov]]),"",IF(JobBonus[[#This Row],[Job Prov]]=INDEX(Employees[Province],MATCH(JobBonus[[#This Row],[Employee Name]],Employees[Employee Name2],0)),"No","Yes"))</f>
        <v/>
      </c>
      <c r="K144" s="17"/>
      <c r="L144" s="19"/>
      <c r="M144" s="23"/>
      <c r="N144" s="23"/>
      <c r="O144" s="15"/>
      <c r="P144" s="15"/>
      <c r="Q144" s="15"/>
      <c r="R144" s="15"/>
      <c r="S144" s="44" cm="1">
        <f t="array" ref="S1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4" s="44" cm="1">
        <f t="array" ref="T1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4" s="44">
        <f>JobBonus[[#This Row],[Variable Pay]]+JobBonus[[#This Row],[Crew Efficiency Bonus]]</f>
        <v>0</v>
      </c>
      <c r="V144" s="44" cm="1">
        <f t="array" ref="V1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4" s="44" t="b">
        <f>_xlfn.IFNA(EXACT(VLOOKUP(JobBonus[[#This Row],[Pay Type]],PayTypes[#All],4,FALSE),"Yes"),FALSE)</f>
        <v>0</v>
      </c>
      <c r="X144" s="44" cm="1">
        <f t="array" ref="X144">SUMPRODUCT((StandByRates[Position]=JobBonus[[#This Row],[Position]])*(JobBonus[[#This Row],[Area]]=StandByRates[Area])*(StandByRates[Hourly]*JobBonus[[#This Row],[Standby/ Ext 
Hrs]]))</f>
        <v>0</v>
      </c>
      <c r="Y144" s="44">
        <f>JobBonus[[#This Row],[Variable Pay]]+JobBonus[[#This Row],[Crew Efficiency Bonus]]+JobBonus[[#This Row],[OVPP]]+JobBonus[[#This Row],[StandBy/ Ext Amount]]</f>
        <v>0</v>
      </c>
      <c r="Z144" s="80"/>
      <c r="AA144" s="42"/>
      <c r="AB144" s="42"/>
      <c r="AC144"/>
      <c r="AD144"/>
      <c r="AE144"/>
      <c r="AF144"/>
    </row>
    <row r="145" spans="1:32" hidden="1" x14ac:dyDescent="0.25">
      <c r="A145" s="46"/>
      <c r="B145" s="80"/>
      <c r="C145" s="15"/>
      <c r="D145" s="15"/>
      <c r="E145" s="15"/>
      <c r="F145" s="15"/>
      <c r="G145" s="16"/>
      <c r="H145" s="16"/>
      <c r="I145" s="19" t="str">
        <f>IF(ISBLANK(JobBonus[[#This Row],[Employee Name]]),"",INDEX(Employees[Job Title],MATCH(JobBonus[[#This Row],[Employee Name]],Employees[Employee Name2],0)))</f>
        <v/>
      </c>
      <c r="J145" s="19" t="str">
        <f>IF(ISBLANK(JobBonus[[#This Row],[Job Prov]]),"",IF(JobBonus[[#This Row],[Job Prov]]=INDEX(Employees[Province],MATCH(JobBonus[[#This Row],[Employee Name]],Employees[Employee Name2],0)),"No","Yes"))</f>
        <v/>
      </c>
      <c r="K145" s="17"/>
      <c r="L145" s="19"/>
      <c r="M145" s="23"/>
      <c r="N145" s="23"/>
      <c r="O145" s="15"/>
      <c r="P145" s="15"/>
      <c r="Q145" s="15"/>
      <c r="R145" s="15"/>
      <c r="S145" s="44" cm="1">
        <f t="array" ref="S1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5" s="44" cm="1">
        <f t="array" ref="T1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5" s="44">
        <f>JobBonus[[#This Row],[Variable Pay]]+JobBonus[[#This Row],[Crew Efficiency Bonus]]</f>
        <v>0</v>
      </c>
      <c r="V145" s="44" cm="1">
        <f t="array" ref="V1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5" s="44" t="b">
        <f>_xlfn.IFNA(EXACT(VLOOKUP(JobBonus[[#This Row],[Pay Type]],PayTypes[#All],4,FALSE),"Yes"),FALSE)</f>
        <v>0</v>
      </c>
      <c r="X145" s="44" cm="1">
        <f t="array" ref="X145">SUMPRODUCT((StandByRates[Position]=JobBonus[[#This Row],[Position]])*(JobBonus[[#This Row],[Area]]=StandByRates[Area])*(StandByRates[Hourly]*JobBonus[[#This Row],[Standby/ Ext 
Hrs]]))</f>
        <v>0</v>
      </c>
      <c r="Y145" s="44">
        <f>JobBonus[[#This Row],[Variable Pay]]+JobBonus[[#This Row],[Crew Efficiency Bonus]]+JobBonus[[#This Row],[OVPP]]+JobBonus[[#This Row],[StandBy/ Ext Amount]]</f>
        <v>0</v>
      </c>
      <c r="Z145" s="80"/>
      <c r="AA145" s="42"/>
      <c r="AB145" s="42"/>
      <c r="AC145"/>
      <c r="AD145"/>
      <c r="AE145"/>
      <c r="AF145"/>
    </row>
    <row r="146" spans="1:32" hidden="1" x14ac:dyDescent="0.25">
      <c r="A146" s="46"/>
      <c r="B146" s="80"/>
      <c r="C146" s="15"/>
      <c r="D146" s="15"/>
      <c r="E146" s="15"/>
      <c r="F146" s="15"/>
      <c r="G146" s="16"/>
      <c r="H146" s="16"/>
      <c r="I146" s="19" t="str">
        <f>IF(ISBLANK(JobBonus[[#This Row],[Employee Name]]),"",INDEX(Employees[Job Title],MATCH(JobBonus[[#This Row],[Employee Name]],Employees[Employee Name2],0)))</f>
        <v/>
      </c>
      <c r="J146" s="19" t="str">
        <f>IF(ISBLANK(JobBonus[[#This Row],[Job Prov]]),"",IF(JobBonus[[#This Row],[Job Prov]]=INDEX(Employees[Province],MATCH(JobBonus[[#This Row],[Employee Name]],Employees[Employee Name2],0)),"No","Yes"))</f>
        <v/>
      </c>
      <c r="K146" s="17"/>
      <c r="L146" s="19"/>
      <c r="M146" s="23"/>
      <c r="N146" s="23"/>
      <c r="O146" s="15"/>
      <c r="P146" s="15"/>
      <c r="Q146" s="15"/>
      <c r="R146" s="15"/>
      <c r="S146" s="44" cm="1">
        <f t="array" ref="S1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6" s="44" cm="1">
        <f t="array" ref="T1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6" s="44">
        <f>JobBonus[[#This Row],[Variable Pay]]+JobBonus[[#This Row],[Crew Efficiency Bonus]]</f>
        <v>0</v>
      </c>
      <c r="V146" s="44" cm="1">
        <f t="array" ref="V1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6" s="44" t="b">
        <f>_xlfn.IFNA(EXACT(VLOOKUP(JobBonus[[#This Row],[Pay Type]],PayTypes[#All],4,FALSE),"Yes"),FALSE)</f>
        <v>0</v>
      </c>
      <c r="X146" s="44" cm="1">
        <f t="array" ref="X146">SUMPRODUCT((StandByRates[Position]=JobBonus[[#This Row],[Position]])*(JobBonus[[#This Row],[Area]]=StandByRates[Area])*(StandByRates[Hourly]*JobBonus[[#This Row],[Standby/ Ext 
Hrs]]))</f>
        <v>0</v>
      </c>
      <c r="Y146" s="44">
        <f>JobBonus[[#This Row],[Variable Pay]]+JobBonus[[#This Row],[Crew Efficiency Bonus]]+JobBonus[[#This Row],[OVPP]]+JobBonus[[#This Row],[StandBy/ Ext Amount]]</f>
        <v>0</v>
      </c>
      <c r="Z146" s="80"/>
      <c r="AA146" s="42"/>
      <c r="AB146" s="42"/>
      <c r="AC146"/>
      <c r="AD146"/>
      <c r="AE146"/>
      <c r="AF146"/>
    </row>
    <row r="147" spans="1:32" hidden="1" x14ac:dyDescent="0.25">
      <c r="A147" s="46"/>
      <c r="B147" s="80"/>
      <c r="C147" s="15"/>
      <c r="D147" s="15"/>
      <c r="E147" s="15"/>
      <c r="F147" s="15"/>
      <c r="G147" s="16"/>
      <c r="H147" s="16"/>
      <c r="I147" s="19" t="str">
        <f>IF(ISBLANK(JobBonus[[#This Row],[Employee Name]]),"",INDEX(Employees[Job Title],MATCH(JobBonus[[#This Row],[Employee Name]],Employees[Employee Name2],0)))</f>
        <v/>
      </c>
      <c r="J147" s="19" t="str">
        <f>IF(ISBLANK(JobBonus[[#This Row],[Job Prov]]),"",IF(JobBonus[[#This Row],[Job Prov]]=INDEX(Employees[Province],MATCH(JobBonus[[#This Row],[Employee Name]],Employees[Employee Name2],0)),"No","Yes"))</f>
        <v/>
      </c>
      <c r="K147" s="17"/>
      <c r="L147" s="19"/>
      <c r="M147" s="23"/>
      <c r="N147" s="23"/>
      <c r="O147" s="15"/>
      <c r="P147" s="15"/>
      <c r="Q147" s="15"/>
      <c r="R147" s="15"/>
      <c r="S147" s="44" cm="1">
        <f t="array" ref="S1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7" s="44" cm="1">
        <f t="array" ref="T1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7" s="44">
        <f>JobBonus[[#This Row],[Variable Pay]]+JobBonus[[#This Row],[Crew Efficiency Bonus]]</f>
        <v>0</v>
      </c>
      <c r="V147" s="44" cm="1">
        <f t="array" ref="V1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7" s="44" t="b">
        <f>_xlfn.IFNA(EXACT(VLOOKUP(JobBonus[[#This Row],[Pay Type]],PayTypes[#All],4,FALSE),"Yes"),FALSE)</f>
        <v>0</v>
      </c>
      <c r="X147" s="44" cm="1">
        <f t="array" ref="X147">SUMPRODUCT((StandByRates[Position]=JobBonus[[#This Row],[Position]])*(JobBonus[[#This Row],[Area]]=StandByRates[Area])*(StandByRates[Hourly]*JobBonus[[#This Row],[Standby/ Ext 
Hrs]]))</f>
        <v>0</v>
      </c>
      <c r="Y147" s="44">
        <f>JobBonus[[#This Row],[Variable Pay]]+JobBonus[[#This Row],[Crew Efficiency Bonus]]+JobBonus[[#This Row],[OVPP]]+JobBonus[[#This Row],[StandBy/ Ext Amount]]</f>
        <v>0</v>
      </c>
      <c r="Z147" s="80"/>
      <c r="AA147" s="42"/>
      <c r="AB147" s="42"/>
      <c r="AC147"/>
      <c r="AD147"/>
      <c r="AE147"/>
      <c r="AF147"/>
    </row>
    <row r="148" spans="1:32" hidden="1" x14ac:dyDescent="0.25">
      <c r="A148" s="46"/>
      <c r="B148" s="80"/>
      <c r="C148" s="15"/>
      <c r="D148" s="15"/>
      <c r="E148" s="15"/>
      <c r="F148" s="15"/>
      <c r="G148" s="16"/>
      <c r="H148" s="16"/>
      <c r="I148" s="19" t="str">
        <f>IF(ISBLANK(JobBonus[[#This Row],[Employee Name]]),"",INDEX(Employees[Job Title],MATCH(JobBonus[[#This Row],[Employee Name]],Employees[Employee Name2],0)))</f>
        <v/>
      </c>
      <c r="J148" s="19" t="str">
        <f>IF(ISBLANK(JobBonus[[#This Row],[Job Prov]]),"",IF(JobBonus[[#This Row],[Job Prov]]=INDEX(Employees[Province],MATCH(JobBonus[[#This Row],[Employee Name]],Employees[Employee Name2],0)),"No","Yes"))</f>
        <v/>
      </c>
      <c r="K148" s="17"/>
      <c r="L148" s="19"/>
      <c r="M148" s="23"/>
      <c r="N148" s="23"/>
      <c r="O148" s="15"/>
      <c r="P148" s="15"/>
      <c r="Q148" s="15"/>
      <c r="R148" s="15"/>
      <c r="S148" s="44" cm="1">
        <f t="array" ref="S1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8" s="44" cm="1">
        <f t="array" ref="T1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8" s="44">
        <f>JobBonus[[#This Row],[Variable Pay]]+JobBonus[[#This Row],[Crew Efficiency Bonus]]</f>
        <v>0</v>
      </c>
      <c r="V148" s="44" cm="1">
        <f t="array" ref="V1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8" s="44" t="b">
        <f>_xlfn.IFNA(EXACT(VLOOKUP(JobBonus[[#This Row],[Pay Type]],PayTypes[#All],4,FALSE),"Yes"),FALSE)</f>
        <v>0</v>
      </c>
      <c r="X148" s="44" cm="1">
        <f t="array" ref="X148">SUMPRODUCT((StandByRates[Position]=JobBonus[[#This Row],[Position]])*(JobBonus[[#This Row],[Area]]=StandByRates[Area])*(StandByRates[Hourly]*JobBonus[[#This Row],[Standby/ Ext 
Hrs]]))</f>
        <v>0</v>
      </c>
      <c r="Y148" s="44">
        <f>JobBonus[[#This Row],[Variable Pay]]+JobBonus[[#This Row],[Crew Efficiency Bonus]]+JobBonus[[#This Row],[OVPP]]+JobBonus[[#This Row],[StandBy/ Ext Amount]]</f>
        <v>0</v>
      </c>
      <c r="Z148" s="80"/>
      <c r="AA148" s="42"/>
      <c r="AB148" s="42"/>
      <c r="AC148"/>
      <c r="AD148"/>
      <c r="AE148"/>
      <c r="AF148"/>
    </row>
    <row r="149" spans="1:32" hidden="1" x14ac:dyDescent="0.25">
      <c r="A149" s="46"/>
      <c r="B149" s="80"/>
      <c r="C149" s="15"/>
      <c r="D149" s="15"/>
      <c r="E149" s="15"/>
      <c r="F149" s="15"/>
      <c r="G149" s="16"/>
      <c r="H149" s="16"/>
      <c r="I149" s="19" t="str">
        <f>IF(ISBLANK(JobBonus[[#This Row],[Employee Name]]),"",INDEX(Employees[Job Title],MATCH(JobBonus[[#This Row],[Employee Name]],Employees[Employee Name2],0)))</f>
        <v/>
      </c>
      <c r="J149" s="19" t="str">
        <f>IF(ISBLANK(JobBonus[[#This Row],[Job Prov]]),"",IF(JobBonus[[#This Row],[Job Prov]]=INDEX(Employees[Province],MATCH(JobBonus[[#This Row],[Employee Name]],Employees[Employee Name2],0)),"No","Yes"))</f>
        <v/>
      </c>
      <c r="K149" s="17"/>
      <c r="L149" s="19"/>
      <c r="M149" s="23"/>
      <c r="N149" s="23"/>
      <c r="O149" s="15"/>
      <c r="P149" s="15"/>
      <c r="Q149" s="15"/>
      <c r="R149" s="15"/>
      <c r="S149" s="44" cm="1">
        <f t="array" ref="S1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9" s="44" cm="1">
        <f t="array" ref="T1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9" s="44">
        <f>JobBonus[[#This Row],[Variable Pay]]+JobBonus[[#This Row],[Crew Efficiency Bonus]]</f>
        <v>0</v>
      </c>
      <c r="V149" s="44" cm="1">
        <f t="array" ref="V1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9" s="44" t="b">
        <f>_xlfn.IFNA(EXACT(VLOOKUP(JobBonus[[#This Row],[Pay Type]],PayTypes[#All],4,FALSE),"Yes"),FALSE)</f>
        <v>0</v>
      </c>
      <c r="X149" s="44" cm="1">
        <f t="array" ref="X149">SUMPRODUCT((StandByRates[Position]=JobBonus[[#This Row],[Position]])*(JobBonus[[#This Row],[Area]]=StandByRates[Area])*(StandByRates[Hourly]*JobBonus[[#This Row],[Standby/ Ext 
Hrs]]))</f>
        <v>0</v>
      </c>
      <c r="Y149" s="44">
        <f>JobBonus[[#This Row],[Variable Pay]]+JobBonus[[#This Row],[Crew Efficiency Bonus]]+JobBonus[[#This Row],[OVPP]]+JobBonus[[#This Row],[StandBy/ Ext Amount]]</f>
        <v>0</v>
      </c>
      <c r="Z149" s="80"/>
      <c r="AA149" s="42"/>
      <c r="AB149" s="42"/>
      <c r="AC149"/>
      <c r="AD149"/>
      <c r="AE149"/>
      <c r="AF149"/>
    </row>
    <row r="150" spans="1:32" hidden="1" x14ac:dyDescent="0.25">
      <c r="A150" s="46"/>
      <c r="B150" s="80"/>
      <c r="C150" s="15"/>
      <c r="D150" s="15"/>
      <c r="E150" s="15"/>
      <c r="F150" s="15"/>
      <c r="G150" s="16"/>
      <c r="H150" s="16"/>
      <c r="I150" s="19" t="str">
        <f>IF(ISBLANK(JobBonus[[#This Row],[Employee Name]]),"",INDEX(Employees[Job Title],MATCH(JobBonus[[#This Row],[Employee Name]],Employees[Employee Name2],0)))</f>
        <v/>
      </c>
      <c r="J150" s="19" t="str">
        <f>IF(ISBLANK(JobBonus[[#This Row],[Job Prov]]),"",IF(JobBonus[[#This Row],[Job Prov]]=INDEX(Employees[Province],MATCH(JobBonus[[#This Row],[Employee Name]],Employees[Employee Name2],0)),"No","Yes"))</f>
        <v/>
      </c>
      <c r="K150" s="17"/>
      <c r="L150" s="19"/>
      <c r="M150" s="23"/>
      <c r="N150" s="23"/>
      <c r="O150" s="15"/>
      <c r="P150" s="15"/>
      <c r="Q150" s="15"/>
      <c r="R150" s="15"/>
      <c r="S150" s="44" cm="1">
        <f t="array" ref="S1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0" s="44" cm="1">
        <f t="array" ref="T1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0" s="44">
        <f>JobBonus[[#This Row],[Variable Pay]]+JobBonus[[#This Row],[Crew Efficiency Bonus]]</f>
        <v>0</v>
      </c>
      <c r="V150" s="44" cm="1">
        <f t="array" ref="V1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0" s="44" t="b">
        <f>_xlfn.IFNA(EXACT(VLOOKUP(JobBonus[[#This Row],[Pay Type]],PayTypes[#All],4,FALSE),"Yes"),FALSE)</f>
        <v>0</v>
      </c>
      <c r="X150" s="44" cm="1">
        <f t="array" ref="X150">SUMPRODUCT((StandByRates[Position]=JobBonus[[#This Row],[Position]])*(JobBonus[[#This Row],[Area]]=StandByRates[Area])*(StandByRates[Hourly]*JobBonus[[#This Row],[Standby/ Ext 
Hrs]]))</f>
        <v>0</v>
      </c>
      <c r="Y150" s="44">
        <f>JobBonus[[#This Row],[Variable Pay]]+JobBonus[[#This Row],[Crew Efficiency Bonus]]+JobBonus[[#This Row],[OVPP]]+JobBonus[[#This Row],[StandBy/ Ext Amount]]</f>
        <v>0</v>
      </c>
      <c r="Z150" s="80"/>
      <c r="AA150" s="42"/>
      <c r="AB150" s="42"/>
      <c r="AC150"/>
      <c r="AD150"/>
      <c r="AE150"/>
      <c r="AF150"/>
    </row>
    <row r="151" spans="1:32" hidden="1" x14ac:dyDescent="0.25">
      <c r="A151" s="46"/>
      <c r="B151" s="80"/>
      <c r="C151" s="15"/>
      <c r="D151" s="15"/>
      <c r="E151" s="15"/>
      <c r="F151" s="15"/>
      <c r="G151" s="16"/>
      <c r="H151" s="16"/>
      <c r="I151" s="19" t="str">
        <f>IF(ISBLANK(JobBonus[[#This Row],[Employee Name]]),"",INDEX(Employees[Job Title],MATCH(JobBonus[[#This Row],[Employee Name]],Employees[Employee Name2],0)))</f>
        <v/>
      </c>
      <c r="J151" s="19" t="str">
        <f>IF(ISBLANK(JobBonus[[#This Row],[Job Prov]]),"",IF(JobBonus[[#This Row],[Job Prov]]=INDEX(Employees[Province],MATCH(JobBonus[[#This Row],[Employee Name]],Employees[Employee Name2],0)),"No","Yes"))</f>
        <v/>
      </c>
      <c r="K151" s="17"/>
      <c r="L151" s="19"/>
      <c r="M151" s="23"/>
      <c r="N151" s="23"/>
      <c r="O151" s="15"/>
      <c r="P151" s="15"/>
      <c r="Q151" s="15"/>
      <c r="R151" s="15"/>
      <c r="S151" s="44" cm="1">
        <f t="array" ref="S1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1" s="44" cm="1">
        <f t="array" ref="T1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1" s="44">
        <f>JobBonus[[#This Row],[Variable Pay]]+JobBonus[[#This Row],[Crew Efficiency Bonus]]</f>
        <v>0</v>
      </c>
      <c r="V151" s="44" cm="1">
        <f t="array" ref="V1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1" s="44" t="b">
        <f>_xlfn.IFNA(EXACT(VLOOKUP(JobBonus[[#This Row],[Pay Type]],PayTypes[#All],4,FALSE),"Yes"),FALSE)</f>
        <v>0</v>
      </c>
      <c r="X151" s="44" cm="1">
        <f t="array" ref="X151">SUMPRODUCT((StandByRates[Position]=JobBonus[[#This Row],[Position]])*(JobBonus[[#This Row],[Area]]=StandByRates[Area])*(StandByRates[Hourly]*JobBonus[[#This Row],[Standby/ Ext 
Hrs]]))</f>
        <v>0</v>
      </c>
      <c r="Y151" s="44">
        <f>JobBonus[[#This Row],[Variable Pay]]+JobBonus[[#This Row],[Crew Efficiency Bonus]]+JobBonus[[#This Row],[OVPP]]+JobBonus[[#This Row],[StandBy/ Ext Amount]]</f>
        <v>0</v>
      </c>
      <c r="Z151" s="80"/>
      <c r="AA151" s="42"/>
      <c r="AB151" s="42"/>
      <c r="AC151"/>
      <c r="AD151"/>
      <c r="AE151"/>
      <c r="AF151"/>
    </row>
    <row r="152" spans="1:32" hidden="1" x14ac:dyDescent="0.25">
      <c r="A152" s="46"/>
      <c r="B152" s="80"/>
      <c r="C152" s="15"/>
      <c r="D152" s="15"/>
      <c r="E152" s="15"/>
      <c r="F152" s="15"/>
      <c r="G152" s="16"/>
      <c r="H152" s="16"/>
      <c r="I152" s="19" t="str">
        <f>IF(ISBLANK(JobBonus[[#This Row],[Employee Name]]),"",INDEX(Employees[Job Title],MATCH(JobBonus[[#This Row],[Employee Name]],Employees[Employee Name2],0)))</f>
        <v/>
      </c>
      <c r="J152" s="19" t="str">
        <f>IF(ISBLANK(JobBonus[[#This Row],[Job Prov]]),"",IF(JobBonus[[#This Row],[Job Prov]]=INDEX(Employees[Province],MATCH(JobBonus[[#This Row],[Employee Name]],Employees[Employee Name2],0)),"No","Yes"))</f>
        <v/>
      </c>
      <c r="K152" s="17"/>
      <c r="L152" s="19"/>
      <c r="M152" s="23"/>
      <c r="N152" s="23"/>
      <c r="O152" s="15"/>
      <c r="P152" s="15"/>
      <c r="Q152" s="15"/>
      <c r="R152" s="15"/>
      <c r="S152" s="44" cm="1">
        <f t="array" ref="S1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2" s="44" cm="1">
        <f t="array" ref="T1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2" s="44">
        <f>JobBonus[[#This Row],[Variable Pay]]+JobBonus[[#This Row],[Crew Efficiency Bonus]]</f>
        <v>0</v>
      </c>
      <c r="V152" s="44" cm="1">
        <f t="array" ref="V1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2" s="44" t="b">
        <f>_xlfn.IFNA(EXACT(VLOOKUP(JobBonus[[#This Row],[Pay Type]],PayTypes[#All],4,FALSE),"Yes"),FALSE)</f>
        <v>0</v>
      </c>
      <c r="X152" s="44" cm="1">
        <f t="array" ref="X152">SUMPRODUCT((StandByRates[Position]=JobBonus[[#This Row],[Position]])*(JobBonus[[#This Row],[Area]]=StandByRates[Area])*(StandByRates[Hourly]*JobBonus[[#This Row],[Standby/ Ext 
Hrs]]))</f>
        <v>0</v>
      </c>
      <c r="Y152" s="44">
        <f>JobBonus[[#This Row],[Variable Pay]]+JobBonus[[#This Row],[Crew Efficiency Bonus]]+JobBonus[[#This Row],[OVPP]]+JobBonus[[#This Row],[StandBy/ Ext Amount]]</f>
        <v>0</v>
      </c>
      <c r="Z152" s="80"/>
      <c r="AA152" s="42"/>
      <c r="AB152" s="42"/>
      <c r="AC152"/>
      <c r="AD152"/>
      <c r="AE152"/>
      <c r="AF152"/>
    </row>
    <row r="153" spans="1:32" hidden="1" x14ac:dyDescent="0.25">
      <c r="A153" s="46"/>
      <c r="B153" s="80"/>
      <c r="C153" s="15"/>
      <c r="D153" s="15"/>
      <c r="E153" s="15"/>
      <c r="F153" s="15"/>
      <c r="G153" s="16"/>
      <c r="H153" s="16"/>
      <c r="I153" s="19" t="str">
        <f>IF(ISBLANK(JobBonus[[#This Row],[Employee Name]]),"",INDEX(Employees[Job Title],MATCH(JobBonus[[#This Row],[Employee Name]],Employees[Employee Name2],0)))</f>
        <v/>
      </c>
      <c r="J153" s="19" t="str">
        <f>IF(ISBLANK(JobBonus[[#This Row],[Job Prov]]),"",IF(JobBonus[[#This Row],[Job Prov]]=INDEX(Employees[Province],MATCH(JobBonus[[#This Row],[Employee Name]],Employees[Employee Name2],0)),"No","Yes"))</f>
        <v/>
      </c>
      <c r="K153" s="17"/>
      <c r="L153" s="19"/>
      <c r="M153" s="23"/>
      <c r="N153" s="23"/>
      <c r="O153" s="15"/>
      <c r="P153" s="15"/>
      <c r="Q153" s="15"/>
      <c r="R153" s="15"/>
      <c r="S153" s="44" cm="1">
        <f t="array" ref="S1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3" s="44" cm="1">
        <f t="array" ref="T1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3" s="44">
        <f>JobBonus[[#This Row],[Variable Pay]]+JobBonus[[#This Row],[Crew Efficiency Bonus]]</f>
        <v>0</v>
      </c>
      <c r="V153" s="44" cm="1">
        <f t="array" ref="V1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3" s="44" t="b">
        <f>_xlfn.IFNA(EXACT(VLOOKUP(JobBonus[[#This Row],[Pay Type]],PayTypes[#All],4,FALSE),"Yes"),FALSE)</f>
        <v>0</v>
      </c>
      <c r="X153" s="44" cm="1">
        <f t="array" ref="X153">SUMPRODUCT((StandByRates[Position]=JobBonus[[#This Row],[Position]])*(JobBonus[[#This Row],[Area]]=StandByRates[Area])*(StandByRates[Hourly]*JobBonus[[#This Row],[Standby/ Ext 
Hrs]]))</f>
        <v>0</v>
      </c>
      <c r="Y153" s="44">
        <f>JobBonus[[#This Row],[Variable Pay]]+JobBonus[[#This Row],[Crew Efficiency Bonus]]+JobBonus[[#This Row],[OVPP]]+JobBonus[[#This Row],[StandBy/ Ext Amount]]</f>
        <v>0</v>
      </c>
      <c r="Z153" s="80"/>
      <c r="AA153" s="42"/>
      <c r="AB153" s="42"/>
      <c r="AC153"/>
      <c r="AD153"/>
      <c r="AE153"/>
      <c r="AF153"/>
    </row>
    <row r="154" spans="1:32" hidden="1" x14ac:dyDescent="0.25">
      <c r="A154" s="46"/>
      <c r="B154" s="80"/>
      <c r="C154" s="15"/>
      <c r="D154" s="15"/>
      <c r="E154" s="15"/>
      <c r="F154" s="15"/>
      <c r="G154" s="16"/>
      <c r="H154" s="16"/>
      <c r="I154" s="19" t="str">
        <f>IF(ISBLANK(JobBonus[[#This Row],[Employee Name]]),"",INDEX(Employees[Job Title],MATCH(JobBonus[[#This Row],[Employee Name]],Employees[Employee Name2],0)))</f>
        <v/>
      </c>
      <c r="J154" s="19" t="str">
        <f>IF(ISBLANK(JobBonus[[#This Row],[Job Prov]]),"",IF(JobBonus[[#This Row],[Job Prov]]=INDEX(Employees[Province],MATCH(JobBonus[[#This Row],[Employee Name]],Employees[Employee Name2],0)),"No","Yes"))</f>
        <v/>
      </c>
      <c r="K154" s="17"/>
      <c r="L154" s="19"/>
      <c r="M154" s="23"/>
      <c r="N154" s="23"/>
      <c r="O154" s="15"/>
      <c r="P154" s="15"/>
      <c r="Q154" s="15"/>
      <c r="R154" s="15"/>
      <c r="S154" s="44" cm="1">
        <f t="array" ref="S1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4" s="44" cm="1">
        <f t="array" ref="T1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4" s="44">
        <f>JobBonus[[#This Row],[Variable Pay]]+JobBonus[[#This Row],[Crew Efficiency Bonus]]</f>
        <v>0</v>
      </c>
      <c r="V154" s="44" cm="1">
        <f t="array" ref="V1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4" s="44" t="b">
        <f>_xlfn.IFNA(EXACT(VLOOKUP(JobBonus[[#This Row],[Pay Type]],PayTypes[#All],4,FALSE),"Yes"),FALSE)</f>
        <v>0</v>
      </c>
      <c r="X154" s="44" cm="1">
        <f t="array" ref="X154">SUMPRODUCT((StandByRates[Position]=JobBonus[[#This Row],[Position]])*(JobBonus[[#This Row],[Area]]=StandByRates[Area])*(StandByRates[Hourly]*JobBonus[[#This Row],[Standby/ Ext 
Hrs]]))</f>
        <v>0</v>
      </c>
      <c r="Y154" s="44">
        <f>JobBonus[[#This Row],[Variable Pay]]+JobBonus[[#This Row],[Crew Efficiency Bonus]]+JobBonus[[#This Row],[OVPP]]+JobBonus[[#This Row],[StandBy/ Ext Amount]]</f>
        <v>0</v>
      </c>
      <c r="Z154" s="80"/>
      <c r="AA154" s="42"/>
      <c r="AB154" s="42"/>
      <c r="AC154"/>
      <c r="AD154"/>
      <c r="AE154"/>
      <c r="AF154"/>
    </row>
    <row r="155" spans="1:32" hidden="1" x14ac:dyDescent="0.25">
      <c r="A155" s="46"/>
      <c r="B155" s="80"/>
      <c r="C155" s="15"/>
      <c r="D155" s="15"/>
      <c r="E155" s="15"/>
      <c r="F155" s="15"/>
      <c r="G155" s="16"/>
      <c r="H155" s="16"/>
      <c r="I155" s="19" t="str">
        <f>IF(ISBLANK(JobBonus[[#This Row],[Employee Name]]),"",INDEX(Employees[Job Title],MATCH(JobBonus[[#This Row],[Employee Name]],Employees[Employee Name2],0)))</f>
        <v/>
      </c>
      <c r="J155" s="19" t="str">
        <f>IF(ISBLANK(JobBonus[[#This Row],[Job Prov]]),"",IF(JobBonus[[#This Row],[Job Prov]]=INDEX(Employees[Province],MATCH(JobBonus[[#This Row],[Employee Name]],Employees[Employee Name2],0)),"No","Yes"))</f>
        <v/>
      </c>
      <c r="K155" s="17"/>
      <c r="L155" s="19"/>
      <c r="M155" s="23"/>
      <c r="N155" s="23"/>
      <c r="O155" s="15"/>
      <c r="P155" s="15"/>
      <c r="Q155" s="15"/>
      <c r="R155" s="15"/>
      <c r="S155" s="44" cm="1">
        <f t="array" ref="S1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5" s="44" cm="1">
        <f t="array" ref="T1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5" s="44">
        <f>JobBonus[[#This Row],[Variable Pay]]+JobBonus[[#This Row],[Crew Efficiency Bonus]]</f>
        <v>0</v>
      </c>
      <c r="V155" s="44" cm="1">
        <f t="array" ref="V1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5" s="44" t="b">
        <f>_xlfn.IFNA(EXACT(VLOOKUP(JobBonus[[#This Row],[Pay Type]],PayTypes[#All],4,FALSE),"Yes"),FALSE)</f>
        <v>0</v>
      </c>
      <c r="X155" s="44" cm="1">
        <f t="array" ref="X155">SUMPRODUCT((StandByRates[Position]=JobBonus[[#This Row],[Position]])*(JobBonus[[#This Row],[Area]]=StandByRates[Area])*(StandByRates[Hourly]*JobBonus[[#This Row],[Standby/ Ext 
Hrs]]))</f>
        <v>0</v>
      </c>
      <c r="Y155" s="44">
        <f>JobBonus[[#This Row],[Variable Pay]]+JobBonus[[#This Row],[Crew Efficiency Bonus]]+JobBonus[[#This Row],[OVPP]]+JobBonus[[#This Row],[StandBy/ Ext Amount]]</f>
        <v>0</v>
      </c>
      <c r="Z155" s="80"/>
      <c r="AA155" s="42"/>
      <c r="AB155" s="42"/>
      <c r="AC155"/>
      <c r="AD155"/>
      <c r="AE155"/>
      <c r="AF155"/>
    </row>
    <row r="156" spans="1:32" hidden="1" x14ac:dyDescent="0.25">
      <c r="A156" s="46"/>
      <c r="B156" s="80"/>
      <c r="C156" s="15"/>
      <c r="D156" s="15"/>
      <c r="E156" s="15"/>
      <c r="F156" s="15"/>
      <c r="G156" s="16"/>
      <c r="H156" s="16"/>
      <c r="I156" s="19" t="str">
        <f>IF(ISBLANK(JobBonus[[#This Row],[Employee Name]]),"",INDEX(Employees[Job Title],MATCH(JobBonus[[#This Row],[Employee Name]],Employees[Employee Name2],0)))</f>
        <v/>
      </c>
      <c r="J156" s="19" t="str">
        <f>IF(ISBLANK(JobBonus[[#This Row],[Job Prov]]),"",IF(JobBonus[[#This Row],[Job Prov]]=INDEX(Employees[Province],MATCH(JobBonus[[#This Row],[Employee Name]],Employees[Employee Name2],0)),"No","Yes"))</f>
        <v/>
      </c>
      <c r="K156" s="17"/>
      <c r="L156" s="19"/>
      <c r="M156" s="23"/>
      <c r="N156" s="23"/>
      <c r="O156" s="15"/>
      <c r="P156" s="15"/>
      <c r="Q156" s="15"/>
      <c r="R156" s="15"/>
      <c r="S156" s="44" cm="1">
        <f t="array" ref="S1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6" s="44" cm="1">
        <f t="array" ref="T1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6" s="44">
        <f>JobBonus[[#This Row],[Variable Pay]]+JobBonus[[#This Row],[Crew Efficiency Bonus]]</f>
        <v>0</v>
      </c>
      <c r="V156" s="44" cm="1">
        <f t="array" ref="V1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6" s="44" t="b">
        <f>_xlfn.IFNA(EXACT(VLOOKUP(JobBonus[[#This Row],[Pay Type]],PayTypes[#All],4,FALSE),"Yes"),FALSE)</f>
        <v>0</v>
      </c>
      <c r="X156" s="44" cm="1">
        <f t="array" ref="X156">SUMPRODUCT((StandByRates[Position]=JobBonus[[#This Row],[Position]])*(JobBonus[[#This Row],[Area]]=StandByRates[Area])*(StandByRates[Hourly]*JobBonus[[#This Row],[Standby/ Ext 
Hrs]]))</f>
        <v>0</v>
      </c>
      <c r="Y156" s="44">
        <f>JobBonus[[#This Row],[Variable Pay]]+JobBonus[[#This Row],[Crew Efficiency Bonus]]+JobBonus[[#This Row],[OVPP]]+JobBonus[[#This Row],[StandBy/ Ext Amount]]</f>
        <v>0</v>
      </c>
      <c r="Z156" s="80"/>
      <c r="AA156" s="42"/>
      <c r="AB156" s="42"/>
      <c r="AC156"/>
      <c r="AD156"/>
      <c r="AE156"/>
      <c r="AF156"/>
    </row>
    <row r="157" spans="1:32" hidden="1" x14ac:dyDescent="0.25">
      <c r="A157" s="46"/>
      <c r="B157" s="80"/>
      <c r="C157" s="15"/>
      <c r="D157" s="15"/>
      <c r="E157" s="15"/>
      <c r="F157" s="15"/>
      <c r="G157" s="16"/>
      <c r="H157" s="16"/>
      <c r="I157" s="19" t="str">
        <f>IF(ISBLANK(JobBonus[[#This Row],[Employee Name]]),"",INDEX(Employees[Job Title],MATCH(JobBonus[[#This Row],[Employee Name]],Employees[Employee Name2],0)))</f>
        <v/>
      </c>
      <c r="J157" s="19" t="str">
        <f>IF(ISBLANK(JobBonus[[#This Row],[Job Prov]]),"",IF(JobBonus[[#This Row],[Job Prov]]=INDEX(Employees[Province],MATCH(JobBonus[[#This Row],[Employee Name]],Employees[Employee Name2],0)),"No","Yes"))</f>
        <v/>
      </c>
      <c r="K157" s="17"/>
      <c r="L157" s="19"/>
      <c r="M157" s="23"/>
      <c r="N157" s="23"/>
      <c r="O157" s="15"/>
      <c r="P157" s="15"/>
      <c r="Q157" s="15"/>
      <c r="R157" s="15"/>
      <c r="S157" s="44" cm="1">
        <f t="array" ref="S1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7" s="44" cm="1">
        <f t="array" ref="T1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7" s="44">
        <f>JobBonus[[#This Row],[Variable Pay]]+JobBonus[[#This Row],[Crew Efficiency Bonus]]</f>
        <v>0</v>
      </c>
      <c r="V157" s="44" cm="1">
        <f t="array" ref="V1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7" s="44" t="b">
        <f>_xlfn.IFNA(EXACT(VLOOKUP(JobBonus[[#This Row],[Pay Type]],PayTypes[#All],4,FALSE),"Yes"),FALSE)</f>
        <v>0</v>
      </c>
      <c r="X157" s="44" cm="1">
        <f t="array" ref="X157">SUMPRODUCT((StandByRates[Position]=JobBonus[[#This Row],[Position]])*(JobBonus[[#This Row],[Area]]=StandByRates[Area])*(StandByRates[Hourly]*JobBonus[[#This Row],[Standby/ Ext 
Hrs]]))</f>
        <v>0</v>
      </c>
      <c r="Y157" s="44">
        <f>JobBonus[[#This Row],[Variable Pay]]+JobBonus[[#This Row],[Crew Efficiency Bonus]]+JobBonus[[#This Row],[OVPP]]+JobBonus[[#This Row],[StandBy/ Ext Amount]]</f>
        <v>0</v>
      </c>
      <c r="Z157" s="80"/>
      <c r="AA157" s="42"/>
      <c r="AB157" s="42"/>
      <c r="AC157"/>
      <c r="AD157"/>
      <c r="AE157"/>
      <c r="AF157"/>
    </row>
    <row r="158" spans="1:32" hidden="1" x14ac:dyDescent="0.25">
      <c r="A158" s="46"/>
      <c r="B158" s="80"/>
      <c r="C158" s="15"/>
      <c r="D158" s="15"/>
      <c r="E158" s="15"/>
      <c r="F158" s="15"/>
      <c r="G158" s="16"/>
      <c r="H158" s="16"/>
      <c r="I158" s="19" t="str">
        <f>IF(ISBLANK(JobBonus[[#This Row],[Employee Name]]),"",INDEX(Employees[Job Title],MATCH(JobBonus[[#This Row],[Employee Name]],Employees[Employee Name2],0)))</f>
        <v/>
      </c>
      <c r="J158" s="19" t="str">
        <f>IF(ISBLANK(JobBonus[[#This Row],[Job Prov]]),"",IF(JobBonus[[#This Row],[Job Prov]]=INDEX(Employees[Province],MATCH(JobBonus[[#This Row],[Employee Name]],Employees[Employee Name2],0)),"No","Yes"))</f>
        <v/>
      </c>
      <c r="K158" s="17"/>
      <c r="L158" s="19"/>
      <c r="M158" s="23"/>
      <c r="N158" s="23"/>
      <c r="O158" s="15"/>
      <c r="P158" s="15"/>
      <c r="Q158" s="15"/>
      <c r="R158" s="15"/>
      <c r="S158" s="44" cm="1">
        <f t="array" ref="S1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8" s="44" cm="1">
        <f t="array" ref="T1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8" s="44">
        <f>JobBonus[[#This Row],[Variable Pay]]+JobBonus[[#This Row],[Crew Efficiency Bonus]]</f>
        <v>0</v>
      </c>
      <c r="V158" s="44" cm="1">
        <f t="array" ref="V1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8" s="44" t="b">
        <f>_xlfn.IFNA(EXACT(VLOOKUP(JobBonus[[#This Row],[Pay Type]],PayTypes[#All],4,FALSE),"Yes"),FALSE)</f>
        <v>0</v>
      </c>
      <c r="X158" s="44" cm="1">
        <f t="array" ref="X158">SUMPRODUCT((StandByRates[Position]=JobBonus[[#This Row],[Position]])*(JobBonus[[#This Row],[Area]]=StandByRates[Area])*(StandByRates[Hourly]*JobBonus[[#This Row],[Standby/ Ext 
Hrs]]))</f>
        <v>0</v>
      </c>
      <c r="Y158" s="44">
        <f>JobBonus[[#This Row],[Variable Pay]]+JobBonus[[#This Row],[Crew Efficiency Bonus]]+JobBonus[[#This Row],[OVPP]]+JobBonus[[#This Row],[StandBy/ Ext Amount]]</f>
        <v>0</v>
      </c>
      <c r="Z158" s="80"/>
      <c r="AA158" s="42"/>
      <c r="AB158" s="42"/>
      <c r="AC158"/>
      <c r="AD158"/>
      <c r="AE158"/>
      <c r="AF158"/>
    </row>
    <row r="159" spans="1:32" hidden="1" x14ac:dyDescent="0.25">
      <c r="A159" s="46"/>
      <c r="B159" s="80"/>
      <c r="C159" s="15"/>
      <c r="D159" s="15"/>
      <c r="E159" s="15"/>
      <c r="F159" s="15"/>
      <c r="G159" s="16"/>
      <c r="H159" s="16"/>
      <c r="I159" s="19" t="str">
        <f>IF(ISBLANK(JobBonus[[#This Row],[Employee Name]]),"",INDEX(Employees[Job Title],MATCH(JobBonus[[#This Row],[Employee Name]],Employees[Employee Name2],0)))</f>
        <v/>
      </c>
      <c r="J159" s="19" t="str">
        <f>IF(ISBLANK(JobBonus[[#This Row],[Job Prov]]),"",IF(JobBonus[[#This Row],[Job Prov]]=INDEX(Employees[Province],MATCH(JobBonus[[#This Row],[Employee Name]],Employees[Employee Name2],0)),"No","Yes"))</f>
        <v/>
      </c>
      <c r="K159" s="17"/>
      <c r="L159" s="19"/>
      <c r="M159" s="23"/>
      <c r="N159" s="23"/>
      <c r="O159" s="15"/>
      <c r="P159" s="15"/>
      <c r="Q159" s="15"/>
      <c r="R159" s="15"/>
      <c r="S159" s="44" cm="1">
        <f t="array" ref="S1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9" s="44" cm="1">
        <f t="array" ref="T1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9" s="44">
        <f>JobBonus[[#This Row],[Variable Pay]]+JobBonus[[#This Row],[Crew Efficiency Bonus]]</f>
        <v>0</v>
      </c>
      <c r="V159" s="44" cm="1">
        <f t="array" ref="V1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9" s="44" t="b">
        <f>_xlfn.IFNA(EXACT(VLOOKUP(JobBonus[[#This Row],[Pay Type]],PayTypes[#All],4,FALSE),"Yes"),FALSE)</f>
        <v>0</v>
      </c>
      <c r="X159" s="44" cm="1">
        <f t="array" ref="X159">SUMPRODUCT((StandByRates[Position]=JobBonus[[#This Row],[Position]])*(JobBonus[[#This Row],[Area]]=StandByRates[Area])*(StandByRates[Hourly]*JobBonus[[#This Row],[Standby/ Ext 
Hrs]]))</f>
        <v>0</v>
      </c>
      <c r="Y159" s="44">
        <f>JobBonus[[#This Row],[Variable Pay]]+JobBonus[[#This Row],[Crew Efficiency Bonus]]+JobBonus[[#This Row],[OVPP]]+JobBonus[[#This Row],[StandBy/ Ext Amount]]</f>
        <v>0</v>
      </c>
      <c r="Z159" s="80"/>
      <c r="AA159" s="42"/>
      <c r="AB159" s="42"/>
      <c r="AC159"/>
      <c r="AD159"/>
      <c r="AE159"/>
      <c r="AF159"/>
    </row>
    <row r="160" spans="1:32" hidden="1" x14ac:dyDescent="0.25">
      <c r="A160" s="46"/>
      <c r="B160" s="80"/>
      <c r="C160" s="15"/>
      <c r="D160" s="15"/>
      <c r="E160" s="15"/>
      <c r="F160" s="15"/>
      <c r="G160" s="16"/>
      <c r="H160" s="16"/>
      <c r="I160" s="19" t="str">
        <f>IF(ISBLANK(JobBonus[[#This Row],[Employee Name]]),"",INDEX(Employees[Job Title],MATCH(JobBonus[[#This Row],[Employee Name]],Employees[Employee Name2],0)))</f>
        <v/>
      </c>
      <c r="J160" s="19" t="str">
        <f>IF(ISBLANK(JobBonus[[#This Row],[Job Prov]]),"",IF(JobBonus[[#This Row],[Job Prov]]=INDEX(Employees[Province],MATCH(JobBonus[[#This Row],[Employee Name]],Employees[Employee Name2],0)),"No","Yes"))</f>
        <v/>
      </c>
      <c r="K160" s="17"/>
      <c r="L160" s="19"/>
      <c r="M160" s="23"/>
      <c r="N160" s="23"/>
      <c r="O160" s="15"/>
      <c r="P160" s="15"/>
      <c r="Q160" s="15"/>
      <c r="R160" s="15"/>
      <c r="S160" s="44" cm="1">
        <f t="array" ref="S1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0" s="44" cm="1">
        <f t="array" ref="T1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0" s="44">
        <f>JobBonus[[#This Row],[Variable Pay]]+JobBonus[[#This Row],[Crew Efficiency Bonus]]</f>
        <v>0</v>
      </c>
      <c r="V160" s="44" cm="1">
        <f t="array" ref="V1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0" s="44" t="b">
        <f>_xlfn.IFNA(EXACT(VLOOKUP(JobBonus[[#This Row],[Pay Type]],PayTypes[#All],4,FALSE),"Yes"),FALSE)</f>
        <v>0</v>
      </c>
      <c r="X160" s="44" cm="1">
        <f t="array" ref="X160">SUMPRODUCT((StandByRates[Position]=JobBonus[[#This Row],[Position]])*(JobBonus[[#This Row],[Area]]=StandByRates[Area])*(StandByRates[Hourly]*JobBonus[[#This Row],[Standby/ Ext 
Hrs]]))</f>
        <v>0</v>
      </c>
      <c r="Y160" s="44">
        <f>JobBonus[[#This Row],[Variable Pay]]+JobBonus[[#This Row],[Crew Efficiency Bonus]]+JobBonus[[#This Row],[OVPP]]+JobBonus[[#This Row],[StandBy/ Ext Amount]]</f>
        <v>0</v>
      </c>
      <c r="Z160" s="80"/>
      <c r="AA160" s="42"/>
      <c r="AB160" s="42"/>
      <c r="AC160"/>
      <c r="AD160"/>
      <c r="AE160"/>
      <c r="AF160"/>
    </row>
    <row r="161" spans="1:32" hidden="1" x14ac:dyDescent="0.25">
      <c r="A161" s="46"/>
      <c r="B161" s="80"/>
      <c r="C161" s="15"/>
      <c r="D161" s="15"/>
      <c r="E161" s="15"/>
      <c r="F161" s="15"/>
      <c r="G161" s="16"/>
      <c r="H161" s="16"/>
      <c r="I161" s="19" t="str">
        <f>IF(ISBLANK(JobBonus[[#This Row],[Employee Name]]),"",INDEX(Employees[Job Title],MATCH(JobBonus[[#This Row],[Employee Name]],Employees[Employee Name2],0)))</f>
        <v/>
      </c>
      <c r="J161" s="19" t="str">
        <f>IF(ISBLANK(JobBonus[[#This Row],[Job Prov]]),"",IF(JobBonus[[#This Row],[Job Prov]]=INDEX(Employees[Province],MATCH(JobBonus[[#This Row],[Employee Name]],Employees[Employee Name2],0)),"No","Yes"))</f>
        <v/>
      </c>
      <c r="K161" s="17"/>
      <c r="L161" s="19"/>
      <c r="M161" s="23"/>
      <c r="N161" s="23"/>
      <c r="O161" s="15"/>
      <c r="P161" s="15"/>
      <c r="Q161" s="15"/>
      <c r="R161" s="15"/>
      <c r="S161" s="44" cm="1">
        <f t="array" ref="S1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1" s="44" cm="1">
        <f t="array" ref="T1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1" s="44">
        <f>JobBonus[[#This Row],[Variable Pay]]+JobBonus[[#This Row],[Crew Efficiency Bonus]]</f>
        <v>0</v>
      </c>
      <c r="V161" s="44" cm="1">
        <f t="array" ref="V1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1" s="44" t="b">
        <f>_xlfn.IFNA(EXACT(VLOOKUP(JobBonus[[#This Row],[Pay Type]],PayTypes[#All],4,FALSE),"Yes"),FALSE)</f>
        <v>0</v>
      </c>
      <c r="X161" s="44" cm="1">
        <f t="array" ref="X161">SUMPRODUCT((StandByRates[Position]=JobBonus[[#This Row],[Position]])*(JobBonus[[#This Row],[Area]]=StandByRates[Area])*(StandByRates[Hourly]*JobBonus[[#This Row],[Standby/ Ext 
Hrs]]))</f>
        <v>0</v>
      </c>
      <c r="Y161" s="44">
        <f>JobBonus[[#This Row],[Variable Pay]]+JobBonus[[#This Row],[Crew Efficiency Bonus]]+JobBonus[[#This Row],[OVPP]]+JobBonus[[#This Row],[StandBy/ Ext Amount]]</f>
        <v>0</v>
      </c>
      <c r="Z161" s="80"/>
      <c r="AA161" s="42"/>
      <c r="AB161" s="42"/>
      <c r="AC161"/>
      <c r="AD161"/>
      <c r="AE161"/>
      <c r="AF161"/>
    </row>
    <row r="162" spans="1:32" hidden="1" x14ac:dyDescent="0.25">
      <c r="A162" s="46"/>
      <c r="B162" s="80"/>
      <c r="C162" s="15"/>
      <c r="D162" s="15"/>
      <c r="E162" s="15"/>
      <c r="F162" s="15"/>
      <c r="G162" s="16"/>
      <c r="H162" s="16"/>
      <c r="I162" s="19" t="str">
        <f>IF(ISBLANK(JobBonus[[#This Row],[Employee Name]]),"",INDEX(Employees[Job Title],MATCH(JobBonus[[#This Row],[Employee Name]],Employees[Employee Name2],0)))</f>
        <v/>
      </c>
      <c r="J162" s="19" t="str">
        <f>IF(ISBLANK(JobBonus[[#This Row],[Job Prov]]),"",IF(JobBonus[[#This Row],[Job Prov]]=INDEX(Employees[Province],MATCH(JobBonus[[#This Row],[Employee Name]],Employees[Employee Name2],0)),"No","Yes"))</f>
        <v/>
      </c>
      <c r="K162" s="17"/>
      <c r="L162" s="19"/>
      <c r="M162" s="23"/>
      <c r="N162" s="23"/>
      <c r="O162" s="15"/>
      <c r="P162" s="15"/>
      <c r="Q162" s="15"/>
      <c r="R162" s="15"/>
      <c r="S162" s="44" cm="1">
        <f t="array" ref="S1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2" s="44" cm="1">
        <f t="array" ref="T1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2" s="44">
        <f>JobBonus[[#This Row],[Variable Pay]]+JobBonus[[#This Row],[Crew Efficiency Bonus]]</f>
        <v>0</v>
      </c>
      <c r="V162" s="44" cm="1">
        <f t="array" ref="V1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2" s="44" t="b">
        <f>_xlfn.IFNA(EXACT(VLOOKUP(JobBonus[[#This Row],[Pay Type]],PayTypes[#All],4,FALSE),"Yes"),FALSE)</f>
        <v>0</v>
      </c>
      <c r="X162" s="44" cm="1">
        <f t="array" ref="X162">SUMPRODUCT((StandByRates[Position]=JobBonus[[#This Row],[Position]])*(JobBonus[[#This Row],[Area]]=StandByRates[Area])*(StandByRates[Hourly]*JobBonus[[#This Row],[Standby/ Ext 
Hrs]]))</f>
        <v>0</v>
      </c>
      <c r="Y162" s="44">
        <f>JobBonus[[#This Row],[Variable Pay]]+JobBonus[[#This Row],[Crew Efficiency Bonus]]+JobBonus[[#This Row],[OVPP]]+JobBonus[[#This Row],[StandBy/ Ext Amount]]</f>
        <v>0</v>
      </c>
      <c r="Z162" s="80"/>
      <c r="AA162" s="42"/>
      <c r="AB162" s="42"/>
      <c r="AC162"/>
      <c r="AD162"/>
      <c r="AE162"/>
      <c r="AF162"/>
    </row>
    <row r="163" spans="1:32" hidden="1" x14ac:dyDescent="0.25">
      <c r="A163" s="46"/>
      <c r="B163" s="80"/>
      <c r="C163" s="15"/>
      <c r="D163" s="15"/>
      <c r="E163" s="15"/>
      <c r="F163" s="15"/>
      <c r="G163" s="16"/>
      <c r="H163" s="16"/>
      <c r="I163" s="19" t="str">
        <f>IF(ISBLANK(JobBonus[[#This Row],[Employee Name]]),"",INDEX(Employees[Job Title],MATCH(JobBonus[[#This Row],[Employee Name]],Employees[Employee Name2],0)))</f>
        <v/>
      </c>
      <c r="J163" s="19" t="str">
        <f>IF(ISBLANK(JobBonus[[#This Row],[Job Prov]]),"",IF(JobBonus[[#This Row],[Job Prov]]=INDEX(Employees[Province],MATCH(JobBonus[[#This Row],[Employee Name]],Employees[Employee Name2],0)),"No","Yes"))</f>
        <v/>
      </c>
      <c r="K163" s="17"/>
      <c r="L163" s="19"/>
      <c r="M163" s="23"/>
      <c r="N163" s="23"/>
      <c r="O163" s="15"/>
      <c r="P163" s="15"/>
      <c r="Q163" s="15"/>
      <c r="R163" s="15"/>
      <c r="S163" s="44" cm="1">
        <f t="array" ref="S1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3" s="44" cm="1">
        <f t="array" ref="T1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3" s="44">
        <f>JobBonus[[#This Row],[Variable Pay]]+JobBonus[[#This Row],[Crew Efficiency Bonus]]</f>
        <v>0</v>
      </c>
      <c r="V163" s="44" cm="1">
        <f t="array" ref="V1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3" s="44" t="b">
        <f>_xlfn.IFNA(EXACT(VLOOKUP(JobBonus[[#This Row],[Pay Type]],PayTypes[#All],4,FALSE),"Yes"),FALSE)</f>
        <v>0</v>
      </c>
      <c r="X163" s="44" cm="1">
        <f t="array" ref="X163">SUMPRODUCT((StandByRates[Position]=JobBonus[[#This Row],[Position]])*(JobBonus[[#This Row],[Area]]=StandByRates[Area])*(StandByRates[Hourly]*JobBonus[[#This Row],[Standby/ Ext 
Hrs]]))</f>
        <v>0</v>
      </c>
      <c r="Y163" s="44">
        <f>JobBonus[[#This Row],[Variable Pay]]+JobBonus[[#This Row],[Crew Efficiency Bonus]]+JobBonus[[#This Row],[OVPP]]+JobBonus[[#This Row],[StandBy/ Ext Amount]]</f>
        <v>0</v>
      </c>
      <c r="Z163" s="80"/>
      <c r="AA163" s="42"/>
      <c r="AB163" s="42"/>
      <c r="AC163"/>
      <c r="AD163"/>
      <c r="AE163"/>
      <c r="AF163"/>
    </row>
    <row r="164" spans="1:32" hidden="1" x14ac:dyDescent="0.25">
      <c r="A164" s="46"/>
      <c r="B164" s="80"/>
      <c r="C164" s="15"/>
      <c r="D164" s="15"/>
      <c r="E164" s="15"/>
      <c r="F164" s="15"/>
      <c r="G164" s="16"/>
      <c r="H164" s="16"/>
      <c r="I164" s="19" t="str">
        <f>IF(ISBLANK(JobBonus[[#This Row],[Employee Name]]),"",INDEX(Employees[Job Title],MATCH(JobBonus[[#This Row],[Employee Name]],Employees[Employee Name2],0)))</f>
        <v/>
      </c>
      <c r="J164" s="19" t="str">
        <f>IF(ISBLANK(JobBonus[[#This Row],[Job Prov]]),"",IF(JobBonus[[#This Row],[Job Prov]]=INDEX(Employees[Province],MATCH(JobBonus[[#This Row],[Employee Name]],Employees[Employee Name2],0)),"No","Yes"))</f>
        <v/>
      </c>
      <c r="K164" s="17"/>
      <c r="L164" s="19"/>
      <c r="M164" s="23"/>
      <c r="N164" s="23"/>
      <c r="O164" s="15"/>
      <c r="P164" s="15"/>
      <c r="Q164" s="15"/>
      <c r="R164" s="15"/>
      <c r="S164" s="44" cm="1">
        <f t="array" ref="S1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4" s="44" cm="1">
        <f t="array" ref="T1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4" s="44">
        <f>JobBonus[[#This Row],[Variable Pay]]+JobBonus[[#This Row],[Crew Efficiency Bonus]]</f>
        <v>0</v>
      </c>
      <c r="V164" s="44" cm="1">
        <f t="array" ref="V1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4" s="44" t="b">
        <f>_xlfn.IFNA(EXACT(VLOOKUP(JobBonus[[#This Row],[Pay Type]],PayTypes[#All],4,FALSE),"Yes"),FALSE)</f>
        <v>0</v>
      </c>
      <c r="X164" s="44" cm="1">
        <f t="array" ref="X164">SUMPRODUCT((StandByRates[Position]=JobBonus[[#This Row],[Position]])*(JobBonus[[#This Row],[Area]]=StandByRates[Area])*(StandByRates[Hourly]*JobBonus[[#This Row],[Standby/ Ext 
Hrs]]))</f>
        <v>0</v>
      </c>
      <c r="Y164" s="44">
        <f>JobBonus[[#This Row],[Variable Pay]]+JobBonus[[#This Row],[Crew Efficiency Bonus]]+JobBonus[[#This Row],[OVPP]]+JobBonus[[#This Row],[StandBy/ Ext Amount]]</f>
        <v>0</v>
      </c>
      <c r="Z164" s="80"/>
      <c r="AA164" s="42"/>
      <c r="AB164" s="42"/>
      <c r="AC164"/>
      <c r="AD164"/>
      <c r="AE164"/>
      <c r="AF164"/>
    </row>
    <row r="165" spans="1:32" hidden="1" x14ac:dyDescent="0.25">
      <c r="A165" s="46"/>
      <c r="B165" s="80"/>
      <c r="C165" s="15"/>
      <c r="D165" s="15"/>
      <c r="E165" s="15"/>
      <c r="F165" s="15"/>
      <c r="G165" s="16"/>
      <c r="H165" s="16"/>
      <c r="I165" s="19" t="str">
        <f>IF(ISBLANK(JobBonus[[#This Row],[Employee Name]]),"",INDEX(Employees[Job Title],MATCH(JobBonus[[#This Row],[Employee Name]],Employees[Employee Name2],0)))</f>
        <v/>
      </c>
      <c r="J165" s="19" t="str">
        <f>IF(ISBLANK(JobBonus[[#This Row],[Job Prov]]),"",IF(JobBonus[[#This Row],[Job Prov]]=INDEX(Employees[Province],MATCH(JobBonus[[#This Row],[Employee Name]],Employees[Employee Name2],0)),"No","Yes"))</f>
        <v/>
      </c>
      <c r="K165" s="17"/>
      <c r="L165" s="19"/>
      <c r="M165" s="23"/>
      <c r="N165" s="23"/>
      <c r="O165" s="15"/>
      <c r="P165" s="15"/>
      <c r="Q165" s="15"/>
      <c r="R165" s="15"/>
      <c r="S165" s="44" cm="1">
        <f t="array" ref="S1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5" s="44" cm="1">
        <f t="array" ref="T1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5" s="44">
        <f>JobBonus[[#This Row],[Variable Pay]]+JobBonus[[#This Row],[Crew Efficiency Bonus]]</f>
        <v>0</v>
      </c>
      <c r="V165" s="44" cm="1">
        <f t="array" ref="V1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5" s="44" t="b">
        <f>_xlfn.IFNA(EXACT(VLOOKUP(JobBonus[[#This Row],[Pay Type]],PayTypes[#All],4,FALSE),"Yes"),FALSE)</f>
        <v>0</v>
      </c>
      <c r="X165" s="44" cm="1">
        <f t="array" ref="X165">SUMPRODUCT((StandByRates[Position]=JobBonus[[#This Row],[Position]])*(JobBonus[[#This Row],[Area]]=StandByRates[Area])*(StandByRates[Hourly]*JobBonus[[#This Row],[Standby/ Ext 
Hrs]]))</f>
        <v>0</v>
      </c>
      <c r="Y165" s="44">
        <f>JobBonus[[#This Row],[Variable Pay]]+JobBonus[[#This Row],[Crew Efficiency Bonus]]+JobBonus[[#This Row],[OVPP]]+JobBonus[[#This Row],[StandBy/ Ext Amount]]</f>
        <v>0</v>
      </c>
      <c r="Z165" s="80"/>
      <c r="AA165" s="42"/>
      <c r="AB165" s="42"/>
      <c r="AC165"/>
      <c r="AD165"/>
      <c r="AE165"/>
      <c r="AF165"/>
    </row>
    <row r="166" spans="1:32" hidden="1" x14ac:dyDescent="0.25">
      <c r="A166" s="46"/>
      <c r="B166" s="80"/>
      <c r="C166" s="15"/>
      <c r="D166" s="15"/>
      <c r="E166" s="15"/>
      <c r="F166" s="15"/>
      <c r="G166" s="16"/>
      <c r="H166" s="16"/>
      <c r="I166" s="19" t="str">
        <f>IF(ISBLANK(JobBonus[[#This Row],[Employee Name]]),"",INDEX(Employees[Job Title],MATCH(JobBonus[[#This Row],[Employee Name]],Employees[Employee Name2],0)))</f>
        <v/>
      </c>
      <c r="J166" s="19" t="str">
        <f>IF(ISBLANK(JobBonus[[#This Row],[Job Prov]]),"",IF(JobBonus[[#This Row],[Job Prov]]=INDEX(Employees[Province],MATCH(JobBonus[[#This Row],[Employee Name]],Employees[Employee Name2],0)),"No","Yes"))</f>
        <v/>
      </c>
      <c r="K166" s="17"/>
      <c r="L166" s="19"/>
      <c r="M166" s="23"/>
      <c r="N166" s="23"/>
      <c r="O166" s="15"/>
      <c r="P166" s="15"/>
      <c r="Q166" s="15"/>
      <c r="R166" s="15"/>
      <c r="S166" s="44" cm="1">
        <f t="array" ref="S1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6" s="44" cm="1">
        <f t="array" ref="T1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6" s="44">
        <f>JobBonus[[#This Row],[Variable Pay]]+JobBonus[[#This Row],[Crew Efficiency Bonus]]</f>
        <v>0</v>
      </c>
      <c r="V166" s="44" cm="1">
        <f t="array" ref="V1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6" s="44" t="b">
        <f>_xlfn.IFNA(EXACT(VLOOKUP(JobBonus[[#This Row],[Pay Type]],PayTypes[#All],4,FALSE),"Yes"),FALSE)</f>
        <v>0</v>
      </c>
      <c r="X166" s="44" cm="1">
        <f t="array" ref="X166">SUMPRODUCT((StandByRates[Position]=JobBonus[[#This Row],[Position]])*(JobBonus[[#This Row],[Area]]=StandByRates[Area])*(StandByRates[Hourly]*JobBonus[[#This Row],[Standby/ Ext 
Hrs]]))</f>
        <v>0</v>
      </c>
      <c r="Y166" s="44">
        <f>JobBonus[[#This Row],[Variable Pay]]+JobBonus[[#This Row],[Crew Efficiency Bonus]]+JobBonus[[#This Row],[OVPP]]+JobBonus[[#This Row],[StandBy/ Ext Amount]]</f>
        <v>0</v>
      </c>
      <c r="Z166" s="80"/>
      <c r="AA166" s="42"/>
      <c r="AB166" s="42"/>
      <c r="AC166"/>
      <c r="AD166"/>
      <c r="AE166"/>
      <c r="AF166"/>
    </row>
    <row r="167" spans="1:32" hidden="1" x14ac:dyDescent="0.25">
      <c r="A167" s="46"/>
      <c r="B167" s="80"/>
      <c r="C167" s="15"/>
      <c r="D167" s="15"/>
      <c r="E167" s="15"/>
      <c r="F167" s="15"/>
      <c r="G167" s="16"/>
      <c r="H167" s="16"/>
      <c r="I167" s="19" t="str">
        <f>IF(ISBLANK(JobBonus[[#This Row],[Employee Name]]),"",INDEX(Employees[Job Title],MATCH(JobBonus[[#This Row],[Employee Name]],Employees[Employee Name2],0)))</f>
        <v/>
      </c>
      <c r="J167" s="19" t="str">
        <f>IF(ISBLANK(JobBonus[[#This Row],[Job Prov]]),"",IF(JobBonus[[#This Row],[Job Prov]]=INDEX(Employees[Province],MATCH(JobBonus[[#This Row],[Employee Name]],Employees[Employee Name2],0)),"No","Yes"))</f>
        <v/>
      </c>
      <c r="K167" s="17"/>
      <c r="L167" s="19"/>
      <c r="M167" s="23"/>
      <c r="N167" s="23"/>
      <c r="O167" s="15"/>
      <c r="P167" s="15"/>
      <c r="Q167" s="15"/>
      <c r="R167" s="15"/>
      <c r="S167" s="44" cm="1">
        <f t="array" ref="S1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7" s="44" cm="1">
        <f t="array" ref="T1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7" s="44">
        <f>JobBonus[[#This Row],[Variable Pay]]+JobBonus[[#This Row],[Crew Efficiency Bonus]]</f>
        <v>0</v>
      </c>
      <c r="V167" s="44" cm="1">
        <f t="array" ref="V1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7" s="44" t="b">
        <f>_xlfn.IFNA(EXACT(VLOOKUP(JobBonus[[#This Row],[Pay Type]],PayTypes[#All],4,FALSE),"Yes"),FALSE)</f>
        <v>0</v>
      </c>
      <c r="X167" s="44" cm="1">
        <f t="array" ref="X167">SUMPRODUCT((StandByRates[Position]=JobBonus[[#This Row],[Position]])*(JobBonus[[#This Row],[Area]]=StandByRates[Area])*(StandByRates[Hourly]*JobBonus[[#This Row],[Standby/ Ext 
Hrs]]))</f>
        <v>0</v>
      </c>
      <c r="Y167" s="44">
        <f>JobBonus[[#This Row],[Variable Pay]]+JobBonus[[#This Row],[Crew Efficiency Bonus]]+JobBonus[[#This Row],[OVPP]]+JobBonus[[#This Row],[StandBy/ Ext Amount]]</f>
        <v>0</v>
      </c>
      <c r="Z167" s="80"/>
      <c r="AA167" s="42"/>
      <c r="AB167" s="42"/>
      <c r="AC167"/>
      <c r="AD167"/>
      <c r="AE167"/>
      <c r="AF167"/>
    </row>
    <row r="168" spans="1:32" hidden="1" x14ac:dyDescent="0.25">
      <c r="A168" s="46"/>
      <c r="B168" s="80"/>
      <c r="C168" s="15"/>
      <c r="D168" s="15"/>
      <c r="E168" s="15"/>
      <c r="F168" s="15"/>
      <c r="G168" s="16"/>
      <c r="H168" s="16"/>
      <c r="I168" s="19" t="str">
        <f>IF(ISBLANK(JobBonus[[#This Row],[Employee Name]]),"",INDEX(Employees[Job Title],MATCH(JobBonus[[#This Row],[Employee Name]],Employees[Employee Name2],0)))</f>
        <v/>
      </c>
      <c r="J168" s="19" t="str">
        <f>IF(ISBLANK(JobBonus[[#This Row],[Job Prov]]),"",IF(JobBonus[[#This Row],[Job Prov]]=INDEX(Employees[Province],MATCH(JobBonus[[#This Row],[Employee Name]],Employees[Employee Name2],0)),"No","Yes"))</f>
        <v/>
      </c>
      <c r="K168" s="17"/>
      <c r="L168" s="19"/>
      <c r="M168" s="23"/>
      <c r="N168" s="23"/>
      <c r="O168" s="15"/>
      <c r="P168" s="15"/>
      <c r="Q168" s="15"/>
      <c r="R168" s="15"/>
      <c r="S168" s="44" cm="1">
        <f t="array" ref="S1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8" s="44" cm="1">
        <f t="array" ref="T1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8" s="44">
        <f>JobBonus[[#This Row],[Variable Pay]]+JobBonus[[#This Row],[Crew Efficiency Bonus]]</f>
        <v>0</v>
      </c>
      <c r="V168" s="44" cm="1">
        <f t="array" ref="V1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8" s="44" t="b">
        <f>_xlfn.IFNA(EXACT(VLOOKUP(JobBonus[[#This Row],[Pay Type]],PayTypes[#All],4,FALSE),"Yes"),FALSE)</f>
        <v>0</v>
      </c>
      <c r="X168" s="44" cm="1">
        <f t="array" ref="X168">SUMPRODUCT((StandByRates[Position]=JobBonus[[#This Row],[Position]])*(JobBonus[[#This Row],[Area]]=StandByRates[Area])*(StandByRates[Hourly]*JobBonus[[#This Row],[Standby/ Ext 
Hrs]]))</f>
        <v>0</v>
      </c>
      <c r="Y168" s="44">
        <f>JobBonus[[#This Row],[Variable Pay]]+JobBonus[[#This Row],[Crew Efficiency Bonus]]+JobBonus[[#This Row],[OVPP]]+JobBonus[[#This Row],[StandBy/ Ext Amount]]</f>
        <v>0</v>
      </c>
      <c r="Z168" s="80"/>
      <c r="AA168" s="42"/>
      <c r="AB168" s="42"/>
      <c r="AC168"/>
      <c r="AD168"/>
      <c r="AE168"/>
      <c r="AF168"/>
    </row>
    <row r="169" spans="1:32" hidden="1" x14ac:dyDescent="0.25">
      <c r="A169" s="46"/>
      <c r="B169" s="80"/>
      <c r="C169" s="15"/>
      <c r="D169" s="15"/>
      <c r="E169" s="15"/>
      <c r="F169" s="15"/>
      <c r="G169" s="16"/>
      <c r="H169" s="16"/>
      <c r="I169" s="19" t="str">
        <f>IF(ISBLANK(JobBonus[[#This Row],[Employee Name]]),"",INDEX(Employees[Job Title],MATCH(JobBonus[[#This Row],[Employee Name]],Employees[Employee Name2],0)))</f>
        <v/>
      </c>
      <c r="J169" s="19" t="str">
        <f>IF(ISBLANK(JobBonus[[#This Row],[Job Prov]]),"",IF(JobBonus[[#This Row],[Job Prov]]=INDEX(Employees[Province],MATCH(JobBonus[[#This Row],[Employee Name]],Employees[Employee Name2],0)),"No","Yes"))</f>
        <v/>
      </c>
      <c r="K169" s="17"/>
      <c r="L169" s="19"/>
      <c r="M169" s="23"/>
      <c r="N169" s="23"/>
      <c r="O169" s="15"/>
      <c r="P169" s="15"/>
      <c r="Q169" s="15"/>
      <c r="R169" s="15"/>
      <c r="S169" s="44" cm="1">
        <f t="array" ref="S1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9" s="44" cm="1">
        <f t="array" ref="T1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9" s="44">
        <f>JobBonus[[#This Row],[Variable Pay]]+JobBonus[[#This Row],[Crew Efficiency Bonus]]</f>
        <v>0</v>
      </c>
      <c r="V169" s="44" cm="1">
        <f t="array" ref="V1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9" s="44" t="b">
        <f>_xlfn.IFNA(EXACT(VLOOKUP(JobBonus[[#This Row],[Pay Type]],PayTypes[#All],4,FALSE),"Yes"),FALSE)</f>
        <v>0</v>
      </c>
      <c r="X169" s="44" cm="1">
        <f t="array" ref="X169">SUMPRODUCT((StandByRates[Position]=JobBonus[[#This Row],[Position]])*(JobBonus[[#This Row],[Area]]=StandByRates[Area])*(StandByRates[Hourly]*JobBonus[[#This Row],[Standby/ Ext 
Hrs]]))</f>
        <v>0</v>
      </c>
      <c r="Y169" s="44">
        <f>JobBonus[[#This Row],[Variable Pay]]+JobBonus[[#This Row],[Crew Efficiency Bonus]]+JobBonus[[#This Row],[OVPP]]+JobBonus[[#This Row],[StandBy/ Ext Amount]]</f>
        <v>0</v>
      </c>
      <c r="Z169" s="80"/>
      <c r="AA169" s="42"/>
      <c r="AB169" s="42"/>
      <c r="AC169"/>
      <c r="AD169"/>
      <c r="AE169"/>
      <c r="AF169"/>
    </row>
    <row r="170" spans="1:32" hidden="1" x14ac:dyDescent="0.25">
      <c r="A170" s="46"/>
      <c r="B170" s="80"/>
      <c r="C170" s="15"/>
      <c r="D170" s="15"/>
      <c r="E170" s="15"/>
      <c r="F170" s="15"/>
      <c r="G170" s="16"/>
      <c r="H170" s="16"/>
      <c r="I170" s="19" t="str">
        <f>IF(ISBLANK(JobBonus[[#This Row],[Employee Name]]),"",INDEX(Employees[Job Title],MATCH(JobBonus[[#This Row],[Employee Name]],Employees[Employee Name2],0)))</f>
        <v/>
      </c>
      <c r="J170" s="19" t="str">
        <f>IF(ISBLANK(JobBonus[[#This Row],[Job Prov]]),"",IF(JobBonus[[#This Row],[Job Prov]]=INDEX(Employees[Province],MATCH(JobBonus[[#This Row],[Employee Name]],Employees[Employee Name2],0)),"No","Yes"))</f>
        <v/>
      </c>
      <c r="K170" s="17"/>
      <c r="L170" s="19"/>
      <c r="M170" s="23"/>
      <c r="N170" s="23"/>
      <c r="O170" s="15"/>
      <c r="P170" s="15"/>
      <c r="Q170" s="15"/>
      <c r="R170" s="15"/>
      <c r="S170" s="44" cm="1">
        <f t="array" ref="S1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0" s="44" cm="1">
        <f t="array" ref="T1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0" s="44">
        <f>JobBonus[[#This Row],[Variable Pay]]+JobBonus[[#This Row],[Crew Efficiency Bonus]]</f>
        <v>0</v>
      </c>
      <c r="V170" s="44" cm="1">
        <f t="array" ref="V1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0" s="44" t="b">
        <f>_xlfn.IFNA(EXACT(VLOOKUP(JobBonus[[#This Row],[Pay Type]],PayTypes[#All],4,FALSE),"Yes"),FALSE)</f>
        <v>0</v>
      </c>
      <c r="X170" s="44" cm="1">
        <f t="array" ref="X170">SUMPRODUCT((StandByRates[Position]=JobBonus[[#This Row],[Position]])*(JobBonus[[#This Row],[Area]]=StandByRates[Area])*(StandByRates[Hourly]*JobBonus[[#This Row],[Standby/ Ext 
Hrs]]))</f>
        <v>0</v>
      </c>
      <c r="Y170" s="44">
        <f>JobBonus[[#This Row],[Variable Pay]]+JobBonus[[#This Row],[Crew Efficiency Bonus]]+JobBonus[[#This Row],[OVPP]]+JobBonus[[#This Row],[StandBy/ Ext Amount]]</f>
        <v>0</v>
      </c>
      <c r="Z170" s="80"/>
      <c r="AA170" s="42"/>
      <c r="AB170" s="42"/>
      <c r="AC170"/>
      <c r="AD170"/>
      <c r="AE170"/>
      <c r="AF170"/>
    </row>
    <row r="171" spans="1:32" hidden="1" x14ac:dyDescent="0.25">
      <c r="A171" s="46"/>
      <c r="B171" s="80"/>
      <c r="C171" s="15"/>
      <c r="D171" s="15"/>
      <c r="E171" s="15"/>
      <c r="F171" s="15"/>
      <c r="G171" s="16"/>
      <c r="H171" s="16"/>
      <c r="I171" s="19" t="str">
        <f>IF(ISBLANK(JobBonus[[#This Row],[Employee Name]]),"",INDEX(Employees[Job Title],MATCH(JobBonus[[#This Row],[Employee Name]],Employees[Employee Name2],0)))</f>
        <v/>
      </c>
      <c r="J171" s="19" t="str">
        <f>IF(ISBLANK(JobBonus[[#This Row],[Job Prov]]),"",IF(JobBonus[[#This Row],[Job Prov]]=INDEX(Employees[Province],MATCH(JobBonus[[#This Row],[Employee Name]],Employees[Employee Name2],0)),"No","Yes"))</f>
        <v/>
      </c>
      <c r="K171" s="17"/>
      <c r="L171" s="19"/>
      <c r="M171" s="23"/>
      <c r="N171" s="23"/>
      <c r="O171" s="15"/>
      <c r="P171" s="15"/>
      <c r="Q171" s="15"/>
      <c r="R171" s="15"/>
      <c r="S171" s="44" cm="1">
        <f t="array" ref="S1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1" s="44" cm="1">
        <f t="array" ref="T1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1" s="44">
        <f>JobBonus[[#This Row],[Variable Pay]]+JobBonus[[#This Row],[Crew Efficiency Bonus]]</f>
        <v>0</v>
      </c>
      <c r="V171" s="44" cm="1">
        <f t="array" ref="V1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1" s="44" t="b">
        <f>_xlfn.IFNA(EXACT(VLOOKUP(JobBonus[[#This Row],[Pay Type]],PayTypes[#All],4,FALSE),"Yes"),FALSE)</f>
        <v>0</v>
      </c>
      <c r="X171" s="44" cm="1">
        <f t="array" ref="X171">SUMPRODUCT((StandByRates[Position]=JobBonus[[#This Row],[Position]])*(JobBonus[[#This Row],[Area]]=StandByRates[Area])*(StandByRates[Hourly]*JobBonus[[#This Row],[Standby/ Ext 
Hrs]]))</f>
        <v>0</v>
      </c>
      <c r="Y171" s="44">
        <f>JobBonus[[#This Row],[Variable Pay]]+JobBonus[[#This Row],[Crew Efficiency Bonus]]+JobBonus[[#This Row],[OVPP]]+JobBonus[[#This Row],[StandBy/ Ext Amount]]</f>
        <v>0</v>
      </c>
      <c r="Z171" s="80"/>
      <c r="AA171" s="42"/>
      <c r="AB171" s="42"/>
      <c r="AC171"/>
      <c r="AD171"/>
      <c r="AE171"/>
      <c r="AF171"/>
    </row>
    <row r="172" spans="1:32" hidden="1" x14ac:dyDescent="0.25">
      <c r="A172" s="46"/>
      <c r="B172" s="80"/>
      <c r="C172" s="15"/>
      <c r="D172" s="15"/>
      <c r="E172" s="15"/>
      <c r="F172" s="15"/>
      <c r="G172" s="16"/>
      <c r="H172" s="16"/>
      <c r="I172" s="19" t="str">
        <f>IF(ISBLANK(JobBonus[[#This Row],[Employee Name]]),"",INDEX(Employees[Job Title],MATCH(JobBonus[[#This Row],[Employee Name]],Employees[Employee Name2],0)))</f>
        <v/>
      </c>
      <c r="J172" s="19" t="str">
        <f>IF(ISBLANK(JobBonus[[#This Row],[Job Prov]]),"",IF(JobBonus[[#This Row],[Job Prov]]=INDEX(Employees[Province],MATCH(JobBonus[[#This Row],[Employee Name]],Employees[Employee Name2],0)),"No","Yes"))</f>
        <v/>
      </c>
      <c r="K172" s="17"/>
      <c r="L172" s="19"/>
      <c r="M172" s="23"/>
      <c r="N172" s="23"/>
      <c r="O172" s="15"/>
      <c r="P172" s="15"/>
      <c r="Q172" s="15"/>
      <c r="R172" s="15"/>
      <c r="S172" s="44" cm="1">
        <f t="array" ref="S1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2" s="44" cm="1">
        <f t="array" ref="T1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2" s="44">
        <f>JobBonus[[#This Row],[Variable Pay]]+JobBonus[[#This Row],[Crew Efficiency Bonus]]</f>
        <v>0</v>
      </c>
      <c r="V172" s="44" cm="1">
        <f t="array" ref="V1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2" s="44" t="b">
        <f>_xlfn.IFNA(EXACT(VLOOKUP(JobBonus[[#This Row],[Pay Type]],PayTypes[#All],4,FALSE),"Yes"),FALSE)</f>
        <v>0</v>
      </c>
      <c r="X172" s="44" cm="1">
        <f t="array" ref="X172">SUMPRODUCT((StandByRates[Position]=JobBonus[[#This Row],[Position]])*(JobBonus[[#This Row],[Area]]=StandByRates[Area])*(StandByRates[Hourly]*JobBonus[[#This Row],[Standby/ Ext 
Hrs]]))</f>
        <v>0</v>
      </c>
      <c r="Y172" s="44">
        <f>JobBonus[[#This Row],[Variable Pay]]+JobBonus[[#This Row],[Crew Efficiency Bonus]]+JobBonus[[#This Row],[OVPP]]+JobBonus[[#This Row],[StandBy/ Ext Amount]]</f>
        <v>0</v>
      </c>
      <c r="Z172" s="80"/>
      <c r="AA172" s="42"/>
      <c r="AB172" s="42"/>
      <c r="AC172"/>
      <c r="AD172"/>
      <c r="AE172"/>
      <c r="AF172"/>
    </row>
    <row r="173" spans="1:32" hidden="1" x14ac:dyDescent="0.25">
      <c r="A173" s="46"/>
      <c r="B173" s="80"/>
      <c r="C173" s="15"/>
      <c r="D173" s="15"/>
      <c r="E173" s="15"/>
      <c r="F173" s="15"/>
      <c r="G173" s="16"/>
      <c r="H173" s="16"/>
      <c r="I173" s="19" t="str">
        <f>IF(ISBLANK(JobBonus[[#This Row],[Employee Name]]),"",INDEX(Employees[Job Title],MATCH(JobBonus[[#This Row],[Employee Name]],Employees[Employee Name2],0)))</f>
        <v/>
      </c>
      <c r="J173" s="19" t="str">
        <f>IF(ISBLANK(JobBonus[[#This Row],[Job Prov]]),"",IF(JobBonus[[#This Row],[Job Prov]]=INDEX(Employees[Province],MATCH(JobBonus[[#This Row],[Employee Name]],Employees[Employee Name2],0)),"No","Yes"))</f>
        <v/>
      </c>
      <c r="K173" s="17"/>
      <c r="L173" s="19"/>
      <c r="M173" s="23"/>
      <c r="N173" s="23"/>
      <c r="O173" s="15"/>
      <c r="P173" s="15"/>
      <c r="Q173" s="15"/>
      <c r="R173" s="15"/>
      <c r="S173" s="44" cm="1">
        <f t="array" ref="S1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3" s="44" cm="1">
        <f t="array" ref="T1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3" s="44">
        <f>JobBonus[[#This Row],[Variable Pay]]+JobBonus[[#This Row],[Crew Efficiency Bonus]]</f>
        <v>0</v>
      </c>
      <c r="V173" s="44" cm="1">
        <f t="array" ref="V1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3" s="44" t="b">
        <f>_xlfn.IFNA(EXACT(VLOOKUP(JobBonus[[#This Row],[Pay Type]],PayTypes[#All],4,FALSE),"Yes"),FALSE)</f>
        <v>0</v>
      </c>
      <c r="X173" s="44" cm="1">
        <f t="array" ref="X173">SUMPRODUCT((StandByRates[Position]=JobBonus[[#This Row],[Position]])*(JobBonus[[#This Row],[Area]]=StandByRates[Area])*(StandByRates[Hourly]*JobBonus[[#This Row],[Standby/ Ext 
Hrs]]))</f>
        <v>0</v>
      </c>
      <c r="Y173" s="44">
        <f>JobBonus[[#This Row],[Variable Pay]]+JobBonus[[#This Row],[Crew Efficiency Bonus]]+JobBonus[[#This Row],[OVPP]]+JobBonus[[#This Row],[StandBy/ Ext Amount]]</f>
        <v>0</v>
      </c>
      <c r="Z173" s="80"/>
      <c r="AA173" s="42"/>
      <c r="AB173" s="42"/>
      <c r="AC173"/>
      <c r="AD173"/>
      <c r="AE173"/>
      <c r="AF173"/>
    </row>
    <row r="174" spans="1:32" hidden="1" x14ac:dyDescent="0.25">
      <c r="A174" s="46"/>
      <c r="B174" s="80"/>
      <c r="C174" s="15"/>
      <c r="D174" s="15"/>
      <c r="E174" s="15"/>
      <c r="F174" s="15"/>
      <c r="G174" s="16"/>
      <c r="H174" s="16"/>
      <c r="I174" s="19" t="str">
        <f>IF(ISBLANK(JobBonus[[#This Row],[Employee Name]]),"",INDEX(Employees[Job Title],MATCH(JobBonus[[#This Row],[Employee Name]],Employees[Employee Name2],0)))</f>
        <v/>
      </c>
      <c r="J174" s="19" t="str">
        <f>IF(ISBLANK(JobBonus[[#This Row],[Job Prov]]),"",IF(JobBonus[[#This Row],[Job Prov]]=INDEX(Employees[Province],MATCH(JobBonus[[#This Row],[Employee Name]],Employees[Employee Name2],0)),"No","Yes"))</f>
        <v/>
      </c>
      <c r="K174" s="17"/>
      <c r="L174" s="19"/>
      <c r="M174" s="23"/>
      <c r="N174" s="23"/>
      <c r="O174" s="15"/>
      <c r="P174" s="15"/>
      <c r="Q174" s="15"/>
      <c r="R174" s="15"/>
      <c r="S174" s="44" cm="1">
        <f t="array" ref="S1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4" s="44" cm="1">
        <f t="array" ref="T1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4" s="44">
        <f>JobBonus[[#This Row],[Variable Pay]]+JobBonus[[#This Row],[Crew Efficiency Bonus]]</f>
        <v>0</v>
      </c>
      <c r="V174" s="44" cm="1">
        <f t="array" ref="V1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4" s="44" t="b">
        <f>_xlfn.IFNA(EXACT(VLOOKUP(JobBonus[[#This Row],[Pay Type]],PayTypes[#All],4,FALSE),"Yes"),FALSE)</f>
        <v>0</v>
      </c>
      <c r="X174" s="44" cm="1">
        <f t="array" ref="X174">SUMPRODUCT((StandByRates[Position]=JobBonus[[#This Row],[Position]])*(JobBonus[[#This Row],[Area]]=StandByRates[Area])*(StandByRates[Hourly]*JobBonus[[#This Row],[Standby/ Ext 
Hrs]]))</f>
        <v>0</v>
      </c>
      <c r="Y174" s="44">
        <f>JobBonus[[#This Row],[Variable Pay]]+JobBonus[[#This Row],[Crew Efficiency Bonus]]+JobBonus[[#This Row],[OVPP]]+JobBonus[[#This Row],[StandBy/ Ext Amount]]</f>
        <v>0</v>
      </c>
      <c r="Z174" s="80"/>
      <c r="AA174" s="42"/>
      <c r="AB174" s="42"/>
      <c r="AC174"/>
      <c r="AD174"/>
      <c r="AE174"/>
      <c r="AF174"/>
    </row>
    <row r="175" spans="1:32" hidden="1" x14ac:dyDescent="0.25">
      <c r="A175" s="46"/>
      <c r="B175" s="80"/>
      <c r="C175" s="15"/>
      <c r="D175" s="15"/>
      <c r="E175" s="15"/>
      <c r="F175" s="15"/>
      <c r="G175" s="16"/>
      <c r="H175" s="16"/>
      <c r="I175" s="19" t="str">
        <f>IF(ISBLANK(JobBonus[[#This Row],[Employee Name]]),"",INDEX(Employees[Job Title],MATCH(JobBonus[[#This Row],[Employee Name]],Employees[Employee Name2],0)))</f>
        <v/>
      </c>
      <c r="J175" s="19" t="str">
        <f>IF(ISBLANK(JobBonus[[#This Row],[Job Prov]]),"",IF(JobBonus[[#This Row],[Job Prov]]=INDEX(Employees[Province],MATCH(JobBonus[[#This Row],[Employee Name]],Employees[Employee Name2],0)),"No","Yes"))</f>
        <v/>
      </c>
      <c r="K175" s="17"/>
      <c r="L175" s="19"/>
      <c r="M175" s="23"/>
      <c r="N175" s="23"/>
      <c r="O175" s="15"/>
      <c r="P175" s="15"/>
      <c r="Q175" s="15"/>
      <c r="R175" s="15"/>
      <c r="S175" s="44" cm="1">
        <f t="array" ref="S1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5" s="44" cm="1">
        <f t="array" ref="T1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5" s="44">
        <f>JobBonus[[#This Row],[Variable Pay]]+JobBonus[[#This Row],[Crew Efficiency Bonus]]</f>
        <v>0</v>
      </c>
      <c r="V175" s="44" cm="1">
        <f t="array" ref="V1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5" s="44" t="b">
        <f>_xlfn.IFNA(EXACT(VLOOKUP(JobBonus[[#This Row],[Pay Type]],PayTypes[#All],4,FALSE),"Yes"),FALSE)</f>
        <v>0</v>
      </c>
      <c r="X175" s="44" cm="1">
        <f t="array" ref="X175">SUMPRODUCT((StandByRates[Position]=JobBonus[[#This Row],[Position]])*(JobBonus[[#This Row],[Area]]=StandByRates[Area])*(StandByRates[Hourly]*JobBonus[[#This Row],[Standby/ Ext 
Hrs]]))</f>
        <v>0</v>
      </c>
      <c r="Y175" s="44">
        <f>JobBonus[[#This Row],[Variable Pay]]+JobBonus[[#This Row],[Crew Efficiency Bonus]]+JobBonus[[#This Row],[OVPP]]+JobBonus[[#This Row],[StandBy/ Ext Amount]]</f>
        <v>0</v>
      </c>
      <c r="Z175" s="80"/>
      <c r="AA175" s="42"/>
      <c r="AB175" s="42"/>
      <c r="AC175"/>
      <c r="AD175"/>
      <c r="AE175"/>
      <c r="AF175"/>
    </row>
    <row r="176" spans="1:32" hidden="1" x14ac:dyDescent="0.25">
      <c r="A176" s="46"/>
      <c r="B176" s="80"/>
      <c r="C176" s="15"/>
      <c r="D176" s="15"/>
      <c r="E176" s="15"/>
      <c r="F176" s="15"/>
      <c r="G176" s="16"/>
      <c r="H176" s="16"/>
      <c r="I176" s="19" t="str">
        <f>IF(ISBLANK(JobBonus[[#This Row],[Employee Name]]),"",INDEX(Employees[Job Title],MATCH(JobBonus[[#This Row],[Employee Name]],Employees[Employee Name2],0)))</f>
        <v/>
      </c>
      <c r="J176" s="19" t="str">
        <f>IF(ISBLANK(JobBonus[[#This Row],[Job Prov]]),"",IF(JobBonus[[#This Row],[Job Prov]]=INDEX(Employees[Province],MATCH(JobBonus[[#This Row],[Employee Name]],Employees[Employee Name2],0)),"No","Yes"))</f>
        <v/>
      </c>
      <c r="K176" s="17"/>
      <c r="L176" s="19"/>
      <c r="M176" s="23"/>
      <c r="N176" s="23"/>
      <c r="O176" s="15"/>
      <c r="P176" s="15"/>
      <c r="Q176" s="15"/>
      <c r="R176" s="15"/>
      <c r="S176" s="44" cm="1">
        <f t="array" ref="S1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6" s="44" cm="1">
        <f t="array" ref="T1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6" s="44">
        <f>JobBonus[[#This Row],[Variable Pay]]+JobBonus[[#This Row],[Crew Efficiency Bonus]]</f>
        <v>0</v>
      </c>
      <c r="V176" s="44" cm="1">
        <f t="array" ref="V1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6" s="44" t="b">
        <f>_xlfn.IFNA(EXACT(VLOOKUP(JobBonus[[#This Row],[Pay Type]],PayTypes[#All],4,FALSE),"Yes"),FALSE)</f>
        <v>0</v>
      </c>
      <c r="X176" s="44" cm="1">
        <f t="array" ref="X176">SUMPRODUCT((StandByRates[Position]=JobBonus[[#This Row],[Position]])*(JobBonus[[#This Row],[Area]]=StandByRates[Area])*(StandByRates[Hourly]*JobBonus[[#This Row],[Standby/ Ext 
Hrs]]))</f>
        <v>0</v>
      </c>
      <c r="Y176" s="44">
        <f>JobBonus[[#This Row],[Variable Pay]]+JobBonus[[#This Row],[Crew Efficiency Bonus]]+JobBonus[[#This Row],[OVPP]]+JobBonus[[#This Row],[StandBy/ Ext Amount]]</f>
        <v>0</v>
      </c>
      <c r="Z176" s="80"/>
      <c r="AA176" s="42"/>
      <c r="AB176" s="42"/>
      <c r="AC176"/>
      <c r="AD176"/>
      <c r="AE176"/>
      <c r="AF176"/>
    </row>
    <row r="177" spans="1:32" hidden="1" x14ac:dyDescent="0.25">
      <c r="A177" s="46"/>
      <c r="B177" s="80"/>
      <c r="C177" s="15"/>
      <c r="D177" s="15"/>
      <c r="E177" s="15"/>
      <c r="F177" s="15"/>
      <c r="G177" s="16"/>
      <c r="H177" s="16"/>
      <c r="I177" s="19" t="str">
        <f>IF(ISBLANK(JobBonus[[#This Row],[Employee Name]]),"",INDEX(Employees[Job Title],MATCH(JobBonus[[#This Row],[Employee Name]],Employees[Employee Name2],0)))</f>
        <v/>
      </c>
      <c r="J177" s="19" t="str">
        <f>IF(ISBLANK(JobBonus[[#This Row],[Job Prov]]),"",IF(JobBonus[[#This Row],[Job Prov]]=INDEX(Employees[Province],MATCH(JobBonus[[#This Row],[Employee Name]],Employees[Employee Name2],0)),"No","Yes"))</f>
        <v/>
      </c>
      <c r="K177" s="17"/>
      <c r="L177" s="19"/>
      <c r="M177" s="23"/>
      <c r="N177" s="23"/>
      <c r="O177" s="15"/>
      <c r="P177" s="15"/>
      <c r="Q177" s="15"/>
      <c r="R177" s="15"/>
      <c r="S177" s="44" cm="1">
        <f t="array" ref="S1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7" s="44" cm="1">
        <f t="array" ref="T1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7" s="44">
        <f>JobBonus[[#This Row],[Variable Pay]]+JobBonus[[#This Row],[Crew Efficiency Bonus]]</f>
        <v>0</v>
      </c>
      <c r="V177" s="44" cm="1">
        <f t="array" ref="V1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7" s="44" t="b">
        <f>_xlfn.IFNA(EXACT(VLOOKUP(JobBonus[[#This Row],[Pay Type]],PayTypes[#All],4,FALSE),"Yes"),FALSE)</f>
        <v>0</v>
      </c>
      <c r="X177" s="44" cm="1">
        <f t="array" ref="X177">SUMPRODUCT((StandByRates[Position]=JobBonus[[#This Row],[Position]])*(JobBonus[[#This Row],[Area]]=StandByRates[Area])*(StandByRates[Hourly]*JobBonus[[#This Row],[Standby/ Ext 
Hrs]]))</f>
        <v>0</v>
      </c>
      <c r="Y177" s="44">
        <f>JobBonus[[#This Row],[Variable Pay]]+JobBonus[[#This Row],[Crew Efficiency Bonus]]+JobBonus[[#This Row],[OVPP]]+JobBonus[[#This Row],[StandBy/ Ext Amount]]</f>
        <v>0</v>
      </c>
      <c r="Z177" s="80"/>
      <c r="AA177" s="42"/>
      <c r="AB177" s="42"/>
      <c r="AC177"/>
      <c r="AD177"/>
      <c r="AE177"/>
      <c r="AF177"/>
    </row>
    <row r="178" spans="1:32" hidden="1" x14ac:dyDescent="0.25">
      <c r="A178" s="46"/>
      <c r="B178" s="80"/>
      <c r="C178" s="15"/>
      <c r="D178" s="15"/>
      <c r="E178" s="15"/>
      <c r="F178" s="15"/>
      <c r="G178" s="16"/>
      <c r="H178" s="16"/>
      <c r="I178" s="19" t="str">
        <f>IF(ISBLANK(JobBonus[[#This Row],[Employee Name]]),"",INDEX(Employees[Job Title],MATCH(JobBonus[[#This Row],[Employee Name]],Employees[Employee Name2],0)))</f>
        <v/>
      </c>
      <c r="J178" s="19" t="str">
        <f>IF(ISBLANK(JobBonus[[#This Row],[Job Prov]]),"",IF(JobBonus[[#This Row],[Job Prov]]=INDEX(Employees[Province],MATCH(JobBonus[[#This Row],[Employee Name]],Employees[Employee Name2],0)),"No","Yes"))</f>
        <v/>
      </c>
      <c r="K178" s="17"/>
      <c r="L178" s="19"/>
      <c r="M178" s="23"/>
      <c r="N178" s="23"/>
      <c r="O178" s="15"/>
      <c r="P178" s="15"/>
      <c r="Q178" s="15"/>
      <c r="R178" s="15"/>
      <c r="S178" s="44" cm="1">
        <f t="array" ref="S1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8" s="44" cm="1">
        <f t="array" ref="T1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8" s="44">
        <f>JobBonus[[#This Row],[Variable Pay]]+JobBonus[[#This Row],[Crew Efficiency Bonus]]</f>
        <v>0</v>
      </c>
      <c r="V178" s="44" cm="1">
        <f t="array" ref="V1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8" s="44" t="b">
        <f>_xlfn.IFNA(EXACT(VLOOKUP(JobBonus[[#This Row],[Pay Type]],PayTypes[#All],4,FALSE),"Yes"),FALSE)</f>
        <v>0</v>
      </c>
      <c r="X178" s="44" cm="1">
        <f t="array" ref="X178">SUMPRODUCT((StandByRates[Position]=JobBonus[[#This Row],[Position]])*(JobBonus[[#This Row],[Area]]=StandByRates[Area])*(StandByRates[Hourly]*JobBonus[[#This Row],[Standby/ Ext 
Hrs]]))</f>
        <v>0</v>
      </c>
      <c r="Y178" s="44">
        <f>JobBonus[[#This Row],[Variable Pay]]+JobBonus[[#This Row],[Crew Efficiency Bonus]]+JobBonus[[#This Row],[OVPP]]+JobBonus[[#This Row],[StandBy/ Ext Amount]]</f>
        <v>0</v>
      </c>
      <c r="Z178" s="80"/>
      <c r="AA178" s="42"/>
      <c r="AB178" s="42"/>
      <c r="AC178"/>
      <c r="AD178"/>
      <c r="AE178"/>
      <c r="AF178"/>
    </row>
    <row r="179" spans="1:32" hidden="1" x14ac:dyDescent="0.25">
      <c r="A179" s="46"/>
      <c r="B179" s="80"/>
      <c r="C179" s="15"/>
      <c r="D179" s="15"/>
      <c r="E179" s="15"/>
      <c r="F179" s="15"/>
      <c r="G179" s="16"/>
      <c r="H179" s="16"/>
      <c r="I179" s="19" t="str">
        <f>IF(ISBLANK(JobBonus[[#This Row],[Employee Name]]),"",INDEX(Employees[Job Title],MATCH(JobBonus[[#This Row],[Employee Name]],Employees[Employee Name2],0)))</f>
        <v/>
      </c>
      <c r="J179" s="19" t="str">
        <f>IF(ISBLANK(JobBonus[[#This Row],[Job Prov]]),"",IF(JobBonus[[#This Row],[Job Prov]]=INDEX(Employees[Province],MATCH(JobBonus[[#This Row],[Employee Name]],Employees[Employee Name2],0)),"No","Yes"))</f>
        <v/>
      </c>
      <c r="K179" s="17"/>
      <c r="L179" s="19"/>
      <c r="M179" s="23"/>
      <c r="N179" s="23"/>
      <c r="O179" s="15"/>
      <c r="P179" s="15"/>
      <c r="Q179" s="15"/>
      <c r="R179" s="15"/>
      <c r="S179" s="44" cm="1">
        <f t="array" ref="S1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9" s="44" cm="1">
        <f t="array" ref="T1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9" s="44">
        <f>JobBonus[[#This Row],[Variable Pay]]+JobBonus[[#This Row],[Crew Efficiency Bonus]]</f>
        <v>0</v>
      </c>
      <c r="V179" s="44" cm="1">
        <f t="array" ref="V1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9" s="44" t="b">
        <f>_xlfn.IFNA(EXACT(VLOOKUP(JobBonus[[#This Row],[Pay Type]],PayTypes[#All],4,FALSE),"Yes"),FALSE)</f>
        <v>0</v>
      </c>
      <c r="X179" s="44" cm="1">
        <f t="array" ref="X179">SUMPRODUCT((StandByRates[Position]=JobBonus[[#This Row],[Position]])*(JobBonus[[#This Row],[Area]]=StandByRates[Area])*(StandByRates[Hourly]*JobBonus[[#This Row],[Standby/ Ext 
Hrs]]))</f>
        <v>0</v>
      </c>
      <c r="Y179" s="44">
        <f>JobBonus[[#This Row],[Variable Pay]]+JobBonus[[#This Row],[Crew Efficiency Bonus]]+JobBonus[[#This Row],[OVPP]]+JobBonus[[#This Row],[StandBy/ Ext Amount]]</f>
        <v>0</v>
      </c>
      <c r="Z179" s="80"/>
      <c r="AA179" s="42"/>
      <c r="AB179" s="42"/>
      <c r="AC179"/>
      <c r="AD179"/>
      <c r="AE179"/>
      <c r="AF179"/>
    </row>
    <row r="180" spans="1:32" hidden="1" x14ac:dyDescent="0.25">
      <c r="A180" s="46"/>
      <c r="B180" s="80"/>
      <c r="C180" s="15"/>
      <c r="D180" s="15"/>
      <c r="E180" s="15"/>
      <c r="F180" s="15"/>
      <c r="G180" s="16"/>
      <c r="H180" s="16"/>
      <c r="I180" s="19" t="str">
        <f>IF(ISBLANK(JobBonus[[#This Row],[Employee Name]]),"",INDEX(Employees[Job Title],MATCH(JobBonus[[#This Row],[Employee Name]],Employees[Employee Name2],0)))</f>
        <v/>
      </c>
      <c r="J180" s="19" t="str">
        <f>IF(ISBLANK(JobBonus[[#This Row],[Job Prov]]),"",IF(JobBonus[[#This Row],[Job Prov]]=INDEX(Employees[Province],MATCH(JobBonus[[#This Row],[Employee Name]],Employees[Employee Name2],0)),"No","Yes"))</f>
        <v/>
      </c>
      <c r="K180" s="17"/>
      <c r="L180" s="19"/>
      <c r="M180" s="23"/>
      <c r="N180" s="23"/>
      <c r="O180" s="15"/>
      <c r="P180" s="15"/>
      <c r="Q180" s="15"/>
      <c r="R180" s="15"/>
      <c r="S180" s="44" cm="1">
        <f t="array" ref="S1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0" s="44" cm="1">
        <f t="array" ref="T1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0" s="44">
        <f>JobBonus[[#This Row],[Variable Pay]]+JobBonus[[#This Row],[Crew Efficiency Bonus]]</f>
        <v>0</v>
      </c>
      <c r="V180" s="44" cm="1">
        <f t="array" ref="V1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0" s="44" t="b">
        <f>_xlfn.IFNA(EXACT(VLOOKUP(JobBonus[[#This Row],[Pay Type]],PayTypes[#All],4,FALSE),"Yes"),FALSE)</f>
        <v>0</v>
      </c>
      <c r="X180" s="44" cm="1">
        <f t="array" ref="X180">SUMPRODUCT((StandByRates[Position]=JobBonus[[#This Row],[Position]])*(JobBonus[[#This Row],[Area]]=StandByRates[Area])*(StandByRates[Hourly]*JobBonus[[#This Row],[Standby/ Ext 
Hrs]]))</f>
        <v>0</v>
      </c>
      <c r="Y180" s="44">
        <f>JobBonus[[#This Row],[Variable Pay]]+JobBonus[[#This Row],[Crew Efficiency Bonus]]+JobBonus[[#This Row],[OVPP]]+JobBonus[[#This Row],[StandBy/ Ext Amount]]</f>
        <v>0</v>
      </c>
      <c r="Z180" s="80"/>
      <c r="AA180" s="42"/>
      <c r="AB180" s="42"/>
      <c r="AC180"/>
      <c r="AD180"/>
      <c r="AE180"/>
      <c r="AF180"/>
    </row>
    <row r="181" spans="1:32" hidden="1" x14ac:dyDescent="0.25">
      <c r="A181" s="46"/>
      <c r="B181" s="80"/>
      <c r="C181" s="15"/>
      <c r="D181" s="15"/>
      <c r="E181" s="15"/>
      <c r="F181" s="15"/>
      <c r="G181" s="16"/>
      <c r="H181" s="16"/>
      <c r="I181" s="19" t="str">
        <f>IF(ISBLANK(JobBonus[[#This Row],[Employee Name]]),"",INDEX(Employees[Job Title],MATCH(JobBonus[[#This Row],[Employee Name]],Employees[Employee Name2],0)))</f>
        <v/>
      </c>
      <c r="J181" s="19" t="str">
        <f>IF(ISBLANK(JobBonus[[#This Row],[Job Prov]]),"",IF(JobBonus[[#This Row],[Job Prov]]=INDEX(Employees[Province],MATCH(JobBonus[[#This Row],[Employee Name]],Employees[Employee Name2],0)),"No","Yes"))</f>
        <v/>
      </c>
      <c r="K181" s="17"/>
      <c r="L181" s="19"/>
      <c r="M181" s="23"/>
      <c r="N181" s="23"/>
      <c r="O181" s="15"/>
      <c r="P181" s="15"/>
      <c r="Q181" s="15"/>
      <c r="R181" s="15"/>
      <c r="S181" s="44" cm="1">
        <f t="array" ref="S1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1" s="44" cm="1">
        <f t="array" ref="T1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1" s="44">
        <f>JobBonus[[#This Row],[Variable Pay]]+JobBonus[[#This Row],[Crew Efficiency Bonus]]</f>
        <v>0</v>
      </c>
      <c r="V181" s="44" cm="1">
        <f t="array" ref="V1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1" s="44" t="b">
        <f>_xlfn.IFNA(EXACT(VLOOKUP(JobBonus[[#This Row],[Pay Type]],PayTypes[#All],4,FALSE),"Yes"),FALSE)</f>
        <v>0</v>
      </c>
      <c r="X181" s="44" cm="1">
        <f t="array" ref="X181">SUMPRODUCT((StandByRates[Position]=JobBonus[[#This Row],[Position]])*(JobBonus[[#This Row],[Area]]=StandByRates[Area])*(StandByRates[Hourly]*JobBonus[[#This Row],[Standby/ Ext 
Hrs]]))</f>
        <v>0</v>
      </c>
      <c r="Y181" s="44">
        <f>JobBonus[[#This Row],[Variable Pay]]+JobBonus[[#This Row],[Crew Efficiency Bonus]]+JobBonus[[#This Row],[OVPP]]+JobBonus[[#This Row],[StandBy/ Ext Amount]]</f>
        <v>0</v>
      </c>
      <c r="Z181" s="80"/>
      <c r="AA181" s="42"/>
      <c r="AB181" s="42"/>
      <c r="AC181"/>
      <c r="AD181"/>
      <c r="AE181"/>
      <c r="AF181"/>
    </row>
    <row r="182" spans="1:32" hidden="1" x14ac:dyDescent="0.25">
      <c r="A182" s="46"/>
      <c r="B182" s="80"/>
      <c r="C182" s="15"/>
      <c r="D182" s="15"/>
      <c r="E182" s="15"/>
      <c r="F182" s="15"/>
      <c r="G182" s="16"/>
      <c r="H182" s="16"/>
      <c r="I182" s="19" t="str">
        <f>IF(ISBLANK(JobBonus[[#This Row],[Employee Name]]),"",INDEX(Employees[Job Title],MATCH(JobBonus[[#This Row],[Employee Name]],Employees[Employee Name2],0)))</f>
        <v/>
      </c>
      <c r="J182" s="19" t="str">
        <f>IF(ISBLANK(JobBonus[[#This Row],[Job Prov]]),"",IF(JobBonus[[#This Row],[Job Prov]]=INDEX(Employees[Province],MATCH(JobBonus[[#This Row],[Employee Name]],Employees[Employee Name2],0)),"No","Yes"))</f>
        <v/>
      </c>
      <c r="K182" s="17"/>
      <c r="L182" s="19"/>
      <c r="M182" s="23"/>
      <c r="N182" s="23"/>
      <c r="O182" s="15"/>
      <c r="P182" s="15"/>
      <c r="Q182" s="15"/>
      <c r="R182" s="15"/>
      <c r="S182" s="44" cm="1">
        <f t="array" ref="S1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2" s="44" cm="1">
        <f t="array" ref="T1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2" s="44">
        <f>JobBonus[[#This Row],[Variable Pay]]+JobBonus[[#This Row],[Crew Efficiency Bonus]]</f>
        <v>0</v>
      </c>
      <c r="V182" s="44" cm="1">
        <f t="array" ref="V1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2" s="44" t="b">
        <f>_xlfn.IFNA(EXACT(VLOOKUP(JobBonus[[#This Row],[Pay Type]],PayTypes[#All],4,FALSE),"Yes"),FALSE)</f>
        <v>0</v>
      </c>
      <c r="X182" s="44" cm="1">
        <f t="array" ref="X182">SUMPRODUCT((StandByRates[Position]=JobBonus[[#This Row],[Position]])*(JobBonus[[#This Row],[Area]]=StandByRates[Area])*(StandByRates[Hourly]*JobBonus[[#This Row],[Standby/ Ext 
Hrs]]))</f>
        <v>0</v>
      </c>
      <c r="Y182" s="44">
        <f>JobBonus[[#This Row],[Variable Pay]]+JobBonus[[#This Row],[Crew Efficiency Bonus]]+JobBonus[[#This Row],[OVPP]]+JobBonus[[#This Row],[StandBy/ Ext Amount]]</f>
        <v>0</v>
      </c>
      <c r="Z182" s="80"/>
      <c r="AA182" s="42"/>
      <c r="AB182" s="42"/>
      <c r="AC182"/>
      <c r="AD182"/>
      <c r="AE182"/>
      <c r="AF182"/>
    </row>
    <row r="183" spans="1:32" hidden="1" x14ac:dyDescent="0.25">
      <c r="A183" s="46"/>
      <c r="B183" s="80"/>
      <c r="C183" s="15"/>
      <c r="D183" s="15"/>
      <c r="E183" s="15"/>
      <c r="F183" s="15"/>
      <c r="G183" s="16"/>
      <c r="H183" s="16"/>
      <c r="I183" s="19" t="str">
        <f>IF(ISBLANK(JobBonus[[#This Row],[Employee Name]]),"",INDEX(Employees[Job Title],MATCH(JobBonus[[#This Row],[Employee Name]],Employees[Employee Name2],0)))</f>
        <v/>
      </c>
      <c r="J183" s="19" t="str">
        <f>IF(ISBLANK(JobBonus[[#This Row],[Job Prov]]),"",IF(JobBonus[[#This Row],[Job Prov]]=INDEX(Employees[Province],MATCH(JobBonus[[#This Row],[Employee Name]],Employees[Employee Name2],0)),"No","Yes"))</f>
        <v/>
      </c>
      <c r="K183" s="17"/>
      <c r="L183" s="19"/>
      <c r="M183" s="23"/>
      <c r="N183" s="23"/>
      <c r="O183" s="15"/>
      <c r="P183" s="15"/>
      <c r="Q183" s="15"/>
      <c r="R183" s="15"/>
      <c r="S183" s="44" cm="1">
        <f t="array" ref="S1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3" s="44" cm="1">
        <f t="array" ref="T1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3" s="44">
        <f>JobBonus[[#This Row],[Variable Pay]]+JobBonus[[#This Row],[Crew Efficiency Bonus]]</f>
        <v>0</v>
      </c>
      <c r="V183" s="44" cm="1">
        <f t="array" ref="V1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3" s="44" t="b">
        <f>_xlfn.IFNA(EXACT(VLOOKUP(JobBonus[[#This Row],[Pay Type]],PayTypes[#All],4,FALSE),"Yes"),FALSE)</f>
        <v>0</v>
      </c>
      <c r="X183" s="44" cm="1">
        <f t="array" ref="X183">SUMPRODUCT((StandByRates[Position]=JobBonus[[#This Row],[Position]])*(JobBonus[[#This Row],[Area]]=StandByRates[Area])*(StandByRates[Hourly]*JobBonus[[#This Row],[Standby/ Ext 
Hrs]]))</f>
        <v>0</v>
      </c>
      <c r="Y183" s="44">
        <f>JobBonus[[#This Row],[Variable Pay]]+JobBonus[[#This Row],[Crew Efficiency Bonus]]+JobBonus[[#This Row],[OVPP]]+JobBonus[[#This Row],[StandBy/ Ext Amount]]</f>
        <v>0</v>
      </c>
      <c r="Z183" s="80"/>
      <c r="AA183" s="42"/>
      <c r="AB183" s="42"/>
      <c r="AC183"/>
      <c r="AD183"/>
      <c r="AE183"/>
      <c r="AF183"/>
    </row>
    <row r="184" spans="1:32" hidden="1" x14ac:dyDescent="0.25">
      <c r="A184" s="46"/>
      <c r="B184" s="80"/>
      <c r="C184" s="15"/>
      <c r="D184" s="15"/>
      <c r="E184" s="15"/>
      <c r="F184" s="15"/>
      <c r="G184" s="16"/>
      <c r="H184" s="16"/>
      <c r="I184" s="19" t="str">
        <f>IF(ISBLANK(JobBonus[[#This Row],[Employee Name]]),"",INDEX(Employees[Job Title],MATCH(JobBonus[[#This Row],[Employee Name]],Employees[Employee Name2],0)))</f>
        <v/>
      </c>
      <c r="J184" s="19" t="str">
        <f>IF(ISBLANK(JobBonus[[#This Row],[Job Prov]]),"",IF(JobBonus[[#This Row],[Job Prov]]=INDEX(Employees[Province],MATCH(JobBonus[[#This Row],[Employee Name]],Employees[Employee Name2],0)),"No","Yes"))</f>
        <v/>
      </c>
      <c r="K184" s="17"/>
      <c r="L184" s="19"/>
      <c r="M184" s="23"/>
      <c r="N184" s="23"/>
      <c r="O184" s="15"/>
      <c r="P184" s="15"/>
      <c r="Q184" s="15"/>
      <c r="R184" s="15"/>
      <c r="S184" s="44" cm="1">
        <f t="array" ref="S1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4" s="44" cm="1">
        <f t="array" ref="T1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4" s="44">
        <f>JobBonus[[#This Row],[Variable Pay]]+JobBonus[[#This Row],[Crew Efficiency Bonus]]</f>
        <v>0</v>
      </c>
      <c r="V184" s="44" cm="1">
        <f t="array" ref="V1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4" s="44" t="b">
        <f>_xlfn.IFNA(EXACT(VLOOKUP(JobBonus[[#This Row],[Pay Type]],PayTypes[#All],4,FALSE),"Yes"),FALSE)</f>
        <v>0</v>
      </c>
      <c r="X184" s="44" cm="1">
        <f t="array" ref="X184">SUMPRODUCT((StandByRates[Position]=JobBonus[[#This Row],[Position]])*(JobBonus[[#This Row],[Area]]=StandByRates[Area])*(StandByRates[Hourly]*JobBonus[[#This Row],[Standby/ Ext 
Hrs]]))</f>
        <v>0</v>
      </c>
      <c r="Y184" s="44">
        <f>JobBonus[[#This Row],[Variable Pay]]+JobBonus[[#This Row],[Crew Efficiency Bonus]]+JobBonus[[#This Row],[OVPP]]+JobBonus[[#This Row],[StandBy/ Ext Amount]]</f>
        <v>0</v>
      </c>
      <c r="Z184" s="80"/>
      <c r="AA184" s="42"/>
      <c r="AB184" s="42"/>
      <c r="AC184"/>
      <c r="AD184"/>
      <c r="AE184"/>
      <c r="AF184"/>
    </row>
    <row r="185" spans="1:32" hidden="1" x14ac:dyDescent="0.25">
      <c r="A185" s="46"/>
      <c r="B185" s="80"/>
      <c r="C185" s="15"/>
      <c r="D185" s="15"/>
      <c r="E185" s="15"/>
      <c r="F185" s="15"/>
      <c r="G185" s="16"/>
      <c r="H185" s="16"/>
      <c r="I185" s="19" t="str">
        <f>IF(ISBLANK(JobBonus[[#This Row],[Employee Name]]),"",INDEX(Employees[Job Title],MATCH(JobBonus[[#This Row],[Employee Name]],Employees[Employee Name2],0)))</f>
        <v/>
      </c>
      <c r="J185" s="19" t="str">
        <f>IF(ISBLANK(JobBonus[[#This Row],[Job Prov]]),"",IF(JobBonus[[#This Row],[Job Prov]]=INDEX(Employees[Province],MATCH(JobBonus[[#This Row],[Employee Name]],Employees[Employee Name2],0)),"No","Yes"))</f>
        <v/>
      </c>
      <c r="K185" s="17"/>
      <c r="L185" s="19"/>
      <c r="M185" s="23"/>
      <c r="N185" s="23"/>
      <c r="O185" s="15"/>
      <c r="P185" s="15"/>
      <c r="Q185" s="15"/>
      <c r="R185" s="15"/>
      <c r="S185" s="44" cm="1">
        <f t="array" ref="S1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5" s="44" cm="1">
        <f t="array" ref="T1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5" s="44">
        <f>JobBonus[[#This Row],[Variable Pay]]+JobBonus[[#This Row],[Crew Efficiency Bonus]]</f>
        <v>0</v>
      </c>
      <c r="V185" s="44" cm="1">
        <f t="array" ref="V1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5" s="44" t="b">
        <f>_xlfn.IFNA(EXACT(VLOOKUP(JobBonus[[#This Row],[Pay Type]],PayTypes[#All],4,FALSE),"Yes"),FALSE)</f>
        <v>0</v>
      </c>
      <c r="X185" s="44" cm="1">
        <f t="array" ref="X185">SUMPRODUCT((StandByRates[Position]=JobBonus[[#This Row],[Position]])*(JobBonus[[#This Row],[Area]]=StandByRates[Area])*(StandByRates[Hourly]*JobBonus[[#This Row],[Standby/ Ext 
Hrs]]))</f>
        <v>0</v>
      </c>
      <c r="Y185" s="44">
        <f>JobBonus[[#This Row],[Variable Pay]]+JobBonus[[#This Row],[Crew Efficiency Bonus]]+JobBonus[[#This Row],[OVPP]]+JobBonus[[#This Row],[StandBy/ Ext Amount]]</f>
        <v>0</v>
      </c>
      <c r="Z185" s="80"/>
      <c r="AA185" s="42"/>
      <c r="AB185" s="42"/>
      <c r="AC185"/>
      <c r="AD185"/>
      <c r="AE185"/>
      <c r="AF185"/>
    </row>
    <row r="186" spans="1:32" hidden="1" x14ac:dyDescent="0.25">
      <c r="A186" s="46"/>
      <c r="B186" s="80"/>
      <c r="C186" s="15"/>
      <c r="D186" s="15"/>
      <c r="E186" s="15"/>
      <c r="F186" s="15"/>
      <c r="G186" s="16"/>
      <c r="H186" s="16"/>
      <c r="I186" s="19" t="str">
        <f>IF(ISBLANK(JobBonus[[#This Row],[Employee Name]]),"",INDEX(Employees[Job Title],MATCH(JobBonus[[#This Row],[Employee Name]],Employees[Employee Name2],0)))</f>
        <v/>
      </c>
      <c r="J186" s="19" t="str">
        <f>IF(ISBLANK(JobBonus[[#This Row],[Job Prov]]),"",IF(JobBonus[[#This Row],[Job Prov]]=INDEX(Employees[Province],MATCH(JobBonus[[#This Row],[Employee Name]],Employees[Employee Name2],0)),"No","Yes"))</f>
        <v/>
      </c>
      <c r="K186" s="17"/>
      <c r="L186" s="19"/>
      <c r="M186" s="23"/>
      <c r="N186" s="23"/>
      <c r="O186" s="15"/>
      <c r="P186" s="15"/>
      <c r="Q186" s="15"/>
      <c r="R186" s="15"/>
      <c r="S186" s="44" cm="1">
        <f t="array" ref="S1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6" s="44" cm="1">
        <f t="array" ref="T1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6" s="44">
        <f>JobBonus[[#This Row],[Variable Pay]]+JobBonus[[#This Row],[Crew Efficiency Bonus]]</f>
        <v>0</v>
      </c>
      <c r="V186" s="44" cm="1">
        <f t="array" ref="V1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6" s="44" t="b">
        <f>_xlfn.IFNA(EXACT(VLOOKUP(JobBonus[[#This Row],[Pay Type]],PayTypes[#All],4,FALSE),"Yes"),FALSE)</f>
        <v>0</v>
      </c>
      <c r="X186" s="44" cm="1">
        <f t="array" ref="X186">SUMPRODUCT((StandByRates[Position]=JobBonus[[#This Row],[Position]])*(JobBonus[[#This Row],[Area]]=StandByRates[Area])*(StandByRates[Hourly]*JobBonus[[#This Row],[Standby/ Ext 
Hrs]]))</f>
        <v>0</v>
      </c>
      <c r="Y186" s="44">
        <f>JobBonus[[#This Row],[Variable Pay]]+JobBonus[[#This Row],[Crew Efficiency Bonus]]+JobBonus[[#This Row],[OVPP]]+JobBonus[[#This Row],[StandBy/ Ext Amount]]</f>
        <v>0</v>
      </c>
      <c r="Z186" s="80"/>
      <c r="AA186" s="42"/>
      <c r="AB186" s="42"/>
      <c r="AC186"/>
      <c r="AD186"/>
      <c r="AE186"/>
      <c r="AF186"/>
    </row>
    <row r="187" spans="1:32" hidden="1" x14ac:dyDescent="0.25">
      <c r="A187" s="46"/>
      <c r="B187" s="80"/>
      <c r="C187" s="15"/>
      <c r="D187" s="15"/>
      <c r="E187" s="15"/>
      <c r="F187" s="15"/>
      <c r="G187" s="16"/>
      <c r="H187" s="16"/>
      <c r="I187" s="19" t="str">
        <f>IF(ISBLANK(JobBonus[[#This Row],[Employee Name]]),"",INDEX(Employees[Job Title],MATCH(JobBonus[[#This Row],[Employee Name]],Employees[Employee Name2],0)))</f>
        <v/>
      </c>
      <c r="J187" s="19" t="str">
        <f>IF(ISBLANK(JobBonus[[#This Row],[Job Prov]]),"",IF(JobBonus[[#This Row],[Job Prov]]=INDEX(Employees[Province],MATCH(JobBonus[[#This Row],[Employee Name]],Employees[Employee Name2],0)),"No","Yes"))</f>
        <v/>
      </c>
      <c r="K187" s="17"/>
      <c r="L187" s="19"/>
      <c r="M187" s="23"/>
      <c r="N187" s="23"/>
      <c r="O187" s="15"/>
      <c r="P187" s="15"/>
      <c r="Q187" s="15"/>
      <c r="R187" s="15"/>
      <c r="S187" s="44" cm="1">
        <f t="array" ref="S1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7" s="44" cm="1">
        <f t="array" ref="T1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7" s="44">
        <f>JobBonus[[#This Row],[Variable Pay]]+JobBonus[[#This Row],[Crew Efficiency Bonus]]</f>
        <v>0</v>
      </c>
      <c r="V187" s="44" cm="1">
        <f t="array" ref="V1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7" s="44" t="b">
        <f>_xlfn.IFNA(EXACT(VLOOKUP(JobBonus[[#This Row],[Pay Type]],PayTypes[#All],4,FALSE),"Yes"),FALSE)</f>
        <v>0</v>
      </c>
      <c r="X187" s="44" cm="1">
        <f t="array" ref="X187">SUMPRODUCT((StandByRates[Position]=JobBonus[[#This Row],[Position]])*(JobBonus[[#This Row],[Area]]=StandByRates[Area])*(StandByRates[Hourly]*JobBonus[[#This Row],[Standby/ Ext 
Hrs]]))</f>
        <v>0</v>
      </c>
      <c r="Y187" s="44">
        <f>JobBonus[[#This Row],[Variable Pay]]+JobBonus[[#This Row],[Crew Efficiency Bonus]]+JobBonus[[#This Row],[OVPP]]+JobBonus[[#This Row],[StandBy/ Ext Amount]]</f>
        <v>0</v>
      </c>
      <c r="Z187" s="80"/>
      <c r="AA187" s="42"/>
      <c r="AB187" s="42"/>
      <c r="AC187"/>
      <c r="AD187"/>
      <c r="AE187"/>
      <c r="AF187"/>
    </row>
    <row r="188" spans="1:32" hidden="1" x14ac:dyDescent="0.25">
      <c r="A188" s="46"/>
      <c r="B188" s="80"/>
      <c r="C188" s="15"/>
      <c r="D188" s="15"/>
      <c r="E188" s="15"/>
      <c r="F188" s="15"/>
      <c r="G188" s="16"/>
      <c r="H188" s="16"/>
      <c r="I188" s="19" t="str">
        <f>IF(ISBLANK(JobBonus[[#This Row],[Employee Name]]),"",INDEX(Employees[Job Title],MATCH(JobBonus[[#This Row],[Employee Name]],Employees[Employee Name2],0)))</f>
        <v/>
      </c>
      <c r="J188" s="19" t="str">
        <f>IF(ISBLANK(JobBonus[[#This Row],[Job Prov]]),"",IF(JobBonus[[#This Row],[Job Prov]]=INDEX(Employees[Province],MATCH(JobBonus[[#This Row],[Employee Name]],Employees[Employee Name2],0)),"No","Yes"))</f>
        <v/>
      </c>
      <c r="K188" s="17"/>
      <c r="L188" s="19"/>
      <c r="M188" s="23"/>
      <c r="N188" s="23"/>
      <c r="O188" s="15"/>
      <c r="P188" s="15"/>
      <c r="Q188" s="15"/>
      <c r="R188" s="15"/>
      <c r="S188" s="44" cm="1">
        <f t="array" ref="S1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8" s="44" cm="1">
        <f t="array" ref="T1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8" s="44">
        <f>JobBonus[[#This Row],[Variable Pay]]+JobBonus[[#This Row],[Crew Efficiency Bonus]]</f>
        <v>0</v>
      </c>
      <c r="V188" s="44" cm="1">
        <f t="array" ref="V1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8" s="44" t="b">
        <f>_xlfn.IFNA(EXACT(VLOOKUP(JobBonus[[#This Row],[Pay Type]],PayTypes[#All],4,FALSE),"Yes"),FALSE)</f>
        <v>0</v>
      </c>
      <c r="X188" s="44" cm="1">
        <f t="array" ref="X188">SUMPRODUCT((StandByRates[Position]=JobBonus[[#This Row],[Position]])*(JobBonus[[#This Row],[Area]]=StandByRates[Area])*(StandByRates[Hourly]*JobBonus[[#This Row],[Standby/ Ext 
Hrs]]))</f>
        <v>0</v>
      </c>
      <c r="Y188" s="44">
        <f>JobBonus[[#This Row],[Variable Pay]]+JobBonus[[#This Row],[Crew Efficiency Bonus]]+JobBonus[[#This Row],[OVPP]]+JobBonus[[#This Row],[StandBy/ Ext Amount]]</f>
        <v>0</v>
      </c>
      <c r="Z188" s="80"/>
      <c r="AA188" s="42"/>
      <c r="AB188" s="42"/>
      <c r="AC188"/>
      <c r="AD188"/>
      <c r="AE188"/>
      <c r="AF188"/>
    </row>
    <row r="189" spans="1:32" hidden="1" x14ac:dyDescent="0.25">
      <c r="A189" s="46"/>
      <c r="B189" s="80"/>
      <c r="C189" s="15"/>
      <c r="D189" s="15"/>
      <c r="E189" s="15"/>
      <c r="F189" s="15"/>
      <c r="G189" s="16"/>
      <c r="H189" s="16"/>
      <c r="I189" s="19" t="str">
        <f>IF(ISBLANK(JobBonus[[#This Row],[Employee Name]]),"",INDEX(Employees[Job Title],MATCH(JobBonus[[#This Row],[Employee Name]],Employees[Employee Name2],0)))</f>
        <v/>
      </c>
      <c r="J189" s="19" t="str">
        <f>IF(ISBLANK(JobBonus[[#This Row],[Job Prov]]),"",IF(JobBonus[[#This Row],[Job Prov]]=INDEX(Employees[Province],MATCH(JobBonus[[#This Row],[Employee Name]],Employees[Employee Name2],0)),"No","Yes"))</f>
        <v/>
      </c>
      <c r="K189" s="17"/>
      <c r="L189" s="19"/>
      <c r="M189" s="23"/>
      <c r="N189" s="23"/>
      <c r="O189" s="15"/>
      <c r="P189" s="15"/>
      <c r="Q189" s="15"/>
      <c r="R189" s="15"/>
      <c r="S189" s="44" cm="1">
        <f t="array" ref="S1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9" s="44" cm="1">
        <f t="array" ref="T1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9" s="44">
        <f>JobBonus[[#This Row],[Variable Pay]]+JobBonus[[#This Row],[Crew Efficiency Bonus]]</f>
        <v>0</v>
      </c>
      <c r="V189" s="44" cm="1">
        <f t="array" ref="V1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9" s="44" t="b">
        <f>_xlfn.IFNA(EXACT(VLOOKUP(JobBonus[[#This Row],[Pay Type]],PayTypes[#All],4,FALSE),"Yes"),FALSE)</f>
        <v>0</v>
      </c>
      <c r="X189" s="44" cm="1">
        <f t="array" ref="X189">SUMPRODUCT((StandByRates[Position]=JobBonus[[#This Row],[Position]])*(JobBonus[[#This Row],[Area]]=StandByRates[Area])*(StandByRates[Hourly]*JobBonus[[#This Row],[Standby/ Ext 
Hrs]]))</f>
        <v>0</v>
      </c>
      <c r="Y189" s="44">
        <f>JobBonus[[#This Row],[Variable Pay]]+JobBonus[[#This Row],[Crew Efficiency Bonus]]+JobBonus[[#This Row],[OVPP]]+JobBonus[[#This Row],[StandBy/ Ext Amount]]</f>
        <v>0</v>
      </c>
      <c r="Z189" s="80"/>
      <c r="AA189" s="42"/>
      <c r="AB189" s="42"/>
      <c r="AC189"/>
      <c r="AD189"/>
      <c r="AE189"/>
      <c r="AF189"/>
    </row>
    <row r="190" spans="1:32" hidden="1" x14ac:dyDescent="0.25">
      <c r="A190" s="46"/>
      <c r="B190" s="80"/>
      <c r="C190" s="15"/>
      <c r="D190" s="15"/>
      <c r="E190" s="15"/>
      <c r="F190" s="15"/>
      <c r="G190" s="16"/>
      <c r="H190" s="16"/>
      <c r="I190" s="19" t="str">
        <f>IF(ISBLANK(JobBonus[[#This Row],[Employee Name]]),"",INDEX(Employees[Job Title],MATCH(JobBonus[[#This Row],[Employee Name]],Employees[Employee Name2],0)))</f>
        <v/>
      </c>
      <c r="J190" s="19" t="str">
        <f>IF(ISBLANK(JobBonus[[#This Row],[Job Prov]]),"",IF(JobBonus[[#This Row],[Job Prov]]=INDEX(Employees[Province],MATCH(JobBonus[[#This Row],[Employee Name]],Employees[Employee Name2],0)),"No","Yes"))</f>
        <v/>
      </c>
      <c r="K190" s="17"/>
      <c r="L190" s="19"/>
      <c r="M190" s="23"/>
      <c r="N190" s="23"/>
      <c r="O190" s="15"/>
      <c r="P190" s="15"/>
      <c r="Q190" s="15"/>
      <c r="R190" s="15"/>
      <c r="S190" s="44" cm="1">
        <f t="array" ref="S1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0" s="44" cm="1">
        <f t="array" ref="T1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0" s="44">
        <f>JobBonus[[#This Row],[Variable Pay]]+JobBonus[[#This Row],[Crew Efficiency Bonus]]</f>
        <v>0</v>
      </c>
      <c r="V190" s="44" cm="1">
        <f t="array" ref="V1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0" s="44" t="b">
        <f>_xlfn.IFNA(EXACT(VLOOKUP(JobBonus[[#This Row],[Pay Type]],PayTypes[#All],4,FALSE),"Yes"),FALSE)</f>
        <v>0</v>
      </c>
      <c r="X190" s="44" cm="1">
        <f t="array" ref="X190">SUMPRODUCT((StandByRates[Position]=JobBonus[[#This Row],[Position]])*(JobBonus[[#This Row],[Area]]=StandByRates[Area])*(StandByRates[Hourly]*JobBonus[[#This Row],[Standby/ Ext 
Hrs]]))</f>
        <v>0</v>
      </c>
      <c r="Y190" s="44">
        <f>JobBonus[[#This Row],[Variable Pay]]+JobBonus[[#This Row],[Crew Efficiency Bonus]]+JobBonus[[#This Row],[OVPP]]+JobBonus[[#This Row],[StandBy/ Ext Amount]]</f>
        <v>0</v>
      </c>
      <c r="Z190" s="80"/>
      <c r="AA190" s="42"/>
      <c r="AB190" s="42"/>
      <c r="AC190"/>
      <c r="AD190"/>
      <c r="AE190"/>
      <c r="AF190"/>
    </row>
    <row r="191" spans="1:32" hidden="1" x14ac:dyDescent="0.25">
      <c r="A191" s="46"/>
      <c r="B191" s="80"/>
      <c r="C191" s="15"/>
      <c r="D191" s="15"/>
      <c r="E191" s="15"/>
      <c r="F191" s="15"/>
      <c r="G191" s="16"/>
      <c r="H191" s="16"/>
      <c r="I191" s="19" t="str">
        <f>IF(ISBLANK(JobBonus[[#This Row],[Employee Name]]),"",INDEX(Employees[Job Title],MATCH(JobBonus[[#This Row],[Employee Name]],Employees[Employee Name2],0)))</f>
        <v/>
      </c>
      <c r="J191" s="19" t="str">
        <f>IF(ISBLANK(JobBonus[[#This Row],[Job Prov]]),"",IF(JobBonus[[#This Row],[Job Prov]]=INDEX(Employees[Province],MATCH(JobBonus[[#This Row],[Employee Name]],Employees[Employee Name2],0)),"No","Yes"))</f>
        <v/>
      </c>
      <c r="K191" s="17"/>
      <c r="L191" s="19"/>
      <c r="M191" s="23"/>
      <c r="N191" s="23"/>
      <c r="O191" s="15"/>
      <c r="P191" s="15"/>
      <c r="Q191" s="15"/>
      <c r="R191" s="15"/>
      <c r="S191" s="44" cm="1">
        <f t="array" ref="S1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1" s="44" cm="1">
        <f t="array" ref="T1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1" s="44">
        <f>JobBonus[[#This Row],[Variable Pay]]+JobBonus[[#This Row],[Crew Efficiency Bonus]]</f>
        <v>0</v>
      </c>
      <c r="V191" s="44" cm="1">
        <f t="array" ref="V1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1" s="44" t="b">
        <f>_xlfn.IFNA(EXACT(VLOOKUP(JobBonus[[#This Row],[Pay Type]],PayTypes[#All],4,FALSE),"Yes"),FALSE)</f>
        <v>0</v>
      </c>
      <c r="X191" s="44" cm="1">
        <f t="array" ref="X191">SUMPRODUCT((StandByRates[Position]=JobBonus[[#This Row],[Position]])*(JobBonus[[#This Row],[Area]]=StandByRates[Area])*(StandByRates[Hourly]*JobBonus[[#This Row],[Standby/ Ext 
Hrs]]))</f>
        <v>0</v>
      </c>
      <c r="Y191" s="44">
        <f>JobBonus[[#This Row],[Variable Pay]]+JobBonus[[#This Row],[Crew Efficiency Bonus]]+JobBonus[[#This Row],[OVPP]]+JobBonus[[#This Row],[StandBy/ Ext Amount]]</f>
        <v>0</v>
      </c>
      <c r="Z191" s="80"/>
      <c r="AA191" s="42"/>
      <c r="AB191" s="42"/>
      <c r="AC191"/>
      <c r="AD191"/>
      <c r="AE191"/>
      <c r="AF191"/>
    </row>
    <row r="192" spans="1:32" hidden="1" x14ac:dyDescent="0.25">
      <c r="A192" s="46"/>
      <c r="B192" s="80"/>
      <c r="C192" s="15"/>
      <c r="D192" s="15"/>
      <c r="E192" s="15"/>
      <c r="F192" s="15"/>
      <c r="G192" s="16"/>
      <c r="H192" s="16"/>
      <c r="I192" s="19" t="str">
        <f>IF(ISBLANK(JobBonus[[#This Row],[Employee Name]]),"",INDEX(Employees[Job Title],MATCH(JobBonus[[#This Row],[Employee Name]],Employees[Employee Name2],0)))</f>
        <v/>
      </c>
      <c r="J192" s="19" t="str">
        <f>IF(ISBLANK(JobBonus[[#This Row],[Job Prov]]),"",IF(JobBonus[[#This Row],[Job Prov]]=INDEX(Employees[Province],MATCH(JobBonus[[#This Row],[Employee Name]],Employees[Employee Name2],0)),"No","Yes"))</f>
        <v/>
      </c>
      <c r="K192" s="17"/>
      <c r="L192" s="19"/>
      <c r="M192" s="23"/>
      <c r="N192" s="23"/>
      <c r="O192" s="15"/>
      <c r="P192" s="15"/>
      <c r="Q192" s="15"/>
      <c r="R192" s="15"/>
      <c r="S192" s="44" cm="1">
        <f t="array" ref="S1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2" s="44" cm="1">
        <f t="array" ref="T1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2" s="44">
        <f>JobBonus[[#This Row],[Variable Pay]]+JobBonus[[#This Row],[Crew Efficiency Bonus]]</f>
        <v>0</v>
      </c>
      <c r="V192" s="44" cm="1">
        <f t="array" ref="V1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2" s="44" t="b">
        <f>_xlfn.IFNA(EXACT(VLOOKUP(JobBonus[[#This Row],[Pay Type]],PayTypes[#All],4,FALSE),"Yes"),FALSE)</f>
        <v>0</v>
      </c>
      <c r="X192" s="44" cm="1">
        <f t="array" ref="X192">SUMPRODUCT((StandByRates[Position]=JobBonus[[#This Row],[Position]])*(JobBonus[[#This Row],[Area]]=StandByRates[Area])*(StandByRates[Hourly]*JobBonus[[#This Row],[Standby/ Ext 
Hrs]]))</f>
        <v>0</v>
      </c>
      <c r="Y192" s="44">
        <f>JobBonus[[#This Row],[Variable Pay]]+JobBonus[[#This Row],[Crew Efficiency Bonus]]+JobBonus[[#This Row],[OVPP]]+JobBonus[[#This Row],[StandBy/ Ext Amount]]</f>
        <v>0</v>
      </c>
      <c r="Z192" s="80"/>
      <c r="AA192" s="42"/>
      <c r="AB192" s="42"/>
      <c r="AC192"/>
      <c r="AD192"/>
      <c r="AE192"/>
      <c r="AF192"/>
    </row>
    <row r="193" spans="1:32" hidden="1" x14ac:dyDescent="0.25">
      <c r="A193" s="46"/>
      <c r="B193" s="80"/>
      <c r="C193" s="15"/>
      <c r="D193" s="15"/>
      <c r="E193" s="15"/>
      <c r="F193" s="15"/>
      <c r="G193" s="16"/>
      <c r="H193" s="16"/>
      <c r="I193" s="19" t="str">
        <f>IF(ISBLANK(JobBonus[[#This Row],[Employee Name]]),"",INDEX(Employees[Job Title],MATCH(JobBonus[[#This Row],[Employee Name]],Employees[Employee Name2],0)))</f>
        <v/>
      </c>
      <c r="J193" s="19" t="str">
        <f>IF(ISBLANK(JobBonus[[#This Row],[Job Prov]]),"",IF(JobBonus[[#This Row],[Job Prov]]=INDEX(Employees[Province],MATCH(JobBonus[[#This Row],[Employee Name]],Employees[Employee Name2],0)),"No","Yes"))</f>
        <v/>
      </c>
      <c r="K193" s="17"/>
      <c r="L193" s="19"/>
      <c r="M193" s="23"/>
      <c r="N193" s="23"/>
      <c r="O193" s="15"/>
      <c r="P193" s="15"/>
      <c r="Q193" s="15"/>
      <c r="R193" s="15"/>
      <c r="S193" s="44" cm="1">
        <f t="array" ref="S1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3" s="44" cm="1">
        <f t="array" ref="T1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3" s="44">
        <f>JobBonus[[#This Row],[Variable Pay]]+JobBonus[[#This Row],[Crew Efficiency Bonus]]</f>
        <v>0</v>
      </c>
      <c r="V193" s="44" cm="1">
        <f t="array" ref="V1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3" s="44" t="b">
        <f>_xlfn.IFNA(EXACT(VLOOKUP(JobBonus[[#This Row],[Pay Type]],PayTypes[#All],4,FALSE),"Yes"),FALSE)</f>
        <v>0</v>
      </c>
      <c r="X193" s="44" cm="1">
        <f t="array" ref="X193">SUMPRODUCT((StandByRates[Position]=JobBonus[[#This Row],[Position]])*(JobBonus[[#This Row],[Area]]=StandByRates[Area])*(StandByRates[Hourly]*JobBonus[[#This Row],[Standby/ Ext 
Hrs]]))</f>
        <v>0</v>
      </c>
      <c r="Y193" s="44">
        <f>JobBonus[[#This Row],[Variable Pay]]+JobBonus[[#This Row],[Crew Efficiency Bonus]]+JobBonus[[#This Row],[OVPP]]+JobBonus[[#This Row],[StandBy/ Ext Amount]]</f>
        <v>0</v>
      </c>
      <c r="Z193" s="80"/>
      <c r="AA193" s="42"/>
      <c r="AB193" s="42"/>
      <c r="AC193"/>
      <c r="AD193"/>
      <c r="AE193"/>
      <c r="AF193"/>
    </row>
    <row r="194" spans="1:32" hidden="1" x14ac:dyDescent="0.25">
      <c r="A194" s="46"/>
      <c r="B194" s="80"/>
      <c r="C194" s="15"/>
      <c r="D194" s="15"/>
      <c r="E194" s="15"/>
      <c r="F194" s="15"/>
      <c r="G194" s="16"/>
      <c r="H194" s="16"/>
      <c r="I194" s="19" t="str">
        <f>IF(ISBLANK(JobBonus[[#This Row],[Employee Name]]),"",INDEX(Employees[Job Title],MATCH(JobBonus[[#This Row],[Employee Name]],Employees[Employee Name2],0)))</f>
        <v/>
      </c>
      <c r="J194" s="19" t="str">
        <f>IF(ISBLANK(JobBonus[[#This Row],[Job Prov]]),"",IF(JobBonus[[#This Row],[Job Prov]]=INDEX(Employees[Province],MATCH(JobBonus[[#This Row],[Employee Name]],Employees[Employee Name2],0)),"No","Yes"))</f>
        <v/>
      </c>
      <c r="K194" s="17"/>
      <c r="L194" s="19"/>
      <c r="M194" s="23"/>
      <c r="N194" s="23"/>
      <c r="O194" s="15"/>
      <c r="P194" s="15"/>
      <c r="Q194" s="15"/>
      <c r="R194" s="15"/>
      <c r="S194" s="44" cm="1">
        <f t="array" ref="S1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4" s="44" cm="1">
        <f t="array" ref="T1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4" s="44">
        <f>JobBonus[[#This Row],[Variable Pay]]+JobBonus[[#This Row],[Crew Efficiency Bonus]]</f>
        <v>0</v>
      </c>
      <c r="V194" s="44" cm="1">
        <f t="array" ref="V1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4" s="44" t="b">
        <f>_xlfn.IFNA(EXACT(VLOOKUP(JobBonus[[#This Row],[Pay Type]],PayTypes[#All],4,FALSE),"Yes"),FALSE)</f>
        <v>0</v>
      </c>
      <c r="X194" s="44" cm="1">
        <f t="array" ref="X194">SUMPRODUCT((StandByRates[Position]=JobBonus[[#This Row],[Position]])*(JobBonus[[#This Row],[Area]]=StandByRates[Area])*(StandByRates[Hourly]*JobBonus[[#This Row],[Standby/ Ext 
Hrs]]))</f>
        <v>0</v>
      </c>
      <c r="Y194" s="44">
        <f>JobBonus[[#This Row],[Variable Pay]]+JobBonus[[#This Row],[Crew Efficiency Bonus]]+JobBonus[[#This Row],[OVPP]]+JobBonus[[#This Row],[StandBy/ Ext Amount]]</f>
        <v>0</v>
      </c>
      <c r="Z194" s="80"/>
      <c r="AA194" s="42"/>
      <c r="AB194" s="42"/>
      <c r="AC194"/>
      <c r="AD194"/>
      <c r="AE194"/>
      <c r="AF194"/>
    </row>
    <row r="195" spans="1:32" hidden="1" x14ac:dyDescent="0.25">
      <c r="A195" s="46"/>
      <c r="B195" s="80"/>
      <c r="C195" s="15"/>
      <c r="D195" s="15"/>
      <c r="E195" s="15"/>
      <c r="F195" s="15"/>
      <c r="G195" s="16"/>
      <c r="H195" s="16"/>
      <c r="I195" s="19" t="str">
        <f>IF(ISBLANK(JobBonus[[#This Row],[Employee Name]]),"",INDEX(Employees[Job Title],MATCH(JobBonus[[#This Row],[Employee Name]],Employees[Employee Name2],0)))</f>
        <v/>
      </c>
      <c r="J195" s="19" t="str">
        <f>IF(ISBLANK(JobBonus[[#This Row],[Job Prov]]),"",IF(JobBonus[[#This Row],[Job Prov]]=INDEX(Employees[Province],MATCH(JobBonus[[#This Row],[Employee Name]],Employees[Employee Name2],0)),"No","Yes"))</f>
        <v/>
      </c>
      <c r="K195" s="17"/>
      <c r="L195" s="19"/>
      <c r="M195" s="23"/>
      <c r="N195" s="23"/>
      <c r="O195" s="15"/>
      <c r="P195" s="15"/>
      <c r="Q195" s="15"/>
      <c r="R195" s="15"/>
      <c r="S195" s="44" cm="1">
        <f t="array" ref="S1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5" s="44" cm="1">
        <f t="array" ref="T1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5" s="44">
        <f>JobBonus[[#This Row],[Variable Pay]]+JobBonus[[#This Row],[Crew Efficiency Bonus]]</f>
        <v>0</v>
      </c>
      <c r="V195" s="44" cm="1">
        <f t="array" ref="V1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5" s="44" t="b">
        <f>_xlfn.IFNA(EXACT(VLOOKUP(JobBonus[[#This Row],[Pay Type]],PayTypes[#All],4,FALSE),"Yes"),FALSE)</f>
        <v>0</v>
      </c>
      <c r="X195" s="44" cm="1">
        <f t="array" ref="X195">SUMPRODUCT((StandByRates[Position]=JobBonus[[#This Row],[Position]])*(JobBonus[[#This Row],[Area]]=StandByRates[Area])*(StandByRates[Hourly]*JobBonus[[#This Row],[Standby/ Ext 
Hrs]]))</f>
        <v>0</v>
      </c>
      <c r="Y195" s="44">
        <f>JobBonus[[#This Row],[Variable Pay]]+JobBonus[[#This Row],[Crew Efficiency Bonus]]+JobBonus[[#This Row],[OVPP]]+JobBonus[[#This Row],[StandBy/ Ext Amount]]</f>
        <v>0</v>
      </c>
      <c r="Z195" s="80"/>
      <c r="AA195" s="42"/>
      <c r="AB195" s="42"/>
      <c r="AC195"/>
      <c r="AD195"/>
      <c r="AE195"/>
      <c r="AF195"/>
    </row>
    <row r="196" spans="1:32" hidden="1" x14ac:dyDescent="0.25">
      <c r="A196" s="46"/>
      <c r="B196" s="80"/>
      <c r="C196" s="15"/>
      <c r="D196" s="15"/>
      <c r="E196" s="15"/>
      <c r="F196" s="15"/>
      <c r="G196" s="16"/>
      <c r="H196" s="16"/>
      <c r="I196" s="19" t="str">
        <f>IF(ISBLANK(JobBonus[[#This Row],[Employee Name]]),"",INDEX(Employees[Job Title],MATCH(JobBonus[[#This Row],[Employee Name]],Employees[Employee Name2],0)))</f>
        <v/>
      </c>
      <c r="J196" s="19" t="str">
        <f>IF(ISBLANK(JobBonus[[#This Row],[Job Prov]]),"",IF(JobBonus[[#This Row],[Job Prov]]=INDEX(Employees[Province],MATCH(JobBonus[[#This Row],[Employee Name]],Employees[Employee Name2],0)),"No","Yes"))</f>
        <v/>
      </c>
      <c r="K196" s="17"/>
      <c r="L196" s="19"/>
      <c r="M196" s="23"/>
      <c r="N196" s="23"/>
      <c r="O196" s="15"/>
      <c r="P196" s="15"/>
      <c r="Q196" s="15"/>
      <c r="R196" s="15"/>
      <c r="S196" s="44" cm="1">
        <f t="array" ref="S1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6" s="44" cm="1">
        <f t="array" ref="T1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6" s="44">
        <f>JobBonus[[#This Row],[Variable Pay]]+JobBonus[[#This Row],[Crew Efficiency Bonus]]</f>
        <v>0</v>
      </c>
      <c r="V196" s="44" cm="1">
        <f t="array" ref="V1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6" s="44" t="b">
        <f>_xlfn.IFNA(EXACT(VLOOKUP(JobBonus[[#This Row],[Pay Type]],PayTypes[#All],4,FALSE),"Yes"),FALSE)</f>
        <v>0</v>
      </c>
      <c r="X196" s="44" cm="1">
        <f t="array" ref="X196">SUMPRODUCT((StandByRates[Position]=JobBonus[[#This Row],[Position]])*(JobBonus[[#This Row],[Area]]=StandByRates[Area])*(StandByRates[Hourly]*JobBonus[[#This Row],[Standby/ Ext 
Hrs]]))</f>
        <v>0</v>
      </c>
      <c r="Y196" s="44">
        <f>JobBonus[[#This Row],[Variable Pay]]+JobBonus[[#This Row],[Crew Efficiency Bonus]]+JobBonus[[#This Row],[OVPP]]+JobBonus[[#This Row],[StandBy/ Ext Amount]]</f>
        <v>0</v>
      </c>
      <c r="Z196" s="80"/>
      <c r="AA196" s="42"/>
      <c r="AB196" s="42"/>
      <c r="AC196"/>
      <c r="AD196"/>
      <c r="AE196"/>
      <c r="AF196"/>
    </row>
    <row r="197" spans="1:32" hidden="1" x14ac:dyDescent="0.25">
      <c r="A197" s="46"/>
      <c r="B197" s="80"/>
      <c r="C197" s="15"/>
      <c r="D197" s="15"/>
      <c r="E197" s="15"/>
      <c r="F197" s="15"/>
      <c r="G197" s="16"/>
      <c r="H197" s="16"/>
      <c r="I197" s="19" t="str">
        <f>IF(ISBLANK(JobBonus[[#This Row],[Employee Name]]),"",INDEX(Employees[Job Title],MATCH(JobBonus[[#This Row],[Employee Name]],Employees[Employee Name2],0)))</f>
        <v/>
      </c>
      <c r="J197" s="19" t="str">
        <f>IF(ISBLANK(JobBonus[[#This Row],[Job Prov]]),"",IF(JobBonus[[#This Row],[Job Prov]]=INDEX(Employees[Province],MATCH(JobBonus[[#This Row],[Employee Name]],Employees[Employee Name2],0)),"No","Yes"))</f>
        <v/>
      </c>
      <c r="K197" s="17"/>
      <c r="L197" s="19"/>
      <c r="M197" s="23"/>
      <c r="N197" s="23"/>
      <c r="O197" s="15"/>
      <c r="P197" s="15"/>
      <c r="Q197" s="15"/>
      <c r="R197" s="15"/>
      <c r="S197" s="44" cm="1">
        <f t="array" ref="S1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7" s="44" cm="1">
        <f t="array" ref="T1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7" s="44">
        <f>JobBonus[[#This Row],[Variable Pay]]+JobBonus[[#This Row],[Crew Efficiency Bonus]]</f>
        <v>0</v>
      </c>
      <c r="V197" s="44" cm="1">
        <f t="array" ref="V1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7" s="44" t="b">
        <f>_xlfn.IFNA(EXACT(VLOOKUP(JobBonus[[#This Row],[Pay Type]],PayTypes[#All],4,FALSE),"Yes"),FALSE)</f>
        <v>0</v>
      </c>
      <c r="X197" s="44" cm="1">
        <f t="array" ref="X197">SUMPRODUCT((StandByRates[Position]=JobBonus[[#This Row],[Position]])*(JobBonus[[#This Row],[Area]]=StandByRates[Area])*(StandByRates[Hourly]*JobBonus[[#This Row],[Standby/ Ext 
Hrs]]))</f>
        <v>0</v>
      </c>
      <c r="Y197" s="44">
        <f>JobBonus[[#This Row],[Variable Pay]]+JobBonus[[#This Row],[Crew Efficiency Bonus]]+JobBonus[[#This Row],[OVPP]]+JobBonus[[#This Row],[StandBy/ Ext Amount]]</f>
        <v>0</v>
      </c>
      <c r="Z197" s="80"/>
      <c r="AA197" s="42"/>
      <c r="AB197" s="42"/>
      <c r="AC197"/>
      <c r="AD197"/>
      <c r="AE197"/>
      <c r="AF197"/>
    </row>
    <row r="198" spans="1:32" hidden="1" x14ac:dyDescent="0.25">
      <c r="A198" s="46"/>
      <c r="B198" s="80"/>
      <c r="C198" s="15"/>
      <c r="D198" s="15"/>
      <c r="E198" s="15"/>
      <c r="F198" s="15"/>
      <c r="G198" s="16"/>
      <c r="H198" s="16"/>
      <c r="I198" s="19" t="str">
        <f>IF(ISBLANK(JobBonus[[#This Row],[Employee Name]]),"",INDEX(Employees[Job Title],MATCH(JobBonus[[#This Row],[Employee Name]],Employees[Employee Name2],0)))</f>
        <v/>
      </c>
      <c r="J198" s="19" t="str">
        <f>IF(ISBLANK(JobBonus[[#This Row],[Job Prov]]),"",IF(JobBonus[[#This Row],[Job Prov]]=INDEX(Employees[Province],MATCH(JobBonus[[#This Row],[Employee Name]],Employees[Employee Name2],0)),"No","Yes"))</f>
        <v/>
      </c>
      <c r="K198" s="17"/>
      <c r="L198" s="19"/>
      <c r="M198" s="23"/>
      <c r="N198" s="23"/>
      <c r="O198" s="15"/>
      <c r="P198" s="15"/>
      <c r="Q198" s="15"/>
      <c r="R198" s="15"/>
      <c r="S198" s="44" cm="1">
        <f t="array" ref="S1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8" s="44" cm="1">
        <f t="array" ref="T1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8" s="44">
        <f>JobBonus[[#This Row],[Variable Pay]]+JobBonus[[#This Row],[Crew Efficiency Bonus]]</f>
        <v>0</v>
      </c>
      <c r="V198" s="44" cm="1">
        <f t="array" ref="V1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8" s="44" t="b">
        <f>_xlfn.IFNA(EXACT(VLOOKUP(JobBonus[[#This Row],[Pay Type]],PayTypes[#All],4,FALSE),"Yes"),FALSE)</f>
        <v>0</v>
      </c>
      <c r="X198" s="44" cm="1">
        <f t="array" ref="X198">SUMPRODUCT((StandByRates[Position]=JobBonus[[#This Row],[Position]])*(JobBonus[[#This Row],[Area]]=StandByRates[Area])*(StandByRates[Hourly]*JobBonus[[#This Row],[Standby/ Ext 
Hrs]]))</f>
        <v>0</v>
      </c>
      <c r="Y198" s="44">
        <f>JobBonus[[#This Row],[Variable Pay]]+JobBonus[[#This Row],[Crew Efficiency Bonus]]+JobBonus[[#This Row],[OVPP]]+JobBonus[[#This Row],[StandBy/ Ext Amount]]</f>
        <v>0</v>
      </c>
      <c r="Z198" s="80"/>
      <c r="AA198" s="42"/>
      <c r="AB198" s="42"/>
      <c r="AC198"/>
      <c r="AD198"/>
      <c r="AE198"/>
      <c r="AF198"/>
    </row>
    <row r="199" spans="1:32" hidden="1" x14ac:dyDescent="0.25">
      <c r="A199" s="46"/>
      <c r="B199" s="80"/>
      <c r="C199" s="15"/>
      <c r="D199" s="15"/>
      <c r="E199" s="15"/>
      <c r="F199" s="15"/>
      <c r="G199" s="16"/>
      <c r="H199" s="16"/>
      <c r="I199" s="19" t="str">
        <f>IF(ISBLANK(JobBonus[[#This Row],[Employee Name]]),"",INDEX(Employees[Job Title],MATCH(JobBonus[[#This Row],[Employee Name]],Employees[Employee Name2],0)))</f>
        <v/>
      </c>
      <c r="J199" s="19" t="str">
        <f>IF(ISBLANK(JobBonus[[#This Row],[Job Prov]]),"",IF(JobBonus[[#This Row],[Job Prov]]=INDEX(Employees[Province],MATCH(JobBonus[[#This Row],[Employee Name]],Employees[Employee Name2],0)),"No","Yes"))</f>
        <v/>
      </c>
      <c r="K199" s="17"/>
      <c r="L199" s="19"/>
      <c r="M199" s="23"/>
      <c r="N199" s="23"/>
      <c r="O199" s="15"/>
      <c r="P199" s="15"/>
      <c r="Q199" s="15"/>
      <c r="R199" s="15"/>
      <c r="S199" s="44" cm="1">
        <f t="array" ref="S1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9" s="44" cm="1">
        <f t="array" ref="T1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9" s="44">
        <f>JobBonus[[#This Row],[Variable Pay]]+JobBonus[[#This Row],[Crew Efficiency Bonus]]</f>
        <v>0</v>
      </c>
      <c r="V199" s="44" cm="1">
        <f t="array" ref="V1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9" s="44" t="b">
        <f>_xlfn.IFNA(EXACT(VLOOKUP(JobBonus[[#This Row],[Pay Type]],PayTypes[#All],4,FALSE),"Yes"),FALSE)</f>
        <v>0</v>
      </c>
      <c r="X199" s="44" cm="1">
        <f t="array" ref="X199">SUMPRODUCT((StandByRates[Position]=JobBonus[[#This Row],[Position]])*(JobBonus[[#This Row],[Area]]=StandByRates[Area])*(StandByRates[Hourly]*JobBonus[[#This Row],[Standby/ Ext 
Hrs]]))</f>
        <v>0</v>
      </c>
      <c r="Y199" s="44">
        <f>JobBonus[[#This Row],[Variable Pay]]+JobBonus[[#This Row],[Crew Efficiency Bonus]]+JobBonus[[#This Row],[OVPP]]+JobBonus[[#This Row],[StandBy/ Ext Amount]]</f>
        <v>0</v>
      </c>
      <c r="Z199" s="80"/>
      <c r="AA199" s="42"/>
      <c r="AB199" s="42"/>
      <c r="AC199"/>
      <c r="AD199"/>
      <c r="AE199"/>
      <c r="AF199"/>
    </row>
    <row r="200" spans="1:32" hidden="1" x14ac:dyDescent="0.25">
      <c r="A200" s="46"/>
      <c r="B200" s="80"/>
      <c r="C200" s="15"/>
      <c r="D200" s="15"/>
      <c r="E200" s="15"/>
      <c r="F200" s="15"/>
      <c r="G200" s="16"/>
      <c r="H200" s="16"/>
      <c r="I200" s="19" t="str">
        <f>IF(ISBLANK(JobBonus[[#This Row],[Employee Name]]),"",INDEX(Employees[Job Title],MATCH(JobBonus[[#This Row],[Employee Name]],Employees[Employee Name2],0)))</f>
        <v/>
      </c>
      <c r="J200" s="19" t="str">
        <f>IF(ISBLANK(JobBonus[[#This Row],[Job Prov]]),"",IF(JobBonus[[#This Row],[Job Prov]]=INDEX(Employees[Province],MATCH(JobBonus[[#This Row],[Employee Name]],Employees[Employee Name2],0)),"No","Yes"))</f>
        <v/>
      </c>
      <c r="K200" s="17"/>
      <c r="L200" s="19"/>
      <c r="M200" s="23"/>
      <c r="N200" s="23"/>
      <c r="O200" s="15"/>
      <c r="P200" s="15"/>
      <c r="Q200" s="15"/>
      <c r="R200" s="15"/>
      <c r="S200" s="44" cm="1">
        <f t="array" ref="S2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0" s="44" cm="1">
        <f t="array" ref="T2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0" s="44">
        <f>JobBonus[[#This Row],[Variable Pay]]+JobBonus[[#This Row],[Crew Efficiency Bonus]]</f>
        <v>0</v>
      </c>
      <c r="V200" s="44" cm="1">
        <f t="array" ref="V2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0" s="44" t="b">
        <f>_xlfn.IFNA(EXACT(VLOOKUP(JobBonus[[#This Row],[Pay Type]],PayTypes[#All],4,FALSE),"Yes"),FALSE)</f>
        <v>0</v>
      </c>
      <c r="X200" s="44" cm="1">
        <f t="array" ref="X200">SUMPRODUCT((StandByRates[Position]=JobBonus[[#This Row],[Position]])*(JobBonus[[#This Row],[Area]]=StandByRates[Area])*(StandByRates[Hourly]*JobBonus[[#This Row],[Standby/ Ext 
Hrs]]))</f>
        <v>0</v>
      </c>
      <c r="Y200" s="44">
        <f>JobBonus[[#This Row],[Variable Pay]]+JobBonus[[#This Row],[Crew Efficiency Bonus]]+JobBonus[[#This Row],[OVPP]]+JobBonus[[#This Row],[StandBy/ Ext Amount]]</f>
        <v>0</v>
      </c>
      <c r="Z200" s="80"/>
      <c r="AA200" s="42"/>
      <c r="AB200" s="42"/>
      <c r="AC200"/>
      <c r="AD200"/>
      <c r="AE200"/>
      <c r="AF200"/>
    </row>
    <row r="201" spans="1:32" hidden="1" x14ac:dyDescent="0.25">
      <c r="A201" s="46"/>
      <c r="B201" s="80"/>
      <c r="C201" s="15"/>
      <c r="D201" s="15"/>
      <c r="E201" s="15"/>
      <c r="F201" s="15"/>
      <c r="G201" s="16"/>
      <c r="H201" s="16"/>
      <c r="I201" s="19" t="str">
        <f>IF(ISBLANK(JobBonus[[#This Row],[Employee Name]]),"",INDEX(Employees[Job Title],MATCH(JobBonus[[#This Row],[Employee Name]],Employees[Employee Name2],0)))</f>
        <v/>
      </c>
      <c r="J201" s="19" t="str">
        <f>IF(ISBLANK(JobBonus[[#This Row],[Job Prov]]),"",IF(JobBonus[[#This Row],[Job Prov]]=INDEX(Employees[Province],MATCH(JobBonus[[#This Row],[Employee Name]],Employees[Employee Name2],0)),"No","Yes"))</f>
        <v/>
      </c>
      <c r="K201" s="17"/>
      <c r="L201" s="19"/>
      <c r="M201" s="23"/>
      <c r="N201" s="23"/>
      <c r="O201" s="15"/>
      <c r="P201" s="15"/>
      <c r="Q201" s="15"/>
      <c r="R201" s="15"/>
      <c r="S201" s="44" cm="1">
        <f t="array" ref="S2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1" s="44" cm="1">
        <f t="array" ref="T2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1" s="44">
        <f>JobBonus[[#This Row],[Variable Pay]]+JobBonus[[#This Row],[Crew Efficiency Bonus]]</f>
        <v>0</v>
      </c>
      <c r="V201" s="44" cm="1">
        <f t="array" ref="V2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1" s="44" t="b">
        <f>_xlfn.IFNA(EXACT(VLOOKUP(JobBonus[[#This Row],[Pay Type]],PayTypes[#All],4,FALSE),"Yes"),FALSE)</f>
        <v>0</v>
      </c>
      <c r="X201" s="44" cm="1">
        <f t="array" ref="X201">SUMPRODUCT((StandByRates[Position]=JobBonus[[#This Row],[Position]])*(JobBonus[[#This Row],[Area]]=StandByRates[Area])*(StandByRates[Hourly]*JobBonus[[#This Row],[Standby/ Ext 
Hrs]]))</f>
        <v>0</v>
      </c>
      <c r="Y201" s="44">
        <f>JobBonus[[#This Row],[Variable Pay]]+JobBonus[[#This Row],[Crew Efficiency Bonus]]+JobBonus[[#This Row],[OVPP]]+JobBonus[[#This Row],[StandBy/ Ext Amount]]</f>
        <v>0</v>
      </c>
      <c r="Z201" s="80"/>
      <c r="AA201" s="42"/>
      <c r="AB201" s="42"/>
      <c r="AC201"/>
      <c r="AD201"/>
      <c r="AE201"/>
      <c r="AF201"/>
    </row>
    <row r="202" spans="1:32" hidden="1" x14ac:dyDescent="0.25">
      <c r="A202" s="46"/>
      <c r="B202" s="80"/>
      <c r="C202" s="15"/>
      <c r="D202" s="15"/>
      <c r="E202" s="15"/>
      <c r="F202" s="15"/>
      <c r="G202" s="16"/>
      <c r="H202" s="16"/>
      <c r="I202" s="19" t="str">
        <f>IF(ISBLANK(JobBonus[[#This Row],[Employee Name]]),"",INDEX(Employees[Job Title],MATCH(JobBonus[[#This Row],[Employee Name]],Employees[Employee Name2],0)))</f>
        <v/>
      </c>
      <c r="J202" s="19" t="str">
        <f>IF(ISBLANK(JobBonus[[#This Row],[Job Prov]]),"",IF(JobBonus[[#This Row],[Job Prov]]=INDEX(Employees[Province],MATCH(JobBonus[[#This Row],[Employee Name]],Employees[Employee Name2],0)),"No","Yes"))</f>
        <v/>
      </c>
      <c r="K202" s="17"/>
      <c r="L202" s="19"/>
      <c r="M202" s="23"/>
      <c r="N202" s="23"/>
      <c r="O202" s="15"/>
      <c r="P202" s="15"/>
      <c r="Q202" s="15"/>
      <c r="R202" s="15"/>
      <c r="S202" s="44" cm="1">
        <f t="array" ref="S2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2" s="44" cm="1">
        <f t="array" ref="T2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2" s="44">
        <f>JobBonus[[#This Row],[Variable Pay]]+JobBonus[[#This Row],[Crew Efficiency Bonus]]</f>
        <v>0</v>
      </c>
      <c r="V202" s="44" cm="1">
        <f t="array" ref="V2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2" s="44" t="b">
        <f>_xlfn.IFNA(EXACT(VLOOKUP(JobBonus[[#This Row],[Pay Type]],PayTypes[#All],4,FALSE),"Yes"),FALSE)</f>
        <v>0</v>
      </c>
      <c r="X202" s="44" cm="1">
        <f t="array" ref="X202">SUMPRODUCT((StandByRates[Position]=JobBonus[[#This Row],[Position]])*(JobBonus[[#This Row],[Area]]=StandByRates[Area])*(StandByRates[Hourly]*JobBonus[[#This Row],[Standby/ Ext 
Hrs]]))</f>
        <v>0</v>
      </c>
      <c r="Y202" s="44">
        <f>JobBonus[[#This Row],[Variable Pay]]+JobBonus[[#This Row],[Crew Efficiency Bonus]]+JobBonus[[#This Row],[OVPP]]+JobBonus[[#This Row],[StandBy/ Ext Amount]]</f>
        <v>0</v>
      </c>
      <c r="Z202" s="80"/>
      <c r="AA202" s="42"/>
      <c r="AB202" s="42"/>
      <c r="AC202"/>
      <c r="AD202"/>
      <c r="AE202"/>
      <c r="AF202"/>
    </row>
    <row r="203" spans="1:32" hidden="1" x14ac:dyDescent="0.25">
      <c r="A203" s="46"/>
      <c r="B203" s="80"/>
      <c r="C203" s="15"/>
      <c r="D203" s="15"/>
      <c r="E203" s="15"/>
      <c r="F203" s="15"/>
      <c r="G203" s="16"/>
      <c r="H203" s="16"/>
      <c r="I203" s="19" t="str">
        <f>IF(ISBLANK(JobBonus[[#This Row],[Employee Name]]),"",INDEX(Employees[Job Title],MATCH(JobBonus[[#This Row],[Employee Name]],Employees[Employee Name2],0)))</f>
        <v/>
      </c>
      <c r="J203" s="19" t="str">
        <f>IF(ISBLANK(JobBonus[[#This Row],[Job Prov]]),"",IF(JobBonus[[#This Row],[Job Prov]]=INDEX(Employees[Province],MATCH(JobBonus[[#This Row],[Employee Name]],Employees[Employee Name2],0)),"No","Yes"))</f>
        <v/>
      </c>
      <c r="K203" s="17"/>
      <c r="L203" s="19"/>
      <c r="M203" s="23"/>
      <c r="N203" s="23"/>
      <c r="O203" s="15"/>
      <c r="P203" s="15"/>
      <c r="Q203" s="15"/>
      <c r="R203" s="15"/>
      <c r="S203" s="44" cm="1">
        <f t="array" ref="S2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3" s="44" cm="1">
        <f t="array" ref="T2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3" s="44">
        <f>JobBonus[[#This Row],[Variable Pay]]+JobBonus[[#This Row],[Crew Efficiency Bonus]]</f>
        <v>0</v>
      </c>
      <c r="V203" s="44" cm="1">
        <f t="array" ref="V2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3" s="44" t="b">
        <f>_xlfn.IFNA(EXACT(VLOOKUP(JobBonus[[#This Row],[Pay Type]],PayTypes[#All],4,FALSE),"Yes"),FALSE)</f>
        <v>0</v>
      </c>
      <c r="X203" s="44" cm="1">
        <f t="array" ref="X203">SUMPRODUCT((StandByRates[Position]=JobBonus[[#This Row],[Position]])*(JobBonus[[#This Row],[Area]]=StandByRates[Area])*(StandByRates[Hourly]*JobBonus[[#This Row],[Standby/ Ext 
Hrs]]))</f>
        <v>0</v>
      </c>
      <c r="Y203" s="44">
        <f>JobBonus[[#This Row],[Variable Pay]]+JobBonus[[#This Row],[Crew Efficiency Bonus]]+JobBonus[[#This Row],[OVPP]]+JobBonus[[#This Row],[StandBy/ Ext Amount]]</f>
        <v>0</v>
      </c>
      <c r="Z203" s="80"/>
      <c r="AA203" s="42"/>
      <c r="AB203" s="42"/>
      <c r="AC203"/>
      <c r="AD203"/>
      <c r="AE203"/>
      <c r="AF203"/>
    </row>
    <row r="204" spans="1:32" hidden="1" x14ac:dyDescent="0.25">
      <c r="A204" s="46"/>
      <c r="B204" s="80"/>
      <c r="C204" s="15"/>
      <c r="D204" s="15"/>
      <c r="E204" s="15"/>
      <c r="F204" s="15"/>
      <c r="G204" s="16"/>
      <c r="H204" s="16"/>
      <c r="I204" s="19" t="str">
        <f>IF(ISBLANK(JobBonus[[#This Row],[Employee Name]]),"",INDEX(Employees[Job Title],MATCH(JobBonus[[#This Row],[Employee Name]],Employees[Employee Name2],0)))</f>
        <v/>
      </c>
      <c r="J204" s="19" t="str">
        <f>IF(ISBLANK(JobBonus[[#This Row],[Job Prov]]),"",IF(JobBonus[[#This Row],[Job Prov]]=INDEX(Employees[Province],MATCH(JobBonus[[#This Row],[Employee Name]],Employees[Employee Name2],0)),"No","Yes"))</f>
        <v/>
      </c>
      <c r="K204" s="17"/>
      <c r="L204" s="19"/>
      <c r="M204" s="23"/>
      <c r="N204" s="23"/>
      <c r="O204" s="15"/>
      <c r="P204" s="15"/>
      <c r="Q204" s="15"/>
      <c r="R204" s="15"/>
      <c r="S204" s="44" cm="1">
        <f t="array" ref="S2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4" s="44" cm="1">
        <f t="array" ref="T2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4" s="44">
        <f>JobBonus[[#This Row],[Variable Pay]]+JobBonus[[#This Row],[Crew Efficiency Bonus]]</f>
        <v>0</v>
      </c>
      <c r="V204" s="44" cm="1">
        <f t="array" ref="V2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4" s="44" t="b">
        <f>_xlfn.IFNA(EXACT(VLOOKUP(JobBonus[[#This Row],[Pay Type]],PayTypes[#All],4,FALSE),"Yes"),FALSE)</f>
        <v>0</v>
      </c>
      <c r="X204" s="44" cm="1">
        <f t="array" ref="X204">SUMPRODUCT((StandByRates[Position]=JobBonus[[#This Row],[Position]])*(JobBonus[[#This Row],[Area]]=StandByRates[Area])*(StandByRates[Hourly]*JobBonus[[#This Row],[Standby/ Ext 
Hrs]]))</f>
        <v>0</v>
      </c>
      <c r="Y204" s="44">
        <f>JobBonus[[#This Row],[Variable Pay]]+JobBonus[[#This Row],[Crew Efficiency Bonus]]+JobBonus[[#This Row],[OVPP]]+JobBonus[[#This Row],[StandBy/ Ext Amount]]</f>
        <v>0</v>
      </c>
      <c r="Z204" s="80"/>
      <c r="AA204" s="42"/>
      <c r="AB204" s="42"/>
      <c r="AC204"/>
      <c r="AD204"/>
      <c r="AE204"/>
      <c r="AF204"/>
    </row>
    <row r="205" spans="1:32" hidden="1" x14ac:dyDescent="0.25">
      <c r="A205" s="46"/>
      <c r="B205" s="80"/>
      <c r="C205" s="15"/>
      <c r="D205" s="15"/>
      <c r="E205" s="15"/>
      <c r="F205" s="15"/>
      <c r="G205" s="16"/>
      <c r="H205" s="16"/>
      <c r="I205" s="19" t="str">
        <f>IF(ISBLANK(JobBonus[[#This Row],[Employee Name]]),"",INDEX(Employees[Job Title],MATCH(JobBonus[[#This Row],[Employee Name]],Employees[Employee Name2],0)))</f>
        <v/>
      </c>
      <c r="J205" s="19" t="str">
        <f>IF(ISBLANK(JobBonus[[#This Row],[Job Prov]]),"",IF(JobBonus[[#This Row],[Job Prov]]=INDEX(Employees[Province],MATCH(JobBonus[[#This Row],[Employee Name]],Employees[Employee Name2],0)),"No","Yes"))</f>
        <v/>
      </c>
      <c r="K205" s="17"/>
      <c r="L205" s="19"/>
      <c r="M205" s="23"/>
      <c r="N205" s="23"/>
      <c r="O205" s="15"/>
      <c r="P205" s="15"/>
      <c r="Q205" s="15"/>
      <c r="R205" s="15"/>
      <c r="S205" s="44" cm="1">
        <f t="array" ref="S2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5" s="44" cm="1">
        <f t="array" ref="T2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5" s="44">
        <f>JobBonus[[#This Row],[Variable Pay]]+JobBonus[[#This Row],[Crew Efficiency Bonus]]</f>
        <v>0</v>
      </c>
      <c r="V205" s="44" cm="1">
        <f t="array" ref="V2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5" s="44" t="b">
        <f>_xlfn.IFNA(EXACT(VLOOKUP(JobBonus[[#This Row],[Pay Type]],PayTypes[#All],4,FALSE),"Yes"),FALSE)</f>
        <v>0</v>
      </c>
      <c r="X205" s="44" cm="1">
        <f t="array" ref="X205">SUMPRODUCT((StandByRates[Position]=JobBonus[[#This Row],[Position]])*(JobBonus[[#This Row],[Area]]=StandByRates[Area])*(StandByRates[Hourly]*JobBonus[[#This Row],[Standby/ Ext 
Hrs]]))</f>
        <v>0</v>
      </c>
      <c r="Y205" s="44">
        <f>JobBonus[[#This Row],[Variable Pay]]+JobBonus[[#This Row],[Crew Efficiency Bonus]]+JobBonus[[#This Row],[OVPP]]+JobBonus[[#This Row],[StandBy/ Ext Amount]]</f>
        <v>0</v>
      </c>
      <c r="Z205" s="80"/>
      <c r="AA205" s="42"/>
      <c r="AB205" s="42"/>
      <c r="AC205"/>
      <c r="AD205"/>
      <c r="AE205"/>
      <c r="AF205"/>
    </row>
    <row r="206" spans="1:32" hidden="1" x14ac:dyDescent="0.25">
      <c r="A206" s="46"/>
      <c r="B206" s="80"/>
      <c r="C206" s="15"/>
      <c r="D206" s="15"/>
      <c r="E206" s="15"/>
      <c r="F206" s="15"/>
      <c r="G206" s="16"/>
      <c r="H206" s="16"/>
      <c r="I206" s="19" t="str">
        <f>IF(ISBLANK(JobBonus[[#This Row],[Employee Name]]),"",INDEX(Employees[Job Title],MATCH(JobBonus[[#This Row],[Employee Name]],Employees[Employee Name2],0)))</f>
        <v/>
      </c>
      <c r="J206" s="19" t="str">
        <f>IF(ISBLANK(JobBonus[[#This Row],[Job Prov]]),"",IF(JobBonus[[#This Row],[Job Prov]]=INDEX(Employees[Province],MATCH(JobBonus[[#This Row],[Employee Name]],Employees[Employee Name2],0)),"No","Yes"))</f>
        <v/>
      </c>
      <c r="K206" s="17"/>
      <c r="L206" s="19"/>
      <c r="M206" s="23"/>
      <c r="N206" s="23"/>
      <c r="O206" s="15"/>
      <c r="P206" s="15"/>
      <c r="Q206" s="15"/>
      <c r="R206" s="15"/>
      <c r="S206" s="44" cm="1">
        <f t="array" ref="S2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6" s="44" cm="1">
        <f t="array" ref="T2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6" s="44">
        <f>JobBonus[[#This Row],[Variable Pay]]+JobBonus[[#This Row],[Crew Efficiency Bonus]]</f>
        <v>0</v>
      </c>
      <c r="V206" s="44" cm="1">
        <f t="array" ref="V2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6" s="44" t="b">
        <f>_xlfn.IFNA(EXACT(VLOOKUP(JobBonus[[#This Row],[Pay Type]],PayTypes[#All],4,FALSE),"Yes"),FALSE)</f>
        <v>0</v>
      </c>
      <c r="X206" s="44" cm="1">
        <f t="array" ref="X206">SUMPRODUCT((StandByRates[Position]=JobBonus[[#This Row],[Position]])*(JobBonus[[#This Row],[Area]]=StandByRates[Area])*(StandByRates[Hourly]*JobBonus[[#This Row],[Standby/ Ext 
Hrs]]))</f>
        <v>0</v>
      </c>
      <c r="Y206" s="44">
        <f>JobBonus[[#This Row],[Variable Pay]]+JobBonus[[#This Row],[Crew Efficiency Bonus]]+JobBonus[[#This Row],[OVPP]]+JobBonus[[#This Row],[StandBy/ Ext Amount]]</f>
        <v>0</v>
      </c>
      <c r="Z206" s="80"/>
      <c r="AA206" s="42"/>
      <c r="AB206" s="42"/>
      <c r="AC206"/>
      <c r="AD206"/>
      <c r="AE206"/>
      <c r="AF206"/>
    </row>
    <row r="207" spans="1:32" hidden="1" x14ac:dyDescent="0.25">
      <c r="A207" s="46"/>
      <c r="B207" s="80"/>
      <c r="C207" s="15"/>
      <c r="D207" s="15"/>
      <c r="E207" s="15"/>
      <c r="F207" s="15"/>
      <c r="G207" s="16"/>
      <c r="H207" s="16"/>
      <c r="I207" s="19" t="str">
        <f>IF(ISBLANK(JobBonus[[#This Row],[Employee Name]]),"",INDEX(Employees[Job Title],MATCH(JobBonus[[#This Row],[Employee Name]],Employees[Employee Name2],0)))</f>
        <v/>
      </c>
      <c r="J207" s="19" t="str">
        <f>IF(ISBLANK(JobBonus[[#This Row],[Job Prov]]),"",IF(JobBonus[[#This Row],[Job Prov]]=INDEX(Employees[Province],MATCH(JobBonus[[#This Row],[Employee Name]],Employees[Employee Name2],0)),"No","Yes"))</f>
        <v/>
      </c>
      <c r="K207" s="17"/>
      <c r="L207" s="19"/>
      <c r="M207" s="23"/>
      <c r="N207" s="23"/>
      <c r="O207" s="15"/>
      <c r="P207" s="15"/>
      <c r="Q207" s="15"/>
      <c r="R207" s="15"/>
      <c r="S207" s="44" cm="1">
        <f t="array" ref="S2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7" s="44" cm="1">
        <f t="array" ref="T2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7" s="44">
        <f>JobBonus[[#This Row],[Variable Pay]]+JobBonus[[#This Row],[Crew Efficiency Bonus]]</f>
        <v>0</v>
      </c>
      <c r="V207" s="44" cm="1">
        <f t="array" ref="V2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7" s="44" t="b">
        <f>_xlfn.IFNA(EXACT(VLOOKUP(JobBonus[[#This Row],[Pay Type]],PayTypes[#All],4,FALSE),"Yes"),FALSE)</f>
        <v>0</v>
      </c>
      <c r="X207" s="44" cm="1">
        <f t="array" ref="X207">SUMPRODUCT((StandByRates[Position]=JobBonus[[#This Row],[Position]])*(JobBonus[[#This Row],[Area]]=StandByRates[Area])*(StandByRates[Hourly]*JobBonus[[#This Row],[Standby/ Ext 
Hrs]]))</f>
        <v>0</v>
      </c>
      <c r="Y207" s="44">
        <f>JobBonus[[#This Row],[Variable Pay]]+JobBonus[[#This Row],[Crew Efficiency Bonus]]+JobBonus[[#This Row],[OVPP]]+JobBonus[[#This Row],[StandBy/ Ext Amount]]</f>
        <v>0</v>
      </c>
      <c r="Z207" s="80"/>
      <c r="AA207" s="42"/>
      <c r="AB207" s="42"/>
      <c r="AC207"/>
      <c r="AD207"/>
      <c r="AE207"/>
      <c r="AF207"/>
    </row>
    <row r="208" spans="1:32" hidden="1" x14ac:dyDescent="0.25">
      <c r="A208" s="46"/>
      <c r="B208" s="80"/>
      <c r="C208" s="15"/>
      <c r="D208" s="15"/>
      <c r="E208" s="15"/>
      <c r="F208" s="15"/>
      <c r="G208" s="16"/>
      <c r="H208" s="16"/>
      <c r="I208" s="19" t="str">
        <f>IF(ISBLANK(JobBonus[[#This Row],[Employee Name]]),"",INDEX(Employees[Job Title],MATCH(JobBonus[[#This Row],[Employee Name]],Employees[Employee Name2],0)))</f>
        <v/>
      </c>
      <c r="J208" s="19" t="str">
        <f>IF(ISBLANK(JobBonus[[#This Row],[Job Prov]]),"",IF(JobBonus[[#This Row],[Job Prov]]=INDEX(Employees[Province],MATCH(JobBonus[[#This Row],[Employee Name]],Employees[Employee Name2],0)),"No","Yes"))</f>
        <v/>
      </c>
      <c r="K208" s="17"/>
      <c r="L208" s="19"/>
      <c r="M208" s="23"/>
      <c r="N208" s="23"/>
      <c r="O208" s="15"/>
      <c r="P208" s="15"/>
      <c r="Q208" s="15"/>
      <c r="R208" s="15"/>
      <c r="S208" s="44" cm="1">
        <f t="array" ref="S2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8" s="44" cm="1">
        <f t="array" ref="T2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8" s="44">
        <f>JobBonus[[#This Row],[Variable Pay]]+JobBonus[[#This Row],[Crew Efficiency Bonus]]</f>
        <v>0</v>
      </c>
      <c r="V208" s="44" cm="1">
        <f t="array" ref="V2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8" s="44" t="b">
        <f>_xlfn.IFNA(EXACT(VLOOKUP(JobBonus[[#This Row],[Pay Type]],PayTypes[#All],4,FALSE),"Yes"),FALSE)</f>
        <v>0</v>
      </c>
      <c r="X208" s="44" cm="1">
        <f t="array" ref="X208">SUMPRODUCT((StandByRates[Position]=JobBonus[[#This Row],[Position]])*(JobBonus[[#This Row],[Area]]=StandByRates[Area])*(StandByRates[Hourly]*JobBonus[[#This Row],[Standby/ Ext 
Hrs]]))</f>
        <v>0</v>
      </c>
      <c r="Y208" s="44">
        <f>JobBonus[[#This Row],[Variable Pay]]+JobBonus[[#This Row],[Crew Efficiency Bonus]]+JobBonus[[#This Row],[OVPP]]+JobBonus[[#This Row],[StandBy/ Ext Amount]]</f>
        <v>0</v>
      </c>
      <c r="Z208" s="80"/>
      <c r="AA208" s="42"/>
      <c r="AB208" s="42"/>
      <c r="AC208"/>
      <c r="AD208"/>
      <c r="AE208"/>
      <c r="AF208"/>
    </row>
    <row r="209" spans="1:32" hidden="1" x14ac:dyDescent="0.25">
      <c r="A209" s="46"/>
      <c r="B209" s="80"/>
      <c r="C209" s="15"/>
      <c r="D209" s="15"/>
      <c r="E209" s="15"/>
      <c r="F209" s="15"/>
      <c r="G209" s="16"/>
      <c r="H209" s="16"/>
      <c r="I209" s="19" t="str">
        <f>IF(ISBLANK(JobBonus[[#This Row],[Employee Name]]),"",INDEX(Employees[Job Title],MATCH(JobBonus[[#This Row],[Employee Name]],Employees[Employee Name2],0)))</f>
        <v/>
      </c>
      <c r="J209" s="19" t="str">
        <f>IF(ISBLANK(JobBonus[[#This Row],[Job Prov]]),"",IF(JobBonus[[#This Row],[Job Prov]]=INDEX(Employees[Province],MATCH(JobBonus[[#This Row],[Employee Name]],Employees[Employee Name2],0)),"No","Yes"))</f>
        <v/>
      </c>
      <c r="K209" s="17"/>
      <c r="L209" s="19"/>
      <c r="M209" s="23"/>
      <c r="N209" s="23"/>
      <c r="O209" s="15"/>
      <c r="P209" s="15"/>
      <c r="Q209" s="15"/>
      <c r="R209" s="15"/>
      <c r="S209" s="44" cm="1">
        <f t="array" ref="S2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9" s="44" cm="1">
        <f t="array" ref="T2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9" s="44">
        <f>JobBonus[[#This Row],[Variable Pay]]+JobBonus[[#This Row],[Crew Efficiency Bonus]]</f>
        <v>0</v>
      </c>
      <c r="V209" s="44" cm="1">
        <f t="array" ref="V2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9" s="44" t="b">
        <f>_xlfn.IFNA(EXACT(VLOOKUP(JobBonus[[#This Row],[Pay Type]],PayTypes[#All],4,FALSE),"Yes"),FALSE)</f>
        <v>0</v>
      </c>
      <c r="X209" s="44" cm="1">
        <f t="array" ref="X209">SUMPRODUCT((StandByRates[Position]=JobBonus[[#This Row],[Position]])*(JobBonus[[#This Row],[Area]]=StandByRates[Area])*(StandByRates[Hourly]*JobBonus[[#This Row],[Standby/ Ext 
Hrs]]))</f>
        <v>0</v>
      </c>
      <c r="Y209" s="44">
        <f>JobBonus[[#This Row],[Variable Pay]]+JobBonus[[#This Row],[Crew Efficiency Bonus]]+JobBonus[[#This Row],[OVPP]]+JobBonus[[#This Row],[StandBy/ Ext Amount]]</f>
        <v>0</v>
      </c>
      <c r="Z209" s="80"/>
      <c r="AA209" s="42"/>
      <c r="AB209" s="42"/>
      <c r="AC209"/>
      <c r="AD209"/>
      <c r="AE209"/>
      <c r="AF209"/>
    </row>
    <row r="210" spans="1:32" hidden="1" x14ac:dyDescent="0.25">
      <c r="A210" s="46"/>
      <c r="B210" s="80"/>
      <c r="C210" s="15"/>
      <c r="D210" s="15"/>
      <c r="E210" s="15"/>
      <c r="F210" s="15"/>
      <c r="G210" s="16"/>
      <c r="H210" s="16"/>
      <c r="I210" s="19" t="str">
        <f>IF(ISBLANK(JobBonus[[#This Row],[Employee Name]]),"",INDEX(Employees[Job Title],MATCH(JobBonus[[#This Row],[Employee Name]],Employees[Employee Name2],0)))</f>
        <v/>
      </c>
      <c r="J210" s="19" t="str">
        <f>IF(ISBLANK(JobBonus[[#This Row],[Job Prov]]),"",IF(JobBonus[[#This Row],[Job Prov]]=INDEX(Employees[Province],MATCH(JobBonus[[#This Row],[Employee Name]],Employees[Employee Name2],0)),"No","Yes"))</f>
        <v/>
      </c>
      <c r="K210" s="17"/>
      <c r="L210" s="19"/>
      <c r="M210" s="23"/>
      <c r="N210" s="23"/>
      <c r="O210" s="15"/>
      <c r="P210" s="15"/>
      <c r="Q210" s="15"/>
      <c r="R210" s="15"/>
      <c r="S210" s="44" cm="1">
        <f t="array" ref="S2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0" s="44" cm="1">
        <f t="array" ref="T2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0" s="44">
        <f>JobBonus[[#This Row],[Variable Pay]]+JobBonus[[#This Row],[Crew Efficiency Bonus]]</f>
        <v>0</v>
      </c>
      <c r="V210" s="44" cm="1">
        <f t="array" ref="V2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0" s="44" t="b">
        <f>_xlfn.IFNA(EXACT(VLOOKUP(JobBonus[[#This Row],[Pay Type]],PayTypes[#All],4,FALSE),"Yes"),FALSE)</f>
        <v>0</v>
      </c>
      <c r="X210" s="44" cm="1">
        <f t="array" ref="X210">SUMPRODUCT((StandByRates[Position]=JobBonus[[#This Row],[Position]])*(JobBonus[[#This Row],[Area]]=StandByRates[Area])*(StandByRates[Hourly]*JobBonus[[#This Row],[Standby/ Ext 
Hrs]]))</f>
        <v>0</v>
      </c>
      <c r="Y210" s="44">
        <f>JobBonus[[#This Row],[Variable Pay]]+JobBonus[[#This Row],[Crew Efficiency Bonus]]+JobBonus[[#This Row],[OVPP]]+JobBonus[[#This Row],[StandBy/ Ext Amount]]</f>
        <v>0</v>
      </c>
      <c r="Z210" s="80"/>
      <c r="AA210" s="42"/>
      <c r="AB210" s="42"/>
      <c r="AC210"/>
      <c r="AD210"/>
      <c r="AE210"/>
      <c r="AF210"/>
    </row>
    <row r="211" spans="1:32" hidden="1" x14ac:dyDescent="0.25">
      <c r="A211" s="46"/>
      <c r="B211" s="80"/>
      <c r="C211" s="15"/>
      <c r="D211" s="15"/>
      <c r="E211" s="15"/>
      <c r="F211" s="15"/>
      <c r="G211" s="16"/>
      <c r="H211" s="16"/>
      <c r="I211" s="19" t="str">
        <f>IF(ISBLANK(JobBonus[[#This Row],[Employee Name]]),"",INDEX(Employees[Job Title],MATCH(JobBonus[[#This Row],[Employee Name]],Employees[Employee Name2],0)))</f>
        <v/>
      </c>
      <c r="J211" s="19" t="str">
        <f>IF(ISBLANK(JobBonus[[#This Row],[Job Prov]]),"",IF(JobBonus[[#This Row],[Job Prov]]=INDEX(Employees[Province],MATCH(JobBonus[[#This Row],[Employee Name]],Employees[Employee Name2],0)),"No","Yes"))</f>
        <v/>
      </c>
      <c r="K211" s="17"/>
      <c r="L211" s="19"/>
      <c r="M211" s="23"/>
      <c r="N211" s="23"/>
      <c r="O211" s="15"/>
      <c r="P211" s="15"/>
      <c r="Q211" s="15"/>
      <c r="R211" s="15"/>
      <c r="S211" s="44" cm="1">
        <f t="array" ref="S2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1" s="44" cm="1">
        <f t="array" ref="T2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1" s="44">
        <f>JobBonus[[#This Row],[Variable Pay]]+JobBonus[[#This Row],[Crew Efficiency Bonus]]</f>
        <v>0</v>
      </c>
      <c r="V211" s="44" cm="1">
        <f t="array" ref="V2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1" s="44" t="b">
        <f>_xlfn.IFNA(EXACT(VLOOKUP(JobBonus[[#This Row],[Pay Type]],PayTypes[#All],4,FALSE),"Yes"),FALSE)</f>
        <v>0</v>
      </c>
      <c r="X211" s="44" cm="1">
        <f t="array" ref="X211">SUMPRODUCT((StandByRates[Position]=JobBonus[[#This Row],[Position]])*(JobBonus[[#This Row],[Area]]=StandByRates[Area])*(StandByRates[Hourly]*JobBonus[[#This Row],[Standby/ Ext 
Hrs]]))</f>
        <v>0</v>
      </c>
      <c r="Y211" s="44">
        <f>JobBonus[[#This Row],[Variable Pay]]+JobBonus[[#This Row],[Crew Efficiency Bonus]]+JobBonus[[#This Row],[OVPP]]+JobBonus[[#This Row],[StandBy/ Ext Amount]]</f>
        <v>0</v>
      </c>
      <c r="Z211" s="80"/>
      <c r="AA211" s="42"/>
      <c r="AB211" s="42"/>
      <c r="AC211"/>
      <c r="AD211"/>
      <c r="AE211"/>
      <c r="AF211"/>
    </row>
    <row r="212" spans="1:32" hidden="1" x14ac:dyDescent="0.25">
      <c r="A212" s="46"/>
      <c r="B212" s="80"/>
      <c r="C212" s="15"/>
      <c r="D212" s="15"/>
      <c r="E212" s="15"/>
      <c r="F212" s="15"/>
      <c r="G212" s="16"/>
      <c r="H212" s="16"/>
      <c r="I212" s="19" t="str">
        <f>IF(ISBLANK(JobBonus[[#This Row],[Employee Name]]),"",INDEX(Employees[Job Title],MATCH(JobBonus[[#This Row],[Employee Name]],Employees[Employee Name2],0)))</f>
        <v/>
      </c>
      <c r="J212" s="19" t="str">
        <f>IF(ISBLANK(JobBonus[[#This Row],[Job Prov]]),"",IF(JobBonus[[#This Row],[Job Prov]]=INDEX(Employees[Province],MATCH(JobBonus[[#This Row],[Employee Name]],Employees[Employee Name2],0)),"No","Yes"))</f>
        <v/>
      </c>
      <c r="K212" s="17"/>
      <c r="L212" s="19"/>
      <c r="M212" s="23"/>
      <c r="N212" s="23"/>
      <c r="O212" s="15"/>
      <c r="P212" s="15"/>
      <c r="Q212" s="15"/>
      <c r="R212" s="15"/>
      <c r="S212" s="44" cm="1">
        <f t="array" ref="S2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2" s="44" cm="1">
        <f t="array" ref="T2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2" s="44">
        <f>JobBonus[[#This Row],[Variable Pay]]+JobBonus[[#This Row],[Crew Efficiency Bonus]]</f>
        <v>0</v>
      </c>
      <c r="V212" s="44" cm="1">
        <f t="array" ref="V2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2" s="44" t="b">
        <f>_xlfn.IFNA(EXACT(VLOOKUP(JobBonus[[#This Row],[Pay Type]],PayTypes[#All],4,FALSE),"Yes"),FALSE)</f>
        <v>0</v>
      </c>
      <c r="X212" s="44" cm="1">
        <f t="array" ref="X212">SUMPRODUCT((StandByRates[Position]=JobBonus[[#This Row],[Position]])*(JobBonus[[#This Row],[Area]]=StandByRates[Area])*(StandByRates[Hourly]*JobBonus[[#This Row],[Standby/ Ext 
Hrs]]))</f>
        <v>0</v>
      </c>
      <c r="Y212" s="44">
        <f>JobBonus[[#This Row],[Variable Pay]]+JobBonus[[#This Row],[Crew Efficiency Bonus]]+JobBonus[[#This Row],[OVPP]]+JobBonus[[#This Row],[StandBy/ Ext Amount]]</f>
        <v>0</v>
      </c>
      <c r="Z212" s="80"/>
      <c r="AA212" s="42"/>
      <c r="AB212" s="42"/>
      <c r="AC212"/>
      <c r="AD212"/>
      <c r="AE212"/>
      <c r="AF212"/>
    </row>
    <row r="213" spans="1:32" hidden="1" x14ac:dyDescent="0.25">
      <c r="A213" s="46"/>
      <c r="B213" s="80"/>
      <c r="C213" s="15"/>
      <c r="D213" s="15"/>
      <c r="E213" s="15"/>
      <c r="F213" s="15"/>
      <c r="G213" s="16"/>
      <c r="H213" s="16"/>
      <c r="I213" s="19" t="str">
        <f>IF(ISBLANK(JobBonus[[#This Row],[Employee Name]]),"",INDEX(Employees[Job Title],MATCH(JobBonus[[#This Row],[Employee Name]],Employees[Employee Name2],0)))</f>
        <v/>
      </c>
      <c r="J213" s="19" t="str">
        <f>IF(ISBLANK(JobBonus[[#This Row],[Job Prov]]),"",IF(JobBonus[[#This Row],[Job Prov]]=INDEX(Employees[Province],MATCH(JobBonus[[#This Row],[Employee Name]],Employees[Employee Name2],0)),"No","Yes"))</f>
        <v/>
      </c>
      <c r="K213" s="17"/>
      <c r="L213" s="19"/>
      <c r="M213" s="23"/>
      <c r="N213" s="23"/>
      <c r="O213" s="15"/>
      <c r="P213" s="15"/>
      <c r="Q213" s="15"/>
      <c r="R213" s="15"/>
      <c r="S213" s="44" cm="1">
        <f t="array" ref="S2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3" s="44" cm="1">
        <f t="array" ref="T2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3" s="44">
        <f>JobBonus[[#This Row],[Variable Pay]]+JobBonus[[#This Row],[Crew Efficiency Bonus]]</f>
        <v>0</v>
      </c>
      <c r="V213" s="44" cm="1">
        <f t="array" ref="V2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3" s="44" t="b">
        <f>_xlfn.IFNA(EXACT(VLOOKUP(JobBonus[[#This Row],[Pay Type]],PayTypes[#All],4,FALSE),"Yes"),FALSE)</f>
        <v>0</v>
      </c>
      <c r="X213" s="44" cm="1">
        <f t="array" ref="X213">SUMPRODUCT((StandByRates[Position]=JobBonus[[#This Row],[Position]])*(JobBonus[[#This Row],[Area]]=StandByRates[Area])*(StandByRates[Hourly]*JobBonus[[#This Row],[Standby/ Ext 
Hrs]]))</f>
        <v>0</v>
      </c>
      <c r="Y213" s="44">
        <f>JobBonus[[#This Row],[Variable Pay]]+JobBonus[[#This Row],[Crew Efficiency Bonus]]+JobBonus[[#This Row],[OVPP]]+JobBonus[[#This Row],[StandBy/ Ext Amount]]</f>
        <v>0</v>
      </c>
      <c r="Z213" s="80"/>
      <c r="AA213" s="42"/>
      <c r="AB213" s="42"/>
      <c r="AC213"/>
      <c r="AD213"/>
      <c r="AE213"/>
      <c r="AF213"/>
    </row>
    <row r="214" spans="1:32" hidden="1" x14ac:dyDescent="0.25">
      <c r="A214" s="46"/>
      <c r="B214" s="80"/>
      <c r="C214" s="15"/>
      <c r="D214" s="15"/>
      <c r="E214" s="15"/>
      <c r="F214" s="15"/>
      <c r="G214" s="16"/>
      <c r="H214" s="16"/>
      <c r="I214" s="19" t="str">
        <f>IF(ISBLANK(JobBonus[[#This Row],[Employee Name]]),"",INDEX(Employees[Job Title],MATCH(JobBonus[[#This Row],[Employee Name]],Employees[Employee Name2],0)))</f>
        <v/>
      </c>
      <c r="J214" s="19" t="str">
        <f>IF(ISBLANK(JobBonus[[#This Row],[Job Prov]]),"",IF(JobBonus[[#This Row],[Job Prov]]=INDEX(Employees[Province],MATCH(JobBonus[[#This Row],[Employee Name]],Employees[Employee Name2],0)),"No","Yes"))</f>
        <v/>
      </c>
      <c r="K214" s="17"/>
      <c r="L214" s="19"/>
      <c r="M214" s="23"/>
      <c r="N214" s="23"/>
      <c r="O214" s="15"/>
      <c r="P214" s="15"/>
      <c r="Q214" s="15"/>
      <c r="R214" s="15"/>
      <c r="S214" s="44" cm="1">
        <f t="array" ref="S2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4" s="44" cm="1">
        <f t="array" ref="T2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4" s="44">
        <f>JobBonus[[#This Row],[Variable Pay]]+JobBonus[[#This Row],[Crew Efficiency Bonus]]</f>
        <v>0</v>
      </c>
      <c r="V214" s="44" cm="1">
        <f t="array" ref="V2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4" s="44" t="b">
        <f>_xlfn.IFNA(EXACT(VLOOKUP(JobBonus[[#This Row],[Pay Type]],PayTypes[#All],4,FALSE),"Yes"),FALSE)</f>
        <v>0</v>
      </c>
      <c r="X214" s="44" cm="1">
        <f t="array" ref="X214">SUMPRODUCT((StandByRates[Position]=JobBonus[[#This Row],[Position]])*(JobBonus[[#This Row],[Area]]=StandByRates[Area])*(StandByRates[Hourly]*JobBonus[[#This Row],[Standby/ Ext 
Hrs]]))</f>
        <v>0</v>
      </c>
      <c r="Y214" s="44">
        <f>JobBonus[[#This Row],[Variable Pay]]+JobBonus[[#This Row],[Crew Efficiency Bonus]]+JobBonus[[#This Row],[OVPP]]+JobBonus[[#This Row],[StandBy/ Ext Amount]]</f>
        <v>0</v>
      </c>
      <c r="Z214" s="80"/>
      <c r="AA214" s="42"/>
      <c r="AB214" s="42"/>
      <c r="AC214"/>
      <c r="AD214"/>
      <c r="AE214"/>
      <c r="AF214"/>
    </row>
    <row r="215" spans="1:32" hidden="1" x14ac:dyDescent="0.25">
      <c r="A215" s="46"/>
      <c r="B215" s="80"/>
      <c r="C215" s="15"/>
      <c r="D215" s="15"/>
      <c r="E215" s="15"/>
      <c r="F215" s="15"/>
      <c r="G215" s="16"/>
      <c r="H215" s="16"/>
      <c r="I215" s="19" t="str">
        <f>IF(ISBLANK(JobBonus[[#This Row],[Employee Name]]),"",INDEX(Employees[Job Title],MATCH(JobBonus[[#This Row],[Employee Name]],Employees[Employee Name2],0)))</f>
        <v/>
      </c>
      <c r="J215" s="19" t="str">
        <f>IF(ISBLANK(JobBonus[[#This Row],[Job Prov]]),"",IF(JobBonus[[#This Row],[Job Prov]]=INDEX(Employees[Province],MATCH(JobBonus[[#This Row],[Employee Name]],Employees[Employee Name2],0)),"No","Yes"))</f>
        <v/>
      </c>
      <c r="K215" s="17"/>
      <c r="L215" s="19"/>
      <c r="M215" s="23"/>
      <c r="N215" s="23"/>
      <c r="O215" s="15"/>
      <c r="P215" s="15"/>
      <c r="Q215" s="15"/>
      <c r="R215" s="15"/>
      <c r="S215" s="44" cm="1">
        <f t="array" ref="S2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5" s="44" cm="1">
        <f t="array" ref="T2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5" s="44">
        <f>JobBonus[[#This Row],[Variable Pay]]+JobBonus[[#This Row],[Crew Efficiency Bonus]]</f>
        <v>0</v>
      </c>
      <c r="V215" s="44" cm="1">
        <f t="array" ref="V2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5" s="44" t="b">
        <f>_xlfn.IFNA(EXACT(VLOOKUP(JobBonus[[#This Row],[Pay Type]],PayTypes[#All],4,FALSE),"Yes"),FALSE)</f>
        <v>0</v>
      </c>
      <c r="X215" s="44" cm="1">
        <f t="array" ref="X215">SUMPRODUCT((StandByRates[Position]=JobBonus[[#This Row],[Position]])*(JobBonus[[#This Row],[Area]]=StandByRates[Area])*(StandByRates[Hourly]*JobBonus[[#This Row],[Standby/ Ext 
Hrs]]))</f>
        <v>0</v>
      </c>
      <c r="Y215" s="44">
        <f>JobBonus[[#This Row],[Variable Pay]]+JobBonus[[#This Row],[Crew Efficiency Bonus]]+JobBonus[[#This Row],[OVPP]]+JobBonus[[#This Row],[StandBy/ Ext Amount]]</f>
        <v>0</v>
      </c>
      <c r="Z215" s="80"/>
      <c r="AA215" s="42"/>
      <c r="AB215" s="42"/>
      <c r="AC215"/>
      <c r="AD215"/>
      <c r="AE215"/>
      <c r="AF215"/>
    </row>
    <row r="216" spans="1:32" hidden="1" x14ac:dyDescent="0.25">
      <c r="A216" s="46"/>
      <c r="B216" s="80"/>
      <c r="C216" s="15"/>
      <c r="D216" s="15"/>
      <c r="E216" s="15"/>
      <c r="F216" s="15"/>
      <c r="G216" s="16"/>
      <c r="H216" s="16"/>
      <c r="I216" s="19" t="str">
        <f>IF(ISBLANK(JobBonus[[#This Row],[Employee Name]]),"",INDEX(Employees[Job Title],MATCH(JobBonus[[#This Row],[Employee Name]],Employees[Employee Name2],0)))</f>
        <v/>
      </c>
      <c r="J216" s="19" t="str">
        <f>IF(ISBLANK(JobBonus[[#This Row],[Job Prov]]),"",IF(JobBonus[[#This Row],[Job Prov]]=INDEX(Employees[Province],MATCH(JobBonus[[#This Row],[Employee Name]],Employees[Employee Name2],0)),"No","Yes"))</f>
        <v/>
      </c>
      <c r="K216" s="17"/>
      <c r="L216" s="19"/>
      <c r="M216" s="23"/>
      <c r="N216" s="23"/>
      <c r="O216" s="15"/>
      <c r="P216" s="15"/>
      <c r="Q216" s="15"/>
      <c r="R216" s="15"/>
      <c r="S216" s="44" cm="1">
        <f t="array" ref="S2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6" s="44" cm="1">
        <f t="array" ref="T2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6" s="44">
        <f>JobBonus[[#This Row],[Variable Pay]]+JobBonus[[#This Row],[Crew Efficiency Bonus]]</f>
        <v>0</v>
      </c>
      <c r="V216" s="44" cm="1">
        <f t="array" ref="V2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6" s="44" t="b">
        <f>_xlfn.IFNA(EXACT(VLOOKUP(JobBonus[[#This Row],[Pay Type]],PayTypes[#All],4,FALSE),"Yes"),FALSE)</f>
        <v>0</v>
      </c>
      <c r="X216" s="44" cm="1">
        <f t="array" ref="X216">SUMPRODUCT((StandByRates[Position]=JobBonus[[#This Row],[Position]])*(JobBonus[[#This Row],[Area]]=StandByRates[Area])*(StandByRates[Hourly]*JobBonus[[#This Row],[Standby/ Ext 
Hrs]]))</f>
        <v>0</v>
      </c>
      <c r="Y216" s="44">
        <f>JobBonus[[#This Row],[Variable Pay]]+JobBonus[[#This Row],[Crew Efficiency Bonus]]+JobBonus[[#This Row],[OVPP]]+JobBonus[[#This Row],[StandBy/ Ext Amount]]</f>
        <v>0</v>
      </c>
      <c r="Z216" s="80"/>
      <c r="AA216" s="42"/>
      <c r="AB216" s="42"/>
      <c r="AC216"/>
      <c r="AD216"/>
      <c r="AE216"/>
      <c r="AF216"/>
    </row>
    <row r="217" spans="1:32" hidden="1" x14ac:dyDescent="0.25">
      <c r="A217" s="46"/>
      <c r="B217" s="80"/>
      <c r="C217" s="15"/>
      <c r="D217" s="15"/>
      <c r="E217" s="15"/>
      <c r="F217" s="15"/>
      <c r="G217" s="16"/>
      <c r="H217" s="16"/>
      <c r="I217" s="19" t="str">
        <f>IF(ISBLANK(JobBonus[[#This Row],[Employee Name]]),"",INDEX(Employees[Job Title],MATCH(JobBonus[[#This Row],[Employee Name]],Employees[Employee Name2],0)))</f>
        <v/>
      </c>
      <c r="J217" s="19" t="str">
        <f>IF(ISBLANK(JobBonus[[#This Row],[Job Prov]]),"",IF(JobBonus[[#This Row],[Job Prov]]=INDEX(Employees[Province],MATCH(JobBonus[[#This Row],[Employee Name]],Employees[Employee Name2],0)),"No","Yes"))</f>
        <v/>
      </c>
      <c r="K217" s="17"/>
      <c r="L217" s="19"/>
      <c r="M217" s="23"/>
      <c r="N217" s="23"/>
      <c r="O217" s="15"/>
      <c r="P217" s="15"/>
      <c r="Q217" s="15"/>
      <c r="R217" s="15"/>
      <c r="S217" s="44" cm="1">
        <f t="array" ref="S2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7" s="44" cm="1">
        <f t="array" ref="T2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7" s="44">
        <f>JobBonus[[#This Row],[Variable Pay]]+JobBonus[[#This Row],[Crew Efficiency Bonus]]</f>
        <v>0</v>
      </c>
      <c r="V217" s="44" cm="1">
        <f t="array" ref="V2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7" s="44" t="b">
        <f>_xlfn.IFNA(EXACT(VLOOKUP(JobBonus[[#This Row],[Pay Type]],PayTypes[#All],4,FALSE),"Yes"),FALSE)</f>
        <v>0</v>
      </c>
      <c r="X217" s="44" cm="1">
        <f t="array" ref="X217">SUMPRODUCT((StandByRates[Position]=JobBonus[[#This Row],[Position]])*(JobBonus[[#This Row],[Area]]=StandByRates[Area])*(StandByRates[Hourly]*JobBonus[[#This Row],[Standby/ Ext 
Hrs]]))</f>
        <v>0</v>
      </c>
      <c r="Y217" s="44">
        <f>JobBonus[[#This Row],[Variable Pay]]+JobBonus[[#This Row],[Crew Efficiency Bonus]]+JobBonus[[#This Row],[OVPP]]+JobBonus[[#This Row],[StandBy/ Ext Amount]]</f>
        <v>0</v>
      </c>
      <c r="Z217" s="80"/>
      <c r="AA217" s="42"/>
      <c r="AB217" s="42"/>
      <c r="AC217"/>
      <c r="AD217"/>
      <c r="AE217"/>
      <c r="AF217"/>
    </row>
    <row r="218" spans="1:32" hidden="1" x14ac:dyDescent="0.25">
      <c r="A218" s="46"/>
      <c r="B218" s="80"/>
      <c r="C218" s="15"/>
      <c r="D218" s="15"/>
      <c r="E218" s="15"/>
      <c r="F218" s="15"/>
      <c r="G218" s="16"/>
      <c r="H218" s="16"/>
      <c r="I218" s="19" t="str">
        <f>IF(ISBLANK(JobBonus[[#This Row],[Employee Name]]),"",INDEX(Employees[Job Title],MATCH(JobBonus[[#This Row],[Employee Name]],Employees[Employee Name2],0)))</f>
        <v/>
      </c>
      <c r="J218" s="19" t="str">
        <f>IF(ISBLANK(JobBonus[[#This Row],[Job Prov]]),"",IF(JobBonus[[#This Row],[Job Prov]]=INDEX(Employees[Province],MATCH(JobBonus[[#This Row],[Employee Name]],Employees[Employee Name2],0)),"No","Yes"))</f>
        <v/>
      </c>
      <c r="K218" s="17"/>
      <c r="L218" s="19"/>
      <c r="M218" s="23"/>
      <c r="N218" s="23"/>
      <c r="O218" s="15"/>
      <c r="P218" s="15"/>
      <c r="Q218" s="15"/>
      <c r="R218" s="15"/>
      <c r="S218" s="44" cm="1">
        <f t="array" ref="S2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8" s="44" cm="1">
        <f t="array" ref="T2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8" s="44">
        <f>JobBonus[[#This Row],[Variable Pay]]+JobBonus[[#This Row],[Crew Efficiency Bonus]]</f>
        <v>0</v>
      </c>
      <c r="V218" s="44" cm="1">
        <f t="array" ref="V2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8" s="44" t="b">
        <f>_xlfn.IFNA(EXACT(VLOOKUP(JobBonus[[#This Row],[Pay Type]],PayTypes[#All],4,FALSE),"Yes"),FALSE)</f>
        <v>0</v>
      </c>
      <c r="X218" s="44" cm="1">
        <f t="array" ref="X218">SUMPRODUCT((StandByRates[Position]=JobBonus[[#This Row],[Position]])*(JobBonus[[#This Row],[Area]]=StandByRates[Area])*(StandByRates[Hourly]*JobBonus[[#This Row],[Standby/ Ext 
Hrs]]))</f>
        <v>0</v>
      </c>
      <c r="Y218" s="44">
        <f>JobBonus[[#This Row],[Variable Pay]]+JobBonus[[#This Row],[Crew Efficiency Bonus]]+JobBonus[[#This Row],[OVPP]]+JobBonus[[#This Row],[StandBy/ Ext Amount]]</f>
        <v>0</v>
      </c>
      <c r="Z218" s="80"/>
      <c r="AA218" s="42"/>
      <c r="AB218" s="42"/>
      <c r="AC218"/>
      <c r="AD218"/>
      <c r="AE218"/>
      <c r="AF218"/>
    </row>
    <row r="219" spans="1:32" hidden="1" x14ac:dyDescent="0.25">
      <c r="A219" s="46"/>
      <c r="B219" s="80"/>
      <c r="C219" s="15"/>
      <c r="D219" s="15"/>
      <c r="E219" s="15"/>
      <c r="F219" s="15"/>
      <c r="G219" s="16"/>
      <c r="H219" s="16"/>
      <c r="I219" s="19" t="str">
        <f>IF(ISBLANK(JobBonus[[#This Row],[Employee Name]]),"",INDEX(Employees[Job Title],MATCH(JobBonus[[#This Row],[Employee Name]],Employees[Employee Name2],0)))</f>
        <v/>
      </c>
      <c r="J219" s="19" t="str">
        <f>IF(ISBLANK(JobBonus[[#This Row],[Job Prov]]),"",IF(JobBonus[[#This Row],[Job Prov]]=INDEX(Employees[Province],MATCH(JobBonus[[#This Row],[Employee Name]],Employees[Employee Name2],0)),"No","Yes"))</f>
        <v/>
      </c>
      <c r="K219" s="17"/>
      <c r="L219" s="19"/>
      <c r="M219" s="23"/>
      <c r="N219" s="23"/>
      <c r="O219" s="15"/>
      <c r="P219" s="15"/>
      <c r="Q219" s="15"/>
      <c r="R219" s="15"/>
      <c r="S219" s="44" cm="1">
        <f t="array" ref="S2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9" s="44" cm="1">
        <f t="array" ref="T2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9" s="44">
        <f>JobBonus[[#This Row],[Variable Pay]]+JobBonus[[#This Row],[Crew Efficiency Bonus]]</f>
        <v>0</v>
      </c>
      <c r="V219" s="44" cm="1">
        <f t="array" ref="V2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9" s="44" t="b">
        <f>_xlfn.IFNA(EXACT(VLOOKUP(JobBonus[[#This Row],[Pay Type]],PayTypes[#All],4,FALSE),"Yes"),FALSE)</f>
        <v>0</v>
      </c>
      <c r="X219" s="44" cm="1">
        <f t="array" ref="X219">SUMPRODUCT((StandByRates[Position]=JobBonus[[#This Row],[Position]])*(JobBonus[[#This Row],[Area]]=StandByRates[Area])*(StandByRates[Hourly]*JobBonus[[#This Row],[Standby/ Ext 
Hrs]]))</f>
        <v>0</v>
      </c>
      <c r="Y219" s="44">
        <f>JobBonus[[#This Row],[Variable Pay]]+JobBonus[[#This Row],[Crew Efficiency Bonus]]+JobBonus[[#This Row],[OVPP]]+JobBonus[[#This Row],[StandBy/ Ext Amount]]</f>
        <v>0</v>
      </c>
      <c r="Z219" s="80"/>
      <c r="AA219" s="42"/>
      <c r="AB219" s="42"/>
      <c r="AC219"/>
      <c r="AD219"/>
      <c r="AE219"/>
      <c r="AF219"/>
    </row>
    <row r="220" spans="1:32" hidden="1" x14ac:dyDescent="0.25">
      <c r="A220" s="46"/>
      <c r="B220" s="80"/>
      <c r="C220" s="15"/>
      <c r="D220" s="15"/>
      <c r="E220" s="15"/>
      <c r="F220" s="15"/>
      <c r="G220" s="16"/>
      <c r="H220" s="16"/>
      <c r="I220" s="19" t="str">
        <f>IF(ISBLANK(JobBonus[[#This Row],[Employee Name]]),"",INDEX(Employees[Job Title],MATCH(JobBonus[[#This Row],[Employee Name]],Employees[Employee Name2],0)))</f>
        <v/>
      </c>
      <c r="J220" s="19" t="str">
        <f>IF(ISBLANK(JobBonus[[#This Row],[Job Prov]]),"",IF(JobBonus[[#This Row],[Job Prov]]=INDEX(Employees[Province],MATCH(JobBonus[[#This Row],[Employee Name]],Employees[Employee Name2],0)),"No","Yes"))</f>
        <v/>
      </c>
      <c r="K220" s="17"/>
      <c r="L220" s="19"/>
      <c r="M220" s="23"/>
      <c r="N220" s="23"/>
      <c r="O220" s="15"/>
      <c r="P220" s="15"/>
      <c r="Q220" s="15"/>
      <c r="R220" s="15"/>
      <c r="S220" s="44" cm="1">
        <f t="array" ref="S2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0" s="44" cm="1">
        <f t="array" ref="T2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0" s="44">
        <f>JobBonus[[#This Row],[Variable Pay]]+JobBonus[[#This Row],[Crew Efficiency Bonus]]</f>
        <v>0</v>
      </c>
      <c r="V220" s="44" cm="1">
        <f t="array" ref="V2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0" s="44" t="b">
        <f>_xlfn.IFNA(EXACT(VLOOKUP(JobBonus[[#This Row],[Pay Type]],PayTypes[#All],4,FALSE),"Yes"),FALSE)</f>
        <v>0</v>
      </c>
      <c r="X220" s="44" cm="1">
        <f t="array" ref="X220">SUMPRODUCT((StandByRates[Position]=JobBonus[[#This Row],[Position]])*(JobBonus[[#This Row],[Area]]=StandByRates[Area])*(StandByRates[Hourly]*JobBonus[[#This Row],[Standby/ Ext 
Hrs]]))</f>
        <v>0</v>
      </c>
      <c r="Y220" s="44">
        <f>JobBonus[[#This Row],[Variable Pay]]+JobBonus[[#This Row],[Crew Efficiency Bonus]]+JobBonus[[#This Row],[OVPP]]+JobBonus[[#This Row],[StandBy/ Ext Amount]]</f>
        <v>0</v>
      </c>
      <c r="Z220" s="80"/>
      <c r="AA220" s="42"/>
      <c r="AB220" s="42"/>
      <c r="AC220"/>
      <c r="AD220"/>
      <c r="AE220"/>
      <c r="AF220"/>
    </row>
    <row r="221" spans="1:32" hidden="1" x14ac:dyDescent="0.25">
      <c r="A221" s="46"/>
      <c r="B221" s="80"/>
      <c r="C221" s="15"/>
      <c r="D221" s="15"/>
      <c r="E221" s="15"/>
      <c r="F221" s="15"/>
      <c r="G221" s="16"/>
      <c r="H221" s="16"/>
      <c r="I221" s="19" t="str">
        <f>IF(ISBLANK(JobBonus[[#This Row],[Employee Name]]),"",INDEX(Employees[Job Title],MATCH(JobBonus[[#This Row],[Employee Name]],Employees[Employee Name2],0)))</f>
        <v/>
      </c>
      <c r="J221" s="19" t="str">
        <f>IF(ISBLANK(JobBonus[[#This Row],[Job Prov]]),"",IF(JobBonus[[#This Row],[Job Prov]]=INDEX(Employees[Province],MATCH(JobBonus[[#This Row],[Employee Name]],Employees[Employee Name2],0)),"No","Yes"))</f>
        <v/>
      </c>
      <c r="K221" s="17"/>
      <c r="L221" s="19"/>
      <c r="M221" s="23"/>
      <c r="N221" s="23"/>
      <c r="O221" s="15"/>
      <c r="P221" s="15"/>
      <c r="Q221" s="15"/>
      <c r="R221" s="15"/>
      <c r="S221" s="44" cm="1">
        <f t="array" ref="S2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1" s="44" cm="1">
        <f t="array" ref="T2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1" s="44">
        <f>JobBonus[[#This Row],[Variable Pay]]+JobBonus[[#This Row],[Crew Efficiency Bonus]]</f>
        <v>0</v>
      </c>
      <c r="V221" s="44" cm="1">
        <f t="array" ref="V2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1" s="44" t="b">
        <f>_xlfn.IFNA(EXACT(VLOOKUP(JobBonus[[#This Row],[Pay Type]],PayTypes[#All],4,FALSE),"Yes"),FALSE)</f>
        <v>0</v>
      </c>
      <c r="X221" s="44" cm="1">
        <f t="array" ref="X221">SUMPRODUCT((StandByRates[Position]=JobBonus[[#This Row],[Position]])*(JobBonus[[#This Row],[Area]]=StandByRates[Area])*(StandByRates[Hourly]*JobBonus[[#This Row],[Standby/ Ext 
Hrs]]))</f>
        <v>0</v>
      </c>
      <c r="Y221" s="44">
        <f>JobBonus[[#This Row],[Variable Pay]]+JobBonus[[#This Row],[Crew Efficiency Bonus]]+JobBonus[[#This Row],[OVPP]]+JobBonus[[#This Row],[StandBy/ Ext Amount]]</f>
        <v>0</v>
      </c>
      <c r="Z221" s="80"/>
      <c r="AA221" s="42"/>
      <c r="AB221" s="42"/>
      <c r="AC221"/>
      <c r="AD221"/>
      <c r="AE221"/>
      <c r="AF221"/>
    </row>
    <row r="222" spans="1:32" hidden="1" x14ac:dyDescent="0.25">
      <c r="A222" s="46"/>
      <c r="B222" s="80"/>
      <c r="C222" s="15"/>
      <c r="D222" s="15"/>
      <c r="E222" s="15"/>
      <c r="F222" s="15"/>
      <c r="G222" s="16"/>
      <c r="H222" s="16"/>
      <c r="I222" s="19" t="str">
        <f>IF(ISBLANK(JobBonus[[#This Row],[Employee Name]]),"",INDEX(Employees[Job Title],MATCH(JobBonus[[#This Row],[Employee Name]],Employees[Employee Name2],0)))</f>
        <v/>
      </c>
      <c r="J222" s="19" t="str">
        <f>IF(ISBLANK(JobBonus[[#This Row],[Job Prov]]),"",IF(JobBonus[[#This Row],[Job Prov]]=INDEX(Employees[Province],MATCH(JobBonus[[#This Row],[Employee Name]],Employees[Employee Name2],0)),"No","Yes"))</f>
        <v/>
      </c>
      <c r="K222" s="17"/>
      <c r="L222" s="19"/>
      <c r="M222" s="23"/>
      <c r="N222" s="23"/>
      <c r="O222" s="15"/>
      <c r="P222" s="15"/>
      <c r="Q222" s="15"/>
      <c r="R222" s="15"/>
      <c r="S222" s="44" cm="1">
        <f t="array" ref="S2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2" s="44" cm="1">
        <f t="array" ref="T2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2" s="44">
        <f>JobBonus[[#This Row],[Variable Pay]]+JobBonus[[#This Row],[Crew Efficiency Bonus]]</f>
        <v>0</v>
      </c>
      <c r="V222" s="44" cm="1">
        <f t="array" ref="V2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2" s="44" t="b">
        <f>_xlfn.IFNA(EXACT(VLOOKUP(JobBonus[[#This Row],[Pay Type]],PayTypes[#All],4,FALSE),"Yes"),FALSE)</f>
        <v>0</v>
      </c>
      <c r="X222" s="44" cm="1">
        <f t="array" ref="X222">SUMPRODUCT((StandByRates[Position]=JobBonus[[#This Row],[Position]])*(JobBonus[[#This Row],[Area]]=StandByRates[Area])*(StandByRates[Hourly]*JobBonus[[#This Row],[Standby/ Ext 
Hrs]]))</f>
        <v>0</v>
      </c>
      <c r="Y222" s="44">
        <f>JobBonus[[#This Row],[Variable Pay]]+JobBonus[[#This Row],[Crew Efficiency Bonus]]+JobBonus[[#This Row],[OVPP]]+JobBonus[[#This Row],[StandBy/ Ext Amount]]</f>
        <v>0</v>
      </c>
      <c r="Z222" s="80"/>
      <c r="AA222" s="42"/>
      <c r="AB222" s="42"/>
      <c r="AC222"/>
      <c r="AD222"/>
      <c r="AE222"/>
      <c r="AF222"/>
    </row>
    <row r="223" spans="1:32" hidden="1" x14ac:dyDescent="0.25">
      <c r="A223" s="46"/>
      <c r="B223" s="80"/>
      <c r="C223" s="15"/>
      <c r="D223" s="15"/>
      <c r="E223" s="15"/>
      <c r="F223" s="15"/>
      <c r="G223" s="16"/>
      <c r="H223" s="16"/>
      <c r="I223" s="19" t="str">
        <f>IF(ISBLANK(JobBonus[[#This Row],[Employee Name]]),"",INDEX(Employees[Job Title],MATCH(JobBonus[[#This Row],[Employee Name]],Employees[Employee Name2],0)))</f>
        <v/>
      </c>
      <c r="J223" s="19" t="str">
        <f>IF(ISBLANK(JobBonus[[#This Row],[Job Prov]]),"",IF(JobBonus[[#This Row],[Job Prov]]=INDEX(Employees[Province],MATCH(JobBonus[[#This Row],[Employee Name]],Employees[Employee Name2],0)),"No","Yes"))</f>
        <v/>
      </c>
      <c r="K223" s="17"/>
      <c r="L223" s="19"/>
      <c r="M223" s="23"/>
      <c r="N223" s="23"/>
      <c r="O223" s="15"/>
      <c r="P223" s="15"/>
      <c r="Q223" s="15"/>
      <c r="R223" s="15"/>
      <c r="S223" s="44" cm="1">
        <f t="array" ref="S2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3" s="44" cm="1">
        <f t="array" ref="T2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3" s="44">
        <f>JobBonus[[#This Row],[Variable Pay]]+JobBonus[[#This Row],[Crew Efficiency Bonus]]</f>
        <v>0</v>
      </c>
      <c r="V223" s="44" cm="1">
        <f t="array" ref="V2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3" s="44" t="b">
        <f>_xlfn.IFNA(EXACT(VLOOKUP(JobBonus[[#This Row],[Pay Type]],PayTypes[#All],4,FALSE),"Yes"),FALSE)</f>
        <v>0</v>
      </c>
      <c r="X223" s="44" cm="1">
        <f t="array" ref="X223">SUMPRODUCT((StandByRates[Position]=JobBonus[[#This Row],[Position]])*(JobBonus[[#This Row],[Area]]=StandByRates[Area])*(StandByRates[Hourly]*JobBonus[[#This Row],[Standby/ Ext 
Hrs]]))</f>
        <v>0</v>
      </c>
      <c r="Y223" s="44">
        <f>JobBonus[[#This Row],[Variable Pay]]+JobBonus[[#This Row],[Crew Efficiency Bonus]]+JobBonus[[#This Row],[OVPP]]+JobBonus[[#This Row],[StandBy/ Ext Amount]]</f>
        <v>0</v>
      </c>
      <c r="Z223" s="80"/>
      <c r="AA223" s="42"/>
      <c r="AB223" s="42"/>
      <c r="AC223"/>
      <c r="AD223"/>
      <c r="AE223"/>
      <c r="AF223"/>
    </row>
    <row r="224" spans="1:32" hidden="1" x14ac:dyDescent="0.25">
      <c r="A224" s="46"/>
      <c r="B224" s="80"/>
      <c r="C224" s="15"/>
      <c r="D224" s="15"/>
      <c r="E224" s="15"/>
      <c r="F224" s="15"/>
      <c r="G224" s="16"/>
      <c r="H224" s="16"/>
      <c r="I224" s="19" t="str">
        <f>IF(ISBLANK(JobBonus[[#This Row],[Employee Name]]),"",INDEX(Employees[Job Title],MATCH(JobBonus[[#This Row],[Employee Name]],Employees[Employee Name2],0)))</f>
        <v/>
      </c>
      <c r="J224" s="19" t="str">
        <f>IF(ISBLANK(JobBonus[[#This Row],[Job Prov]]),"",IF(JobBonus[[#This Row],[Job Prov]]=INDEX(Employees[Province],MATCH(JobBonus[[#This Row],[Employee Name]],Employees[Employee Name2],0)),"No","Yes"))</f>
        <v/>
      </c>
      <c r="K224" s="17"/>
      <c r="L224" s="19"/>
      <c r="M224" s="23"/>
      <c r="N224" s="23"/>
      <c r="O224" s="15"/>
      <c r="P224" s="15"/>
      <c r="Q224" s="15"/>
      <c r="R224" s="15"/>
      <c r="S224" s="44" cm="1">
        <f t="array" ref="S2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4" s="44" cm="1">
        <f t="array" ref="T2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4" s="44">
        <f>JobBonus[[#This Row],[Variable Pay]]+JobBonus[[#This Row],[Crew Efficiency Bonus]]</f>
        <v>0</v>
      </c>
      <c r="V224" s="44" cm="1">
        <f t="array" ref="V2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4" s="44" t="b">
        <f>_xlfn.IFNA(EXACT(VLOOKUP(JobBonus[[#This Row],[Pay Type]],PayTypes[#All],4,FALSE),"Yes"),FALSE)</f>
        <v>0</v>
      </c>
      <c r="X224" s="44" cm="1">
        <f t="array" ref="X224">SUMPRODUCT((StandByRates[Position]=JobBonus[[#This Row],[Position]])*(JobBonus[[#This Row],[Area]]=StandByRates[Area])*(StandByRates[Hourly]*JobBonus[[#This Row],[Standby/ Ext 
Hrs]]))</f>
        <v>0</v>
      </c>
      <c r="Y224" s="44">
        <f>JobBonus[[#This Row],[Variable Pay]]+JobBonus[[#This Row],[Crew Efficiency Bonus]]+JobBonus[[#This Row],[OVPP]]+JobBonus[[#This Row],[StandBy/ Ext Amount]]</f>
        <v>0</v>
      </c>
      <c r="Z224" s="80"/>
      <c r="AA224" s="42"/>
      <c r="AB224" s="42"/>
      <c r="AC224"/>
      <c r="AD224"/>
      <c r="AE224"/>
      <c r="AF224"/>
    </row>
    <row r="225" spans="1:32" hidden="1" x14ac:dyDescent="0.25">
      <c r="A225" s="46"/>
      <c r="B225" s="80"/>
      <c r="C225" s="15"/>
      <c r="D225" s="15"/>
      <c r="E225" s="15"/>
      <c r="F225" s="15"/>
      <c r="G225" s="16"/>
      <c r="H225" s="16"/>
      <c r="I225" s="19" t="str">
        <f>IF(ISBLANK(JobBonus[[#This Row],[Employee Name]]),"",INDEX(Employees[Job Title],MATCH(JobBonus[[#This Row],[Employee Name]],Employees[Employee Name2],0)))</f>
        <v/>
      </c>
      <c r="J225" s="19" t="str">
        <f>IF(ISBLANK(JobBonus[[#This Row],[Job Prov]]),"",IF(JobBonus[[#This Row],[Job Prov]]=INDEX(Employees[Province],MATCH(JobBonus[[#This Row],[Employee Name]],Employees[Employee Name2],0)),"No","Yes"))</f>
        <v/>
      </c>
      <c r="K225" s="17"/>
      <c r="L225" s="19"/>
      <c r="M225" s="23"/>
      <c r="N225" s="23"/>
      <c r="O225" s="15"/>
      <c r="P225" s="15"/>
      <c r="Q225" s="15"/>
      <c r="R225" s="15"/>
      <c r="S225" s="44" cm="1">
        <f t="array" ref="S2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5" s="44" cm="1">
        <f t="array" ref="T2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5" s="44">
        <f>JobBonus[[#This Row],[Variable Pay]]+JobBonus[[#This Row],[Crew Efficiency Bonus]]</f>
        <v>0</v>
      </c>
      <c r="V225" s="44" cm="1">
        <f t="array" ref="V2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5" s="44" t="b">
        <f>_xlfn.IFNA(EXACT(VLOOKUP(JobBonus[[#This Row],[Pay Type]],PayTypes[#All],4,FALSE),"Yes"),FALSE)</f>
        <v>0</v>
      </c>
      <c r="X225" s="44" cm="1">
        <f t="array" ref="X225">SUMPRODUCT((StandByRates[Position]=JobBonus[[#This Row],[Position]])*(JobBonus[[#This Row],[Area]]=StandByRates[Area])*(StandByRates[Hourly]*JobBonus[[#This Row],[Standby/ Ext 
Hrs]]))</f>
        <v>0</v>
      </c>
      <c r="Y225" s="44">
        <f>JobBonus[[#This Row],[Variable Pay]]+JobBonus[[#This Row],[Crew Efficiency Bonus]]+JobBonus[[#This Row],[OVPP]]+JobBonus[[#This Row],[StandBy/ Ext Amount]]</f>
        <v>0</v>
      </c>
      <c r="Z225" s="80"/>
      <c r="AA225" s="42"/>
      <c r="AB225" s="42"/>
      <c r="AC225"/>
      <c r="AD225"/>
      <c r="AE225"/>
      <c r="AF225"/>
    </row>
    <row r="226" spans="1:32" hidden="1" x14ac:dyDescent="0.25">
      <c r="A226" s="46"/>
      <c r="B226" s="80"/>
      <c r="C226" s="15"/>
      <c r="D226" s="15"/>
      <c r="E226" s="15"/>
      <c r="F226" s="15"/>
      <c r="G226" s="16"/>
      <c r="H226" s="16"/>
      <c r="I226" s="19" t="str">
        <f>IF(ISBLANK(JobBonus[[#This Row],[Employee Name]]),"",INDEX(Employees[Job Title],MATCH(JobBonus[[#This Row],[Employee Name]],Employees[Employee Name2],0)))</f>
        <v/>
      </c>
      <c r="J226" s="19" t="str">
        <f>IF(ISBLANK(JobBonus[[#This Row],[Job Prov]]),"",IF(JobBonus[[#This Row],[Job Prov]]=INDEX(Employees[Province],MATCH(JobBonus[[#This Row],[Employee Name]],Employees[Employee Name2],0)),"No","Yes"))</f>
        <v/>
      </c>
      <c r="K226" s="17"/>
      <c r="L226" s="19"/>
      <c r="M226" s="23"/>
      <c r="N226" s="23"/>
      <c r="O226" s="15"/>
      <c r="P226" s="15"/>
      <c r="Q226" s="15"/>
      <c r="R226" s="15"/>
      <c r="S226" s="44" cm="1">
        <f t="array" ref="S2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6" s="44" cm="1">
        <f t="array" ref="T2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6" s="44">
        <f>JobBonus[[#This Row],[Variable Pay]]+JobBonus[[#This Row],[Crew Efficiency Bonus]]</f>
        <v>0</v>
      </c>
      <c r="V226" s="44" cm="1">
        <f t="array" ref="V2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6" s="44" t="b">
        <f>_xlfn.IFNA(EXACT(VLOOKUP(JobBonus[[#This Row],[Pay Type]],PayTypes[#All],4,FALSE),"Yes"),FALSE)</f>
        <v>0</v>
      </c>
      <c r="X226" s="44" cm="1">
        <f t="array" ref="X226">SUMPRODUCT((StandByRates[Position]=JobBonus[[#This Row],[Position]])*(JobBonus[[#This Row],[Area]]=StandByRates[Area])*(StandByRates[Hourly]*JobBonus[[#This Row],[Standby/ Ext 
Hrs]]))</f>
        <v>0</v>
      </c>
      <c r="Y226" s="44">
        <f>JobBonus[[#This Row],[Variable Pay]]+JobBonus[[#This Row],[Crew Efficiency Bonus]]+JobBonus[[#This Row],[OVPP]]+JobBonus[[#This Row],[StandBy/ Ext Amount]]</f>
        <v>0</v>
      </c>
      <c r="Z226" s="80"/>
      <c r="AA226" s="42"/>
      <c r="AB226" s="42"/>
      <c r="AC226"/>
      <c r="AD226"/>
      <c r="AE226"/>
      <c r="AF226"/>
    </row>
    <row r="227" spans="1:32" hidden="1" x14ac:dyDescent="0.25">
      <c r="A227" s="46"/>
      <c r="B227" s="80"/>
      <c r="C227" s="15"/>
      <c r="D227" s="15"/>
      <c r="E227" s="15"/>
      <c r="F227" s="15"/>
      <c r="G227" s="16"/>
      <c r="H227" s="16"/>
      <c r="I227" s="19" t="str">
        <f>IF(ISBLANK(JobBonus[[#This Row],[Employee Name]]),"",INDEX(Employees[Job Title],MATCH(JobBonus[[#This Row],[Employee Name]],Employees[Employee Name2],0)))</f>
        <v/>
      </c>
      <c r="J227" s="19" t="str">
        <f>IF(ISBLANK(JobBonus[[#This Row],[Job Prov]]),"",IF(JobBonus[[#This Row],[Job Prov]]=INDEX(Employees[Province],MATCH(JobBonus[[#This Row],[Employee Name]],Employees[Employee Name2],0)),"No","Yes"))</f>
        <v/>
      </c>
      <c r="K227" s="17"/>
      <c r="L227" s="19"/>
      <c r="M227" s="23"/>
      <c r="N227" s="23"/>
      <c r="O227" s="15"/>
      <c r="P227" s="15"/>
      <c r="Q227" s="15"/>
      <c r="R227" s="15"/>
      <c r="S227" s="44" cm="1">
        <f t="array" ref="S2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7" s="44" cm="1">
        <f t="array" ref="T2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7" s="44">
        <f>JobBonus[[#This Row],[Variable Pay]]+JobBonus[[#This Row],[Crew Efficiency Bonus]]</f>
        <v>0</v>
      </c>
      <c r="V227" s="44" cm="1">
        <f t="array" ref="V2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7" s="44" t="b">
        <f>_xlfn.IFNA(EXACT(VLOOKUP(JobBonus[[#This Row],[Pay Type]],PayTypes[#All],4,FALSE),"Yes"),FALSE)</f>
        <v>0</v>
      </c>
      <c r="X227" s="44" cm="1">
        <f t="array" ref="X227">SUMPRODUCT((StandByRates[Position]=JobBonus[[#This Row],[Position]])*(JobBonus[[#This Row],[Area]]=StandByRates[Area])*(StandByRates[Hourly]*JobBonus[[#This Row],[Standby/ Ext 
Hrs]]))</f>
        <v>0</v>
      </c>
      <c r="Y227" s="44">
        <f>JobBonus[[#This Row],[Variable Pay]]+JobBonus[[#This Row],[Crew Efficiency Bonus]]+JobBonus[[#This Row],[OVPP]]+JobBonus[[#This Row],[StandBy/ Ext Amount]]</f>
        <v>0</v>
      </c>
      <c r="Z227" s="80"/>
      <c r="AA227" s="42"/>
      <c r="AB227" s="42"/>
      <c r="AC227"/>
      <c r="AD227"/>
      <c r="AE227"/>
      <c r="AF227"/>
    </row>
    <row r="228" spans="1:32" hidden="1" x14ac:dyDescent="0.25">
      <c r="A228" s="46"/>
      <c r="B228" s="80"/>
      <c r="C228" s="15"/>
      <c r="D228" s="15"/>
      <c r="E228" s="15"/>
      <c r="F228" s="15"/>
      <c r="G228" s="16"/>
      <c r="H228" s="16"/>
      <c r="I228" s="19" t="str">
        <f>IF(ISBLANK(JobBonus[[#This Row],[Employee Name]]),"",INDEX(Employees[Job Title],MATCH(JobBonus[[#This Row],[Employee Name]],Employees[Employee Name2],0)))</f>
        <v/>
      </c>
      <c r="J228" s="19" t="str">
        <f>IF(ISBLANK(JobBonus[[#This Row],[Job Prov]]),"",IF(JobBonus[[#This Row],[Job Prov]]=INDEX(Employees[Province],MATCH(JobBonus[[#This Row],[Employee Name]],Employees[Employee Name2],0)),"No","Yes"))</f>
        <v/>
      </c>
      <c r="K228" s="17"/>
      <c r="L228" s="19"/>
      <c r="M228" s="23"/>
      <c r="N228" s="23"/>
      <c r="O228" s="15"/>
      <c r="P228" s="15"/>
      <c r="Q228" s="15"/>
      <c r="R228" s="15"/>
      <c r="S228" s="44" cm="1">
        <f t="array" ref="S2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8" s="44" cm="1">
        <f t="array" ref="T2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8" s="44">
        <f>JobBonus[[#This Row],[Variable Pay]]+JobBonus[[#This Row],[Crew Efficiency Bonus]]</f>
        <v>0</v>
      </c>
      <c r="V228" s="44" cm="1">
        <f t="array" ref="V2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8" s="44" t="b">
        <f>_xlfn.IFNA(EXACT(VLOOKUP(JobBonus[[#This Row],[Pay Type]],PayTypes[#All],4,FALSE),"Yes"),FALSE)</f>
        <v>0</v>
      </c>
      <c r="X228" s="44" cm="1">
        <f t="array" ref="X228">SUMPRODUCT((StandByRates[Position]=JobBonus[[#This Row],[Position]])*(JobBonus[[#This Row],[Area]]=StandByRates[Area])*(StandByRates[Hourly]*JobBonus[[#This Row],[Standby/ Ext 
Hrs]]))</f>
        <v>0</v>
      </c>
      <c r="Y228" s="44">
        <f>JobBonus[[#This Row],[Variable Pay]]+JobBonus[[#This Row],[Crew Efficiency Bonus]]+JobBonus[[#This Row],[OVPP]]+JobBonus[[#This Row],[StandBy/ Ext Amount]]</f>
        <v>0</v>
      </c>
      <c r="Z228" s="80"/>
      <c r="AA228" s="42"/>
      <c r="AB228" s="42"/>
      <c r="AC228"/>
      <c r="AD228"/>
      <c r="AE228"/>
      <c r="AF228"/>
    </row>
    <row r="229" spans="1:32" hidden="1" x14ac:dyDescent="0.25">
      <c r="A229" s="46"/>
      <c r="B229" s="80"/>
      <c r="C229" s="15"/>
      <c r="D229" s="15"/>
      <c r="E229" s="15"/>
      <c r="F229" s="15"/>
      <c r="G229" s="16"/>
      <c r="H229" s="16"/>
      <c r="I229" s="19" t="str">
        <f>IF(ISBLANK(JobBonus[[#This Row],[Employee Name]]),"",INDEX(Employees[Job Title],MATCH(JobBonus[[#This Row],[Employee Name]],Employees[Employee Name2],0)))</f>
        <v/>
      </c>
      <c r="J229" s="19" t="str">
        <f>IF(ISBLANK(JobBonus[[#This Row],[Job Prov]]),"",IF(JobBonus[[#This Row],[Job Prov]]=INDEX(Employees[Province],MATCH(JobBonus[[#This Row],[Employee Name]],Employees[Employee Name2],0)),"No","Yes"))</f>
        <v/>
      </c>
      <c r="K229" s="17"/>
      <c r="L229" s="19"/>
      <c r="M229" s="23"/>
      <c r="N229" s="23"/>
      <c r="O229" s="15"/>
      <c r="P229" s="15"/>
      <c r="Q229" s="15"/>
      <c r="R229" s="15"/>
      <c r="S229" s="44" cm="1">
        <f t="array" ref="S2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9" s="44" cm="1">
        <f t="array" ref="T2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9" s="44">
        <f>JobBonus[[#This Row],[Variable Pay]]+JobBonus[[#This Row],[Crew Efficiency Bonus]]</f>
        <v>0</v>
      </c>
      <c r="V229" s="44" cm="1">
        <f t="array" ref="V2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9" s="44" t="b">
        <f>_xlfn.IFNA(EXACT(VLOOKUP(JobBonus[[#This Row],[Pay Type]],PayTypes[#All],4,FALSE),"Yes"),FALSE)</f>
        <v>0</v>
      </c>
      <c r="X229" s="44" cm="1">
        <f t="array" ref="X229">SUMPRODUCT((StandByRates[Position]=JobBonus[[#This Row],[Position]])*(JobBonus[[#This Row],[Area]]=StandByRates[Area])*(StandByRates[Hourly]*JobBonus[[#This Row],[Standby/ Ext 
Hrs]]))</f>
        <v>0</v>
      </c>
      <c r="Y229" s="44">
        <f>JobBonus[[#This Row],[Variable Pay]]+JobBonus[[#This Row],[Crew Efficiency Bonus]]+JobBonus[[#This Row],[OVPP]]+JobBonus[[#This Row],[StandBy/ Ext Amount]]</f>
        <v>0</v>
      </c>
      <c r="Z229" s="80"/>
      <c r="AA229" s="42"/>
      <c r="AB229" s="42"/>
      <c r="AC229"/>
      <c r="AD229"/>
      <c r="AE229"/>
      <c r="AF229"/>
    </row>
    <row r="230" spans="1:32" hidden="1" x14ac:dyDescent="0.25">
      <c r="A230" s="46"/>
      <c r="B230" s="80"/>
      <c r="C230" s="15"/>
      <c r="D230" s="15"/>
      <c r="E230" s="15"/>
      <c r="F230" s="15"/>
      <c r="G230" s="16"/>
      <c r="H230" s="16"/>
      <c r="I230" s="19" t="str">
        <f>IF(ISBLANK(JobBonus[[#This Row],[Employee Name]]),"",INDEX(Employees[Job Title],MATCH(JobBonus[[#This Row],[Employee Name]],Employees[Employee Name2],0)))</f>
        <v/>
      </c>
      <c r="J230" s="19" t="str">
        <f>IF(ISBLANK(JobBonus[[#This Row],[Job Prov]]),"",IF(JobBonus[[#This Row],[Job Prov]]=INDEX(Employees[Province],MATCH(JobBonus[[#This Row],[Employee Name]],Employees[Employee Name2],0)),"No","Yes"))</f>
        <v/>
      </c>
      <c r="K230" s="17"/>
      <c r="L230" s="19"/>
      <c r="M230" s="23"/>
      <c r="N230" s="23"/>
      <c r="O230" s="15"/>
      <c r="P230" s="15"/>
      <c r="Q230" s="15"/>
      <c r="R230" s="15"/>
      <c r="S230" s="44" cm="1">
        <f t="array" ref="S2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0" s="44" cm="1">
        <f t="array" ref="T2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0" s="44">
        <f>JobBonus[[#This Row],[Variable Pay]]+JobBonus[[#This Row],[Crew Efficiency Bonus]]</f>
        <v>0</v>
      </c>
      <c r="V230" s="44" cm="1">
        <f t="array" ref="V2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0" s="44" t="b">
        <f>_xlfn.IFNA(EXACT(VLOOKUP(JobBonus[[#This Row],[Pay Type]],PayTypes[#All],4,FALSE),"Yes"),FALSE)</f>
        <v>0</v>
      </c>
      <c r="X230" s="44" cm="1">
        <f t="array" ref="X230">SUMPRODUCT((StandByRates[Position]=JobBonus[[#This Row],[Position]])*(JobBonus[[#This Row],[Area]]=StandByRates[Area])*(StandByRates[Hourly]*JobBonus[[#This Row],[Standby/ Ext 
Hrs]]))</f>
        <v>0</v>
      </c>
      <c r="Y230" s="44">
        <f>JobBonus[[#This Row],[Variable Pay]]+JobBonus[[#This Row],[Crew Efficiency Bonus]]+JobBonus[[#This Row],[OVPP]]+JobBonus[[#This Row],[StandBy/ Ext Amount]]</f>
        <v>0</v>
      </c>
      <c r="Z230" s="80"/>
      <c r="AA230" s="42"/>
      <c r="AB230" s="42"/>
      <c r="AC230"/>
      <c r="AD230"/>
      <c r="AE230"/>
      <c r="AF230"/>
    </row>
    <row r="231" spans="1:32" hidden="1" x14ac:dyDescent="0.25">
      <c r="A231" s="46"/>
      <c r="B231" s="80"/>
      <c r="C231" s="15"/>
      <c r="D231" s="15"/>
      <c r="E231" s="15"/>
      <c r="F231" s="15"/>
      <c r="G231" s="16"/>
      <c r="H231" s="16"/>
      <c r="I231" s="19" t="str">
        <f>IF(ISBLANK(JobBonus[[#This Row],[Employee Name]]),"",INDEX(Employees[Job Title],MATCH(JobBonus[[#This Row],[Employee Name]],Employees[Employee Name2],0)))</f>
        <v/>
      </c>
      <c r="J231" s="19" t="str">
        <f>IF(ISBLANK(JobBonus[[#This Row],[Job Prov]]),"",IF(JobBonus[[#This Row],[Job Prov]]=INDEX(Employees[Province],MATCH(JobBonus[[#This Row],[Employee Name]],Employees[Employee Name2],0)),"No","Yes"))</f>
        <v/>
      </c>
      <c r="K231" s="17"/>
      <c r="L231" s="19"/>
      <c r="M231" s="23"/>
      <c r="N231" s="23"/>
      <c r="O231" s="15"/>
      <c r="P231" s="15"/>
      <c r="Q231" s="15"/>
      <c r="R231" s="15"/>
      <c r="S231" s="44" cm="1">
        <f t="array" ref="S2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1" s="44" cm="1">
        <f t="array" ref="T2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1" s="44">
        <f>JobBonus[[#This Row],[Variable Pay]]+JobBonus[[#This Row],[Crew Efficiency Bonus]]</f>
        <v>0</v>
      </c>
      <c r="V231" s="44" cm="1">
        <f t="array" ref="V2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1" s="44" t="b">
        <f>_xlfn.IFNA(EXACT(VLOOKUP(JobBonus[[#This Row],[Pay Type]],PayTypes[#All],4,FALSE),"Yes"),FALSE)</f>
        <v>0</v>
      </c>
      <c r="X231" s="44" cm="1">
        <f t="array" ref="X231">SUMPRODUCT((StandByRates[Position]=JobBonus[[#This Row],[Position]])*(JobBonus[[#This Row],[Area]]=StandByRates[Area])*(StandByRates[Hourly]*JobBonus[[#This Row],[Standby/ Ext 
Hrs]]))</f>
        <v>0</v>
      </c>
      <c r="Y231" s="44">
        <f>JobBonus[[#This Row],[Variable Pay]]+JobBonus[[#This Row],[Crew Efficiency Bonus]]+JobBonus[[#This Row],[OVPP]]+JobBonus[[#This Row],[StandBy/ Ext Amount]]</f>
        <v>0</v>
      </c>
      <c r="Z231" s="80"/>
      <c r="AA231" s="42"/>
      <c r="AB231" s="42"/>
      <c r="AC231"/>
      <c r="AD231"/>
      <c r="AE231"/>
      <c r="AF231"/>
    </row>
    <row r="232" spans="1:32" hidden="1" x14ac:dyDescent="0.25">
      <c r="A232" s="46"/>
      <c r="B232" s="80"/>
      <c r="C232" s="15"/>
      <c r="D232" s="15"/>
      <c r="E232" s="15"/>
      <c r="F232" s="15"/>
      <c r="G232" s="16"/>
      <c r="H232" s="16"/>
      <c r="I232" s="19" t="str">
        <f>IF(ISBLANK(JobBonus[[#This Row],[Employee Name]]),"",INDEX(Employees[Job Title],MATCH(JobBonus[[#This Row],[Employee Name]],Employees[Employee Name2],0)))</f>
        <v/>
      </c>
      <c r="J232" s="19" t="str">
        <f>IF(ISBLANK(JobBonus[[#This Row],[Job Prov]]),"",IF(JobBonus[[#This Row],[Job Prov]]=INDEX(Employees[Province],MATCH(JobBonus[[#This Row],[Employee Name]],Employees[Employee Name2],0)),"No","Yes"))</f>
        <v/>
      </c>
      <c r="K232" s="17"/>
      <c r="L232" s="19"/>
      <c r="M232" s="23"/>
      <c r="N232" s="23"/>
      <c r="O232" s="15"/>
      <c r="P232" s="15"/>
      <c r="Q232" s="15"/>
      <c r="R232" s="15"/>
      <c r="S232" s="44" cm="1">
        <f t="array" ref="S2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2" s="44" cm="1">
        <f t="array" ref="T2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2" s="44">
        <f>JobBonus[[#This Row],[Variable Pay]]+JobBonus[[#This Row],[Crew Efficiency Bonus]]</f>
        <v>0</v>
      </c>
      <c r="V232" s="44" cm="1">
        <f t="array" ref="V2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2" s="44" t="b">
        <f>_xlfn.IFNA(EXACT(VLOOKUP(JobBonus[[#This Row],[Pay Type]],PayTypes[#All],4,FALSE),"Yes"),FALSE)</f>
        <v>0</v>
      </c>
      <c r="X232" s="44" cm="1">
        <f t="array" ref="X232">SUMPRODUCT((StandByRates[Position]=JobBonus[[#This Row],[Position]])*(JobBonus[[#This Row],[Area]]=StandByRates[Area])*(StandByRates[Hourly]*JobBonus[[#This Row],[Standby/ Ext 
Hrs]]))</f>
        <v>0</v>
      </c>
      <c r="Y232" s="44">
        <f>JobBonus[[#This Row],[Variable Pay]]+JobBonus[[#This Row],[Crew Efficiency Bonus]]+JobBonus[[#This Row],[OVPP]]+JobBonus[[#This Row],[StandBy/ Ext Amount]]</f>
        <v>0</v>
      </c>
      <c r="Z232" s="80"/>
      <c r="AA232" s="42"/>
      <c r="AB232" s="42"/>
      <c r="AC232"/>
      <c r="AD232"/>
      <c r="AE232"/>
      <c r="AF232"/>
    </row>
    <row r="233" spans="1:32" hidden="1" x14ac:dyDescent="0.25">
      <c r="A233" s="46"/>
      <c r="B233" s="80"/>
      <c r="C233" s="15"/>
      <c r="D233" s="15"/>
      <c r="E233" s="15"/>
      <c r="F233" s="15"/>
      <c r="G233" s="16"/>
      <c r="H233" s="16"/>
      <c r="I233" s="19" t="str">
        <f>IF(ISBLANK(JobBonus[[#This Row],[Employee Name]]),"",INDEX(Employees[Job Title],MATCH(JobBonus[[#This Row],[Employee Name]],Employees[Employee Name2],0)))</f>
        <v/>
      </c>
      <c r="J233" s="19" t="str">
        <f>IF(ISBLANK(JobBonus[[#This Row],[Job Prov]]),"",IF(JobBonus[[#This Row],[Job Prov]]=INDEX(Employees[Province],MATCH(JobBonus[[#This Row],[Employee Name]],Employees[Employee Name2],0)),"No","Yes"))</f>
        <v/>
      </c>
      <c r="K233" s="17"/>
      <c r="L233" s="19"/>
      <c r="M233" s="23"/>
      <c r="N233" s="23"/>
      <c r="O233" s="15"/>
      <c r="P233" s="15"/>
      <c r="Q233" s="15"/>
      <c r="R233" s="15"/>
      <c r="S233" s="44" cm="1">
        <f t="array" ref="S2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3" s="44" cm="1">
        <f t="array" ref="T2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3" s="44">
        <f>JobBonus[[#This Row],[Variable Pay]]+JobBonus[[#This Row],[Crew Efficiency Bonus]]</f>
        <v>0</v>
      </c>
      <c r="V233" s="44" cm="1">
        <f t="array" ref="V2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3" s="44" t="b">
        <f>_xlfn.IFNA(EXACT(VLOOKUP(JobBonus[[#This Row],[Pay Type]],PayTypes[#All],4,FALSE),"Yes"),FALSE)</f>
        <v>0</v>
      </c>
      <c r="X233" s="44" cm="1">
        <f t="array" ref="X233">SUMPRODUCT((StandByRates[Position]=JobBonus[[#This Row],[Position]])*(JobBonus[[#This Row],[Area]]=StandByRates[Area])*(StandByRates[Hourly]*JobBonus[[#This Row],[Standby/ Ext 
Hrs]]))</f>
        <v>0</v>
      </c>
      <c r="Y233" s="44">
        <f>JobBonus[[#This Row],[Variable Pay]]+JobBonus[[#This Row],[Crew Efficiency Bonus]]+JobBonus[[#This Row],[OVPP]]+JobBonus[[#This Row],[StandBy/ Ext Amount]]</f>
        <v>0</v>
      </c>
      <c r="Z233" s="80"/>
      <c r="AA233" s="42"/>
      <c r="AB233" s="42"/>
      <c r="AC233"/>
      <c r="AD233"/>
      <c r="AE233"/>
      <c r="AF233"/>
    </row>
    <row r="234" spans="1:32" hidden="1" x14ac:dyDescent="0.25">
      <c r="A234" s="46"/>
      <c r="B234" s="80"/>
      <c r="C234" s="15"/>
      <c r="D234" s="15"/>
      <c r="E234" s="15"/>
      <c r="F234" s="15"/>
      <c r="G234" s="16"/>
      <c r="H234" s="16"/>
      <c r="I234" s="19" t="str">
        <f>IF(ISBLANK(JobBonus[[#This Row],[Employee Name]]),"",INDEX(Employees[Job Title],MATCH(JobBonus[[#This Row],[Employee Name]],Employees[Employee Name2],0)))</f>
        <v/>
      </c>
      <c r="J234" s="19" t="str">
        <f>IF(ISBLANK(JobBonus[[#This Row],[Job Prov]]),"",IF(JobBonus[[#This Row],[Job Prov]]=INDEX(Employees[Province],MATCH(JobBonus[[#This Row],[Employee Name]],Employees[Employee Name2],0)),"No","Yes"))</f>
        <v/>
      </c>
      <c r="K234" s="17"/>
      <c r="L234" s="19"/>
      <c r="M234" s="23"/>
      <c r="N234" s="23"/>
      <c r="O234" s="15"/>
      <c r="P234" s="15"/>
      <c r="Q234" s="15"/>
      <c r="R234" s="15"/>
      <c r="S234" s="44" cm="1">
        <f t="array" ref="S2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4" s="44" cm="1">
        <f t="array" ref="T2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4" s="44">
        <f>JobBonus[[#This Row],[Variable Pay]]+JobBonus[[#This Row],[Crew Efficiency Bonus]]</f>
        <v>0</v>
      </c>
      <c r="V234" s="44" cm="1">
        <f t="array" ref="V2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4" s="44" t="b">
        <f>_xlfn.IFNA(EXACT(VLOOKUP(JobBonus[[#This Row],[Pay Type]],PayTypes[#All],4,FALSE),"Yes"),FALSE)</f>
        <v>0</v>
      </c>
      <c r="X234" s="44" cm="1">
        <f t="array" ref="X234">SUMPRODUCT((StandByRates[Position]=JobBonus[[#This Row],[Position]])*(JobBonus[[#This Row],[Area]]=StandByRates[Area])*(StandByRates[Hourly]*JobBonus[[#This Row],[Standby/ Ext 
Hrs]]))</f>
        <v>0</v>
      </c>
      <c r="Y234" s="44">
        <f>JobBonus[[#This Row],[Variable Pay]]+JobBonus[[#This Row],[Crew Efficiency Bonus]]+JobBonus[[#This Row],[OVPP]]+JobBonus[[#This Row],[StandBy/ Ext Amount]]</f>
        <v>0</v>
      </c>
      <c r="Z234" s="80"/>
      <c r="AA234" s="42"/>
      <c r="AB234" s="42"/>
      <c r="AC234"/>
      <c r="AD234"/>
      <c r="AE234"/>
      <c r="AF234"/>
    </row>
    <row r="235" spans="1:32" hidden="1" x14ac:dyDescent="0.25">
      <c r="A235" s="46"/>
      <c r="B235" s="80"/>
      <c r="C235" s="15"/>
      <c r="D235" s="15"/>
      <c r="E235" s="15"/>
      <c r="F235" s="15"/>
      <c r="G235" s="16"/>
      <c r="H235" s="16"/>
      <c r="I235" s="19" t="str">
        <f>IF(ISBLANK(JobBonus[[#This Row],[Employee Name]]),"",INDEX(Employees[Job Title],MATCH(JobBonus[[#This Row],[Employee Name]],Employees[Employee Name2],0)))</f>
        <v/>
      </c>
      <c r="J235" s="19" t="str">
        <f>IF(ISBLANK(JobBonus[[#This Row],[Job Prov]]),"",IF(JobBonus[[#This Row],[Job Prov]]=INDEX(Employees[Province],MATCH(JobBonus[[#This Row],[Employee Name]],Employees[Employee Name2],0)),"No","Yes"))</f>
        <v/>
      </c>
      <c r="K235" s="17"/>
      <c r="L235" s="19"/>
      <c r="M235" s="23"/>
      <c r="N235" s="23"/>
      <c r="O235" s="15"/>
      <c r="P235" s="15"/>
      <c r="Q235" s="15"/>
      <c r="R235" s="15"/>
      <c r="S235" s="44" cm="1">
        <f t="array" ref="S2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5" s="44" cm="1">
        <f t="array" ref="T2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5" s="44">
        <f>JobBonus[[#This Row],[Variable Pay]]+JobBonus[[#This Row],[Crew Efficiency Bonus]]</f>
        <v>0</v>
      </c>
      <c r="V235" s="44" cm="1">
        <f t="array" ref="V2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5" s="44" t="b">
        <f>_xlfn.IFNA(EXACT(VLOOKUP(JobBonus[[#This Row],[Pay Type]],PayTypes[#All],4,FALSE),"Yes"),FALSE)</f>
        <v>0</v>
      </c>
      <c r="X235" s="44" cm="1">
        <f t="array" ref="X235">SUMPRODUCT((StandByRates[Position]=JobBonus[[#This Row],[Position]])*(JobBonus[[#This Row],[Area]]=StandByRates[Area])*(StandByRates[Hourly]*JobBonus[[#This Row],[Standby/ Ext 
Hrs]]))</f>
        <v>0</v>
      </c>
      <c r="Y235" s="44">
        <f>JobBonus[[#This Row],[Variable Pay]]+JobBonus[[#This Row],[Crew Efficiency Bonus]]+JobBonus[[#This Row],[OVPP]]+JobBonus[[#This Row],[StandBy/ Ext Amount]]</f>
        <v>0</v>
      </c>
      <c r="Z235" s="80"/>
      <c r="AA235" s="42"/>
      <c r="AB235" s="42"/>
      <c r="AC235"/>
      <c r="AD235"/>
      <c r="AE235"/>
      <c r="AF235"/>
    </row>
    <row r="236" spans="1:32" hidden="1" x14ac:dyDescent="0.25">
      <c r="A236" s="46"/>
      <c r="B236" s="80"/>
      <c r="C236" s="15"/>
      <c r="D236" s="15"/>
      <c r="E236" s="15"/>
      <c r="F236" s="15"/>
      <c r="G236" s="16"/>
      <c r="H236" s="16"/>
      <c r="I236" s="19" t="str">
        <f>IF(ISBLANK(JobBonus[[#This Row],[Employee Name]]),"",INDEX(Employees[Job Title],MATCH(JobBonus[[#This Row],[Employee Name]],Employees[Employee Name2],0)))</f>
        <v/>
      </c>
      <c r="J236" s="19" t="str">
        <f>IF(ISBLANK(JobBonus[[#This Row],[Job Prov]]),"",IF(JobBonus[[#This Row],[Job Prov]]=INDEX(Employees[Province],MATCH(JobBonus[[#This Row],[Employee Name]],Employees[Employee Name2],0)),"No","Yes"))</f>
        <v/>
      </c>
      <c r="K236" s="17"/>
      <c r="L236" s="19"/>
      <c r="M236" s="23"/>
      <c r="N236" s="23"/>
      <c r="O236" s="15"/>
      <c r="P236" s="15"/>
      <c r="Q236" s="15"/>
      <c r="R236" s="15"/>
      <c r="S236" s="44" cm="1">
        <f t="array" ref="S2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6" s="44" cm="1">
        <f t="array" ref="T2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6" s="44">
        <f>JobBonus[[#This Row],[Variable Pay]]+JobBonus[[#This Row],[Crew Efficiency Bonus]]</f>
        <v>0</v>
      </c>
      <c r="V236" s="44" cm="1">
        <f t="array" ref="V2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6" s="44" t="b">
        <f>_xlfn.IFNA(EXACT(VLOOKUP(JobBonus[[#This Row],[Pay Type]],PayTypes[#All],4,FALSE),"Yes"),FALSE)</f>
        <v>0</v>
      </c>
      <c r="X236" s="44" cm="1">
        <f t="array" ref="X236">SUMPRODUCT((StandByRates[Position]=JobBonus[[#This Row],[Position]])*(JobBonus[[#This Row],[Area]]=StandByRates[Area])*(StandByRates[Hourly]*JobBonus[[#This Row],[Standby/ Ext 
Hrs]]))</f>
        <v>0</v>
      </c>
      <c r="Y236" s="44">
        <f>JobBonus[[#This Row],[Variable Pay]]+JobBonus[[#This Row],[Crew Efficiency Bonus]]+JobBonus[[#This Row],[OVPP]]+JobBonus[[#This Row],[StandBy/ Ext Amount]]</f>
        <v>0</v>
      </c>
      <c r="Z236" s="80"/>
      <c r="AA236" s="42"/>
      <c r="AB236" s="42"/>
      <c r="AC236"/>
      <c r="AD236"/>
      <c r="AE236"/>
      <c r="AF236"/>
    </row>
    <row r="237" spans="1:32" hidden="1" x14ac:dyDescent="0.25">
      <c r="A237" s="46"/>
      <c r="B237" s="80"/>
      <c r="C237" s="15"/>
      <c r="D237" s="15"/>
      <c r="E237" s="15"/>
      <c r="F237" s="15"/>
      <c r="G237" s="16"/>
      <c r="H237" s="16"/>
      <c r="I237" s="19" t="str">
        <f>IF(ISBLANK(JobBonus[[#This Row],[Employee Name]]),"",INDEX(Employees[Job Title],MATCH(JobBonus[[#This Row],[Employee Name]],Employees[Employee Name2],0)))</f>
        <v/>
      </c>
      <c r="J237" s="19" t="str">
        <f>IF(ISBLANK(JobBonus[[#This Row],[Job Prov]]),"",IF(JobBonus[[#This Row],[Job Prov]]=INDEX(Employees[Province],MATCH(JobBonus[[#This Row],[Employee Name]],Employees[Employee Name2],0)),"No","Yes"))</f>
        <v/>
      </c>
      <c r="K237" s="17"/>
      <c r="L237" s="19"/>
      <c r="M237" s="23"/>
      <c r="N237" s="23"/>
      <c r="O237" s="15"/>
      <c r="P237" s="15"/>
      <c r="Q237" s="15"/>
      <c r="R237" s="15"/>
      <c r="S237" s="44" cm="1">
        <f t="array" ref="S2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7" s="44" cm="1">
        <f t="array" ref="T2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7" s="44">
        <f>JobBonus[[#This Row],[Variable Pay]]+JobBonus[[#This Row],[Crew Efficiency Bonus]]</f>
        <v>0</v>
      </c>
      <c r="V237" s="44" cm="1">
        <f t="array" ref="V2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7" s="44" t="b">
        <f>_xlfn.IFNA(EXACT(VLOOKUP(JobBonus[[#This Row],[Pay Type]],PayTypes[#All],4,FALSE),"Yes"),FALSE)</f>
        <v>0</v>
      </c>
      <c r="X237" s="44" cm="1">
        <f t="array" ref="X237">SUMPRODUCT((StandByRates[Position]=JobBonus[[#This Row],[Position]])*(JobBonus[[#This Row],[Area]]=StandByRates[Area])*(StandByRates[Hourly]*JobBonus[[#This Row],[Standby/ Ext 
Hrs]]))</f>
        <v>0</v>
      </c>
      <c r="Y237" s="44">
        <f>JobBonus[[#This Row],[Variable Pay]]+JobBonus[[#This Row],[Crew Efficiency Bonus]]+JobBonus[[#This Row],[OVPP]]+JobBonus[[#This Row],[StandBy/ Ext Amount]]</f>
        <v>0</v>
      </c>
      <c r="Z237" s="80"/>
      <c r="AA237" s="42"/>
      <c r="AB237" s="42"/>
      <c r="AC237"/>
      <c r="AD237"/>
      <c r="AE237"/>
      <c r="AF237"/>
    </row>
    <row r="238" spans="1:32" hidden="1" x14ac:dyDescent="0.25">
      <c r="A238" s="46"/>
      <c r="B238" s="80"/>
      <c r="C238" s="15"/>
      <c r="D238" s="15"/>
      <c r="E238" s="15"/>
      <c r="F238" s="15"/>
      <c r="G238" s="16"/>
      <c r="H238" s="16"/>
      <c r="I238" s="19" t="str">
        <f>IF(ISBLANK(JobBonus[[#This Row],[Employee Name]]),"",INDEX(Employees[Job Title],MATCH(JobBonus[[#This Row],[Employee Name]],Employees[Employee Name2],0)))</f>
        <v/>
      </c>
      <c r="J238" s="19" t="str">
        <f>IF(ISBLANK(JobBonus[[#This Row],[Job Prov]]),"",IF(JobBonus[[#This Row],[Job Prov]]=INDEX(Employees[Province],MATCH(JobBonus[[#This Row],[Employee Name]],Employees[Employee Name2],0)),"No","Yes"))</f>
        <v/>
      </c>
      <c r="K238" s="17"/>
      <c r="L238" s="19"/>
      <c r="M238" s="23"/>
      <c r="N238" s="23"/>
      <c r="O238" s="15"/>
      <c r="P238" s="15"/>
      <c r="Q238" s="15"/>
      <c r="R238" s="15"/>
      <c r="S238" s="44" cm="1">
        <f t="array" ref="S2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8" s="44" cm="1">
        <f t="array" ref="T2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8" s="44">
        <f>JobBonus[[#This Row],[Variable Pay]]+JobBonus[[#This Row],[Crew Efficiency Bonus]]</f>
        <v>0</v>
      </c>
      <c r="V238" s="44" cm="1">
        <f t="array" ref="V2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8" s="44" t="b">
        <f>_xlfn.IFNA(EXACT(VLOOKUP(JobBonus[[#This Row],[Pay Type]],PayTypes[#All],4,FALSE),"Yes"),FALSE)</f>
        <v>0</v>
      </c>
      <c r="X238" s="44" cm="1">
        <f t="array" ref="X238">SUMPRODUCT((StandByRates[Position]=JobBonus[[#This Row],[Position]])*(JobBonus[[#This Row],[Area]]=StandByRates[Area])*(StandByRates[Hourly]*JobBonus[[#This Row],[Standby/ Ext 
Hrs]]))</f>
        <v>0</v>
      </c>
      <c r="Y238" s="44">
        <f>JobBonus[[#This Row],[Variable Pay]]+JobBonus[[#This Row],[Crew Efficiency Bonus]]+JobBonus[[#This Row],[OVPP]]+JobBonus[[#This Row],[StandBy/ Ext Amount]]</f>
        <v>0</v>
      </c>
      <c r="Z238" s="80"/>
      <c r="AA238" s="42"/>
      <c r="AB238" s="42"/>
      <c r="AC238"/>
      <c r="AD238"/>
      <c r="AE238"/>
      <c r="AF238"/>
    </row>
    <row r="239" spans="1:32" hidden="1" x14ac:dyDescent="0.25">
      <c r="A239" s="46"/>
      <c r="B239" s="80"/>
      <c r="C239" s="15"/>
      <c r="D239" s="15"/>
      <c r="E239" s="15"/>
      <c r="F239" s="15"/>
      <c r="G239" s="16"/>
      <c r="H239" s="16"/>
      <c r="I239" s="19" t="str">
        <f>IF(ISBLANK(JobBonus[[#This Row],[Employee Name]]),"",INDEX(Employees[Job Title],MATCH(JobBonus[[#This Row],[Employee Name]],Employees[Employee Name2],0)))</f>
        <v/>
      </c>
      <c r="J239" s="19" t="str">
        <f>IF(ISBLANK(JobBonus[[#This Row],[Job Prov]]),"",IF(JobBonus[[#This Row],[Job Prov]]=INDEX(Employees[Province],MATCH(JobBonus[[#This Row],[Employee Name]],Employees[Employee Name2],0)),"No","Yes"))</f>
        <v/>
      </c>
      <c r="K239" s="17"/>
      <c r="L239" s="19"/>
      <c r="M239" s="23"/>
      <c r="N239" s="23"/>
      <c r="O239" s="15"/>
      <c r="P239" s="15"/>
      <c r="Q239" s="15"/>
      <c r="R239" s="15"/>
      <c r="S239" s="44" cm="1">
        <f t="array" ref="S2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9" s="44" cm="1">
        <f t="array" ref="T2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9" s="44">
        <f>JobBonus[[#This Row],[Variable Pay]]+JobBonus[[#This Row],[Crew Efficiency Bonus]]</f>
        <v>0</v>
      </c>
      <c r="V239" s="44" cm="1">
        <f t="array" ref="V2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9" s="44" t="b">
        <f>_xlfn.IFNA(EXACT(VLOOKUP(JobBonus[[#This Row],[Pay Type]],PayTypes[#All],4,FALSE),"Yes"),FALSE)</f>
        <v>0</v>
      </c>
      <c r="X239" s="44" cm="1">
        <f t="array" ref="X239">SUMPRODUCT((StandByRates[Position]=JobBonus[[#This Row],[Position]])*(JobBonus[[#This Row],[Area]]=StandByRates[Area])*(StandByRates[Hourly]*JobBonus[[#This Row],[Standby/ Ext 
Hrs]]))</f>
        <v>0</v>
      </c>
      <c r="Y239" s="44">
        <f>JobBonus[[#This Row],[Variable Pay]]+JobBonus[[#This Row],[Crew Efficiency Bonus]]+JobBonus[[#This Row],[OVPP]]+JobBonus[[#This Row],[StandBy/ Ext Amount]]</f>
        <v>0</v>
      </c>
      <c r="Z239" s="80"/>
      <c r="AA239" s="42"/>
      <c r="AB239" s="42"/>
      <c r="AC239"/>
      <c r="AD239"/>
      <c r="AE239"/>
      <c r="AF239"/>
    </row>
    <row r="240" spans="1:32" hidden="1" x14ac:dyDescent="0.25">
      <c r="A240" s="46"/>
      <c r="B240" s="80"/>
      <c r="C240" s="15"/>
      <c r="D240" s="15"/>
      <c r="E240" s="15"/>
      <c r="F240" s="15"/>
      <c r="G240" s="16"/>
      <c r="H240" s="16"/>
      <c r="I240" s="19" t="str">
        <f>IF(ISBLANK(JobBonus[[#This Row],[Employee Name]]),"",INDEX(Employees[Job Title],MATCH(JobBonus[[#This Row],[Employee Name]],Employees[Employee Name2],0)))</f>
        <v/>
      </c>
      <c r="J240" s="19" t="str">
        <f>IF(ISBLANK(JobBonus[[#This Row],[Job Prov]]),"",IF(JobBonus[[#This Row],[Job Prov]]=INDEX(Employees[Province],MATCH(JobBonus[[#This Row],[Employee Name]],Employees[Employee Name2],0)),"No","Yes"))</f>
        <v/>
      </c>
      <c r="K240" s="17"/>
      <c r="L240" s="19"/>
      <c r="M240" s="23"/>
      <c r="N240" s="23"/>
      <c r="O240" s="15"/>
      <c r="P240" s="15"/>
      <c r="Q240" s="15"/>
      <c r="R240" s="15"/>
      <c r="S240" s="44" cm="1">
        <f t="array" ref="S2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0" s="44" cm="1">
        <f t="array" ref="T2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0" s="44">
        <f>JobBonus[[#This Row],[Variable Pay]]+JobBonus[[#This Row],[Crew Efficiency Bonus]]</f>
        <v>0</v>
      </c>
      <c r="V240" s="44" cm="1">
        <f t="array" ref="V2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0" s="44" t="b">
        <f>_xlfn.IFNA(EXACT(VLOOKUP(JobBonus[[#This Row],[Pay Type]],PayTypes[#All],4,FALSE),"Yes"),FALSE)</f>
        <v>0</v>
      </c>
      <c r="X240" s="44" cm="1">
        <f t="array" ref="X240">SUMPRODUCT((StandByRates[Position]=JobBonus[[#This Row],[Position]])*(JobBonus[[#This Row],[Area]]=StandByRates[Area])*(StandByRates[Hourly]*JobBonus[[#This Row],[Standby/ Ext 
Hrs]]))</f>
        <v>0</v>
      </c>
      <c r="Y240" s="44">
        <f>JobBonus[[#This Row],[Variable Pay]]+JobBonus[[#This Row],[Crew Efficiency Bonus]]+JobBonus[[#This Row],[OVPP]]+JobBonus[[#This Row],[StandBy/ Ext Amount]]</f>
        <v>0</v>
      </c>
      <c r="Z240" s="80"/>
      <c r="AA240" s="42"/>
      <c r="AB240" s="42"/>
      <c r="AC240"/>
      <c r="AD240"/>
      <c r="AE240"/>
      <c r="AF240"/>
    </row>
    <row r="241" spans="1:32" hidden="1" x14ac:dyDescent="0.25">
      <c r="A241" s="46"/>
      <c r="B241" s="80"/>
      <c r="C241" s="15"/>
      <c r="D241" s="15"/>
      <c r="E241" s="15"/>
      <c r="F241" s="15"/>
      <c r="G241" s="16"/>
      <c r="H241" s="16"/>
      <c r="I241" s="19" t="str">
        <f>IF(ISBLANK(JobBonus[[#This Row],[Employee Name]]),"",INDEX(Employees[Job Title],MATCH(JobBonus[[#This Row],[Employee Name]],Employees[Employee Name2],0)))</f>
        <v/>
      </c>
      <c r="J241" s="19" t="str">
        <f>IF(ISBLANK(JobBonus[[#This Row],[Job Prov]]),"",IF(JobBonus[[#This Row],[Job Prov]]=INDEX(Employees[Province],MATCH(JobBonus[[#This Row],[Employee Name]],Employees[Employee Name2],0)),"No","Yes"))</f>
        <v/>
      </c>
      <c r="K241" s="17"/>
      <c r="L241" s="19"/>
      <c r="M241" s="23"/>
      <c r="N241" s="23"/>
      <c r="O241" s="15"/>
      <c r="P241" s="15"/>
      <c r="Q241" s="15"/>
      <c r="R241" s="15"/>
      <c r="S241" s="44" cm="1">
        <f t="array" ref="S2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1" s="44" cm="1">
        <f t="array" ref="T2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1" s="44">
        <f>JobBonus[[#This Row],[Variable Pay]]+JobBonus[[#This Row],[Crew Efficiency Bonus]]</f>
        <v>0</v>
      </c>
      <c r="V241" s="44" cm="1">
        <f t="array" ref="V2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1" s="44" t="b">
        <f>_xlfn.IFNA(EXACT(VLOOKUP(JobBonus[[#This Row],[Pay Type]],PayTypes[#All],4,FALSE),"Yes"),FALSE)</f>
        <v>0</v>
      </c>
      <c r="X241" s="44" cm="1">
        <f t="array" ref="X241">SUMPRODUCT((StandByRates[Position]=JobBonus[[#This Row],[Position]])*(JobBonus[[#This Row],[Area]]=StandByRates[Area])*(StandByRates[Hourly]*JobBonus[[#This Row],[Standby/ Ext 
Hrs]]))</f>
        <v>0</v>
      </c>
      <c r="Y241" s="44">
        <f>JobBonus[[#This Row],[Variable Pay]]+JobBonus[[#This Row],[Crew Efficiency Bonus]]+JobBonus[[#This Row],[OVPP]]+JobBonus[[#This Row],[StandBy/ Ext Amount]]</f>
        <v>0</v>
      </c>
      <c r="Z241" s="80"/>
      <c r="AA241" s="42"/>
      <c r="AB241" s="42"/>
      <c r="AC241"/>
      <c r="AD241"/>
      <c r="AE241"/>
      <c r="AF241"/>
    </row>
    <row r="242" spans="1:32" hidden="1" x14ac:dyDescent="0.25">
      <c r="A242" s="46"/>
      <c r="B242" s="80"/>
      <c r="C242" s="15"/>
      <c r="D242" s="15"/>
      <c r="E242" s="15"/>
      <c r="F242" s="15"/>
      <c r="G242" s="16"/>
      <c r="H242" s="16"/>
      <c r="I242" s="19" t="str">
        <f>IF(ISBLANK(JobBonus[[#This Row],[Employee Name]]),"",INDEX(Employees[Job Title],MATCH(JobBonus[[#This Row],[Employee Name]],Employees[Employee Name2],0)))</f>
        <v/>
      </c>
      <c r="J242" s="19" t="str">
        <f>IF(ISBLANK(JobBonus[[#This Row],[Job Prov]]),"",IF(JobBonus[[#This Row],[Job Prov]]=INDEX(Employees[Province],MATCH(JobBonus[[#This Row],[Employee Name]],Employees[Employee Name2],0)),"No","Yes"))</f>
        <v/>
      </c>
      <c r="K242" s="17"/>
      <c r="L242" s="19"/>
      <c r="M242" s="23"/>
      <c r="N242" s="23"/>
      <c r="O242" s="15"/>
      <c r="P242" s="15"/>
      <c r="Q242" s="15"/>
      <c r="R242" s="15"/>
      <c r="S242" s="44" cm="1">
        <f t="array" ref="S2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2" s="44" cm="1">
        <f t="array" ref="T2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2" s="44">
        <f>JobBonus[[#This Row],[Variable Pay]]+JobBonus[[#This Row],[Crew Efficiency Bonus]]</f>
        <v>0</v>
      </c>
      <c r="V242" s="44" cm="1">
        <f t="array" ref="V2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2" s="44" t="b">
        <f>_xlfn.IFNA(EXACT(VLOOKUP(JobBonus[[#This Row],[Pay Type]],PayTypes[#All],4,FALSE),"Yes"),FALSE)</f>
        <v>0</v>
      </c>
      <c r="X242" s="44" cm="1">
        <f t="array" ref="X242">SUMPRODUCT((StandByRates[Position]=JobBonus[[#This Row],[Position]])*(JobBonus[[#This Row],[Area]]=StandByRates[Area])*(StandByRates[Hourly]*JobBonus[[#This Row],[Standby/ Ext 
Hrs]]))</f>
        <v>0</v>
      </c>
      <c r="Y242" s="44">
        <f>JobBonus[[#This Row],[Variable Pay]]+JobBonus[[#This Row],[Crew Efficiency Bonus]]+JobBonus[[#This Row],[OVPP]]+JobBonus[[#This Row],[StandBy/ Ext Amount]]</f>
        <v>0</v>
      </c>
      <c r="Z242" s="80"/>
      <c r="AA242" s="42"/>
      <c r="AB242" s="42"/>
      <c r="AC242"/>
      <c r="AD242"/>
      <c r="AE242"/>
      <c r="AF242"/>
    </row>
    <row r="243" spans="1:32" hidden="1" x14ac:dyDescent="0.25">
      <c r="A243" s="46"/>
      <c r="B243" s="80"/>
      <c r="C243" s="15"/>
      <c r="D243" s="15"/>
      <c r="E243" s="15"/>
      <c r="F243" s="15"/>
      <c r="G243" s="16"/>
      <c r="H243" s="16"/>
      <c r="I243" s="19" t="str">
        <f>IF(ISBLANK(JobBonus[[#This Row],[Employee Name]]),"",INDEX(Employees[Job Title],MATCH(JobBonus[[#This Row],[Employee Name]],Employees[Employee Name2],0)))</f>
        <v/>
      </c>
      <c r="J243" s="19" t="str">
        <f>IF(ISBLANK(JobBonus[[#This Row],[Job Prov]]),"",IF(JobBonus[[#This Row],[Job Prov]]=INDEX(Employees[Province],MATCH(JobBonus[[#This Row],[Employee Name]],Employees[Employee Name2],0)),"No","Yes"))</f>
        <v/>
      </c>
      <c r="K243" s="17"/>
      <c r="L243" s="19"/>
      <c r="M243" s="23"/>
      <c r="N243" s="23"/>
      <c r="O243" s="15"/>
      <c r="P243" s="15"/>
      <c r="Q243" s="15"/>
      <c r="R243" s="15"/>
      <c r="S243" s="44" cm="1">
        <f t="array" ref="S2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3" s="44" cm="1">
        <f t="array" ref="T2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3" s="44">
        <f>JobBonus[[#This Row],[Variable Pay]]+JobBonus[[#This Row],[Crew Efficiency Bonus]]</f>
        <v>0</v>
      </c>
      <c r="V243" s="44" cm="1">
        <f t="array" ref="V2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3" s="44" t="b">
        <f>_xlfn.IFNA(EXACT(VLOOKUP(JobBonus[[#This Row],[Pay Type]],PayTypes[#All],4,FALSE),"Yes"),FALSE)</f>
        <v>0</v>
      </c>
      <c r="X243" s="44" cm="1">
        <f t="array" ref="X243">SUMPRODUCT((StandByRates[Position]=JobBonus[[#This Row],[Position]])*(JobBonus[[#This Row],[Area]]=StandByRates[Area])*(StandByRates[Hourly]*JobBonus[[#This Row],[Standby/ Ext 
Hrs]]))</f>
        <v>0</v>
      </c>
      <c r="Y243" s="44">
        <f>JobBonus[[#This Row],[Variable Pay]]+JobBonus[[#This Row],[Crew Efficiency Bonus]]+JobBonus[[#This Row],[OVPP]]+JobBonus[[#This Row],[StandBy/ Ext Amount]]</f>
        <v>0</v>
      </c>
      <c r="Z243" s="80"/>
      <c r="AA243" s="42"/>
      <c r="AB243" s="42"/>
      <c r="AC243"/>
      <c r="AD243"/>
      <c r="AE243"/>
      <c r="AF243"/>
    </row>
    <row r="244" spans="1:32" hidden="1" x14ac:dyDescent="0.25">
      <c r="A244" s="46"/>
      <c r="B244" s="80"/>
      <c r="C244" s="15"/>
      <c r="D244" s="15"/>
      <c r="E244" s="15"/>
      <c r="F244" s="15"/>
      <c r="G244" s="16"/>
      <c r="H244" s="16"/>
      <c r="I244" s="19" t="str">
        <f>IF(ISBLANK(JobBonus[[#This Row],[Employee Name]]),"",INDEX(Employees[Job Title],MATCH(JobBonus[[#This Row],[Employee Name]],Employees[Employee Name2],0)))</f>
        <v/>
      </c>
      <c r="J244" s="19" t="str">
        <f>IF(ISBLANK(JobBonus[[#This Row],[Job Prov]]),"",IF(JobBonus[[#This Row],[Job Prov]]=INDEX(Employees[Province],MATCH(JobBonus[[#This Row],[Employee Name]],Employees[Employee Name2],0)),"No","Yes"))</f>
        <v/>
      </c>
      <c r="K244" s="17"/>
      <c r="L244" s="19"/>
      <c r="M244" s="23"/>
      <c r="N244" s="23"/>
      <c r="O244" s="15"/>
      <c r="P244" s="15"/>
      <c r="Q244" s="15"/>
      <c r="R244" s="15"/>
      <c r="S244" s="44" cm="1">
        <f t="array" ref="S2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4" s="44" cm="1">
        <f t="array" ref="T2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4" s="44">
        <f>JobBonus[[#This Row],[Variable Pay]]+JobBonus[[#This Row],[Crew Efficiency Bonus]]</f>
        <v>0</v>
      </c>
      <c r="V244" s="44" cm="1">
        <f t="array" ref="V2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4" s="44" t="b">
        <f>_xlfn.IFNA(EXACT(VLOOKUP(JobBonus[[#This Row],[Pay Type]],PayTypes[#All],4,FALSE),"Yes"),FALSE)</f>
        <v>0</v>
      </c>
      <c r="X244" s="44" cm="1">
        <f t="array" ref="X244">SUMPRODUCT((StandByRates[Position]=JobBonus[[#This Row],[Position]])*(JobBonus[[#This Row],[Area]]=StandByRates[Area])*(StandByRates[Hourly]*JobBonus[[#This Row],[Standby/ Ext 
Hrs]]))</f>
        <v>0</v>
      </c>
      <c r="Y244" s="44">
        <f>JobBonus[[#This Row],[Variable Pay]]+JobBonus[[#This Row],[Crew Efficiency Bonus]]+JobBonus[[#This Row],[OVPP]]+JobBonus[[#This Row],[StandBy/ Ext Amount]]</f>
        <v>0</v>
      </c>
      <c r="Z244" s="80"/>
      <c r="AA244" s="42"/>
      <c r="AB244" s="42"/>
      <c r="AC244"/>
      <c r="AD244"/>
      <c r="AE244"/>
      <c r="AF244"/>
    </row>
    <row r="245" spans="1:32" hidden="1" x14ac:dyDescent="0.25">
      <c r="A245" s="46"/>
      <c r="B245" s="80"/>
      <c r="C245" s="15"/>
      <c r="D245" s="15"/>
      <c r="E245" s="15"/>
      <c r="F245" s="15"/>
      <c r="G245" s="16"/>
      <c r="H245" s="16"/>
      <c r="I245" s="19" t="str">
        <f>IF(ISBLANK(JobBonus[[#This Row],[Employee Name]]),"",INDEX(Employees[Job Title],MATCH(JobBonus[[#This Row],[Employee Name]],Employees[Employee Name2],0)))</f>
        <v/>
      </c>
      <c r="J245" s="19" t="str">
        <f>IF(ISBLANK(JobBonus[[#This Row],[Job Prov]]),"",IF(JobBonus[[#This Row],[Job Prov]]=INDEX(Employees[Province],MATCH(JobBonus[[#This Row],[Employee Name]],Employees[Employee Name2],0)),"No","Yes"))</f>
        <v/>
      </c>
      <c r="K245" s="17"/>
      <c r="L245" s="19"/>
      <c r="M245" s="23"/>
      <c r="N245" s="23"/>
      <c r="O245" s="15"/>
      <c r="P245" s="15"/>
      <c r="Q245" s="15"/>
      <c r="R245" s="15"/>
      <c r="S245" s="44" cm="1">
        <f t="array" ref="S2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5" s="44" cm="1">
        <f t="array" ref="T2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5" s="44">
        <f>JobBonus[[#This Row],[Variable Pay]]+JobBonus[[#This Row],[Crew Efficiency Bonus]]</f>
        <v>0</v>
      </c>
      <c r="V245" s="44" cm="1">
        <f t="array" ref="V2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5" s="44" t="b">
        <f>_xlfn.IFNA(EXACT(VLOOKUP(JobBonus[[#This Row],[Pay Type]],PayTypes[#All],4,FALSE),"Yes"),FALSE)</f>
        <v>0</v>
      </c>
      <c r="X245" s="44" cm="1">
        <f t="array" ref="X245">SUMPRODUCT((StandByRates[Position]=JobBonus[[#This Row],[Position]])*(JobBonus[[#This Row],[Area]]=StandByRates[Area])*(StandByRates[Hourly]*JobBonus[[#This Row],[Standby/ Ext 
Hrs]]))</f>
        <v>0</v>
      </c>
      <c r="Y245" s="44">
        <f>JobBonus[[#This Row],[Variable Pay]]+JobBonus[[#This Row],[Crew Efficiency Bonus]]+JobBonus[[#This Row],[OVPP]]+JobBonus[[#This Row],[StandBy/ Ext Amount]]</f>
        <v>0</v>
      </c>
      <c r="Z245" s="80"/>
      <c r="AA245" s="42"/>
      <c r="AB245" s="42"/>
      <c r="AC245"/>
      <c r="AD245"/>
      <c r="AE245"/>
      <c r="AF245"/>
    </row>
    <row r="246" spans="1:32" hidden="1" x14ac:dyDescent="0.25">
      <c r="A246" s="46"/>
      <c r="B246" s="80"/>
      <c r="C246" s="15"/>
      <c r="D246" s="15"/>
      <c r="E246" s="15"/>
      <c r="F246" s="15"/>
      <c r="G246" s="16"/>
      <c r="H246" s="16"/>
      <c r="I246" s="19" t="str">
        <f>IF(ISBLANK(JobBonus[[#This Row],[Employee Name]]),"",INDEX(Employees[Job Title],MATCH(JobBonus[[#This Row],[Employee Name]],Employees[Employee Name2],0)))</f>
        <v/>
      </c>
      <c r="J246" s="19" t="str">
        <f>IF(ISBLANK(JobBonus[[#This Row],[Job Prov]]),"",IF(JobBonus[[#This Row],[Job Prov]]=INDEX(Employees[Province],MATCH(JobBonus[[#This Row],[Employee Name]],Employees[Employee Name2],0)),"No","Yes"))</f>
        <v/>
      </c>
      <c r="K246" s="17"/>
      <c r="L246" s="19"/>
      <c r="M246" s="23"/>
      <c r="N246" s="23"/>
      <c r="O246" s="15"/>
      <c r="P246" s="15"/>
      <c r="Q246" s="15"/>
      <c r="R246" s="15"/>
      <c r="S246" s="44" cm="1">
        <f t="array" ref="S2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6" s="44" cm="1">
        <f t="array" ref="T2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6" s="44">
        <f>JobBonus[[#This Row],[Variable Pay]]+JobBonus[[#This Row],[Crew Efficiency Bonus]]</f>
        <v>0</v>
      </c>
      <c r="V246" s="44" cm="1">
        <f t="array" ref="V2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6" s="44" t="b">
        <f>_xlfn.IFNA(EXACT(VLOOKUP(JobBonus[[#This Row],[Pay Type]],PayTypes[#All],4,FALSE),"Yes"),FALSE)</f>
        <v>0</v>
      </c>
      <c r="X246" s="44" cm="1">
        <f t="array" ref="X246">SUMPRODUCT((StandByRates[Position]=JobBonus[[#This Row],[Position]])*(JobBonus[[#This Row],[Area]]=StandByRates[Area])*(StandByRates[Hourly]*JobBonus[[#This Row],[Standby/ Ext 
Hrs]]))</f>
        <v>0</v>
      </c>
      <c r="Y246" s="44">
        <f>JobBonus[[#This Row],[Variable Pay]]+JobBonus[[#This Row],[Crew Efficiency Bonus]]+JobBonus[[#This Row],[OVPP]]+JobBonus[[#This Row],[StandBy/ Ext Amount]]</f>
        <v>0</v>
      </c>
      <c r="Z246" s="80"/>
      <c r="AA246" s="42"/>
      <c r="AB246" s="42"/>
      <c r="AC246"/>
      <c r="AD246"/>
      <c r="AE246"/>
      <c r="AF246"/>
    </row>
    <row r="247" spans="1:32" hidden="1" x14ac:dyDescent="0.25">
      <c r="A247" s="46"/>
      <c r="B247" s="80"/>
      <c r="C247" s="15"/>
      <c r="D247" s="15"/>
      <c r="E247" s="15"/>
      <c r="F247" s="15"/>
      <c r="G247" s="16"/>
      <c r="H247" s="16"/>
      <c r="I247" s="19" t="str">
        <f>IF(ISBLANK(JobBonus[[#This Row],[Employee Name]]),"",INDEX(Employees[Job Title],MATCH(JobBonus[[#This Row],[Employee Name]],Employees[Employee Name2],0)))</f>
        <v/>
      </c>
      <c r="J247" s="19" t="str">
        <f>IF(ISBLANK(JobBonus[[#This Row],[Job Prov]]),"",IF(JobBonus[[#This Row],[Job Prov]]=INDEX(Employees[Province],MATCH(JobBonus[[#This Row],[Employee Name]],Employees[Employee Name2],0)),"No","Yes"))</f>
        <v/>
      </c>
      <c r="K247" s="17"/>
      <c r="L247" s="19"/>
      <c r="M247" s="23"/>
      <c r="N247" s="23"/>
      <c r="O247" s="15"/>
      <c r="P247" s="15"/>
      <c r="Q247" s="15"/>
      <c r="R247" s="15"/>
      <c r="S247" s="44" cm="1">
        <f t="array" ref="S2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7" s="44" cm="1">
        <f t="array" ref="T2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7" s="44">
        <f>JobBonus[[#This Row],[Variable Pay]]+JobBonus[[#This Row],[Crew Efficiency Bonus]]</f>
        <v>0</v>
      </c>
      <c r="V247" s="44" cm="1">
        <f t="array" ref="V2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7" s="44" t="b">
        <f>_xlfn.IFNA(EXACT(VLOOKUP(JobBonus[[#This Row],[Pay Type]],PayTypes[#All],4,FALSE),"Yes"),FALSE)</f>
        <v>0</v>
      </c>
      <c r="X247" s="44" cm="1">
        <f t="array" ref="X247">SUMPRODUCT((StandByRates[Position]=JobBonus[[#This Row],[Position]])*(JobBonus[[#This Row],[Area]]=StandByRates[Area])*(StandByRates[Hourly]*JobBonus[[#This Row],[Standby/ Ext 
Hrs]]))</f>
        <v>0</v>
      </c>
      <c r="Y247" s="44">
        <f>JobBonus[[#This Row],[Variable Pay]]+JobBonus[[#This Row],[Crew Efficiency Bonus]]+JobBonus[[#This Row],[OVPP]]+JobBonus[[#This Row],[StandBy/ Ext Amount]]</f>
        <v>0</v>
      </c>
      <c r="Z247" s="80"/>
      <c r="AA247" s="42"/>
      <c r="AB247" s="42"/>
      <c r="AC247"/>
      <c r="AD247"/>
      <c r="AE247"/>
      <c r="AF247"/>
    </row>
    <row r="248" spans="1:32" hidden="1" x14ac:dyDescent="0.25">
      <c r="A248" s="46"/>
      <c r="B248" s="80"/>
      <c r="C248" s="15"/>
      <c r="D248" s="15"/>
      <c r="E248" s="15"/>
      <c r="F248" s="15"/>
      <c r="G248" s="16"/>
      <c r="H248" s="16"/>
      <c r="I248" s="19" t="str">
        <f>IF(ISBLANK(JobBonus[[#This Row],[Employee Name]]),"",INDEX(Employees[Job Title],MATCH(JobBonus[[#This Row],[Employee Name]],Employees[Employee Name2],0)))</f>
        <v/>
      </c>
      <c r="J248" s="19" t="str">
        <f>IF(ISBLANK(JobBonus[[#This Row],[Job Prov]]),"",IF(JobBonus[[#This Row],[Job Prov]]=INDEX(Employees[Province],MATCH(JobBonus[[#This Row],[Employee Name]],Employees[Employee Name2],0)),"No","Yes"))</f>
        <v/>
      </c>
      <c r="K248" s="17"/>
      <c r="L248" s="19"/>
      <c r="M248" s="23"/>
      <c r="N248" s="23"/>
      <c r="O248" s="15"/>
      <c r="P248" s="15"/>
      <c r="Q248" s="15"/>
      <c r="R248" s="15"/>
      <c r="S248" s="44" cm="1">
        <f t="array" ref="S2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8" s="44" cm="1">
        <f t="array" ref="T2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8" s="44">
        <f>JobBonus[[#This Row],[Variable Pay]]+JobBonus[[#This Row],[Crew Efficiency Bonus]]</f>
        <v>0</v>
      </c>
      <c r="V248" s="44" cm="1">
        <f t="array" ref="V2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8" s="44" t="b">
        <f>_xlfn.IFNA(EXACT(VLOOKUP(JobBonus[[#This Row],[Pay Type]],PayTypes[#All],4,FALSE),"Yes"),FALSE)</f>
        <v>0</v>
      </c>
      <c r="X248" s="44" cm="1">
        <f t="array" ref="X248">SUMPRODUCT((StandByRates[Position]=JobBonus[[#This Row],[Position]])*(JobBonus[[#This Row],[Area]]=StandByRates[Area])*(StandByRates[Hourly]*JobBonus[[#This Row],[Standby/ Ext 
Hrs]]))</f>
        <v>0</v>
      </c>
      <c r="Y248" s="44">
        <f>JobBonus[[#This Row],[Variable Pay]]+JobBonus[[#This Row],[Crew Efficiency Bonus]]+JobBonus[[#This Row],[OVPP]]+JobBonus[[#This Row],[StandBy/ Ext Amount]]</f>
        <v>0</v>
      </c>
      <c r="Z248" s="80"/>
      <c r="AA248" s="42"/>
      <c r="AB248" s="42"/>
      <c r="AC248"/>
      <c r="AD248"/>
      <c r="AE248"/>
      <c r="AF248"/>
    </row>
    <row r="249" spans="1:32" hidden="1" x14ac:dyDescent="0.25">
      <c r="A249" s="46"/>
      <c r="B249" s="80"/>
      <c r="C249" s="15"/>
      <c r="D249" s="15"/>
      <c r="E249" s="15"/>
      <c r="F249" s="15"/>
      <c r="G249" s="16"/>
      <c r="H249" s="16"/>
      <c r="I249" s="19" t="str">
        <f>IF(ISBLANK(JobBonus[[#This Row],[Employee Name]]),"",INDEX(Employees[Job Title],MATCH(JobBonus[[#This Row],[Employee Name]],Employees[Employee Name2],0)))</f>
        <v/>
      </c>
      <c r="J249" s="19" t="str">
        <f>IF(ISBLANK(JobBonus[[#This Row],[Job Prov]]),"",IF(JobBonus[[#This Row],[Job Prov]]=INDEX(Employees[Province],MATCH(JobBonus[[#This Row],[Employee Name]],Employees[Employee Name2],0)),"No","Yes"))</f>
        <v/>
      </c>
      <c r="K249" s="17"/>
      <c r="L249" s="19"/>
      <c r="M249" s="23"/>
      <c r="N249" s="23"/>
      <c r="O249" s="15"/>
      <c r="P249" s="15"/>
      <c r="Q249" s="15"/>
      <c r="R249" s="15"/>
      <c r="S249" s="44" cm="1">
        <f t="array" ref="S2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9" s="44" cm="1">
        <f t="array" ref="T2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9" s="44">
        <f>JobBonus[[#This Row],[Variable Pay]]+JobBonus[[#This Row],[Crew Efficiency Bonus]]</f>
        <v>0</v>
      </c>
      <c r="V249" s="44" cm="1">
        <f t="array" ref="V2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9" s="44" t="b">
        <f>_xlfn.IFNA(EXACT(VLOOKUP(JobBonus[[#This Row],[Pay Type]],PayTypes[#All],4,FALSE),"Yes"),FALSE)</f>
        <v>0</v>
      </c>
      <c r="X249" s="44" cm="1">
        <f t="array" ref="X249">SUMPRODUCT((StandByRates[Position]=JobBonus[[#This Row],[Position]])*(JobBonus[[#This Row],[Area]]=StandByRates[Area])*(StandByRates[Hourly]*JobBonus[[#This Row],[Standby/ Ext 
Hrs]]))</f>
        <v>0</v>
      </c>
      <c r="Y249" s="44">
        <f>JobBonus[[#This Row],[Variable Pay]]+JobBonus[[#This Row],[Crew Efficiency Bonus]]+JobBonus[[#This Row],[OVPP]]+JobBonus[[#This Row],[StandBy/ Ext Amount]]</f>
        <v>0</v>
      </c>
      <c r="Z249" s="80"/>
      <c r="AA249" s="42"/>
      <c r="AB249" s="42"/>
      <c r="AC249"/>
      <c r="AD249"/>
      <c r="AE249"/>
      <c r="AF249"/>
    </row>
    <row r="250" spans="1:32" hidden="1" x14ac:dyDescent="0.25">
      <c r="A250" s="46"/>
      <c r="B250" s="80"/>
      <c r="C250" s="15"/>
      <c r="D250" s="15"/>
      <c r="E250" s="15"/>
      <c r="F250" s="15"/>
      <c r="G250" s="16"/>
      <c r="H250" s="16"/>
      <c r="I250" s="19" t="str">
        <f>IF(ISBLANK(JobBonus[[#This Row],[Employee Name]]),"",INDEX(Employees[Job Title],MATCH(JobBonus[[#This Row],[Employee Name]],Employees[Employee Name2],0)))</f>
        <v/>
      </c>
      <c r="J250" s="19" t="str">
        <f>IF(ISBLANK(JobBonus[[#This Row],[Job Prov]]),"",IF(JobBonus[[#This Row],[Job Prov]]=INDEX(Employees[Province],MATCH(JobBonus[[#This Row],[Employee Name]],Employees[Employee Name2],0)),"No","Yes"))</f>
        <v/>
      </c>
      <c r="K250" s="17"/>
      <c r="L250" s="19"/>
      <c r="M250" s="23"/>
      <c r="N250" s="23"/>
      <c r="O250" s="15"/>
      <c r="P250" s="15"/>
      <c r="Q250" s="15"/>
      <c r="R250" s="15"/>
      <c r="S250" s="44" cm="1">
        <f t="array" ref="S2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0" s="44" cm="1">
        <f t="array" ref="T2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0" s="44">
        <f>JobBonus[[#This Row],[Variable Pay]]+JobBonus[[#This Row],[Crew Efficiency Bonus]]</f>
        <v>0</v>
      </c>
      <c r="V250" s="44" cm="1">
        <f t="array" ref="V2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0" s="44" t="b">
        <f>_xlfn.IFNA(EXACT(VLOOKUP(JobBonus[[#This Row],[Pay Type]],PayTypes[#All],4,FALSE),"Yes"),FALSE)</f>
        <v>0</v>
      </c>
      <c r="X250" s="44" cm="1">
        <f t="array" ref="X250">SUMPRODUCT((StandByRates[Position]=JobBonus[[#This Row],[Position]])*(JobBonus[[#This Row],[Area]]=StandByRates[Area])*(StandByRates[Hourly]*JobBonus[[#This Row],[Standby/ Ext 
Hrs]]))</f>
        <v>0</v>
      </c>
      <c r="Y250" s="44">
        <f>JobBonus[[#This Row],[Variable Pay]]+JobBonus[[#This Row],[Crew Efficiency Bonus]]+JobBonus[[#This Row],[OVPP]]+JobBonus[[#This Row],[StandBy/ Ext Amount]]</f>
        <v>0</v>
      </c>
      <c r="Z250" s="80"/>
      <c r="AA250" s="42"/>
      <c r="AB250" s="42"/>
      <c r="AC250"/>
      <c r="AD250"/>
      <c r="AE250"/>
      <c r="AF250"/>
    </row>
    <row r="251" spans="1:32" hidden="1" x14ac:dyDescent="0.25">
      <c r="A251" s="46"/>
      <c r="B251" s="80"/>
      <c r="C251" s="15"/>
      <c r="D251" s="15"/>
      <c r="E251" s="15"/>
      <c r="F251" s="15"/>
      <c r="G251" s="16"/>
      <c r="H251" s="16"/>
      <c r="I251" s="19" t="str">
        <f>IF(ISBLANK(JobBonus[[#This Row],[Employee Name]]),"",INDEX(Employees[Job Title],MATCH(JobBonus[[#This Row],[Employee Name]],Employees[Employee Name2],0)))</f>
        <v/>
      </c>
      <c r="J251" s="19" t="str">
        <f>IF(ISBLANK(JobBonus[[#This Row],[Job Prov]]),"",IF(JobBonus[[#This Row],[Job Prov]]=INDEX(Employees[Province],MATCH(JobBonus[[#This Row],[Employee Name]],Employees[Employee Name2],0)),"No","Yes"))</f>
        <v/>
      </c>
      <c r="K251" s="17"/>
      <c r="L251" s="19"/>
      <c r="M251" s="23"/>
      <c r="N251" s="23"/>
      <c r="O251" s="15"/>
      <c r="P251" s="15"/>
      <c r="Q251" s="15"/>
      <c r="R251" s="15"/>
      <c r="S251" s="44" cm="1">
        <f t="array" ref="S2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1" s="44" cm="1">
        <f t="array" ref="T2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1" s="44">
        <f>JobBonus[[#This Row],[Variable Pay]]+JobBonus[[#This Row],[Crew Efficiency Bonus]]</f>
        <v>0</v>
      </c>
      <c r="V251" s="44" cm="1">
        <f t="array" ref="V2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1" s="44" t="b">
        <f>_xlfn.IFNA(EXACT(VLOOKUP(JobBonus[[#This Row],[Pay Type]],PayTypes[#All],4,FALSE),"Yes"),FALSE)</f>
        <v>0</v>
      </c>
      <c r="X251" s="44" cm="1">
        <f t="array" ref="X251">SUMPRODUCT((StandByRates[Position]=JobBonus[[#This Row],[Position]])*(JobBonus[[#This Row],[Area]]=StandByRates[Area])*(StandByRates[Hourly]*JobBonus[[#This Row],[Standby/ Ext 
Hrs]]))</f>
        <v>0</v>
      </c>
      <c r="Y251" s="44">
        <f>JobBonus[[#This Row],[Variable Pay]]+JobBonus[[#This Row],[Crew Efficiency Bonus]]+JobBonus[[#This Row],[OVPP]]+JobBonus[[#This Row],[StandBy/ Ext Amount]]</f>
        <v>0</v>
      </c>
      <c r="Z251" s="80"/>
      <c r="AA251" s="42"/>
      <c r="AB251" s="42"/>
      <c r="AC251"/>
      <c r="AD251"/>
      <c r="AE251"/>
      <c r="AF251"/>
    </row>
    <row r="252" spans="1:32" hidden="1" x14ac:dyDescent="0.25">
      <c r="A252" s="46"/>
      <c r="B252" s="80"/>
      <c r="C252" s="15"/>
      <c r="D252" s="15"/>
      <c r="E252" s="15"/>
      <c r="F252" s="15"/>
      <c r="G252" s="16"/>
      <c r="H252" s="16"/>
      <c r="I252" s="19" t="str">
        <f>IF(ISBLANK(JobBonus[[#This Row],[Employee Name]]),"",INDEX(Employees[Job Title],MATCH(JobBonus[[#This Row],[Employee Name]],Employees[Employee Name2],0)))</f>
        <v/>
      </c>
      <c r="J252" s="19" t="str">
        <f>IF(ISBLANK(JobBonus[[#This Row],[Job Prov]]),"",IF(JobBonus[[#This Row],[Job Prov]]=INDEX(Employees[Province],MATCH(JobBonus[[#This Row],[Employee Name]],Employees[Employee Name2],0)),"No","Yes"))</f>
        <v/>
      </c>
      <c r="K252" s="17"/>
      <c r="L252" s="19"/>
      <c r="M252" s="23"/>
      <c r="N252" s="23"/>
      <c r="O252" s="15"/>
      <c r="P252" s="15"/>
      <c r="Q252" s="15"/>
      <c r="R252" s="15"/>
      <c r="S252" s="44" cm="1">
        <f t="array" ref="S2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2" s="44" cm="1">
        <f t="array" ref="T2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2" s="44">
        <f>JobBonus[[#This Row],[Variable Pay]]+JobBonus[[#This Row],[Crew Efficiency Bonus]]</f>
        <v>0</v>
      </c>
      <c r="V252" s="44" cm="1">
        <f t="array" ref="V2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2" s="44" t="b">
        <f>_xlfn.IFNA(EXACT(VLOOKUP(JobBonus[[#This Row],[Pay Type]],PayTypes[#All],4,FALSE),"Yes"),FALSE)</f>
        <v>0</v>
      </c>
      <c r="X252" s="44" cm="1">
        <f t="array" ref="X252">SUMPRODUCT((StandByRates[Position]=JobBonus[[#This Row],[Position]])*(JobBonus[[#This Row],[Area]]=StandByRates[Area])*(StandByRates[Hourly]*JobBonus[[#This Row],[Standby/ Ext 
Hrs]]))</f>
        <v>0</v>
      </c>
      <c r="Y252" s="44">
        <f>JobBonus[[#This Row],[Variable Pay]]+JobBonus[[#This Row],[Crew Efficiency Bonus]]+JobBonus[[#This Row],[OVPP]]+JobBonus[[#This Row],[StandBy/ Ext Amount]]</f>
        <v>0</v>
      </c>
      <c r="Z252" s="80"/>
      <c r="AA252" s="42"/>
      <c r="AB252" s="42"/>
      <c r="AC252"/>
      <c r="AD252"/>
      <c r="AE252"/>
      <c r="AF252"/>
    </row>
    <row r="253" spans="1:32" hidden="1" x14ac:dyDescent="0.25">
      <c r="A253" s="46"/>
      <c r="B253" s="80"/>
      <c r="C253" s="15"/>
      <c r="D253" s="15"/>
      <c r="E253" s="15"/>
      <c r="F253" s="15"/>
      <c r="G253" s="16"/>
      <c r="H253" s="16"/>
      <c r="I253" s="19" t="str">
        <f>IF(ISBLANK(JobBonus[[#This Row],[Employee Name]]),"",INDEX(Employees[Job Title],MATCH(JobBonus[[#This Row],[Employee Name]],Employees[Employee Name2],0)))</f>
        <v/>
      </c>
      <c r="J253" s="19" t="str">
        <f>IF(ISBLANK(JobBonus[[#This Row],[Job Prov]]),"",IF(JobBonus[[#This Row],[Job Prov]]=INDEX(Employees[Province],MATCH(JobBonus[[#This Row],[Employee Name]],Employees[Employee Name2],0)),"No","Yes"))</f>
        <v/>
      </c>
      <c r="K253" s="17"/>
      <c r="L253" s="19"/>
      <c r="M253" s="23"/>
      <c r="N253" s="23"/>
      <c r="O253" s="15"/>
      <c r="P253" s="15"/>
      <c r="Q253" s="15"/>
      <c r="R253" s="15"/>
      <c r="S253" s="44" cm="1">
        <f t="array" ref="S2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3" s="44" cm="1">
        <f t="array" ref="T2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3" s="44">
        <f>JobBonus[[#This Row],[Variable Pay]]+JobBonus[[#This Row],[Crew Efficiency Bonus]]</f>
        <v>0</v>
      </c>
      <c r="V253" s="44" cm="1">
        <f t="array" ref="V2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3" s="44" t="b">
        <f>_xlfn.IFNA(EXACT(VLOOKUP(JobBonus[[#This Row],[Pay Type]],PayTypes[#All],4,FALSE),"Yes"),FALSE)</f>
        <v>0</v>
      </c>
      <c r="X253" s="44" cm="1">
        <f t="array" ref="X253">SUMPRODUCT((StandByRates[Position]=JobBonus[[#This Row],[Position]])*(JobBonus[[#This Row],[Area]]=StandByRates[Area])*(StandByRates[Hourly]*JobBonus[[#This Row],[Standby/ Ext 
Hrs]]))</f>
        <v>0</v>
      </c>
      <c r="Y253" s="44">
        <f>JobBonus[[#This Row],[Variable Pay]]+JobBonus[[#This Row],[Crew Efficiency Bonus]]+JobBonus[[#This Row],[OVPP]]+JobBonus[[#This Row],[StandBy/ Ext Amount]]</f>
        <v>0</v>
      </c>
      <c r="Z253" s="80"/>
      <c r="AA253" s="42"/>
      <c r="AB253" s="42"/>
      <c r="AC253"/>
      <c r="AD253"/>
      <c r="AE253"/>
      <c r="AF253"/>
    </row>
    <row r="254" spans="1:32" hidden="1" x14ac:dyDescent="0.25">
      <c r="A254" s="46"/>
      <c r="B254" s="80"/>
      <c r="C254" s="15"/>
      <c r="D254" s="15"/>
      <c r="E254" s="15"/>
      <c r="F254" s="15"/>
      <c r="G254" s="16"/>
      <c r="H254" s="16"/>
      <c r="I254" s="19" t="str">
        <f>IF(ISBLANK(JobBonus[[#This Row],[Employee Name]]),"",INDEX(Employees[Job Title],MATCH(JobBonus[[#This Row],[Employee Name]],Employees[Employee Name2],0)))</f>
        <v/>
      </c>
      <c r="J254" s="19" t="str">
        <f>IF(ISBLANK(JobBonus[[#This Row],[Job Prov]]),"",IF(JobBonus[[#This Row],[Job Prov]]=INDEX(Employees[Province],MATCH(JobBonus[[#This Row],[Employee Name]],Employees[Employee Name2],0)),"No","Yes"))</f>
        <v/>
      </c>
      <c r="K254" s="17"/>
      <c r="L254" s="19"/>
      <c r="M254" s="23"/>
      <c r="N254" s="23"/>
      <c r="O254" s="15"/>
      <c r="P254" s="15"/>
      <c r="Q254" s="15"/>
      <c r="R254" s="15"/>
      <c r="S254" s="44" cm="1">
        <f t="array" ref="S2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4" s="44" cm="1">
        <f t="array" ref="T2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4" s="44">
        <f>JobBonus[[#This Row],[Variable Pay]]+JobBonus[[#This Row],[Crew Efficiency Bonus]]</f>
        <v>0</v>
      </c>
      <c r="V254" s="44" cm="1">
        <f t="array" ref="V2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4" s="44" t="b">
        <f>_xlfn.IFNA(EXACT(VLOOKUP(JobBonus[[#This Row],[Pay Type]],PayTypes[#All],4,FALSE),"Yes"),FALSE)</f>
        <v>0</v>
      </c>
      <c r="X254" s="44" cm="1">
        <f t="array" ref="X254">SUMPRODUCT((StandByRates[Position]=JobBonus[[#This Row],[Position]])*(JobBonus[[#This Row],[Area]]=StandByRates[Area])*(StandByRates[Hourly]*JobBonus[[#This Row],[Standby/ Ext 
Hrs]]))</f>
        <v>0</v>
      </c>
      <c r="Y254" s="44">
        <f>JobBonus[[#This Row],[Variable Pay]]+JobBonus[[#This Row],[Crew Efficiency Bonus]]+JobBonus[[#This Row],[OVPP]]+JobBonus[[#This Row],[StandBy/ Ext Amount]]</f>
        <v>0</v>
      </c>
      <c r="Z254" s="80"/>
      <c r="AA254" s="42"/>
      <c r="AB254" s="42"/>
      <c r="AC254"/>
      <c r="AD254"/>
      <c r="AE254"/>
      <c r="AF254"/>
    </row>
    <row r="255" spans="1:32" hidden="1" x14ac:dyDescent="0.25">
      <c r="A255" s="46"/>
      <c r="B255" s="80"/>
      <c r="C255" s="15"/>
      <c r="D255" s="15"/>
      <c r="E255" s="15"/>
      <c r="F255" s="15"/>
      <c r="G255" s="16"/>
      <c r="H255" s="16"/>
      <c r="I255" s="19" t="str">
        <f>IF(ISBLANK(JobBonus[[#This Row],[Employee Name]]),"",INDEX(Employees[Job Title],MATCH(JobBonus[[#This Row],[Employee Name]],Employees[Employee Name2],0)))</f>
        <v/>
      </c>
      <c r="J255" s="19" t="str">
        <f>IF(ISBLANK(JobBonus[[#This Row],[Job Prov]]),"",IF(JobBonus[[#This Row],[Job Prov]]=INDEX(Employees[Province],MATCH(JobBonus[[#This Row],[Employee Name]],Employees[Employee Name2],0)),"No","Yes"))</f>
        <v/>
      </c>
      <c r="K255" s="17"/>
      <c r="L255" s="19"/>
      <c r="M255" s="23"/>
      <c r="N255" s="23"/>
      <c r="O255" s="15"/>
      <c r="P255" s="15"/>
      <c r="Q255" s="15"/>
      <c r="R255" s="15"/>
      <c r="S255" s="44" cm="1">
        <f t="array" ref="S2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5" s="44" cm="1">
        <f t="array" ref="T2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5" s="44">
        <f>JobBonus[[#This Row],[Variable Pay]]+JobBonus[[#This Row],[Crew Efficiency Bonus]]</f>
        <v>0</v>
      </c>
      <c r="V255" s="44" cm="1">
        <f t="array" ref="V2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5" s="44" t="b">
        <f>_xlfn.IFNA(EXACT(VLOOKUP(JobBonus[[#This Row],[Pay Type]],PayTypes[#All],4,FALSE),"Yes"),FALSE)</f>
        <v>0</v>
      </c>
      <c r="X255" s="44" cm="1">
        <f t="array" ref="X255">SUMPRODUCT((StandByRates[Position]=JobBonus[[#This Row],[Position]])*(JobBonus[[#This Row],[Area]]=StandByRates[Area])*(StandByRates[Hourly]*JobBonus[[#This Row],[Standby/ Ext 
Hrs]]))</f>
        <v>0</v>
      </c>
      <c r="Y255" s="44">
        <f>JobBonus[[#This Row],[Variable Pay]]+JobBonus[[#This Row],[Crew Efficiency Bonus]]+JobBonus[[#This Row],[OVPP]]+JobBonus[[#This Row],[StandBy/ Ext Amount]]</f>
        <v>0</v>
      </c>
      <c r="Z255" s="80"/>
      <c r="AA255" s="42"/>
      <c r="AB255" s="42"/>
      <c r="AC255"/>
      <c r="AD255"/>
      <c r="AE255"/>
      <c r="AF255"/>
    </row>
    <row r="256" spans="1:32" hidden="1" x14ac:dyDescent="0.25">
      <c r="A256" s="46"/>
      <c r="B256" s="80"/>
      <c r="C256" s="15"/>
      <c r="D256" s="15"/>
      <c r="E256" s="15"/>
      <c r="F256" s="15"/>
      <c r="G256" s="16"/>
      <c r="H256" s="16"/>
      <c r="I256" s="19" t="str">
        <f>IF(ISBLANK(JobBonus[[#This Row],[Employee Name]]),"",INDEX(Employees[Job Title],MATCH(JobBonus[[#This Row],[Employee Name]],Employees[Employee Name2],0)))</f>
        <v/>
      </c>
      <c r="J256" s="19" t="str">
        <f>IF(ISBLANK(JobBonus[[#This Row],[Job Prov]]),"",IF(JobBonus[[#This Row],[Job Prov]]=INDEX(Employees[Province],MATCH(JobBonus[[#This Row],[Employee Name]],Employees[Employee Name2],0)),"No","Yes"))</f>
        <v/>
      </c>
      <c r="K256" s="17"/>
      <c r="L256" s="19"/>
      <c r="M256" s="23"/>
      <c r="N256" s="23"/>
      <c r="O256" s="15"/>
      <c r="P256" s="15"/>
      <c r="Q256" s="15"/>
      <c r="R256" s="15"/>
      <c r="S256" s="44" cm="1">
        <f t="array" ref="S2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6" s="44" cm="1">
        <f t="array" ref="T2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6" s="44">
        <f>JobBonus[[#This Row],[Variable Pay]]+JobBonus[[#This Row],[Crew Efficiency Bonus]]</f>
        <v>0</v>
      </c>
      <c r="V256" s="44" cm="1">
        <f t="array" ref="V2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6" s="44" t="b">
        <f>_xlfn.IFNA(EXACT(VLOOKUP(JobBonus[[#This Row],[Pay Type]],PayTypes[#All],4,FALSE),"Yes"),FALSE)</f>
        <v>0</v>
      </c>
      <c r="X256" s="44" cm="1">
        <f t="array" ref="X256">SUMPRODUCT((StandByRates[Position]=JobBonus[[#This Row],[Position]])*(JobBonus[[#This Row],[Area]]=StandByRates[Area])*(StandByRates[Hourly]*JobBonus[[#This Row],[Standby/ Ext 
Hrs]]))</f>
        <v>0</v>
      </c>
      <c r="Y256" s="44">
        <f>JobBonus[[#This Row],[Variable Pay]]+JobBonus[[#This Row],[Crew Efficiency Bonus]]+JobBonus[[#This Row],[OVPP]]+JobBonus[[#This Row],[StandBy/ Ext Amount]]</f>
        <v>0</v>
      </c>
      <c r="Z256" s="80"/>
      <c r="AA256" s="42"/>
      <c r="AB256" s="42"/>
      <c r="AC256"/>
      <c r="AD256"/>
      <c r="AE256"/>
      <c r="AF256"/>
    </row>
    <row r="257" spans="1:32" hidden="1" x14ac:dyDescent="0.25">
      <c r="A257" s="46"/>
      <c r="B257" s="80"/>
      <c r="C257" s="15"/>
      <c r="D257" s="15"/>
      <c r="E257" s="15"/>
      <c r="F257" s="15"/>
      <c r="G257" s="16"/>
      <c r="H257" s="16"/>
      <c r="I257" s="19" t="str">
        <f>IF(ISBLANK(JobBonus[[#This Row],[Employee Name]]),"",INDEX(Employees[Job Title],MATCH(JobBonus[[#This Row],[Employee Name]],Employees[Employee Name2],0)))</f>
        <v/>
      </c>
      <c r="J257" s="19" t="str">
        <f>IF(ISBLANK(JobBonus[[#This Row],[Job Prov]]),"",IF(JobBonus[[#This Row],[Job Prov]]=INDEX(Employees[Province],MATCH(JobBonus[[#This Row],[Employee Name]],Employees[Employee Name2],0)),"No","Yes"))</f>
        <v/>
      </c>
      <c r="K257" s="17"/>
      <c r="L257" s="19"/>
      <c r="M257" s="23"/>
      <c r="N257" s="23"/>
      <c r="O257" s="15"/>
      <c r="P257" s="15"/>
      <c r="Q257" s="15"/>
      <c r="R257" s="15"/>
      <c r="S257" s="44" cm="1">
        <f t="array" ref="S2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7" s="44" cm="1">
        <f t="array" ref="T2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7" s="44">
        <f>JobBonus[[#This Row],[Variable Pay]]+JobBonus[[#This Row],[Crew Efficiency Bonus]]</f>
        <v>0</v>
      </c>
      <c r="V257" s="44" cm="1">
        <f t="array" ref="V2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7" s="44" t="b">
        <f>_xlfn.IFNA(EXACT(VLOOKUP(JobBonus[[#This Row],[Pay Type]],PayTypes[#All],4,FALSE),"Yes"),FALSE)</f>
        <v>0</v>
      </c>
      <c r="X257" s="44" cm="1">
        <f t="array" ref="X257">SUMPRODUCT((StandByRates[Position]=JobBonus[[#This Row],[Position]])*(JobBonus[[#This Row],[Area]]=StandByRates[Area])*(StandByRates[Hourly]*JobBonus[[#This Row],[Standby/ Ext 
Hrs]]))</f>
        <v>0</v>
      </c>
      <c r="Y257" s="44">
        <f>JobBonus[[#This Row],[Variable Pay]]+JobBonus[[#This Row],[Crew Efficiency Bonus]]+JobBonus[[#This Row],[OVPP]]+JobBonus[[#This Row],[StandBy/ Ext Amount]]</f>
        <v>0</v>
      </c>
      <c r="Z257" s="80"/>
      <c r="AA257" s="42"/>
      <c r="AB257" s="42"/>
      <c r="AC257"/>
      <c r="AD257"/>
      <c r="AE257"/>
      <c r="AF257"/>
    </row>
    <row r="258" spans="1:32" hidden="1" x14ac:dyDescent="0.25">
      <c r="A258" s="46"/>
      <c r="B258" s="80"/>
      <c r="C258" s="15"/>
      <c r="D258" s="15"/>
      <c r="E258" s="15"/>
      <c r="F258" s="15"/>
      <c r="G258" s="16"/>
      <c r="H258" s="16"/>
      <c r="I258" s="19" t="str">
        <f>IF(ISBLANK(JobBonus[[#This Row],[Employee Name]]),"",INDEX(Employees[Job Title],MATCH(JobBonus[[#This Row],[Employee Name]],Employees[Employee Name2],0)))</f>
        <v/>
      </c>
      <c r="J258" s="19" t="str">
        <f>IF(ISBLANK(JobBonus[[#This Row],[Job Prov]]),"",IF(JobBonus[[#This Row],[Job Prov]]=INDEX(Employees[Province],MATCH(JobBonus[[#This Row],[Employee Name]],Employees[Employee Name2],0)),"No","Yes"))</f>
        <v/>
      </c>
      <c r="K258" s="17"/>
      <c r="L258" s="19"/>
      <c r="M258" s="23"/>
      <c r="N258" s="23"/>
      <c r="O258" s="15"/>
      <c r="P258" s="15"/>
      <c r="Q258" s="15"/>
      <c r="R258" s="15"/>
      <c r="S258" s="44" cm="1">
        <f t="array" ref="S2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8" s="44" cm="1">
        <f t="array" ref="T2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8" s="44">
        <f>JobBonus[[#This Row],[Variable Pay]]+JobBonus[[#This Row],[Crew Efficiency Bonus]]</f>
        <v>0</v>
      </c>
      <c r="V258" s="44" cm="1">
        <f t="array" ref="V2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8" s="44" t="b">
        <f>_xlfn.IFNA(EXACT(VLOOKUP(JobBonus[[#This Row],[Pay Type]],PayTypes[#All],4,FALSE),"Yes"),FALSE)</f>
        <v>0</v>
      </c>
      <c r="X258" s="44" cm="1">
        <f t="array" ref="X258">SUMPRODUCT((StandByRates[Position]=JobBonus[[#This Row],[Position]])*(JobBonus[[#This Row],[Area]]=StandByRates[Area])*(StandByRates[Hourly]*JobBonus[[#This Row],[Standby/ Ext 
Hrs]]))</f>
        <v>0</v>
      </c>
      <c r="Y258" s="44">
        <f>JobBonus[[#This Row],[Variable Pay]]+JobBonus[[#This Row],[Crew Efficiency Bonus]]+JobBonus[[#This Row],[OVPP]]+JobBonus[[#This Row],[StandBy/ Ext Amount]]</f>
        <v>0</v>
      </c>
      <c r="Z258" s="80"/>
      <c r="AA258" s="42"/>
      <c r="AB258" s="42"/>
      <c r="AC258"/>
      <c r="AD258"/>
      <c r="AE258"/>
      <c r="AF258"/>
    </row>
    <row r="259" spans="1:32" hidden="1" x14ac:dyDescent="0.25">
      <c r="A259" s="46"/>
      <c r="B259" s="80"/>
      <c r="C259" s="15"/>
      <c r="D259" s="15"/>
      <c r="E259" s="15"/>
      <c r="F259" s="15"/>
      <c r="G259" s="16"/>
      <c r="H259" s="16"/>
      <c r="I259" s="19" t="str">
        <f>IF(ISBLANK(JobBonus[[#This Row],[Employee Name]]),"",INDEX(Employees[Job Title],MATCH(JobBonus[[#This Row],[Employee Name]],Employees[Employee Name2],0)))</f>
        <v/>
      </c>
      <c r="J259" s="19" t="str">
        <f>IF(ISBLANK(JobBonus[[#This Row],[Job Prov]]),"",IF(JobBonus[[#This Row],[Job Prov]]=INDEX(Employees[Province],MATCH(JobBonus[[#This Row],[Employee Name]],Employees[Employee Name2],0)),"No","Yes"))</f>
        <v/>
      </c>
      <c r="K259" s="17"/>
      <c r="L259" s="19"/>
      <c r="M259" s="23"/>
      <c r="N259" s="23"/>
      <c r="O259" s="15"/>
      <c r="P259" s="15"/>
      <c r="Q259" s="15"/>
      <c r="R259" s="15"/>
      <c r="S259" s="44" cm="1">
        <f t="array" ref="S2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9" s="44" cm="1">
        <f t="array" ref="T2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9" s="44">
        <f>JobBonus[[#This Row],[Variable Pay]]+JobBonus[[#This Row],[Crew Efficiency Bonus]]</f>
        <v>0</v>
      </c>
      <c r="V259" s="44" cm="1">
        <f t="array" ref="V2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9" s="44" t="b">
        <f>_xlfn.IFNA(EXACT(VLOOKUP(JobBonus[[#This Row],[Pay Type]],PayTypes[#All],4,FALSE),"Yes"),FALSE)</f>
        <v>0</v>
      </c>
      <c r="X259" s="44" cm="1">
        <f t="array" ref="X259">SUMPRODUCT((StandByRates[Position]=JobBonus[[#This Row],[Position]])*(JobBonus[[#This Row],[Area]]=StandByRates[Area])*(StandByRates[Hourly]*JobBonus[[#This Row],[Standby/ Ext 
Hrs]]))</f>
        <v>0</v>
      </c>
      <c r="Y259" s="44">
        <f>JobBonus[[#This Row],[Variable Pay]]+JobBonus[[#This Row],[Crew Efficiency Bonus]]+JobBonus[[#This Row],[OVPP]]+JobBonus[[#This Row],[StandBy/ Ext Amount]]</f>
        <v>0</v>
      </c>
      <c r="Z259" s="80"/>
      <c r="AA259" s="42"/>
      <c r="AB259" s="42"/>
      <c r="AC259"/>
      <c r="AD259"/>
      <c r="AE259"/>
      <c r="AF259"/>
    </row>
    <row r="260" spans="1:32" hidden="1" x14ac:dyDescent="0.25">
      <c r="A260" s="46"/>
      <c r="B260" s="80"/>
      <c r="C260" s="15"/>
      <c r="D260" s="15"/>
      <c r="E260" s="15"/>
      <c r="F260" s="15"/>
      <c r="G260" s="16"/>
      <c r="H260" s="16"/>
      <c r="I260" s="19" t="str">
        <f>IF(ISBLANK(JobBonus[[#This Row],[Employee Name]]),"",INDEX(Employees[Job Title],MATCH(JobBonus[[#This Row],[Employee Name]],Employees[Employee Name2],0)))</f>
        <v/>
      </c>
      <c r="J260" s="19" t="str">
        <f>IF(ISBLANK(JobBonus[[#This Row],[Job Prov]]),"",IF(JobBonus[[#This Row],[Job Prov]]=INDEX(Employees[Province],MATCH(JobBonus[[#This Row],[Employee Name]],Employees[Employee Name2],0)),"No","Yes"))</f>
        <v/>
      </c>
      <c r="K260" s="17"/>
      <c r="L260" s="19"/>
      <c r="M260" s="23"/>
      <c r="N260" s="23"/>
      <c r="O260" s="15"/>
      <c r="P260" s="15"/>
      <c r="Q260" s="15"/>
      <c r="R260" s="15"/>
      <c r="S260" s="44" cm="1">
        <f t="array" ref="S2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0" s="44" cm="1">
        <f t="array" ref="T2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0" s="44">
        <f>JobBonus[[#This Row],[Variable Pay]]+JobBonus[[#This Row],[Crew Efficiency Bonus]]</f>
        <v>0</v>
      </c>
      <c r="V260" s="44" cm="1">
        <f t="array" ref="V2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0" s="44" t="b">
        <f>_xlfn.IFNA(EXACT(VLOOKUP(JobBonus[[#This Row],[Pay Type]],PayTypes[#All],4,FALSE),"Yes"),FALSE)</f>
        <v>0</v>
      </c>
      <c r="X260" s="44" cm="1">
        <f t="array" ref="X260">SUMPRODUCT((StandByRates[Position]=JobBonus[[#This Row],[Position]])*(JobBonus[[#This Row],[Area]]=StandByRates[Area])*(StandByRates[Hourly]*JobBonus[[#This Row],[Standby/ Ext 
Hrs]]))</f>
        <v>0</v>
      </c>
      <c r="Y260" s="44">
        <f>JobBonus[[#This Row],[Variable Pay]]+JobBonus[[#This Row],[Crew Efficiency Bonus]]+JobBonus[[#This Row],[OVPP]]+JobBonus[[#This Row],[StandBy/ Ext Amount]]</f>
        <v>0</v>
      </c>
      <c r="Z260" s="80"/>
      <c r="AA260" s="42"/>
      <c r="AB260" s="42"/>
      <c r="AC260"/>
      <c r="AD260"/>
      <c r="AE260"/>
      <c r="AF260"/>
    </row>
    <row r="261" spans="1:32" hidden="1" x14ac:dyDescent="0.25">
      <c r="A261" s="46"/>
      <c r="B261" s="80"/>
      <c r="C261" s="15"/>
      <c r="D261" s="15"/>
      <c r="E261" s="15"/>
      <c r="F261" s="15"/>
      <c r="G261" s="16"/>
      <c r="H261" s="16"/>
      <c r="I261" s="19" t="str">
        <f>IF(ISBLANK(JobBonus[[#This Row],[Employee Name]]),"",INDEX(Employees[Job Title],MATCH(JobBonus[[#This Row],[Employee Name]],Employees[Employee Name2],0)))</f>
        <v/>
      </c>
      <c r="J261" s="19" t="str">
        <f>IF(ISBLANK(JobBonus[[#This Row],[Job Prov]]),"",IF(JobBonus[[#This Row],[Job Prov]]=INDEX(Employees[Province],MATCH(JobBonus[[#This Row],[Employee Name]],Employees[Employee Name2],0)),"No","Yes"))</f>
        <v/>
      </c>
      <c r="K261" s="17"/>
      <c r="L261" s="19"/>
      <c r="M261" s="23"/>
      <c r="N261" s="23"/>
      <c r="O261" s="15"/>
      <c r="P261" s="15"/>
      <c r="Q261" s="15"/>
      <c r="R261" s="15"/>
      <c r="S261" s="44" cm="1">
        <f t="array" ref="S2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1" s="44" cm="1">
        <f t="array" ref="T2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1" s="44">
        <f>JobBonus[[#This Row],[Variable Pay]]+JobBonus[[#This Row],[Crew Efficiency Bonus]]</f>
        <v>0</v>
      </c>
      <c r="V261" s="44" cm="1">
        <f t="array" ref="V2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1" s="44" t="b">
        <f>_xlfn.IFNA(EXACT(VLOOKUP(JobBonus[[#This Row],[Pay Type]],PayTypes[#All],4,FALSE),"Yes"),FALSE)</f>
        <v>0</v>
      </c>
      <c r="X261" s="44" cm="1">
        <f t="array" ref="X261">SUMPRODUCT((StandByRates[Position]=JobBonus[[#This Row],[Position]])*(JobBonus[[#This Row],[Area]]=StandByRates[Area])*(StandByRates[Hourly]*JobBonus[[#This Row],[Standby/ Ext 
Hrs]]))</f>
        <v>0</v>
      </c>
      <c r="Y261" s="44">
        <f>JobBonus[[#This Row],[Variable Pay]]+JobBonus[[#This Row],[Crew Efficiency Bonus]]+JobBonus[[#This Row],[OVPP]]+JobBonus[[#This Row],[StandBy/ Ext Amount]]</f>
        <v>0</v>
      </c>
      <c r="Z261" s="80"/>
      <c r="AA261" s="42"/>
      <c r="AB261" s="42"/>
      <c r="AC261"/>
      <c r="AD261"/>
      <c r="AE261"/>
      <c r="AF261"/>
    </row>
    <row r="262" spans="1:32" hidden="1" x14ac:dyDescent="0.25">
      <c r="A262" s="46"/>
      <c r="B262" s="80"/>
      <c r="C262" s="15"/>
      <c r="D262" s="15"/>
      <c r="E262" s="15"/>
      <c r="F262" s="15"/>
      <c r="G262" s="16"/>
      <c r="H262" s="16"/>
      <c r="I262" s="19" t="str">
        <f>IF(ISBLANK(JobBonus[[#This Row],[Employee Name]]),"",INDEX(Employees[Job Title],MATCH(JobBonus[[#This Row],[Employee Name]],Employees[Employee Name2],0)))</f>
        <v/>
      </c>
      <c r="J262" s="19" t="str">
        <f>IF(ISBLANK(JobBonus[[#This Row],[Job Prov]]),"",IF(JobBonus[[#This Row],[Job Prov]]=INDEX(Employees[Province],MATCH(JobBonus[[#This Row],[Employee Name]],Employees[Employee Name2],0)),"No","Yes"))</f>
        <v/>
      </c>
      <c r="K262" s="17"/>
      <c r="L262" s="19"/>
      <c r="M262" s="23"/>
      <c r="N262" s="23"/>
      <c r="O262" s="15"/>
      <c r="P262" s="15"/>
      <c r="Q262" s="15"/>
      <c r="R262" s="15"/>
      <c r="S262" s="44" cm="1">
        <f t="array" ref="S2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2" s="44" cm="1">
        <f t="array" ref="T2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2" s="44">
        <f>JobBonus[[#This Row],[Variable Pay]]+JobBonus[[#This Row],[Crew Efficiency Bonus]]</f>
        <v>0</v>
      </c>
      <c r="V262" s="44" cm="1">
        <f t="array" ref="V2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2" s="44" t="b">
        <f>_xlfn.IFNA(EXACT(VLOOKUP(JobBonus[[#This Row],[Pay Type]],PayTypes[#All],4,FALSE),"Yes"),FALSE)</f>
        <v>0</v>
      </c>
      <c r="X262" s="44" cm="1">
        <f t="array" ref="X262">SUMPRODUCT((StandByRates[Position]=JobBonus[[#This Row],[Position]])*(JobBonus[[#This Row],[Area]]=StandByRates[Area])*(StandByRates[Hourly]*JobBonus[[#This Row],[Standby/ Ext 
Hrs]]))</f>
        <v>0</v>
      </c>
      <c r="Y262" s="44">
        <f>JobBonus[[#This Row],[Variable Pay]]+JobBonus[[#This Row],[Crew Efficiency Bonus]]+JobBonus[[#This Row],[OVPP]]+JobBonus[[#This Row],[StandBy/ Ext Amount]]</f>
        <v>0</v>
      </c>
      <c r="Z262" s="80"/>
      <c r="AA262" s="42"/>
      <c r="AB262" s="42"/>
      <c r="AC262"/>
      <c r="AD262"/>
      <c r="AE262"/>
      <c r="AF262"/>
    </row>
    <row r="263" spans="1:32" hidden="1" x14ac:dyDescent="0.25">
      <c r="A263" s="46"/>
      <c r="B263" s="80"/>
      <c r="C263" s="15"/>
      <c r="D263" s="15"/>
      <c r="E263" s="15"/>
      <c r="F263" s="15"/>
      <c r="G263" s="16"/>
      <c r="H263" s="16"/>
      <c r="I263" s="19" t="str">
        <f>IF(ISBLANK(JobBonus[[#This Row],[Employee Name]]),"",INDEX(Employees[Job Title],MATCH(JobBonus[[#This Row],[Employee Name]],Employees[Employee Name2],0)))</f>
        <v/>
      </c>
      <c r="J263" s="19" t="str">
        <f>IF(ISBLANK(JobBonus[[#This Row],[Job Prov]]),"",IF(JobBonus[[#This Row],[Job Prov]]=INDEX(Employees[Province],MATCH(JobBonus[[#This Row],[Employee Name]],Employees[Employee Name2],0)),"No","Yes"))</f>
        <v/>
      </c>
      <c r="K263" s="17"/>
      <c r="L263" s="19"/>
      <c r="M263" s="23"/>
      <c r="N263" s="23"/>
      <c r="O263" s="15"/>
      <c r="P263" s="15"/>
      <c r="Q263" s="15"/>
      <c r="R263" s="15"/>
      <c r="S263" s="44" cm="1">
        <f t="array" ref="S2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3" s="44" cm="1">
        <f t="array" ref="T2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3" s="44">
        <f>JobBonus[[#This Row],[Variable Pay]]+JobBonus[[#This Row],[Crew Efficiency Bonus]]</f>
        <v>0</v>
      </c>
      <c r="V263" s="44" cm="1">
        <f t="array" ref="V2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3" s="44" t="b">
        <f>_xlfn.IFNA(EXACT(VLOOKUP(JobBonus[[#This Row],[Pay Type]],PayTypes[#All],4,FALSE),"Yes"),FALSE)</f>
        <v>0</v>
      </c>
      <c r="X263" s="44" cm="1">
        <f t="array" ref="X263">SUMPRODUCT((StandByRates[Position]=JobBonus[[#This Row],[Position]])*(JobBonus[[#This Row],[Area]]=StandByRates[Area])*(StandByRates[Hourly]*JobBonus[[#This Row],[Standby/ Ext 
Hrs]]))</f>
        <v>0</v>
      </c>
      <c r="Y263" s="44">
        <f>JobBonus[[#This Row],[Variable Pay]]+JobBonus[[#This Row],[Crew Efficiency Bonus]]+JobBonus[[#This Row],[OVPP]]+JobBonus[[#This Row],[StandBy/ Ext Amount]]</f>
        <v>0</v>
      </c>
      <c r="Z263" s="80"/>
      <c r="AA263" s="42"/>
      <c r="AB263" s="42"/>
      <c r="AC263"/>
      <c r="AD263"/>
      <c r="AE263"/>
      <c r="AF263"/>
    </row>
    <row r="264" spans="1:32" hidden="1" x14ac:dyDescent="0.25">
      <c r="A264" s="46"/>
      <c r="B264" s="80"/>
      <c r="C264" s="15"/>
      <c r="D264" s="15"/>
      <c r="E264" s="15"/>
      <c r="F264" s="15"/>
      <c r="G264" s="16"/>
      <c r="H264" s="16"/>
      <c r="I264" s="19" t="str">
        <f>IF(ISBLANK(JobBonus[[#This Row],[Employee Name]]),"",INDEX(Employees[Job Title],MATCH(JobBonus[[#This Row],[Employee Name]],Employees[Employee Name2],0)))</f>
        <v/>
      </c>
      <c r="J264" s="19" t="str">
        <f>IF(ISBLANK(JobBonus[[#This Row],[Job Prov]]),"",IF(JobBonus[[#This Row],[Job Prov]]=INDEX(Employees[Province],MATCH(JobBonus[[#This Row],[Employee Name]],Employees[Employee Name2],0)),"No","Yes"))</f>
        <v/>
      </c>
      <c r="K264" s="17"/>
      <c r="L264" s="19"/>
      <c r="M264" s="23"/>
      <c r="N264" s="23"/>
      <c r="O264" s="15"/>
      <c r="P264" s="15"/>
      <c r="Q264" s="15"/>
      <c r="R264" s="15"/>
      <c r="S264" s="44" cm="1">
        <f t="array" ref="S2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4" s="44" cm="1">
        <f t="array" ref="T2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4" s="44">
        <f>JobBonus[[#This Row],[Variable Pay]]+JobBonus[[#This Row],[Crew Efficiency Bonus]]</f>
        <v>0</v>
      </c>
      <c r="V264" s="44" cm="1">
        <f t="array" ref="V2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4" s="44" t="b">
        <f>_xlfn.IFNA(EXACT(VLOOKUP(JobBonus[[#This Row],[Pay Type]],PayTypes[#All],4,FALSE),"Yes"),FALSE)</f>
        <v>0</v>
      </c>
      <c r="X264" s="44" cm="1">
        <f t="array" ref="X264">SUMPRODUCT((StandByRates[Position]=JobBonus[[#This Row],[Position]])*(JobBonus[[#This Row],[Area]]=StandByRates[Area])*(StandByRates[Hourly]*JobBonus[[#This Row],[Standby/ Ext 
Hrs]]))</f>
        <v>0</v>
      </c>
      <c r="Y264" s="44">
        <f>JobBonus[[#This Row],[Variable Pay]]+JobBonus[[#This Row],[Crew Efficiency Bonus]]+JobBonus[[#This Row],[OVPP]]+JobBonus[[#This Row],[StandBy/ Ext Amount]]</f>
        <v>0</v>
      </c>
      <c r="Z264" s="80"/>
      <c r="AA264" s="42"/>
      <c r="AB264" s="42"/>
      <c r="AC264"/>
      <c r="AD264"/>
      <c r="AE264"/>
      <c r="AF264"/>
    </row>
    <row r="265" spans="1:32" hidden="1" x14ac:dyDescent="0.25">
      <c r="A265" s="46"/>
      <c r="B265" s="80"/>
      <c r="C265" s="15"/>
      <c r="D265" s="15"/>
      <c r="E265" s="15"/>
      <c r="F265" s="15"/>
      <c r="G265" s="16"/>
      <c r="H265" s="16"/>
      <c r="I265" s="19" t="str">
        <f>IF(ISBLANK(JobBonus[[#This Row],[Employee Name]]),"",INDEX(Employees[Job Title],MATCH(JobBonus[[#This Row],[Employee Name]],Employees[Employee Name2],0)))</f>
        <v/>
      </c>
      <c r="J265" s="19" t="str">
        <f>IF(ISBLANK(JobBonus[[#This Row],[Job Prov]]),"",IF(JobBonus[[#This Row],[Job Prov]]=INDEX(Employees[Province],MATCH(JobBonus[[#This Row],[Employee Name]],Employees[Employee Name2],0)),"No","Yes"))</f>
        <v/>
      </c>
      <c r="K265" s="17"/>
      <c r="L265" s="19"/>
      <c r="M265" s="23"/>
      <c r="N265" s="23"/>
      <c r="O265" s="15"/>
      <c r="P265" s="15"/>
      <c r="Q265" s="15"/>
      <c r="R265" s="15"/>
      <c r="S265" s="44" cm="1">
        <f t="array" ref="S2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5" s="44" cm="1">
        <f t="array" ref="T2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5" s="44">
        <f>JobBonus[[#This Row],[Variable Pay]]+JobBonus[[#This Row],[Crew Efficiency Bonus]]</f>
        <v>0</v>
      </c>
      <c r="V265" s="44" cm="1">
        <f t="array" ref="V2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5" s="44" t="b">
        <f>_xlfn.IFNA(EXACT(VLOOKUP(JobBonus[[#This Row],[Pay Type]],PayTypes[#All],4,FALSE),"Yes"),FALSE)</f>
        <v>0</v>
      </c>
      <c r="X265" s="44" cm="1">
        <f t="array" ref="X265">SUMPRODUCT((StandByRates[Position]=JobBonus[[#This Row],[Position]])*(JobBonus[[#This Row],[Area]]=StandByRates[Area])*(StandByRates[Hourly]*JobBonus[[#This Row],[Standby/ Ext 
Hrs]]))</f>
        <v>0</v>
      </c>
      <c r="Y265" s="44">
        <f>JobBonus[[#This Row],[Variable Pay]]+JobBonus[[#This Row],[Crew Efficiency Bonus]]+JobBonus[[#This Row],[OVPP]]+JobBonus[[#This Row],[StandBy/ Ext Amount]]</f>
        <v>0</v>
      </c>
      <c r="Z265" s="80"/>
      <c r="AA265" s="42"/>
      <c r="AB265" s="42"/>
      <c r="AC265"/>
      <c r="AD265"/>
      <c r="AE265"/>
      <c r="AF265"/>
    </row>
    <row r="266" spans="1:32" hidden="1" x14ac:dyDescent="0.25">
      <c r="A266" s="46"/>
      <c r="B266" s="80"/>
      <c r="C266" s="15"/>
      <c r="D266" s="15"/>
      <c r="E266" s="15"/>
      <c r="F266" s="15"/>
      <c r="G266" s="16"/>
      <c r="H266" s="16"/>
      <c r="I266" s="19" t="str">
        <f>IF(ISBLANK(JobBonus[[#This Row],[Employee Name]]),"",INDEX(Employees[Job Title],MATCH(JobBonus[[#This Row],[Employee Name]],Employees[Employee Name2],0)))</f>
        <v/>
      </c>
      <c r="J266" s="19" t="str">
        <f>IF(ISBLANK(JobBonus[[#This Row],[Job Prov]]),"",IF(JobBonus[[#This Row],[Job Prov]]=INDEX(Employees[Province],MATCH(JobBonus[[#This Row],[Employee Name]],Employees[Employee Name2],0)),"No","Yes"))</f>
        <v/>
      </c>
      <c r="K266" s="17"/>
      <c r="L266" s="19"/>
      <c r="M266" s="23"/>
      <c r="N266" s="23"/>
      <c r="O266" s="15"/>
      <c r="P266" s="15"/>
      <c r="Q266" s="15"/>
      <c r="R266" s="15"/>
      <c r="S266" s="44" cm="1">
        <f t="array" ref="S2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6" s="44" cm="1">
        <f t="array" ref="T2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6" s="44">
        <f>JobBonus[[#This Row],[Variable Pay]]+JobBonus[[#This Row],[Crew Efficiency Bonus]]</f>
        <v>0</v>
      </c>
      <c r="V266" s="44" cm="1">
        <f t="array" ref="V2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6" s="44" t="b">
        <f>_xlfn.IFNA(EXACT(VLOOKUP(JobBonus[[#This Row],[Pay Type]],PayTypes[#All],4,FALSE),"Yes"),FALSE)</f>
        <v>0</v>
      </c>
      <c r="X266" s="44" cm="1">
        <f t="array" ref="X266">SUMPRODUCT((StandByRates[Position]=JobBonus[[#This Row],[Position]])*(JobBonus[[#This Row],[Area]]=StandByRates[Area])*(StandByRates[Hourly]*JobBonus[[#This Row],[Standby/ Ext 
Hrs]]))</f>
        <v>0</v>
      </c>
      <c r="Y266" s="44">
        <f>JobBonus[[#This Row],[Variable Pay]]+JobBonus[[#This Row],[Crew Efficiency Bonus]]+JobBonus[[#This Row],[OVPP]]+JobBonus[[#This Row],[StandBy/ Ext Amount]]</f>
        <v>0</v>
      </c>
      <c r="Z266" s="80"/>
      <c r="AA266" s="42"/>
      <c r="AB266" s="42"/>
      <c r="AC266"/>
      <c r="AD266"/>
      <c r="AE266"/>
      <c r="AF266"/>
    </row>
    <row r="267" spans="1:32" hidden="1" x14ac:dyDescent="0.25">
      <c r="A267" s="46"/>
      <c r="B267" s="80"/>
      <c r="C267" s="15"/>
      <c r="D267" s="15"/>
      <c r="E267" s="15"/>
      <c r="F267" s="15"/>
      <c r="G267" s="16"/>
      <c r="H267" s="16"/>
      <c r="I267" s="19" t="str">
        <f>IF(ISBLANK(JobBonus[[#This Row],[Employee Name]]),"",INDEX(Employees[Job Title],MATCH(JobBonus[[#This Row],[Employee Name]],Employees[Employee Name2],0)))</f>
        <v/>
      </c>
      <c r="J267" s="19" t="str">
        <f>IF(ISBLANK(JobBonus[[#This Row],[Job Prov]]),"",IF(JobBonus[[#This Row],[Job Prov]]=INDEX(Employees[Province],MATCH(JobBonus[[#This Row],[Employee Name]],Employees[Employee Name2],0)),"No","Yes"))</f>
        <v/>
      </c>
      <c r="K267" s="17"/>
      <c r="L267" s="19"/>
      <c r="M267" s="23"/>
      <c r="N267" s="23"/>
      <c r="O267" s="15"/>
      <c r="P267" s="15"/>
      <c r="Q267" s="15"/>
      <c r="R267" s="15"/>
      <c r="S267" s="44" cm="1">
        <f t="array" ref="S2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7" s="44" cm="1">
        <f t="array" ref="T2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7" s="44">
        <f>JobBonus[[#This Row],[Variable Pay]]+JobBonus[[#This Row],[Crew Efficiency Bonus]]</f>
        <v>0</v>
      </c>
      <c r="V267" s="44" cm="1">
        <f t="array" ref="V2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7" s="44" t="b">
        <f>_xlfn.IFNA(EXACT(VLOOKUP(JobBonus[[#This Row],[Pay Type]],PayTypes[#All],4,FALSE),"Yes"),FALSE)</f>
        <v>0</v>
      </c>
      <c r="X267" s="44" cm="1">
        <f t="array" ref="X267">SUMPRODUCT((StandByRates[Position]=JobBonus[[#This Row],[Position]])*(JobBonus[[#This Row],[Area]]=StandByRates[Area])*(StandByRates[Hourly]*JobBonus[[#This Row],[Standby/ Ext 
Hrs]]))</f>
        <v>0</v>
      </c>
      <c r="Y267" s="44">
        <f>JobBonus[[#This Row],[Variable Pay]]+JobBonus[[#This Row],[Crew Efficiency Bonus]]+JobBonus[[#This Row],[OVPP]]+JobBonus[[#This Row],[StandBy/ Ext Amount]]</f>
        <v>0</v>
      </c>
      <c r="Z267" s="80"/>
      <c r="AA267" s="42"/>
      <c r="AB267" s="42"/>
      <c r="AC267"/>
      <c r="AD267"/>
      <c r="AE267"/>
      <c r="AF267"/>
    </row>
    <row r="268" spans="1:32" hidden="1" x14ac:dyDescent="0.25">
      <c r="A268" s="46"/>
      <c r="B268" s="80"/>
      <c r="C268" s="15"/>
      <c r="D268" s="15"/>
      <c r="E268" s="15"/>
      <c r="F268" s="15"/>
      <c r="G268" s="16"/>
      <c r="H268" s="16"/>
      <c r="I268" s="19" t="str">
        <f>IF(ISBLANK(JobBonus[[#This Row],[Employee Name]]),"",INDEX(Employees[Job Title],MATCH(JobBonus[[#This Row],[Employee Name]],Employees[Employee Name2],0)))</f>
        <v/>
      </c>
      <c r="J268" s="19" t="str">
        <f>IF(ISBLANK(JobBonus[[#This Row],[Job Prov]]),"",IF(JobBonus[[#This Row],[Job Prov]]=INDEX(Employees[Province],MATCH(JobBonus[[#This Row],[Employee Name]],Employees[Employee Name2],0)),"No","Yes"))</f>
        <v/>
      </c>
      <c r="K268" s="17"/>
      <c r="L268" s="19"/>
      <c r="M268" s="23"/>
      <c r="N268" s="23"/>
      <c r="O268" s="15"/>
      <c r="P268" s="15"/>
      <c r="Q268" s="15"/>
      <c r="R268" s="15"/>
      <c r="S268" s="44" cm="1">
        <f t="array" ref="S2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8" s="44" cm="1">
        <f t="array" ref="T2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8" s="44">
        <f>JobBonus[[#This Row],[Variable Pay]]+JobBonus[[#This Row],[Crew Efficiency Bonus]]</f>
        <v>0</v>
      </c>
      <c r="V268" s="44" cm="1">
        <f t="array" ref="V2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8" s="44" t="b">
        <f>_xlfn.IFNA(EXACT(VLOOKUP(JobBonus[[#This Row],[Pay Type]],PayTypes[#All],4,FALSE),"Yes"),FALSE)</f>
        <v>0</v>
      </c>
      <c r="X268" s="44" cm="1">
        <f t="array" ref="X268">SUMPRODUCT((StandByRates[Position]=JobBonus[[#This Row],[Position]])*(JobBonus[[#This Row],[Area]]=StandByRates[Area])*(StandByRates[Hourly]*JobBonus[[#This Row],[Standby/ Ext 
Hrs]]))</f>
        <v>0</v>
      </c>
      <c r="Y268" s="44">
        <f>JobBonus[[#This Row],[Variable Pay]]+JobBonus[[#This Row],[Crew Efficiency Bonus]]+JobBonus[[#This Row],[OVPP]]+JobBonus[[#This Row],[StandBy/ Ext Amount]]</f>
        <v>0</v>
      </c>
      <c r="Z268" s="80"/>
      <c r="AA268" s="42"/>
      <c r="AB268" s="42"/>
      <c r="AC268"/>
      <c r="AD268"/>
      <c r="AE268"/>
      <c r="AF268"/>
    </row>
    <row r="269" spans="1:32" hidden="1" x14ac:dyDescent="0.25">
      <c r="A269" s="46"/>
      <c r="B269" s="80"/>
      <c r="C269" s="15"/>
      <c r="D269" s="15"/>
      <c r="E269" s="15"/>
      <c r="F269" s="15"/>
      <c r="G269" s="16"/>
      <c r="H269" s="16"/>
      <c r="I269" s="19" t="str">
        <f>IF(ISBLANK(JobBonus[[#This Row],[Employee Name]]),"",INDEX(Employees[Job Title],MATCH(JobBonus[[#This Row],[Employee Name]],Employees[Employee Name2],0)))</f>
        <v/>
      </c>
      <c r="J269" s="19" t="str">
        <f>IF(ISBLANK(JobBonus[[#This Row],[Job Prov]]),"",IF(JobBonus[[#This Row],[Job Prov]]=INDEX(Employees[Province],MATCH(JobBonus[[#This Row],[Employee Name]],Employees[Employee Name2],0)),"No","Yes"))</f>
        <v/>
      </c>
      <c r="K269" s="17"/>
      <c r="L269" s="19"/>
      <c r="M269" s="23"/>
      <c r="N269" s="23"/>
      <c r="O269" s="15"/>
      <c r="P269" s="15"/>
      <c r="Q269" s="15"/>
      <c r="R269" s="15"/>
      <c r="S269" s="44" cm="1">
        <f t="array" ref="S2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9" s="44" cm="1">
        <f t="array" ref="T2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9" s="44">
        <f>JobBonus[[#This Row],[Variable Pay]]+JobBonus[[#This Row],[Crew Efficiency Bonus]]</f>
        <v>0</v>
      </c>
      <c r="V269" s="44" cm="1">
        <f t="array" ref="V2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9" s="44" t="b">
        <f>_xlfn.IFNA(EXACT(VLOOKUP(JobBonus[[#This Row],[Pay Type]],PayTypes[#All],4,FALSE),"Yes"),FALSE)</f>
        <v>0</v>
      </c>
      <c r="X269" s="44" cm="1">
        <f t="array" ref="X269">SUMPRODUCT((StandByRates[Position]=JobBonus[[#This Row],[Position]])*(JobBonus[[#This Row],[Area]]=StandByRates[Area])*(StandByRates[Hourly]*JobBonus[[#This Row],[Standby/ Ext 
Hrs]]))</f>
        <v>0</v>
      </c>
      <c r="Y269" s="44">
        <f>JobBonus[[#This Row],[Variable Pay]]+JobBonus[[#This Row],[Crew Efficiency Bonus]]+JobBonus[[#This Row],[OVPP]]+JobBonus[[#This Row],[StandBy/ Ext Amount]]</f>
        <v>0</v>
      </c>
      <c r="Z269" s="80"/>
      <c r="AA269" s="42"/>
      <c r="AB269" s="42"/>
      <c r="AC269"/>
      <c r="AD269"/>
      <c r="AE269"/>
      <c r="AF269"/>
    </row>
    <row r="270" spans="1:32" hidden="1" x14ac:dyDescent="0.25">
      <c r="A270" s="46"/>
      <c r="B270" s="80"/>
      <c r="C270" s="15"/>
      <c r="D270" s="15"/>
      <c r="E270" s="15"/>
      <c r="F270" s="15"/>
      <c r="G270" s="16"/>
      <c r="H270" s="16"/>
      <c r="I270" s="19" t="str">
        <f>IF(ISBLANK(JobBonus[[#This Row],[Employee Name]]),"",INDEX(Employees[Job Title],MATCH(JobBonus[[#This Row],[Employee Name]],Employees[Employee Name2],0)))</f>
        <v/>
      </c>
      <c r="J270" s="19" t="str">
        <f>IF(ISBLANK(JobBonus[[#This Row],[Job Prov]]),"",IF(JobBonus[[#This Row],[Job Prov]]=INDEX(Employees[Province],MATCH(JobBonus[[#This Row],[Employee Name]],Employees[Employee Name2],0)),"No","Yes"))</f>
        <v/>
      </c>
      <c r="K270" s="17"/>
      <c r="L270" s="19"/>
      <c r="M270" s="23"/>
      <c r="N270" s="23"/>
      <c r="O270" s="15"/>
      <c r="P270" s="15"/>
      <c r="Q270" s="15"/>
      <c r="R270" s="15"/>
      <c r="S270" s="44" cm="1">
        <f t="array" ref="S2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0" s="44" cm="1">
        <f t="array" ref="T2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0" s="44">
        <f>JobBonus[[#This Row],[Variable Pay]]+JobBonus[[#This Row],[Crew Efficiency Bonus]]</f>
        <v>0</v>
      </c>
      <c r="V270" s="44" cm="1">
        <f t="array" ref="V2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0" s="44" t="b">
        <f>_xlfn.IFNA(EXACT(VLOOKUP(JobBonus[[#This Row],[Pay Type]],PayTypes[#All],4,FALSE),"Yes"),FALSE)</f>
        <v>0</v>
      </c>
      <c r="X270" s="44" cm="1">
        <f t="array" ref="X270">SUMPRODUCT((StandByRates[Position]=JobBonus[[#This Row],[Position]])*(JobBonus[[#This Row],[Area]]=StandByRates[Area])*(StandByRates[Hourly]*JobBonus[[#This Row],[Standby/ Ext 
Hrs]]))</f>
        <v>0</v>
      </c>
      <c r="Y270" s="44">
        <f>JobBonus[[#This Row],[Variable Pay]]+JobBonus[[#This Row],[Crew Efficiency Bonus]]+JobBonus[[#This Row],[OVPP]]+JobBonus[[#This Row],[StandBy/ Ext Amount]]</f>
        <v>0</v>
      </c>
      <c r="Z270" s="80"/>
      <c r="AA270" s="42"/>
      <c r="AB270" s="42"/>
      <c r="AC270"/>
      <c r="AD270"/>
      <c r="AE270"/>
      <c r="AF270"/>
    </row>
    <row r="271" spans="1:32" hidden="1" x14ac:dyDescent="0.25">
      <c r="A271" s="46"/>
      <c r="B271" s="80"/>
      <c r="C271" s="15"/>
      <c r="D271" s="15"/>
      <c r="E271" s="15"/>
      <c r="F271" s="15"/>
      <c r="G271" s="16"/>
      <c r="H271" s="16"/>
      <c r="I271" s="19" t="str">
        <f>IF(ISBLANK(JobBonus[[#This Row],[Employee Name]]),"",INDEX(Employees[Job Title],MATCH(JobBonus[[#This Row],[Employee Name]],Employees[Employee Name2],0)))</f>
        <v/>
      </c>
      <c r="J271" s="19" t="str">
        <f>IF(ISBLANK(JobBonus[[#This Row],[Job Prov]]),"",IF(JobBonus[[#This Row],[Job Prov]]=INDEX(Employees[Province],MATCH(JobBonus[[#This Row],[Employee Name]],Employees[Employee Name2],0)),"No","Yes"))</f>
        <v/>
      </c>
      <c r="K271" s="17"/>
      <c r="L271" s="19"/>
      <c r="M271" s="23"/>
      <c r="N271" s="23"/>
      <c r="O271" s="15"/>
      <c r="P271" s="15"/>
      <c r="Q271" s="15"/>
      <c r="R271" s="15"/>
      <c r="S271" s="44" cm="1">
        <f t="array" ref="S2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1" s="44" cm="1">
        <f t="array" ref="T2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1" s="44">
        <f>JobBonus[[#This Row],[Variable Pay]]+JobBonus[[#This Row],[Crew Efficiency Bonus]]</f>
        <v>0</v>
      </c>
      <c r="V271" s="44" cm="1">
        <f t="array" ref="V2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1" s="44" t="b">
        <f>_xlfn.IFNA(EXACT(VLOOKUP(JobBonus[[#This Row],[Pay Type]],PayTypes[#All],4,FALSE),"Yes"),FALSE)</f>
        <v>0</v>
      </c>
      <c r="X271" s="44" cm="1">
        <f t="array" ref="X271">SUMPRODUCT((StandByRates[Position]=JobBonus[[#This Row],[Position]])*(JobBonus[[#This Row],[Area]]=StandByRates[Area])*(StandByRates[Hourly]*JobBonus[[#This Row],[Standby/ Ext 
Hrs]]))</f>
        <v>0</v>
      </c>
      <c r="Y271" s="44">
        <f>JobBonus[[#This Row],[Variable Pay]]+JobBonus[[#This Row],[Crew Efficiency Bonus]]+JobBonus[[#This Row],[OVPP]]+JobBonus[[#This Row],[StandBy/ Ext Amount]]</f>
        <v>0</v>
      </c>
      <c r="Z271" s="80"/>
      <c r="AA271" s="42"/>
      <c r="AB271" s="42"/>
      <c r="AC271"/>
      <c r="AD271"/>
      <c r="AE271"/>
      <c r="AF271"/>
    </row>
    <row r="272" spans="1:32" hidden="1" x14ac:dyDescent="0.25">
      <c r="A272" s="46"/>
      <c r="B272" s="80"/>
      <c r="C272" s="15"/>
      <c r="D272" s="15"/>
      <c r="E272" s="15"/>
      <c r="F272" s="15"/>
      <c r="G272" s="16"/>
      <c r="H272" s="16"/>
      <c r="I272" s="19" t="str">
        <f>IF(ISBLANK(JobBonus[[#This Row],[Employee Name]]),"",INDEX(Employees[Job Title],MATCH(JobBonus[[#This Row],[Employee Name]],Employees[Employee Name2],0)))</f>
        <v/>
      </c>
      <c r="J272" s="19" t="str">
        <f>IF(ISBLANK(JobBonus[[#This Row],[Job Prov]]),"",IF(JobBonus[[#This Row],[Job Prov]]=INDEX(Employees[Province],MATCH(JobBonus[[#This Row],[Employee Name]],Employees[Employee Name2],0)),"No","Yes"))</f>
        <v/>
      </c>
      <c r="K272" s="17"/>
      <c r="L272" s="19"/>
      <c r="M272" s="23"/>
      <c r="N272" s="23"/>
      <c r="O272" s="15"/>
      <c r="P272" s="15"/>
      <c r="Q272" s="15"/>
      <c r="R272" s="15"/>
      <c r="S272" s="44" cm="1">
        <f t="array" ref="S2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2" s="44" cm="1">
        <f t="array" ref="T2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2" s="44">
        <f>JobBonus[[#This Row],[Variable Pay]]+JobBonus[[#This Row],[Crew Efficiency Bonus]]</f>
        <v>0</v>
      </c>
      <c r="V272" s="44" cm="1">
        <f t="array" ref="V2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2" s="44" t="b">
        <f>_xlfn.IFNA(EXACT(VLOOKUP(JobBonus[[#This Row],[Pay Type]],PayTypes[#All],4,FALSE),"Yes"),FALSE)</f>
        <v>0</v>
      </c>
      <c r="X272" s="44" cm="1">
        <f t="array" ref="X272">SUMPRODUCT((StandByRates[Position]=JobBonus[[#This Row],[Position]])*(JobBonus[[#This Row],[Area]]=StandByRates[Area])*(StandByRates[Hourly]*JobBonus[[#This Row],[Standby/ Ext 
Hrs]]))</f>
        <v>0</v>
      </c>
      <c r="Y272" s="44">
        <f>JobBonus[[#This Row],[Variable Pay]]+JobBonus[[#This Row],[Crew Efficiency Bonus]]+JobBonus[[#This Row],[OVPP]]+JobBonus[[#This Row],[StandBy/ Ext Amount]]</f>
        <v>0</v>
      </c>
      <c r="Z272" s="80"/>
      <c r="AA272" s="42"/>
      <c r="AB272" s="42"/>
      <c r="AC272"/>
      <c r="AD272"/>
      <c r="AE272"/>
      <c r="AF272"/>
    </row>
    <row r="273" spans="1:32" hidden="1" x14ac:dyDescent="0.25">
      <c r="A273" s="46"/>
      <c r="B273" s="80"/>
      <c r="C273" s="15"/>
      <c r="D273" s="15"/>
      <c r="E273" s="15"/>
      <c r="F273" s="15"/>
      <c r="G273" s="16"/>
      <c r="H273" s="16"/>
      <c r="I273" s="19" t="str">
        <f>IF(ISBLANK(JobBonus[[#This Row],[Employee Name]]),"",INDEX(Employees[Job Title],MATCH(JobBonus[[#This Row],[Employee Name]],Employees[Employee Name2],0)))</f>
        <v/>
      </c>
      <c r="J273" s="19" t="str">
        <f>IF(ISBLANK(JobBonus[[#This Row],[Job Prov]]),"",IF(JobBonus[[#This Row],[Job Prov]]=INDEX(Employees[Province],MATCH(JobBonus[[#This Row],[Employee Name]],Employees[Employee Name2],0)),"No","Yes"))</f>
        <v/>
      </c>
      <c r="K273" s="17"/>
      <c r="L273" s="19"/>
      <c r="M273" s="23"/>
      <c r="N273" s="23"/>
      <c r="O273" s="15"/>
      <c r="P273" s="15"/>
      <c r="Q273" s="15"/>
      <c r="R273" s="15"/>
      <c r="S273" s="44" cm="1">
        <f t="array" ref="S2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3" s="44" cm="1">
        <f t="array" ref="T2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3" s="44">
        <f>JobBonus[[#This Row],[Variable Pay]]+JobBonus[[#This Row],[Crew Efficiency Bonus]]</f>
        <v>0</v>
      </c>
      <c r="V273" s="44" cm="1">
        <f t="array" ref="V2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3" s="44" t="b">
        <f>_xlfn.IFNA(EXACT(VLOOKUP(JobBonus[[#This Row],[Pay Type]],PayTypes[#All],4,FALSE),"Yes"),FALSE)</f>
        <v>0</v>
      </c>
      <c r="X273" s="44" cm="1">
        <f t="array" ref="X273">SUMPRODUCT((StandByRates[Position]=JobBonus[[#This Row],[Position]])*(JobBonus[[#This Row],[Area]]=StandByRates[Area])*(StandByRates[Hourly]*JobBonus[[#This Row],[Standby/ Ext 
Hrs]]))</f>
        <v>0</v>
      </c>
      <c r="Y273" s="44">
        <f>JobBonus[[#This Row],[Variable Pay]]+JobBonus[[#This Row],[Crew Efficiency Bonus]]+JobBonus[[#This Row],[OVPP]]+JobBonus[[#This Row],[StandBy/ Ext Amount]]</f>
        <v>0</v>
      </c>
      <c r="Z273" s="80"/>
      <c r="AA273" s="42"/>
      <c r="AB273" s="42"/>
      <c r="AC273"/>
      <c r="AD273"/>
      <c r="AE273"/>
      <c r="AF273"/>
    </row>
    <row r="274" spans="1:32" hidden="1" x14ac:dyDescent="0.25">
      <c r="A274" s="46"/>
      <c r="B274" s="80"/>
      <c r="C274" s="15"/>
      <c r="D274" s="15"/>
      <c r="E274" s="15"/>
      <c r="F274" s="15"/>
      <c r="G274" s="16"/>
      <c r="H274" s="16"/>
      <c r="I274" s="19" t="str">
        <f>IF(ISBLANK(JobBonus[[#This Row],[Employee Name]]),"",INDEX(Employees[Job Title],MATCH(JobBonus[[#This Row],[Employee Name]],Employees[Employee Name2],0)))</f>
        <v/>
      </c>
      <c r="J274" s="19" t="str">
        <f>IF(ISBLANK(JobBonus[[#This Row],[Job Prov]]),"",IF(JobBonus[[#This Row],[Job Prov]]=INDEX(Employees[Province],MATCH(JobBonus[[#This Row],[Employee Name]],Employees[Employee Name2],0)),"No","Yes"))</f>
        <v/>
      </c>
      <c r="K274" s="17"/>
      <c r="L274" s="19"/>
      <c r="M274" s="23"/>
      <c r="N274" s="23"/>
      <c r="O274" s="15"/>
      <c r="P274" s="15"/>
      <c r="Q274" s="15"/>
      <c r="R274" s="15"/>
      <c r="S274" s="44" cm="1">
        <f t="array" ref="S2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4" s="44" cm="1">
        <f t="array" ref="T2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4" s="44">
        <f>JobBonus[[#This Row],[Variable Pay]]+JobBonus[[#This Row],[Crew Efficiency Bonus]]</f>
        <v>0</v>
      </c>
      <c r="V274" s="44" cm="1">
        <f t="array" ref="V2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4" s="44" t="b">
        <f>_xlfn.IFNA(EXACT(VLOOKUP(JobBonus[[#This Row],[Pay Type]],PayTypes[#All],4,FALSE),"Yes"),FALSE)</f>
        <v>0</v>
      </c>
      <c r="X274" s="44" cm="1">
        <f t="array" ref="X274">SUMPRODUCT((StandByRates[Position]=JobBonus[[#This Row],[Position]])*(JobBonus[[#This Row],[Area]]=StandByRates[Area])*(StandByRates[Hourly]*JobBonus[[#This Row],[Standby/ Ext 
Hrs]]))</f>
        <v>0</v>
      </c>
      <c r="Y274" s="44">
        <f>JobBonus[[#This Row],[Variable Pay]]+JobBonus[[#This Row],[Crew Efficiency Bonus]]+JobBonus[[#This Row],[OVPP]]+JobBonus[[#This Row],[StandBy/ Ext Amount]]</f>
        <v>0</v>
      </c>
      <c r="Z274" s="80"/>
      <c r="AA274" s="42"/>
      <c r="AB274" s="42"/>
      <c r="AC274"/>
      <c r="AD274"/>
      <c r="AE274"/>
      <c r="AF274"/>
    </row>
    <row r="275" spans="1:32" hidden="1" x14ac:dyDescent="0.25">
      <c r="A275" s="46"/>
      <c r="B275" s="80"/>
      <c r="C275" s="15"/>
      <c r="D275" s="15"/>
      <c r="E275" s="15"/>
      <c r="F275" s="15"/>
      <c r="G275" s="16"/>
      <c r="H275" s="16"/>
      <c r="I275" s="19" t="str">
        <f>IF(ISBLANK(JobBonus[[#This Row],[Employee Name]]),"",INDEX(Employees[Job Title],MATCH(JobBonus[[#This Row],[Employee Name]],Employees[Employee Name2],0)))</f>
        <v/>
      </c>
      <c r="J275" s="19" t="str">
        <f>IF(ISBLANK(JobBonus[[#This Row],[Job Prov]]),"",IF(JobBonus[[#This Row],[Job Prov]]=INDEX(Employees[Province],MATCH(JobBonus[[#This Row],[Employee Name]],Employees[Employee Name2],0)),"No","Yes"))</f>
        <v/>
      </c>
      <c r="K275" s="17"/>
      <c r="L275" s="19"/>
      <c r="M275" s="23"/>
      <c r="N275" s="23"/>
      <c r="O275" s="15"/>
      <c r="P275" s="15"/>
      <c r="Q275" s="15"/>
      <c r="R275" s="15"/>
      <c r="S275" s="44" cm="1">
        <f t="array" ref="S2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5" s="44" cm="1">
        <f t="array" ref="T2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5" s="44">
        <f>JobBonus[[#This Row],[Variable Pay]]+JobBonus[[#This Row],[Crew Efficiency Bonus]]</f>
        <v>0</v>
      </c>
      <c r="V275" s="44" cm="1">
        <f t="array" ref="V2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5" s="44" t="b">
        <f>_xlfn.IFNA(EXACT(VLOOKUP(JobBonus[[#This Row],[Pay Type]],PayTypes[#All],4,FALSE),"Yes"),FALSE)</f>
        <v>0</v>
      </c>
      <c r="X275" s="44" cm="1">
        <f t="array" ref="X275">SUMPRODUCT((StandByRates[Position]=JobBonus[[#This Row],[Position]])*(JobBonus[[#This Row],[Area]]=StandByRates[Area])*(StandByRates[Hourly]*JobBonus[[#This Row],[Standby/ Ext 
Hrs]]))</f>
        <v>0</v>
      </c>
      <c r="Y275" s="44">
        <f>JobBonus[[#This Row],[Variable Pay]]+JobBonus[[#This Row],[Crew Efficiency Bonus]]+JobBonus[[#This Row],[OVPP]]+JobBonus[[#This Row],[StandBy/ Ext Amount]]</f>
        <v>0</v>
      </c>
      <c r="Z275" s="80"/>
      <c r="AA275" s="42"/>
      <c r="AB275" s="42"/>
      <c r="AC275"/>
      <c r="AD275"/>
      <c r="AE275"/>
      <c r="AF275"/>
    </row>
    <row r="276" spans="1:32" hidden="1" x14ac:dyDescent="0.25">
      <c r="A276" s="46"/>
      <c r="B276" s="80"/>
      <c r="C276" s="15"/>
      <c r="D276" s="15"/>
      <c r="E276" s="15"/>
      <c r="F276" s="15"/>
      <c r="G276" s="16"/>
      <c r="H276" s="16"/>
      <c r="I276" s="19" t="str">
        <f>IF(ISBLANK(JobBonus[[#This Row],[Employee Name]]),"",INDEX(Employees[Job Title],MATCH(JobBonus[[#This Row],[Employee Name]],Employees[Employee Name2],0)))</f>
        <v/>
      </c>
      <c r="J276" s="19" t="str">
        <f>IF(ISBLANK(JobBonus[[#This Row],[Job Prov]]),"",IF(JobBonus[[#This Row],[Job Prov]]=INDEX(Employees[Province],MATCH(JobBonus[[#This Row],[Employee Name]],Employees[Employee Name2],0)),"No","Yes"))</f>
        <v/>
      </c>
      <c r="K276" s="17"/>
      <c r="L276" s="19"/>
      <c r="M276" s="23"/>
      <c r="N276" s="23"/>
      <c r="O276" s="15"/>
      <c r="P276" s="15"/>
      <c r="Q276" s="15"/>
      <c r="R276" s="15"/>
      <c r="S276" s="44" cm="1">
        <f t="array" ref="S2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6" s="44" cm="1">
        <f t="array" ref="T2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6" s="44">
        <f>JobBonus[[#This Row],[Variable Pay]]+JobBonus[[#This Row],[Crew Efficiency Bonus]]</f>
        <v>0</v>
      </c>
      <c r="V276" s="44" cm="1">
        <f t="array" ref="V2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6" s="44" t="b">
        <f>_xlfn.IFNA(EXACT(VLOOKUP(JobBonus[[#This Row],[Pay Type]],PayTypes[#All],4,FALSE),"Yes"),FALSE)</f>
        <v>0</v>
      </c>
      <c r="X276" s="44" cm="1">
        <f t="array" ref="X276">SUMPRODUCT((StandByRates[Position]=JobBonus[[#This Row],[Position]])*(JobBonus[[#This Row],[Area]]=StandByRates[Area])*(StandByRates[Hourly]*JobBonus[[#This Row],[Standby/ Ext 
Hrs]]))</f>
        <v>0</v>
      </c>
      <c r="Y276" s="44">
        <f>JobBonus[[#This Row],[Variable Pay]]+JobBonus[[#This Row],[Crew Efficiency Bonus]]+JobBonus[[#This Row],[OVPP]]+JobBonus[[#This Row],[StandBy/ Ext Amount]]</f>
        <v>0</v>
      </c>
      <c r="Z276" s="80"/>
      <c r="AA276" s="42"/>
      <c r="AB276" s="42"/>
      <c r="AC276"/>
      <c r="AD276"/>
      <c r="AE276"/>
      <c r="AF276"/>
    </row>
    <row r="277" spans="1:32" hidden="1" x14ac:dyDescent="0.25">
      <c r="A277" s="46"/>
      <c r="B277" s="80"/>
      <c r="C277" s="15"/>
      <c r="D277" s="15"/>
      <c r="E277" s="15"/>
      <c r="F277" s="15"/>
      <c r="G277" s="16"/>
      <c r="H277" s="16"/>
      <c r="I277" s="19" t="str">
        <f>IF(ISBLANK(JobBonus[[#This Row],[Employee Name]]),"",INDEX(Employees[Job Title],MATCH(JobBonus[[#This Row],[Employee Name]],Employees[Employee Name2],0)))</f>
        <v/>
      </c>
      <c r="J277" s="19" t="str">
        <f>IF(ISBLANK(JobBonus[[#This Row],[Job Prov]]),"",IF(JobBonus[[#This Row],[Job Prov]]=INDEX(Employees[Province],MATCH(JobBonus[[#This Row],[Employee Name]],Employees[Employee Name2],0)),"No","Yes"))</f>
        <v/>
      </c>
      <c r="K277" s="17"/>
      <c r="L277" s="19"/>
      <c r="M277" s="23"/>
      <c r="N277" s="23"/>
      <c r="O277" s="15"/>
      <c r="P277" s="15"/>
      <c r="Q277" s="15"/>
      <c r="R277" s="15"/>
      <c r="S277" s="44" cm="1">
        <f t="array" ref="S2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7" s="44" cm="1">
        <f t="array" ref="T2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7" s="44">
        <f>JobBonus[[#This Row],[Variable Pay]]+JobBonus[[#This Row],[Crew Efficiency Bonus]]</f>
        <v>0</v>
      </c>
      <c r="V277" s="44" cm="1">
        <f t="array" ref="V2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7" s="44" t="b">
        <f>_xlfn.IFNA(EXACT(VLOOKUP(JobBonus[[#This Row],[Pay Type]],PayTypes[#All],4,FALSE),"Yes"),FALSE)</f>
        <v>0</v>
      </c>
      <c r="X277" s="44" cm="1">
        <f t="array" ref="X277">SUMPRODUCT((StandByRates[Position]=JobBonus[[#This Row],[Position]])*(JobBonus[[#This Row],[Area]]=StandByRates[Area])*(StandByRates[Hourly]*JobBonus[[#This Row],[Standby/ Ext 
Hrs]]))</f>
        <v>0</v>
      </c>
      <c r="Y277" s="44">
        <f>JobBonus[[#This Row],[Variable Pay]]+JobBonus[[#This Row],[Crew Efficiency Bonus]]+JobBonus[[#This Row],[OVPP]]+JobBonus[[#This Row],[StandBy/ Ext Amount]]</f>
        <v>0</v>
      </c>
      <c r="Z277" s="80"/>
      <c r="AA277" s="42"/>
      <c r="AB277" s="42"/>
      <c r="AC277"/>
      <c r="AD277"/>
      <c r="AE277"/>
      <c r="AF277"/>
    </row>
    <row r="278" spans="1:32" hidden="1" x14ac:dyDescent="0.25">
      <c r="A278" s="46"/>
      <c r="B278" s="80"/>
      <c r="C278" s="15"/>
      <c r="D278" s="15"/>
      <c r="E278" s="15"/>
      <c r="F278" s="15"/>
      <c r="G278" s="16"/>
      <c r="H278" s="16"/>
      <c r="I278" s="19" t="str">
        <f>IF(ISBLANK(JobBonus[[#This Row],[Employee Name]]),"",INDEX(Employees[Job Title],MATCH(JobBonus[[#This Row],[Employee Name]],Employees[Employee Name2],0)))</f>
        <v/>
      </c>
      <c r="J278" s="19" t="str">
        <f>IF(ISBLANK(JobBonus[[#This Row],[Job Prov]]),"",IF(JobBonus[[#This Row],[Job Prov]]=INDEX(Employees[Province],MATCH(JobBonus[[#This Row],[Employee Name]],Employees[Employee Name2],0)),"No","Yes"))</f>
        <v/>
      </c>
      <c r="K278" s="17"/>
      <c r="L278" s="19"/>
      <c r="M278" s="23"/>
      <c r="N278" s="23"/>
      <c r="O278" s="15"/>
      <c r="P278" s="15"/>
      <c r="Q278" s="15"/>
      <c r="R278" s="15"/>
      <c r="S278" s="44" cm="1">
        <f t="array" ref="S2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8" s="44" cm="1">
        <f t="array" ref="T2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8" s="44">
        <f>JobBonus[[#This Row],[Variable Pay]]+JobBonus[[#This Row],[Crew Efficiency Bonus]]</f>
        <v>0</v>
      </c>
      <c r="V278" s="44" cm="1">
        <f t="array" ref="V2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8" s="44" t="b">
        <f>_xlfn.IFNA(EXACT(VLOOKUP(JobBonus[[#This Row],[Pay Type]],PayTypes[#All],4,FALSE),"Yes"),FALSE)</f>
        <v>0</v>
      </c>
      <c r="X278" s="44" cm="1">
        <f t="array" ref="X278">SUMPRODUCT((StandByRates[Position]=JobBonus[[#This Row],[Position]])*(JobBonus[[#This Row],[Area]]=StandByRates[Area])*(StandByRates[Hourly]*JobBonus[[#This Row],[Standby/ Ext 
Hrs]]))</f>
        <v>0</v>
      </c>
      <c r="Y278" s="44">
        <f>JobBonus[[#This Row],[Variable Pay]]+JobBonus[[#This Row],[Crew Efficiency Bonus]]+JobBonus[[#This Row],[OVPP]]+JobBonus[[#This Row],[StandBy/ Ext Amount]]</f>
        <v>0</v>
      </c>
      <c r="Z278" s="80"/>
      <c r="AA278" s="42"/>
      <c r="AB278" s="42"/>
      <c r="AC278"/>
      <c r="AD278"/>
      <c r="AE278"/>
      <c r="AF278"/>
    </row>
    <row r="279" spans="1:32" hidden="1" x14ac:dyDescent="0.25">
      <c r="A279" s="46"/>
      <c r="B279" s="80"/>
      <c r="C279" s="15"/>
      <c r="D279" s="15"/>
      <c r="E279" s="15"/>
      <c r="F279" s="15"/>
      <c r="G279" s="16"/>
      <c r="H279" s="16"/>
      <c r="I279" s="19" t="str">
        <f>IF(ISBLANK(JobBonus[[#This Row],[Employee Name]]),"",INDEX(Employees[Job Title],MATCH(JobBonus[[#This Row],[Employee Name]],Employees[Employee Name2],0)))</f>
        <v/>
      </c>
      <c r="J279" s="19" t="str">
        <f>IF(ISBLANK(JobBonus[[#This Row],[Job Prov]]),"",IF(JobBonus[[#This Row],[Job Prov]]=INDEX(Employees[Province],MATCH(JobBonus[[#This Row],[Employee Name]],Employees[Employee Name2],0)),"No","Yes"))</f>
        <v/>
      </c>
      <c r="K279" s="17"/>
      <c r="L279" s="19"/>
      <c r="M279" s="23"/>
      <c r="N279" s="23"/>
      <c r="O279" s="15"/>
      <c r="P279" s="15"/>
      <c r="Q279" s="15"/>
      <c r="R279" s="15"/>
      <c r="S279" s="44" cm="1">
        <f t="array" ref="S2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9" s="44" cm="1">
        <f t="array" ref="T2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9" s="44">
        <f>JobBonus[[#This Row],[Variable Pay]]+JobBonus[[#This Row],[Crew Efficiency Bonus]]</f>
        <v>0</v>
      </c>
      <c r="V279" s="44" cm="1">
        <f t="array" ref="V2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9" s="44" t="b">
        <f>_xlfn.IFNA(EXACT(VLOOKUP(JobBonus[[#This Row],[Pay Type]],PayTypes[#All],4,FALSE),"Yes"),FALSE)</f>
        <v>0</v>
      </c>
      <c r="X279" s="44" cm="1">
        <f t="array" ref="X279">SUMPRODUCT((StandByRates[Position]=JobBonus[[#This Row],[Position]])*(JobBonus[[#This Row],[Area]]=StandByRates[Area])*(StandByRates[Hourly]*JobBonus[[#This Row],[Standby/ Ext 
Hrs]]))</f>
        <v>0</v>
      </c>
      <c r="Y279" s="44">
        <f>JobBonus[[#This Row],[Variable Pay]]+JobBonus[[#This Row],[Crew Efficiency Bonus]]+JobBonus[[#This Row],[OVPP]]+JobBonus[[#This Row],[StandBy/ Ext Amount]]</f>
        <v>0</v>
      </c>
      <c r="Z279" s="80"/>
      <c r="AA279" s="42"/>
      <c r="AB279" s="42"/>
      <c r="AC279"/>
      <c r="AD279"/>
      <c r="AE279"/>
      <c r="AF279"/>
    </row>
    <row r="280" spans="1:32" hidden="1" x14ac:dyDescent="0.25">
      <c r="A280" s="46"/>
      <c r="B280" s="80"/>
      <c r="C280" s="15"/>
      <c r="D280" s="15"/>
      <c r="E280" s="15"/>
      <c r="F280" s="15"/>
      <c r="G280" s="16"/>
      <c r="H280" s="16"/>
      <c r="I280" s="19" t="str">
        <f>IF(ISBLANK(JobBonus[[#This Row],[Employee Name]]),"",INDEX(Employees[Job Title],MATCH(JobBonus[[#This Row],[Employee Name]],Employees[Employee Name2],0)))</f>
        <v/>
      </c>
      <c r="J280" s="19" t="str">
        <f>IF(ISBLANK(JobBonus[[#This Row],[Job Prov]]),"",IF(JobBonus[[#This Row],[Job Prov]]=INDEX(Employees[Province],MATCH(JobBonus[[#This Row],[Employee Name]],Employees[Employee Name2],0)),"No","Yes"))</f>
        <v/>
      </c>
      <c r="K280" s="17"/>
      <c r="L280" s="19"/>
      <c r="M280" s="23"/>
      <c r="N280" s="23"/>
      <c r="O280" s="15"/>
      <c r="P280" s="15"/>
      <c r="Q280" s="15"/>
      <c r="R280" s="15"/>
      <c r="S280" s="44" cm="1">
        <f t="array" ref="S2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0" s="44" cm="1">
        <f t="array" ref="T2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0" s="44">
        <f>JobBonus[[#This Row],[Variable Pay]]+JobBonus[[#This Row],[Crew Efficiency Bonus]]</f>
        <v>0</v>
      </c>
      <c r="V280" s="44" cm="1">
        <f t="array" ref="V2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0" s="44" t="b">
        <f>_xlfn.IFNA(EXACT(VLOOKUP(JobBonus[[#This Row],[Pay Type]],PayTypes[#All],4,FALSE),"Yes"),FALSE)</f>
        <v>0</v>
      </c>
      <c r="X280" s="44" cm="1">
        <f t="array" ref="X280">SUMPRODUCT((StandByRates[Position]=JobBonus[[#This Row],[Position]])*(JobBonus[[#This Row],[Area]]=StandByRates[Area])*(StandByRates[Hourly]*JobBonus[[#This Row],[Standby/ Ext 
Hrs]]))</f>
        <v>0</v>
      </c>
      <c r="Y280" s="44">
        <f>JobBonus[[#This Row],[Variable Pay]]+JobBonus[[#This Row],[Crew Efficiency Bonus]]+JobBonus[[#This Row],[OVPP]]+JobBonus[[#This Row],[StandBy/ Ext Amount]]</f>
        <v>0</v>
      </c>
      <c r="Z280" s="80"/>
      <c r="AA280" s="42"/>
      <c r="AB280" s="42"/>
      <c r="AC280"/>
      <c r="AD280"/>
      <c r="AE280"/>
      <c r="AF280"/>
    </row>
    <row r="281" spans="1:32" hidden="1" x14ac:dyDescent="0.25">
      <c r="A281" s="46"/>
      <c r="B281" s="80"/>
      <c r="C281" s="15"/>
      <c r="D281" s="15"/>
      <c r="E281" s="15"/>
      <c r="F281" s="15"/>
      <c r="G281" s="16"/>
      <c r="H281" s="16"/>
      <c r="I281" s="19" t="str">
        <f>IF(ISBLANK(JobBonus[[#This Row],[Employee Name]]),"",INDEX(Employees[Job Title],MATCH(JobBonus[[#This Row],[Employee Name]],Employees[Employee Name2],0)))</f>
        <v/>
      </c>
      <c r="J281" s="19" t="str">
        <f>IF(ISBLANK(JobBonus[[#This Row],[Job Prov]]),"",IF(JobBonus[[#This Row],[Job Prov]]=INDEX(Employees[Province],MATCH(JobBonus[[#This Row],[Employee Name]],Employees[Employee Name2],0)),"No","Yes"))</f>
        <v/>
      </c>
      <c r="K281" s="17"/>
      <c r="L281" s="19"/>
      <c r="M281" s="23"/>
      <c r="N281" s="23"/>
      <c r="O281" s="15"/>
      <c r="P281" s="15"/>
      <c r="Q281" s="15"/>
      <c r="R281" s="15"/>
      <c r="S281" s="44" cm="1">
        <f t="array" ref="S2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1" s="44" cm="1">
        <f t="array" ref="T2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1" s="44">
        <f>JobBonus[[#This Row],[Variable Pay]]+JobBonus[[#This Row],[Crew Efficiency Bonus]]</f>
        <v>0</v>
      </c>
      <c r="V281" s="44" cm="1">
        <f t="array" ref="V2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1" s="44" t="b">
        <f>_xlfn.IFNA(EXACT(VLOOKUP(JobBonus[[#This Row],[Pay Type]],PayTypes[#All],4,FALSE),"Yes"),FALSE)</f>
        <v>0</v>
      </c>
      <c r="X281" s="44" cm="1">
        <f t="array" ref="X281">SUMPRODUCT((StandByRates[Position]=JobBonus[[#This Row],[Position]])*(JobBonus[[#This Row],[Area]]=StandByRates[Area])*(StandByRates[Hourly]*JobBonus[[#This Row],[Standby/ Ext 
Hrs]]))</f>
        <v>0</v>
      </c>
      <c r="Y281" s="44">
        <f>JobBonus[[#This Row],[Variable Pay]]+JobBonus[[#This Row],[Crew Efficiency Bonus]]+JobBonus[[#This Row],[OVPP]]+JobBonus[[#This Row],[StandBy/ Ext Amount]]</f>
        <v>0</v>
      </c>
      <c r="Z281" s="80"/>
      <c r="AA281" s="42"/>
      <c r="AB281" s="42"/>
      <c r="AC281"/>
      <c r="AD281"/>
      <c r="AE281"/>
      <c r="AF281"/>
    </row>
    <row r="282" spans="1:32" hidden="1" x14ac:dyDescent="0.25">
      <c r="A282" s="46"/>
      <c r="B282" s="80"/>
      <c r="C282" s="15"/>
      <c r="D282" s="15"/>
      <c r="E282" s="15"/>
      <c r="F282" s="15"/>
      <c r="G282" s="16"/>
      <c r="H282" s="16"/>
      <c r="I282" s="19" t="str">
        <f>IF(ISBLANK(JobBonus[[#This Row],[Employee Name]]),"",INDEX(Employees[Job Title],MATCH(JobBonus[[#This Row],[Employee Name]],Employees[Employee Name2],0)))</f>
        <v/>
      </c>
      <c r="J282" s="19" t="str">
        <f>IF(ISBLANK(JobBonus[[#This Row],[Job Prov]]),"",IF(JobBonus[[#This Row],[Job Prov]]=INDEX(Employees[Province],MATCH(JobBonus[[#This Row],[Employee Name]],Employees[Employee Name2],0)),"No","Yes"))</f>
        <v/>
      </c>
      <c r="K282" s="17"/>
      <c r="L282" s="19"/>
      <c r="M282" s="23"/>
      <c r="N282" s="23"/>
      <c r="O282" s="15"/>
      <c r="P282" s="15"/>
      <c r="Q282" s="15"/>
      <c r="R282" s="15"/>
      <c r="S282" s="44" cm="1">
        <f t="array" ref="S2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2" s="44" cm="1">
        <f t="array" ref="T2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2" s="44">
        <f>JobBonus[[#This Row],[Variable Pay]]+JobBonus[[#This Row],[Crew Efficiency Bonus]]</f>
        <v>0</v>
      </c>
      <c r="V282" s="44" cm="1">
        <f t="array" ref="V2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2" s="44" t="b">
        <f>_xlfn.IFNA(EXACT(VLOOKUP(JobBonus[[#This Row],[Pay Type]],PayTypes[#All],4,FALSE),"Yes"),FALSE)</f>
        <v>0</v>
      </c>
      <c r="X282" s="44" cm="1">
        <f t="array" ref="X282">SUMPRODUCT((StandByRates[Position]=JobBonus[[#This Row],[Position]])*(JobBonus[[#This Row],[Area]]=StandByRates[Area])*(StandByRates[Hourly]*JobBonus[[#This Row],[Standby/ Ext 
Hrs]]))</f>
        <v>0</v>
      </c>
      <c r="Y282" s="44">
        <f>JobBonus[[#This Row],[Variable Pay]]+JobBonus[[#This Row],[Crew Efficiency Bonus]]+JobBonus[[#This Row],[OVPP]]+JobBonus[[#This Row],[StandBy/ Ext Amount]]</f>
        <v>0</v>
      </c>
      <c r="Z282" s="80"/>
      <c r="AA282" s="42"/>
      <c r="AB282" s="42"/>
      <c r="AC282"/>
      <c r="AD282"/>
      <c r="AE282"/>
      <c r="AF282"/>
    </row>
    <row r="283" spans="1:32" hidden="1" x14ac:dyDescent="0.25">
      <c r="A283" s="46"/>
      <c r="B283" s="80"/>
      <c r="C283" s="15"/>
      <c r="D283" s="15"/>
      <c r="E283" s="15"/>
      <c r="F283" s="15"/>
      <c r="G283" s="16"/>
      <c r="H283" s="16"/>
      <c r="I283" s="19" t="str">
        <f>IF(ISBLANK(JobBonus[[#This Row],[Employee Name]]),"",INDEX(Employees[Job Title],MATCH(JobBonus[[#This Row],[Employee Name]],Employees[Employee Name2],0)))</f>
        <v/>
      </c>
      <c r="J283" s="19" t="str">
        <f>IF(ISBLANK(JobBonus[[#This Row],[Job Prov]]),"",IF(JobBonus[[#This Row],[Job Prov]]=INDEX(Employees[Province],MATCH(JobBonus[[#This Row],[Employee Name]],Employees[Employee Name2],0)),"No","Yes"))</f>
        <v/>
      </c>
      <c r="K283" s="17"/>
      <c r="L283" s="19"/>
      <c r="M283" s="23"/>
      <c r="N283" s="23"/>
      <c r="O283" s="15"/>
      <c r="P283" s="15"/>
      <c r="Q283" s="15"/>
      <c r="R283" s="15"/>
      <c r="S283" s="44" cm="1">
        <f t="array" ref="S2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3" s="44" cm="1">
        <f t="array" ref="T2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3" s="44">
        <f>JobBonus[[#This Row],[Variable Pay]]+JobBonus[[#This Row],[Crew Efficiency Bonus]]</f>
        <v>0</v>
      </c>
      <c r="V283" s="44" cm="1">
        <f t="array" ref="V2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3" s="44" t="b">
        <f>_xlfn.IFNA(EXACT(VLOOKUP(JobBonus[[#This Row],[Pay Type]],PayTypes[#All],4,FALSE),"Yes"),FALSE)</f>
        <v>0</v>
      </c>
      <c r="X283" s="44" cm="1">
        <f t="array" ref="X283">SUMPRODUCT((StandByRates[Position]=JobBonus[[#This Row],[Position]])*(JobBonus[[#This Row],[Area]]=StandByRates[Area])*(StandByRates[Hourly]*JobBonus[[#This Row],[Standby/ Ext 
Hrs]]))</f>
        <v>0</v>
      </c>
      <c r="Y283" s="44">
        <f>JobBonus[[#This Row],[Variable Pay]]+JobBonus[[#This Row],[Crew Efficiency Bonus]]+JobBonus[[#This Row],[OVPP]]+JobBonus[[#This Row],[StandBy/ Ext Amount]]</f>
        <v>0</v>
      </c>
      <c r="Z283" s="80"/>
      <c r="AA283" s="42"/>
      <c r="AB283" s="42"/>
      <c r="AC283"/>
      <c r="AD283"/>
      <c r="AE283"/>
      <c r="AF283"/>
    </row>
    <row r="284" spans="1:32" hidden="1" x14ac:dyDescent="0.25">
      <c r="A284" s="46"/>
      <c r="B284" s="80"/>
      <c r="C284" s="15"/>
      <c r="D284" s="15"/>
      <c r="E284" s="15"/>
      <c r="F284" s="15"/>
      <c r="G284" s="16"/>
      <c r="H284" s="16"/>
      <c r="I284" s="19" t="str">
        <f>IF(ISBLANK(JobBonus[[#This Row],[Employee Name]]),"",INDEX(Employees[Job Title],MATCH(JobBonus[[#This Row],[Employee Name]],Employees[Employee Name2],0)))</f>
        <v/>
      </c>
      <c r="J284" s="19" t="str">
        <f>IF(ISBLANK(JobBonus[[#This Row],[Job Prov]]),"",IF(JobBonus[[#This Row],[Job Prov]]=INDEX(Employees[Province],MATCH(JobBonus[[#This Row],[Employee Name]],Employees[Employee Name2],0)),"No","Yes"))</f>
        <v/>
      </c>
      <c r="K284" s="17"/>
      <c r="L284" s="19"/>
      <c r="M284" s="23"/>
      <c r="N284" s="23"/>
      <c r="O284" s="15"/>
      <c r="P284" s="15"/>
      <c r="Q284" s="15"/>
      <c r="R284" s="15"/>
      <c r="S284" s="44" cm="1">
        <f t="array" ref="S2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4" s="44" cm="1">
        <f t="array" ref="T2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4" s="44">
        <f>JobBonus[[#This Row],[Variable Pay]]+JobBonus[[#This Row],[Crew Efficiency Bonus]]</f>
        <v>0</v>
      </c>
      <c r="V284" s="44" cm="1">
        <f t="array" ref="V2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4" s="44" t="b">
        <f>_xlfn.IFNA(EXACT(VLOOKUP(JobBonus[[#This Row],[Pay Type]],PayTypes[#All],4,FALSE),"Yes"),FALSE)</f>
        <v>0</v>
      </c>
      <c r="X284" s="44" cm="1">
        <f t="array" ref="X284">SUMPRODUCT((StandByRates[Position]=JobBonus[[#This Row],[Position]])*(JobBonus[[#This Row],[Area]]=StandByRates[Area])*(StandByRates[Hourly]*JobBonus[[#This Row],[Standby/ Ext 
Hrs]]))</f>
        <v>0</v>
      </c>
      <c r="Y284" s="44">
        <f>JobBonus[[#This Row],[Variable Pay]]+JobBonus[[#This Row],[Crew Efficiency Bonus]]+JobBonus[[#This Row],[OVPP]]+JobBonus[[#This Row],[StandBy/ Ext Amount]]</f>
        <v>0</v>
      </c>
      <c r="Z284" s="80"/>
      <c r="AA284" s="42"/>
      <c r="AB284" s="42"/>
      <c r="AC284"/>
      <c r="AD284"/>
      <c r="AE284"/>
      <c r="AF284"/>
    </row>
    <row r="285" spans="1:32" hidden="1" x14ac:dyDescent="0.25">
      <c r="A285" s="46"/>
      <c r="B285" s="80"/>
      <c r="C285" s="15"/>
      <c r="D285" s="15"/>
      <c r="E285" s="15"/>
      <c r="F285" s="15"/>
      <c r="G285" s="16"/>
      <c r="H285" s="16"/>
      <c r="I285" s="19" t="str">
        <f>IF(ISBLANK(JobBonus[[#This Row],[Employee Name]]),"",INDEX(Employees[Job Title],MATCH(JobBonus[[#This Row],[Employee Name]],Employees[Employee Name2],0)))</f>
        <v/>
      </c>
      <c r="J285" s="19" t="str">
        <f>IF(ISBLANK(JobBonus[[#This Row],[Job Prov]]),"",IF(JobBonus[[#This Row],[Job Prov]]=INDEX(Employees[Province],MATCH(JobBonus[[#This Row],[Employee Name]],Employees[Employee Name2],0)),"No","Yes"))</f>
        <v/>
      </c>
      <c r="K285" s="17"/>
      <c r="L285" s="19"/>
      <c r="M285" s="23"/>
      <c r="N285" s="23"/>
      <c r="O285" s="15"/>
      <c r="P285" s="15"/>
      <c r="Q285" s="15"/>
      <c r="R285" s="15"/>
      <c r="S285" s="44" cm="1">
        <f t="array" ref="S2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5" s="44" cm="1">
        <f t="array" ref="T2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5" s="44">
        <f>JobBonus[[#This Row],[Variable Pay]]+JobBonus[[#This Row],[Crew Efficiency Bonus]]</f>
        <v>0</v>
      </c>
      <c r="V285" s="44" cm="1">
        <f t="array" ref="V2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5" s="44" t="b">
        <f>_xlfn.IFNA(EXACT(VLOOKUP(JobBonus[[#This Row],[Pay Type]],PayTypes[#All],4,FALSE),"Yes"),FALSE)</f>
        <v>0</v>
      </c>
      <c r="X285" s="44" cm="1">
        <f t="array" ref="X285">SUMPRODUCT((StandByRates[Position]=JobBonus[[#This Row],[Position]])*(JobBonus[[#This Row],[Area]]=StandByRates[Area])*(StandByRates[Hourly]*JobBonus[[#This Row],[Standby/ Ext 
Hrs]]))</f>
        <v>0</v>
      </c>
      <c r="Y285" s="44">
        <f>JobBonus[[#This Row],[Variable Pay]]+JobBonus[[#This Row],[Crew Efficiency Bonus]]+JobBonus[[#This Row],[OVPP]]+JobBonus[[#This Row],[StandBy/ Ext Amount]]</f>
        <v>0</v>
      </c>
      <c r="Z285" s="80"/>
      <c r="AA285" s="42"/>
      <c r="AB285" s="42"/>
      <c r="AC285"/>
      <c r="AD285"/>
      <c r="AE285"/>
      <c r="AF285"/>
    </row>
    <row r="286" spans="1:32" hidden="1" x14ac:dyDescent="0.25">
      <c r="A286" s="46"/>
      <c r="B286" s="80"/>
      <c r="C286" s="15"/>
      <c r="D286" s="15"/>
      <c r="E286" s="15"/>
      <c r="F286" s="15"/>
      <c r="G286" s="16"/>
      <c r="H286" s="16"/>
      <c r="I286" s="19" t="str">
        <f>IF(ISBLANK(JobBonus[[#This Row],[Employee Name]]),"",INDEX(Employees[Job Title],MATCH(JobBonus[[#This Row],[Employee Name]],Employees[Employee Name2],0)))</f>
        <v/>
      </c>
      <c r="J286" s="19" t="str">
        <f>IF(ISBLANK(JobBonus[[#This Row],[Job Prov]]),"",IF(JobBonus[[#This Row],[Job Prov]]=INDEX(Employees[Province],MATCH(JobBonus[[#This Row],[Employee Name]],Employees[Employee Name2],0)),"No","Yes"))</f>
        <v/>
      </c>
      <c r="K286" s="17"/>
      <c r="L286" s="19"/>
      <c r="M286" s="23"/>
      <c r="N286" s="23"/>
      <c r="O286" s="15"/>
      <c r="P286" s="15"/>
      <c r="Q286" s="15"/>
      <c r="R286" s="15"/>
      <c r="S286" s="44" cm="1">
        <f t="array" ref="S2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6" s="44" cm="1">
        <f t="array" ref="T2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6" s="44">
        <f>JobBonus[[#This Row],[Variable Pay]]+JobBonus[[#This Row],[Crew Efficiency Bonus]]</f>
        <v>0</v>
      </c>
      <c r="V286" s="44" cm="1">
        <f t="array" ref="V2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6" s="44" t="b">
        <f>_xlfn.IFNA(EXACT(VLOOKUP(JobBonus[[#This Row],[Pay Type]],PayTypes[#All],4,FALSE),"Yes"),FALSE)</f>
        <v>0</v>
      </c>
      <c r="X286" s="44" cm="1">
        <f t="array" ref="X286">SUMPRODUCT((StandByRates[Position]=JobBonus[[#This Row],[Position]])*(JobBonus[[#This Row],[Area]]=StandByRates[Area])*(StandByRates[Hourly]*JobBonus[[#This Row],[Standby/ Ext 
Hrs]]))</f>
        <v>0</v>
      </c>
      <c r="Y286" s="44">
        <f>JobBonus[[#This Row],[Variable Pay]]+JobBonus[[#This Row],[Crew Efficiency Bonus]]+JobBonus[[#This Row],[OVPP]]+JobBonus[[#This Row],[StandBy/ Ext Amount]]</f>
        <v>0</v>
      </c>
      <c r="Z286" s="80"/>
      <c r="AA286" s="42"/>
      <c r="AB286" s="42"/>
      <c r="AC286"/>
      <c r="AD286"/>
      <c r="AE286"/>
      <c r="AF286"/>
    </row>
    <row r="287" spans="1:32" hidden="1" x14ac:dyDescent="0.25">
      <c r="A287" s="46"/>
      <c r="B287" s="80"/>
      <c r="C287" s="15"/>
      <c r="D287" s="15"/>
      <c r="E287" s="15"/>
      <c r="F287" s="15"/>
      <c r="G287" s="16"/>
      <c r="H287" s="16"/>
      <c r="I287" s="19" t="str">
        <f>IF(ISBLANK(JobBonus[[#This Row],[Employee Name]]),"",INDEX(Employees[Job Title],MATCH(JobBonus[[#This Row],[Employee Name]],Employees[Employee Name2],0)))</f>
        <v/>
      </c>
      <c r="J287" s="19" t="str">
        <f>IF(ISBLANK(JobBonus[[#This Row],[Job Prov]]),"",IF(JobBonus[[#This Row],[Job Prov]]=INDEX(Employees[Province],MATCH(JobBonus[[#This Row],[Employee Name]],Employees[Employee Name2],0)),"No","Yes"))</f>
        <v/>
      </c>
      <c r="K287" s="17"/>
      <c r="L287" s="19"/>
      <c r="M287" s="23"/>
      <c r="N287" s="23"/>
      <c r="O287" s="15"/>
      <c r="P287" s="15"/>
      <c r="Q287" s="15"/>
      <c r="R287" s="15"/>
      <c r="S287" s="44" cm="1">
        <f t="array" ref="S2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7" s="44" cm="1">
        <f t="array" ref="T2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7" s="44">
        <f>JobBonus[[#This Row],[Variable Pay]]+JobBonus[[#This Row],[Crew Efficiency Bonus]]</f>
        <v>0</v>
      </c>
      <c r="V287" s="44" cm="1">
        <f t="array" ref="V2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7" s="44" t="b">
        <f>_xlfn.IFNA(EXACT(VLOOKUP(JobBonus[[#This Row],[Pay Type]],PayTypes[#All],4,FALSE),"Yes"),FALSE)</f>
        <v>0</v>
      </c>
      <c r="X287" s="44" cm="1">
        <f t="array" ref="X287">SUMPRODUCT((StandByRates[Position]=JobBonus[[#This Row],[Position]])*(JobBonus[[#This Row],[Area]]=StandByRates[Area])*(StandByRates[Hourly]*JobBonus[[#This Row],[Standby/ Ext 
Hrs]]))</f>
        <v>0</v>
      </c>
      <c r="Y287" s="44">
        <f>JobBonus[[#This Row],[Variable Pay]]+JobBonus[[#This Row],[Crew Efficiency Bonus]]+JobBonus[[#This Row],[OVPP]]+JobBonus[[#This Row],[StandBy/ Ext Amount]]</f>
        <v>0</v>
      </c>
      <c r="Z287" s="80"/>
      <c r="AA287" s="42"/>
      <c r="AB287" s="42"/>
      <c r="AC287"/>
      <c r="AD287"/>
      <c r="AE287"/>
      <c r="AF287"/>
    </row>
    <row r="288" spans="1:32" hidden="1" x14ac:dyDescent="0.25">
      <c r="A288" s="46"/>
      <c r="B288" s="80"/>
      <c r="C288" s="15"/>
      <c r="D288" s="15"/>
      <c r="E288" s="15"/>
      <c r="F288" s="15"/>
      <c r="G288" s="16"/>
      <c r="H288" s="16"/>
      <c r="I288" s="19" t="str">
        <f>IF(ISBLANK(JobBonus[[#This Row],[Employee Name]]),"",INDEX(Employees[Job Title],MATCH(JobBonus[[#This Row],[Employee Name]],Employees[Employee Name2],0)))</f>
        <v/>
      </c>
      <c r="J288" s="19" t="str">
        <f>IF(ISBLANK(JobBonus[[#This Row],[Job Prov]]),"",IF(JobBonus[[#This Row],[Job Prov]]=INDEX(Employees[Province],MATCH(JobBonus[[#This Row],[Employee Name]],Employees[Employee Name2],0)),"No","Yes"))</f>
        <v/>
      </c>
      <c r="K288" s="17"/>
      <c r="L288" s="19"/>
      <c r="M288" s="23"/>
      <c r="N288" s="23"/>
      <c r="O288" s="15"/>
      <c r="P288" s="15"/>
      <c r="Q288" s="15"/>
      <c r="R288" s="15"/>
      <c r="S288" s="44" cm="1">
        <f t="array" ref="S2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8" s="44" cm="1">
        <f t="array" ref="T2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8" s="44">
        <f>JobBonus[[#This Row],[Variable Pay]]+JobBonus[[#This Row],[Crew Efficiency Bonus]]</f>
        <v>0</v>
      </c>
      <c r="V288" s="44" cm="1">
        <f t="array" ref="V2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8" s="44" t="b">
        <f>_xlfn.IFNA(EXACT(VLOOKUP(JobBonus[[#This Row],[Pay Type]],PayTypes[#All],4,FALSE),"Yes"),FALSE)</f>
        <v>0</v>
      </c>
      <c r="X288" s="44" cm="1">
        <f t="array" ref="X288">SUMPRODUCT((StandByRates[Position]=JobBonus[[#This Row],[Position]])*(JobBonus[[#This Row],[Area]]=StandByRates[Area])*(StandByRates[Hourly]*JobBonus[[#This Row],[Standby/ Ext 
Hrs]]))</f>
        <v>0</v>
      </c>
      <c r="Y288" s="44">
        <f>JobBonus[[#This Row],[Variable Pay]]+JobBonus[[#This Row],[Crew Efficiency Bonus]]+JobBonus[[#This Row],[OVPP]]+JobBonus[[#This Row],[StandBy/ Ext Amount]]</f>
        <v>0</v>
      </c>
      <c r="Z288" s="80"/>
      <c r="AA288" s="42"/>
      <c r="AB288" s="42"/>
      <c r="AC288"/>
      <c r="AD288"/>
      <c r="AE288"/>
      <c r="AF288"/>
    </row>
    <row r="289" spans="1:32" hidden="1" x14ac:dyDescent="0.25">
      <c r="A289" s="46"/>
      <c r="B289" s="80"/>
      <c r="C289" s="15"/>
      <c r="D289" s="15"/>
      <c r="E289" s="15"/>
      <c r="F289" s="15"/>
      <c r="G289" s="16"/>
      <c r="H289" s="16"/>
      <c r="I289" s="19" t="str">
        <f>IF(ISBLANK(JobBonus[[#This Row],[Employee Name]]),"",INDEX(Employees[Job Title],MATCH(JobBonus[[#This Row],[Employee Name]],Employees[Employee Name2],0)))</f>
        <v/>
      </c>
      <c r="J289" s="19" t="str">
        <f>IF(ISBLANK(JobBonus[[#This Row],[Job Prov]]),"",IF(JobBonus[[#This Row],[Job Prov]]=INDEX(Employees[Province],MATCH(JobBonus[[#This Row],[Employee Name]],Employees[Employee Name2],0)),"No","Yes"))</f>
        <v/>
      </c>
      <c r="K289" s="17"/>
      <c r="L289" s="19"/>
      <c r="M289" s="23"/>
      <c r="N289" s="23"/>
      <c r="O289" s="15"/>
      <c r="P289" s="15"/>
      <c r="Q289" s="15"/>
      <c r="R289" s="15"/>
      <c r="S289" s="44" cm="1">
        <f t="array" ref="S2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9" s="44" cm="1">
        <f t="array" ref="T2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9" s="44">
        <f>JobBonus[[#This Row],[Variable Pay]]+JobBonus[[#This Row],[Crew Efficiency Bonus]]</f>
        <v>0</v>
      </c>
      <c r="V289" s="44" cm="1">
        <f t="array" ref="V2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9" s="44" t="b">
        <f>_xlfn.IFNA(EXACT(VLOOKUP(JobBonus[[#This Row],[Pay Type]],PayTypes[#All],4,FALSE),"Yes"),FALSE)</f>
        <v>0</v>
      </c>
      <c r="X289" s="44" cm="1">
        <f t="array" ref="X289">SUMPRODUCT((StandByRates[Position]=JobBonus[[#This Row],[Position]])*(JobBonus[[#This Row],[Area]]=StandByRates[Area])*(StandByRates[Hourly]*JobBonus[[#This Row],[Standby/ Ext 
Hrs]]))</f>
        <v>0</v>
      </c>
      <c r="Y289" s="44">
        <f>JobBonus[[#This Row],[Variable Pay]]+JobBonus[[#This Row],[Crew Efficiency Bonus]]+JobBonus[[#This Row],[OVPP]]+JobBonus[[#This Row],[StandBy/ Ext Amount]]</f>
        <v>0</v>
      </c>
      <c r="Z289" s="80"/>
      <c r="AA289" s="42"/>
      <c r="AB289" s="42"/>
      <c r="AC289"/>
      <c r="AD289"/>
      <c r="AE289"/>
      <c r="AF289"/>
    </row>
    <row r="290" spans="1:32" hidden="1" x14ac:dyDescent="0.25">
      <c r="A290" s="46"/>
      <c r="B290" s="80"/>
      <c r="C290" s="15"/>
      <c r="D290" s="15"/>
      <c r="E290" s="15"/>
      <c r="F290" s="15"/>
      <c r="G290" s="16"/>
      <c r="H290" s="16"/>
      <c r="I290" s="19" t="str">
        <f>IF(ISBLANK(JobBonus[[#This Row],[Employee Name]]),"",INDEX(Employees[Job Title],MATCH(JobBonus[[#This Row],[Employee Name]],Employees[Employee Name2],0)))</f>
        <v/>
      </c>
      <c r="J290" s="19" t="str">
        <f>IF(ISBLANK(JobBonus[[#This Row],[Job Prov]]),"",IF(JobBonus[[#This Row],[Job Prov]]=INDEX(Employees[Province],MATCH(JobBonus[[#This Row],[Employee Name]],Employees[Employee Name2],0)),"No","Yes"))</f>
        <v/>
      </c>
      <c r="K290" s="17"/>
      <c r="L290" s="19"/>
      <c r="M290" s="23"/>
      <c r="N290" s="23"/>
      <c r="O290" s="15"/>
      <c r="P290" s="15"/>
      <c r="Q290" s="15"/>
      <c r="R290" s="15"/>
      <c r="S290" s="44" cm="1">
        <f t="array" ref="S2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0" s="44" cm="1">
        <f t="array" ref="T2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0" s="44">
        <f>JobBonus[[#This Row],[Variable Pay]]+JobBonus[[#This Row],[Crew Efficiency Bonus]]</f>
        <v>0</v>
      </c>
      <c r="V290" s="44" cm="1">
        <f t="array" ref="V2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0" s="44" t="b">
        <f>_xlfn.IFNA(EXACT(VLOOKUP(JobBonus[[#This Row],[Pay Type]],PayTypes[#All],4,FALSE),"Yes"),FALSE)</f>
        <v>0</v>
      </c>
      <c r="X290" s="44" cm="1">
        <f t="array" ref="X290">SUMPRODUCT((StandByRates[Position]=JobBonus[[#This Row],[Position]])*(JobBonus[[#This Row],[Area]]=StandByRates[Area])*(StandByRates[Hourly]*JobBonus[[#This Row],[Standby/ Ext 
Hrs]]))</f>
        <v>0</v>
      </c>
      <c r="Y290" s="44">
        <f>JobBonus[[#This Row],[Variable Pay]]+JobBonus[[#This Row],[Crew Efficiency Bonus]]+JobBonus[[#This Row],[OVPP]]+JobBonus[[#This Row],[StandBy/ Ext Amount]]</f>
        <v>0</v>
      </c>
      <c r="Z290" s="80"/>
      <c r="AA290" s="42"/>
      <c r="AB290" s="42"/>
      <c r="AC290"/>
      <c r="AD290"/>
      <c r="AE290"/>
      <c r="AF290"/>
    </row>
    <row r="291" spans="1:32" hidden="1" x14ac:dyDescent="0.25">
      <c r="A291" s="46"/>
      <c r="B291" s="80"/>
      <c r="C291" s="15"/>
      <c r="D291" s="15"/>
      <c r="E291" s="15"/>
      <c r="F291" s="15"/>
      <c r="G291" s="16"/>
      <c r="H291" s="16"/>
      <c r="I291" s="19" t="str">
        <f>IF(ISBLANK(JobBonus[[#This Row],[Employee Name]]),"",INDEX(Employees[Job Title],MATCH(JobBonus[[#This Row],[Employee Name]],Employees[Employee Name2],0)))</f>
        <v/>
      </c>
      <c r="J291" s="19" t="str">
        <f>IF(ISBLANK(JobBonus[[#This Row],[Job Prov]]),"",IF(JobBonus[[#This Row],[Job Prov]]=INDEX(Employees[Province],MATCH(JobBonus[[#This Row],[Employee Name]],Employees[Employee Name2],0)),"No","Yes"))</f>
        <v/>
      </c>
      <c r="K291" s="17"/>
      <c r="L291" s="19"/>
      <c r="M291" s="23"/>
      <c r="N291" s="23"/>
      <c r="O291" s="15"/>
      <c r="P291" s="15"/>
      <c r="Q291" s="15"/>
      <c r="R291" s="15"/>
      <c r="S291" s="44" cm="1">
        <f t="array" ref="S2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1" s="44" cm="1">
        <f t="array" ref="T2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1" s="44">
        <f>JobBonus[[#This Row],[Variable Pay]]+JobBonus[[#This Row],[Crew Efficiency Bonus]]</f>
        <v>0</v>
      </c>
      <c r="V291" s="44" cm="1">
        <f t="array" ref="V2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1" s="44" t="b">
        <f>_xlfn.IFNA(EXACT(VLOOKUP(JobBonus[[#This Row],[Pay Type]],PayTypes[#All],4,FALSE),"Yes"),FALSE)</f>
        <v>0</v>
      </c>
      <c r="X291" s="44" cm="1">
        <f t="array" ref="X291">SUMPRODUCT((StandByRates[Position]=JobBonus[[#This Row],[Position]])*(JobBonus[[#This Row],[Area]]=StandByRates[Area])*(StandByRates[Hourly]*JobBonus[[#This Row],[Standby/ Ext 
Hrs]]))</f>
        <v>0</v>
      </c>
      <c r="Y291" s="44">
        <f>JobBonus[[#This Row],[Variable Pay]]+JobBonus[[#This Row],[Crew Efficiency Bonus]]+JobBonus[[#This Row],[OVPP]]+JobBonus[[#This Row],[StandBy/ Ext Amount]]</f>
        <v>0</v>
      </c>
      <c r="Z291" s="80"/>
      <c r="AA291" s="42"/>
      <c r="AB291" s="42"/>
      <c r="AC291"/>
      <c r="AD291"/>
      <c r="AE291"/>
      <c r="AF291"/>
    </row>
    <row r="292" spans="1:32" hidden="1" x14ac:dyDescent="0.25">
      <c r="A292" s="46"/>
      <c r="B292" s="80"/>
      <c r="C292" s="15"/>
      <c r="D292" s="15"/>
      <c r="E292" s="15"/>
      <c r="F292" s="15"/>
      <c r="G292" s="16"/>
      <c r="H292" s="16"/>
      <c r="I292" s="19" t="str">
        <f>IF(ISBLANK(JobBonus[[#This Row],[Employee Name]]),"",INDEX(Employees[Job Title],MATCH(JobBonus[[#This Row],[Employee Name]],Employees[Employee Name2],0)))</f>
        <v/>
      </c>
      <c r="J292" s="19" t="str">
        <f>IF(ISBLANK(JobBonus[[#This Row],[Job Prov]]),"",IF(JobBonus[[#This Row],[Job Prov]]=INDEX(Employees[Province],MATCH(JobBonus[[#This Row],[Employee Name]],Employees[Employee Name2],0)),"No","Yes"))</f>
        <v/>
      </c>
      <c r="K292" s="17"/>
      <c r="L292" s="19"/>
      <c r="M292" s="23"/>
      <c r="N292" s="23"/>
      <c r="O292" s="15"/>
      <c r="P292" s="15"/>
      <c r="Q292" s="15"/>
      <c r="R292" s="15"/>
      <c r="S292" s="44" cm="1">
        <f t="array" ref="S2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2" s="44" cm="1">
        <f t="array" ref="T2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2" s="44">
        <f>JobBonus[[#This Row],[Variable Pay]]+JobBonus[[#This Row],[Crew Efficiency Bonus]]</f>
        <v>0</v>
      </c>
      <c r="V292" s="44" cm="1">
        <f t="array" ref="V2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2" s="44" t="b">
        <f>_xlfn.IFNA(EXACT(VLOOKUP(JobBonus[[#This Row],[Pay Type]],PayTypes[#All],4,FALSE),"Yes"),FALSE)</f>
        <v>0</v>
      </c>
      <c r="X292" s="44" cm="1">
        <f t="array" ref="X292">SUMPRODUCT((StandByRates[Position]=JobBonus[[#This Row],[Position]])*(JobBonus[[#This Row],[Area]]=StandByRates[Area])*(StandByRates[Hourly]*JobBonus[[#This Row],[Standby/ Ext 
Hrs]]))</f>
        <v>0</v>
      </c>
      <c r="Y292" s="44">
        <f>JobBonus[[#This Row],[Variable Pay]]+JobBonus[[#This Row],[Crew Efficiency Bonus]]+JobBonus[[#This Row],[OVPP]]+JobBonus[[#This Row],[StandBy/ Ext Amount]]</f>
        <v>0</v>
      </c>
      <c r="Z292" s="80"/>
      <c r="AA292" s="42"/>
      <c r="AB292" s="42"/>
      <c r="AC292"/>
      <c r="AD292"/>
      <c r="AE292"/>
      <c r="AF292"/>
    </row>
    <row r="293" spans="1:32" hidden="1" x14ac:dyDescent="0.25">
      <c r="A293" s="46"/>
      <c r="B293" s="80"/>
      <c r="C293" s="15"/>
      <c r="D293" s="15"/>
      <c r="E293" s="15"/>
      <c r="F293" s="15"/>
      <c r="G293" s="16"/>
      <c r="H293" s="16"/>
      <c r="I293" s="19" t="str">
        <f>IF(ISBLANK(JobBonus[[#This Row],[Employee Name]]),"",INDEX(Employees[Job Title],MATCH(JobBonus[[#This Row],[Employee Name]],Employees[Employee Name2],0)))</f>
        <v/>
      </c>
      <c r="J293" s="19" t="str">
        <f>IF(ISBLANK(JobBonus[[#This Row],[Job Prov]]),"",IF(JobBonus[[#This Row],[Job Prov]]=INDEX(Employees[Province],MATCH(JobBonus[[#This Row],[Employee Name]],Employees[Employee Name2],0)),"No","Yes"))</f>
        <v/>
      </c>
      <c r="K293" s="17"/>
      <c r="L293" s="19"/>
      <c r="M293" s="23"/>
      <c r="N293" s="23"/>
      <c r="O293" s="15"/>
      <c r="P293" s="15"/>
      <c r="Q293" s="15"/>
      <c r="R293" s="15"/>
      <c r="S293" s="44" cm="1">
        <f t="array" ref="S2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3" s="44" cm="1">
        <f t="array" ref="T2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3" s="44">
        <f>JobBonus[[#This Row],[Variable Pay]]+JobBonus[[#This Row],[Crew Efficiency Bonus]]</f>
        <v>0</v>
      </c>
      <c r="V293" s="44" cm="1">
        <f t="array" ref="V2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3" s="44" t="b">
        <f>_xlfn.IFNA(EXACT(VLOOKUP(JobBonus[[#This Row],[Pay Type]],PayTypes[#All],4,FALSE),"Yes"),FALSE)</f>
        <v>0</v>
      </c>
      <c r="X293" s="44" cm="1">
        <f t="array" ref="X293">SUMPRODUCT((StandByRates[Position]=JobBonus[[#This Row],[Position]])*(JobBonus[[#This Row],[Area]]=StandByRates[Area])*(StandByRates[Hourly]*JobBonus[[#This Row],[Standby/ Ext 
Hrs]]))</f>
        <v>0</v>
      </c>
      <c r="Y293" s="44">
        <f>JobBonus[[#This Row],[Variable Pay]]+JobBonus[[#This Row],[Crew Efficiency Bonus]]+JobBonus[[#This Row],[OVPP]]+JobBonus[[#This Row],[StandBy/ Ext Amount]]</f>
        <v>0</v>
      </c>
      <c r="Z293" s="80"/>
      <c r="AA293" s="42"/>
      <c r="AB293" s="42"/>
      <c r="AC293"/>
      <c r="AD293"/>
      <c r="AE293"/>
      <c r="AF293"/>
    </row>
    <row r="294" spans="1:32" hidden="1" x14ac:dyDescent="0.25">
      <c r="A294" s="46"/>
      <c r="B294" s="80"/>
      <c r="C294" s="15"/>
      <c r="D294" s="15"/>
      <c r="E294" s="15"/>
      <c r="F294" s="15"/>
      <c r="G294" s="16"/>
      <c r="H294" s="16"/>
      <c r="I294" s="19" t="str">
        <f>IF(ISBLANK(JobBonus[[#This Row],[Employee Name]]),"",INDEX(Employees[Job Title],MATCH(JobBonus[[#This Row],[Employee Name]],Employees[Employee Name2],0)))</f>
        <v/>
      </c>
      <c r="J294" s="19" t="str">
        <f>IF(ISBLANK(JobBonus[[#This Row],[Job Prov]]),"",IF(JobBonus[[#This Row],[Job Prov]]=INDEX(Employees[Province],MATCH(JobBonus[[#This Row],[Employee Name]],Employees[Employee Name2],0)),"No","Yes"))</f>
        <v/>
      </c>
      <c r="K294" s="17"/>
      <c r="L294" s="19"/>
      <c r="M294" s="23"/>
      <c r="N294" s="23"/>
      <c r="O294" s="15"/>
      <c r="P294" s="15"/>
      <c r="Q294" s="15"/>
      <c r="R294" s="15"/>
      <c r="S294" s="44" cm="1">
        <f t="array" ref="S2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4" s="44" cm="1">
        <f t="array" ref="T2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4" s="44">
        <f>JobBonus[[#This Row],[Variable Pay]]+JobBonus[[#This Row],[Crew Efficiency Bonus]]</f>
        <v>0</v>
      </c>
      <c r="V294" s="44" cm="1">
        <f t="array" ref="V2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4" s="44" t="b">
        <f>_xlfn.IFNA(EXACT(VLOOKUP(JobBonus[[#This Row],[Pay Type]],PayTypes[#All],4,FALSE),"Yes"),FALSE)</f>
        <v>0</v>
      </c>
      <c r="X294" s="44" cm="1">
        <f t="array" ref="X294">SUMPRODUCT((StandByRates[Position]=JobBonus[[#This Row],[Position]])*(JobBonus[[#This Row],[Area]]=StandByRates[Area])*(StandByRates[Hourly]*JobBonus[[#This Row],[Standby/ Ext 
Hrs]]))</f>
        <v>0</v>
      </c>
      <c r="Y294" s="44">
        <f>JobBonus[[#This Row],[Variable Pay]]+JobBonus[[#This Row],[Crew Efficiency Bonus]]+JobBonus[[#This Row],[OVPP]]+JobBonus[[#This Row],[StandBy/ Ext Amount]]</f>
        <v>0</v>
      </c>
      <c r="Z294" s="80"/>
      <c r="AA294" s="42"/>
      <c r="AB294" s="42"/>
      <c r="AC294"/>
      <c r="AD294"/>
      <c r="AE294"/>
      <c r="AF294"/>
    </row>
    <row r="295" spans="1:32" hidden="1" x14ac:dyDescent="0.25">
      <c r="A295" s="46"/>
      <c r="B295" s="80"/>
      <c r="C295" s="15"/>
      <c r="D295" s="15"/>
      <c r="E295" s="15"/>
      <c r="F295" s="15"/>
      <c r="G295" s="16"/>
      <c r="H295" s="16"/>
      <c r="I295" s="19" t="str">
        <f>IF(ISBLANK(JobBonus[[#This Row],[Employee Name]]),"",INDEX(Employees[Job Title],MATCH(JobBonus[[#This Row],[Employee Name]],Employees[Employee Name2],0)))</f>
        <v/>
      </c>
      <c r="J295" s="19" t="str">
        <f>IF(ISBLANK(JobBonus[[#This Row],[Job Prov]]),"",IF(JobBonus[[#This Row],[Job Prov]]=INDEX(Employees[Province],MATCH(JobBonus[[#This Row],[Employee Name]],Employees[Employee Name2],0)),"No","Yes"))</f>
        <v/>
      </c>
      <c r="K295" s="17"/>
      <c r="L295" s="19"/>
      <c r="M295" s="23"/>
      <c r="N295" s="23"/>
      <c r="O295" s="15"/>
      <c r="P295" s="15"/>
      <c r="Q295" s="15"/>
      <c r="R295" s="15"/>
      <c r="S295" s="44" cm="1">
        <f t="array" ref="S2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5" s="44" cm="1">
        <f t="array" ref="T2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5" s="44">
        <f>JobBonus[[#This Row],[Variable Pay]]+JobBonus[[#This Row],[Crew Efficiency Bonus]]</f>
        <v>0</v>
      </c>
      <c r="V295" s="44" cm="1">
        <f t="array" ref="V2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5" s="44" t="b">
        <f>_xlfn.IFNA(EXACT(VLOOKUP(JobBonus[[#This Row],[Pay Type]],PayTypes[#All],4,FALSE),"Yes"),FALSE)</f>
        <v>0</v>
      </c>
      <c r="X295" s="44" cm="1">
        <f t="array" ref="X295">SUMPRODUCT((StandByRates[Position]=JobBonus[[#This Row],[Position]])*(JobBonus[[#This Row],[Area]]=StandByRates[Area])*(StandByRates[Hourly]*JobBonus[[#This Row],[Standby/ Ext 
Hrs]]))</f>
        <v>0</v>
      </c>
      <c r="Y295" s="44">
        <f>JobBonus[[#This Row],[Variable Pay]]+JobBonus[[#This Row],[Crew Efficiency Bonus]]+JobBonus[[#This Row],[OVPP]]+JobBonus[[#This Row],[StandBy/ Ext Amount]]</f>
        <v>0</v>
      </c>
      <c r="Z295" s="80"/>
      <c r="AA295" s="42"/>
      <c r="AB295" s="42"/>
      <c r="AC295"/>
      <c r="AD295"/>
      <c r="AE295"/>
      <c r="AF295"/>
    </row>
    <row r="296" spans="1:32" hidden="1" x14ac:dyDescent="0.25">
      <c r="A296" s="46"/>
      <c r="B296" s="80"/>
      <c r="C296" s="15"/>
      <c r="D296" s="15"/>
      <c r="E296" s="15"/>
      <c r="F296" s="15"/>
      <c r="G296" s="16"/>
      <c r="H296" s="16"/>
      <c r="I296" s="19" t="str">
        <f>IF(ISBLANK(JobBonus[[#This Row],[Employee Name]]),"",INDEX(Employees[Job Title],MATCH(JobBonus[[#This Row],[Employee Name]],Employees[Employee Name2],0)))</f>
        <v/>
      </c>
      <c r="J296" s="19" t="str">
        <f>IF(ISBLANK(JobBonus[[#This Row],[Job Prov]]),"",IF(JobBonus[[#This Row],[Job Prov]]=INDEX(Employees[Province],MATCH(JobBonus[[#This Row],[Employee Name]],Employees[Employee Name2],0)),"No","Yes"))</f>
        <v/>
      </c>
      <c r="K296" s="17"/>
      <c r="L296" s="19"/>
      <c r="M296" s="23"/>
      <c r="N296" s="23"/>
      <c r="O296" s="15"/>
      <c r="P296" s="15"/>
      <c r="Q296" s="15"/>
      <c r="R296" s="15"/>
      <c r="S296" s="44" cm="1">
        <f t="array" ref="S2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6" s="44" cm="1">
        <f t="array" ref="T2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6" s="44">
        <f>JobBonus[[#This Row],[Variable Pay]]+JobBonus[[#This Row],[Crew Efficiency Bonus]]</f>
        <v>0</v>
      </c>
      <c r="V296" s="44" cm="1">
        <f t="array" ref="V2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6" s="44" t="b">
        <f>_xlfn.IFNA(EXACT(VLOOKUP(JobBonus[[#This Row],[Pay Type]],PayTypes[#All],4,FALSE),"Yes"),FALSE)</f>
        <v>0</v>
      </c>
      <c r="X296" s="44" cm="1">
        <f t="array" ref="X296">SUMPRODUCT((StandByRates[Position]=JobBonus[[#This Row],[Position]])*(JobBonus[[#This Row],[Area]]=StandByRates[Area])*(StandByRates[Hourly]*JobBonus[[#This Row],[Standby/ Ext 
Hrs]]))</f>
        <v>0</v>
      </c>
      <c r="Y296" s="44">
        <f>JobBonus[[#This Row],[Variable Pay]]+JobBonus[[#This Row],[Crew Efficiency Bonus]]+JobBonus[[#This Row],[OVPP]]+JobBonus[[#This Row],[StandBy/ Ext Amount]]</f>
        <v>0</v>
      </c>
      <c r="Z296" s="80"/>
      <c r="AA296" s="42"/>
      <c r="AB296" s="42"/>
      <c r="AC296"/>
      <c r="AD296"/>
      <c r="AE296"/>
      <c r="AF296"/>
    </row>
    <row r="297" spans="1:32" hidden="1" x14ac:dyDescent="0.25">
      <c r="A297" s="46"/>
      <c r="B297" s="80"/>
      <c r="C297" s="15"/>
      <c r="D297" s="15"/>
      <c r="E297" s="15"/>
      <c r="F297" s="15"/>
      <c r="G297" s="16"/>
      <c r="H297" s="16"/>
      <c r="I297" s="19" t="str">
        <f>IF(ISBLANK(JobBonus[[#This Row],[Employee Name]]),"",INDEX(Employees[Job Title],MATCH(JobBonus[[#This Row],[Employee Name]],Employees[Employee Name2],0)))</f>
        <v/>
      </c>
      <c r="J297" s="19" t="str">
        <f>IF(ISBLANK(JobBonus[[#This Row],[Job Prov]]),"",IF(JobBonus[[#This Row],[Job Prov]]=INDEX(Employees[Province],MATCH(JobBonus[[#This Row],[Employee Name]],Employees[Employee Name2],0)),"No","Yes"))</f>
        <v/>
      </c>
      <c r="K297" s="17"/>
      <c r="L297" s="19"/>
      <c r="M297" s="23"/>
      <c r="N297" s="23"/>
      <c r="O297" s="15"/>
      <c r="P297" s="15"/>
      <c r="Q297" s="15"/>
      <c r="R297" s="15"/>
      <c r="S297" s="44" cm="1">
        <f t="array" ref="S2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7" s="44" cm="1">
        <f t="array" ref="T2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7" s="44">
        <f>JobBonus[[#This Row],[Variable Pay]]+JobBonus[[#This Row],[Crew Efficiency Bonus]]</f>
        <v>0</v>
      </c>
      <c r="V297" s="44" cm="1">
        <f t="array" ref="V2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7" s="44" t="b">
        <f>_xlfn.IFNA(EXACT(VLOOKUP(JobBonus[[#This Row],[Pay Type]],PayTypes[#All],4,FALSE),"Yes"),FALSE)</f>
        <v>0</v>
      </c>
      <c r="X297" s="44" cm="1">
        <f t="array" ref="X297">SUMPRODUCT((StandByRates[Position]=JobBonus[[#This Row],[Position]])*(JobBonus[[#This Row],[Area]]=StandByRates[Area])*(StandByRates[Hourly]*JobBonus[[#This Row],[Standby/ Ext 
Hrs]]))</f>
        <v>0</v>
      </c>
      <c r="Y297" s="44">
        <f>JobBonus[[#This Row],[Variable Pay]]+JobBonus[[#This Row],[Crew Efficiency Bonus]]+JobBonus[[#This Row],[OVPP]]+JobBonus[[#This Row],[StandBy/ Ext Amount]]</f>
        <v>0</v>
      </c>
      <c r="Z297" s="80"/>
      <c r="AA297" s="42"/>
      <c r="AB297" s="42"/>
      <c r="AC297"/>
      <c r="AD297"/>
      <c r="AE297"/>
      <c r="AF297"/>
    </row>
    <row r="298" spans="1:32" hidden="1" x14ac:dyDescent="0.25">
      <c r="A298" s="46"/>
      <c r="B298" s="80"/>
      <c r="C298" s="15"/>
      <c r="D298" s="15"/>
      <c r="E298" s="15"/>
      <c r="F298" s="15"/>
      <c r="G298" s="16"/>
      <c r="H298" s="16"/>
      <c r="I298" s="19" t="str">
        <f>IF(ISBLANK(JobBonus[[#This Row],[Employee Name]]),"",INDEX(Employees[Job Title],MATCH(JobBonus[[#This Row],[Employee Name]],Employees[Employee Name2],0)))</f>
        <v/>
      </c>
      <c r="J298" s="19" t="str">
        <f>IF(ISBLANK(JobBonus[[#This Row],[Job Prov]]),"",IF(JobBonus[[#This Row],[Job Prov]]=INDEX(Employees[Province],MATCH(JobBonus[[#This Row],[Employee Name]],Employees[Employee Name2],0)),"No","Yes"))</f>
        <v/>
      </c>
      <c r="K298" s="17"/>
      <c r="L298" s="19"/>
      <c r="M298" s="23"/>
      <c r="N298" s="23"/>
      <c r="O298" s="15"/>
      <c r="P298" s="15"/>
      <c r="Q298" s="15"/>
      <c r="R298" s="15"/>
      <c r="S298" s="44" cm="1">
        <f t="array" ref="S2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8" s="44" cm="1">
        <f t="array" ref="T2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8" s="44">
        <f>JobBonus[[#This Row],[Variable Pay]]+JobBonus[[#This Row],[Crew Efficiency Bonus]]</f>
        <v>0</v>
      </c>
      <c r="V298" s="44" cm="1">
        <f t="array" ref="V2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8" s="44" t="b">
        <f>_xlfn.IFNA(EXACT(VLOOKUP(JobBonus[[#This Row],[Pay Type]],PayTypes[#All],4,FALSE),"Yes"),FALSE)</f>
        <v>0</v>
      </c>
      <c r="X298" s="44" cm="1">
        <f t="array" ref="X298">SUMPRODUCT((StandByRates[Position]=JobBonus[[#This Row],[Position]])*(JobBonus[[#This Row],[Area]]=StandByRates[Area])*(StandByRates[Hourly]*JobBonus[[#This Row],[Standby/ Ext 
Hrs]]))</f>
        <v>0</v>
      </c>
      <c r="Y298" s="44">
        <f>JobBonus[[#This Row],[Variable Pay]]+JobBonus[[#This Row],[Crew Efficiency Bonus]]+JobBonus[[#This Row],[OVPP]]+JobBonus[[#This Row],[StandBy/ Ext Amount]]</f>
        <v>0</v>
      </c>
      <c r="Z298" s="80"/>
      <c r="AA298" s="42"/>
      <c r="AB298" s="42"/>
      <c r="AC298"/>
      <c r="AD298"/>
      <c r="AE298"/>
      <c r="AF298"/>
    </row>
    <row r="299" spans="1:32" hidden="1" x14ac:dyDescent="0.25">
      <c r="A299" s="46"/>
      <c r="B299" s="80"/>
      <c r="C299" s="15"/>
      <c r="D299" s="15"/>
      <c r="E299" s="15"/>
      <c r="F299" s="15"/>
      <c r="G299" s="16"/>
      <c r="H299" s="16"/>
      <c r="I299" s="19" t="str">
        <f>IF(ISBLANK(JobBonus[[#This Row],[Employee Name]]),"",INDEX(Employees[Job Title],MATCH(JobBonus[[#This Row],[Employee Name]],Employees[Employee Name2],0)))</f>
        <v/>
      </c>
      <c r="J299" s="19" t="str">
        <f>IF(ISBLANK(JobBonus[[#This Row],[Job Prov]]),"",IF(JobBonus[[#This Row],[Job Prov]]=INDEX(Employees[Province],MATCH(JobBonus[[#This Row],[Employee Name]],Employees[Employee Name2],0)),"No","Yes"))</f>
        <v/>
      </c>
      <c r="K299" s="17"/>
      <c r="L299" s="19"/>
      <c r="M299" s="23"/>
      <c r="N299" s="23"/>
      <c r="O299" s="15"/>
      <c r="P299" s="15"/>
      <c r="Q299" s="15"/>
      <c r="R299" s="15"/>
      <c r="S299" s="44" cm="1">
        <f t="array" ref="S2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9" s="44" cm="1">
        <f t="array" ref="T2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9" s="44">
        <f>JobBonus[[#This Row],[Variable Pay]]+JobBonus[[#This Row],[Crew Efficiency Bonus]]</f>
        <v>0</v>
      </c>
      <c r="V299" s="44" cm="1">
        <f t="array" ref="V2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9" s="44" t="b">
        <f>_xlfn.IFNA(EXACT(VLOOKUP(JobBonus[[#This Row],[Pay Type]],PayTypes[#All],4,FALSE),"Yes"),FALSE)</f>
        <v>0</v>
      </c>
      <c r="X299" s="44" cm="1">
        <f t="array" ref="X299">SUMPRODUCT((StandByRates[Position]=JobBonus[[#This Row],[Position]])*(JobBonus[[#This Row],[Area]]=StandByRates[Area])*(StandByRates[Hourly]*JobBonus[[#This Row],[Standby/ Ext 
Hrs]]))</f>
        <v>0</v>
      </c>
      <c r="Y299" s="44">
        <f>JobBonus[[#This Row],[Variable Pay]]+JobBonus[[#This Row],[Crew Efficiency Bonus]]+JobBonus[[#This Row],[OVPP]]+JobBonus[[#This Row],[StandBy/ Ext Amount]]</f>
        <v>0</v>
      </c>
      <c r="Z299" s="80"/>
      <c r="AA299" s="42"/>
      <c r="AB299" s="42"/>
      <c r="AC299"/>
      <c r="AD299"/>
      <c r="AE299"/>
      <c r="AF299"/>
    </row>
    <row r="300" spans="1:32" hidden="1" x14ac:dyDescent="0.25">
      <c r="A300" s="46"/>
      <c r="B300" s="80"/>
      <c r="C300" s="15"/>
      <c r="D300" s="15"/>
      <c r="E300" s="15"/>
      <c r="F300" s="15"/>
      <c r="G300" s="16"/>
      <c r="H300" s="16"/>
      <c r="I300" s="19" t="str">
        <f>IF(ISBLANK(JobBonus[[#This Row],[Employee Name]]),"",INDEX(Employees[Job Title],MATCH(JobBonus[[#This Row],[Employee Name]],Employees[Employee Name2],0)))</f>
        <v/>
      </c>
      <c r="J300" s="19" t="str">
        <f>IF(ISBLANK(JobBonus[[#This Row],[Job Prov]]),"",IF(JobBonus[[#This Row],[Job Prov]]=INDEX(Employees[Province],MATCH(JobBonus[[#This Row],[Employee Name]],Employees[Employee Name2],0)),"No","Yes"))</f>
        <v/>
      </c>
      <c r="K300" s="17"/>
      <c r="L300" s="19"/>
      <c r="M300" s="23"/>
      <c r="N300" s="23"/>
      <c r="O300" s="15"/>
      <c r="P300" s="15"/>
      <c r="Q300" s="15"/>
      <c r="R300" s="15"/>
      <c r="S300" s="44" cm="1">
        <f t="array" ref="S3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0" s="44" cm="1">
        <f t="array" ref="T3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0" s="44">
        <f>JobBonus[[#This Row],[Variable Pay]]+JobBonus[[#This Row],[Crew Efficiency Bonus]]</f>
        <v>0</v>
      </c>
      <c r="V300" s="44" cm="1">
        <f t="array" ref="V3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0" s="44" t="b">
        <f>_xlfn.IFNA(EXACT(VLOOKUP(JobBonus[[#This Row],[Pay Type]],PayTypes[#All],4,FALSE),"Yes"),FALSE)</f>
        <v>0</v>
      </c>
      <c r="X300" s="44" cm="1">
        <f t="array" ref="X300">SUMPRODUCT((StandByRates[Position]=JobBonus[[#This Row],[Position]])*(JobBonus[[#This Row],[Area]]=StandByRates[Area])*(StandByRates[Hourly]*JobBonus[[#This Row],[Standby/ Ext 
Hrs]]))</f>
        <v>0</v>
      </c>
      <c r="Y300" s="44">
        <f>JobBonus[[#This Row],[Variable Pay]]+JobBonus[[#This Row],[Crew Efficiency Bonus]]+JobBonus[[#This Row],[OVPP]]+JobBonus[[#This Row],[StandBy/ Ext Amount]]</f>
        <v>0</v>
      </c>
      <c r="Z300" s="80"/>
      <c r="AA300" s="42"/>
      <c r="AB300" s="42"/>
      <c r="AC300"/>
      <c r="AD300"/>
      <c r="AE300"/>
      <c r="AF300"/>
    </row>
    <row r="301" spans="1:32" hidden="1" x14ac:dyDescent="0.25">
      <c r="A301" s="46"/>
      <c r="B301" s="80"/>
      <c r="C301" s="15"/>
      <c r="D301" s="15"/>
      <c r="E301" s="15"/>
      <c r="F301" s="15"/>
      <c r="G301" s="16"/>
      <c r="H301" s="16"/>
      <c r="I301" s="19" t="str">
        <f>IF(ISBLANK(JobBonus[[#This Row],[Employee Name]]),"",INDEX(Employees[Job Title],MATCH(JobBonus[[#This Row],[Employee Name]],Employees[Employee Name2],0)))</f>
        <v/>
      </c>
      <c r="J301" s="19" t="str">
        <f>IF(ISBLANK(JobBonus[[#This Row],[Job Prov]]),"",IF(JobBonus[[#This Row],[Job Prov]]=INDEX(Employees[Province],MATCH(JobBonus[[#This Row],[Employee Name]],Employees[Employee Name2],0)),"No","Yes"))</f>
        <v/>
      </c>
      <c r="K301" s="17"/>
      <c r="L301" s="19"/>
      <c r="M301" s="23"/>
      <c r="N301" s="23"/>
      <c r="O301" s="15"/>
      <c r="P301" s="15"/>
      <c r="Q301" s="15"/>
      <c r="R301" s="15"/>
      <c r="S301" s="44" cm="1">
        <f t="array" ref="S3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1" s="44" cm="1">
        <f t="array" ref="T3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1" s="44">
        <f>JobBonus[[#This Row],[Variable Pay]]+JobBonus[[#This Row],[Crew Efficiency Bonus]]</f>
        <v>0</v>
      </c>
      <c r="V301" s="44" cm="1">
        <f t="array" ref="V3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1" s="44" t="b">
        <f>_xlfn.IFNA(EXACT(VLOOKUP(JobBonus[[#This Row],[Pay Type]],PayTypes[#All],4,FALSE),"Yes"),FALSE)</f>
        <v>0</v>
      </c>
      <c r="X301" s="44" cm="1">
        <f t="array" ref="X301">SUMPRODUCT((StandByRates[Position]=JobBonus[[#This Row],[Position]])*(JobBonus[[#This Row],[Area]]=StandByRates[Area])*(StandByRates[Hourly]*JobBonus[[#This Row],[Standby/ Ext 
Hrs]]))</f>
        <v>0</v>
      </c>
      <c r="Y301" s="44">
        <f>JobBonus[[#This Row],[Variable Pay]]+JobBonus[[#This Row],[Crew Efficiency Bonus]]+JobBonus[[#This Row],[OVPP]]+JobBonus[[#This Row],[StandBy/ Ext Amount]]</f>
        <v>0</v>
      </c>
      <c r="Z301" s="80"/>
      <c r="AA301" s="42"/>
      <c r="AB301" s="42"/>
      <c r="AC301"/>
      <c r="AD301"/>
      <c r="AE301"/>
      <c r="AF301"/>
    </row>
    <row r="302" spans="1:32" hidden="1" x14ac:dyDescent="0.25">
      <c r="A302" s="46"/>
      <c r="B302" s="80"/>
      <c r="C302" s="15"/>
      <c r="D302" s="15"/>
      <c r="E302" s="15"/>
      <c r="F302" s="15"/>
      <c r="G302" s="16"/>
      <c r="H302" s="16"/>
      <c r="I302" s="19" t="str">
        <f>IF(ISBLANK(JobBonus[[#This Row],[Employee Name]]),"",INDEX(Employees[Job Title],MATCH(JobBonus[[#This Row],[Employee Name]],Employees[Employee Name2],0)))</f>
        <v/>
      </c>
      <c r="J302" s="19" t="str">
        <f>IF(ISBLANK(JobBonus[[#This Row],[Job Prov]]),"",IF(JobBonus[[#This Row],[Job Prov]]=INDEX(Employees[Province],MATCH(JobBonus[[#This Row],[Employee Name]],Employees[Employee Name2],0)),"No","Yes"))</f>
        <v/>
      </c>
      <c r="K302" s="17"/>
      <c r="L302" s="19"/>
      <c r="M302" s="23"/>
      <c r="N302" s="23"/>
      <c r="O302" s="15"/>
      <c r="P302" s="15"/>
      <c r="Q302" s="15"/>
      <c r="R302" s="15"/>
      <c r="S302" s="44" cm="1">
        <f t="array" ref="S3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2" s="44" cm="1">
        <f t="array" ref="T3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2" s="44">
        <f>JobBonus[[#This Row],[Variable Pay]]+JobBonus[[#This Row],[Crew Efficiency Bonus]]</f>
        <v>0</v>
      </c>
      <c r="V302" s="44" cm="1">
        <f t="array" ref="V3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2" s="44" t="b">
        <f>_xlfn.IFNA(EXACT(VLOOKUP(JobBonus[[#This Row],[Pay Type]],PayTypes[#All],4,FALSE),"Yes"),FALSE)</f>
        <v>0</v>
      </c>
      <c r="X302" s="44" cm="1">
        <f t="array" ref="X302">SUMPRODUCT((StandByRates[Position]=JobBonus[[#This Row],[Position]])*(JobBonus[[#This Row],[Area]]=StandByRates[Area])*(StandByRates[Hourly]*JobBonus[[#This Row],[Standby/ Ext 
Hrs]]))</f>
        <v>0</v>
      </c>
      <c r="Y302" s="44">
        <f>JobBonus[[#This Row],[Variable Pay]]+JobBonus[[#This Row],[Crew Efficiency Bonus]]+JobBonus[[#This Row],[OVPP]]+JobBonus[[#This Row],[StandBy/ Ext Amount]]</f>
        <v>0</v>
      </c>
      <c r="Z302" s="80"/>
      <c r="AA302" s="42"/>
      <c r="AB302" s="42"/>
      <c r="AC302"/>
      <c r="AD302"/>
      <c r="AE302"/>
      <c r="AF302"/>
    </row>
    <row r="303" spans="1:32" hidden="1" x14ac:dyDescent="0.25">
      <c r="A303" s="46"/>
      <c r="B303" s="80"/>
      <c r="C303" s="15"/>
      <c r="D303" s="15"/>
      <c r="E303" s="15"/>
      <c r="F303" s="15"/>
      <c r="G303" s="16"/>
      <c r="H303" s="16"/>
      <c r="I303" s="19" t="str">
        <f>IF(ISBLANK(JobBonus[[#This Row],[Employee Name]]),"",INDEX(Employees[Job Title],MATCH(JobBonus[[#This Row],[Employee Name]],Employees[Employee Name2],0)))</f>
        <v/>
      </c>
      <c r="J303" s="19" t="str">
        <f>IF(ISBLANK(JobBonus[[#This Row],[Job Prov]]),"",IF(JobBonus[[#This Row],[Job Prov]]=INDEX(Employees[Province],MATCH(JobBonus[[#This Row],[Employee Name]],Employees[Employee Name2],0)),"No","Yes"))</f>
        <v/>
      </c>
      <c r="K303" s="17"/>
      <c r="L303" s="19"/>
      <c r="M303" s="23"/>
      <c r="N303" s="23"/>
      <c r="O303" s="15"/>
      <c r="P303" s="15"/>
      <c r="Q303" s="15"/>
      <c r="R303" s="15"/>
      <c r="S303" s="44" cm="1">
        <f t="array" ref="S3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3" s="44" cm="1">
        <f t="array" ref="T3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3" s="44">
        <f>JobBonus[[#This Row],[Variable Pay]]+JobBonus[[#This Row],[Crew Efficiency Bonus]]</f>
        <v>0</v>
      </c>
      <c r="V303" s="44" cm="1">
        <f t="array" ref="V3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3" s="44" t="b">
        <f>_xlfn.IFNA(EXACT(VLOOKUP(JobBonus[[#This Row],[Pay Type]],PayTypes[#All],4,FALSE),"Yes"),FALSE)</f>
        <v>0</v>
      </c>
      <c r="X303" s="44" cm="1">
        <f t="array" ref="X303">SUMPRODUCT((StandByRates[Position]=JobBonus[[#This Row],[Position]])*(JobBonus[[#This Row],[Area]]=StandByRates[Area])*(StandByRates[Hourly]*JobBonus[[#This Row],[Standby/ Ext 
Hrs]]))</f>
        <v>0</v>
      </c>
      <c r="Y303" s="44">
        <f>JobBonus[[#This Row],[Variable Pay]]+JobBonus[[#This Row],[Crew Efficiency Bonus]]+JobBonus[[#This Row],[OVPP]]+JobBonus[[#This Row],[StandBy/ Ext Amount]]</f>
        <v>0</v>
      </c>
      <c r="Z303" s="80"/>
      <c r="AA303" s="42"/>
      <c r="AB303" s="42"/>
      <c r="AC303"/>
      <c r="AD303"/>
      <c r="AE303"/>
      <c r="AF303"/>
    </row>
    <row r="304" spans="1:32" hidden="1" x14ac:dyDescent="0.25">
      <c r="A304" s="46"/>
      <c r="B304" s="80"/>
      <c r="C304" s="15"/>
      <c r="D304" s="15"/>
      <c r="E304" s="15"/>
      <c r="F304" s="15"/>
      <c r="G304" s="16"/>
      <c r="H304" s="16"/>
      <c r="I304" s="19" t="str">
        <f>IF(ISBLANK(JobBonus[[#This Row],[Employee Name]]),"",INDEX(Employees[Job Title],MATCH(JobBonus[[#This Row],[Employee Name]],Employees[Employee Name2],0)))</f>
        <v/>
      </c>
      <c r="J304" s="19" t="str">
        <f>IF(ISBLANK(JobBonus[[#This Row],[Job Prov]]),"",IF(JobBonus[[#This Row],[Job Prov]]=INDEX(Employees[Province],MATCH(JobBonus[[#This Row],[Employee Name]],Employees[Employee Name2],0)),"No","Yes"))</f>
        <v/>
      </c>
      <c r="K304" s="17"/>
      <c r="L304" s="19"/>
      <c r="M304" s="23"/>
      <c r="N304" s="23"/>
      <c r="O304" s="15"/>
      <c r="P304" s="15"/>
      <c r="Q304" s="15"/>
      <c r="R304" s="15"/>
      <c r="S304" s="44" cm="1">
        <f t="array" ref="S3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4" s="44" cm="1">
        <f t="array" ref="T3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4" s="44">
        <f>JobBonus[[#This Row],[Variable Pay]]+JobBonus[[#This Row],[Crew Efficiency Bonus]]</f>
        <v>0</v>
      </c>
      <c r="V304" s="44" cm="1">
        <f t="array" ref="V3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4" s="44" t="b">
        <f>_xlfn.IFNA(EXACT(VLOOKUP(JobBonus[[#This Row],[Pay Type]],PayTypes[#All],4,FALSE),"Yes"),FALSE)</f>
        <v>0</v>
      </c>
      <c r="X304" s="44" cm="1">
        <f t="array" ref="X304">SUMPRODUCT((StandByRates[Position]=JobBonus[[#This Row],[Position]])*(JobBonus[[#This Row],[Area]]=StandByRates[Area])*(StandByRates[Hourly]*JobBonus[[#This Row],[Standby/ Ext 
Hrs]]))</f>
        <v>0</v>
      </c>
      <c r="Y304" s="44">
        <f>JobBonus[[#This Row],[Variable Pay]]+JobBonus[[#This Row],[Crew Efficiency Bonus]]+JobBonus[[#This Row],[OVPP]]+JobBonus[[#This Row],[StandBy/ Ext Amount]]</f>
        <v>0</v>
      </c>
      <c r="Z304" s="80"/>
      <c r="AA304" s="42"/>
      <c r="AB304" s="42"/>
      <c r="AC304"/>
      <c r="AD304"/>
      <c r="AE304"/>
      <c r="AF304"/>
    </row>
    <row r="305" spans="1:32" hidden="1" x14ac:dyDescent="0.25">
      <c r="A305" s="46"/>
      <c r="B305" s="80"/>
      <c r="C305" s="15"/>
      <c r="D305" s="15"/>
      <c r="E305" s="15"/>
      <c r="F305" s="15"/>
      <c r="G305" s="16"/>
      <c r="H305" s="16"/>
      <c r="I305" s="19" t="str">
        <f>IF(ISBLANK(JobBonus[[#This Row],[Employee Name]]),"",INDEX(Employees[Job Title],MATCH(JobBonus[[#This Row],[Employee Name]],Employees[Employee Name2],0)))</f>
        <v/>
      </c>
      <c r="J305" s="19" t="str">
        <f>IF(ISBLANK(JobBonus[[#This Row],[Job Prov]]),"",IF(JobBonus[[#This Row],[Job Prov]]=INDEX(Employees[Province],MATCH(JobBonus[[#This Row],[Employee Name]],Employees[Employee Name2],0)),"No","Yes"))</f>
        <v/>
      </c>
      <c r="K305" s="17"/>
      <c r="L305" s="19"/>
      <c r="M305" s="23"/>
      <c r="N305" s="23"/>
      <c r="O305" s="15"/>
      <c r="P305" s="15"/>
      <c r="Q305" s="15"/>
      <c r="R305" s="15"/>
      <c r="S305" s="44" cm="1">
        <f t="array" ref="S3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5" s="44" cm="1">
        <f t="array" ref="T3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5" s="44">
        <f>JobBonus[[#This Row],[Variable Pay]]+JobBonus[[#This Row],[Crew Efficiency Bonus]]</f>
        <v>0</v>
      </c>
      <c r="V305" s="44" cm="1">
        <f t="array" ref="V3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5" s="44" t="b">
        <f>_xlfn.IFNA(EXACT(VLOOKUP(JobBonus[[#This Row],[Pay Type]],PayTypes[#All],4,FALSE),"Yes"),FALSE)</f>
        <v>0</v>
      </c>
      <c r="X305" s="44" cm="1">
        <f t="array" ref="X305">SUMPRODUCT((StandByRates[Position]=JobBonus[[#This Row],[Position]])*(JobBonus[[#This Row],[Area]]=StandByRates[Area])*(StandByRates[Hourly]*JobBonus[[#This Row],[Standby/ Ext 
Hrs]]))</f>
        <v>0</v>
      </c>
      <c r="Y305" s="44">
        <f>JobBonus[[#This Row],[Variable Pay]]+JobBonus[[#This Row],[Crew Efficiency Bonus]]+JobBonus[[#This Row],[OVPP]]+JobBonus[[#This Row],[StandBy/ Ext Amount]]</f>
        <v>0</v>
      </c>
      <c r="Z305" s="80"/>
      <c r="AA305" s="42"/>
      <c r="AB305" s="42"/>
      <c r="AC305"/>
      <c r="AD305"/>
      <c r="AE305"/>
      <c r="AF305"/>
    </row>
    <row r="306" spans="1:32" hidden="1" x14ac:dyDescent="0.25">
      <c r="A306" s="46"/>
      <c r="B306" s="80"/>
      <c r="C306" s="15"/>
      <c r="D306" s="15"/>
      <c r="E306" s="15"/>
      <c r="F306" s="15"/>
      <c r="G306" s="16"/>
      <c r="H306" s="16"/>
      <c r="I306" s="19" t="str">
        <f>IF(ISBLANK(JobBonus[[#This Row],[Employee Name]]),"",INDEX(Employees[Job Title],MATCH(JobBonus[[#This Row],[Employee Name]],Employees[Employee Name2],0)))</f>
        <v/>
      </c>
      <c r="J306" s="19" t="str">
        <f>IF(ISBLANK(JobBonus[[#This Row],[Job Prov]]),"",IF(JobBonus[[#This Row],[Job Prov]]=INDEX(Employees[Province],MATCH(JobBonus[[#This Row],[Employee Name]],Employees[Employee Name2],0)),"No","Yes"))</f>
        <v/>
      </c>
      <c r="K306" s="17"/>
      <c r="L306" s="19"/>
      <c r="M306" s="23"/>
      <c r="N306" s="23"/>
      <c r="O306" s="15"/>
      <c r="P306" s="15"/>
      <c r="Q306" s="15"/>
      <c r="R306" s="15"/>
      <c r="S306" s="44" cm="1">
        <f t="array" ref="S3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6" s="44" cm="1">
        <f t="array" ref="T3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6" s="44">
        <f>JobBonus[[#This Row],[Variable Pay]]+JobBonus[[#This Row],[Crew Efficiency Bonus]]</f>
        <v>0</v>
      </c>
      <c r="V306" s="44" cm="1">
        <f t="array" ref="V3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6" s="44" t="b">
        <f>_xlfn.IFNA(EXACT(VLOOKUP(JobBonus[[#This Row],[Pay Type]],PayTypes[#All],4,FALSE),"Yes"),FALSE)</f>
        <v>0</v>
      </c>
      <c r="X306" s="44" cm="1">
        <f t="array" ref="X306">SUMPRODUCT((StandByRates[Position]=JobBonus[[#This Row],[Position]])*(JobBonus[[#This Row],[Area]]=StandByRates[Area])*(StandByRates[Hourly]*JobBonus[[#This Row],[Standby/ Ext 
Hrs]]))</f>
        <v>0</v>
      </c>
      <c r="Y306" s="44">
        <f>JobBonus[[#This Row],[Variable Pay]]+JobBonus[[#This Row],[Crew Efficiency Bonus]]+JobBonus[[#This Row],[OVPP]]+JobBonus[[#This Row],[StandBy/ Ext Amount]]</f>
        <v>0</v>
      </c>
      <c r="Z306" s="80"/>
      <c r="AA306" s="42"/>
      <c r="AB306" s="42"/>
      <c r="AC306"/>
      <c r="AD306"/>
      <c r="AE306"/>
      <c r="AF306"/>
    </row>
    <row r="307" spans="1:32" hidden="1" x14ac:dyDescent="0.25">
      <c r="A307" s="46"/>
      <c r="B307" s="80"/>
      <c r="C307" s="15"/>
      <c r="D307" s="15"/>
      <c r="E307" s="15"/>
      <c r="F307" s="15"/>
      <c r="G307" s="16"/>
      <c r="H307" s="16"/>
      <c r="I307" s="19" t="str">
        <f>IF(ISBLANK(JobBonus[[#This Row],[Employee Name]]),"",INDEX(Employees[Job Title],MATCH(JobBonus[[#This Row],[Employee Name]],Employees[Employee Name2],0)))</f>
        <v/>
      </c>
      <c r="J307" s="19" t="str">
        <f>IF(ISBLANK(JobBonus[[#This Row],[Job Prov]]),"",IF(JobBonus[[#This Row],[Job Prov]]=INDEX(Employees[Province],MATCH(JobBonus[[#This Row],[Employee Name]],Employees[Employee Name2],0)),"No","Yes"))</f>
        <v/>
      </c>
      <c r="K307" s="17"/>
      <c r="L307" s="19"/>
      <c r="M307" s="23"/>
      <c r="N307" s="23"/>
      <c r="O307" s="15"/>
      <c r="P307" s="15"/>
      <c r="Q307" s="15"/>
      <c r="R307" s="15"/>
      <c r="S307" s="44" cm="1">
        <f t="array" ref="S3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7" s="44" cm="1">
        <f t="array" ref="T3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7" s="44">
        <f>JobBonus[[#This Row],[Variable Pay]]+JobBonus[[#This Row],[Crew Efficiency Bonus]]</f>
        <v>0</v>
      </c>
      <c r="V307" s="44" cm="1">
        <f t="array" ref="V3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7" s="44" t="b">
        <f>_xlfn.IFNA(EXACT(VLOOKUP(JobBonus[[#This Row],[Pay Type]],PayTypes[#All],4,FALSE),"Yes"),FALSE)</f>
        <v>0</v>
      </c>
      <c r="X307" s="44" cm="1">
        <f t="array" ref="X307">SUMPRODUCT((StandByRates[Position]=JobBonus[[#This Row],[Position]])*(JobBonus[[#This Row],[Area]]=StandByRates[Area])*(StandByRates[Hourly]*JobBonus[[#This Row],[Standby/ Ext 
Hrs]]))</f>
        <v>0</v>
      </c>
      <c r="Y307" s="44">
        <f>JobBonus[[#This Row],[Variable Pay]]+JobBonus[[#This Row],[Crew Efficiency Bonus]]+JobBonus[[#This Row],[OVPP]]+JobBonus[[#This Row],[StandBy/ Ext Amount]]</f>
        <v>0</v>
      </c>
      <c r="Z307" s="80"/>
      <c r="AA307" s="42"/>
      <c r="AB307" s="42"/>
      <c r="AC307"/>
      <c r="AD307"/>
      <c r="AE307"/>
      <c r="AF307"/>
    </row>
    <row r="308" spans="1:32" hidden="1" x14ac:dyDescent="0.25">
      <c r="A308" s="46"/>
      <c r="B308" s="80"/>
      <c r="C308" s="15"/>
      <c r="D308" s="15"/>
      <c r="E308" s="15"/>
      <c r="F308" s="15"/>
      <c r="G308" s="16"/>
      <c r="H308" s="16"/>
      <c r="I308" s="19" t="str">
        <f>IF(ISBLANK(JobBonus[[#This Row],[Employee Name]]),"",INDEX(Employees[Job Title],MATCH(JobBonus[[#This Row],[Employee Name]],Employees[Employee Name2],0)))</f>
        <v/>
      </c>
      <c r="J308" s="19" t="str">
        <f>IF(ISBLANK(JobBonus[[#This Row],[Job Prov]]),"",IF(JobBonus[[#This Row],[Job Prov]]=INDEX(Employees[Province],MATCH(JobBonus[[#This Row],[Employee Name]],Employees[Employee Name2],0)),"No","Yes"))</f>
        <v/>
      </c>
      <c r="K308" s="17"/>
      <c r="L308" s="19"/>
      <c r="M308" s="23"/>
      <c r="N308" s="23"/>
      <c r="O308" s="15"/>
      <c r="P308" s="15"/>
      <c r="Q308" s="15"/>
      <c r="R308" s="15"/>
      <c r="S308" s="44" cm="1">
        <f t="array" ref="S3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8" s="44" cm="1">
        <f t="array" ref="T3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8" s="44">
        <f>JobBonus[[#This Row],[Variable Pay]]+JobBonus[[#This Row],[Crew Efficiency Bonus]]</f>
        <v>0</v>
      </c>
      <c r="V308" s="44" cm="1">
        <f t="array" ref="V3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8" s="44" t="b">
        <f>_xlfn.IFNA(EXACT(VLOOKUP(JobBonus[[#This Row],[Pay Type]],PayTypes[#All],4,FALSE),"Yes"),FALSE)</f>
        <v>0</v>
      </c>
      <c r="X308" s="44" cm="1">
        <f t="array" ref="X308">SUMPRODUCT((StandByRates[Position]=JobBonus[[#This Row],[Position]])*(JobBonus[[#This Row],[Area]]=StandByRates[Area])*(StandByRates[Hourly]*JobBonus[[#This Row],[Standby/ Ext 
Hrs]]))</f>
        <v>0</v>
      </c>
      <c r="Y308" s="44">
        <f>JobBonus[[#This Row],[Variable Pay]]+JobBonus[[#This Row],[Crew Efficiency Bonus]]+JobBonus[[#This Row],[OVPP]]+JobBonus[[#This Row],[StandBy/ Ext Amount]]</f>
        <v>0</v>
      </c>
      <c r="Z308" s="80"/>
      <c r="AA308" s="42"/>
      <c r="AB308" s="42"/>
      <c r="AC308"/>
      <c r="AD308"/>
      <c r="AE308"/>
      <c r="AF308"/>
    </row>
    <row r="309" spans="1:32" hidden="1" x14ac:dyDescent="0.25">
      <c r="A309" s="46"/>
      <c r="B309" s="80"/>
      <c r="C309" s="15"/>
      <c r="D309" s="15"/>
      <c r="E309" s="15"/>
      <c r="F309" s="15"/>
      <c r="G309" s="16"/>
      <c r="H309" s="16"/>
      <c r="I309" s="19" t="str">
        <f>IF(ISBLANK(JobBonus[[#This Row],[Employee Name]]),"",INDEX(Employees[Job Title],MATCH(JobBonus[[#This Row],[Employee Name]],Employees[Employee Name2],0)))</f>
        <v/>
      </c>
      <c r="J309" s="19" t="str">
        <f>IF(ISBLANK(JobBonus[[#This Row],[Job Prov]]),"",IF(JobBonus[[#This Row],[Job Prov]]=INDEX(Employees[Province],MATCH(JobBonus[[#This Row],[Employee Name]],Employees[Employee Name2],0)),"No","Yes"))</f>
        <v/>
      </c>
      <c r="K309" s="17"/>
      <c r="L309" s="19"/>
      <c r="M309" s="23"/>
      <c r="N309" s="23"/>
      <c r="O309" s="15"/>
      <c r="P309" s="15"/>
      <c r="Q309" s="15"/>
      <c r="R309" s="15"/>
      <c r="S309" s="44" cm="1">
        <f t="array" ref="S3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9" s="44" cm="1">
        <f t="array" ref="T3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9" s="44">
        <f>JobBonus[[#This Row],[Variable Pay]]+JobBonus[[#This Row],[Crew Efficiency Bonus]]</f>
        <v>0</v>
      </c>
      <c r="V309" s="44" cm="1">
        <f t="array" ref="V3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9" s="44" t="b">
        <f>_xlfn.IFNA(EXACT(VLOOKUP(JobBonus[[#This Row],[Pay Type]],PayTypes[#All],4,FALSE),"Yes"),FALSE)</f>
        <v>0</v>
      </c>
      <c r="X309" s="44" cm="1">
        <f t="array" ref="X309">SUMPRODUCT((StandByRates[Position]=JobBonus[[#This Row],[Position]])*(JobBonus[[#This Row],[Area]]=StandByRates[Area])*(StandByRates[Hourly]*JobBonus[[#This Row],[Standby/ Ext 
Hrs]]))</f>
        <v>0</v>
      </c>
      <c r="Y309" s="44">
        <f>JobBonus[[#This Row],[Variable Pay]]+JobBonus[[#This Row],[Crew Efficiency Bonus]]+JobBonus[[#This Row],[OVPP]]+JobBonus[[#This Row],[StandBy/ Ext Amount]]</f>
        <v>0</v>
      </c>
      <c r="Z309" s="80"/>
      <c r="AA309" s="42"/>
      <c r="AB309" s="42"/>
      <c r="AC309"/>
      <c r="AD309"/>
      <c r="AE309"/>
      <c r="AF309"/>
    </row>
    <row r="310" spans="1:32" hidden="1" x14ac:dyDescent="0.25">
      <c r="A310" s="46"/>
      <c r="B310" s="80"/>
      <c r="C310" s="15"/>
      <c r="D310" s="15"/>
      <c r="E310" s="15"/>
      <c r="F310" s="15"/>
      <c r="G310" s="16"/>
      <c r="H310" s="16"/>
      <c r="I310" s="19" t="str">
        <f>IF(ISBLANK(JobBonus[[#This Row],[Employee Name]]),"",INDEX(Employees[Job Title],MATCH(JobBonus[[#This Row],[Employee Name]],Employees[Employee Name2],0)))</f>
        <v/>
      </c>
      <c r="J310" s="19" t="str">
        <f>IF(ISBLANK(JobBonus[[#This Row],[Job Prov]]),"",IF(JobBonus[[#This Row],[Job Prov]]=INDEX(Employees[Province],MATCH(JobBonus[[#This Row],[Employee Name]],Employees[Employee Name2],0)),"No","Yes"))</f>
        <v/>
      </c>
      <c r="K310" s="17"/>
      <c r="L310" s="19"/>
      <c r="M310" s="23"/>
      <c r="N310" s="23"/>
      <c r="O310" s="15"/>
      <c r="P310" s="15"/>
      <c r="Q310" s="15"/>
      <c r="R310" s="15"/>
      <c r="S310" s="44" cm="1">
        <f t="array" ref="S3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0" s="44" cm="1">
        <f t="array" ref="T3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0" s="44">
        <f>JobBonus[[#This Row],[Variable Pay]]+JobBonus[[#This Row],[Crew Efficiency Bonus]]</f>
        <v>0</v>
      </c>
      <c r="V310" s="44" cm="1">
        <f t="array" ref="V3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0" s="44" t="b">
        <f>_xlfn.IFNA(EXACT(VLOOKUP(JobBonus[[#This Row],[Pay Type]],PayTypes[#All],4,FALSE),"Yes"),FALSE)</f>
        <v>0</v>
      </c>
      <c r="X310" s="44" cm="1">
        <f t="array" ref="X310">SUMPRODUCT((StandByRates[Position]=JobBonus[[#This Row],[Position]])*(JobBonus[[#This Row],[Area]]=StandByRates[Area])*(StandByRates[Hourly]*JobBonus[[#This Row],[Standby/ Ext 
Hrs]]))</f>
        <v>0</v>
      </c>
      <c r="Y310" s="44">
        <f>JobBonus[[#This Row],[Variable Pay]]+JobBonus[[#This Row],[Crew Efficiency Bonus]]+JobBonus[[#This Row],[OVPP]]+JobBonus[[#This Row],[StandBy/ Ext Amount]]</f>
        <v>0</v>
      </c>
      <c r="Z310" s="80"/>
      <c r="AA310" s="42"/>
      <c r="AB310" s="42"/>
      <c r="AC310"/>
      <c r="AD310"/>
      <c r="AE310"/>
      <c r="AF310"/>
    </row>
    <row r="311" spans="1:32" hidden="1" x14ac:dyDescent="0.25">
      <c r="A311" s="46"/>
      <c r="B311" s="80"/>
      <c r="C311" s="15"/>
      <c r="D311" s="15"/>
      <c r="E311" s="15"/>
      <c r="F311" s="15"/>
      <c r="G311" s="16"/>
      <c r="H311" s="16"/>
      <c r="I311" s="19" t="str">
        <f>IF(ISBLANK(JobBonus[[#This Row],[Employee Name]]),"",INDEX(Employees[Job Title],MATCH(JobBonus[[#This Row],[Employee Name]],Employees[Employee Name2],0)))</f>
        <v/>
      </c>
      <c r="J311" s="19" t="str">
        <f>IF(ISBLANK(JobBonus[[#This Row],[Job Prov]]),"",IF(JobBonus[[#This Row],[Job Prov]]=INDEX(Employees[Province],MATCH(JobBonus[[#This Row],[Employee Name]],Employees[Employee Name2],0)),"No","Yes"))</f>
        <v/>
      </c>
      <c r="K311" s="17"/>
      <c r="L311" s="19"/>
      <c r="M311" s="23"/>
      <c r="N311" s="23"/>
      <c r="O311" s="15"/>
      <c r="P311" s="15"/>
      <c r="Q311" s="15"/>
      <c r="R311" s="15"/>
      <c r="S311" s="44" cm="1">
        <f t="array" ref="S3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1" s="44" cm="1">
        <f t="array" ref="T3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1" s="44">
        <f>JobBonus[[#This Row],[Variable Pay]]+JobBonus[[#This Row],[Crew Efficiency Bonus]]</f>
        <v>0</v>
      </c>
      <c r="V311" s="44" cm="1">
        <f t="array" ref="V3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1" s="44" t="b">
        <f>_xlfn.IFNA(EXACT(VLOOKUP(JobBonus[[#This Row],[Pay Type]],PayTypes[#All],4,FALSE),"Yes"),FALSE)</f>
        <v>0</v>
      </c>
      <c r="X311" s="44" cm="1">
        <f t="array" ref="X311">SUMPRODUCT((StandByRates[Position]=JobBonus[[#This Row],[Position]])*(JobBonus[[#This Row],[Area]]=StandByRates[Area])*(StandByRates[Hourly]*JobBonus[[#This Row],[Standby/ Ext 
Hrs]]))</f>
        <v>0</v>
      </c>
      <c r="Y311" s="44">
        <f>JobBonus[[#This Row],[Variable Pay]]+JobBonus[[#This Row],[Crew Efficiency Bonus]]+JobBonus[[#This Row],[OVPP]]+JobBonus[[#This Row],[StandBy/ Ext Amount]]</f>
        <v>0</v>
      </c>
      <c r="Z311" s="80"/>
      <c r="AA311" s="42"/>
      <c r="AB311" s="42"/>
      <c r="AC311"/>
      <c r="AD311"/>
      <c r="AE311"/>
      <c r="AF311"/>
    </row>
    <row r="312" spans="1:32" hidden="1" x14ac:dyDescent="0.25">
      <c r="A312" s="46"/>
      <c r="B312" s="80"/>
      <c r="C312" s="15"/>
      <c r="D312" s="15"/>
      <c r="E312" s="15"/>
      <c r="F312" s="15"/>
      <c r="G312" s="16"/>
      <c r="H312" s="16"/>
      <c r="I312" s="19" t="str">
        <f>IF(ISBLANK(JobBonus[[#This Row],[Employee Name]]),"",INDEX(Employees[Job Title],MATCH(JobBonus[[#This Row],[Employee Name]],Employees[Employee Name2],0)))</f>
        <v/>
      </c>
      <c r="J312" s="19" t="str">
        <f>IF(ISBLANK(JobBonus[[#This Row],[Job Prov]]),"",IF(JobBonus[[#This Row],[Job Prov]]=INDEX(Employees[Province],MATCH(JobBonus[[#This Row],[Employee Name]],Employees[Employee Name2],0)),"No","Yes"))</f>
        <v/>
      </c>
      <c r="K312" s="17"/>
      <c r="L312" s="19"/>
      <c r="M312" s="23"/>
      <c r="N312" s="23"/>
      <c r="O312" s="15"/>
      <c r="P312" s="15"/>
      <c r="Q312" s="15"/>
      <c r="R312" s="15"/>
      <c r="S312" s="44" cm="1">
        <f t="array" ref="S3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2" s="44" cm="1">
        <f t="array" ref="T3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2" s="44">
        <f>JobBonus[[#This Row],[Variable Pay]]+JobBonus[[#This Row],[Crew Efficiency Bonus]]</f>
        <v>0</v>
      </c>
      <c r="V312" s="44" cm="1">
        <f t="array" ref="V3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2" s="44" t="b">
        <f>_xlfn.IFNA(EXACT(VLOOKUP(JobBonus[[#This Row],[Pay Type]],PayTypes[#All],4,FALSE),"Yes"),FALSE)</f>
        <v>0</v>
      </c>
      <c r="X312" s="44" cm="1">
        <f t="array" ref="X312">SUMPRODUCT((StandByRates[Position]=JobBonus[[#This Row],[Position]])*(JobBonus[[#This Row],[Area]]=StandByRates[Area])*(StandByRates[Hourly]*JobBonus[[#This Row],[Standby/ Ext 
Hrs]]))</f>
        <v>0</v>
      </c>
      <c r="Y312" s="44">
        <f>JobBonus[[#This Row],[Variable Pay]]+JobBonus[[#This Row],[Crew Efficiency Bonus]]+JobBonus[[#This Row],[OVPP]]+JobBonus[[#This Row],[StandBy/ Ext Amount]]</f>
        <v>0</v>
      </c>
      <c r="Z312" s="80"/>
      <c r="AA312" s="42"/>
      <c r="AB312" s="42"/>
      <c r="AC312"/>
      <c r="AD312"/>
      <c r="AE312"/>
      <c r="AF312"/>
    </row>
    <row r="313" spans="1:32" hidden="1" x14ac:dyDescent="0.25">
      <c r="A313" s="46"/>
      <c r="B313" s="80"/>
      <c r="C313" s="15"/>
      <c r="D313" s="15"/>
      <c r="E313" s="15"/>
      <c r="F313" s="15"/>
      <c r="G313" s="16"/>
      <c r="H313" s="16"/>
      <c r="I313" s="19" t="str">
        <f>IF(ISBLANK(JobBonus[[#This Row],[Employee Name]]),"",INDEX(Employees[Job Title],MATCH(JobBonus[[#This Row],[Employee Name]],Employees[Employee Name2],0)))</f>
        <v/>
      </c>
      <c r="J313" s="19" t="str">
        <f>IF(ISBLANK(JobBonus[[#This Row],[Job Prov]]),"",IF(JobBonus[[#This Row],[Job Prov]]=INDEX(Employees[Province],MATCH(JobBonus[[#This Row],[Employee Name]],Employees[Employee Name2],0)),"No","Yes"))</f>
        <v/>
      </c>
      <c r="K313" s="17"/>
      <c r="L313" s="19"/>
      <c r="M313" s="23"/>
      <c r="N313" s="23"/>
      <c r="O313" s="15"/>
      <c r="P313" s="15"/>
      <c r="Q313" s="15"/>
      <c r="R313" s="15"/>
      <c r="S313" s="44" cm="1">
        <f t="array" ref="S3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3" s="44" cm="1">
        <f t="array" ref="T3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3" s="44">
        <f>JobBonus[[#This Row],[Variable Pay]]+JobBonus[[#This Row],[Crew Efficiency Bonus]]</f>
        <v>0</v>
      </c>
      <c r="V313" s="44" cm="1">
        <f t="array" ref="V3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3" s="44" t="b">
        <f>_xlfn.IFNA(EXACT(VLOOKUP(JobBonus[[#This Row],[Pay Type]],PayTypes[#All],4,FALSE),"Yes"),FALSE)</f>
        <v>0</v>
      </c>
      <c r="X313" s="44" cm="1">
        <f t="array" ref="X313">SUMPRODUCT((StandByRates[Position]=JobBonus[[#This Row],[Position]])*(JobBonus[[#This Row],[Area]]=StandByRates[Area])*(StandByRates[Hourly]*JobBonus[[#This Row],[Standby/ Ext 
Hrs]]))</f>
        <v>0</v>
      </c>
      <c r="Y313" s="44">
        <f>JobBonus[[#This Row],[Variable Pay]]+JobBonus[[#This Row],[Crew Efficiency Bonus]]+JobBonus[[#This Row],[OVPP]]+JobBonus[[#This Row],[StandBy/ Ext Amount]]</f>
        <v>0</v>
      </c>
      <c r="Z313" s="80"/>
      <c r="AA313" s="42"/>
      <c r="AB313" s="42"/>
      <c r="AC313"/>
      <c r="AD313"/>
      <c r="AE313"/>
      <c r="AF313"/>
    </row>
    <row r="314" spans="1:32" hidden="1" x14ac:dyDescent="0.25">
      <c r="A314" s="46"/>
      <c r="B314" s="80"/>
      <c r="C314" s="15"/>
      <c r="D314" s="15"/>
      <c r="E314" s="15"/>
      <c r="F314" s="15"/>
      <c r="G314" s="16"/>
      <c r="H314" s="16"/>
      <c r="I314" s="19" t="str">
        <f>IF(ISBLANK(JobBonus[[#This Row],[Employee Name]]),"",INDEX(Employees[Job Title],MATCH(JobBonus[[#This Row],[Employee Name]],Employees[Employee Name2],0)))</f>
        <v/>
      </c>
      <c r="J314" s="19" t="str">
        <f>IF(ISBLANK(JobBonus[[#This Row],[Job Prov]]),"",IF(JobBonus[[#This Row],[Job Prov]]=INDEX(Employees[Province],MATCH(JobBonus[[#This Row],[Employee Name]],Employees[Employee Name2],0)),"No","Yes"))</f>
        <v/>
      </c>
      <c r="K314" s="17"/>
      <c r="L314" s="19"/>
      <c r="M314" s="23"/>
      <c r="N314" s="23"/>
      <c r="O314" s="15"/>
      <c r="P314" s="15"/>
      <c r="Q314" s="15"/>
      <c r="R314" s="15"/>
      <c r="S314" s="44" cm="1">
        <f t="array" ref="S3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4" s="44" cm="1">
        <f t="array" ref="T3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4" s="44">
        <f>JobBonus[[#This Row],[Variable Pay]]+JobBonus[[#This Row],[Crew Efficiency Bonus]]</f>
        <v>0</v>
      </c>
      <c r="V314" s="44" cm="1">
        <f t="array" ref="V3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4" s="44" t="b">
        <f>_xlfn.IFNA(EXACT(VLOOKUP(JobBonus[[#This Row],[Pay Type]],PayTypes[#All],4,FALSE),"Yes"),FALSE)</f>
        <v>0</v>
      </c>
      <c r="X314" s="44" cm="1">
        <f t="array" ref="X314">SUMPRODUCT((StandByRates[Position]=JobBonus[[#This Row],[Position]])*(JobBonus[[#This Row],[Area]]=StandByRates[Area])*(StandByRates[Hourly]*JobBonus[[#This Row],[Standby/ Ext 
Hrs]]))</f>
        <v>0</v>
      </c>
      <c r="Y314" s="44">
        <f>JobBonus[[#This Row],[Variable Pay]]+JobBonus[[#This Row],[Crew Efficiency Bonus]]+JobBonus[[#This Row],[OVPP]]+JobBonus[[#This Row],[StandBy/ Ext Amount]]</f>
        <v>0</v>
      </c>
      <c r="Z314" s="80"/>
      <c r="AA314" s="42"/>
      <c r="AB314" s="42"/>
      <c r="AC314"/>
      <c r="AD314"/>
      <c r="AE314"/>
      <c r="AF314"/>
    </row>
    <row r="315" spans="1:32" hidden="1" x14ac:dyDescent="0.25">
      <c r="A315" s="46"/>
      <c r="B315" s="80"/>
      <c r="C315" s="15"/>
      <c r="D315" s="15"/>
      <c r="E315" s="15"/>
      <c r="F315" s="15"/>
      <c r="G315" s="16"/>
      <c r="H315" s="16"/>
      <c r="I315" s="19" t="str">
        <f>IF(ISBLANK(JobBonus[[#This Row],[Employee Name]]),"",INDEX(Employees[Job Title],MATCH(JobBonus[[#This Row],[Employee Name]],Employees[Employee Name2],0)))</f>
        <v/>
      </c>
      <c r="J315" s="19" t="str">
        <f>IF(ISBLANK(JobBonus[[#This Row],[Job Prov]]),"",IF(JobBonus[[#This Row],[Job Prov]]=INDEX(Employees[Province],MATCH(JobBonus[[#This Row],[Employee Name]],Employees[Employee Name2],0)),"No","Yes"))</f>
        <v/>
      </c>
      <c r="K315" s="17"/>
      <c r="L315" s="19"/>
      <c r="M315" s="23"/>
      <c r="N315" s="23"/>
      <c r="O315" s="15"/>
      <c r="P315" s="15"/>
      <c r="Q315" s="15"/>
      <c r="R315" s="15"/>
      <c r="S315" s="44" cm="1">
        <f t="array" ref="S3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5" s="44" cm="1">
        <f t="array" ref="T3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5" s="44">
        <f>JobBonus[[#This Row],[Variable Pay]]+JobBonus[[#This Row],[Crew Efficiency Bonus]]</f>
        <v>0</v>
      </c>
      <c r="V315" s="44" cm="1">
        <f t="array" ref="V3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5" s="44" t="b">
        <f>_xlfn.IFNA(EXACT(VLOOKUP(JobBonus[[#This Row],[Pay Type]],PayTypes[#All],4,FALSE),"Yes"),FALSE)</f>
        <v>0</v>
      </c>
      <c r="X315" s="44" cm="1">
        <f t="array" ref="X315">SUMPRODUCT((StandByRates[Position]=JobBonus[[#This Row],[Position]])*(JobBonus[[#This Row],[Area]]=StandByRates[Area])*(StandByRates[Hourly]*JobBonus[[#This Row],[Standby/ Ext 
Hrs]]))</f>
        <v>0</v>
      </c>
      <c r="Y315" s="44">
        <f>JobBonus[[#This Row],[Variable Pay]]+JobBonus[[#This Row],[Crew Efficiency Bonus]]+JobBonus[[#This Row],[OVPP]]+JobBonus[[#This Row],[StandBy/ Ext Amount]]</f>
        <v>0</v>
      </c>
      <c r="Z315" s="80"/>
      <c r="AA315" s="42"/>
      <c r="AB315" s="42"/>
      <c r="AC315"/>
      <c r="AD315"/>
      <c r="AE315"/>
      <c r="AF315"/>
    </row>
    <row r="316" spans="1:32" hidden="1" x14ac:dyDescent="0.25">
      <c r="A316" s="46"/>
      <c r="B316" s="80"/>
      <c r="C316" s="15"/>
      <c r="D316" s="15"/>
      <c r="E316" s="15"/>
      <c r="F316" s="15"/>
      <c r="G316" s="16"/>
      <c r="H316" s="16"/>
      <c r="I316" s="19" t="str">
        <f>IF(ISBLANK(JobBonus[[#This Row],[Employee Name]]),"",INDEX(Employees[Job Title],MATCH(JobBonus[[#This Row],[Employee Name]],Employees[Employee Name2],0)))</f>
        <v/>
      </c>
      <c r="J316" s="19" t="str">
        <f>IF(ISBLANK(JobBonus[[#This Row],[Job Prov]]),"",IF(JobBonus[[#This Row],[Job Prov]]=INDEX(Employees[Province],MATCH(JobBonus[[#This Row],[Employee Name]],Employees[Employee Name2],0)),"No","Yes"))</f>
        <v/>
      </c>
      <c r="K316" s="17"/>
      <c r="L316" s="19"/>
      <c r="M316" s="23"/>
      <c r="N316" s="23"/>
      <c r="O316" s="15"/>
      <c r="P316" s="15"/>
      <c r="Q316" s="15"/>
      <c r="R316" s="15"/>
      <c r="S316" s="44" cm="1">
        <f t="array" ref="S3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6" s="44" cm="1">
        <f t="array" ref="T3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6" s="44">
        <f>JobBonus[[#This Row],[Variable Pay]]+JobBonus[[#This Row],[Crew Efficiency Bonus]]</f>
        <v>0</v>
      </c>
      <c r="V316" s="44" cm="1">
        <f t="array" ref="V3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6" s="44" t="b">
        <f>_xlfn.IFNA(EXACT(VLOOKUP(JobBonus[[#This Row],[Pay Type]],PayTypes[#All],4,FALSE),"Yes"),FALSE)</f>
        <v>0</v>
      </c>
      <c r="X316" s="44" cm="1">
        <f t="array" ref="X316">SUMPRODUCT((StandByRates[Position]=JobBonus[[#This Row],[Position]])*(JobBonus[[#This Row],[Area]]=StandByRates[Area])*(StandByRates[Hourly]*JobBonus[[#This Row],[Standby/ Ext 
Hrs]]))</f>
        <v>0</v>
      </c>
      <c r="Y316" s="44">
        <f>JobBonus[[#This Row],[Variable Pay]]+JobBonus[[#This Row],[Crew Efficiency Bonus]]+JobBonus[[#This Row],[OVPP]]+JobBonus[[#This Row],[StandBy/ Ext Amount]]</f>
        <v>0</v>
      </c>
      <c r="Z316" s="80"/>
      <c r="AA316" s="42"/>
      <c r="AB316" s="42"/>
      <c r="AC316"/>
      <c r="AD316"/>
      <c r="AE316"/>
      <c r="AF316"/>
    </row>
    <row r="317" spans="1:32" hidden="1" x14ac:dyDescent="0.25">
      <c r="A317" s="46"/>
      <c r="B317" s="80"/>
      <c r="C317" s="15"/>
      <c r="D317" s="15"/>
      <c r="E317" s="15"/>
      <c r="F317" s="15"/>
      <c r="G317" s="16"/>
      <c r="H317" s="16"/>
      <c r="I317" s="19" t="str">
        <f>IF(ISBLANK(JobBonus[[#This Row],[Employee Name]]),"",INDEX(Employees[Job Title],MATCH(JobBonus[[#This Row],[Employee Name]],Employees[Employee Name2],0)))</f>
        <v/>
      </c>
      <c r="J317" s="19" t="str">
        <f>IF(ISBLANK(JobBonus[[#This Row],[Job Prov]]),"",IF(JobBonus[[#This Row],[Job Prov]]=INDEX(Employees[Province],MATCH(JobBonus[[#This Row],[Employee Name]],Employees[Employee Name2],0)),"No","Yes"))</f>
        <v/>
      </c>
      <c r="K317" s="17"/>
      <c r="L317" s="19"/>
      <c r="M317" s="23"/>
      <c r="N317" s="23"/>
      <c r="O317" s="15"/>
      <c r="P317" s="15"/>
      <c r="Q317" s="15"/>
      <c r="R317" s="15"/>
      <c r="S317" s="44" cm="1">
        <f t="array" ref="S3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7" s="44" cm="1">
        <f t="array" ref="T3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7" s="44">
        <f>JobBonus[[#This Row],[Variable Pay]]+JobBonus[[#This Row],[Crew Efficiency Bonus]]</f>
        <v>0</v>
      </c>
      <c r="V317" s="44" cm="1">
        <f t="array" ref="V3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7" s="44" t="b">
        <f>_xlfn.IFNA(EXACT(VLOOKUP(JobBonus[[#This Row],[Pay Type]],PayTypes[#All],4,FALSE),"Yes"),FALSE)</f>
        <v>0</v>
      </c>
      <c r="X317" s="44" cm="1">
        <f t="array" ref="X317">SUMPRODUCT((StandByRates[Position]=JobBonus[[#This Row],[Position]])*(JobBonus[[#This Row],[Area]]=StandByRates[Area])*(StandByRates[Hourly]*JobBonus[[#This Row],[Standby/ Ext 
Hrs]]))</f>
        <v>0</v>
      </c>
      <c r="Y317" s="44">
        <f>JobBonus[[#This Row],[Variable Pay]]+JobBonus[[#This Row],[Crew Efficiency Bonus]]+JobBonus[[#This Row],[OVPP]]+JobBonus[[#This Row],[StandBy/ Ext Amount]]</f>
        <v>0</v>
      </c>
      <c r="Z317" s="80"/>
      <c r="AA317" s="42"/>
      <c r="AB317" s="42"/>
      <c r="AC317"/>
      <c r="AD317"/>
      <c r="AE317"/>
      <c r="AF317"/>
    </row>
    <row r="318" spans="1:32" hidden="1" x14ac:dyDescent="0.25">
      <c r="A318" s="46"/>
      <c r="B318" s="80"/>
      <c r="C318" s="15"/>
      <c r="D318" s="15"/>
      <c r="E318" s="15"/>
      <c r="F318" s="15"/>
      <c r="G318" s="16"/>
      <c r="H318" s="16"/>
      <c r="I318" s="19" t="str">
        <f>IF(ISBLANK(JobBonus[[#This Row],[Employee Name]]),"",INDEX(Employees[Job Title],MATCH(JobBonus[[#This Row],[Employee Name]],Employees[Employee Name2],0)))</f>
        <v/>
      </c>
      <c r="J318" s="19" t="str">
        <f>IF(ISBLANK(JobBonus[[#This Row],[Job Prov]]),"",IF(JobBonus[[#This Row],[Job Prov]]=INDEX(Employees[Province],MATCH(JobBonus[[#This Row],[Employee Name]],Employees[Employee Name2],0)),"No","Yes"))</f>
        <v/>
      </c>
      <c r="K318" s="17"/>
      <c r="L318" s="19"/>
      <c r="M318" s="23"/>
      <c r="N318" s="23"/>
      <c r="O318" s="15"/>
      <c r="P318" s="15"/>
      <c r="Q318" s="15"/>
      <c r="R318" s="15"/>
      <c r="S318" s="44" cm="1">
        <f t="array" ref="S3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8" s="44" cm="1">
        <f t="array" ref="T3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8" s="44">
        <f>JobBonus[[#This Row],[Variable Pay]]+JobBonus[[#This Row],[Crew Efficiency Bonus]]</f>
        <v>0</v>
      </c>
      <c r="V318" s="44" cm="1">
        <f t="array" ref="V3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8" s="44" t="b">
        <f>_xlfn.IFNA(EXACT(VLOOKUP(JobBonus[[#This Row],[Pay Type]],PayTypes[#All],4,FALSE),"Yes"),FALSE)</f>
        <v>0</v>
      </c>
      <c r="X318" s="44" cm="1">
        <f t="array" ref="X318">SUMPRODUCT((StandByRates[Position]=JobBonus[[#This Row],[Position]])*(JobBonus[[#This Row],[Area]]=StandByRates[Area])*(StandByRates[Hourly]*JobBonus[[#This Row],[Standby/ Ext 
Hrs]]))</f>
        <v>0</v>
      </c>
      <c r="Y318" s="44">
        <f>JobBonus[[#This Row],[Variable Pay]]+JobBonus[[#This Row],[Crew Efficiency Bonus]]+JobBonus[[#This Row],[OVPP]]+JobBonus[[#This Row],[StandBy/ Ext Amount]]</f>
        <v>0</v>
      </c>
      <c r="Z318" s="80"/>
      <c r="AA318" s="42"/>
      <c r="AB318" s="42"/>
      <c r="AC318"/>
      <c r="AD318"/>
      <c r="AE318"/>
      <c r="AF318"/>
    </row>
    <row r="319" spans="1:32" hidden="1" x14ac:dyDescent="0.25">
      <c r="A319" s="46"/>
      <c r="B319" s="80"/>
      <c r="C319" s="15"/>
      <c r="D319" s="15"/>
      <c r="E319" s="15"/>
      <c r="F319" s="15"/>
      <c r="G319" s="16"/>
      <c r="H319" s="16"/>
      <c r="I319" s="19" t="str">
        <f>IF(ISBLANK(JobBonus[[#This Row],[Employee Name]]),"",INDEX(Employees[Job Title],MATCH(JobBonus[[#This Row],[Employee Name]],Employees[Employee Name2],0)))</f>
        <v/>
      </c>
      <c r="J319" s="19" t="str">
        <f>IF(ISBLANK(JobBonus[[#This Row],[Job Prov]]),"",IF(JobBonus[[#This Row],[Job Prov]]=INDEX(Employees[Province],MATCH(JobBonus[[#This Row],[Employee Name]],Employees[Employee Name2],0)),"No","Yes"))</f>
        <v/>
      </c>
      <c r="K319" s="17"/>
      <c r="L319" s="19"/>
      <c r="M319" s="23"/>
      <c r="N319" s="23"/>
      <c r="O319" s="15"/>
      <c r="P319" s="15"/>
      <c r="Q319" s="15"/>
      <c r="R319" s="15"/>
      <c r="S319" s="44" cm="1">
        <f t="array" ref="S3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9" s="44" cm="1">
        <f t="array" ref="T3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9" s="44">
        <f>JobBonus[[#This Row],[Variable Pay]]+JobBonus[[#This Row],[Crew Efficiency Bonus]]</f>
        <v>0</v>
      </c>
      <c r="V319" s="44" cm="1">
        <f t="array" ref="V3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9" s="44" t="b">
        <f>_xlfn.IFNA(EXACT(VLOOKUP(JobBonus[[#This Row],[Pay Type]],PayTypes[#All],4,FALSE),"Yes"),FALSE)</f>
        <v>0</v>
      </c>
      <c r="X319" s="44" cm="1">
        <f t="array" ref="X319">SUMPRODUCT((StandByRates[Position]=JobBonus[[#This Row],[Position]])*(JobBonus[[#This Row],[Area]]=StandByRates[Area])*(StandByRates[Hourly]*JobBonus[[#This Row],[Standby/ Ext 
Hrs]]))</f>
        <v>0</v>
      </c>
      <c r="Y319" s="44">
        <f>JobBonus[[#This Row],[Variable Pay]]+JobBonus[[#This Row],[Crew Efficiency Bonus]]+JobBonus[[#This Row],[OVPP]]+JobBonus[[#This Row],[StandBy/ Ext Amount]]</f>
        <v>0</v>
      </c>
      <c r="Z319" s="80"/>
      <c r="AA319" s="42"/>
      <c r="AB319" s="42"/>
      <c r="AC319"/>
      <c r="AD319"/>
      <c r="AE319"/>
      <c r="AF319"/>
    </row>
    <row r="320" spans="1:32" hidden="1" x14ac:dyDescent="0.25">
      <c r="A320" s="46"/>
      <c r="B320" s="80"/>
      <c r="C320" s="15"/>
      <c r="D320" s="15"/>
      <c r="E320" s="15"/>
      <c r="F320" s="15"/>
      <c r="G320" s="16"/>
      <c r="H320" s="16"/>
      <c r="I320" s="19" t="str">
        <f>IF(ISBLANK(JobBonus[[#This Row],[Employee Name]]),"",INDEX(Employees[Job Title],MATCH(JobBonus[[#This Row],[Employee Name]],Employees[Employee Name2],0)))</f>
        <v/>
      </c>
      <c r="J320" s="19" t="str">
        <f>IF(ISBLANK(JobBonus[[#This Row],[Job Prov]]),"",IF(JobBonus[[#This Row],[Job Prov]]=INDEX(Employees[Province],MATCH(JobBonus[[#This Row],[Employee Name]],Employees[Employee Name2],0)),"No","Yes"))</f>
        <v/>
      </c>
      <c r="K320" s="17"/>
      <c r="L320" s="19"/>
      <c r="M320" s="23"/>
      <c r="N320" s="23"/>
      <c r="O320" s="15"/>
      <c r="P320" s="15"/>
      <c r="Q320" s="15"/>
      <c r="R320" s="15"/>
      <c r="S320" s="44" cm="1">
        <f t="array" ref="S3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0" s="44" cm="1">
        <f t="array" ref="T3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0" s="44">
        <f>JobBonus[[#This Row],[Variable Pay]]+JobBonus[[#This Row],[Crew Efficiency Bonus]]</f>
        <v>0</v>
      </c>
      <c r="V320" s="44" cm="1">
        <f t="array" ref="V3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0" s="44" t="b">
        <f>_xlfn.IFNA(EXACT(VLOOKUP(JobBonus[[#This Row],[Pay Type]],PayTypes[#All],4,FALSE),"Yes"),FALSE)</f>
        <v>0</v>
      </c>
      <c r="X320" s="44" cm="1">
        <f t="array" ref="X320">SUMPRODUCT((StandByRates[Position]=JobBonus[[#This Row],[Position]])*(JobBonus[[#This Row],[Area]]=StandByRates[Area])*(StandByRates[Hourly]*JobBonus[[#This Row],[Standby/ Ext 
Hrs]]))</f>
        <v>0</v>
      </c>
      <c r="Y320" s="44">
        <f>JobBonus[[#This Row],[Variable Pay]]+JobBonus[[#This Row],[Crew Efficiency Bonus]]+JobBonus[[#This Row],[OVPP]]+JobBonus[[#This Row],[StandBy/ Ext Amount]]</f>
        <v>0</v>
      </c>
      <c r="Z320" s="80"/>
      <c r="AA320" s="42"/>
      <c r="AB320" s="42"/>
      <c r="AC320"/>
      <c r="AD320"/>
      <c r="AE320"/>
      <c r="AF320"/>
    </row>
    <row r="321" spans="1:32" hidden="1" x14ac:dyDescent="0.25">
      <c r="A321" s="46"/>
      <c r="B321" s="80"/>
      <c r="C321" s="15"/>
      <c r="D321" s="15"/>
      <c r="E321" s="15"/>
      <c r="F321" s="15"/>
      <c r="G321" s="16"/>
      <c r="H321" s="16"/>
      <c r="I321" s="19" t="str">
        <f>IF(ISBLANK(JobBonus[[#This Row],[Employee Name]]),"",INDEX(Employees[Job Title],MATCH(JobBonus[[#This Row],[Employee Name]],Employees[Employee Name2],0)))</f>
        <v/>
      </c>
      <c r="J321" s="19" t="str">
        <f>IF(ISBLANK(JobBonus[[#This Row],[Job Prov]]),"",IF(JobBonus[[#This Row],[Job Prov]]=INDEX(Employees[Province],MATCH(JobBonus[[#This Row],[Employee Name]],Employees[Employee Name2],0)),"No","Yes"))</f>
        <v/>
      </c>
      <c r="K321" s="17"/>
      <c r="L321" s="19"/>
      <c r="M321" s="23"/>
      <c r="N321" s="23"/>
      <c r="O321" s="15"/>
      <c r="P321" s="15"/>
      <c r="Q321" s="15"/>
      <c r="R321" s="15"/>
      <c r="S321" s="44" cm="1">
        <f t="array" ref="S3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1" s="44" cm="1">
        <f t="array" ref="T3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1" s="44">
        <f>JobBonus[[#This Row],[Variable Pay]]+JobBonus[[#This Row],[Crew Efficiency Bonus]]</f>
        <v>0</v>
      </c>
      <c r="V321" s="44" cm="1">
        <f t="array" ref="V3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1" s="44" t="b">
        <f>_xlfn.IFNA(EXACT(VLOOKUP(JobBonus[[#This Row],[Pay Type]],PayTypes[#All],4,FALSE),"Yes"),FALSE)</f>
        <v>0</v>
      </c>
      <c r="X321" s="44" cm="1">
        <f t="array" ref="X321">SUMPRODUCT((StandByRates[Position]=JobBonus[[#This Row],[Position]])*(JobBonus[[#This Row],[Area]]=StandByRates[Area])*(StandByRates[Hourly]*JobBonus[[#This Row],[Standby/ Ext 
Hrs]]))</f>
        <v>0</v>
      </c>
      <c r="Y321" s="44">
        <f>JobBonus[[#This Row],[Variable Pay]]+JobBonus[[#This Row],[Crew Efficiency Bonus]]+JobBonus[[#This Row],[OVPP]]+JobBonus[[#This Row],[StandBy/ Ext Amount]]</f>
        <v>0</v>
      </c>
      <c r="Z321" s="80"/>
      <c r="AA321" s="42"/>
      <c r="AB321" s="42"/>
      <c r="AC321"/>
      <c r="AD321"/>
      <c r="AE321"/>
      <c r="AF321"/>
    </row>
    <row r="322" spans="1:32" hidden="1" x14ac:dyDescent="0.25">
      <c r="A322" s="46"/>
      <c r="B322" s="80"/>
      <c r="C322" s="15"/>
      <c r="D322" s="15"/>
      <c r="E322" s="15"/>
      <c r="F322" s="15"/>
      <c r="G322" s="16"/>
      <c r="H322" s="16"/>
      <c r="I322" s="19" t="str">
        <f>IF(ISBLANK(JobBonus[[#This Row],[Employee Name]]),"",INDEX(Employees[Job Title],MATCH(JobBonus[[#This Row],[Employee Name]],Employees[Employee Name2],0)))</f>
        <v/>
      </c>
      <c r="J322" s="19" t="str">
        <f>IF(ISBLANK(JobBonus[[#This Row],[Job Prov]]),"",IF(JobBonus[[#This Row],[Job Prov]]=INDEX(Employees[Province],MATCH(JobBonus[[#This Row],[Employee Name]],Employees[Employee Name2],0)),"No","Yes"))</f>
        <v/>
      </c>
      <c r="K322" s="17"/>
      <c r="L322" s="19"/>
      <c r="M322" s="23"/>
      <c r="N322" s="23"/>
      <c r="O322" s="15"/>
      <c r="P322" s="15"/>
      <c r="Q322" s="15"/>
      <c r="R322" s="15"/>
      <c r="S322" s="44" cm="1">
        <f t="array" ref="S3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2" s="44" cm="1">
        <f t="array" ref="T3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2" s="44">
        <f>JobBonus[[#This Row],[Variable Pay]]+JobBonus[[#This Row],[Crew Efficiency Bonus]]</f>
        <v>0</v>
      </c>
      <c r="V322" s="44" cm="1">
        <f t="array" ref="V3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2" s="44" t="b">
        <f>_xlfn.IFNA(EXACT(VLOOKUP(JobBonus[[#This Row],[Pay Type]],PayTypes[#All],4,FALSE),"Yes"),FALSE)</f>
        <v>0</v>
      </c>
      <c r="X322" s="44" cm="1">
        <f t="array" ref="X322">SUMPRODUCT((StandByRates[Position]=JobBonus[[#This Row],[Position]])*(JobBonus[[#This Row],[Area]]=StandByRates[Area])*(StandByRates[Hourly]*JobBonus[[#This Row],[Standby/ Ext 
Hrs]]))</f>
        <v>0</v>
      </c>
      <c r="Y322" s="44">
        <f>JobBonus[[#This Row],[Variable Pay]]+JobBonus[[#This Row],[Crew Efficiency Bonus]]+JobBonus[[#This Row],[OVPP]]+JobBonus[[#This Row],[StandBy/ Ext Amount]]</f>
        <v>0</v>
      </c>
      <c r="Z322" s="80"/>
      <c r="AA322" s="42"/>
      <c r="AB322" s="42"/>
      <c r="AC322"/>
      <c r="AD322"/>
      <c r="AE322"/>
      <c r="AF322"/>
    </row>
    <row r="323" spans="1:32" hidden="1" x14ac:dyDescent="0.25">
      <c r="A323" s="46"/>
      <c r="B323" s="80"/>
      <c r="C323" s="15"/>
      <c r="D323" s="15"/>
      <c r="E323" s="15"/>
      <c r="F323" s="15"/>
      <c r="G323" s="16"/>
      <c r="H323" s="16"/>
      <c r="I323" s="19" t="str">
        <f>IF(ISBLANK(JobBonus[[#This Row],[Employee Name]]),"",INDEX(Employees[Job Title],MATCH(JobBonus[[#This Row],[Employee Name]],Employees[Employee Name2],0)))</f>
        <v/>
      </c>
      <c r="J323" s="19" t="str">
        <f>IF(ISBLANK(JobBonus[[#This Row],[Job Prov]]),"",IF(JobBonus[[#This Row],[Job Prov]]=INDEX(Employees[Province],MATCH(JobBonus[[#This Row],[Employee Name]],Employees[Employee Name2],0)),"No","Yes"))</f>
        <v/>
      </c>
      <c r="K323" s="17"/>
      <c r="L323" s="19"/>
      <c r="M323" s="23"/>
      <c r="N323" s="23"/>
      <c r="O323" s="15"/>
      <c r="P323" s="15"/>
      <c r="Q323" s="15"/>
      <c r="R323" s="15"/>
      <c r="S323" s="44" cm="1">
        <f t="array" ref="S3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3" s="44" cm="1">
        <f t="array" ref="T3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3" s="44">
        <f>JobBonus[[#This Row],[Variable Pay]]+JobBonus[[#This Row],[Crew Efficiency Bonus]]</f>
        <v>0</v>
      </c>
      <c r="V323" s="44" cm="1">
        <f t="array" ref="V3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3" s="44" t="b">
        <f>_xlfn.IFNA(EXACT(VLOOKUP(JobBonus[[#This Row],[Pay Type]],PayTypes[#All],4,FALSE),"Yes"),FALSE)</f>
        <v>0</v>
      </c>
      <c r="X323" s="44" cm="1">
        <f t="array" ref="X323">SUMPRODUCT((StandByRates[Position]=JobBonus[[#This Row],[Position]])*(JobBonus[[#This Row],[Area]]=StandByRates[Area])*(StandByRates[Hourly]*JobBonus[[#This Row],[Standby/ Ext 
Hrs]]))</f>
        <v>0</v>
      </c>
      <c r="Y323" s="44">
        <f>JobBonus[[#This Row],[Variable Pay]]+JobBonus[[#This Row],[Crew Efficiency Bonus]]+JobBonus[[#This Row],[OVPP]]+JobBonus[[#This Row],[StandBy/ Ext Amount]]</f>
        <v>0</v>
      </c>
      <c r="Z323" s="80"/>
      <c r="AA323" s="42"/>
      <c r="AB323" s="42"/>
      <c r="AC323"/>
      <c r="AD323"/>
      <c r="AE323"/>
      <c r="AF323"/>
    </row>
    <row r="324" spans="1:32" hidden="1" x14ac:dyDescent="0.25">
      <c r="A324" s="46"/>
      <c r="B324" s="80"/>
      <c r="C324" s="15"/>
      <c r="D324" s="15"/>
      <c r="E324" s="15"/>
      <c r="F324" s="15"/>
      <c r="G324" s="16"/>
      <c r="H324" s="16"/>
      <c r="I324" s="19" t="str">
        <f>IF(ISBLANK(JobBonus[[#This Row],[Employee Name]]),"",INDEX(Employees[Job Title],MATCH(JobBonus[[#This Row],[Employee Name]],Employees[Employee Name2],0)))</f>
        <v/>
      </c>
      <c r="J324" s="19" t="str">
        <f>IF(ISBLANK(JobBonus[[#This Row],[Job Prov]]),"",IF(JobBonus[[#This Row],[Job Prov]]=INDEX(Employees[Province],MATCH(JobBonus[[#This Row],[Employee Name]],Employees[Employee Name2],0)),"No","Yes"))</f>
        <v/>
      </c>
      <c r="K324" s="17"/>
      <c r="L324" s="19"/>
      <c r="M324" s="23"/>
      <c r="N324" s="23"/>
      <c r="O324" s="15"/>
      <c r="P324" s="15"/>
      <c r="Q324" s="15"/>
      <c r="R324" s="15"/>
      <c r="S324" s="44" cm="1">
        <f t="array" ref="S3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4" s="44" cm="1">
        <f t="array" ref="T3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4" s="44">
        <f>JobBonus[[#This Row],[Variable Pay]]+JobBonus[[#This Row],[Crew Efficiency Bonus]]</f>
        <v>0</v>
      </c>
      <c r="V324" s="44" cm="1">
        <f t="array" ref="V3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4" s="44" t="b">
        <f>_xlfn.IFNA(EXACT(VLOOKUP(JobBonus[[#This Row],[Pay Type]],PayTypes[#All],4,FALSE),"Yes"),FALSE)</f>
        <v>0</v>
      </c>
      <c r="X324" s="44" cm="1">
        <f t="array" ref="X324">SUMPRODUCT((StandByRates[Position]=JobBonus[[#This Row],[Position]])*(JobBonus[[#This Row],[Area]]=StandByRates[Area])*(StandByRates[Hourly]*JobBonus[[#This Row],[Standby/ Ext 
Hrs]]))</f>
        <v>0</v>
      </c>
      <c r="Y324" s="44">
        <f>JobBonus[[#This Row],[Variable Pay]]+JobBonus[[#This Row],[Crew Efficiency Bonus]]+JobBonus[[#This Row],[OVPP]]+JobBonus[[#This Row],[StandBy/ Ext Amount]]</f>
        <v>0</v>
      </c>
      <c r="Z324" s="80"/>
      <c r="AA324" s="42"/>
      <c r="AB324" s="42"/>
      <c r="AC324"/>
      <c r="AD324"/>
      <c r="AE324"/>
      <c r="AF324"/>
    </row>
    <row r="325" spans="1:32" hidden="1" x14ac:dyDescent="0.25">
      <c r="A325" s="46"/>
      <c r="B325" s="80"/>
      <c r="C325" s="15"/>
      <c r="D325" s="15"/>
      <c r="E325" s="15"/>
      <c r="F325" s="15"/>
      <c r="G325" s="16"/>
      <c r="H325" s="16"/>
      <c r="I325" s="19" t="str">
        <f>IF(ISBLANK(JobBonus[[#This Row],[Employee Name]]),"",INDEX(Employees[Job Title],MATCH(JobBonus[[#This Row],[Employee Name]],Employees[Employee Name2],0)))</f>
        <v/>
      </c>
      <c r="J325" s="19" t="str">
        <f>IF(ISBLANK(JobBonus[[#This Row],[Job Prov]]),"",IF(JobBonus[[#This Row],[Job Prov]]=INDEX(Employees[Province],MATCH(JobBonus[[#This Row],[Employee Name]],Employees[Employee Name2],0)),"No","Yes"))</f>
        <v/>
      </c>
      <c r="K325" s="17"/>
      <c r="L325" s="19"/>
      <c r="M325" s="23"/>
      <c r="N325" s="23"/>
      <c r="O325" s="15"/>
      <c r="P325" s="15"/>
      <c r="Q325" s="15"/>
      <c r="R325" s="15"/>
      <c r="S325" s="44" cm="1">
        <f t="array" ref="S3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5" s="44" cm="1">
        <f t="array" ref="T3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5" s="44">
        <f>JobBonus[[#This Row],[Variable Pay]]+JobBonus[[#This Row],[Crew Efficiency Bonus]]</f>
        <v>0</v>
      </c>
      <c r="V325" s="44" cm="1">
        <f t="array" ref="V3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5" s="44" t="b">
        <f>_xlfn.IFNA(EXACT(VLOOKUP(JobBonus[[#This Row],[Pay Type]],PayTypes[#All],4,FALSE),"Yes"),FALSE)</f>
        <v>0</v>
      </c>
      <c r="X325" s="44" cm="1">
        <f t="array" ref="X325">SUMPRODUCT((StandByRates[Position]=JobBonus[[#This Row],[Position]])*(JobBonus[[#This Row],[Area]]=StandByRates[Area])*(StandByRates[Hourly]*JobBonus[[#This Row],[Standby/ Ext 
Hrs]]))</f>
        <v>0</v>
      </c>
      <c r="Y325" s="44">
        <f>JobBonus[[#This Row],[Variable Pay]]+JobBonus[[#This Row],[Crew Efficiency Bonus]]+JobBonus[[#This Row],[OVPP]]+JobBonus[[#This Row],[StandBy/ Ext Amount]]</f>
        <v>0</v>
      </c>
      <c r="Z325" s="80"/>
      <c r="AA325" s="42"/>
      <c r="AB325" s="42"/>
      <c r="AC325"/>
      <c r="AD325"/>
      <c r="AE325"/>
      <c r="AF325"/>
    </row>
    <row r="326" spans="1:32" hidden="1" x14ac:dyDescent="0.25">
      <c r="A326" s="46"/>
      <c r="B326" s="80"/>
      <c r="C326" s="15"/>
      <c r="D326" s="15"/>
      <c r="E326" s="15"/>
      <c r="F326" s="15"/>
      <c r="G326" s="16"/>
      <c r="H326" s="16"/>
      <c r="I326" s="19" t="str">
        <f>IF(ISBLANK(JobBonus[[#This Row],[Employee Name]]),"",INDEX(Employees[Job Title],MATCH(JobBonus[[#This Row],[Employee Name]],Employees[Employee Name2],0)))</f>
        <v/>
      </c>
      <c r="J326" s="19" t="str">
        <f>IF(ISBLANK(JobBonus[[#This Row],[Job Prov]]),"",IF(JobBonus[[#This Row],[Job Prov]]=INDEX(Employees[Province],MATCH(JobBonus[[#This Row],[Employee Name]],Employees[Employee Name2],0)),"No","Yes"))</f>
        <v/>
      </c>
      <c r="K326" s="17"/>
      <c r="L326" s="19"/>
      <c r="M326" s="23"/>
      <c r="N326" s="23"/>
      <c r="O326" s="15"/>
      <c r="P326" s="15"/>
      <c r="Q326" s="15"/>
      <c r="R326" s="15"/>
      <c r="S326" s="44" cm="1">
        <f t="array" ref="S3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6" s="44" cm="1">
        <f t="array" ref="T3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6" s="44">
        <f>JobBonus[[#This Row],[Variable Pay]]+JobBonus[[#This Row],[Crew Efficiency Bonus]]</f>
        <v>0</v>
      </c>
      <c r="V326" s="44" cm="1">
        <f t="array" ref="V3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6" s="44" t="b">
        <f>_xlfn.IFNA(EXACT(VLOOKUP(JobBonus[[#This Row],[Pay Type]],PayTypes[#All],4,FALSE),"Yes"),FALSE)</f>
        <v>0</v>
      </c>
      <c r="X326" s="44" cm="1">
        <f t="array" ref="X326">SUMPRODUCT((StandByRates[Position]=JobBonus[[#This Row],[Position]])*(JobBonus[[#This Row],[Area]]=StandByRates[Area])*(StandByRates[Hourly]*JobBonus[[#This Row],[Standby/ Ext 
Hrs]]))</f>
        <v>0</v>
      </c>
      <c r="Y326" s="44">
        <f>JobBonus[[#This Row],[Variable Pay]]+JobBonus[[#This Row],[Crew Efficiency Bonus]]+JobBonus[[#This Row],[OVPP]]+JobBonus[[#This Row],[StandBy/ Ext Amount]]</f>
        <v>0</v>
      </c>
      <c r="Z326" s="80"/>
      <c r="AA326" s="42"/>
      <c r="AB326" s="42"/>
      <c r="AC326"/>
      <c r="AD326"/>
      <c r="AE326"/>
      <c r="AF326"/>
    </row>
    <row r="327" spans="1:32" hidden="1" x14ac:dyDescent="0.25">
      <c r="A327" s="46"/>
      <c r="B327" s="80"/>
      <c r="C327" s="15"/>
      <c r="D327" s="15"/>
      <c r="E327" s="15"/>
      <c r="F327" s="15"/>
      <c r="G327" s="16"/>
      <c r="H327" s="16"/>
      <c r="I327" s="19" t="str">
        <f>IF(ISBLANK(JobBonus[[#This Row],[Employee Name]]),"",INDEX(Employees[Job Title],MATCH(JobBonus[[#This Row],[Employee Name]],Employees[Employee Name2],0)))</f>
        <v/>
      </c>
      <c r="J327" s="19" t="str">
        <f>IF(ISBLANK(JobBonus[[#This Row],[Job Prov]]),"",IF(JobBonus[[#This Row],[Job Prov]]=INDEX(Employees[Province],MATCH(JobBonus[[#This Row],[Employee Name]],Employees[Employee Name2],0)),"No","Yes"))</f>
        <v/>
      </c>
      <c r="K327" s="17"/>
      <c r="L327" s="19"/>
      <c r="M327" s="23"/>
      <c r="N327" s="23"/>
      <c r="O327" s="15"/>
      <c r="P327" s="15"/>
      <c r="Q327" s="15"/>
      <c r="R327" s="15"/>
      <c r="S327" s="44" cm="1">
        <f t="array" ref="S3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7" s="44" cm="1">
        <f t="array" ref="T3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7" s="44">
        <f>JobBonus[[#This Row],[Variable Pay]]+JobBonus[[#This Row],[Crew Efficiency Bonus]]</f>
        <v>0</v>
      </c>
      <c r="V327" s="44" cm="1">
        <f t="array" ref="V3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7" s="44" t="b">
        <f>_xlfn.IFNA(EXACT(VLOOKUP(JobBonus[[#This Row],[Pay Type]],PayTypes[#All],4,FALSE),"Yes"),FALSE)</f>
        <v>0</v>
      </c>
      <c r="X327" s="44" cm="1">
        <f t="array" ref="X327">SUMPRODUCT((StandByRates[Position]=JobBonus[[#This Row],[Position]])*(JobBonus[[#This Row],[Area]]=StandByRates[Area])*(StandByRates[Hourly]*JobBonus[[#This Row],[Standby/ Ext 
Hrs]]))</f>
        <v>0</v>
      </c>
      <c r="Y327" s="44">
        <f>JobBonus[[#This Row],[Variable Pay]]+JobBonus[[#This Row],[Crew Efficiency Bonus]]+JobBonus[[#This Row],[OVPP]]+JobBonus[[#This Row],[StandBy/ Ext Amount]]</f>
        <v>0</v>
      </c>
      <c r="Z327" s="80"/>
      <c r="AA327" s="42"/>
      <c r="AB327" s="42"/>
      <c r="AC327"/>
      <c r="AD327"/>
      <c r="AE327"/>
      <c r="AF327"/>
    </row>
    <row r="328" spans="1:32" hidden="1" x14ac:dyDescent="0.25">
      <c r="A328" s="46"/>
      <c r="B328" s="80"/>
      <c r="C328" s="15"/>
      <c r="D328" s="15"/>
      <c r="E328" s="15"/>
      <c r="F328" s="15"/>
      <c r="G328" s="16"/>
      <c r="H328" s="16"/>
      <c r="I328" s="19" t="str">
        <f>IF(ISBLANK(JobBonus[[#This Row],[Employee Name]]),"",INDEX(Employees[Job Title],MATCH(JobBonus[[#This Row],[Employee Name]],Employees[Employee Name2],0)))</f>
        <v/>
      </c>
      <c r="J328" s="19" t="str">
        <f>IF(ISBLANK(JobBonus[[#This Row],[Job Prov]]),"",IF(JobBonus[[#This Row],[Job Prov]]=INDEX(Employees[Province],MATCH(JobBonus[[#This Row],[Employee Name]],Employees[Employee Name2],0)),"No","Yes"))</f>
        <v/>
      </c>
      <c r="K328" s="17"/>
      <c r="L328" s="19"/>
      <c r="M328" s="23"/>
      <c r="N328" s="23"/>
      <c r="O328" s="15"/>
      <c r="P328" s="15"/>
      <c r="Q328" s="15"/>
      <c r="R328" s="15"/>
      <c r="S328" s="44" cm="1">
        <f t="array" ref="S3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8" s="44" cm="1">
        <f t="array" ref="T3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8" s="44">
        <f>JobBonus[[#This Row],[Variable Pay]]+JobBonus[[#This Row],[Crew Efficiency Bonus]]</f>
        <v>0</v>
      </c>
      <c r="V328" s="44" cm="1">
        <f t="array" ref="V3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8" s="44" t="b">
        <f>_xlfn.IFNA(EXACT(VLOOKUP(JobBonus[[#This Row],[Pay Type]],PayTypes[#All],4,FALSE),"Yes"),FALSE)</f>
        <v>0</v>
      </c>
      <c r="X328" s="44" cm="1">
        <f t="array" ref="X328">SUMPRODUCT((StandByRates[Position]=JobBonus[[#This Row],[Position]])*(JobBonus[[#This Row],[Area]]=StandByRates[Area])*(StandByRates[Hourly]*JobBonus[[#This Row],[Standby/ Ext 
Hrs]]))</f>
        <v>0</v>
      </c>
      <c r="Y328" s="44">
        <f>JobBonus[[#This Row],[Variable Pay]]+JobBonus[[#This Row],[Crew Efficiency Bonus]]+JobBonus[[#This Row],[OVPP]]+JobBonus[[#This Row],[StandBy/ Ext Amount]]</f>
        <v>0</v>
      </c>
      <c r="Z328" s="80"/>
      <c r="AA328" s="42"/>
      <c r="AB328" s="42"/>
      <c r="AC328"/>
      <c r="AD328"/>
      <c r="AE328"/>
      <c r="AF328"/>
    </row>
    <row r="329" spans="1:32" hidden="1" x14ac:dyDescent="0.25">
      <c r="A329" s="46"/>
      <c r="B329" s="80"/>
      <c r="C329" s="15"/>
      <c r="D329" s="15"/>
      <c r="E329" s="15"/>
      <c r="F329" s="15"/>
      <c r="G329" s="16"/>
      <c r="H329" s="16"/>
      <c r="I329" s="19" t="str">
        <f>IF(ISBLANK(JobBonus[[#This Row],[Employee Name]]),"",INDEX(Employees[Job Title],MATCH(JobBonus[[#This Row],[Employee Name]],Employees[Employee Name2],0)))</f>
        <v/>
      </c>
      <c r="J329" s="19" t="str">
        <f>IF(ISBLANK(JobBonus[[#This Row],[Job Prov]]),"",IF(JobBonus[[#This Row],[Job Prov]]=INDEX(Employees[Province],MATCH(JobBonus[[#This Row],[Employee Name]],Employees[Employee Name2],0)),"No","Yes"))</f>
        <v/>
      </c>
      <c r="K329" s="17"/>
      <c r="L329" s="19"/>
      <c r="M329" s="23"/>
      <c r="N329" s="23"/>
      <c r="O329" s="15"/>
      <c r="P329" s="15"/>
      <c r="Q329" s="15"/>
      <c r="R329" s="15"/>
      <c r="S329" s="44" cm="1">
        <f t="array" ref="S3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9" s="44" cm="1">
        <f t="array" ref="T3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9" s="44">
        <f>JobBonus[[#This Row],[Variable Pay]]+JobBonus[[#This Row],[Crew Efficiency Bonus]]</f>
        <v>0</v>
      </c>
      <c r="V329" s="44" cm="1">
        <f t="array" ref="V3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9" s="44" t="b">
        <f>_xlfn.IFNA(EXACT(VLOOKUP(JobBonus[[#This Row],[Pay Type]],PayTypes[#All],4,FALSE),"Yes"),FALSE)</f>
        <v>0</v>
      </c>
      <c r="X329" s="44" cm="1">
        <f t="array" ref="X329">SUMPRODUCT((StandByRates[Position]=JobBonus[[#This Row],[Position]])*(JobBonus[[#This Row],[Area]]=StandByRates[Area])*(StandByRates[Hourly]*JobBonus[[#This Row],[Standby/ Ext 
Hrs]]))</f>
        <v>0</v>
      </c>
      <c r="Y329" s="44">
        <f>JobBonus[[#This Row],[Variable Pay]]+JobBonus[[#This Row],[Crew Efficiency Bonus]]+JobBonus[[#This Row],[OVPP]]+JobBonus[[#This Row],[StandBy/ Ext Amount]]</f>
        <v>0</v>
      </c>
      <c r="Z329" s="80"/>
      <c r="AA329" s="42"/>
      <c r="AB329" s="42"/>
      <c r="AC329"/>
      <c r="AD329"/>
      <c r="AE329"/>
      <c r="AF329"/>
    </row>
    <row r="330" spans="1:32" hidden="1" x14ac:dyDescent="0.25">
      <c r="A330" s="46"/>
      <c r="B330" s="80"/>
      <c r="C330" s="15"/>
      <c r="D330" s="15"/>
      <c r="E330" s="15"/>
      <c r="F330" s="15"/>
      <c r="G330" s="16"/>
      <c r="H330" s="16"/>
      <c r="I330" s="19" t="str">
        <f>IF(ISBLANK(JobBonus[[#This Row],[Employee Name]]),"",INDEX(Employees[Job Title],MATCH(JobBonus[[#This Row],[Employee Name]],Employees[Employee Name2],0)))</f>
        <v/>
      </c>
      <c r="J330" s="19" t="str">
        <f>IF(ISBLANK(JobBonus[[#This Row],[Job Prov]]),"",IF(JobBonus[[#This Row],[Job Prov]]=INDEX(Employees[Province],MATCH(JobBonus[[#This Row],[Employee Name]],Employees[Employee Name2],0)),"No","Yes"))</f>
        <v/>
      </c>
      <c r="K330" s="17"/>
      <c r="L330" s="19"/>
      <c r="M330" s="23"/>
      <c r="N330" s="23"/>
      <c r="O330" s="15"/>
      <c r="P330" s="15"/>
      <c r="Q330" s="15"/>
      <c r="R330" s="15"/>
      <c r="S330" s="44" cm="1">
        <f t="array" ref="S3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0" s="44" cm="1">
        <f t="array" ref="T3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0" s="44">
        <f>JobBonus[[#This Row],[Variable Pay]]+JobBonus[[#This Row],[Crew Efficiency Bonus]]</f>
        <v>0</v>
      </c>
      <c r="V330" s="44" cm="1">
        <f t="array" ref="V3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0" s="44" t="b">
        <f>_xlfn.IFNA(EXACT(VLOOKUP(JobBonus[[#This Row],[Pay Type]],PayTypes[#All],4,FALSE),"Yes"),FALSE)</f>
        <v>0</v>
      </c>
      <c r="X330" s="44" cm="1">
        <f t="array" ref="X330">SUMPRODUCT((StandByRates[Position]=JobBonus[[#This Row],[Position]])*(JobBonus[[#This Row],[Area]]=StandByRates[Area])*(StandByRates[Hourly]*JobBonus[[#This Row],[Standby/ Ext 
Hrs]]))</f>
        <v>0</v>
      </c>
      <c r="Y330" s="44">
        <f>JobBonus[[#This Row],[Variable Pay]]+JobBonus[[#This Row],[Crew Efficiency Bonus]]+JobBonus[[#This Row],[OVPP]]+JobBonus[[#This Row],[StandBy/ Ext Amount]]</f>
        <v>0</v>
      </c>
      <c r="Z330" s="80"/>
      <c r="AA330" s="42"/>
      <c r="AB330" s="42"/>
      <c r="AC330"/>
      <c r="AD330"/>
      <c r="AE330"/>
      <c r="AF330"/>
    </row>
    <row r="331" spans="1:32" hidden="1" x14ac:dyDescent="0.25">
      <c r="A331" s="46"/>
      <c r="B331" s="80"/>
      <c r="C331" s="15"/>
      <c r="D331" s="15"/>
      <c r="E331" s="15"/>
      <c r="F331" s="15"/>
      <c r="G331" s="16"/>
      <c r="H331" s="16"/>
      <c r="I331" s="19" t="str">
        <f>IF(ISBLANK(JobBonus[[#This Row],[Employee Name]]),"",INDEX(Employees[Job Title],MATCH(JobBonus[[#This Row],[Employee Name]],Employees[Employee Name2],0)))</f>
        <v/>
      </c>
      <c r="J331" s="19" t="str">
        <f>IF(ISBLANK(JobBonus[[#This Row],[Job Prov]]),"",IF(JobBonus[[#This Row],[Job Prov]]=INDEX(Employees[Province],MATCH(JobBonus[[#This Row],[Employee Name]],Employees[Employee Name2],0)),"No","Yes"))</f>
        <v/>
      </c>
      <c r="K331" s="17"/>
      <c r="L331" s="19"/>
      <c r="M331" s="23"/>
      <c r="N331" s="23"/>
      <c r="O331" s="15"/>
      <c r="P331" s="15"/>
      <c r="Q331" s="15"/>
      <c r="R331" s="15"/>
      <c r="S331" s="44" cm="1">
        <f t="array" ref="S3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1" s="44" cm="1">
        <f t="array" ref="T3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1" s="44">
        <f>JobBonus[[#This Row],[Variable Pay]]+JobBonus[[#This Row],[Crew Efficiency Bonus]]</f>
        <v>0</v>
      </c>
      <c r="V331" s="44" cm="1">
        <f t="array" ref="V3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1" s="44" t="b">
        <f>_xlfn.IFNA(EXACT(VLOOKUP(JobBonus[[#This Row],[Pay Type]],PayTypes[#All],4,FALSE),"Yes"),FALSE)</f>
        <v>0</v>
      </c>
      <c r="X331" s="44" cm="1">
        <f t="array" ref="X331">SUMPRODUCT((StandByRates[Position]=JobBonus[[#This Row],[Position]])*(JobBonus[[#This Row],[Area]]=StandByRates[Area])*(StandByRates[Hourly]*JobBonus[[#This Row],[Standby/ Ext 
Hrs]]))</f>
        <v>0</v>
      </c>
      <c r="Y331" s="44">
        <f>JobBonus[[#This Row],[Variable Pay]]+JobBonus[[#This Row],[Crew Efficiency Bonus]]+JobBonus[[#This Row],[OVPP]]+JobBonus[[#This Row],[StandBy/ Ext Amount]]</f>
        <v>0</v>
      </c>
      <c r="Z331" s="80"/>
      <c r="AA331" s="42"/>
      <c r="AB331" s="42"/>
      <c r="AC331"/>
      <c r="AD331"/>
      <c r="AE331"/>
      <c r="AF331"/>
    </row>
    <row r="332" spans="1:32" hidden="1" x14ac:dyDescent="0.25">
      <c r="A332" s="46"/>
      <c r="B332" s="80"/>
      <c r="C332" s="15"/>
      <c r="D332" s="15"/>
      <c r="E332" s="15"/>
      <c r="F332" s="15"/>
      <c r="G332" s="16"/>
      <c r="H332" s="16"/>
      <c r="I332" s="19" t="str">
        <f>IF(ISBLANK(JobBonus[[#This Row],[Employee Name]]),"",INDEX(Employees[Job Title],MATCH(JobBonus[[#This Row],[Employee Name]],Employees[Employee Name2],0)))</f>
        <v/>
      </c>
      <c r="J332" s="19" t="str">
        <f>IF(ISBLANK(JobBonus[[#This Row],[Job Prov]]),"",IF(JobBonus[[#This Row],[Job Prov]]=INDEX(Employees[Province],MATCH(JobBonus[[#This Row],[Employee Name]],Employees[Employee Name2],0)),"No","Yes"))</f>
        <v/>
      </c>
      <c r="K332" s="17"/>
      <c r="L332" s="19"/>
      <c r="M332" s="23"/>
      <c r="N332" s="23"/>
      <c r="O332" s="15"/>
      <c r="P332" s="15"/>
      <c r="Q332" s="15"/>
      <c r="R332" s="15"/>
      <c r="S332" s="44" cm="1">
        <f t="array" ref="S3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2" s="44" cm="1">
        <f t="array" ref="T3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2" s="44">
        <f>JobBonus[[#This Row],[Variable Pay]]+JobBonus[[#This Row],[Crew Efficiency Bonus]]</f>
        <v>0</v>
      </c>
      <c r="V332" s="44" cm="1">
        <f t="array" ref="V3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2" s="44" t="b">
        <f>_xlfn.IFNA(EXACT(VLOOKUP(JobBonus[[#This Row],[Pay Type]],PayTypes[#All],4,FALSE),"Yes"),FALSE)</f>
        <v>0</v>
      </c>
      <c r="X332" s="44" cm="1">
        <f t="array" ref="X332">SUMPRODUCT((StandByRates[Position]=JobBonus[[#This Row],[Position]])*(JobBonus[[#This Row],[Area]]=StandByRates[Area])*(StandByRates[Hourly]*JobBonus[[#This Row],[Standby/ Ext 
Hrs]]))</f>
        <v>0</v>
      </c>
      <c r="Y332" s="44">
        <f>JobBonus[[#This Row],[Variable Pay]]+JobBonus[[#This Row],[Crew Efficiency Bonus]]+JobBonus[[#This Row],[OVPP]]+JobBonus[[#This Row],[StandBy/ Ext Amount]]</f>
        <v>0</v>
      </c>
      <c r="Z332" s="80"/>
      <c r="AA332" s="42"/>
      <c r="AB332" s="42"/>
      <c r="AC332"/>
      <c r="AD332"/>
      <c r="AE332"/>
      <c r="AF332"/>
    </row>
    <row r="333" spans="1:32" hidden="1" x14ac:dyDescent="0.25">
      <c r="A333" s="46"/>
      <c r="B333" s="80"/>
      <c r="C333" s="15"/>
      <c r="D333" s="15"/>
      <c r="E333" s="15"/>
      <c r="F333" s="15"/>
      <c r="G333" s="16"/>
      <c r="H333" s="16"/>
      <c r="I333" s="19" t="str">
        <f>IF(ISBLANK(JobBonus[[#This Row],[Employee Name]]),"",INDEX(Employees[Job Title],MATCH(JobBonus[[#This Row],[Employee Name]],Employees[Employee Name2],0)))</f>
        <v/>
      </c>
      <c r="J333" s="19" t="str">
        <f>IF(ISBLANK(JobBonus[[#This Row],[Job Prov]]),"",IF(JobBonus[[#This Row],[Job Prov]]=INDEX(Employees[Province],MATCH(JobBonus[[#This Row],[Employee Name]],Employees[Employee Name2],0)),"No","Yes"))</f>
        <v/>
      </c>
      <c r="K333" s="17"/>
      <c r="L333" s="19"/>
      <c r="M333" s="23"/>
      <c r="N333" s="23"/>
      <c r="O333" s="15"/>
      <c r="P333" s="15"/>
      <c r="Q333" s="15"/>
      <c r="R333" s="15"/>
      <c r="S333" s="44" cm="1">
        <f t="array" ref="S3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3" s="44" cm="1">
        <f t="array" ref="T3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3" s="44">
        <f>JobBonus[[#This Row],[Variable Pay]]+JobBonus[[#This Row],[Crew Efficiency Bonus]]</f>
        <v>0</v>
      </c>
      <c r="V333" s="44" cm="1">
        <f t="array" ref="V3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3" s="44" t="b">
        <f>_xlfn.IFNA(EXACT(VLOOKUP(JobBonus[[#This Row],[Pay Type]],PayTypes[#All],4,FALSE),"Yes"),FALSE)</f>
        <v>0</v>
      </c>
      <c r="X333" s="44" cm="1">
        <f t="array" ref="X333">SUMPRODUCT((StandByRates[Position]=JobBonus[[#This Row],[Position]])*(JobBonus[[#This Row],[Area]]=StandByRates[Area])*(StandByRates[Hourly]*JobBonus[[#This Row],[Standby/ Ext 
Hrs]]))</f>
        <v>0</v>
      </c>
      <c r="Y333" s="44">
        <f>JobBonus[[#This Row],[Variable Pay]]+JobBonus[[#This Row],[Crew Efficiency Bonus]]+JobBonus[[#This Row],[OVPP]]+JobBonus[[#This Row],[StandBy/ Ext Amount]]</f>
        <v>0</v>
      </c>
      <c r="Z333" s="80"/>
      <c r="AA333" s="42"/>
      <c r="AB333" s="42"/>
      <c r="AC333"/>
      <c r="AD333"/>
      <c r="AE333"/>
      <c r="AF333"/>
    </row>
    <row r="334" spans="1:32" hidden="1" x14ac:dyDescent="0.25">
      <c r="A334" s="46"/>
      <c r="B334" s="80"/>
      <c r="C334" s="15"/>
      <c r="D334" s="15"/>
      <c r="E334" s="15"/>
      <c r="F334" s="15"/>
      <c r="G334" s="16"/>
      <c r="H334" s="16"/>
      <c r="I334" s="19" t="str">
        <f>IF(ISBLANK(JobBonus[[#This Row],[Employee Name]]),"",INDEX(Employees[Job Title],MATCH(JobBonus[[#This Row],[Employee Name]],Employees[Employee Name2],0)))</f>
        <v/>
      </c>
      <c r="J334" s="19" t="str">
        <f>IF(ISBLANK(JobBonus[[#This Row],[Job Prov]]),"",IF(JobBonus[[#This Row],[Job Prov]]=INDEX(Employees[Province],MATCH(JobBonus[[#This Row],[Employee Name]],Employees[Employee Name2],0)),"No","Yes"))</f>
        <v/>
      </c>
      <c r="K334" s="17"/>
      <c r="L334" s="19"/>
      <c r="M334" s="23"/>
      <c r="N334" s="23"/>
      <c r="O334" s="15"/>
      <c r="P334" s="15"/>
      <c r="Q334" s="15"/>
      <c r="R334" s="15"/>
      <c r="S334" s="44" cm="1">
        <f t="array" ref="S3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4" s="44" cm="1">
        <f t="array" ref="T3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4" s="44">
        <f>JobBonus[[#This Row],[Variable Pay]]+JobBonus[[#This Row],[Crew Efficiency Bonus]]</f>
        <v>0</v>
      </c>
      <c r="V334" s="44" cm="1">
        <f t="array" ref="V3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4" s="44" t="b">
        <f>_xlfn.IFNA(EXACT(VLOOKUP(JobBonus[[#This Row],[Pay Type]],PayTypes[#All],4,FALSE),"Yes"),FALSE)</f>
        <v>0</v>
      </c>
      <c r="X334" s="44" cm="1">
        <f t="array" ref="X334">SUMPRODUCT((StandByRates[Position]=JobBonus[[#This Row],[Position]])*(JobBonus[[#This Row],[Area]]=StandByRates[Area])*(StandByRates[Hourly]*JobBonus[[#This Row],[Standby/ Ext 
Hrs]]))</f>
        <v>0</v>
      </c>
      <c r="Y334" s="44">
        <f>JobBonus[[#This Row],[Variable Pay]]+JobBonus[[#This Row],[Crew Efficiency Bonus]]+JobBonus[[#This Row],[OVPP]]+JobBonus[[#This Row],[StandBy/ Ext Amount]]</f>
        <v>0</v>
      </c>
      <c r="Z334" s="80"/>
      <c r="AA334" s="42"/>
      <c r="AB334" s="42"/>
      <c r="AC334"/>
      <c r="AD334"/>
      <c r="AE334"/>
      <c r="AF334"/>
    </row>
    <row r="335" spans="1:32" hidden="1" x14ac:dyDescent="0.25">
      <c r="A335" s="46"/>
      <c r="B335" s="80"/>
      <c r="C335" s="15"/>
      <c r="D335" s="15"/>
      <c r="E335" s="15"/>
      <c r="F335" s="15"/>
      <c r="G335" s="16"/>
      <c r="H335" s="16"/>
      <c r="I335" s="19" t="str">
        <f>IF(ISBLANK(JobBonus[[#This Row],[Employee Name]]),"",INDEX(Employees[Job Title],MATCH(JobBonus[[#This Row],[Employee Name]],Employees[Employee Name2],0)))</f>
        <v/>
      </c>
      <c r="J335" s="19" t="str">
        <f>IF(ISBLANK(JobBonus[[#This Row],[Job Prov]]),"",IF(JobBonus[[#This Row],[Job Prov]]=INDEX(Employees[Province],MATCH(JobBonus[[#This Row],[Employee Name]],Employees[Employee Name2],0)),"No","Yes"))</f>
        <v/>
      </c>
      <c r="K335" s="17"/>
      <c r="L335" s="19"/>
      <c r="M335" s="23"/>
      <c r="N335" s="23"/>
      <c r="O335" s="15"/>
      <c r="P335" s="15"/>
      <c r="Q335" s="15"/>
      <c r="R335" s="15"/>
      <c r="S335" s="44" cm="1">
        <f t="array" ref="S3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5" s="44" cm="1">
        <f t="array" ref="T3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5" s="44">
        <f>JobBonus[[#This Row],[Variable Pay]]+JobBonus[[#This Row],[Crew Efficiency Bonus]]</f>
        <v>0</v>
      </c>
      <c r="V335" s="44" cm="1">
        <f t="array" ref="V3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5" s="44" t="b">
        <f>_xlfn.IFNA(EXACT(VLOOKUP(JobBonus[[#This Row],[Pay Type]],PayTypes[#All],4,FALSE),"Yes"),FALSE)</f>
        <v>0</v>
      </c>
      <c r="X335" s="44" cm="1">
        <f t="array" ref="X335">SUMPRODUCT((StandByRates[Position]=JobBonus[[#This Row],[Position]])*(JobBonus[[#This Row],[Area]]=StandByRates[Area])*(StandByRates[Hourly]*JobBonus[[#This Row],[Standby/ Ext 
Hrs]]))</f>
        <v>0</v>
      </c>
      <c r="Y335" s="44">
        <f>JobBonus[[#This Row],[Variable Pay]]+JobBonus[[#This Row],[Crew Efficiency Bonus]]+JobBonus[[#This Row],[OVPP]]+JobBonus[[#This Row],[StandBy/ Ext Amount]]</f>
        <v>0</v>
      </c>
      <c r="Z335" s="80"/>
      <c r="AA335" s="42"/>
      <c r="AB335" s="42"/>
      <c r="AC335"/>
      <c r="AD335"/>
      <c r="AE335"/>
      <c r="AF335"/>
    </row>
    <row r="336" spans="1:32" hidden="1" x14ac:dyDescent="0.25">
      <c r="A336" s="46"/>
      <c r="B336" s="80"/>
      <c r="C336" s="15"/>
      <c r="D336" s="15"/>
      <c r="E336" s="15"/>
      <c r="F336" s="15"/>
      <c r="G336" s="16"/>
      <c r="H336" s="16"/>
      <c r="I336" s="19" t="str">
        <f>IF(ISBLANK(JobBonus[[#This Row],[Employee Name]]),"",INDEX(Employees[Job Title],MATCH(JobBonus[[#This Row],[Employee Name]],Employees[Employee Name2],0)))</f>
        <v/>
      </c>
      <c r="J336" s="19" t="str">
        <f>IF(ISBLANK(JobBonus[[#This Row],[Job Prov]]),"",IF(JobBonus[[#This Row],[Job Prov]]=INDEX(Employees[Province],MATCH(JobBonus[[#This Row],[Employee Name]],Employees[Employee Name2],0)),"No","Yes"))</f>
        <v/>
      </c>
      <c r="K336" s="17"/>
      <c r="L336" s="19"/>
      <c r="M336" s="23"/>
      <c r="N336" s="23"/>
      <c r="O336" s="15"/>
      <c r="P336" s="15"/>
      <c r="Q336" s="15"/>
      <c r="R336" s="15"/>
      <c r="S336" s="44" cm="1">
        <f t="array" ref="S3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6" s="44" cm="1">
        <f t="array" ref="T3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6" s="44">
        <f>JobBonus[[#This Row],[Variable Pay]]+JobBonus[[#This Row],[Crew Efficiency Bonus]]</f>
        <v>0</v>
      </c>
      <c r="V336" s="44" cm="1">
        <f t="array" ref="V3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6" s="44" t="b">
        <f>_xlfn.IFNA(EXACT(VLOOKUP(JobBonus[[#This Row],[Pay Type]],PayTypes[#All],4,FALSE),"Yes"),FALSE)</f>
        <v>0</v>
      </c>
      <c r="X336" s="44" cm="1">
        <f t="array" ref="X336">SUMPRODUCT((StandByRates[Position]=JobBonus[[#This Row],[Position]])*(JobBonus[[#This Row],[Area]]=StandByRates[Area])*(StandByRates[Hourly]*JobBonus[[#This Row],[Standby/ Ext 
Hrs]]))</f>
        <v>0</v>
      </c>
      <c r="Y336" s="44">
        <f>JobBonus[[#This Row],[Variable Pay]]+JobBonus[[#This Row],[Crew Efficiency Bonus]]+JobBonus[[#This Row],[OVPP]]+JobBonus[[#This Row],[StandBy/ Ext Amount]]</f>
        <v>0</v>
      </c>
      <c r="Z336" s="80"/>
      <c r="AA336" s="42"/>
      <c r="AB336" s="42"/>
      <c r="AC336"/>
      <c r="AD336"/>
      <c r="AE336"/>
      <c r="AF336"/>
    </row>
    <row r="337" spans="1:32" hidden="1" x14ac:dyDescent="0.25">
      <c r="A337" s="46"/>
      <c r="B337" s="80"/>
      <c r="C337" s="15"/>
      <c r="D337" s="15"/>
      <c r="E337" s="15"/>
      <c r="F337" s="15"/>
      <c r="G337" s="16"/>
      <c r="H337" s="16"/>
      <c r="I337" s="19" t="str">
        <f>IF(ISBLANK(JobBonus[[#This Row],[Employee Name]]),"",INDEX(Employees[Job Title],MATCH(JobBonus[[#This Row],[Employee Name]],Employees[Employee Name2],0)))</f>
        <v/>
      </c>
      <c r="J337" s="19" t="str">
        <f>IF(ISBLANK(JobBonus[[#This Row],[Job Prov]]),"",IF(JobBonus[[#This Row],[Job Prov]]=INDEX(Employees[Province],MATCH(JobBonus[[#This Row],[Employee Name]],Employees[Employee Name2],0)),"No","Yes"))</f>
        <v/>
      </c>
      <c r="K337" s="17"/>
      <c r="L337" s="19"/>
      <c r="M337" s="23"/>
      <c r="N337" s="23"/>
      <c r="O337" s="15"/>
      <c r="P337" s="15"/>
      <c r="Q337" s="15"/>
      <c r="R337" s="15"/>
      <c r="S337" s="44" cm="1">
        <f t="array" ref="S3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7" s="44" cm="1">
        <f t="array" ref="T3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7" s="44">
        <f>JobBonus[[#This Row],[Variable Pay]]+JobBonus[[#This Row],[Crew Efficiency Bonus]]</f>
        <v>0</v>
      </c>
      <c r="V337" s="44" cm="1">
        <f t="array" ref="V3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7" s="44" t="b">
        <f>_xlfn.IFNA(EXACT(VLOOKUP(JobBonus[[#This Row],[Pay Type]],PayTypes[#All],4,FALSE),"Yes"),FALSE)</f>
        <v>0</v>
      </c>
      <c r="X337" s="44" cm="1">
        <f t="array" ref="X337">SUMPRODUCT((StandByRates[Position]=JobBonus[[#This Row],[Position]])*(JobBonus[[#This Row],[Area]]=StandByRates[Area])*(StandByRates[Hourly]*JobBonus[[#This Row],[Standby/ Ext 
Hrs]]))</f>
        <v>0</v>
      </c>
      <c r="Y337" s="44">
        <f>JobBonus[[#This Row],[Variable Pay]]+JobBonus[[#This Row],[Crew Efficiency Bonus]]+JobBonus[[#This Row],[OVPP]]+JobBonus[[#This Row],[StandBy/ Ext Amount]]</f>
        <v>0</v>
      </c>
      <c r="Z337" s="80"/>
      <c r="AA337" s="42"/>
      <c r="AB337" s="42"/>
      <c r="AC337"/>
      <c r="AD337"/>
      <c r="AE337"/>
      <c r="AF337"/>
    </row>
    <row r="338" spans="1:32" hidden="1" x14ac:dyDescent="0.25">
      <c r="A338" s="46"/>
      <c r="B338" s="80"/>
      <c r="C338" s="15"/>
      <c r="D338" s="15"/>
      <c r="E338" s="15"/>
      <c r="F338" s="15"/>
      <c r="G338" s="16"/>
      <c r="H338" s="16"/>
      <c r="I338" s="19" t="str">
        <f>IF(ISBLANK(JobBonus[[#This Row],[Employee Name]]),"",INDEX(Employees[Job Title],MATCH(JobBonus[[#This Row],[Employee Name]],Employees[Employee Name2],0)))</f>
        <v/>
      </c>
      <c r="J338" s="19" t="str">
        <f>IF(ISBLANK(JobBonus[[#This Row],[Job Prov]]),"",IF(JobBonus[[#This Row],[Job Prov]]=INDEX(Employees[Province],MATCH(JobBonus[[#This Row],[Employee Name]],Employees[Employee Name2],0)),"No","Yes"))</f>
        <v/>
      </c>
      <c r="K338" s="17"/>
      <c r="L338" s="19"/>
      <c r="M338" s="23"/>
      <c r="N338" s="23"/>
      <c r="O338" s="15"/>
      <c r="P338" s="15"/>
      <c r="Q338" s="15"/>
      <c r="R338" s="15"/>
      <c r="S338" s="44" cm="1">
        <f t="array" ref="S3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8" s="44" cm="1">
        <f t="array" ref="T3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8" s="44">
        <f>JobBonus[[#This Row],[Variable Pay]]+JobBonus[[#This Row],[Crew Efficiency Bonus]]</f>
        <v>0</v>
      </c>
      <c r="V338" s="44" cm="1">
        <f t="array" ref="V3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8" s="44" t="b">
        <f>_xlfn.IFNA(EXACT(VLOOKUP(JobBonus[[#This Row],[Pay Type]],PayTypes[#All],4,FALSE),"Yes"),FALSE)</f>
        <v>0</v>
      </c>
      <c r="X338" s="44" cm="1">
        <f t="array" ref="X338">SUMPRODUCT((StandByRates[Position]=JobBonus[[#This Row],[Position]])*(JobBonus[[#This Row],[Area]]=StandByRates[Area])*(StandByRates[Hourly]*JobBonus[[#This Row],[Standby/ Ext 
Hrs]]))</f>
        <v>0</v>
      </c>
      <c r="Y338" s="44">
        <f>JobBonus[[#This Row],[Variable Pay]]+JobBonus[[#This Row],[Crew Efficiency Bonus]]+JobBonus[[#This Row],[OVPP]]+JobBonus[[#This Row],[StandBy/ Ext Amount]]</f>
        <v>0</v>
      </c>
      <c r="Z338" s="80"/>
      <c r="AA338" s="42"/>
      <c r="AB338" s="42"/>
      <c r="AC338"/>
      <c r="AD338"/>
      <c r="AE338"/>
      <c r="AF338"/>
    </row>
    <row r="339" spans="1:32" hidden="1" x14ac:dyDescent="0.25">
      <c r="A339" s="46"/>
      <c r="B339" s="80"/>
      <c r="C339" s="15"/>
      <c r="D339" s="15"/>
      <c r="E339" s="15"/>
      <c r="F339" s="15"/>
      <c r="G339" s="16"/>
      <c r="H339" s="16"/>
      <c r="I339" s="19" t="str">
        <f>IF(ISBLANK(JobBonus[[#This Row],[Employee Name]]),"",INDEX(Employees[Job Title],MATCH(JobBonus[[#This Row],[Employee Name]],Employees[Employee Name2],0)))</f>
        <v/>
      </c>
      <c r="J339" s="19" t="str">
        <f>IF(ISBLANK(JobBonus[[#This Row],[Job Prov]]),"",IF(JobBonus[[#This Row],[Job Prov]]=INDEX(Employees[Province],MATCH(JobBonus[[#This Row],[Employee Name]],Employees[Employee Name2],0)),"No","Yes"))</f>
        <v/>
      </c>
      <c r="K339" s="17"/>
      <c r="L339" s="19"/>
      <c r="M339" s="23"/>
      <c r="N339" s="23"/>
      <c r="O339" s="15"/>
      <c r="P339" s="15"/>
      <c r="Q339" s="15"/>
      <c r="R339" s="15"/>
      <c r="S339" s="44" cm="1">
        <f t="array" ref="S3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9" s="44" cm="1">
        <f t="array" ref="T3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9" s="44">
        <f>JobBonus[[#This Row],[Variable Pay]]+JobBonus[[#This Row],[Crew Efficiency Bonus]]</f>
        <v>0</v>
      </c>
      <c r="V339" s="44" cm="1">
        <f t="array" ref="V3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9" s="44" t="b">
        <f>_xlfn.IFNA(EXACT(VLOOKUP(JobBonus[[#This Row],[Pay Type]],PayTypes[#All],4,FALSE),"Yes"),FALSE)</f>
        <v>0</v>
      </c>
      <c r="X339" s="44" cm="1">
        <f t="array" ref="X339">SUMPRODUCT((StandByRates[Position]=JobBonus[[#This Row],[Position]])*(JobBonus[[#This Row],[Area]]=StandByRates[Area])*(StandByRates[Hourly]*JobBonus[[#This Row],[Standby/ Ext 
Hrs]]))</f>
        <v>0</v>
      </c>
      <c r="Y339" s="44">
        <f>JobBonus[[#This Row],[Variable Pay]]+JobBonus[[#This Row],[Crew Efficiency Bonus]]+JobBonus[[#This Row],[OVPP]]+JobBonus[[#This Row],[StandBy/ Ext Amount]]</f>
        <v>0</v>
      </c>
      <c r="Z339" s="80"/>
      <c r="AA339" s="42"/>
      <c r="AB339" s="42"/>
      <c r="AC339"/>
      <c r="AD339"/>
      <c r="AE339"/>
      <c r="AF339"/>
    </row>
    <row r="340" spans="1:32" hidden="1" x14ac:dyDescent="0.25">
      <c r="A340" s="46"/>
      <c r="B340" s="80"/>
      <c r="C340" s="15"/>
      <c r="D340" s="15"/>
      <c r="E340" s="15"/>
      <c r="F340" s="15"/>
      <c r="G340" s="16"/>
      <c r="H340" s="16"/>
      <c r="I340" s="19" t="str">
        <f>IF(ISBLANK(JobBonus[[#This Row],[Employee Name]]),"",INDEX(Employees[Job Title],MATCH(JobBonus[[#This Row],[Employee Name]],Employees[Employee Name2],0)))</f>
        <v/>
      </c>
      <c r="J340" s="19" t="str">
        <f>IF(ISBLANK(JobBonus[[#This Row],[Job Prov]]),"",IF(JobBonus[[#This Row],[Job Prov]]=INDEX(Employees[Province],MATCH(JobBonus[[#This Row],[Employee Name]],Employees[Employee Name2],0)),"No","Yes"))</f>
        <v/>
      </c>
      <c r="K340" s="17"/>
      <c r="L340" s="19"/>
      <c r="M340" s="23"/>
      <c r="N340" s="23"/>
      <c r="O340" s="15"/>
      <c r="P340" s="15"/>
      <c r="Q340" s="15"/>
      <c r="R340" s="15"/>
      <c r="S340" s="44" cm="1">
        <f t="array" ref="S3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0" s="44" cm="1">
        <f t="array" ref="T3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0" s="44">
        <f>JobBonus[[#This Row],[Variable Pay]]+JobBonus[[#This Row],[Crew Efficiency Bonus]]</f>
        <v>0</v>
      </c>
      <c r="V340" s="44" cm="1">
        <f t="array" ref="V3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0" s="44" t="b">
        <f>_xlfn.IFNA(EXACT(VLOOKUP(JobBonus[[#This Row],[Pay Type]],PayTypes[#All],4,FALSE),"Yes"),FALSE)</f>
        <v>0</v>
      </c>
      <c r="X340" s="44" cm="1">
        <f t="array" ref="X340">SUMPRODUCT((StandByRates[Position]=JobBonus[[#This Row],[Position]])*(JobBonus[[#This Row],[Area]]=StandByRates[Area])*(StandByRates[Hourly]*JobBonus[[#This Row],[Standby/ Ext 
Hrs]]))</f>
        <v>0</v>
      </c>
      <c r="Y340" s="44">
        <f>JobBonus[[#This Row],[Variable Pay]]+JobBonus[[#This Row],[Crew Efficiency Bonus]]+JobBonus[[#This Row],[OVPP]]+JobBonus[[#This Row],[StandBy/ Ext Amount]]</f>
        <v>0</v>
      </c>
      <c r="Z340" s="80"/>
      <c r="AA340" s="42"/>
      <c r="AB340" s="42"/>
      <c r="AC340"/>
      <c r="AD340"/>
      <c r="AE340"/>
      <c r="AF340"/>
    </row>
    <row r="341" spans="1:32" hidden="1" x14ac:dyDescent="0.25">
      <c r="A341" s="46"/>
      <c r="B341" s="80"/>
      <c r="C341" s="15"/>
      <c r="D341" s="15"/>
      <c r="E341" s="15"/>
      <c r="F341" s="15"/>
      <c r="G341" s="16"/>
      <c r="H341" s="16"/>
      <c r="I341" s="19" t="str">
        <f>IF(ISBLANK(JobBonus[[#This Row],[Employee Name]]),"",INDEX(Employees[Job Title],MATCH(JobBonus[[#This Row],[Employee Name]],Employees[Employee Name2],0)))</f>
        <v/>
      </c>
      <c r="J341" s="19" t="str">
        <f>IF(ISBLANK(JobBonus[[#This Row],[Job Prov]]),"",IF(JobBonus[[#This Row],[Job Prov]]=INDEX(Employees[Province],MATCH(JobBonus[[#This Row],[Employee Name]],Employees[Employee Name2],0)),"No","Yes"))</f>
        <v/>
      </c>
      <c r="K341" s="17"/>
      <c r="L341" s="19"/>
      <c r="M341" s="23"/>
      <c r="N341" s="23"/>
      <c r="O341" s="15"/>
      <c r="P341" s="15"/>
      <c r="Q341" s="15"/>
      <c r="R341" s="15"/>
      <c r="S341" s="44" cm="1">
        <f t="array" ref="S3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1" s="44" cm="1">
        <f t="array" ref="T3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1" s="44">
        <f>JobBonus[[#This Row],[Variable Pay]]+JobBonus[[#This Row],[Crew Efficiency Bonus]]</f>
        <v>0</v>
      </c>
      <c r="V341" s="44" cm="1">
        <f t="array" ref="V3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1" s="44" t="b">
        <f>_xlfn.IFNA(EXACT(VLOOKUP(JobBonus[[#This Row],[Pay Type]],PayTypes[#All],4,FALSE),"Yes"),FALSE)</f>
        <v>0</v>
      </c>
      <c r="X341" s="44" cm="1">
        <f t="array" ref="X341">SUMPRODUCT((StandByRates[Position]=JobBonus[[#This Row],[Position]])*(JobBonus[[#This Row],[Area]]=StandByRates[Area])*(StandByRates[Hourly]*JobBonus[[#This Row],[Standby/ Ext 
Hrs]]))</f>
        <v>0</v>
      </c>
      <c r="Y341" s="44">
        <f>JobBonus[[#This Row],[Variable Pay]]+JobBonus[[#This Row],[Crew Efficiency Bonus]]+JobBonus[[#This Row],[OVPP]]+JobBonus[[#This Row],[StandBy/ Ext Amount]]</f>
        <v>0</v>
      </c>
      <c r="Z341" s="80"/>
      <c r="AA341" s="42"/>
      <c r="AB341" s="42"/>
      <c r="AC341"/>
      <c r="AD341"/>
      <c r="AE341"/>
      <c r="AF341"/>
    </row>
    <row r="342" spans="1:32" hidden="1" x14ac:dyDescent="0.25">
      <c r="A342" s="46"/>
      <c r="B342" s="80"/>
      <c r="C342" s="15"/>
      <c r="D342" s="15"/>
      <c r="E342" s="15"/>
      <c r="F342" s="15"/>
      <c r="G342" s="16"/>
      <c r="H342" s="16"/>
      <c r="I342" s="19" t="str">
        <f>IF(ISBLANK(JobBonus[[#This Row],[Employee Name]]),"",INDEX(Employees[Job Title],MATCH(JobBonus[[#This Row],[Employee Name]],Employees[Employee Name2],0)))</f>
        <v/>
      </c>
      <c r="J342" s="19" t="str">
        <f>IF(ISBLANK(JobBonus[[#This Row],[Job Prov]]),"",IF(JobBonus[[#This Row],[Job Prov]]=INDEX(Employees[Province],MATCH(JobBonus[[#This Row],[Employee Name]],Employees[Employee Name2],0)),"No","Yes"))</f>
        <v/>
      </c>
      <c r="K342" s="17"/>
      <c r="L342" s="19"/>
      <c r="M342" s="23"/>
      <c r="N342" s="23"/>
      <c r="O342" s="15"/>
      <c r="P342" s="15"/>
      <c r="Q342" s="15"/>
      <c r="R342" s="15"/>
      <c r="S342" s="44" cm="1">
        <f t="array" ref="S3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2" s="44" cm="1">
        <f t="array" ref="T3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2" s="44">
        <f>JobBonus[[#This Row],[Variable Pay]]+JobBonus[[#This Row],[Crew Efficiency Bonus]]</f>
        <v>0</v>
      </c>
      <c r="V342" s="44" cm="1">
        <f t="array" ref="V3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2" s="44" t="b">
        <f>_xlfn.IFNA(EXACT(VLOOKUP(JobBonus[[#This Row],[Pay Type]],PayTypes[#All],4,FALSE),"Yes"),FALSE)</f>
        <v>0</v>
      </c>
      <c r="X342" s="44" cm="1">
        <f t="array" ref="X342">SUMPRODUCT((StandByRates[Position]=JobBonus[[#This Row],[Position]])*(JobBonus[[#This Row],[Area]]=StandByRates[Area])*(StandByRates[Hourly]*JobBonus[[#This Row],[Standby/ Ext 
Hrs]]))</f>
        <v>0</v>
      </c>
      <c r="Y342" s="44">
        <f>JobBonus[[#This Row],[Variable Pay]]+JobBonus[[#This Row],[Crew Efficiency Bonus]]+JobBonus[[#This Row],[OVPP]]+JobBonus[[#This Row],[StandBy/ Ext Amount]]</f>
        <v>0</v>
      </c>
      <c r="Z342" s="80"/>
      <c r="AA342" s="42"/>
      <c r="AB342" s="42"/>
      <c r="AC342"/>
      <c r="AD342"/>
      <c r="AE342"/>
      <c r="AF342"/>
    </row>
    <row r="343" spans="1:32" hidden="1" x14ac:dyDescent="0.25">
      <c r="A343" s="46"/>
      <c r="B343" s="80"/>
      <c r="C343" s="15"/>
      <c r="D343" s="15"/>
      <c r="E343" s="15"/>
      <c r="F343" s="15"/>
      <c r="G343" s="16"/>
      <c r="H343" s="16"/>
      <c r="I343" s="19" t="str">
        <f>IF(ISBLANK(JobBonus[[#This Row],[Employee Name]]),"",INDEX(Employees[Job Title],MATCH(JobBonus[[#This Row],[Employee Name]],Employees[Employee Name2],0)))</f>
        <v/>
      </c>
      <c r="J343" s="19" t="str">
        <f>IF(ISBLANK(JobBonus[[#This Row],[Job Prov]]),"",IF(JobBonus[[#This Row],[Job Prov]]=INDEX(Employees[Province],MATCH(JobBonus[[#This Row],[Employee Name]],Employees[Employee Name2],0)),"No","Yes"))</f>
        <v/>
      </c>
      <c r="K343" s="17"/>
      <c r="L343" s="19"/>
      <c r="M343" s="23"/>
      <c r="N343" s="23"/>
      <c r="O343" s="15"/>
      <c r="P343" s="15"/>
      <c r="Q343" s="15"/>
      <c r="R343" s="15"/>
      <c r="S343" s="44" cm="1">
        <f t="array" ref="S3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3" s="44" cm="1">
        <f t="array" ref="T3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3" s="44">
        <f>JobBonus[[#This Row],[Variable Pay]]+JobBonus[[#This Row],[Crew Efficiency Bonus]]</f>
        <v>0</v>
      </c>
      <c r="V343" s="44" cm="1">
        <f t="array" ref="V3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3" s="44" t="b">
        <f>_xlfn.IFNA(EXACT(VLOOKUP(JobBonus[[#This Row],[Pay Type]],PayTypes[#All],4,FALSE),"Yes"),FALSE)</f>
        <v>0</v>
      </c>
      <c r="X343" s="44" cm="1">
        <f t="array" ref="X343">SUMPRODUCT((StandByRates[Position]=JobBonus[[#This Row],[Position]])*(JobBonus[[#This Row],[Area]]=StandByRates[Area])*(StandByRates[Hourly]*JobBonus[[#This Row],[Standby/ Ext 
Hrs]]))</f>
        <v>0</v>
      </c>
      <c r="Y343" s="44">
        <f>JobBonus[[#This Row],[Variable Pay]]+JobBonus[[#This Row],[Crew Efficiency Bonus]]+JobBonus[[#This Row],[OVPP]]+JobBonus[[#This Row],[StandBy/ Ext Amount]]</f>
        <v>0</v>
      </c>
      <c r="Z343" s="80"/>
      <c r="AA343" s="42"/>
      <c r="AB343" s="42"/>
      <c r="AC343"/>
      <c r="AD343"/>
      <c r="AE343"/>
      <c r="AF343"/>
    </row>
    <row r="344" spans="1:32" hidden="1" x14ac:dyDescent="0.25">
      <c r="A344" s="46"/>
      <c r="B344" s="80"/>
      <c r="C344" s="15"/>
      <c r="D344" s="15"/>
      <c r="E344" s="15"/>
      <c r="F344" s="15"/>
      <c r="G344" s="16"/>
      <c r="H344" s="16"/>
      <c r="I344" s="19" t="str">
        <f>IF(ISBLANK(JobBonus[[#This Row],[Employee Name]]),"",INDEX(Employees[Job Title],MATCH(JobBonus[[#This Row],[Employee Name]],Employees[Employee Name2],0)))</f>
        <v/>
      </c>
      <c r="J344" s="19" t="str">
        <f>IF(ISBLANK(JobBonus[[#This Row],[Job Prov]]),"",IF(JobBonus[[#This Row],[Job Prov]]=INDEX(Employees[Province],MATCH(JobBonus[[#This Row],[Employee Name]],Employees[Employee Name2],0)),"No","Yes"))</f>
        <v/>
      </c>
      <c r="K344" s="17"/>
      <c r="L344" s="19"/>
      <c r="M344" s="23"/>
      <c r="N344" s="23"/>
      <c r="O344" s="15"/>
      <c r="P344" s="15"/>
      <c r="Q344" s="15"/>
      <c r="R344" s="15"/>
      <c r="S344" s="44" cm="1">
        <f t="array" ref="S3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4" s="44" cm="1">
        <f t="array" ref="T3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4" s="44">
        <f>JobBonus[[#This Row],[Variable Pay]]+JobBonus[[#This Row],[Crew Efficiency Bonus]]</f>
        <v>0</v>
      </c>
      <c r="V344" s="44" cm="1">
        <f t="array" ref="V3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4" s="44" t="b">
        <f>_xlfn.IFNA(EXACT(VLOOKUP(JobBonus[[#This Row],[Pay Type]],PayTypes[#All],4,FALSE),"Yes"),FALSE)</f>
        <v>0</v>
      </c>
      <c r="X344" s="44" cm="1">
        <f t="array" ref="X344">SUMPRODUCT((StandByRates[Position]=JobBonus[[#This Row],[Position]])*(JobBonus[[#This Row],[Area]]=StandByRates[Area])*(StandByRates[Hourly]*JobBonus[[#This Row],[Standby/ Ext 
Hrs]]))</f>
        <v>0</v>
      </c>
      <c r="Y344" s="44">
        <f>JobBonus[[#This Row],[Variable Pay]]+JobBonus[[#This Row],[Crew Efficiency Bonus]]+JobBonus[[#This Row],[OVPP]]+JobBonus[[#This Row],[StandBy/ Ext Amount]]</f>
        <v>0</v>
      </c>
      <c r="Z344" s="80"/>
      <c r="AA344" s="42"/>
      <c r="AB344" s="42"/>
      <c r="AC344"/>
      <c r="AD344"/>
      <c r="AE344"/>
      <c r="AF344"/>
    </row>
    <row r="345" spans="1:32" hidden="1" x14ac:dyDescent="0.25">
      <c r="A345" s="46"/>
      <c r="B345" s="80"/>
      <c r="C345" s="15"/>
      <c r="D345" s="15"/>
      <c r="E345" s="15"/>
      <c r="F345" s="15"/>
      <c r="G345" s="16"/>
      <c r="H345" s="16"/>
      <c r="I345" s="19" t="str">
        <f>IF(ISBLANK(JobBonus[[#This Row],[Employee Name]]),"",INDEX(Employees[Job Title],MATCH(JobBonus[[#This Row],[Employee Name]],Employees[Employee Name2],0)))</f>
        <v/>
      </c>
      <c r="J345" s="19" t="str">
        <f>IF(ISBLANK(JobBonus[[#This Row],[Job Prov]]),"",IF(JobBonus[[#This Row],[Job Prov]]=INDEX(Employees[Province],MATCH(JobBonus[[#This Row],[Employee Name]],Employees[Employee Name2],0)),"No","Yes"))</f>
        <v/>
      </c>
      <c r="K345" s="17"/>
      <c r="L345" s="19"/>
      <c r="M345" s="23"/>
      <c r="N345" s="23"/>
      <c r="O345" s="15"/>
      <c r="P345" s="15"/>
      <c r="Q345" s="15"/>
      <c r="R345" s="15"/>
      <c r="S345" s="44" cm="1">
        <f t="array" ref="S3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5" s="44" cm="1">
        <f t="array" ref="T3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5" s="44">
        <f>JobBonus[[#This Row],[Variable Pay]]+JobBonus[[#This Row],[Crew Efficiency Bonus]]</f>
        <v>0</v>
      </c>
      <c r="V345" s="44" cm="1">
        <f t="array" ref="V3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5" s="44" t="b">
        <f>_xlfn.IFNA(EXACT(VLOOKUP(JobBonus[[#This Row],[Pay Type]],PayTypes[#All],4,FALSE),"Yes"),FALSE)</f>
        <v>0</v>
      </c>
      <c r="X345" s="44" cm="1">
        <f t="array" ref="X345">SUMPRODUCT((StandByRates[Position]=JobBonus[[#This Row],[Position]])*(JobBonus[[#This Row],[Area]]=StandByRates[Area])*(StandByRates[Hourly]*JobBonus[[#This Row],[Standby/ Ext 
Hrs]]))</f>
        <v>0</v>
      </c>
      <c r="Y345" s="44">
        <f>JobBonus[[#This Row],[Variable Pay]]+JobBonus[[#This Row],[Crew Efficiency Bonus]]+JobBonus[[#This Row],[OVPP]]+JobBonus[[#This Row],[StandBy/ Ext Amount]]</f>
        <v>0</v>
      </c>
      <c r="Z345" s="80"/>
      <c r="AA345" s="42"/>
      <c r="AB345" s="42"/>
      <c r="AC345"/>
      <c r="AD345"/>
      <c r="AE345"/>
      <c r="AF345"/>
    </row>
    <row r="346" spans="1:32" hidden="1" x14ac:dyDescent="0.25">
      <c r="A346" s="46"/>
      <c r="B346" s="80"/>
      <c r="C346" s="15"/>
      <c r="D346" s="15"/>
      <c r="E346" s="15"/>
      <c r="F346" s="15"/>
      <c r="G346" s="16"/>
      <c r="H346" s="16"/>
      <c r="I346" s="19" t="str">
        <f>IF(ISBLANK(JobBonus[[#This Row],[Employee Name]]),"",INDEX(Employees[Job Title],MATCH(JobBonus[[#This Row],[Employee Name]],Employees[Employee Name2],0)))</f>
        <v/>
      </c>
      <c r="J346" s="19" t="str">
        <f>IF(ISBLANK(JobBonus[[#This Row],[Job Prov]]),"",IF(JobBonus[[#This Row],[Job Prov]]=INDEX(Employees[Province],MATCH(JobBonus[[#This Row],[Employee Name]],Employees[Employee Name2],0)),"No","Yes"))</f>
        <v/>
      </c>
      <c r="K346" s="17"/>
      <c r="L346" s="19"/>
      <c r="M346" s="23"/>
      <c r="N346" s="23"/>
      <c r="O346" s="15"/>
      <c r="P346" s="15"/>
      <c r="Q346" s="15"/>
      <c r="R346" s="15"/>
      <c r="S346" s="44" cm="1">
        <f t="array" ref="S3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6" s="44" cm="1">
        <f t="array" ref="T3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6" s="44">
        <f>JobBonus[[#This Row],[Variable Pay]]+JobBonus[[#This Row],[Crew Efficiency Bonus]]</f>
        <v>0</v>
      </c>
      <c r="V346" s="44" cm="1">
        <f t="array" ref="V3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6" s="44" t="b">
        <f>_xlfn.IFNA(EXACT(VLOOKUP(JobBonus[[#This Row],[Pay Type]],PayTypes[#All],4,FALSE),"Yes"),FALSE)</f>
        <v>0</v>
      </c>
      <c r="X346" s="44" cm="1">
        <f t="array" ref="X346">SUMPRODUCT((StandByRates[Position]=JobBonus[[#This Row],[Position]])*(JobBonus[[#This Row],[Area]]=StandByRates[Area])*(StandByRates[Hourly]*JobBonus[[#This Row],[Standby/ Ext 
Hrs]]))</f>
        <v>0</v>
      </c>
      <c r="Y346" s="44">
        <f>JobBonus[[#This Row],[Variable Pay]]+JobBonus[[#This Row],[Crew Efficiency Bonus]]+JobBonus[[#This Row],[OVPP]]+JobBonus[[#This Row],[StandBy/ Ext Amount]]</f>
        <v>0</v>
      </c>
      <c r="Z346" s="80"/>
      <c r="AA346" s="42"/>
      <c r="AB346" s="42"/>
      <c r="AC346"/>
      <c r="AD346"/>
      <c r="AE346"/>
      <c r="AF346"/>
    </row>
    <row r="347" spans="1:32" hidden="1" x14ac:dyDescent="0.25">
      <c r="A347" s="46"/>
      <c r="B347" s="80"/>
      <c r="C347" s="15"/>
      <c r="D347" s="15"/>
      <c r="E347" s="15"/>
      <c r="F347" s="15"/>
      <c r="G347" s="16"/>
      <c r="H347" s="16"/>
      <c r="I347" s="19" t="str">
        <f>IF(ISBLANK(JobBonus[[#This Row],[Employee Name]]),"",INDEX(Employees[Job Title],MATCH(JobBonus[[#This Row],[Employee Name]],Employees[Employee Name2],0)))</f>
        <v/>
      </c>
      <c r="J347" s="19" t="str">
        <f>IF(ISBLANK(JobBonus[[#This Row],[Job Prov]]),"",IF(JobBonus[[#This Row],[Job Prov]]=INDEX(Employees[Province],MATCH(JobBonus[[#This Row],[Employee Name]],Employees[Employee Name2],0)),"No","Yes"))</f>
        <v/>
      </c>
      <c r="K347" s="17"/>
      <c r="L347" s="19"/>
      <c r="M347" s="23"/>
      <c r="N347" s="23"/>
      <c r="O347" s="15"/>
      <c r="P347" s="15"/>
      <c r="Q347" s="15"/>
      <c r="R347" s="15"/>
      <c r="S347" s="44" cm="1">
        <f t="array" ref="S3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7" s="44" cm="1">
        <f t="array" ref="T3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7" s="44">
        <f>JobBonus[[#This Row],[Variable Pay]]+JobBonus[[#This Row],[Crew Efficiency Bonus]]</f>
        <v>0</v>
      </c>
      <c r="V347" s="44" cm="1">
        <f t="array" ref="V3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7" s="44" t="b">
        <f>_xlfn.IFNA(EXACT(VLOOKUP(JobBonus[[#This Row],[Pay Type]],PayTypes[#All],4,FALSE),"Yes"),FALSE)</f>
        <v>0</v>
      </c>
      <c r="X347" s="44" cm="1">
        <f t="array" ref="X347">SUMPRODUCT((StandByRates[Position]=JobBonus[[#This Row],[Position]])*(JobBonus[[#This Row],[Area]]=StandByRates[Area])*(StandByRates[Hourly]*JobBonus[[#This Row],[Standby/ Ext 
Hrs]]))</f>
        <v>0</v>
      </c>
      <c r="Y347" s="44">
        <f>JobBonus[[#This Row],[Variable Pay]]+JobBonus[[#This Row],[Crew Efficiency Bonus]]+JobBonus[[#This Row],[OVPP]]+JobBonus[[#This Row],[StandBy/ Ext Amount]]</f>
        <v>0</v>
      </c>
      <c r="Z347" s="80"/>
      <c r="AA347" s="42"/>
      <c r="AB347" s="42"/>
      <c r="AC347"/>
      <c r="AD347"/>
      <c r="AE347"/>
      <c r="AF347"/>
    </row>
    <row r="348" spans="1:32" hidden="1" x14ac:dyDescent="0.25">
      <c r="A348" s="46"/>
      <c r="B348" s="80"/>
      <c r="C348" s="15"/>
      <c r="D348" s="15"/>
      <c r="E348" s="15"/>
      <c r="F348" s="15"/>
      <c r="G348" s="16"/>
      <c r="H348" s="16"/>
      <c r="I348" s="19" t="str">
        <f>IF(ISBLANK(JobBonus[[#This Row],[Employee Name]]),"",INDEX(Employees[Job Title],MATCH(JobBonus[[#This Row],[Employee Name]],Employees[Employee Name2],0)))</f>
        <v/>
      </c>
      <c r="J348" s="19" t="str">
        <f>IF(ISBLANK(JobBonus[[#This Row],[Job Prov]]),"",IF(JobBonus[[#This Row],[Job Prov]]=INDEX(Employees[Province],MATCH(JobBonus[[#This Row],[Employee Name]],Employees[Employee Name2],0)),"No","Yes"))</f>
        <v/>
      </c>
      <c r="K348" s="17"/>
      <c r="L348" s="19"/>
      <c r="M348" s="23"/>
      <c r="N348" s="23"/>
      <c r="O348" s="15"/>
      <c r="P348" s="15"/>
      <c r="Q348" s="15"/>
      <c r="R348" s="15"/>
      <c r="S348" s="44" cm="1">
        <f t="array" ref="S3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8" s="44" cm="1">
        <f t="array" ref="T3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8" s="44">
        <f>JobBonus[[#This Row],[Variable Pay]]+JobBonus[[#This Row],[Crew Efficiency Bonus]]</f>
        <v>0</v>
      </c>
      <c r="V348" s="44" cm="1">
        <f t="array" ref="V3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8" s="44" t="b">
        <f>_xlfn.IFNA(EXACT(VLOOKUP(JobBonus[[#This Row],[Pay Type]],PayTypes[#All],4,FALSE),"Yes"),FALSE)</f>
        <v>0</v>
      </c>
      <c r="X348" s="44" cm="1">
        <f t="array" ref="X348">SUMPRODUCT((StandByRates[Position]=JobBonus[[#This Row],[Position]])*(JobBonus[[#This Row],[Area]]=StandByRates[Area])*(StandByRates[Hourly]*JobBonus[[#This Row],[Standby/ Ext 
Hrs]]))</f>
        <v>0</v>
      </c>
      <c r="Y348" s="44">
        <f>JobBonus[[#This Row],[Variable Pay]]+JobBonus[[#This Row],[Crew Efficiency Bonus]]+JobBonus[[#This Row],[OVPP]]+JobBonus[[#This Row],[StandBy/ Ext Amount]]</f>
        <v>0</v>
      </c>
      <c r="Z348" s="80"/>
      <c r="AA348" s="42"/>
      <c r="AB348" s="42"/>
      <c r="AC348"/>
      <c r="AD348"/>
      <c r="AE348"/>
      <c r="AF348"/>
    </row>
    <row r="349" spans="1:32" hidden="1" x14ac:dyDescent="0.25">
      <c r="A349" s="46"/>
      <c r="B349" s="80"/>
      <c r="C349" s="15"/>
      <c r="D349" s="15"/>
      <c r="E349" s="15"/>
      <c r="F349" s="15"/>
      <c r="G349" s="16"/>
      <c r="H349" s="16"/>
      <c r="I349" s="19" t="str">
        <f>IF(ISBLANK(JobBonus[[#This Row],[Employee Name]]),"",INDEX(Employees[Job Title],MATCH(JobBonus[[#This Row],[Employee Name]],Employees[Employee Name2],0)))</f>
        <v/>
      </c>
      <c r="J349" s="19" t="str">
        <f>IF(ISBLANK(JobBonus[[#This Row],[Job Prov]]),"",IF(JobBonus[[#This Row],[Job Prov]]=INDEX(Employees[Province],MATCH(JobBonus[[#This Row],[Employee Name]],Employees[Employee Name2],0)),"No","Yes"))</f>
        <v/>
      </c>
      <c r="K349" s="17"/>
      <c r="L349" s="19"/>
      <c r="M349" s="23"/>
      <c r="N349" s="23"/>
      <c r="O349" s="15"/>
      <c r="P349" s="15"/>
      <c r="Q349" s="15"/>
      <c r="R349" s="15"/>
      <c r="S349" s="44" cm="1">
        <f t="array" ref="S3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9" s="44" cm="1">
        <f t="array" ref="T3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9" s="44">
        <f>JobBonus[[#This Row],[Variable Pay]]+JobBonus[[#This Row],[Crew Efficiency Bonus]]</f>
        <v>0</v>
      </c>
      <c r="V349" s="44" cm="1">
        <f t="array" ref="V3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9" s="44" t="b">
        <f>_xlfn.IFNA(EXACT(VLOOKUP(JobBonus[[#This Row],[Pay Type]],PayTypes[#All],4,FALSE),"Yes"),FALSE)</f>
        <v>0</v>
      </c>
      <c r="X349" s="44" cm="1">
        <f t="array" ref="X349">SUMPRODUCT((StandByRates[Position]=JobBonus[[#This Row],[Position]])*(JobBonus[[#This Row],[Area]]=StandByRates[Area])*(StandByRates[Hourly]*JobBonus[[#This Row],[Standby/ Ext 
Hrs]]))</f>
        <v>0</v>
      </c>
      <c r="Y349" s="44">
        <f>JobBonus[[#This Row],[Variable Pay]]+JobBonus[[#This Row],[Crew Efficiency Bonus]]+JobBonus[[#This Row],[OVPP]]+JobBonus[[#This Row],[StandBy/ Ext Amount]]</f>
        <v>0</v>
      </c>
      <c r="Z349" s="80"/>
      <c r="AA349" s="42"/>
      <c r="AB349" s="42"/>
      <c r="AC349"/>
      <c r="AD349"/>
      <c r="AE349"/>
      <c r="AF349"/>
    </row>
    <row r="350" spans="1:32" hidden="1" x14ac:dyDescent="0.25">
      <c r="A350" s="46"/>
      <c r="B350" s="80"/>
      <c r="C350" s="15"/>
      <c r="D350" s="15"/>
      <c r="E350" s="15"/>
      <c r="F350" s="15"/>
      <c r="G350" s="16"/>
      <c r="H350" s="16"/>
      <c r="I350" s="19" t="str">
        <f>IF(ISBLANK(JobBonus[[#This Row],[Employee Name]]),"",INDEX(Employees[Job Title],MATCH(JobBonus[[#This Row],[Employee Name]],Employees[Employee Name2],0)))</f>
        <v/>
      </c>
      <c r="J350" s="19" t="str">
        <f>IF(ISBLANK(JobBonus[[#This Row],[Job Prov]]),"",IF(JobBonus[[#This Row],[Job Prov]]=INDEX(Employees[Province],MATCH(JobBonus[[#This Row],[Employee Name]],Employees[Employee Name2],0)),"No","Yes"))</f>
        <v/>
      </c>
      <c r="K350" s="17"/>
      <c r="L350" s="19"/>
      <c r="M350" s="23"/>
      <c r="N350" s="23"/>
      <c r="O350" s="15"/>
      <c r="P350" s="15"/>
      <c r="Q350" s="15"/>
      <c r="R350" s="15"/>
      <c r="S350" s="44" cm="1">
        <f t="array" ref="S3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0" s="44" cm="1">
        <f t="array" ref="T3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0" s="44">
        <f>JobBonus[[#This Row],[Variable Pay]]+JobBonus[[#This Row],[Crew Efficiency Bonus]]</f>
        <v>0</v>
      </c>
      <c r="V350" s="44" cm="1">
        <f t="array" ref="V3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0" s="44" t="b">
        <f>_xlfn.IFNA(EXACT(VLOOKUP(JobBonus[[#This Row],[Pay Type]],PayTypes[#All],4,FALSE),"Yes"),FALSE)</f>
        <v>0</v>
      </c>
      <c r="X350" s="44" cm="1">
        <f t="array" ref="X350">SUMPRODUCT((StandByRates[Position]=JobBonus[[#This Row],[Position]])*(JobBonus[[#This Row],[Area]]=StandByRates[Area])*(StandByRates[Hourly]*JobBonus[[#This Row],[Standby/ Ext 
Hrs]]))</f>
        <v>0</v>
      </c>
      <c r="Y350" s="44">
        <f>JobBonus[[#This Row],[Variable Pay]]+JobBonus[[#This Row],[Crew Efficiency Bonus]]+JobBonus[[#This Row],[OVPP]]+JobBonus[[#This Row],[StandBy/ Ext Amount]]</f>
        <v>0</v>
      </c>
      <c r="Z350" s="80"/>
      <c r="AA350" s="42"/>
      <c r="AB350" s="42"/>
      <c r="AC350"/>
      <c r="AD350"/>
      <c r="AE350"/>
      <c r="AF350"/>
    </row>
    <row r="351" spans="1:32" hidden="1" x14ac:dyDescent="0.25">
      <c r="A351" s="46"/>
      <c r="B351" s="80"/>
      <c r="C351" s="15"/>
      <c r="D351" s="15"/>
      <c r="E351" s="15"/>
      <c r="F351" s="15"/>
      <c r="G351" s="16"/>
      <c r="H351" s="16"/>
      <c r="I351" s="19" t="str">
        <f>IF(ISBLANK(JobBonus[[#This Row],[Employee Name]]),"",INDEX(Employees[Job Title],MATCH(JobBonus[[#This Row],[Employee Name]],Employees[Employee Name2],0)))</f>
        <v/>
      </c>
      <c r="J351" s="19" t="str">
        <f>IF(ISBLANK(JobBonus[[#This Row],[Job Prov]]),"",IF(JobBonus[[#This Row],[Job Prov]]=INDEX(Employees[Province],MATCH(JobBonus[[#This Row],[Employee Name]],Employees[Employee Name2],0)),"No","Yes"))</f>
        <v/>
      </c>
      <c r="K351" s="17"/>
      <c r="L351" s="19"/>
      <c r="M351" s="23"/>
      <c r="N351" s="23"/>
      <c r="O351" s="15"/>
      <c r="P351" s="15"/>
      <c r="Q351" s="15"/>
      <c r="R351" s="15"/>
      <c r="S351" s="44" cm="1">
        <f t="array" ref="S3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1" s="44" cm="1">
        <f t="array" ref="T3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1" s="44">
        <f>JobBonus[[#This Row],[Variable Pay]]+JobBonus[[#This Row],[Crew Efficiency Bonus]]</f>
        <v>0</v>
      </c>
      <c r="V351" s="44" cm="1">
        <f t="array" ref="V3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1" s="44" t="b">
        <f>_xlfn.IFNA(EXACT(VLOOKUP(JobBonus[[#This Row],[Pay Type]],PayTypes[#All],4,FALSE),"Yes"),FALSE)</f>
        <v>0</v>
      </c>
      <c r="X351" s="44" cm="1">
        <f t="array" ref="X351">SUMPRODUCT((StandByRates[Position]=JobBonus[[#This Row],[Position]])*(JobBonus[[#This Row],[Area]]=StandByRates[Area])*(StandByRates[Hourly]*JobBonus[[#This Row],[Standby/ Ext 
Hrs]]))</f>
        <v>0</v>
      </c>
      <c r="Y351" s="44">
        <f>JobBonus[[#This Row],[Variable Pay]]+JobBonus[[#This Row],[Crew Efficiency Bonus]]+JobBonus[[#This Row],[OVPP]]+JobBonus[[#This Row],[StandBy/ Ext Amount]]</f>
        <v>0</v>
      </c>
      <c r="Z351" s="80"/>
      <c r="AA351" s="42"/>
      <c r="AB351" s="42"/>
      <c r="AC351"/>
      <c r="AD351"/>
      <c r="AE351"/>
      <c r="AF351"/>
    </row>
    <row r="352" spans="1:32" hidden="1" x14ac:dyDescent="0.25">
      <c r="A352" s="46"/>
      <c r="B352" s="80"/>
      <c r="C352" s="15"/>
      <c r="D352" s="15"/>
      <c r="E352" s="15"/>
      <c r="F352" s="15"/>
      <c r="G352" s="16"/>
      <c r="H352" s="16"/>
      <c r="I352" s="19" t="str">
        <f>IF(ISBLANK(JobBonus[[#This Row],[Employee Name]]),"",INDEX(Employees[Job Title],MATCH(JobBonus[[#This Row],[Employee Name]],Employees[Employee Name2],0)))</f>
        <v/>
      </c>
      <c r="J352" s="19" t="str">
        <f>IF(ISBLANK(JobBonus[[#This Row],[Job Prov]]),"",IF(JobBonus[[#This Row],[Job Prov]]=INDEX(Employees[Province],MATCH(JobBonus[[#This Row],[Employee Name]],Employees[Employee Name2],0)),"No","Yes"))</f>
        <v/>
      </c>
      <c r="K352" s="17"/>
      <c r="L352" s="19"/>
      <c r="M352" s="23"/>
      <c r="N352" s="23"/>
      <c r="O352" s="15"/>
      <c r="P352" s="15"/>
      <c r="Q352" s="15"/>
      <c r="R352" s="15"/>
      <c r="S352" s="44" cm="1">
        <f t="array" ref="S3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2" s="44" cm="1">
        <f t="array" ref="T3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2" s="44">
        <f>JobBonus[[#This Row],[Variable Pay]]+JobBonus[[#This Row],[Crew Efficiency Bonus]]</f>
        <v>0</v>
      </c>
      <c r="V352" s="44" cm="1">
        <f t="array" ref="V3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2" s="44" t="b">
        <f>_xlfn.IFNA(EXACT(VLOOKUP(JobBonus[[#This Row],[Pay Type]],PayTypes[#All],4,FALSE),"Yes"),FALSE)</f>
        <v>0</v>
      </c>
      <c r="X352" s="44" cm="1">
        <f t="array" ref="X352">SUMPRODUCT((StandByRates[Position]=JobBonus[[#This Row],[Position]])*(JobBonus[[#This Row],[Area]]=StandByRates[Area])*(StandByRates[Hourly]*JobBonus[[#This Row],[Standby/ Ext 
Hrs]]))</f>
        <v>0</v>
      </c>
      <c r="Y352" s="44">
        <f>JobBonus[[#This Row],[Variable Pay]]+JobBonus[[#This Row],[Crew Efficiency Bonus]]+JobBonus[[#This Row],[OVPP]]+JobBonus[[#This Row],[StandBy/ Ext Amount]]</f>
        <v>0</v>
      </c>
      <c r="Z352" s="80"/>
      <c r="AA352" s="42"/>
      <c r="AB352" s="42"/>
      <c r="AC352"/>
      <c r="AD352"/>
      <c r="AE352"/>
      <c r="AF352"/>
    </row>
    <row r="353" spans="1:32" hidden="1" x14ac:dyDescent="0.25">
      <c r="A353" s="46"/>
      <c r="B353" s="80"/>
      <c r="C353" s="15"/>
      <c r="D353" s="15"/>
      <c r="E353" s="15"/>
      <c r="F353" s="15"/>
      <c r="G353" s="16"/>
      <c r="H353" s="16"/>
      <c r="I353" s="19" t="str">
        <f>IF(ISBLANK(JobBonus[[#This Row],[Employee Name]]),"",INDEX(Employees[Job Title],MATCH(JobBonus[[#This Row],[Employee Name]],Employees[Employee Name2],0)))</f>
        <v/>
      </c>
      <c r="J353" s="19" t="str">
        <f>IF(ISBLANK(JobBonus[[#This Row],[Job Prov]]),"",IF(JobBonus[[#This Row],[Job Prov]]=INDEX(Employees[Province],MATCH(JobBonus[[#This Row],[Employee Name]],Employees[Employee Name2],0)),"No","Yes"))</f>
        <v/>
      </c>
      <c r="K353" s="17"/>
      <c r="L353" s="19"/>
      <c r="M353" s="23"/>
      <c r="N353" s="23"/>
      <c r="O353" s="15"/>
      <c r="P353" s="15"/>
      <c r="Q353" s="15"/>
      <c r="R353" s="15"/>
      <c r="S353" s="44" cm="1">
        <f t="array" ref="S3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3" s="44" cm="1">
        <f t="array" ref="T3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3" s="44">
        <f>JobBonus[[#This Row],[Variable Pay]]+JobBonus[[#This Row],[Crew Efficiency Bonus]]</f>
        <v>0</v>
      </c>
      <c r="V353" s="44" cm="1">
        <f t="array" ref="V3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3" s="44" t="b">
        <f>_xlfn.IFNA(EXACT(VLOOKUP(JobBonus[[#This Row],[Pay Type]],PayTypes[#All],4,FALSE),"Yes"),FALSE)</f>
        <v>0</v>
      </c>
      <c r="X353" s="44" cm="1">
        <f t="array" ref="X353">SUMPRODUCT((StandByRates[Position]=JobBonus[[#This Row],[Position]])*(JobBonus[[#This Row],[Area]]=StandByRates[Area])*(StandByRates[Hourly]*JobBonus[[#This Row],[Standby/ Ext 
Hrs]]))</f>
        <v>0</v>
      </c>
      <c r="Y353" s="44">
        <f>JobBonus[[#This Row],[Variable Pay]]+JobBonus[[#This Row],[Crew Efficiency Bonus]]+JobBonus[[#This Row],[OVPP]]+JobBonus[[#This Row],[StandBy/ Ext Amount]]</f>
        <v>0</v>
      </c>
      <c r="Z353" s="80"/>
      <c r="AA353" s="42"/>
      <c r="AB353" s="42"/>
      <c r="AC353"/>
      <c r="AD353"/>
      <c r="AE353"/>
      <c r="AF353"/>
    </row>
    <row r="354" spans="1:32" hidden="1" x14ac:dyDescent="0.25">
      <c r="A354" s="46"/>
      <c r="B354" s="80"/>
      <c r="C354" s="15"/>
      <c r="D354" s="15"/>
      <c r="E354" s="15"/>
      <c r="F354" s="15"/>
      <c r="G354" s="16"/>
      <c r="H354" s="16"/>
      <c r="I354" s="19" t="str">
        <f>IF(ISBLANK(JobBonus[[#This Row],[Employee Name]]),"",INDEX(Employees[Job Title],MATCH(JobBonus[[#This Row],[Employee Name]],Employees[Employee Name2],0)))</f>
        <v/>
      </c>
      <c r="J354" s="19" t="str">
        <f>IF(ISBLANK(JobBonus[[#This Row],[Job Prov]]),"",IF(JobBonus[[#This Row],[Job Prov]]=INDEX(Employees[Province],MATCH(JobBonus[[#This Row],[Employee Name]],Employees[Employee Name2],0)),"No","Yes"))</f>
        <v/>
      </c>
      <c r="K354" s="17"/>
      <c r="L354" s="19"/>
      <c r="M354" s="23"/>
      <c r="N354" s="23"/>
      <c r="O354" s="15"/>
      <c r="P354" s="15"/>
      <c r="Q354" s="15"/>
      <c r="R354" s="15"/>
      <c r="S354" s="44" cm="1">
        <f t="array" ref="S3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4" s="44" cm="1">
        <f t="array" ref="T3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4" s="44">
        <f>JobBonus[[#This Row],[Variable Pay]]+JobBonus[[#This Row],[Crew Efficiency Bonus]]</f>
        <v>0</v>
      </c>
      <c r="V354" s="44" cm="1">
        <f t="array" ref="V3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4" s="44" t="b">
        <f>_xlfn.IFNA(EXACT(VLOOKUP(JobBonus[[#This Row],[Pay Type]],PayTypes[#All],4,FALSE),"Yes"),FALSE)</f>
        <v>0</v>
      </c>
      <c r="X354" s="44" cm="1">
        <f t="array" ref="X354">SUMPRODUCT((StandByRates[Position]=JobBonus[[#This Row],[Position]])*(JobBonus[[#This Row],[Area]]=StandByRates[Area])*(StandByRates[Hourly]*JobBonus[[#This Row],[Standby/ Ext 
Hrs]]))</f>
        <v>0</v>
      </c>
      <c r="Y354" s="44">
        <f>JobBonus[[#This Row],[Variable Pay]]+JobBonus[[#This Row],[Crew Efficiency Bonus]]+JobBonus[[#This Row],[OVPP]]+JobBonus[[#This Row],[StandBy/ Ext Amount]]</f>
        <v>0</v>
      </c>
      <c r="Z354" s="80"/>
      <c r="AA354" s="42"/>
      <c r="AB354" s="42"/>
      <c r="AC354"/>
      <c r="AD354"/>
      <c r="AE354"/>
      <c r="AF354"/>
    </row>
    <row r="355" spans="1:32" hidden="1" x14ac:dyDescent="0.25">
      <c r="A355" s="46"/>
      <c r="B355" s="80"/>
      <c r="C355" s="15"/>
      <c r="D355" s="15"/>
      <c r="E355" s="15"/>
      <c r="F355" s="15"/>
      <c r="G355" s="16"/>
      <c r="H355" s="16"/>
      <c r="I355" s="19" t="str">
        <f>IF(ISBLANK(JobBonus[[#This Row],[Employee Name]]),"",INDEX(Employees[Job Title],MATCH(JobBonus[[#This Row],[Employee Name]],Employees[Employee Name2],0)))</f>
        <v/>
      </c>
      <c r="J355" s="19" t="str">
        <f>IF(ISBLANK(JobBonus[[#This Row],[Job Prov]]),"",IF(JobBonus[[#This Row],[Job Prov]]=INDEX(Employees[Province],MATCH(JobBonus[[#This Row],[Employee Name]],Employees[Employee Name2],0)),"No","Yes"))</f>
        <v/>
      </c>
      <c r="K355" s="17"/>
      <c r="L355" s="19"/>
      <c r="M355" s="23"/>
      <c r="N355" s="23"/>
      <c r="O355" s="15"/>
      <c r="P355" s="15"/>
      <c r="Q355" s="15"/>
      <c r="R355" s="15"/>
      <c r="S355" s="44" cm="1">
        <f t="array" ref="S3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5" s="44" cm="1">
        <f t="array" ref="T3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5" s="44">
        <f>JobBonus[[#This Row],[Variable Pay]]+JobBonus[[#This Row],[Crew Efficiency Bonus]]</f>
        <v>0</v>
      </c>
      <c r="V355" s="44" cm="1">
        <f t="array" ref="V3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5" s="44" t="b">
        <f>_xlfn.IFNA(EXACT(VLOOKUP(JobBonus[[#This Row],[Pay Type]],PayTypes[#All],4,FALSE),"Yes"),FALSE)</f>
        <v>0</v>
      </c>
      <c r="X355" s="44" cm="1">
        <f t="array" ref="X355">SUMPRODUCT((StandByRates[Position]=JobBonus[[#This Row],[Position]])*(JobBonus[[#This Row],[Area]]=StandByRates[Area])*(StandByRates[Hourly]*JobBonus[[#This Row],[Standby/ Ext 
Hrs]]))</f>
        <v>0</v>
      </c>
      <c r="Y355" s="44">
        <f>JobBonus[[#This Row],[Variable Pay]]+JobBonus[[#This Row],[Crew Efficiency Bonus]]+JobBonus[[#This Row],[OVPP]]+JobBonus[[#This Row],[StandBy/ Ext Amount]]</f>
        <v>0</v>
      </c>
      <c r="Z355" s="80"/>
      <c r="AA355" s="42"/>
      <c r="AB355" s="42"/>
      <c r="AC355"/>
      <c r="AD355"/>
      <c r="AE355"/>
      <c r="AF355"/>
    </row>
    <row r="356" spans="1:32" hidden="1" x14ac:dyDescent="0.25">
      <c r="A356" s="46"/>
      <c r="B356" s="80"/>
      <c r="C356" s="15"/>
      <c r="D356" s="15"/>
      <c r="E356" s="15"/>
      <c r="F356" s="15"/>
      <c r="G356" s="16"/>
      <c r="H356" s="16"/>
      <c r="I356" s="19" t="str">
        <f>IF(ISBLANK(JobBonus[[#This Row],[Employee Name]]),"",INDEX(Employees[Job Title],MATCH(JobBonus[[#This Row],[Employee Name]],Employees[Employee Name2],0)))</f>
        <v/>
      </c>
      <c r="J356" s="19" t="str">
        <f>IF(ISBLANK(JobBonus[[#This Row],[Job Prov]]),"",IF(JobBonus[[#This Row],[Job Prov]]=INDEX(Employees[Province],MATCH(JobBonus[[#This Row],[Employee Name]],Employees[Employee Name2],0)),"No","Yes"))</f>
        <v/>
      </c>
      <c r="K356" s="17"/>
      <c r="L356" s="19"/>
      <c r="M356" s="23"/>
      <c r="N356" s="23"/>
      <c r="O356" s="15"/>
      <c r="P356" s="15"/>
      <c r="Q356" s="15"/>
      <c r="R356" s="15"/>
      <c r="S356" s="44" cm="1">
        <f t="array" ref="S3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6" s="44" cm="1">
        <f t="array" ref="T3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6" s="44">
        <f>JobBonus[[#This Row],[Variable Pay]]+JobBonus[[#This Row],[Crew Efficiency Bonus]]</f>
        <v>0</v>
      </c>
      <c r="V356" s="44" cm="1">
        <f t="array" ref="V3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6" s="44" t="b">
        <f>_xlfn.IFNA(EXACT(VLOOKUP(JobBonus[[#This Row],[Pay Type]],PayTypes[#All],4,FALSE),"Yes"),FALSE)</f>
        <v>0</v>
      </c>
      <c r="X356" s="44" cm="1">
        <f t="array" ref="X356">SUMPRODUCT((StandByRates[Position]=JobBonus[[#This Row],[Position]])*(JobBonus[[#This Row],[Area]]=StandByRates[Area])*(StandByRates[Hourly]*JobBonus[[#This Row],[Standby/ Ext 
Hrs]]))</f>
        <v>0</v>
      </c>
      <c r="Y356" s="44">
        <f>JobBonus[[#This Row],[Variable Pay]]+JobBonus[[#This Row],[Crew Efficiency Bonus]]+JobBonus[[#This Row],[OVPP]]+JobBonus[[#This Row],[StandBy/ Ext Amount]]</f>
        <v>0</v>
      </c>
      <c r="Z356" s="80"/>
      <c r="AA356" s="42"/>
      <c r="AB356" s="42"/>
      <c r="AC356"/>
      <c r="AD356"/>
      <c r="AE356"/>
      <c r="AF356"/>
    </row>
    <row r="357" spans="1:32" hidden="1" x14ac:dyDescent="0.25">
      <c r="A357" s="46"/>
      <c r="B357" s="80"/>
      <c r="C357" s="15"/>
      <c r="D357" s="15"/>
      <c r="E357" s="15"/>
      <c r="F357" s="15"/>
      <c r="G357" s="16"/>
      <c r="H357" s="16"/>
      <c r="I357" s="19" t="str">
        <f>IF(ISBLANK(JobBonus[[#This Row],[Employee Name]]),"",INDEX(Employees[Job Title],MATCH(JobBonus[[#This Row],[Employee Name]],Employees[Employee Name2],0)))</f>
        <v/>
      </c>
      <c r="J357" s="19" t="str">
        <f>IF(ISBLANK(JobBonus[[#This Row],[Job Prov]]),"",IF(JobBonus[[#This Row],[Job Prov]]=INDEX(Employees[Province],MATCH(JobBonus[[#This Row],[Employee Name]],Employees[Employee Name2],0)),"No","Yes"))</f>
        <v/>
      </c>
      <c r="K357" s="17"/>
      <c r="L357" s="19"/>
      <c r="M357" s="23"/>
      <c r="N357" s="23"/>
      <c r="O357" s="15"/>
      <c r="P357" s="15"/>
      <c r="Q357" s="15"/>
      <c r="R357" s="15"/>
      <c r="S357" s="44" cm="1">
        <f t="array" ref="S3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7" s="44" cm="1">
        <f t="array" ref="T3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7" s="44">
        <f>JobBonus[[#This Row],[Variable Pay]]+JobBonus[[#This Row],[Crew Efficiency Bonus]]</f>
        <v>0</v>
      </c>
      <c r="V357" s="44" cm="1">
        <f t="array" ref="V3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7" s="44" t="b">
        <f>_xlfn.IFNA(EXACT(VLOOKUP(JobBonus[[#This Row],[Pay Type]],PayTypes[#All],4,FALSE),"Yes"),FALSE)</f>
        <v>0</v>
      </c>
      <c r="X357" s="44" cm="1">
        <f t="array" ref="X357">SUMPRODUCT((StandByRates[Position]=JobBonus[[#This Row],[Position]])*(JobBonus[[#This Row],[Area]]=StandByRates[Area])*(StandByRates[Hourly]*JobBonus[[#This Row],[Standby/ Ext 
Hrs]]))</f>
        <v>0</v>
      </c>
      <c r="Y357" s="44">
        <f>JobBonus[[#This Row],[Variable Pay]]+JobBonus[[#This Row],[Crew Efficiency Bonus]]+JobBonus[[#This Row],[OVPP]]+JobBonus[[#This Row],[StandBy/ Ext Amount]]</f>
        <v>0</v>
      </c>
      <c r="Z357" s="80"/>
      <c r="AA357" s="42"/>
      <c r="AB357" s="42"/>
      <c r="AC357"/>
      <c r="AD357"/>
      <c r="AE357"/>
      <c r="AF357"/>
    </row>
    <row r="358" spans="1:32" hidden="1" x14ac:dyDescent="0.25">
      <c r="A358" s="18"/>
      <c r="B358" s="80"/>
      <c r="C358" s="15"/>
      <c r="D358" s="15"/>
      <c r="E358" s="15"/>
      <c r="F358" s="15"/>
      <c r="G358" s="16"/>
      <c r="H358" s="16"/>
      <c r="I358" s="19" t="str">
        <f>IF(ISBLANK(JobBonus[[#This Row],[Employee Name]]),"",INDEX(Employees[Job Title],MATCH(JobBonus[[#This Row],[Employee Name]],Employees[Employee Name2],0)))</f>
        <v/>
      </c>
      <c r="J358" s="19" t="str">
        <f>IF(ISBLANK(JobBonus[[#This Row],[Job Prov]]),"",IF(JobBonus[[#This Row],[Job Prov]]=INDEX(Employees[Province],MATCH(JobBonus[[#This Row],[Employee Name]],Employees[Employee Name2],0)),"No","Yes"))</f>
        <v/>
      </c>
      <c r="K358" s="17"/>
      <c r="L358" s="19"/>
      <c r="M358" s="23"/>
      <c r="N358" s="23"/>
      <c r="O358" s="15"/>
      <c r="P358" s="15"/>
      <c r="Q358" s="15"/>
      <c r="R358" s="15"/>
      <c r="S358" s="44" cm="1">
        <f t="array" ref="S3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8" s="44" cm="1">
        <f t="array" ref="T3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8" s="44">
        <f>JobBonus[[#This Row],[Variable Pay]]+JobBonus[[#This Row],[Crew Efficiency Bonus]]</f>
        <v>0</v>
      </c>
      <c r="V358" s="44" cm="1">
        <f t="array" ref="V3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8" s="44" t="b">
        <f>_xlfn.IFNA(EXACT(VLOOKUP(JobBonus[[#This Row],[Pay Type]],PayTypes[#All],4,FALSE),"Yes"),FALSE)</f>
        <v>0</v>
      </c>
      <c r="X358" s="44" cm="1">
        <f t="array" ref="X358">SUMPRODUCT((StandByRates[Position]=JobBonus[[#This Row],[Position]])*(JobBonus[[#This Row],[Area]]=StandByRates[Area])*(StandByRates[Hourly]*JobBonus[[#This Row],[Standby/ Ext 
Hrs]]))</f>
        <v>0</v>
      </c>
      <c r="Y358" s="44">
        <f>JobBonus[[#This Row],[Variable Pay]]+JobBonus[[#This Row],[Crew Efficiency Bonus]]+JobBonus[[#This Row],[OVPP]]+JobBonus[[#This Row],[StandBy/ Ext Amount]]</f>
        <v>0</v>
      </c>
      <c r="Z358" s="80"/>
      <c r="AA358" s="42"/>
      <c r="AB358" s="42"/>
      <c r="AC358"/>
      <c r="AD358"/>
      <c r="AE358"/>
      <c r="AF358"/>
    </row>
    <row r="359" spans="1:32" hidden="1" x14ac:dyDescent="0.25">
      <c r="A359" s="46"/>
      <c r="B359" s="80"/>
      <c r="C359" s="15"/>
      <c r="D359" s="15"/>
      <c r="E359" s="15"/>
      <c r="F359" s="15"/>
      <c r="G359" s="16"/>
      <c r="H359" s="16"/>
      <c r="I359" s="19" t="str">
        <f>IF(ISBLANK(JobBonus[[#This Row],[Employee Name]]),"",INDEX(Employees[Job Title],MATCH(JobBonus[[#This Row],[Employee Name]],Employees[Employee Name2],0)))</f>
        <v/>
      </c>
      <c r="J359" s="19" t="str">
        <f>IF(ISBLANK(JobBonus[[#This Row],[Job Prov]]),"",IF(JobBonus[[#This Row],[Job Prov]]=INDEX(Employees[Province],MATCH(JobBonus[[#This Row],[Employee Name]],Employees[Employee Name2],0)),"No","Yes"))</f>
        <v/>
      </c>
      <c r="K359" s="17"/>
      <c r="L359" s="19"/>
      <c r="M359" s="23"/>
      <c r="N359" s="23"/>
      <c r="O359" s="15"/>
      <c r="P359" s="15"/>
      <c r="Q359" s="15"/>
      <c r="R359" s="15"/>
      <c r="S359" s="44" cm="1">
        <f t="array" ref="S3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9" s="44" cm="1">
        <f t="array" ref="T3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9" s="44">
        <f>JobBonus[[#This Row],[Variable Pay]]+JobBonus[[#This Row],[Crew Efficiency Bonus]]</f>
        <v>0</v>
      </c>
      <c r="V359" s="44" cm="1">
        <f t="array" ref="V3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9" s="44" t="b">
        <f>_xlfn.IFNA(EXACT(VLOOKUP(JobBonus[[#This Row],[Pay Type]],PayTypes[#All],4,FALSE),"Yes"),FALSE)</f>
        <v>0</v>
      </c>
      <c r="X359" s="44" cm="1">
        <f t="array" ref="X359">SUMPRODUCT((StandByRates[Position]=JobBonus[[#This Row],[Position]])*(JobBonus[[#This Row],[Area]]=StandByRates[Area])*(StandByRates[Hourly]*JobBonus[[#This Row],[Standby/ Ext 
Hrs]]))</f>
        <v>0</v>
      </c>
      <c r="Y359" s="44">
        <f>JobBonus[[#This Row],[Variable Pay]]+JobBonus[[#This Row],[Crew Efficiency Bonus]]+JobBonus[[#This Row],[OVPP]]+JobBonus[[#This Row],[StandBy/ Ext Amount]]</f>
        <v>0</v>
      </c>
      <c r="Z359" s="80"/>
      <c r="AA359" s="42"/>
      <c r="AB359" s="42"/>
      <c r="AC359"/>
      <c r="AD359"/>
      <c r="AE359"/>
      <c r="AF359"/>
    </row>
    <row r="360" spans="1:32" hidden="1" x14ac:dyDescent="0.25">
      <c r="A360" s="46"/>
      <c r="B360" s="80"/>
      <c r="C360" s="15"/>
      <c r="D360" s="15"/>
      <c r="E360" s="15"/>
      <c r="F360" s="15"/>
      <c r="G360" s="16"/>
      <c r="H360" s="16"/>
      <c r="I360" s="19" t="str">
        <f>IF(ISBLANK(JobBonus[[#This Row],[Employee Name]]),"",INDEX(Employees[Job Title],MATCH(JobBonus[[#This Row],[Employee Name]],Employees[Employee Name2],0)))</f>
        <v/>
      </c>
      <c r="J360" s="19" t="str">
        <f>IF(ISBLANK(JobBonus[[#This Row],[Job Prov]]),"",IF(JobBonus[[#This Row],[Job Prov]]=INDEX(Employees[Province],MATCH(JobBonus[[#This Row],[Employee Name]],Employees[Employee Name2],0)),"No","Yes"))</f>
        <v/>
      </c>
      <c r="K360" s="17"/>
      <c r="L360" s="19"/>
      <c r="M360" s="23"/>
      <c r="N360" s="23"/>
      <c r="O360" s="15"/>
      <c r="P360" s="15"/>
      <c r="Q360" s="15"/>
      <c r="R360" s="15"/>
      <c r="S360" s="44" cm="1">
        <f t="array" ref="S3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0" s="44" cm="1">
        <f t="array" ref="T3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0" s="44">
        <f>JobBonus[[#This Row],[Variable Pay]]+JobBonus[[#This Row],[Crew Efficiency Bonus]]</f>
        <v>0</v>
      </c>
      <c r="V360" s="44" cm="1">
        <f t="array" ref="V3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0" s="44" t="b">
        <f>_xlfn.IFNA(EXACT(VLOOKUP(JobBonus[[#This Row],[Pay Type]],PayTypes[#All],4,FALSE),"Yes"),FALSE)</f>
        <v>0</v>
      </c>
      <c r="X360" s="44" cm="1">
        <f t="array" ref="X360">SUMPRODUCT((StandByRates[Position]=JobBonus[[#This Row],[Position]])*(JobBonus[[#This Row],[Area]]=StandByRates[Area])*(StandByRates[Hourly]*JobBonus[[#This Row],[Standby/ Ext 
Hrs]]))</f>
        <v>0</v>
      </c>
      <c r="Y360" s="44">
        <f>JobBonus[[#This Row],[Variable Pay]]+JobBonus[[#This Row],[Crew Efficiency Bonus]]+JobBonus[[#This Row],[OVPP]]+JobBonus[[#This Row],[StandBy/ Ext Amount]]</f>
        <v>0</v>
      </c>
      <c r="Z360" s="80"/>
      <c r="AA360" s="42"/>
      <c r="AB360" s="42"/>
      <c r="AC360"/>
      <c r="AD360"/>
      <c r="AE360"/>
      <c r="AF360"/>
    </row>
    <row r="361" spans="1:32" hidden="1" x14ac:dyDescent="0.25">
      <c r="A361" s="46"/>
      <c r="B361" s="80"/>
      <c r="C361" s="15"/>
      <c r="D361" s="15"/>
      <c r="E361" s="15"/>
      <c r="F361" s="15"/>
      <c r="G361" s="16"/>
      <c r="H361" s="16"/>
      <c r="I361" s="19" t="str">
        <f>IF(ISBLANK(JobBonus[[#This Row],[Employee Name]]),"",INDEX(Employees[Job Title],MATCH(JobBonus[[#This Row],[Employee Name]],Employees[Employee Name2],0)))</f>
        <v/>
      </c>
      <c r="J361" s="19" t="str">
        <f>IF(ISBLANK(JobBonus[[#This Row],[Job Prov]]),"",IF(JobBonus[[#This Row],[Job Prov]]=INDEX(Employees[Province],MATCH(JobBonus[[#This Row],[Employee Name]],Employees[Employee Name2],0)),"No","Yes"))</f>
        <v/>
      </c>
      <c r="K361" s="17"/>
      <c r="L361" s="19"/>
      <c r="M361" s="23"/>
      <c r="N361" s="23"/>
      <c r="O361" s="15"/>
      <c r="P361" s="15"/>
      <c r="Q361" s="15"/>
      <c r="R361" s="15"/>
      <c r="S361" s="44" cm="1">
        <f t="array" ref="S3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1" s="44" cm="1">
        <f t="array" ref="T3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1" s="44">
        <f>JobBonus[[#This Row],[Variable Pay]]+JobBonus[[#This Row],[Crew Efficiency Bonus]]</f>
        <v>0</v>
      </c>
      <c r="V361" s="44" cm="1">
        <f t="array" ref="V3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1" s="44" t="b">
        <f>_xlfn.IFNA(EXACT(VLOOKUP(JobBonus[[#This Row],[Pay Type]],PayTypes[#All],4,FALSE),"Yes"),FALSE)</f>
        <v>0</v>
      </c>
      <c r="X361" s="44" cm="1">
        <f t="array" ref="X361">SUMPRODUCT((StandByRates[Position]=JobBonus[[#This Row],[Position]])*(JobBonus[[#This Row],[Area]]=StandByRates[Area])*(StandByRates[Hourly]*JobBonus[[#This Row],[Standby/ Ext 
Hrs]]))</f>
        <v>0</v>
      </c>
      <c r="Y361" s="44">
        <f>JobBonus[[#This Row],[Variable Pay]]+JobBonus[[#This Row],[Crew Efficiency Bonus]]+JobBonus[[#This Row],[OVPP]]+JobBonus[[#This Row],[StandBy/ Ext Amount]]</f>
        <v>0</v>
      </c>
      <c r="Z361" s="80"/>
      <c r="AA361" s="42"/>
      <c r="AB361" s="42"/>
      <c r="AC361"/>
      <c r="AD361"/>
      <c r="AE361"/>
      <c r="AF361"/>
    </row>
    <row r="362" spans="1:32" hidden="1" x14ac:dyDescent="0.25">
      <c r="A362" s="46"/>
      <c r="B362" s="80"/>
      <c r="C362" s="15"/>
      <c r="D362" s="15"/>
      <c r="E362" s="15"/>
      <c r="F362" s="15"/>
      <c r="G362" s="16"/>
      <c r="H362" s="16"/>
      <c r="I362" s="19" t="str">
        <f>IF(ISBLANK(JobBonus[[#This Row],[Employee Name]]),"",INDEX(Employees[Job Title],MATCH(JobBonus[[#This Row],[Employee Name]],Employees[Employee Name2],0)))</f>
        <v/>
      </c>
      <c r="J362" s="19" t="str">
        <f>IF(ISBLANK(JobBonus[[#This Row],[Job Prov]]),"",IF(JobBonus[[#This Row],[Job Prov]]=INDEX(Employees[Province],MATCH(JobBonus[[#This Row],[Employee Name]],Employees[Employee Name2],0)),"No","Yes"))</f>
        <v/>
      </c>
      <c r="K362" s="17"/>
      <c r="L362" s="19"/>
      <c r="M362" s="23"/>
      <c r="N362" s="23"/>
      <c r="O362" s="15"/>
      <c r="P362" s="15"/>
      <c r="Q362" s="15"/>
      <c r="R362" s="15"/>
      <c r="S362" s="44" cm="1">
        <f t="array" ref="S3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2" s="44" cm="1">
        <f t="array" ref="T3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2" s="44">
        <f>JobBonus[[#This Row],[Variable Pay]]+JobBonus[[#This Row],[Crew Efficiency Bonus]]</f>
        <v>0</v>
      </c>
      <c r="V362" s="44" cm="1">
        <f t="array" ref="V3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2" s="44" t="b">
        <f>_xlfn.IFNA(EXACT(VLOOKUP(JobBonus[[#This Row],[Pay Type]],PayTypes[#All],4,FALSE),"Yes"),FALSE)</f>
        <v>0</v>
      </c>
      <c r="X362" s="44" cm="1">
        <f t="array" ref="X362">SUMPRODUCT((StandByRates[Position]=JobBonus[[#This Row],[Position]])*(JobBonus[[#This Row],[Area]]=StandByRates[Area])*(StandByRates[Hourly]*JobBonus[[#This Row],[Standby/ Ext 
Hrs]]))</f>
        <v>0</v>
      </c>
      <c r="Y362" s="44">
        <f>JobBonus[[#This Row],[Variable Pay]]+JobBonus[[#This Row],[Crew Efficiency Bonus]]+JobBonus[[#This Row],[OVPP]]+JobBonus[[#This Row],[StandBy/ Ext Amount]]</f>
        <v>0</v>
      </c>
      <c r="Z362" s="80"/>
      <c r="AA362" s="42"/>
      <c r="AB362" s="42"/>
      <c r="AC362"/>
      <c r="AD362"/>
      <c r="AE362"/>
      <c r="AF362"/>
    </row>
    <row r="363" spans="1:32" hidden="1" x14ac:dyDescent="0.25">
      <c r="A363" s="46"/>
      <c r="B363" s="80"/>
      <c r="C363" s="15"/>
      <c r="D363" s="15"/>
      <c r="E363" s="15"/>
      <c r="F363" s="15"/>
      <c r="G363" s="16"/>
      <c r="H363" s="16"/>
      <c r="I363" s="19" t="str">
        <f>IF(ISBLANK(JobBonus[[#This Row],[Employee Name]]),"",INDEX(Employees[Job Title],MATCH(JobBonus[[#This Row],[Employee Name]],Employees[Employee Name2],0)))</f>
        <v/>
      </c>
      <c r="J363" s="19" t="str">
        <f>IF(ISBLANK(JobBonus[[#This Row],[Job Prov]]),"",IF(JobBonus[[#This Row],[Job Prov]]=INDEX(Employees[Province],MATCH(JobBonus[[#This Row],[Employee Name]],Employees[Employee Name2],0)),"No","Yes"))</f>
        <v/>
      </c>
      <c r="K363" s="17"/>
      <c r="L363" s="19"/>
      <c r="M363" s="23"/>
      <c r="N363" s="23"/>
      <c r="O363" s="15"/>
      <c r="P363" s="15"/>
      <c r="Q363" s="15"/>
      <c r="R363" s="15"/>
      <c r="S363" s="44" cm="1">
        <f t="array" ref="S3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3" s="44" cm="1">
        <f t="array" ref="T3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3" s="44">
        <f>JobBonus[[#This Row],[Variable Pay]]+JobBonus[[#This Row],[Crew Efficiency Bonus]]</f>
        <v>0</v>
      </c>
      <c r="V363" s="44" cm="1">
        <f t="array" ref="V3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3" s="44" t="b">
        <f>_xlfn.IFNA(EXACT(VLOOKUP(JobBonus[[#This Row],[Pay Type]],PayTypes[#All],4,FALSE),"Yes"),FALSE)</f>
        <v>0</v>
      </c>
      <c r="X363" s="44" cm="1">
        <f t="array" ref="X363">SUMPRODUCT((StandByRates[Position]=JobBonus[[#This Row],[Position]])*(JobBonus[[#This Row],[Area]]=StandByRates[Area])*(StandByRates[Hourly]*JobBonus[[#This Row],[Standby/ Ext 
Hrs]]))</f>
        <v>0</v>
      </c>
      <c r="Y363" s="44">
        <f>JobBonus[[#This Row],[Variable Pay]]+JobBonus[[#This Row],[Crew Efficiency Bonus]]+JobBonus[[#This Row],[OVPP]]+JobBonus[[#This Row],[StandBy/ Ext Amount]]</f>
        <v>0</v>
      </c>
      <c r="Z363" s="80"/>
      <c r="AA363" s="42"/>
      <c r="AB363" s="42"/>
      <c r="AC363"/>
      <c r="AD363"/>
      <c r="AE363"/>
      <c r="AF363"/>
    </row>
    <row r="364" spans="1:32" hidden="1" x14ac:dyDescent="0.25">
      <c r="A364" s="46"/>
      <c r="B364" s="80"/>
      <c r="C364" s="15"/>
      <c r="D364" s="15"/>
      <c r="E364" s="15"/>
      <c r="F364" s="15"/>
      <c r="G364" s="16"/>
      <c r="H364" s="16"/>
      <c r="I364" s="19" t="str">
        <f>IF(ISBLANK(JobBonus[[#This Row],[Employee Name]]),"",INDEX(Employees[Job Title],MATCH(JobBonus[[#This Row],[Employee Name]],Employees[Employee Name2],0)))</f>
        <v/>
      </c>
      <c r="J364" s="19" t="str">
        <f>IF(ISBLANK(JobBonus[[#This Row],[Job Prov]]),"",IF(JobBonus[[#This Row],[Job Prov]]=INDEX(Employees[Province],MATCH(JobBonus[[#This Row],[Employee Name]],Employees[Employee Name2],0)),"No","Yes"))</f>
        <v/>
      </c>
      <c r="K364" s="17"/>
      <c r="L364" s="19"/>
      <c r="M364" s="23"/>
      <c r="N364" s="23"/>
      <c r="O364" s="15"/>
      <c r="P364" s="15"/>
      <c r="Q364" s="15"/>
      <c r="R364" s="15"/>
      <c r="S364" s="44" cm="1">
        <f t="array" ref="S3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4" s="44" cm="1">
        <f t="array" ref="T3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4" s="44">
        <f>JobBonus[[#This Row],[Variable Pay]]+JobBonus[[#This Row],[Crew Efficiency Bonus]]</f>
        <v>0</v>
      </c>
      <c r="V364" s="44" cm="1">
        <f t="array" ref="V3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4" s="44" t="b">
        <f>_xlfn.IFNA(EXACT(VLOOKUP(JobBonus[[#This Row],[Pay Type]],PayTypes[#All],4,FALSE),"Yes"),FALSE)</f>
        <v>0</v>
      </c>
      <c r="X364" s="44" cm="1">
        <f t="array" ref="X364">SUMPRODUCT((StandByRates[Position]=JobBonus[[#This Row],[Position]])*(JobBonus[[#This Row],[Area]]=StandByRates[Area])*(StandByRates[Hourly]*JobBonus[[#This Row],[Standby/ Ext 
Hrs]]))</f>
        <v>0</v>
      </c>
      <c r="Y364" s="44">
        <f>JobBonus[[#This Row],[Variable Pay]]+JobBonus[[#This Row],[Crew Efficiency Bonus]]+JobBonus[[#This Row],[OVPP]]+JobBonus[[#This Row],[StandBy/ Ext Amount]]</f>
        <v>0</v>
      </c>
      <c r="Z364" s="80"/>
      <c r="AA364" s="42"/>
      <c r="AB364" s="42"/>
      <c r="AC364"/>
      <c r="AD364"/>
      <c r="AE364"/>
      <c r="AF364"/>
    </row>
    <row r="365" spans="1:32" hidden="1" x14ac:dyDescent="0.25">
      <c r="A365" s="46"/>
      <c r="B365" s="80"/>
      <c r="C365" s="15"/>
      <c r="D365" s="15"/>
      <c r="E365" s="15"/>
      <c r="F365" s="15"/>
      <c r="G365" s="16"/>
      <c r="H365" s="16"/>
      <c r="I365" s="19" t="str">
        <f>IF(ISBLANK(JobBonus[[#This Row],[Employee Name]]),"",INDEX(Employees[Job Title],MATCH(JobBonus[[#This Row],[Employee Name]],Employees[Employee Name2],0)))</f>
        <v/>
      </c>
      <c r="J365" s="19" t="str">
        <f>IF(ISBLANK(JobBonus[[#This Row],[Job Prov]]),"",IF(JobBonus[[#This Row],[Job Prov]]=INDEX(Employees[Province],MATCH(JobBonus[[#This Row],[Employee Name]],Employees[Employee Name2],0)),"No","Yes"))</f>
        <v/>
      </c>
      <c r="K365" s="17"/>
      <c r="L365" s="19"/>
      <c r="M365" s="23"/>
      <c r="N365" s="23"/>
      <c r="O365" s="15"/>
      <c r="P365" s="15"/>
      <c r="Q365" s="15"/>
      <c r="R365" s="15"/>
      <c r="S365" s="44" cm="1">
        <f t="array" ref="S3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5" s="44" cm="1">
        <f t="array" ref="T3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5" s="44">
        <f>JobBonus[[#This Row],[Variable Pay]]+JobBonus[[#This Row],[Crew Efficiency Bonus]]</f>
        <v>0</v>
      </c>
      <c r="V365" s="44" cm="1">
        <f t="array" ref="V3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5" s="44" t="b">
        <f>_xlfn.IFNA(EXACT(VLOOKUP(JobBonus[[#This Row],[Pay Type]],PayTypes[#All],4,FALSE),"Yes"),FALSE)</f>
        <v>0</v>
      </c>
      <c r="X365" s="44" cm="1">
        <f t="array" ref="X365">SUMPRODUCT((StandByRates[Position]=JobBonus[[#This Row],[Position]])*(JobBonus[[#This Row],[Area]]=StandByRates[Area])*(StandByRates[Hourly]*JobBonus[[#This Row],[Standby/ Ext 
Hrs]]))</f>
        <v>0</v>
      </c>
      <c r="Y365" s="44">
        <f>JobBonus[[#This Row],[Variable Pay]]+JobBonus[[#This Row],[Crew Efficiency Bonus]]+JobBonus[[#This Row],[OVPP]]+JobBonus[[#This Row],[StandBy/ Ext Amount]]</f>
        <v>0</v>
      </c>
      <c r="Z365" s="80"/>
      <c r="AA365" s="42"/>
      <c r="AB365" s="42"/>
      <c r="AC365"/>
      <c r="AD365"/>
      <c r="AE365"/>
      <c r="AF365"/>
    </row>
    <row r="366" spans="1:32" hidden="1" x14ac:dyDescent="0.25">
      <c r="A366" s="46"/>
      <c r="B366" s="80"/>
      <c r="C366" s="15"/>
      <c r="D366" s="15"/>
      <c r="E366" s="15"/>
      <c r="F366" s="15"/>
      <c r="G366" s="16"/>
      <c r="H366" s="16"/>
      <c r="I366" s="19" t="str">
        <f>IF(ISBLANK(JobBonus[[#This Row],[Employee Name]]),"",INDEX(Employees[Job Title],MATCH(JobBonus[[#This Row],[Employee Name]],Employees[Employee Name2],0)))</f>
        <v/>
      </c>
      <c r="J366" s="19" t="str">
        <f>IF(ISBLANK(JobBonus[[#This Row],[Job Prov]]),"",IF(JobBonus[[#This Row],[Job Prov]]=INDEX(Employees[Province],MATCH(JobBonus[[#This Row],[Employee Name]],Employees[Employee Name2],0)),"No","Yes"))</f>
        <v/>
      </c>
      <c r="K366" s="17"/>
      <c r="L366" s="19"/>
      <c r="M366" s="23"/>
      <c r="N366" s="23"/>
      <c r="O366" s="15"/>
      <c r="P366" s="15"/>
      <c r="Q366" s="15"/>
      <c r="R366" s="15"/>
      <c r="S366" s="44" cm="1">
        <f t="array" ref="S3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6" s="44" cm="1">
        <f t="array" ref="T3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6" s="44">
        <f>JobBonus[[#This Row],[Variable Pay]]+JobBonus[[#This Row],[Crew Efficiency Bonus]]</f>
        <v>0</v>
      </c>
      <c r="V366" s="44" cm="1">
        <f t="array" ref="V3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6" s="44" t="b">
        <f>_xlfn.IFNA(EXACT(VLOOKUP(JobBonus[[#This Row],[Pay Type]],PayTypes[#All],4,FALSE),"Yes"),FALSE)</f>
        <v>0</v>
      </c>
      <c r="X366" s="44" cm="1">
        <f t="array" ref="X366">SUMPRODUCT((StandByRates[Position]=JobBonus[[#This Row],[Position]])*(JobBonus[[#This Row],[Area]]=StandByRates[Area])*(StandByRates[Hourly]*JobBonus[[#This Row],[Standby/ Ext 
Hrs]]))</f>
        <v>0</v>
      </c>
      <c r="Y366" s="44">
        <f>JobBonus[[#This Row],[Variable Pay]]+JobBonus[[#This Row],[Crew Efficiency Bonus]]+JobBonus[[#This Row],[OVPP]]+JobBonus[[#This Row],[StandBy/ Ext Amount]]</f>
        <v>0</v>
      </c>
      <c r="Z366" s="80"/>
      <c r="AA366" s="42"/>
      <c r="AB366" s="42"/>
      <c r="AC366"/>
      <c r="AD366"/>
      <c r="AE366"/>
      <c r="AF366"/>
    </row>
    <row r="367" spans="1:32" hidden="1" x14ac:dyDescent="0.25">
      <c r="A367" s="46"/>
      <c r="B367" s="80"/>
      <c r="C367" s="15"/>
      <c r="D367" s="15"/>
      <c r="E367" s="15"/>
      <c r="F367" s="15"/>
      <c r="G367" s="16"/>
      <c r="H367" s="16"/>
      <c r="I367" s="19" t="str">
        <f>IF(ISBLANK(JobBonus[[#This Row],[Employee Name]]),"",INDEX(Employees[Job Title],MATCH(JobBonus[[#This Row],[Employee Name]],Employees[Employee Name2],0)))</f>
        <v/>
      </c>
      <c r="J367" s="19" t="str">
        <f>IF(ISBLANK(JobBonus[[#This Row],[Job Prov]]),"",IF(JobBonus[[#This Row],[Job Prov]]=INDEX(Employees[Province],MATCH(JobBonus[[#This Row],[Employee Name]],Employees[Employee Name2],0)),"No","Yes"))</f>
        <v/>
      </c>
      <c r="K367" s="17"/>
      <c r="L367" s="19"/>
      <c r="M367" s="23"/>
      <c r="N367" s="23"/>
      <c r="O367" s="15"/>
      <c r="P367" s="15"/>
      <c r="Q367" s="15"/>
      <c r="R367" s="15"/>
      <c r="S367" s="44" cm="1">
        <f t="array" ref="S3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7" s="44" cm="1">
        <f t="array" ref="T3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7" s="44">
        <f>JobBonus[[#This Row],[Variable Pay]]+JobBonus[[#This Row],[Crew Efficiency Bonus]]</f>
        <v>0</v>
      </c>
      <c r="V367" s="44" cm="1">
        <f t="array" ref="V3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7" s="44" t="b">
        <f>_xlfn.IFNA(EXACT(VLOOKUP(JobBonus[[#This Row],[Pay Type]],PayTypes[#All],4,FALSE),"Yes"),FALSE)</f>
        <v>0</v>
      </c>
      <c r="X367" s="44" cm="1">
        <f t="array" ref="X367">SUMPRODUCT((StandByRates[Position]=JobBonus[[#This Row],[Position]])*(JobBonus[[#This Row],[Area]]=StandByRates[Area])*(StandByRates[Hourly]*JobBonus[[#This Row],[Standby/ Ext 
Hrs]]))</f>
        <v>0</v>
      </c>
      <c r="Y367" s="44">
        <f>JobBonus[[#This Row],[Variable Pay]]+JobBonus[[#This Row],[Crew Efficiency Bonus]]+JobBonus[[#This Row],[OVPP]]+JobBonus[[#This Row],[StandBy/ Ext Amount]]</f>
        <v>0</v>
      </c>
      <c r="Z367" s="80"/>
      <c r="AA367" s="42"/>
      <c r="AB367" s="42"/>
      <c r="AC367"/>
      <c r="AD367"/>
      <c r="AE367"/>
      <c r="AF367"/>
    </row>
    <row r="368" spans="1:32" hidden="1" x14ac:dyDescent="0.25">
      <c r="A368" s="46"/>
      <c r="B368" s="80"/>
      <c r="C368" s="15"/>
      <c r="D368" s="15"/>
      <c r="E368" s="15"/>
      <c r="F368" s="15"/>
      <c r="G368" s="16"/>
      <c r="H368" s="16"/>
      <c r="I368" s="19" t="str">
        <f>IF(ISBLANK(JobBonus[[#This Row],[Employee Name]]),"",INDEX(Employees[Job Title],MATCH(JobBonus[[#This Row],[Employee Name]],Employees[Employee Name2],0)))</f>
        <v/>
      </c>
      <c r="J368" s="19" t="str">
        <f>IF(ISBLANK(JobBonus[[#This Row],[Job Prov]]),"",IF(JobBonus[[#This Row],[Job Prov]]=INDEX(Employees[Province],MATCH(JobBonus[[#This Row],[Employee Name]],Employees[Employee Name2],0)),"No","Yes"))</f>
        <v/>
      </c>
      <c r="K368" s="17"/>
      <c r="L368" s="19"/>
      <c r="M368" s="23"/>
      <c r="N368" s="23"/>
      <c r="O368" s="15"/>
      <c r="P368" s="15"/>
      <c r="Q368" s="15"/>
      <c r="R368" s="15"/>
      <c r="S368" s="44" cm="1">
        <f t="array" ref="S3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8" s="44" cm="1">
        <f t="array" ref="T3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8" s="44">
        <f>JobBonus[[#This Row],[Variable Pay]]+JobBonus[[#This Row],[Crew Efficiency Bonus]]</f>
        <v>0</v>
      </c>
      <c r="V368" s="44" cm="1">
        <f t="array" ref="V3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8" s="44" t="b">
        <f>_xlfn.IFNA(EXACT(VLOOKUP(JobBonus[[#This Row],[Pay Type]],PayTypes[#All],4,FALSE),"Yes"),FALSE)</f>
        <v>0</v>
      </c>
      <c r="X368" s="44" cm="1">
        <f t="array" ref="X368">SUMPRODUCT((StandByRates[Position]=JobBonus[[#This Row],[Position]])*(JobBonus[[#This Row],[Area]]=StandByRates[Area])*(StandByRates[Hourly]*JobBonus[[#This Row],[Standby/ Ext 
Hrs]]))</f>
        <v>0</v>
      </c>
      <c r="Y368" s="44">
        <f>JobBonus[[#This Row],[Variable Pay]]+JobBonus[[#This Row],[Crew Efficiency Bonus]]+JobBonus[[#This Row],[OVPP]]+JobBonus[[#This Row],[StandBy/ Ext Amount]]</f>
        <v>0</v>
      </c>
      <c r="Z368" s="80"/>
      <c r="AA368" s="42"/>
      <c r="AB368" s="42"/>
      <c r="AC368"/>
      <c r="AD368"/>
      <c r="AE368"/>
      <c r="AF368"/>
    </row>
    <row r="369" spans="1:32" hidden="1" x14ac:dyDescent="0.25">
      <c r="A369" s="46"/>
      <c r="B369" s="80"/>
      <c r="C369" s="15"/>
      <c r="D369" s="15"/>
      <c r="E369" s="15"/>
      <c r="F369" s="15"/>
      <c r="G369" s="16"/>
      <c r="H369" s="16"/>
      <c r="I369" s="19" t="str">
        <f>IF(ISBLANK(JobBonus[[#This Row],[Employee Name]]),"",INDEX(Employees[Job Title],MATCH(JobBonus[[#This Row],[Employee Name]],Employees[Employee Name2],0)))</f>
        <v/>
      </c>
      <c r="J369" s="19" t="str">
        <f>IF(ISBLANK(JobBonus[[#This Row],[Job Prov]]),"",IF(JobBonus[[#This Row],[Job Prov]]=INDEX(Employees[Province],MATCH(JobBonus[[#This Row],[Employee Name]],Employees[Employee Name2],0)),"No","Yes"))</f>
        <v/>
      </c>
      <c r="K369" s="17"/>
      <c r="L369" s="19"/>
      <c r="M369" s="23"/>
      <c r="N369" s="23"/>
      <c r="O369" s="15"/>
      <c r="P369" s="15"/>
      <c r="Q369" s="15"/>
      <c r="R369" s="15"/>
      <c r="S369" s="44" cm="1">
        <f t="array" ref="S3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9" s="44" cm="1">
        <f t="array" ref="T3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9" s="44">
        <f>JobBonus[[#This Row],[Variable Pay]]+JobBonus[[#This Row],[Crew Efficiency Bonus]]</f>
        <v>0</v>
      </c>
      <c r="V369" s="44" cm="1">
        <f t="array" ref="V3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9" s="44" t="b">
        <f>_xlfn.IFNA(EXACT(VLOOKUP(JobBonus[[#This Row],[Pay Type]],PayTypes[#All],4,FALSE),"Yes"),FALSE)</f>
        <v>0</v>
      </c>
      <c r="X369" s="44" cm="1">
        <f t="array" ref="X369">SUMPRODUCT((StandByRates[Position]=JobBonus[[#This Row],[Position]])*(JobBonus[[#This Row],[Area]]=StandByRates[Area])*(StandByRates[Hourly]*JobBonus[[#This Row],[Standby/ Ext 
Hrs]]))</f>
        <v>0</v>
      </c>
      <c r="Y369" s="44">
        <f>JobBonus[[#This Row],[Variable Pay]]+JobBonus[[#This Row],[Crew Efficiency Bonus]]+JobBonus[[#This Row],[OVPP]]+JobBonus[[#This Row],[StandBy/ Ext Amount]]</f>
        <v>0</v>
      </c>
      <c r="Z369" s="80"/>
      <c r="AA369" s="42"/>
      <c r="AB369" s="42"/>
      <c r="AC369"/>
      <c r="AD369"/>
      <c r="AE369"/>
      <c r="AF369"/>
    </row>
    <row r="370" spans="1:32" hidden="1" x14ac:dyDescent="0.25">
      <c r="A370" s="46"/>
      <c r="B370" s="80"/>
      <c r="C370" s="15"/>
      <c r="D370" s="15"/>
      <c r="E370" s="15"/>
      <c r="F370" s="15"/>
      <c r="G370" s="16"/>
      <c r="H370" s="16"/>
      <c r="I370" s="19" t="str">
        <f>IF(ISBLANK(JobBonus[[#This Row],[Employee Name]]),"",INDEX(Employees[Job Title],MATCH(JobBonus[[#This Row],[Employee Name]],Employees[Employee Name2],0)))</f>
        <v/>
      </c>
      <c r="J370" s="19" t="str">
        <f>IF(ISBLANK(JobBonus[[#This Row],[Job Prov]]),"",IF(JobBonus[[#This Row],[Job Prov]]=INDEX(Employees[Province],MATCH(JobBonus[[#This Row],[Employee Name]],Employees[Employee Name2],0)),"No","Yes"))</f>
        <v/>
      </c>
      <c r="K370" s="17"/>
      <c r="L370" s="19"/>
      <c r="M370" s="23"/>
      <c r="N370" s="23"/>
      <c r="O370" s="15"/>
      <c r="P370" s="15"/>
      <c r="Q370" s="15"/>
      <c r="R370" s="15"/>
      <c r="S370" s="44" cm="1">
        <f t="array" ref="S3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0" s="44" cm="1">
        <f t="array" ref="T3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0" s="44">
        <f>JobBonus[[#This Row],[Variable Pay]]+JobBonus[[#This Row],[Crew Efficiency Bonus]]</f>
        <v>0</v>
      </c>
      <c r="V370" s="44" cm="1">
        <f t="array" ref="V3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0" s="44" t="b">
        <f>_xlfn.IFNA(EXACT(VLOOKUP(JobBonus[[#This Row],[Pay Type]],PayTypes[#All],4,FALSE),"Yes"),FALSE)</f>
        <v>0</v>
      </c>
      <c r="X370" s="44" cm="1">
        <f t="array" ref="X370">SUMPRODUCT((StandByRates[Position]=JobBonus[[#This Row],[Position]])*(JobBonus[[#This Row],[Area]]=StandByRates[Area])*(StandByRates[Hourly]*JobBonus[[#This Row],[Standby/ Ext 
Hrs]]))</f>
        <v>0</v>
      </c>
      <c r="Y370" s="44">
        <f>JobBonus[[#This Row],[Variable Pay]]+JobBonus[[#This Row],[Crew Efficiency Bonus]]+JobBonus[[#This Row],[OVPP]]+JobBonus[[#This Row],[StandBy/ Ext Amount]]</f>
        <v>0</v>
      </c>
      <c r="Z370" s="80"/>
      <c r="AA370" s="42"/>
      <c r="AB370" s="42"/>
      <c r="AC370"/>
      <c r="AD370"/>
      <c r="AE370"/>
      <c r="AF370"/>
    </row>
    <row r="371" spans="1:32" hidden="1" x14ac:dyDescent="0.25">
      <c r="A371" s="46"/>
      <c r="B371" s="80"/>
      <c r="C371" s="15"/>
      <c r="D371" s="15"/>
      <c r="E371" s="15"/>
      <c r="F371" s="15"/>
      <c r="G371" s="16"/>
      <c r="H371" s="16"/>
      <c r="I371" s="19" t="str">
        <f>IF(ISBLANK(JobBonus[[#This Row],[Employee Name]]),"",INDEX(Employees[Job Title],MATCH(JobBonus[[#This Row],[Employee Name]],Employees[Employee Name2],0)))</f>
        <v/>
      </c>
      <c r="J371" s="19" t="str">
        <f>IF(ISBLANK(JobBonus[[#This Row],[Job Prov]]),"",IF(JobBonus[[#This Row],[Job Prov]]=INDEX(Employees[Province],MATCH(JobBonus[[#This Row],[Employee Name]],Employees[Employee Name2],0)),"No","Yes"))</f>
        <v/>
      </c>
      <c r="K371" s="17"/>
      <c r="L371" s="19"/>
      <c r="M371" s="23"/>
      <c r="N371" s="23"/>
      <c r="O371" s="15"/>
      <c r="P371" s="15"/>
      <c r="Q371" s="15"/>
      <c r="R371" s="15"/>
      <c r="S371" s="44" cm="1">
        <f t="array" ref="S3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1" s="44" cm="1">
        <f t="array" ref="T3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1" s="44">
        <f>JobBonus[[#This Row],[Variable Pay]]+JobBonus[[#This Row],[Crew Efficiency Bonus]]</f>
        <v>0</v>
      </c>
      <c r="V371" s="44" cm="1">
        <f t="array" ref="V3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1" s="44" t="b">
        <f>_xlfn.IFNA(EXACT(VLOOKUP(JobBonus[[#This Row],[Pay Type]],PayTypes[#All],4,FALSE),"Yes"),FALSE)</f>
        <v>0</v>
      </c>
      <c r="X371" s="44" cm="1">
        <f t="array" ref="X371">SUMPRODUCT((StandByRates[Position]=JobBonus[[#This Row],[Position]])*(JobBonus[[#This Row],[Area]]=StandByRates[Area])*(StandByRates[Hourly]*JobBonus[[#This Row],[Standby/ Ext 
Hrs]]))</f>
        <v>0</v>
      </c>
      <c r="Y371" s="44">
        <f>JobBonus[[#This Row],[Variable Pay]]+JobBonus[[#This Row],[Crew Efficiency Bonus]]+JobBonus[[#This Row],[OVPP]]+JobBonus[[#This Row],[StandBy/ Ext Amount]]</f>
        <v>0</v>
      </c>
      <c r="Z371" s="80"/>
      <c r="AA371" s="42"/>
      <c r="AB371" s="42"/>
      <c r="AC371"/>
      <c r="AD371"/>
      <c r="AE371"/>
      <c r="AF371"/>
    </row>
    <row r="372" spans="1:32" hidden="1" x14ac:dyDescent="0.25">
      <c r="A372" s="46"/>
      <c r="B372" s="80"/>
      <c r="C372" s="15"/>
      <c r="D372" s="15"/>
      <c r="E372" s="15"/>
      <c r="F372" s="15"/>
      <c r="G372" s="16"/>
      <c r="H372" s="16"/>
      <c r="I372" s="19" t="str">
        <f>IF(ISBLANK(JobBonus[[#This Row],[Employee Name]]),"",INDEX(Employees[Job Title],MATCH(JobBonus[[#This Row],[Employee Name]],Employees[Employee Name2],0)))</f>
        <v/>
      </c>
      <c r="J372" s="19" t="str">
        <f>IF(ISBLANK(JobBonus[[#This Row],[Job Prov]]),"",IF(JobBonus[[#This Row],[Job Prov]]=INDEX(Employees[Province],MATCH(JobBonus[[#This Row],[Employee Name]],Employees[Employee Name2],0)),"No","Yes"))</f>
        <v/>
      </c>
      <c r="K372" s="17"/>
      <c r="L372" s="19"/>
      <c r="M372" s="23"/>
      <c r="N372" s="23"/>
      <c r="O372" s="15"/>
      <c r="P372" s="15"/>
      <c r="Q372" s="15"/>
      <c r="R372" s="15"/>
      <c r="S372" s="44" cm="1">
        <f t="array" ref="S3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2" s="44" cm="1">
        <f t="array" ref="T3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2" s="44">
        <f>JobBonus[[#This Row],[Variable Pay]]+JobBonus[[#This Row],[Crew Efficiency Bonus]]</f>
        <v>0</v>
      </c>
      <c r="V372" s="44" cm="1">
        <f t="array" ref="V3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2" s="44" t="b">
        <f>_xlfn.IFNA(EXACT(VLOOKUP(JobBonus[[#This Row],[Pay Type]],PayTypes[#All],4,FALSE),"Yes"),FALSE)</f>
        <v>0</v>
      </c>
      <c r="X372" s="44" cm="1">
        <f t="array" ref="X372">SUMPRODUCT((StandByRates[Position]=JobBonus[[#This Row],[Position]])*(JobBonus[[#This Row],[Area]]=StandByRates[Area])*(StandByRates[Hourly]*JobBonus[[#This Row],[Standby/ Ext 
Hrs]]))</f>
        <v>0</v>
      </c>
      <c r="Y372" s="44">
        <f>JobBonus[[#This Row],[Variable Pay]]+JobBonus[[#This Row],[Crew Efficiency Bonus]]+JobBonus[[#This Row],[OVPP]]+JobBonus[[#This Row],[StandBy/ Ext Amount]]</f>
        <v>0</v>
      </c>
      <c r="Z372" s="80"/>
      <c r="AA372" s="42"/>
      <c r="AB372" s="42"/>
      <c r="AC372"/>
      <c r="AD372"/>
      <c r="AE372"/>
      <c r="AF372"/>
    </row>
    <row r="373" spans="1:32" hidden="1" x14ac:dyDescent="0.25">
      <c r="A373" s="46"/>
      <c r="B373" s="80"/>
      <c r="C373" s="15"/>
      <c r="D373" s="15"/>
      <c r="E373" s="15"/>
      <c r="F373" s="15"/>
      <c r="G373" s="16"/>
      <c r="H373" s="16"/>
      <c r="I373" s="19" t="str">
        <f>IF(ISBLANK(JobBonus[[#This Row],[Employee Name]]),"",INDEX(Employees[Job Title],MATCH(JobBonus[[#This Row],[Employee Name]],Employees[Employee Name2],0)))</f>
        <v/>
      </c>
      <c r="J373" s="19" t="str">
        <f>IF(ISBLANK(JobBonus[[#This Row],[Job Prov]]),"",IF(JobBonus[[#This Row],[Job Prov]]=INDEX(Employees[Province],MATCH(JobBonus[[#This Row],[Employee Name]],Employees[Employee Name2],0)),"No","Yes"))</f>
        <v/>
      </c>
      <c r="K373" s="17"/>
      <c r="L373" s="19"/>
      <c r="M373" s="23"/>
      <c r="N373" s="23"/>
      <c r="O373" s="15"/>
      <c r="P373" s="15"/>
      <c r="Q373" s="15"/>
      <c r="R373" s="15"/>
      <c r="S373" s="44" cm="1">
        <f t="array" ref="S3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3" s="44" cm="1">
        <f t="array" ref="T3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3" s="44">
        <f>JobBonus[[#This Row],[Variable Pay]]+JobBonus[[#This Row],[Crew Efficiency Bonus]]</f>
        <v>0</v>
      </c>
      <c r="V373" s="44" cm="1">
        <f t="array" ref="V3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3" s="44" t="b">
        <f>_xlfn.IFNA(EXACT(VLOOKUP(JobBonus[[#This Row],[Pay Type]],PayTypes[#All],4,FALSE),"Yes"),FALSE)</f>
        <v>0</v>
      </c>
      <c r="X373" s="44" cm="1">
        <f t="array" ref="X373">SUMPRODUCT((StandByRates[Position]=JobBonus[[#This Row],[Position]])*(JobBonus[[#This Row],[Area]]=StandByRates[Area])*(StandByRates[Hourly]*JobBonus[[#This Row],[Standby/ Ext 
Hrs]]))</f>
        <v>0</v>
      </c>
      <c r="Y373" s="44">
        <f>JobBonus[[#This Row],[Variable Pay]]+JobBonus[[#This Row],[Crew Efficiency Bonus]]+JobBonus[[#This Row],[OVPP]]+JobBonus[[#This Row],[StandBy/ Ext Amount]]</f>
        <v>0</v>
      </c>
      <c r="Z373" s="80"/>
      <c r="AA373" s="42"/>
      <c r="AB373" s="42"/>
      <c r="AC373"/>
      <c r="AD373"/>
      <c r="AE373"/>
      <c r="AF373"/>
    </row>
    <row r="374" spans="1:32" hidden="1" x14ac:dyDescent="0.25">
      <c r="A374" s="46"/>
      <c r="B374" s="80"/>
      <c r="C374" s="15"/>
      <c r="D374" s="15"/>
      <c r="E374" s="15"/>
      <c r="F374" s="15"/>
      <c r="G374" s="16"/>
      <c r="H374" s="16"/>
      <c r="I374" s="19" t="str">
        <f>IF(ISBLANK(JobBonus[[#This Row],[Employee Name]]),"",INDEX(Employees[Job Title],MATCH(JobBonus[[#This Row],[Employee Name]],Employees[Employee Name2],0)))</f>
        <v/>
      </c>
      <c r="J374" s="19" t="str">
        <f>IF(ISBLANK(JobBonus[[#This Row],[Job Prov]]),"",IF(JobBonus[[#This Row],[Job Prov]]=INDEX(Employees[Province],MATCH(JobBonus[[#This Row],[Employee Name]],Employees[Employee Name2],0)),"No","Yes"))</f>
        <v/>
      </c>
      <c r="K374" s="17"/>
      <c r="L374" s="19"/>
      <c r="M374" s="23"/>
      <c r="N374" s="23"/>
      <c r="O374" s="15"/>
      <c r="P374" s="15"/>
      <c r="Q374" s="15"/>
      <c r="R374" s="15"/>
      <c r="S374" s="44" cm="1">
        <f t="array" ref="S3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4" s="44" cm="1">
        <f t="array" ref="T3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4" s="44">
        <f>JobBonus[[#This Row],[Variable Pay]]+JobBonus[[#This Row],[Crew Efficiency Bonus]]</f>
        <v>0</v>
      </c>
      <c r="V374" s="44" cm="1">
        <f t="array" ref="V3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4" s="44" t="b">
        <f>_xlfn.IFNA(EXACT(VLOOKUP(JobBonus[[#This Row],[Pay Type]],PayTypes[#All],4,FALSE),"Yes"),FALSE)</f>
        <v>0</v>
      </c>
      <c r="X374" s="44" cm="1">
        <f t="array" ref="X374">SUMPRODUCT((StandByRates[Position]=JobBonus[[#This Row],[Position]])*(JobBonus[[#This Row],[Area]]=StandByRates[Area])*(StandByRates[Hourly]*JobBonus[[#This Row],[Standby/ Ext 
Hrs]]))</f>
        <v>0</v>
      </c>
      <c r="Y374" s="44">
        <f>JobBonus[[#This Row],[Variable Pay]]+JobBonus[[#This Row],[Crew Efficiency Bonus]]+JobBonus[[#This Row],[OVPP]]+JobBonus[[#This Row],[StandBy/ Ext Amount]]</f>
        <v>0</v>
      </c>
      <c r="Z374" s="80"/>
      <c r="AA374" s="42"/>
      <c r="AB374" s="42"/>
      <c r="AC374"/>
      <c r="AD374"/>
      <c r="AE374"/>
      <c r="AF374"/>
    </row>
    <row r="375" spans="1:32" hidden="1" x14ac:dyDescent="0.25">
      <c r="A375" s="46"/>
      <c r="B375" s="80"/>
      <c r="C375" s="15"/>
      <c r="D375" s="15"/>
      <c r="E375" s="15"/>
      <c r="F375" s="15"/>
      <c r="G375" s="16"/>
      <c r="H375" s="16"/>
      <c r="I375" s="19" t="str">
        <f>IF(ISBLANK(JobBonus[[#This Row],[Employee Name]]),"",INDEX(Employees[Job Title],MATCH(JobBonus[[#This Row],[Employee Name]],Employees[Employee Name2],0)))</f>
        <v/>
      </c>
      <c r="J375" s="19" t="str">
        <f>IF(ISBLANK(JobBonus[[#This Row],[Job Prov]]),"",IF(JobBonus[[#This Row],[Job Prov]]=INDEX(Employees[Province],MATCH(JobBonus[[#This Row],[Employee Name]],Employees[Employee Name2],0)),"No","Yes"))</f>
        <v/>
      </c>
      <c r="K375" s="17"/>
      <c r="L375" s="19"/>
      <c r="M375" s="23"/>
      <c r="N375" s="23"/>
      <c r="O375" s="15"/>
      <c r="P375" s="15"/>
      <c r="Q375" s="15"/>
      <c r="R375" s="15"/>
      <c r="S375" s="44" cm="1">
        <f t="array" ref="S3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5" s="44" cm="1">
        <f t="array" ref="T3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5" s="44">
        <f>JobBonus[[#This Row],[Variable Pay]]+JobBonus[[#This Row],[Crew Efficiency Bonus]]</f>
        <v>0</v>
      </c>
      <c r="V375" s="44" cm="1">
        <f t="array" ref="V3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5" s="44" t="b">
        <f>_xlfn.IFNA(EXACT(VLOOKUP(JobBonus[[#This Row],[Pay Type]],PayTypes[#All],4,FALSE),"Yes"),FALSE)</f>
        <v>0</v>
      </c>
      <c r="X375" s="44" cm="1">
        <f t="array" ref="X375">SUMPRODUCT((StandByRates[Position]=JobBonus[[#This Row],[Position]])*(JobBonus[[#This Row],[Area]]=StandByRates[Area])*(StandByRates[Hourly]*JobBonus[[#This Row],[Standby/ Ext 
Hrs]]))</f>
        <v>0</v>
      </c>
      <c r="Y375" s="44">
        <f>JobBonus[[#This Row],[Variable Pay]]+JobBonus[[#This Row],[Crew Efficiency Bonus]]+JobBonus[[#This Row],[OVPP]]+JobBonus[[#This Row],[StandBy/ Ext Amount]]</f>
        <v>0</v>
      </c>
      <c r="Z375" s="80"/>
      <c r="AA375" s="42"/>
      <c r="AB375" s="42"/>
      <c r="AC375"/>
      <c r="AD375"/>
      <c r="AE375"/>
      <c r="AF375"/>
    </row>
    <row r="376" spans="1:32" hidden="1" x14ac:dyDescent="0.25">
      <c r="A376" s="46"/>
      <c r="B376" s="80"/>
      <c r="C376" s="15"/>
      <c r="D376" s="15"/>
      <c r="E376" s="15"/>
      <c r="F376" s="15"/>
      <c r="G376" s="16"/>
      <c r="H376" s="16"/>
      <c r="I376" s="19" t="str">
        <f>IF(ISBLANK(JobBonus[[#This Row],[Employee Name]]),"",INDEX(Employees[Job Title],MATCH(JobBonus[[#This Row],[Employee Name]],Employees[Employee Name2],0)))</f>
        <v/>
      </c>
      <c r="J376" s="19" t="str">
        <f>IF(ISBLANK(JobBonus[[#This Row],[Job Prov]]),"",IF(JobBonus[[#This Row],[Job Prov]]=INDEX(Employees[Province],MATCH(JobBonus[[#This Row],[Employee Name]],Employees[Employee Name2],0)),"No","Yes"))</f>
        <v/>
      </c>
      <c r="K376" s="17"/>
      <c r="L376" s="19"/>
      <c r="M376" s="23"/>
      <c r="N376" s="23"/>
      <c r="O376" s="15"/>
      <c r="P376" s="15"/>
      <c r="Q376" s="15"/>
      <c r="R376" s="15"/>
      <c r="S376" s="44" cm="1">
        <f t="array" ref="S3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6" s="44" cm="1">
        <f t="array" ref="T3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6" s="44">
        <f>JobBonus[[#This Row],[Variable Pay]]+JobBonus[[#This Row],[Crew Efficiency Bonus]]</f>
        <v>0</v>
      </c>
      <c r="V376" s="44" cm="1">
        <f t="array" ref="V3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6" s="44" t="b">
        <f>_xlfn.IFNA(EXACT(VLOOKUP(JobBonus[[#This Row],[Pay Type]],PayTypes[#All],4,FALSE),"Yes"),FALSE)</f>
        <v>0</v>
      </c>
      <c r="X376" s="44" cm="1">
        <f t="array" ref="X376">SUMPRODUCT((StandByRates[Position]=JobBonus[[#This Row],[Position]])*(JobBonus[[#This Row],[Area]]=StandByRates[Area])*(StandByRates[Hourly]*JobBonus[[#This Row],[Standby/ Ext 
Hrs]]))</f>
        <v>0</v>
      </c>
      <c r="Y376" s="44">
        <f>JobBonus[[#This Row],[Variable Pay]]+JobBonus[[#This Row],[Crew Efficiency Bonus]]+JobBonus[[#This Row],[OVPP]]+JobBonus[[#This Row],[StandBy/ Ext Amount]]</f>
        <v>0</v>
      </c>
      <c r="Z376" s="80"/>
      <c r="AA376" s="42"/>
      <c r="AB376" s="42"/>
      <c r="AC376"/>
      <c r="AD376"/>
      <c r="AE376"/>
      <c r="AF376"/>
    </row>
    <row r="377" spans="1:32" hidden="1" x14ac:dyDescent="0.25">
      <c r="A377" s="46"/>
      <c r="B377" s="80"/>
      <c r="C377" s="15"/>
      <c r="D377" s="15"/>
      <c r="E377" s="15"/>
      <c r="F377" s="15"/>
      <c r="G377" s="16"/>
      <c r="H377" s="16"/>
      <c r="I377" s="19" t="str">
        <f>IF(ISBLANK(JobBonus[[#This Row],[Employee Name]]),"",INDEX(Employees[Job Title],MATCH(JobBonus[[#This Row],[Employee Name]],Employees[Employee Name2],0)))</f>
        <v/>
      </c>
      <c r="J377" s="19" t="str">
        <f>IF(ISBLANK(JobBonus[[#This Row],[Job Prov]]),"",IF(JobBonus[[#This Row],[Job Prov]]=INDEX(Employees[Province],MATCH(JobBonus[[#This Row],[Employee Name]],Employees[Employee Name2],0)),"No","Yes"))</f>
        <v/>
      </c>
      <c r="K377" s="17"/>
      <c r="L377" s="19"/>
      <c r="M377" s="23"/>
      <c r="N377" s="23"/>
      <c r="O377" s="15"/>
      <c r="P377" s="15"/>
      <c r="Q377" s="15"/>
      <c r="R377" s="15"/>
      <c r="S377" s="44" cm="1">
        <f t="array" ref="S3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7" s="44" cm="1">
        <f t="array" ref="T3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7" s="44">
        <f>JobBonus[[#This Row],[Variable Pay]]+JobBonus[[#This Row],[Crew Efficiency Bonus]]</f>
        <v>0</v>
      </c>
      <c r="V377" s="44" cm="1">
        <f t="array" ref="V3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7" s="44" t="b">
        <f>_xlfn.IFNA(EXACT(VLOOKUP(JobBonus[[#This Row],[Pay Type]],PayTypes[#All],4,FALSE),"Yes"),FALSE)</f>
        <v>0</v>
      </c>
      <c r="X377" s="44" cm="1">
        <f t="array" ref="X377">SUMPRODUCT((StandByRates[Position]=JobBonus[[#This Row],[Position]])*(JobBonus[[#This Row],[Area]]=StandByRates[Area])*(StandByRates[Hourly]*JobBonus[[#This Row],[Standby/ Ext 
Hrs]]))</f>
        <v>0</v>
      </c>
      <c r="Y377" s="44">
        <f>JobBonus[[#This Row],[Variable Pay]]+JobBonus[[#This Row],[Crew Efficiency Bonus]]+JobBonus[[#This Row],[OVPP]]+JobBonus[[#This Row],[StandBy/ Ext Amount]]</f>
        <v>0</v>
      </c>
      <c r="Z377" s="80"/>
      <c r="AA377" s="42"/>
      <c r="AB377" s="42"/>
      <c r="AC377"/>
      <c r="AD377"/>
      <c r="AE377"/>
      <c r="AF377"/>
    </row>
    <row r="378" spans="1:32" hidden="1" x14ac:dyDescent="0.25">
      <c r="A378" s="46"/>
      <c r="B378" s="80"/>
      <c r="C378" s="15"/>
      <c r="D378" s="15"/>
      <c r="E378" s="15"/>
      <c r="F378" s="15"/>
      <c r="G378" s="16"/>
      <c r="H378" s="16"/>
      <c r="I378" s="19" t="str">
        <f>IF(ISBLANK(JobBonus[[#This Row],[Employee Name]]),"",INDEX(Employees[Job Title],MATCH(JobBonus[[#This Row],[Employee Name]],Employees[Employee Name2],0)))</f>
        <v/>
      </c>
      <c r="J378" s="19" t="str">
        <f>IF(ISBLANK(JobBonus[[#This Row],[Job Prov]]),"",IF(JobBonus[[#This Row],[Job Prov]]=INDEX(Employees[Province],MATCH(JobBonus[[#This Row],[Employee Name]],Employees[Employee Name2],0)),"No","Yes"))</f>
        <v/>
      </c>
      <c r="K378" s="17"/>
      <c r="L378" s="19"/>
      <c r="M378" s="23"/>
      <c r="N378" s="23"/>
      <c r="O378" s="15"/>
      <c r="P378" s="15"/>
      <c r="Q378" s="15"/>
      <c r="R378" s="15"/>
      <c r="S378" s="44" cm="1">
        <f t="array" ref="S3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8" s="44" cm="1">
        <f t="array" ref="T3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8" s="44">
        <f>JobBonus[[#This Row],[Variable Pay]]+JobBonus[[#This Row],[Crew Efficiency Bonus]]</f>
        <v>0</v>
      </c>
      <c r="V378" s="44" cm="1">
        <f t="array" ref="V3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8" s="44" t="b">
        <f>_xlfn.IFNA(EXACT(VLOOKUP(JobBonus[[#This Row],[Pay Type]],PayTypes[#All],4,FALSE),"Yes"),FALSE)</f>
        <v>0</v>
      </c>
      <c r="X378" s="44" cm="1">
        <f t="array" ref="X378">SUMPRODUCT((StandByRates[Position]=JobBonus[[#This Row],[Position]])*(JobBonus[[#This Row],[Area]]=StandByRates[Area])*(StandByRates[Hourly]*JobBonus[[#This Row],[Standby/ Ext 
Hrs]]))</f>
        <v>0</v>
      </c>
      <c r="Y378" s="44">
        <f>JobBonus[[#This Row],[Variable Pay]]+JobBonus[[#This Row],[Crew Efficiency Bonus]]+JobBonus[[#This Row],[OVPP]]+JobBonus[[#This Row],[StandBy/ Ext Amount]]</f>
        <v>0</v>
      </c>
      <c r="Z378" s="80"/>
      <c r="AA378" s="42"/>
      <c r="AB378" s="42"/>
      <c r="AC378"/>
      <c r="AD378"/>
      <c r="AE378"/>
      <c r="AF378"/>
    </row>
    <row r="379" spans="1:32" hidden="1" x14ac:dyDescent="0.25">
      <c r="A379" s="46"/>
      <c r="B379" s="80"/>
      <c r="C379" s="15"/>
      <c r="D379" s="15"/>
      <c r="E379" s="15"/>
      <c r="F379" s="15"/>
      <c r="G379" s="16"/>
      <c r="H379" s="16"/>
      <c r="I379" s="19" t="str">
        <f>IF(ISBLANK(JobBonus[[#This Row],[Employee Name]]),"",INDEX(Employees[Job Title],MATCH(JobBonus[[#This Row],[Employee Name]],Employees[Employee Name2],0)))</f>
        <v/>
      </c>
      <c r="J379" s="19" t="str">
        <f>IF(ISBLANK(JobBonus[[#This Row],[Job Prov]]),"",IF(JobBonus[[#This Row],[Job Prov]]=INDEX(Employees[Province],MATCH(JobBonus[[#This Row],[Employee Name]],Employees[Employee Name2],0)),"No","Yes"))</f>
        <v/>
      </c>
      <c r="K379" s="17"/>
      <c r="L379" s="19"/>
      <c r="M379" s="23"/>
      <c r="N379" s="23"/>
      <c r="O379" s="15"/>
      <c r="P379" s="15"/>
      <c r="Q379" s="15"/>
      <c r="R379" s="15"/>
      <c r="S379" s="44" cm="1">
        <f t="array" ref="S3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9" s="44" cm="1">
        <f t="array" ref="T3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9" s="44">
        <f>JobBonus[[#This Row],[Variable Pay]]+JobBonus[[#This Row],[Crew Efficiency Bonus]]</f>
        <v>0</v>
      </c>
      <c r="V379" s="44" cm="1">
        <f t="array" ref="V3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9" s="44" t="b">
        <f>_xlfn.IFNA(EXACT(VLOOKUP(JobBonus[[#This Row],[Pay Type]],PayTypes[#All],4,FALSE),"Yes"),FALSE)</f>
        <v>0</v>
      </c>
      <c r="X379" s="44" cm="1">
        <f t="array" ref="X379">SUMPRODUCT((StandByRates[Position]=JobBonus[[#This Row],[Position]])*(JobBonus[[#This Row],[Area]]=StandByRates[Area])*(StandByRates[Hourly]*JobBonus[[#This Row],[Standby/ Ext 
Hrs]]))</f>
        <v>0</v>
      </c>
      <c r="Y379" s="44">
        <f>JobBonus[[#This Row],[Variable Pay]]+JobBonus[[#This Row],[Crew Efficiency Bonus]]+JobBonus[[#This Row],[OVPP]]+JobBonus[[#This Row],[StandBy/ Ext Amount]]</f>
        <v>0</v>
      </c>
      <c r="Z379" s="80"/>
      <c r="AA379" s="42"/>
      <c r="AB379" s="42"/>
      <c r="AC379"/>
      <c r="AD379"/>
      <c r="AE379"/>
      <c r="AF379"/>
    </row>
    <row r="380" spans="1:32" hidden="1" x14ac:dyDescent="0.25">
      <c r="A380" s="46"/>
      <c r="B380" s="80"/>
      <c r="C380" s="15"/>
      <c r="D380" s="15"/>
      <c r="E380" s="15"/>
      <c r="F380" s="15"/>
      <c r="G380" s="16"/>
      <c r="H380" s="16"/>
      <c r="I380" s="19" t="str">
        <f>IF(ISBLANK(JobBonus[[#This Row],[Employee Name]]),"",INDEX(Employees[Job Title],MATCH(JobBonus[[#This Row],[Employee Name]],Employees[Employee Name2],0)))</f>
        <v/>
      </c>
      <c r="J380" s="19" t="str">
        <f>IF(ISBLANK(JobBonus[[#This Row],[Job Prov]]),"",IF(JobBonus[[#This Row],[Job Prov]]=INDEX(Employees[Province],MATCH(JobBonus[[#This Row],[Employee Name]],Employees[Employee Name2],0)),"No","Yes"))</f>
        <v/>
      </c>
      <c r="K380" s="17"/>
      <c r="L380" s="19"/>
      <c r="M380" s="23"/>
      <c r="N380" s="23"/>
      <c r="O380" s="15"/>
      <c r="P380" s="15"/>
      <c r="Q380" s="15"/>
      <c r="R380" s="15"/>
      <c r="S380" s="44" cm="1">
        <f t="array" ref="S3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0" s="44" cm="1">
        <f t="array" ref="T3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0" s="44">
        <f>JobBonus[[#This Row],[Variable Pay]]+JobBonus[[#This Row],[Crew Efficiency Bonus]]</f>
        <v>0</v>
      </c>
      <c r="V380" s="44" cm="1">
        <f t="array" ref="V3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0" s="44" t="b">
        <f>_xlfn.IFNA(EXACT(VLOOKUP(JobBonus[[#This Row],[Pay Type]],PayTypes[#All],4,FALSE),"Yes"),FALSE)</f>
        <v>0</v>
      </c>
      <c r="X380" s="44" cm="1">
        <f t="array" ref="X380">SUMPRODUCT((StandByRates[Position]=JobBonus[[#This Row],[Position]])*(JobBonus[[#This Row],[Area]]=StandByRates[Area])*(StandByRates[Hourly]*JobBonus[[#This Row],[Standby/ Ext 
Hrs]]))</f>
        <v>0</v>
      </c>
      <c r="Y380" s="44">
        <f>JobBonus[[#This Row],[Variable Pay]]+JobBonus[[#This Row],[Crew Efficiency Bonus]]+JobBonus[[#This Row],[OVPP]]+JobBonus[[#This Row],[StandBy/ Ext Amount]]</f>
        <v>0</v>
      </c>
      <c r="Z380" s="80"/>
      <c r="AA380" s="42"/>
      <c r="AB380" s="42"/>
      <c r="AC380"/>
      <c r="AD380"/>
      <c r="AE380"/>
      <c r="AF380"/>
    </row>
    <row r="381" spans="1:32" hidden="1" x14ac:dyDescent="0.25">
      <c r="A381" s="46"/>
      <c r="B381" s="80"/>
      <c r="C381" s="15"/>
      <c r="D381" s="15"/>
      <c r="E381" s="15"/>
      <c r="F381" s="15"/>
      <c r="G381" s="16"/>
      <c r="H381" s="16"/>
      <c r="I381" s="19" t="str">
        <f>IF(ISBLANK(JobBonus[[#This Row],[Employee Name]]),"",INDEX(Employees[Job Title],MATCH(JobBonus[[#This Row],[Employee Name]],Employees[Employee Name2],0)))</f>
        <v/>
      </c>
      <c r="J381" s="19" t="str">
        <f>IF(ISBLANK(JobBonus[[#This Row],[Job Prov]]),"",IF(JobBonus[[#This Row],[Job Prov]]=INDEX(Employees[Province],MATCH(JobBonus[[#This Row],[Employee Name]],Employees[Employee Name2],0)),"No","Yes"))</f>
        <v/>
      </c>
      <c r="K381" s="17"/>
      <c r="L381" s="19"/>
      <c r="M381" s="23"/>
      <c r="N381" s="23"/>
      <c r="O381" s="15"/>
      <c r="P381" s="15"/>
      <c r="Q381" s="15"/>
      <c r="R381" s="15"/>
      <c r="S381" s="44" cm="1">
        <f t="array" ref="S3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1" s="44" cm="1">
        <f t="array" ref="T3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1" s="44">
        <f>JobBonus[[#This Row],[Variable Pay]]+JobBonus[[#This Row],[Crew Efficiency Bonus]]</f>
        <v>0</v>
      </c>
      <c r="V381" s="44" cm="1">
        <f t="array" ref="V3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1" s="44" t="b">
        <f>_xlfn.IFNA(EXACT(VLOOKUP(JobBonus[[#This Row],[Pay Type]],PayTypes[#All],4,FALSE),"Yes"),FALSE)</f>
        <v>0</v>
      </c>
      <c r="X381" s="44" cm="1">
        <f t="array" ref="X381">SUMPRODUCT((StandByRates[Position]=JobBonus[[#This Row],[Position]])*(JobBonus[[#This Row],[Area]]=StandByRates[Area])*(StandByRates[Hourly]*JobBonus[[#This Row],[Standby/ Ext 
Hrs]]))</f>
        <v>0</v>
      </c>
      <c r="Y381" s="44">
        <f>JobBonus[[#This Row],[Variable Pay]]+JobBonus[[#This Row],[Crew Efficiency Bonus]]+JobBonus[[#This Row],[OVPP]]+JobBonus[[#This Row],[StandBy/ Ext Amount]]</f>
        <v>0</v>
      </c>
      <c r="Z381" s="80"/>
      <c r="AA381" s="42"/>
      <c r="AB381" s="42"/>
      <c r="AC381"/>
      <c r="AD381"/>
      <c r="AE381"/>
      <c r="AF381"/>
    </row>
    <row r="382" spans="1:32" hidden="1" x14ac:dyDescent="0.25">
      <c r="A382" s="46"/>
      <c r="B382" s="80"/>
      <c r="C382" s="15"/>
      <c r="D382" s="15"/>
      <c r="E382" s="15"/>
      <c r="F382" s="15"/>
      <c r="G382" s="16"/>
      <c r="H382" s="16"/>
      <c r="I382" s="19" t="str">
        <f>IF(ISBLANK(JobBonus[[#This Row],[Employee Name]]),"",INDEX(Employees[Job Title],MATCH(JobBonus[[#This Row],[Employee Name]],Employees[Employee Name2],0)))</f>
        <v/>
      </c>
      <c r="J382" s="19" t="str">
        <f>IF(ISBLANK(JobBonus[[#This Row],[Job Prov]]),"",IF(JobBonus[[#This Row],[Job Prov]]=INDEX(Employees[Province],MATCH(JobBonus[[#This Row],[Employee Name]],Employees[Employee Name2],0)),"No","Yes"))</f>
        <v/>
      </c>
      <c r="K382" s="17"/>
      <c r="L382" s="19"/>
      <c r="M382" s="23"/>
      <c r="N382" s="23"/>
      <c r="O382" s="15"/>
      <c r="P382" s="15"/>
      <c r="Q382" s="15"/>
      <c r="R382" s="15"/>
      <c r="S382" s="44" cm="1">
        <f t="array" ref="S3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2" s="44" cm="1">
        <f t="array" ref="T3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2" s="44">
        <f>JobBonus[[#This Row],[Variable Pay]]+JobBonus[[#This Row],[Crew Efficiency Bonus]]</f>
        <v>0</v>
      </c>
      <c r="V382" s="44" cm="1">
        <f t="array" ref="V3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2" s="44" t="b">
        <f>_xlfn.IFNA(EXACT(VLOOKUP(JobBonus[[#This Row],[Pay Type]],PayTypes[#All],4,FALSE),"Yes"),FALSE)</f>
        <v>0</v>
      </c>
      <c r="X382" s="44" cm="1">
        <f t="array" ref="X382">SUMPRODUCT((StandByRates[Position]=JobBonus[[#This Row],[Position]])*(JobBonus[[#This Row],[Area]]=StandByRates[Area])*(StandByRates[Hourly]*JobBonus[[#This Row],[Standby/ Ext 
Hrs]]))</f>
        <v>0</v>
      </c>
      <c r="Y382" s="44">
        <f>JobBonus[[#This Row],[Variable Pay]]+JobBonus[[#This Row],[Crew Efficiency Bonus]]+JobBonus[[#This Row],[OVPP]]+JobBonus[[#This Row],[StandBy/ Ext Amount]]</f>
        <v>0</v>
      </c>
      <c r="Z382" s="80"/>
      <c r="AA382" s="42"/>
      <c r="AB382" s="42"/>
      <c r="AC382"/>
      <c r="AD382"/>
      <c r="AE382"/>
      <c r="AF382"/>
    </row>
    <row r="383" spans="1:32" hidden="1" x14ac:dyDescent="0.25">
      <c r="A383" s="46"/>
      <c r="B383" s="80"/>
      <c r="C383" s="15"/>
      <c r="D383" s="15"/>
      <c r="E383" s="15"/>
      <c r="F383" s="15"/>
      <c r="G383" s="16"/>
      <c r="H383" s="16"/>
      <c r="I383" s="19" t="str">
        <f>IF(ISBLANK(JobBonus[[#This Row],[Employee Name]]),"",INDEX(Employees[Job Title],MATCH(JobBonus[[#This Row],[Employee Name]],Employees[Employee Name2],0)))</f>
        <v/>
      </c>
      <c r="J383" s="19" t="str">
        <f>IF(ISBLANK(JobBonus[[#This Row],[Job Prov]]),"",IF(JobBonus[[#This Row],[Job Prov]]=INDEX(Employees[Province],MATCH(JobBonus[[#This Row],[Employee Name]],Employees[Employee Name2],0)),"No","Yes"))</f>
        <v/>
      </c>
      <c r="K383" s="17"/>
      <c r="L383" s="19"/>
      <c r="M383" s="23"/>
      <c r="N383" s="23"/>
      <c r="O383" s="15"/>
      <c r="P383" s="15"/>
      <c r="Q383" s="15"/>
      <c r="R383" s="15"/>
      <c r="S383" s="44" cm="1">
        <f t="array" ref="S3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3" s="44" cm="1">
        <f t="array" ref="T3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3" s="44">
        <f>JobBonus[[#This Row],[Variable Pay]]+JobBonus[[#This Row],[Crew Efficiency Bonus]]</f>
        <v>0</v>
      </c>
      <c r="V383" s="44" cm="1">
        <f t="array" ref="V3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3" s="44" t="b">
        <f>_xlfn.IFNA(EXACT(VLOOKUP(JobBonus[[#This Row],[Pay Type]],PayTypes[#All],4,FALSE),"Yes"),FALSE)</f>
        <v>0</v>
      </c>
      <c r="X383" s="44" cm="1">
        <f t="array" ref="X383">SUMPRODUCT((StandByRates[Position]=JobBonus[[#This Row],[Position]])*(JobBonus[[#This Row],[Area]]=StandByRates[Area])*(StandByRates[Hourly]*JobBonus[[#This Row],[Standby/ Ext 
Hrs]]))</f>
        <v>0</v>
      </c>
      <c r="Y383" s="44">
        <f>JobBonus[[#This Row],[Variable Pay]]+JobBonus[[#This Row],[Crew Efficiency Bonus]]+JobBonus[[#This Row],[OVPP]]+JobBonus[[#This Row],[StandBy/ Ext Amount]]</f>
        <v>0</v>
      </c>
      <c r="Z383" s="80"/>
      <c r="AA383" s="42"/>
      <c r="AB383" s="42"/>
      <c r="AC383"/>
      <c r="AD383"/>
      <c r="AE383"/>
      <c r="AF383"/>
    </row>
    <row r="384" spans="1:32" hidden="1" x14ac:dyDescent="0.25">
      <c r="A384" s="46"/>
      <c r="B384" s="80"/>
      <c r="C384" s="15"/>
      <c r="D384" s="15"/>
      <c r="E384" s="15"/>
      <c r="F384" s="15"/>
      <c r="G384" s="16"/>
      <c r="H384" s="16"/>
      <c r="I384" s="19" t="str">
        <f>IF(ISBLANK(JobBonus[[#This Row],[Employee Name]]),"",INDEX(Employees[Job Title],MATCH(JobBonus[[#This Row],[Employee Name]],Employees[Employee Name2],0)))</f>
        <v/>
      </c>
      <c r="J384" s="19" t="str">
        <f>IF(ISBLANK(JobBonus[[#This Row],[Job Prov]]),"",IF(JobBonus[[#This Row],[Job Prov]]=INDEX(Employees[Province],MATCH(JobBonus[[#This Row],[Employee Name]],Employees[Employee Name2],0)),"No","Yes"))</f>
        <v/>
      </c>
      <c r="K384" s="17"/>
      <c r="L384" s="19"/>
      <c r="M384" s="23"/>
      <c r="N384" s="23"/>
      <c r="O384" s="15"/>
      <c r="P384" s="15"/>
      <c r="Q384" s="15"/>
      <c r="R384" s="15"/>
      <c r="S384" s="44" cm="1">
        <f t="array" ref="S3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4" s="44" cm="1">
        <f t="array" ref="T3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4" s="44">
        <f>JobBonus[[#This Row],[Variable Pay]]+JobBonus[[#This Row],[Crew Efficiency Bonus]]</f>
        <v>0</v>
      </c>
      <c r="V384" s="44" cm="1">
        <f t="array" ref="V3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4" s="44" t="b">
        <f>_xlfn.IFNA(EXACT(VLOOKUP(JobBonus[[#This Row],[Pay Type]],PayTypes[#All],4,FALSE),"Yes"),FALSE)</f>
        <v>0</v>
      </c>
      <c r="X384" s="44" cm="1">
        <f t="array" ref="X384">SUMPRODUCT((StandByRates[Position]=JobBonus[[#This Row],[Position]])*(JobBonus[[#This Row],[Area]]=StandByRates[Area])*(StandByRates[Hourly]*JobBonus[[#This Row],[Standby/ Ext 
Hrs]]))</f>
        <v>0</v>
      </c>
      <c r="Y384" s="44">
        <f>JobBonus[[#This Row],[Variable Pay]]+JobBonus[[#This Row],[Crew Efficiency Bonus]]+JobBonus[[#This Row],[OVPP]]+JobBonus[[#This Row],[StandBy/ Ext Amount]]</f>
        <v>0</v>
      </c>
      <c r="Z384" s="80"/>
      <c r="AA384" s="42"/>
      <c r="AB384" s="42"/>
      <c r="AC384"/>
      <c r="AD384"/>
      <c r="AE384"/>
      <c r="AF384"/>
    </row>
    <row r="385" spans="1:32" hidden="1" x14ac:dyDescent="0.25">
      <c r="A385" s="46"/>
      <c r="B385" s="80"/>
      <c r="C385" s="15"/>
      <c r="D385" s="15"/>
      <c r="E385" s="15"/>
      <c r="F385" s="15"/>
      <c r="G385" s="16"/>
      <c r="H385" s="16"/>
      <c r="I385" s="19" t="str">
        <f>IF(ISBLANK(JobBonus[[#This Row],[Employee Name]]),"",INDEX(Employees[Job Title],MATCH(JobBonus[[#This Row],[Employee Name]],Employees[Employee Name2],0)))</f>
        <v/>
      </c>
      <c r="J385" s="19" t="str">
        <f>IF(ISBLANK(JobBonus[[#This Row],[Job Prov]]),"",IF(JobBonus[[#This Row],[Job Prov]]=INDEX(Employees[Province],MATCH(JobBonus[[#This Row],[Employee Name]],Employees[Employee Name2],0)),"No","Yes"))</f>
        <v/>
      </c>
      <c r="K385" s="17"/>
      <c r="L385" s="19"/>
      <c r="M385" s="23"/>
      <c r="N385" s="23"/>
      <c r="O385" s="15"/>
      <c r="P385" s="15"/>
      <c r="Q385" s="15"/>
      <c r="R385" s="15"/>
      <c r="S385" s="44" cm="1">
        <f t="array" ref="S3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5" s="44" cm="1">
        <f t="array" ref="T3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5" s="44">
        <f>JobBonus[[#This Row],[Variable Pay]]+JobBonus[[#This Row],[Crew Efficiency Bonus]]</f>
        <v>0</v>
      </c>
      <c r="V385" s="44" cm="1">
        <f t="array" ref="V3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5" s="44" t="b">
        <f>_xlfn.IFNA(EXACT(VLOOKUP(JobBonus[[#This Row],[Pay Type]],PayTypes[#All],4,FALSE),"Yes"),FALSE)</f>
        <v>0</v>
      </c>
      <c r="X385" s="44" cm="1">
        <f t="array" ref="X385">SUMPRODUCT((StandByRates[Position]=JobBonus[[#This Row],[Position]])*(JobBonus[[#This Row],[Area]]=StandByRates[Area])*(StandByRates[Hourly]*JobBonus[[#This Row],[Standby/ Ext 
Hrs]]))</f>
        <v>0</v>
      </c>
      <c r="Y385" s="44">
        <f>JobBonus[[#This Row],[Variable Pay]]+JobBonus[[#This Row],[Crew Efficiency Bonus]]+JobBonus[[#This Row],[OVPP]]+JobBonus[[#This Row],[StandBy/ Ext Amount]]</f>
        <v>0</v>
      </c>
      <c r="Z385" s="80"/>
      <c r="AA385" s="42"/>
      <c r="AB385" s="42"/>
      <c r="AC385"/>
      <c r="AD385"/>
      <c r="AE385"/>
      <c r="AF385"/>
    </row>
    <row r="386" spans="1:32" hidden="1" x14ac:dyDescent="0.25">
      <c r="A386" s="46"/>
      <c r="B386" s="80"/>
      <c r="C386" s="15"/>
      <c r="D386" s="15"/>
      <c r="E386" s="15"/>
      <c r="F386" s="15"/>
      <c r="G386" s="16"/>
      <c r="H386" s="16"/>
      <c r="I386" s="19" t="str">
        <f>IF(ISBLANK(JobBonus[[#This Row],[Employee Name]]),"",INDEX(Employees[Job Title],MATCH(JobBonus[[#This Row],[Employee Name]],Employees[Employee Name2],0)))</f>
        <v/>
      </c>
      <c r="J386" s="19" t="str">
        <f>IF(ISBLANK(JobBonus[[#This Row],[Job Prov]]),"",IF(JobBonus[[#This Row],[Job Prov]]=INDEX(Employees[Province],MATCH(JobBonus[[#This Row],[Employee Name]],Employees[Employee Name2],0)),"No","Yes"))</f>
        <v/>
      </c>
      <c r="K386" s="17"/>
      <c r="L386" s="19"/>
      <c r="M386" s="23"/>
      <c r="N386" s="23"/>
      <c r="O386" s="15"/>
      <c r="P386" s="15"/>
      <c r="Q386" s="15"/>
      <c r="R386" s="15"/>
      <c r="S386" s="44" cm="1">
        <f t="array" ref="S3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6" s="44" cm="1">
        <f t="array" ref="T3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6" s="44">
        <f>JobBonus[[#This Row],[Variable Pay]]+JobBonus[[#This Row],[Crew Efficiency Bonus]]</f>
        <v>0</v>
      </c>
      <c r="V386" s="44" cm="1">
        <f t="array" ref="V3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6" s="44" t="b">
        <f>_xlfn.IFNA(EXACT(VLOOKUP(JobBonus[[#This Row],[Pay Type]],PayTypes[#All],4,FALSE),"Yes"),FALSE)</f>
        <v>0</v>
      </c>
      <c r="X386" s="44" cm="1">
        <f t="array" ref="X386">SUMPRODUCT((StandByRates[Position]=JobBonus[[#This Row],[Position]])*(JobBonus[[#This Row],[Area]]=StandByRates[Area])*(StandByRates[Hourly]*JobBonus[[#This Row],[Standby/ Ext 
Hrs]]))</f>
        <v>0</v>
      </c>
      <c r="Y386" s="44">
        <f>JobBonus[[#This Row],[Variable Pay]]+JobBonus[[#This Row],[Crew Efficiency Bonus]]+JobBonus[[#This Row],[OVPP]]+JobBonus[[#This Row],[StandBy/ Ext Amount]]</f>
        <v>0</v>
      </c>
      <c r="Z386" s="80"/>
      <c r="AA386" s="42"/>
      <c r="AB386" s="42"/>
      <c r="AC386"/>
      <c r="AD386"/>
      <c r="AE386"/>
      <c r="AF386"/>
    </row>
    <row r="387" spans="1:32" hidden="1" x14ac:dyDescent="0.25">
      <c r="A387" s="46"/>
      <c r="B387" s="80"/>
      <c r="C387" s="15"/>
      <c r="D387" s="15"/>
      <c r="E387" s="15"/>
      <c r="F387" s="15"/>
      <c r="G387" s="16"/>
      <c r="H387" s="16"/>
      <c r="I387" s="19" t="str">
        <f>IF(ISBLANK(JobBonus[[#This Row],[Employee Name]]),"",INDEX(Employees[Job Title],MATCH(JobBonus[[#This Row],[Employee Name]],Employees[Employee Name2],0)))</f>
        <v/>
      </c>
      <c r="J387" s="19" t="str">
        <f>IF(ISBLANK(JobBonus[[#This Row],[Job Prov]]),"",IF(JobBonus[[#This Row],[Job Prov]]=INDEX(Employees[Province],MATCH(JobBonus[[#This Row],[Employee Name]],Employees[Employee Name2],0)),"No","Yes"))</f>
        <v/>
      </c>
      <c r="K387" s="17"/>
      <c r="L387" s="19"/>
      <c r="M387" s="23"/>
      <c r="N387" s="23"/>
      <c r="O387" s="15"/>
      <c r="P387" s="15"/>
      <c r="Q387" s="15"/>
      <c r="R387" s="15"/>
      <c r="S387" s="44" cm="1">
        <f t="array" ref="S3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7" s="44" cm="1">
        <f t="array" ref="T3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7" s="44">
        <f>JobBonus[[#This Row],[Variable Pay]]+JobBonus[[#This Row],[Crew Efficiency Bonus]]</f>
        <v>0</v>
      </c>
      <c r="V387" s="44" cm="1">
        <f t="array" ref="V3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7" s="44" t="b">
        <f>_xlfn.IFNA(EXACT(VLOOKUP(JobBonus[[#This Row],[Pay Type]],PayTypes[#All],4,FALSE),"Yes"),FALSE)</f>
        <v>0</v>
      </c>
      <c r="X387" s="44" cm="1">
        <f t="array" ref="X387">SUMPRODUCT((StandByRates[Position]=JobBonus[[#This Row],[Position]])*(JobBonus[[#This Row],[Area]]=StandByRates[Area])*(StandByRates[Hourly]*JobBonus[[#This Row],[Standby/ Ext 
Hrs]]))</f>
        <v>0</v>
      </c>
      <c r="Y387" s="44">
        <f>JobBonus[[#This Row],[Variable Pay]]+JobBonus[[#This Row],[Crew Efficiency Bonus]]+JobBonus[[#This Row],[OVPP]]+JobBonus[[#This Row],[StandBy/ Ext Amount]]</f>
        <v>0</v>
      </c>
      <c r="Z387" s="80"/>
      <c r="AA387" s="42"/>
      <c r="AB387" s="42"/>
      <c r="AC387"/>
      <c r="AD387"/>
      <c r="AE387"/>
      <c r="AF387"/>
    </row>
    <row r="388" spans="1:32" hidden="1" x14ac:dyDescent="0.25">
      <c r="A388" s="46"/>
      <c r="B388" s="80"/>
      <c r="C388" s="15"/>
      <c r="D388" s="15"/>
      <c r="E388" s="15"/>
      <c r="F388" s="15"/>
      <c r="G388" s="16"/>
      <c r="H388" s="16"/>
      <c r="I388" s="19" t="str">
        <f>IF(ISBLANK(JobBonus[[#This Row],[Employee Name]]),"",INDEX(Employees[Job Title],MATCH(JobBonus[[#This Row],[Employee Name]],Employees[Employee Name2],0)))</f>
        <v/>
      </c>
      <c r="J388" s="19" t="str">
        <f>IF(ISBLANK(JobBonus[[#This Row],[Job Prov]]),"",IF(JobBonus[[#This Row],[Job Prov]]=INDEX(Employees[Province],MATCH(JobBonus[[#This Row],[Employee Name]],Employees[Employee Name2],0)),"No","Yes"))</f>
        <v/>
      </c>
      <c r="K388" s="17"/>
      <c r="L388" s="19"/>
      <c r="M388" s="23"/>
      <c r="N388" s="23"/>
      <c r="O388" s="15"/>
      <c r="P388" s="15"/>
      <c r="Q388" s="15"/>
      <c r="R388" s="15"/>
      <c r="S388" s="44" cm="1">
        <f t="array" ref="S3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8" s="44" cm="1">
        <f t="array" ref="T3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8" s="44">
        <f>JobBonus[[#This Row],[Variable Pay]]+JobBonus[[#This Row],[Crew Efficiency Bonus]]</f>
        <v>0</v>
      </c>
      <c r="V388" s="44" cm="1">
        <f t="array" ref="V3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8" s="44" t="b">
        <f>_xlfn.IFNA(EXACT(VLOOKUP(JobBonus[[#This Row],[Pay Type]],PayTypes[#All],4,FALSE),"Yes"),FALSE)</f>
        <v>0</v>
      </c>
      <c r="X388" s="44" cm="1">
        <f t="array" ref="X388">SUMPRODUCT((StandByRates[Position]=JobBonus[[#This Row],[Position]])*(JobBonus[[#This Row],[Area]]=StandByRates[Area])*(StandByRates[Hourly]*JobBonus[[#This Row],[Standby/ Ext 
Hrs]]))</f>
        <v>0</v>
      </c>
      <c r="Y388" s="44">
        <f>JobBonus[[#This Row],[Variable Pay]]+JobBonus[[#This Row],[Crew Efficiency Bonus]]+JobBonus[[#This Row],[OVPP]]+JobBonus[[#This Row],[StandBy/ Ext Amount]]</f>
        <v>0</v>
      </c>
      <c r="Z388" s="80"/>
      <c r="AA388" s="42"/>
      <c r="AB388" s="42"/>
      <c r="AC388"/>
      <c r="AD388"/>
      <c r="AE388"/>
      <c r="AF388"/>
    </row>
    <row r="389" spans="1:32" hidden="1" x14ac:dyDescent="0.25">
      <c r="A389" s="46"/>
      <c r="B389" s="80"/>
      <c r="C389" s="15"/>
      <c r="D389" s="15"/>
      <c r="E389" s="15"/>
      <c r="F389" s="15"/>
      <c r="G389" s="16"/>
      <c r="H389" s="16"/>
      <c r="I389" s="19" t="str">
        <f>IF(ISBLANK(JobBonus[[#This Row],[Employee Name]]),"",INDEX(Employees[Job Title],MATCH(JobBonus[[#This Row],[Employee Name]],Employees[Employee Name2],0)))</f>
        <v/>
      </c>
      <c r="J389" s="19" t="str">
        <f>IF(ISBLANK(JobBonus[[#This Row],[Job Prov]]),"",IF(JobBonus[[#This Row],[Job Prov]]=INDEX(Employees[Province],MATCH(JobBonus[[#This Row],[Employee Name]],Employees[Employee Name2],0)),"No","Yes"))</f>
        <v/>
      </c>
      <c r="K389" s="17"/>
      <c r="L389" s="19"/>
      <c r="M389" s="23"/>
      <c r="N389" s="23"/>
      <c r="O389" s="15"/>
      <c r="P389" s="15"/>
      <c r="Q389" s="15"/>
      <c r="R389" s="15"/>
      <c r="S389" s="44" cm="1">
        <f t="array" ref="S3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9" s="44" cm="1">
        <f t="array" ref="T3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9" s="44">
        <f>JobBonus[[#This Row],[Variable Pay]]+JobBonus[[#This Row],[Crew Efficiency Bonus]]</f>
        <v>0</v>
      </c>
      <c r="V389" s="44" cm="1">
        <f t="array" ref="V3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9" s="44" t="b">
        <f>_xlfn.IFNA(EXACT(VLOOKUP(JobBonus[[#This Row],[Pay Type]],PayTypes[#All],4,FALSE),"Yes"),FALSE)</f>
        <v>0</v>
      </c>
      <c r="X389" s="44" cm="1">
        <f t="array" ref="X389">SUMPRODUCT((StandByRates[Position]=JobBonus[[#This Row],[Position]])*(JobBonus[[#This Row],[Area]]=StandByRates[Area])*(StandByRates[Hourly]*JobBonus[[#This Row],[Standby/ Ext 
Hrs]]))</f>
        <v>0</v>
      </c>
      <c r="Y389" s="44">
        <f>JobBonus[[#This Row],[Variable Pay]]+JobBonus[[#This Row],[Crew Efficiency Bonus]]+JobBonus[[#This Row],[OVPP]]+JobBonus[[#This Row],[StandBy/ Ext Amount]]</f>
        <v>0</v>
      </c>
      <c r="Z389" s="80"/>
      <c r="AA389" s="42"/>
      <c r="AB389" s="42"/>
      <c r="AC389"/>
      <c r="AD389"/>
      <c r="AE389"/>
      <c r="AF389"/>
    </row>
    <row r="390" spans="1:32" hidden="1" x14ac:dyDescent="0.25">
      <c r="A390" s="46"/>
      <c r="B390" s="80"/>
      <c r="C390" s="15"/>
      <c r="D390" s="15"/>
      <c r="E390" s="15"/>
      <c r="F390" s="15"/>
      <c r="G390" s="16"/>
      <c r="H390" s="16"/>
      <c r="I390" s="19" t="str">
        <f>IF(ISBLANK(JobBonus[[#This Row],[Employee Name]]),"",INDEX(Employees[Job Title],MATCH(JobBonus[[#This Row],[Employee Name]],Employees[Employee Name2],0)))</f>
        <v/>
      </c>
      <c r="J390" s="19" t="str">
        <f>IF(ISBLANK(JobBonus[[#This Row],[Job Prov]]),"",IF(JobBonus[[#This Row],[Job Prov]]=INDEX(Employees[Province],MATCH(JobBonus[[#This Row],[Employee Name]],Employees[Employee Name2],0)),"No","Yes"))</f>
        <v/>
      </c>
      <c r="K390" s="17"/>
      <c r="L390" s="19"/>
      <c r="M390" s="23"/>
      <c r="N390" s="23"/>
      <c r="O390" s="15"/>
      <c r="P390" s="15"/>
      <c r="Q390" s="15"/>
      <c r="R390" s="15"/>
      <c r="S390" s="44" cm="1">
        <f t="array" ref="S3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0" s="44" cm="1">
        <f t="array" ref="T3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0" s="44">
        <f>JobBonus[[#This Row],[Variable Pay]]+JobBonus[[#This Row],[Crew Efficiency Bonus]]</f>
        <v>0</v>
      </c>
      <c r="V390" s="44" cm="1">
        <f t="array" ref="V3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0" s="44" t="b">
        <f>_xlfn.IFNA(EXACT(VLOOKUP(JobBonus[[#This Row],[Pay Type]],PayTypes[#All],4,FALSE),"Yes"),FALSE)</f>
        <v>0</v>
      </c>
      <c r="X390" s="44" cm="1">
        <f t="array" ref="X390">SUMPRODUCT((StandByRates[Position]=JobBonus[[#This Row],[Position]])*(JobBonus[[#This Row],[Area]]=StandByRates[Area])*(StandByRates[Hourly]*JobBonus[[#This Row],[Standby/ Ext 
Hrs]]))</f>
        <v>0</v>
      </c>
      <c r="Y390" s="44">
        <f>JobBonus[[#This Row],[Variable Pay]]+JobBonus[[#This Row],[Crew Efficiency Bonus]]+JobBonus[[#This Row],[OVPP]]+JobBonus[[#This Row],[StandBy/ Ext Amount]]</f>
        <v>0</v>
      </c>
      <c r="Z390" s="80"/>
      <c r="AA390" s="42"/>
      <c r="AB390" s="42"/>
      <c r="AC390"/>
      <c r="AD390"/>
      <c r="AE390"/>
      <c r="AF390"/>
    </row>
    <row r="391" spans="1:32" hidden="1" x14ac:dyDescent="0.25">
      <c r="A391" s="46"/>
      <c r="B391" s="80"/>
      <c r="C391" s="15"/>
      <c r="D391" s="15"/>
      <c r="E391" s="15"/>
      <c r="F391" s="15"/>
      <c r="G391" s="16"/>
      <c r="H391" s="16"/>
      <c r="I391" s="19" t="str">
        <f>IF(ISBLANK(JobBonus[[#This Row],[Employee Name]]),"",INDEX(Employees[Job Title],MATCH(JobBonus[[#This Row],[Employee Name]],Employees[Employee Name2],0)))</f>
        <v/>
      </c>
      <c r="J391" s="19" t="str">
        <f>IF(ISBLANK(JobBonus[[#This Row],[Job Prov]]),"",IF(JobBonus[[#This Row],[Job Prov]]=INDEX(Employees[Province],MATCH(JobBonus[[#This Row],[Employee Name]],Employees[Employee Name2],0)),"No","Yes"))</f>
        <v/>
      </c>
      <c r="K391" s="17"/>
      <c r="L391" s="19"/>
      <c r="M391" s="23"/>
      <c r="N391" s="23"/>
      <c r="O391" s="15"/>
      <c r="P391" s="15"/>
      <c r="Q391" s="15"/>
      <c r="R391" s="15"/>
      <c r="S391" s="44" cm="1">
        <f t="array" ref="S3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1" s="44" cm="1">
        <f t="array" ref="T3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1" s="44">
        <f>JobBonus[[#This Row],[Variable Pay]]+JobBonus[[#This Row],[Crew Efficiency Bonus]]</f>
        <v>0</v>
      </c>
      <c r="V391" s="44" cm="1">
        <f t="array" ref="V3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1" s="44" t="b">
        <f>_xlfn.IFNA(EXACT(VLOOKUP(JobBonus[[#This Row],[Pay Type]],PayTypes[#All],4,FALSE),"Yes"),FALSE)</f>
        <v>0</v>
      </c>
      <c r="X391" s="44" cm="1">
        <f t="array" ref="X391">SUMPRODUCT((StandByRates[Position]=JobBonus[[#This Row],[Position]])*(JobBonus[[#This Row],[Area]]=StandByRates[Area])*(StandByRates[Hourly]*JobBonus[[#This Row],[Standby/ Ext 
Hrs]]))</f>
        <v>0</v>
      </c>
      <c r="Y391" s="44">
        <f>JobBonus[[#This Row],[Variable Pay]]+JobBonus[[#This Row],[Crew Efficiency Bonus]]+JobBonus[[#This Row],[OVPP]]+JobBonus[[#This Row],[StandBy/ Ext Amount]]</f>
        <v>0</v>
      </c>
      <c r="Z391" s="80"/>
      <c r="AA391" s="42"/>
      <c r="AB391" s="42"/>
      <c r="AC391"/>
      <c r="AD391"/>
      <c r="AE391"/>
      <c r="AF391"/>
    </row>
    <row r="392" spans="1:32" hidden="1" x14ac:dyDescent="0.25">
      <c r="A392" s="46"/>
      <c r="B392" s="80"/>
      <c r="C392" s="15"/>
      <c r="D392" s="15"/>
      <c r="E392" s="15"/>
      <c r="F392" s="15"/>
      <c r="G392" s="16"/>
      <c r="H392" s="16"/>
      <c r="I392" s="19" t="str">
        <f>IF(ISBLANK(JobBonus[[#This Row],[Employee Name]]),"",INDEX(Employees[Job Title],MATCH(JobBonus[[#This Row],[Employee Name]],Employees[Employee Name2],0)))</f>
        <v/>
      </c>
      <c r="J392" s="19" t="str">
        <f>IF(ISBLANK(JobBonus[[#This Row],[Job Prov]]),"",IF(JobBonus[[#This Row],[Job Prov]]=INDEX(Employees[Province],MATCH(JobBonus[[#This Row],[Employee Name]],Employees[Employee Name2],0)),"No","Yes"))</f>
        <v/>
      </c>
      <c r="K392" s="17"/>
      <c r="L392" s="19"/>
      <c r="M392" s="23"/>
      <c r="N392" s="23"/>
      <c r="O392" s="15"/>
      <c r="P392" s="15"/>
      <c r="Q392" s="15"/>
      <c r="R392" s="15"/>
      <c r="S392" s="44" cm="1">
        <f t="array" ref="S3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2" s="44" cm="1">
        <f t="array" ref="T3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2" s="44">
        <f>JobBonus[[#This Row],[Variable Pay]]+JobBonus[[#This Row],[Crew Efficiency Bonus]]</f>
        <v>0</v>
      </c>
      <c r="V392" s="44" cm="1">
        <f t="array" ref="V3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2" s="44" t="b">
        <f>_xlfn.IFNA(EXACT(VLOOKUP(JobBonus[[#This Row],[Pay Type]],PayTypes[#All],4,FALSE),"Yes"),FALSE)</f>
        <v>0</v>
      </c>
      <c r="X392" s="44" cm="1">
        <f t="array" ref="X392">SUMPRODUCT((StandByRates[Position]=JobBonus[[#This Row],[Position]])*(JobBonus[[#This Row],[Area]]=StandByRates[Area])*(StandByRates[Hourly]*JobBonus[[#This Row],[Standby/ Ext 
Hrs]]))</f>
        <v>0</v>
      </c>
      <c r="Y392" s="44">
        <f>JobBonus[[#This Row],[Variable Pay]]+JobBonus[[#This Row],[Crew Efficiency Bonus]]+JobBonus[[#This Row],[OVPP]]+JobBonus[[#This Row],[StandBy/ Ext Amount]]</f>
        <v>0</v>
      </c>
      <c r="Z392" s="80"/>
      <c r="AA392" s="42"/>
      <c r="AB392" s="42"/>
      <c r="AC392"/>
      <c r="AD392"/>
      <c r="AE392"/>
      <c r="AF392"/>
    </row>
    <row r="393" spans="1:32" hidden="1" x14ac:dyDescent="0.25">
      <c r="A393" s="46"/>
      <c r="B393" s="80"/>
      <c r="C393" s="15"/>
      <c r="D393" s="15"/>
      <c r="E393" s="15"/>
      <c r="F393" s="15"/>
      <c r="G393" s="16"/>
      <c r="H393" s="16"/>
      <c r="I393" s="19" t="str">
        <f>IF(ISBLANK(JobBonus[[#This Row],[Employee Name]]),"",INDEX(Employees[Job Title],MATCH(JobBonus[[#This Row],[Employee Name]],Employees[Employee Name2],0)))</f>
        <v/>
      </c>
      <c r="J393" s="19" t="str">
        <f>IF(ISBLANK(JobBonus[[#This Row],[Job Prov]]),"",IF(JobBonus[[#This Row],[Job Prov]]=INDEX(Employees[Province],MATCH(JobBonus[[#This Row],[Employee Name]],Employees[Employee Name2],0)),"No","Yes"))</f>
        <v/>
      </c>
      <c r="K393" s="17"/>
      <c r="L393" s="19"/>
      <c r="M393" s="23"/>
      <c r="N393" s="23"/>
      <c r="O393" s="15"/>
      <c r="P393" s="15"/>
      <c r="Q393" s="15"/>
      <c r="R393" s="15"/>
      <c r="S393" s="44" cm="1">
        <f t="array" ref="S3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3" s="44" cm="1">
        <f t="array" ref="T3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3" s="44">
        <f>JobBonus[[#This Row],[Variable Pay]]+JobBonus[[#This Row],[Crew Efficiency Bonus]]</f>
        <v>0</v>
      </c>
      <c r="V393" s="44" cm="1">
        <f t="array" ref="V3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3" s="44" t="b">
        <f>_xlfn.IFNA(EXACT(VLOOKUP(JobBonus[[#This Row],[Pay Type]],PayTypes[#All],4,FALSE),"Yes"),FALSE)</f>
        <v>0</v>
      </c>
      <c r="X393" s="44" cm="1">
        <f t="array" ref="X393">SUMPRODUCT((StandByRates[Position]=JobBonus[[#This Row],[Position]])*(JobBonus[[#This Row],[Area]]=StandByRates[Area])*(StandByRates[Hourly]*JobBonus[[#This Row],[Standby/ Ext 
Hrs]]))</f>
        <v>0</v>
      </c>
      <c r="Y393" s="44">
        <f>JobBonus[[#This Row],[Variable Pay]]+JobBonus[[#This Row],[Crew Efficiency Bonus]]+JobBonus[[#This Row],[OVPP]]+JobBonus[[#This Row],[StandBy/ Ext Amount]]</f>
        <v>0</v>
      </c>
      <c r="Z393" s="80"/>
      <c r="AA393" s="42"/>
      <c r="AB393" s="42"/>
      <c r="AC393"/>
      <c r="AD393"/>
      <c r="AE393"/>
      <c r="AF393"/>
    </row>
    <row r="394" spans="1:32" hidden="1" x14ac:dyDescent="0.25">
      <c r="A394" s="46"/>
      <c r="B394" s="80"/>
      <c r="C394" s="15"/>
      <c r="D394" s="15"/>
      <c r="E394" s="15"/>
      <c r="F394" s="15"/>
      <c r="G394" s="16"/>
      <c r="H394" s="16"/>
      <c r="I394" s="19" t="str">
        <f>IF(ISBLANK(JobBonus[[#This Row],[Employee Name]]),"",INDEX(Employees[Job Title],MATCH(JobBonus[[#This Row],[Employee Name]],Employees[Employee Name2],0)))</f>
        <v/>
      </c>
      <c r="J394" s="19" t="str">
        <f>IF(ISBLANK(JobBonus[[#This Row],[Job Prov]]),"",IF(JobBonus[[#This Row],[Job Prov]]=INDEX(Employees[Province],MATCH(JobBonus[[#This Row],[Employee Name]],Employees[Employee Name2],0)),"No","Yes"))</f>
        <v/>
      </c>
      <c r="K394" s="17"/>
      <c r="L394" s="19"/>
      <c r="M394" s="23"/>
      <c r="N394" s="23"/>
      <c r="O394" s="15"/>
      <c r="P394" s="15"/>
      <c r="Q394" s="15"/>
      <c r="R394" s="15"/>
      <c r="S394" s="44" cm="1">
        <f t="array" ref="S3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4" s="44" cm="1">
        <f t="array" ref="T3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4" s="44">
        <f>JobBonus[[#This Row],[Variable Pay]]+JobBonus[[#This Row],[Crew Efficiency Bonus]]</f>
        <v>0</v>
      </c>
      <c r="V394" s="44" cm="1">
        <f t="array" ref="V3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4" s="44" t="b">
        <f>_xlfn.IFNA(EXACT(VLOOKUP(JobBonus[[#This Row],[Pay Type]],PayTypes[#All],4,FALSE),"Yes"),FALSE)</f>
        <v>0</v>
      </c>
      <c r="X394" s="44" cm="1">
        <f t="array" ref="X394">SUMPRODUCT((StandByRates[Position]=JobBonus[[#This Row],[Position]])*(JobBonus[[#This Row],[Area]]=StandByRates[Area])*(StandByRates[Hourly]*JobBonus[[#This Row],[Standby/ Ext 
Hrs]]))</f>
        <v>0</v>
      </c>
      <c r="Y394" s="44">
        <f>JobBonus[[#This Row],[Variable Pay]]+JobBonus[[#This Row],[Crew Efficiency Bonus]]+JobBonus[[#This Row],[OVPP]]+JobBonus[[#This Row],[StandBy/ Ext Amount]]</f>
        <v>0</v>
      </c>
      <c r="Z394" s="80"/>
      <c r="AA394" s="42"/>
      <c r="AB394" s="42"/>
      <c r="AC394"/>
      <c r="AD394"/>
      <c r="AE394"/>
      <c r="AF394"/>
    </row>
    <row r="395" spans="1:32" hidden="1" x14ac:dyDescent="0.25">
      <c r="A395" s="46"/>
      <c r="B395" s="80"/>
      <c r="C395" s="15"/>
      <c r="D395" s="15"/>
      <c r="E395" s="15"/>
      <c r="F395" s="15"/>
      <c r="G395" s="16"/>
      <c r="H395" s="16"/>
      <c r="I395" s="19" t="str">
        <f>IF(ISBLANK(JobBonus[[#This Row],[Employee Name]]),"",INDEX(Employees[Job Title],MATCH(JobBonus[[#This Row],[Employee Name]],Employees[Employee Name2],0)))</f>
        <v/>
      </c>
      <c r="J395" s="19" t="str">
        <f>IF(ISBLANK(JobBonus[[#This Row],[Job Prov]]),"",IF(JobBonus[[#This Row],[Job Prov]]=INDEX(Employees[Province],MATCH(JobBonus[[#This Row],[Employee Name]],Employees[Employee Name2],0)),"No","Yes"))</f>
        <v/>
      </c>
      <c r="K395" s="17"/>
      <c r="L395" s="19"/>
      <c r="M395" s="23"/>
      <c r="N395" s="23"/>
      <c r="O395" s="15"/>
      <c r="P395" s="15"/>
      <c r="Q395" s="15"/>
      <c r="R395" s="15"/>
      <c r="S395" s="44" cm="1">
        <f t="array" ref="S3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5" s="44" cm="1">
        <f t="array" ref="T3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5" s="44">
        <f>JobBonus[[#This Row],[Variable Pay]]+JobBonus[[#This Row],[Crew Efficiency Bonus]]</f>
        <v>0</v>
      </c>
      <c r="V395" s="44" cm="1">
        <f t="array" ref="V3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5" s="44" t="b">
        <f>_xlfn.IFNA(EXACT(VLOOKUP(JobBonus[[#This Row],[Pay Type]],PayTypes[#All],4,FALSE),"Yes"),FALSE)</f>
        <v>0</v>
      </c>
      <c r="X395" s="44" cm="1">
        <f t="array" ref="X395">SUMPRODUCT((StandByRates[Position]=JobBonus[[#This Row],[Position]])*(JobBonus[[#This Row],[Area]]=StandByRates[Area])*(StandByRates[Hourly]*JobBonus[[#This Row],[Standby/ Ext 
Hrs]]))</f>
        <v>0</v>
      </c>
      <c r="Y395" s="44">
        <f>JobBonus[[#This Row],[Variable Pay]]+JobBonus[[#This Row],[Crew Efficiency Bonus]]+JobBonus[[#This Row],[OVPP]]+JobBonus[[#This Row],[StandBy/ Ext Amount]]</f>
        <v>0</v>
      </c>
      <c r="Z395" s="80"/>
      <c r="AA395" s="42"/>
      <c r="AB395" s="42"/>
      <c r="AC395"/>
      <c r="AD395"/>
      <c r="AE395"/>
      <c r="AF395"/>
    </row>
    <row r="396" spans="1:32" hidden="1" x14ac:dyDescent="0.25">
      <c r="A396" s="46"/>
      <c r="B396" s="80"/>
      <c r="C396" s="15"/>
      <c r="D396" s="15"/>
      <c r="E396" s="15"/>
      <c r="F396" s="15"/>
      <c r="G396" s="16"/>
      <c r="H396" s="16"/>
      <c r="I396" s="19" t="str">
        <f>IF(ISBLANK(JobBonus[[#This Row],[Employee Name]]),"",INDEX(Employees[Job Title],MATCH(JobBonus[[#This Row],[Employee Name]],Employees[Employee Name2],0)))</f>
        <v/>
      </c>
      <c r="J396" s="19" t="str">
        <f>IF(ISBLANK(JobBonus[[#This Row],[Job Prov]]),"",IF(JobBonus[[#This Row],[Job Prov]]=INDEX(Employees[Province],MATCH(JobBonus[[#This Row],[Employee Name]],Employees[Employee Name2],0)),"No","Yes"))</f>
        <v/>
      </c>
      <c r="K396" s="17"/>
      <c r="L396" s="19"/>
      <c r="M396" s="23"/>
      <c r="N396" s="23"/>
      <c r="O396" s="15"/>
      <c r="P396" s="15"/>
      <c r="Q396" s="15"/>
      <c r="R396" s="15"/>
      <c r="S396" s="44" cm="1">
        <f t="array" ref="S3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6" s="44" cm="1">
        <f t="array" ref="T3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6" s="44">
        <f>JobBonus[[#This Row],[Variable Pay]]+JobBonus[[#This Row],[Crew Efficiency Bonus]]</f>
        <v>0</v>
      </c>
      <c r="V396" s="44" cm="1">
        <f t="array" ref="V3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6" s="44" t="b">
        <f>_xlfn.IFNA(EXACT(VLOOKUP(JobBonus[[#This Row],[Pay Type]],PayTypes[#All],4,FALSE),"Yes"),FALSE)</f>
        <v>0</v>
      </c>
      <c r="X396" s="44" cm="1">
        <f t="array" ref="X396">SUMPRODUCT((StandByRates[Position]=JobBonus[[#This Row],[Position]])*(JobBonus[[#This Row],[Area]]=StandByRates[Area])*(StandByRates[Hourly]*JobBonus[[#This Row],[Standby/ Ext 
Hrs]]))</f>
        <v>0</v>
      </c>
      <c r="Y396" s="44">
        <f>JobBonus[[#This Row],[Variable Pay]]+JobBonus[[#This Row],[Crew Efficiency Bonus]]+JobBonus[[#This Row],[OVPP]]+JobBonus[[#This Row],[StandBy/ Ext Amount]]</f>
        <v>0</v>
      </c>
      <c r="Z396" s="80"/>
      <c r="AA396" s="42"/>
      <c r="AB396" s="42"/>
      <c r="AC396"/>
      <c r="AD396"/>
      <c r="AE396"/>
      <c r="AF396"/>
    </row>
    <row r="397" spans="1:32" hidden="1" x14ac:dyDescent="0.25">
      <c r="A397" s="46"/>
      <c r="B397" s="80"/>
      <c r="C397" s="15"/>
      <c r="D397" s="15"/>
      <c r="E397" s="15"/>
      <c r="F397" s="15"/>
      <c r="G397" s="16"/>
      <c r="H397" s="16"/>
      <c r="I397" s="19" t="str">
        <f>IF(ISBLANK(JobBonus[[#This Row],[Employee Name]]),"",INDEX(Employees[Job Title],MATCH(JobBonus[[#This Row],[Employee Name]],Employees[Employee Name2],0)))</f>
        <v/>
      </c>
      <c r="J397" s="19" t="str">
        <f>IF(ISBLANK(JobBonus[[#This Row],[Job Prov]]),"",IF(JobBonus[[#This Row],[Job Prov]]=INDEX(Employees[Province],MATCH(JobBonus[[#This Row],[Employee Name]],Employees[Employee Name2],0)),"No","Yes"))</f>
        <v/>
      </c>
      <c r="K397" s="17"/>
      <c r="L397" s="19"/>
      <c r="M397" s="23"/>
      <c r="N397" s="23"/>
      <c r="O397" s="15"/>
      <c r="P397" s="15"/>
      <c r="Q397" s="15"/>
      <c r="R397" s="15"/>
      <c r="S397" s="44" cm="1">
        <f t="array" ref="S3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7" s="44" cm="1">
        <f t="array" ref="T3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7" s="44">
        <f>JobBonus[[#This Row],[Variable Pay]]+JobBonus[[#This Row],[Crew Efficiency Bonus]]</f>
        <v>0</v>
      </c>
      <c r="V397" s="44" cm="1">
        <f t="array" ref="V3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7" s="44" t="b">
        <f>_xlfn.IFNA(EXACT(VLOOKUP(JobBonus[[#This Row],[Pay Type]],PayTypes[#All],4,FALSE),"Yes"),FALSE)</f>
        <v>0</v>
      </c>
      <c r="X397" s="44" cm="1">
        <f t="array" ref="X397">SUMPRODUCT((StandByRates[Position]=JobBonus[[#This Row],[Position]])*(JobBonus[[#This Row],[Area]]=StandByRates[Area])*(StandByRates[Hourly]*JobBonus[[#This Row],[Standby/ Ext 
Hrs]]))</f>
        <v>0</v>
      </c>
      <c r="Y397" s="44">
        <f>JobBonus[[#This Row],[Variable Pay]]+JobBonus[[#This Row],[Crew Efficiency Bonus]]+JobBonus[[#This Row],[OVPP]]+JobBonus[[#This Row],[StandBy/ Ext Amount]]</f>
        <v>0</v>
      </c>
      <c r="Z397" s="80"/>
      <c r="AA397" s="42"/>
      <c r="AB397" s="42"/>
      <c r="AC397"/>
      <c r="AD397"/>
      <c r="AE397"/>
      <c r="AF397"/>
    </row>
    <row r="398" spans="1:32" hidden="1" x14ac:dyDescent="0.25">
      <c r="A398" s="46"/>
      <c r="B398" s="80"/>
      <c r="C398" s="15"/>
      <c r="D398" s="15"/>
      <c r="E398" s="15"/>
      <c r="F398" s="15"/>
      <c r="G398" s="16"/>
      <c r="H398" s="16"/>
      <c r="I398" s="19" t="str">
        <f>IF(ISBLANK(JobBonus[[#This Row],[Employee Name]]),"",INDEX(Employees[Job Title],MATCH(JobBonus[[#This Row],[Employee Name]],Employees[Employee Name2],0)))</f>
        <v/>
      </c>
      <c r="J398" s="19" t="str">
        <f>IF(ISBLANK(JobBonus[[#This Row],[Job Prov]]),"",IF(JobBonus[[#This Row],[Job Prov]]=INDEX(Employees[Province],MATCH(JobBonus[[#This Row],[Employee Name]],Employees[Employee Name2],0)),"No","Yes"))</f>
        <v/>
      </c>
      <c r="K398" s="17"/>
      <c r="L398" s="19"/>
      <c r="M398" s="23"/>
      <c r="N398" s="23"/>
      <c r="O398" s="15"/>
      <c r="P398" s="15"/>
      <c r="Q398" s="15"/>
      <c r="R398" s="15"/>
      <c r="S398" s="44" cm="1">
        <f t="array" ref="S3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8" s="44" cm="1">
        <f t="array" ref="T3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8" s="44">
        <f>JobBonus[[#This Row],[Variable Pay]]+JobBonus[[#This Row],[Crew Efficiency Bonus]]</f>
        <v>0</v>
      </c>
      <c r="V398" s="44" cm="1">
        <f t="array" ref="V3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8" s="44" t="b">
        <f>_xlfn.IFNA(EXACT(VLOOKUP(JobBonus[[#This Row],[Pay Type]],PayTypes[#All],4,FALSE),"Yes"),FALSE)</f>
        <v>0</v>
      </c>
      <c r="X398" s="44" cm="1">
        <f t="array" ref="X398">SUMPRODUCT((StandByRates[Position]=JobBonus[[#This Row],[Position]])*(JobBonus[[#This Row],[Area]]=StandByRates[Area])*(StandByRates[Hourly]*JobBonus[[#This Row],[Standby/ Ext 
Hrs]]))</f>
        <v>0</v>
      </c>
      <c r="Y398" s="44">
        <f>JobBonus[[#This Row],[Variable Pay]]+JobBonus[[#This Row],[Crew Efficiency Bonus]]+JobBonus[[#This Row],[OVPP]]+JobBonus[[#This Row],[StandBy/ Ext Amount]]</f>
        <v>0</v>
      </c>
      <c r="Z398" s="80"/>
      <c r="AA398" s="42"/>
      <c r="AB398" s="42"/>
      <c r="AC398"/>
      <c r="AD398"/>
      <c r="AE398"/>
      <c r="AF398"/>
    </row>
    <row r="399" spans="1:32" hidden="1" x14ac:dyDescent="0.25">
      <c r="A399" s="46"/>
      <c r="B399" s="80"/>
      <c r="C399" s="15"/>
      <c r="D399" s="15"/>
      <c r="E399" s="15"/>
      <c r="F399" s="15"/>
      <c r="G399" s="16"/>
      <c r="H399" s="16"/>
      <c r="I399" s="19" t="str">
        <f>IF(ISBLANK(JobBonus[[#This Row],[Employee Name]]),"",INDEX(Employees[Job Title],MATCH(JobBonus[[#This Row],[Employee Name]],Employees[Employee Name2],0)))</f>
        <v/>
      </c>
      <c r="J399" s="19" t="str">
        <f>IF(ISBLANK(JobBonus[[#This Row],[Job Prov]]),"",IF(JobBonus[[#This Row],[Job Prov]]=INDEX(Employees[Province],MATCH(JobBonus[[#This Row],[Employee Name]],Employees[Employee Name2],0)),"No","Yes"))</f>
        <v/>
      </c>
      <c r="K399" s="17"/>
      <c r="L399" s="19"/>
      <c r="M399" s="23"/>
      <c r="N399" s="23"/>
      <c r="O399" s="15"/>
      <c r="P399" s="15"/>
      <c r="Q399" s="15"/>
      <c r="R399" s="15"/>
      <c r="S399" s="44" cm="1">
        <f t="array" ref="S3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9" s="44" cm="1">
        <f t="array" ref="T3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9" s="44">
        <f>JobBonus[[#This Row],[Variable Pay]]+JobBonus[[#This Row],[Crew Efficiency Bonus]]</f>
        <v>0</v>
      </c>
      <c r="V399" s="44" cm="1">
        <f t="array" ref="V3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9" s="44" t="b">
        <f>_xlfn.IFNA(EXACT(VLOOKUP(JobBonus[[#This Row],[Pay Type]],PayTypes[#All],4,FALSE),"Yes"),FALSE)</f>
        <v>0</v>
      </c>
      <c r="X399" s="44" cm="1">
        <f t="array" ref="X399">SUMPRODUCT((StandByRates[Position]=JobBonus[[#This Row],[Position]])*(JobBonus[[#This Row],[Area]]=StandByRates[Area])*(StandByRates[Hourly]*JobBonus[[#This Row],[Standby/ Ext 
Hrs]]))</f>
        <v>0</v>
      </c>
      <c r="Y399" s="44">
        <f>JobBonus[[#This Row],[Variable Pay]]+JobBonus[[#This Row],[Crew Efficiency Bonus]]+JobBonus[[#This Row],[OVPP]]+JobBonus[[#This Row],[StandBy/ Ext Amount]]</f>
        <v>0</v>
      </c>
      <c r="Z399" s="80"/>
      <c r="AA399" s="42"/>
      <c r="AB399" s="42"/>
      <c r="AC399"/>
      <c r="AD399"/>
      <c r="AE399"/>
      <c r="AF399"/>
    </row>
    <row r="400" spans="1:32" hidden="1" x14ac:dyDescent="0.25">
      <c r="A400" s="46"/>
      <c r="B400" s="80"/>
      <c r="C400" s="15"/>
      <c r="D400" s="15"/>
      <c r="E400" s="15"/>
      <c r="F400" s="15"/>
      <c r="G400" s="16"/>
      <c r="H400" s="16"/>
      <c r="I400" s="19" t="str">
        <f>IF(ISBLANK(JobBonus[[#This Row],[Employee Name]]),"",INDEX(Employees[Job Title],MATCH(JobBonus[[#This Row],[Employee Name]],Employees[Employee Name2],0)))</f>
        <v/>
      </c>
      <c r="J400" s="19" t="str">
        <f>IF(ISBLANK(JobBonus[[#This Row],[Job Prov]]),"",IF(JobBonus[[#This Row],[Job Prov]]=INDEX(Employees[Province],MATCH(JobBonus[[#This Row],[Employee Name]],Employees[Employee Name2],0)),"No","Yes"))</f>
        <v/>
      </c>
      <c r="K400" s="17"/>
      <c r="L400" s="19"/>
      <c r="M400" s="23"/>
      <c r="N400" s="23"/>
      <c r="O400" s="15"/>
      <c r="P400" s="15"/>
      <c r="Q400" s="15"/>
      <c r="R400" s="15"/>
      <c r="S400" s="44" cm="1">
        <f t="array" ref="S4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0" s="44" cm="1">
        <f t="array" ref="T4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0" s="44">
        <f>JobBonus[[#This Row],[Variable Pay]]+JobBonus[[#This Row],[Crew Efficiency Bonus]]</f>
        <v>0</v>
      </c>
      <c r="V400" s="44" cm="1">
        <f t="array" ref="V4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0" s="44" t="b">
        <f>_xlfn.IFNA(EXACT(VLOOKUP(JobBonus[[#This Row],[Pay Type]],PayTypes[#All],4,FALSE),"Yes"),FALSE)</f>
        <v>0</v>
      </c>
      <c r="X400" s="44" cm="1">
        <f t="array" ref="X400">SUMPRODUCT((StandByRates[Position]=JobBonus[[#This Row],[Position]])*(JobBonus[[#This Row],[Area]]=StandByRates[Area])*(StandByRates[Hourly]*JobBonus[[#This Row],[Standby/ Ext 
Hrs]]))</f>
        <v>0</v>
      </c>
      <c r="Y400" s="44">
        <f>JobBonus[[#This Row],[Variable Pay]]+JobBonus[[#This Row],[Crew Efficiency Bonus]]+JobBonus[[#This Row],[OVPP]]+JobBonus[[#This Row],[StandBy/ Ext Amount]]</f>
        <v>0</v>
      </c>
      <c r="Z400" s="80"/>
      <c r="AA400" s="42"/>
      <c r="AB400" s="42"/>
      <c r="AC400"/>
      <c r="AD400"/>
      <c r="AE400"/>
      <c r="AF400"/>
    </row>
    <row r="401" spans="1:32" hidden="1" x14ac:dyDescent="0.25">
      <c r="A401" s="46"/>
      <c r="B401" s="80"/>
      <c r="C401" s="15"/>
      <c r="D401" s="15"/>
      <c r="E401" s="15"/>
      <c r="F401" s="15"/>
      <c r="G401" s="16"/>
      <c r="H401" s="16"/>
      <c r="I401" s="19" t="str">
        <f>IF(ISBLANK(JobBonus[[#This Row],[Employee Name]]),"",INDEX(Employees[Job Title],MATCH(JobBonus[[#This Row],[Employee Name]],Employees[Employee Name2],0)))</f>
        <v/>
      </c>
      <c r="J401" s="19" t="str">
        <f>IF(ISBLANK(JobBonus[[#This Row],[Job Prov]]),"",IF(JobBonus[[#This Row],[Job Prov]]=INDEX(Employees[Province],MATCH(JobBonus[[#This Row],[Employee Name]],Employees[Employee Name2],0)),"No","Yes"))</f>
        <v/>
      </c>
      <c r="K401" s="17"/>
      <c r="L401" s="19"/>
      <c r="M401" s="23"/>
      <c r="N401" s="23"/>
      <c r="O401" s="15"/>
      <c r="P401" s="15"/>
      <c r="Q401" s="15"/>
      <c r="R401" s="15"/>
      <c r="S401" s="44" cm="1">
        <f t="array" ref="S4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1" s="44" cm="1">
        <f t="array" ref="T4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1" s="44">
        <f>JobBonus[[#This Row],[Variable Pay]]+JobBonus[[#This Row],[Crew Efficiency Bonus]]</f>
        <v>0</v>
      </c>
      <c r="V401" s="44" cm="1">
        <f t="array" ref="V4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1" s="44" t="b">
        <f>_xlfn.IFNA(EXACT(VLOOKUP(JobBonus[[#This Row],[Pay Type]],PayTypes[#All],4,FALSE),"Yes"),FALSE)</f>
        <v>0</v>
      </c>
      <c r="X401" s="44" cm="1">
        <f t="array" ref="X401">SUMPRODUCT((StandByRates[Position]=JobBonus[[#This Row],[Position]])*(JobBonus[[#This Row],[Area]]=StandByRates[Area])*(StandByRates[Hourly]*JobBonus[[#This Row],[Standby/ Ext 
Hrs]]))</f>
        <v>0</v>
      </c>
      <c r="Y401" s="44">
        <f>JobBonus[[#This Row],[Variable Pay]]+JobBonus[[#This Row],[Crew Efficiency Bonus]]+JobBonus[[#This Row],[OVPP]]+JobBonus[[#This Row],[StandBy/ Ext Amount]]</f>
        <v>0</v>
      </c>
      <c r="Z401" s="80"/>
      <c r="AA401" s="42"/>
      <c r="AB401" s="42"/>
      <c r="AC401"/>
      <c r="AD401"/>
      <c r="AE401"/>
      <c r="AF401"/>
    </row>
    <row r="402" spans="1:32" hidden="1" x14ac:dyDescent="0.25">
      <c r="A402" s="46"/>
      <c r="B402" s="80"/>
      <c r="C402" s="15"/>
      <c r="D402" s="15"/>
      <c r="E402" s="15"/>
      <c r="F402" s="15"/>
      <c r="G402" s="16"/>
      <c r="H402" s="16"/>
      <c r="I402" s="19" t="str">
        <f>IF(ISBLANK(JobBonus[[#This Row],[Employee Name]]),"",INDEX(Employees[Job Title],MATCH(JobBonus[[#This Row],[Employee Name]],Employees[Employee Name2],0)))</f>
        <v/>
      </c>
      <c r="J402" s="19" t="str">
        <f>IF(ISBLANK(JobBonus[[#This Row],[Job Prov]]),"",IF(JobBonus[[#This Row],[Job Prov]]=INDEX(Employees[Province],MATCH(JobBonus[[#This Row],[Employee Name]],Employees[Employee Name2],0)),"No","Yes"))</f>
        <v/>
      </c>
      <c r="K402" s="17"/>
      <c r="L402" s="19"/>
      <c r="M402" s="23"/>
      <c r="N402" s="23"/>
      <c r="O402" s="15"/>
      <c r="P402" s="15"/>
      <c r="Q402" s="15"/>
      <c r="R402" s="15"/>
      <c r="S402" s="44" cm="1">
        <f t="array" ref="S4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2" s="44" cm="1">
        <f t="array" ref="T4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2" s="44">
        <f>JobBonus[[#This Row],[Variable Pay]]+JobBonus[[#This Row],[Crew Efficiency Bonus]]</f>
        <v>0</v>
      </c>
      <c r="V402" s="44" cm="1">
        <f t="array" ref="V4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2" s="44" t="b">
        <f>_xlfn.IFNA(EXACT(VLOOKUP(JobBonus[[#This Row],[Pay Type]],PayTypes[#All],4,FALSE),"Yes"),FALSE)</f>
        <v>0</v>
      </c>
      <c r="X402" s="44" cm="1">
        <f t="array" ref="X402">SUMPRODUCT((StandByRates[Position]=JobBonus[[#This Row],[Position]])*(JobBonus[[#This Row],[Area]]=StandByRates[Area])*(StandByRates[Hourly]*JobBonus[[#This Row],[Standby/ Ext 
Hrs]]))</f>
        <v>0</v>
      </c>
      <c r="Y402" s="44">
        <f>JobBonus[[#This Row],[Variable Pay]]+JobBonus[[#This Row],[Crew Efficiency Bonus]]+JobBonus[[#This Row],[OVPP]]+JobBonus[[#This Row],[StandBy/ Ext Amount]]</f>
        <v>0</v>
      </c>
      <c r="Z402" s="80"/>
      <c r="AA402" s="42"/>
      <c r="AB402" s="42"/>
      <c r="AC402"/>
      <c r="AD402"/>
      <c r="AE402"/>
      <c r="AF402"/>
    </row>
    <row r="403" spans="1:32" hidden="1" x14ac:dyDescent="0.25">
      <c r="A403" s="46"/>
      <c r="B403" s="80"/>
      <c r="C403" s="15"/>
      <c r="D403" s="15"/>
      <c r="E403" s="15"/>
      <c r="F403" s="15"/>
      <c r="G403" s="16"/>
      <c r="H403" s="16"/>
      <c r="I403" s="19" t="str">
        <f>IF(ISBLANK(JobBonus[[#This Row],[Employee Name]]),"",INDEX(Employees[Job Title],MATCH(JobBonus[[#This Row],[Employee Name]],Employees[Employee Name2],0)))</f>
        <v/>
      </c>
      <c r="J403" s="19" t="str">
        <f>IF(ISBLANK(JobBonus[[#This Row],[Job Prov]]),"",IF(JobBonus[[#This Row],[Job Prov]]=INDEX(Employees[Province],MATCH(JobBonus[[#This Row],[Employee Name]],Employees[Employee Name2],0)),"No","Yes"))</f>
        <v/>
      </c>
      <c r="K403" s="17"/>
      <c r="L403" s="19"/>
      <c r="M403" s="23"/>
      <c r="N403" s="23"/>
      <c r="O403" s="15"/>
      <c r="P403" s="15"/>
      <c r="Q403" s="15"/>
      <c r="R403" s="15"/>
      <c r="S403" s="44" cm="1">
        <f t="array" ref="S4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3" s="44" cm="1">
        <f t="array" ref="T4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3" s="44">
        <f>JobBonus[[#This Row],[Variable Pay]]+JobBonus[[#This Row],[Crew Efficiency Bonus]]</f>
        <v>0</v>
      </c>
      <c r="V403" s="44" cm="1">
        <f t="array" ref="V4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3" s="44" t="b">
        <f>_xlfn.IFNA(EXACT(VLOOKUP(JobBonus[[#This Row],[Pay Type]],PayTypes[#All],4,FALSE),"Yes"),FALSE)</f>
        <v>0</v>
      </c>
      <c r="X403" s="44" cm="1">
        <f t="array" ref="X403">SUMPRODUCT((StandByRates[Position]=JobBonus[[#This Row],[Position]])*(JobBonus[[#This Row],[Area]]=StandByRates[Area])*(StandByRates[Hourly]*JobBonus[[#This Row],[Standby/ Ext 
Hrs]]))</f>
        <v>0</v>
      </c>
      <c r="Y403" s="44">
        <f>JobBonus[[#This Row],[Variable Pay]]+JobBonus[[#This Row],[Crew Efficiency Bonus]]+JobBonus[[#This Row],[OVPP]]+JobBonus[[#This Row],[StandBy/ Ext Amount]]</f>
        <v>0</v>
      </c>
      <c r="Z403" s="80"/>
      <c r="AA403" s="42"/>
      <c r="AB403" s="42"/>
      <c r="AC403"/>
      <c r="AD403"/>
      <c r="AE403"/>
      <c r="AF403"/>
    </row>
    <row r="404" spans="1:32" hidden="1" x14ac:dyDescent="0.25">
      <c r="A404" s="46"/>
      <c r="B404" s="80"/>
      <c r="C404" s="15"/>
      <c r="D404" s="15"/>
      <c r="E404" s="15"/>
      <c r="F404" s="15"/>
      <c r="G404" s="16"/>
      <c r="H404" s="16"/>
      <c r="I404" s="19" t="str">
        <f>IF(ISBLANK(JobBonus[[#This Row],[Employee Name]]),"",INDEX(Employees[Job Title],MATCH(JobBonus[[#This Row],[Employee Name]],Employees[Employee Name2],0)))</f>
        <v/>
      </c>
      <c r="J404" s="19" t="str">
        <f>IF(ISBLANK(JobBonus[[#This Row],[Job Prov]]),"",IF(JobBonus[[#This Row],[Job Prov]]=INDEX(Employees[Province],MATCH(JobBonus[[#This Row],[Employee Name]],Employees[Employee Name2],0)),"No","Yes"))</f>
        <v/>
      </c>
      <c r="K404" s="17"/>
      <c r="L404" s="19"/>
      <c r="M404" s="23"/>
      <c r="N404" s="23"/>
      <c r="O404" s="15"/>
      <c r="P404" s="15"/>
      <c r="Q404" s="15"/>
      <c r="R404" s="15"/>
      <c r="S404" s="44" cm="1">
        <f t="array" ref="S4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4" s="44" cm="1">
        <f t="array" ref="T4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4" s="44">
        <f>JobBonus[[#This Row],[Variable Pay]]+JobBonus[[#This Row],[Crew Efficiency Bonus]]</f>
        <v>0</v>
      </c>
      <c r="V404" s="44" cm="1">
        <f t="array" ref="V4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4" s="44" t="b">
        <f>_xlfn.IFNA(EXACT(VLOOKUP(JobBonus[[#This Row],[Pay Type]],PayTypes[#All],4,FALSE),"Yes"),FALSE)</f>
        <v>0</v>
      </c>
      <c r="X404" s="44" cm="1">
        <f t="array" ref="X404">SUMPRODUCT((StandByRates[Position]=JobBonus[[#This Row],[Position]])*(JobBonus[[#This Row],[Area]]=StandByRates[Area])*(StandByRates[Hourly]*JobBonus[[#This Row],[Standby/ Ext 
Hrs]]))</f>
        <v>0</v>
      </c>
      <c r="Y404" s="44">
        <f>JobBonus[[#This Row],[Variable Pay]]+JobBonus[[#This Row],[Crew Efficiency Bonus]]+JobBonus[[#This Row],[OVPP]]+JobBonus[[#This Row],[StandBy/ Ext Amount]]</f>
        <v>0</v>
      </c>
      <c r="Z404" s="80"/>
      <c r="AA404" s="42"/>
      <c r="AB404" s="42"/>
      <c r="AC404"/>
      <c r="AD404"/>
      <c r="AE404"/>
      <c r="AF404"/>
    </row>
    <row r="405" spans="1:32" hidden="1" x14ac:dyDescent="0.25">
      <c r="A405" s="46"/>
      <c r="B405" s="80"/>
      <c r="C405" s="15"/>
      <c r="D405" s="15"/>
      <c r="E405" s="15"/>
      <c r="F405" s="15"/>
      <c r="G405" s="16"/>
      <c r="H405" s="16"/>
      <c r="I405" s="19" t="str">
        <f>IF(ISBLANK(JobBonus[[#This Row],[Employee Name]]),"",INDEX(Employees[Job Title],MATCH(JobBonus[[#This Row],[Employee Name]],Employees[Employee Name2],0)))</f>
        <v/>
      </c>
      <c r="J405" s="19" t="str">
        <f>IF(ISBLANK(JobBonus[[#This Row],[Job Prov]]),"",IF(JobBonus[[#This Row],[Job Prov]]=INDEX(Employees[Province],MATCH(JobBonus[[#This Row],[Employee Name]],Employees[Employee Name2],0)),"No","Yes"))</f>
        <v/>
      </c>
      <c r="K405" s="17"/>
      <c r="L405" s="19"/>
      <c r="M405" s="23"/>
      <c r="N405" s="23"/>
      <c r="O405" s="15"/>
      <c r="P405" s="15"/>
      <c r="Q405" s="15"/>
      <c r="R405" s="15"/>
      <c r="S405" s="44" cm="1">
        <f t="array" ref="S4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5" s="44" cm="1">
        <f t="array" ref="T4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5" s="44">
        <f>JobBonus[[#This Row],[Variable Pay]]+JobBonus[[#This Row],[Crew Efficiency Bonus]]</f>
        <v>0</v>
      </c>
      <c r="V405" s="44" cm="1">
        <f t="array" ref="V4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5" s="44" t="b">
        <f>_xlfn.IFNA(EXACT(VLOOKUP(JobBonus[[#This Row],[Pay Type]],PayTypes[#All],4,FALSE),"Yes"),FALSE)</f>
        <v>0</v>
      </c>
      <c r="X405" s="44" cm="1">
        <f t="array" ref="X405">SUMPRODUCT((StandByRates[Position]=JobBonus[[#This Row],[Position]])*(JobBonus[[#This Row],[Area]]=StandByRates[Area])*(StandByRates[Hourly]*JobBonus[[#This Row],[Standby/ Ext 
Hrs]]))</f>
        <v>0</v>
      </c>
      <c r="Y405" s="44">
        <f>JobBonus[[#This Row],[Variable Pay]]+JobBonus[[#This Row],[Crew Efficiency Bonus]]+JobBonus[[#This Row],[OVPP]]+JobBonus[[#This Row],[StandBy/ Ext Amount]]</f>
        <v>0</v>
      </c>
      <c r="Z405" s="80"/>
      <c r="AA405" s="42"/>
      <c r="AB405" s="42"/>
      <c r="AC405"/>
      <c r="AD405"/>
      <c r="AE405"/>
      <c r="AF405"/>
    </row>
    <row r="406" spans="1:32" hidden="1" x14ac:dyDescent="0.25">
      <c r="A406" s="46"/>
      <c r="B406" s="80"/>
      <c r="C406" s="15"/>
      <c r="D406" s="15"/>
      <c r="E406" s="15"/>
      <c r="F406" s="15"/>
      <c r="G406" s="16"/>
      <c r="H406" s="16"/>
      <c r="I406" s="19" t="str">
        <f>IF(ISBLANK(JobBonus[[#This Row],[Employee Name]]),"",INDEX(Employees[Job Title],MATCH(JobBonus[[#This Row],[Employee Name]],Employees[Employee Name2],0)))</f>
        <v/>
      </c>
      <c r="J406" s="19" t="str">
        <f>IF(ISBLANK(JobBonus[[#This Row],[Job Prov]]),"",IF(JobBonus[[#This Row],[Job Prov]]=INDEX(Employees[Province],MATCH(JobBonus[[#This Row],[Employee Name]],Employees[Employee Name2],0)),"No","Yes"))</f>
        <v/>
      </c>
      <c r="K406" s="17"/>
      <c r="L406" s="19"/>
      <c r="M406" s="23"/>
      <c r="N406" s="23"/>
      <c r="O406" s="15"/>
      <c r="P406" s="15"/>
      <c r="Q406" s="15"/>
      <c r="R406" s="15"/>
      <c r="S406" s="44" cm="1">
        <f t="array" ref="S4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6" s="44" cm="1">
        <f t="array" ref="T4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6" s="44">
        <f>JobBonus[[#This Row],[Variable Pay]]+JobBonus[[#This Row],[Crew Efficiency Bonus]]</f>
        <v>0</v>
      </c>
      <c r="V406" s="44" cm="1">
        <f t="array" ref="V4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6" s="44" t="b">
        <f>_xlfn.IFNA(EXACT(VLOOKUP(JobBonus[[#This Row],[Pay Type]],PayTypes[#All],4,FALSE),"Yes"),FALSE)</f>
        <v>0</v>
      </c>
      <c r="X406" s="44" cm="1">
        <f t="array" ref="X406">SUMPRODUCT((StandByRates[Position]=JobBonus[[#This Row],[Position]])*(JobBonus[[#This Row],[Area]]=StandByRates[Area])*(StandByRates[Hourly]*JobBonus[[#This Row],[Standby/ Ext 
Hrs]]))</f>
        <v>0</v>
      </c>
      <c r="Y406" s="44">
        <f>JobBonus[[#This Row],[Variable Pay]]+JobBonus[[#This Row],[Crew Efficiency Bonus]]+JobBonus[[#This Row],[OVPP]]+JobBonus[[#This Row],[StandBy/ Ext Amount]]</f>
        <v>0</v>
      </c>
      <c r="Z406" s="80"/>
      <c r="AA406" s="42"/>
      <c r="AB406" s="42"/>
      <c r="AC406"/>
      <c r="AD406"/>
      <c r="AE406"/>
      <c r="AF406"/>
    </row>
    <row r="407" spans="1:32" hidden="1" x14ac:dyDescent="0.25">
      <c r="A407" s="46"/>
      <c r="B407" s="80"/>
      <c r="C407" s="15"/>
      <c r="D407" s="15"/>
      <c r="E407" s="15"/>
      <c r="F407" s="15"/>
      <c r="G407" s="16"/>
      <c r="H407" s="16"/>
      <c r="I407" s="19" t="str">
        <f>IF(ISBLANK(JobBonus[[#This Row],[Employee Name]]),"",INDEX(Employees[Job Title],MATCH(JobBonus[[#This Row],[Employee Name]],Employees[Employee Name2],0)))</f>
        <v/>
      </c>
      <c r="J407" s="19" t="str">
        <f>IF(ISBLANK(JobBonus[[#This Row],[Job Prov]]),"",IF(JobBonus[[#This Row],[Job Prov]]=INDEX(Employees[Province],MATCH(JobBonus[[#This Row],[Employee Name]],Employees[Employee Name2],0)),"No","Yes"))</f>
        <v/>
      </c>
      <c r="K407" s="17"/>
      <c r="L407" s="19"/>
      <c r="M407" s="23"/>
      <c r="N407" s="23"/>
      <c r="O407" s="15"/>
      <c r="P407" s="15"/>
      <c r="Q407" s="15"/>
      <c r="R407" s="15"/>
      <c r="S407" s="44" cm="1">
        <f t="array" ref="S4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7" s="44" cm="1">
        <f t="array" ref="T4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7" s="44">
        <f>JobBonus[[#This Row],[Variable Pay]]+JobBonus[[#This Row],[Crew Efficiency Bonus]]</f>
        <v>0</v>
      </c>
      <c r="V407" s="44" cm="1">
        <f t="array" ref="V4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7" s="44" t="b">
        <f>_xlfn.IFNA(EXACT(VLOOKUP(JobBonus[[#This Row],[Pay Type]],PayTypes[#All],4,FALSE),"Yes"),FALSE)</f>
        <v>0</v>
      </c>
      <c r="X407" s="44" cm="1">
        <f t="array" ref="X407">SUMPRODUCT((StandByRates[Position]=JobBonus[[#This Row],[Position]])*(JobBonus[[#This Row],[Area]]=StandByRates[Area])*(StandByRates[Hourly]*JobBonus[[#This Row],[Standby/ Ext 
Hrs]]))</f>
        <v>0</v>
      </c>
      <c r="Y407" s="44">
        <f>JobBonus[[#This Row],[Variable Pay]]+JobBonus[[#This Row],[Crew Efficiency Bonus]]+JobBonus[[#This Row],[OVPP]]+JobBonus[[#This Row],[StandBy/ Ext Amount]]</f>
        <v>0</v>
      </c>
      <c r="Z407" s="80"/>
      <c r="AA407" s="42"/>
      <c r="AB407" s="42"/>
      <c r="AC407"/>
      <c r="AD407"/>
      <c r="AE407"/>
      <c r="AF407"/>
    </row>
    <row r="408" spans="1:32" hidden="1" x14ac:dyDescent="0.25">
      <c r="A408" s="46"/>
      <c r="B408" s="80"/>
      <c r="C408" s="15"/>
      <c r="D408" s="15"/>
      <c r="E408" s="15"/>
      <c r="F408" s="15"/>
      <c r="G408" s="16"/>
      <c r="H408" s="16"/>
      <c r="I408" s="19" t="str">
        <f>IF(ISBLANK(JobBonus[[#This Row],[Employee Name]]),"",INDEX(Employees[Job Title],MATCH(JobBonus[[#This Row],[Employee Name]],Employees[Employee Name2],0)))</f>
        <v/>
      </c>
      <c r="J408" s="19" t="str">
        <f>IF(ISBLANK(JobBonus[[#This Row],[Job Prov]]),"",IF(JobBonus[[#This Row],[Job Prov]]=INDEX(Employees[Province],MATCH(JobBonus[[#This Row],[Employee Name]],Employees[Employee Name2],0)),"No","Yes"))</f>
        <v/>
      </c>
      <c r="K408" s="17"/>
      <c r="L408" s="19"/>
      <c r="M408" s="23"/>
      <c r="N408" s="23"/>
      <c r="O408" s="15"/>
      <c r="P408" s="15"/>
      <c r="Q408" s="15"/>
      <c r="R408" s="15"/>
      <c r="S408" s="44" cm="1">
        <f t="array" ref="S4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8" s="44" cm="1">
        <f t="array" ref="T4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8" s="44">
        <f>JobBonus[[#This Row],[Variable Pay]]+JobBonus[[#This Row],[Crew Efficiency Bonus]]</f>
        <v>0</v>
      </c>
      <c r="V408" s="44" cm="1">
        <f t="array" ref="V4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8" s="44" t="b">
        <f>_xlfn.IFNA(EXACT(VLOOKUP(JobBonus[[#This Row],[Pay Type]],PayTypes[#All],4,FALSE),"Yes"),FALSE)</f>
        <v>0</v>
      </c>
      <c r="X408" s="44" cm="1">
        <f t="array" ref="X408">SUMPRODUCT((StandByRates[Position]=JobBonus[[#This Row],[Position]])*(JobBonus[[#This Row],[Area]]=StandByRates[Area])*(StandByRates[Hourly]*JobBonus[[#This Row],[Standby/ Ext 
Hrs]]))</f>
        <v>0</v>
      </c>
      <c r="Y408" s="44">
        <f>JobBonus[[#This Row],[Variable Pay]]+JobBonus[[#This Row],[Crew Efficiency Bonus]]+JobBonus[[#This Row],[OVPP]]+JobBonus[[#This Row],[StandBy/ Ext Amount]]</f>
        <v>0</v>
      </c>
      <c r="Z408" s="80"/>
      <c r="AA408" s="42"/>
      <c r="AB408" s="42"/>
      <c r="AC408"/>
      <c r="AD408"/>
      <c r="AE408"/>
      <c r="AF408"/>
    </row>
    <row r="409" spans="1:32" hidden="1" x14ac:dyDescent="0.25">
      <c r="A409" s="46"/>
      <c r="B409" s="80"/>
      <c r="C409" s="15"/>
      <c r="D409" s="15"/>
      <c r="E409" s="15"/>
      <c r="F409" s="15"/>
      <c r="G409" s="16"/>
      <c r="H409" s="16"/>
      <c r="I409" s="19" t="str">
        <f>IF(ISBLANK(JobBonus[[#This Row],[Employee Name]]),"",INDEX(Employees[Job Title],MATCH(JobBonus[[#This Row],[Employee Name]],Employees[Employee Name2],0)))</f>
        <v/>
      </c>
      <c r="J409" s="19" t="str">
        <f>IF(ISBLANK(JobBonus[[#This Row],[Job Prov]]),"",IF(JobBonus[[#This Row],[Job Prov]]=INDEX(Employees[Province],MATCH(JobBonus[[#This Row],[Employee Name]],Employees[Employee Name2],0)),"No","Yes"))</f>
        <v/>
      </c>
      <c r="K409" s="17"/>
      <c r="L409" s="19"/>
      <c r="M409" s="23"/>
      <c r="N409" s="23"/>
      <c r="O409" s="15"/>
      <c r="P409" s="15"/>
      <c r="Q409" s="15"/>
      <c r="R409" s="15"/>
      <c r="S409" s="44" cm="1">
        <f t="array" ref="S4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9" s="44" cm="1">
        <f t="array" ref="T4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9" s="44">
        <f>JobBonus[[#This Row],[Variable Pay]]+JobBonus[[#This Row],[Crew Efficiency Bonus]]</f>
        <v>0</v>
      </c>
      <c r="V409" s="44" cm="1">
        <f t="array" ref="V4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9" s="44" t="b">
        <f>_xlfn.IFNA(EXACT(VLOOKUP(JobBonus[[#This Row],[Pay Type]],PayTypes[#All],4,FALSE),"Yes"),FALSE)</f>
        <v>0</v>
      </c>
      <c r="X409" s="44" cm="1">
        <f t="array" ref="X409">SUMPRODUCT((StandByRates[Position]=JobBonus[[#This Row],[Position]])*(JobBonus[[#This Row],[Area]]=StandByRates[Area])*(StandByRates[Hourly]*JobBonus[[#This Row],[Standby/ Ext 
Hrs]]))</f>
        <v>0</v>
      </c>
      <c r="Y409" s="44">
        <f>JobBonus[[#This Row],[Variable Pay]]+JobBonus[[#This Row],[Crew Efficiency Bonus]]+JobBonus[[#This Row],[OVPP]]+JobBonus[[#This Row],[StandBy/ Ext Amount]]</f>
        <v>0</v>
      </c>
      <c r="Z409" s="80"/>
      <c r="AA409" s="42"/>
      <c r="AB409" s="42"/>
      <c r="AC409"/>
      <c r="AD409"/>
      <c r="AE409"/>
      <c r="AF409"/>
    </row>
    <row r="410" spans="1:32" hidden="1" x14ac:dyDescent="0.25">
      <c r="A410" s="46"/>
      <c r="B410" s="80"/>
      <c r="C410" s="15"/>
      <c r="D410" s="15"/>
      <c r="E410" s="15"/>
      <c r="F410" s="15"/>
      <c r="G410" s="16"/>
      <c r="H410" s="16"/>
      <c r="I410" s="19" t="str">
        <f>IF(ISBLANK(JobBonus[[#This Row],[Employee Name]]),"",INDEX(Employees[Job Title],MATCH(JobBonus[[#This Row],[Employee Name]],Employees[Employee Name2],0)))</f>
        <v/>
      </c>
      <c r="J410" s="19" t="str">
        <f>IF(ISBLANK(JobBonus[[#This Row],[Job Prov]]),"",IF(JobBonus[[#This Row],[Job Prov]]=INDEX(Employees[Province],MATCH(JobBonus[[#This Row],[Employee Name]],Employees[Employee Name2],0)),"No","Yes"))</f>
        <v/>
      </c>
      <c r="K410" s="17"/>
      <c r="L410" s="19"/>
      <c r="M410" s="23"/>
      <c r="N410" s="23"/>
      <c r="O410" s="15"/>
      <c r="P410" s="15"/>
      <c r="Q410" s="15"/>
      <c r="R410" s="15"/>
      <c r="S410" s="44" cm="1">
        <f t="array" ref="S4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0" s="44" cm="1">
        <f t="array" ref="T4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0" s="44">
        <f>JobBonus[[#This Row],[Variable Pay]]+JobBonus[[#This Row],[Crew Efficiency Bonus]]</f>
        <v>0</v>
      </c>
      <c r="V410" s="44" cm="1">
        <f t="array" ref="V4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0" s="44" t="b">
        <f>_xlfn.IFNA(EXACT(VLOOKUP(JobBonus[[#This Row],[Pay Type]],PayTypes[#All],4,FALSE),"Yes"),FALSE)</f>
        <v>0</v>
      </c>
      <c r="X410" s="44" cm="1">
        <f t="array" ref="X410">SUMPRODUCT((StandByRates[Position]=JobBonus[[#This Row],[Position]])*(JobBonus[[#This Row],[Area]]=StandByRates[Area])*(StandByRates[Hourly]*JobBonus[[#This Row],[Standby/ Ext 
Hrs]]))</f>
        <v>0</v>
      </c>
      <c r="Y410" s="44">
        <f>JobBonus[[#This Row],[Variable Pay]]+JobBonus[[#This Row],[Crew Efficiency Bonus]]+JobBonus[[#This Row],[OVPP]]+JobBonus[[#This Row],[StandBy/ Ext Amount]]</f>
        <v>0</v>
      </c>
      <c r="Z410" s="80"/>
      <c r="AA410" s="42"/>
      <c r="AB410" s="42"/>
      <c r="AC410"/>
      <c r="AD410"/>
      <c r="AE410"/>
      <c r="AF410"/>
    </row>
    <row r="411" spans="1:32" hidden="1" x14ac:dyDescent="0.25">
      <c r="A411" s="46"/>
      <c r="B411" s="80"/>
      <c r="C411" s="15"/>
      <c r="D411" s="15"/>
      <c r="E411" s="15"/>
      <c r="F411" s="15"/>
      <c r="G411" s="16"/>
      <c r="H411" s="16"/>
      <c r="I411" s="19" t="str">
        <f>IF(ISBLANK(JobBonus[[#This Row],[Employee Name]]),"",INDEX(Employees[Job Title],MATCH(JobBonus[[#This Row],[Employee Name]],Employees[Employee Name2],0)))</f>
        <v/>
      </c>
      <c r="J411" s="19" t="str">
        <f>IF(ISBLANK(JobBonus[[#This Row],[Job Prov]]),"",IF(JobBonus[[#This Row],[Job Prov]]=INDEX(Employees[Province],MATCH(JobBonus[[#This Row],[Employee Name]],Employees[Employee Name2],0)),"No","Yes"))</f>
        <v/>
      </c>
      <c r="K411" s="17"/>
      <c r="L411" s="19"/>
      <c r="M411" s="23"/>
      <c r="N411" s="23"/>
      <c r="O411" s="15"/>
      <c r="P411" s="15"/>
      <c r="Q411" s="15"/>
      <c r="R411" s="15"/>
      <c r="S411" s="44" cm="1">
        <f t="array" ref="S4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1" s="44" cm="1">
        <f t="array" ref="T4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1" s="44">
        <f>JobBonus[[#This Row],[Variable Pay]]+JobBonus[[#This Row],[Crew Efficiency Bonus]]</f>
        <v>0</v>
      </c>
      <c r="V411" s="44" cm="1">
        <f t="array" ref="V4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1" s="44" t="b">
        <f>_xlfn.IFNA(EXACT(VLOOKUP(JobBonus[[#This Row],[Pay Type]],PayTypes[#All],4,FALSE),"Yes"),FALSE)</f>
        <v>0</v>
      </c>
      <c r="X411" s="44" cm="1">
        <f t="array" ref="X411">SUMPRODUCT((StandByRates[Position]=JobBonus[[#This Row],[Position]])*(JobBonus[[#This Row],[Area]]=StandByRates[Area])*(StandByRates[Hourly]*JobBonus[[#This Row],[Standby/ Ext 
Hrs]]))</f>
        <v>0</v>
      </c>
      <c r="Y411" s="44">
        <f>JobBonus[[#This Row],[Variable Pay]]+JobBonus[[#This Row],[Crew Efficiency Bonus]]+JobBonus[[#This Row],[OVPP]]+JobBonus[[#This Row],[StandBy/ Ext Amount]]</f>
        <v>0</v>
      </c>
      <c r="Z411" s="80"/>
      <c r="AA411" s="42"/>
      <c r="AB411" s="42"/>
      <c r="AC411"/>
      <c r="AD411"/>
      <c r="AE411"/>
      <c r="AF411"/>
    </row>
    <row r="412" spans="1:32" hidden="1" x14ac:dyDescent="0.25">
      <c r="A412" s="46"/>
      <c r="B412" s="80"/>
      <c r="C412" s="15"/>
      <c r="D412" s="15"/>
      <c r="E412" s="15"/>
      <c r="F412" s="15"/>
      <c r="G412" s="16"/>
      <c r="H412" s="16"/>
      <c r="I412" s="19" t="str">
        <f>IF(ISBLANK(JobBonus[[#This Row],[Employee Name]]),"",INDEX(Employees[Job Title],MATCH(JobBonus[[#This Row],[Employee Name]],Employees[Employee Name2],0)))</f>
        <v/>
      </c>
      <c r="J412" s="19" t="str">
        <f>IF(ISBLANK(JobBonus[[#This Row],[Job Prov]]),"",IF(JobBonus[[#This Row],[Job Prov]]=INDEX(Employees[Province],MATCH(JobBonus[[#This Row],[Employee Name]],Employees[Employee Name2],0)),"No","Yes"))</f>
        <v/>
      </c>
      <c r="K412" s="17"/>
      <c r="L412" s="19"/>
      <c r="M412" s="23"/>
      <c r="N412" s="23"/>
      <c r="O412" s="15"/>
      <c r="P412" s="15"/>
      <c r="Q412" s="15"/>
      <c r="R412" s="15"/>
      <c r="S412" s="44" cm="1">
        <f t="array" ref="S4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2" s="44" cm="1">
        <f t="array" ref="T4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2" s="44">
        <f>JobBonus[[#This Row],[Variable Pay]]+JobBonus[[#This Row],[Crew Efficiency Bonus]]</f>
        <v>0</v>
      </c>
      <c r="V412" s="44" cm="1">
        <f t="array" ref="V4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2" s="44" t="b">
        <f>_xlfn.IFNA(EXACT(VLOOKUP(JobBonus[[#This Row],[Pay Type]],PayTypes[#All],4,FALSE),"Yes"),FALSE)</f>
        <v>0</v>
      </c>
      <c r="X412" s="44" cm="1">
        <f t="array" ref="X412">SUMPRODUCT((StandByRates[Position]=JobBonus[[#This Row],[Position]])*(JobBonus[[#This Row],[Area]]=StandByRates[Area])*(StandByRates[Hourly]*JobBonus[[#This Row],[Standby/ Ext 
Hrs]]))</f>
        <v>0</v>
      </c>
      <c r="Y412" s="44">
        <f>JobBonus[[#This Row],[Variable Pay]]+JobBonus[[#This Row],[Crew Efficiency Bonus]]+JobBonus[[#This Row],[OVPP]]+JobBonus[[#This Row],[StandBy/ Ext Amount]]</f>
        <v>0</v>
      </c>
      <c r="Z412" s="80"/>
      <c r="AA412" s="42"/>
      <c r="AB412" s="42"/>
      <c r="AC412"/>
      <c r="AD412"/>
      <c r="AE412"/>
      <c r="AF412"/>
    </row>
    <row r="413" spans="1:32" hidden="1" x14ac:dyDescent="0.25">
      <c r="A413" s="46"/>
      <c r="B413" s="80"/>
      <c r="C413" s="15"/>
      <c r="D413" s="15"/>
      <c r="E413" s="15"/>
      <c r="F413" s="15"/>
      <c r="G413" s="16"/>
      <c r="H413" s="16"/>
      <c r="I413" s="19" t="str">
        <f>IF(ISBLANK(JobBonus[[#This Row],[Employee Name]]),"",INDEX(Employees[Job Title],MATCH(JobBonus[[#This Row],[Employee Name]],Employees[Employee Name2],0)))</f>
        <v/>
      </c>
      <c r="J413" s="19" t="str">
        <f>IF(ISBLANK(JobBonus[[#This Row],[Job Prov]]),"",IF(JobBonus[[#This Row],[Job Prov]]=INDEX(Employees[Province],MATCH(JobBonus[[#This Row],[Employee Name]],Employees[Employee Name2],0)),"No","Yes"))</f>
        <v/>
      </c>
      <c r="K413" s="17"/>
      <c r="L413" s="19"/>
      <c r="M413" s="23"/>
      <c r="N413" s="23"/>
      <c r="O413" s="15"/>
      <c r="P413" s="15"/>
      <c r="Q413" s="15"/>
      <c r="R413" s="15"/>
      <c r="S413" s="44" cm="1">
        <f t="array" ref="S4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3" s="44" cm="1">
        <f t="array" ref="T4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3" s="44">
        <f>JobBonus[[#This Row],[Variable Pay]]+JobBonus[[#This Row],[Crew Efficiency Bonus]]</f>
        <v>0</v>
      </c>
      <c r="V413" s="44" cm="1">
        <f t="array" ref="V4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3" s="44" t="b">
        <f>_xlfn.IFNA(EXACT(VLOOKUP(JobBonus[[#This Row],[Pay Type]],PayTypes[#All],4,FALSE),"Yes"),FALSE)</f>
        <v>0</v>
      </c>
      <c r="X413" s="44" cm="1">
        <f t="array" ref="X413">SUMPRODUCT((StandByRates[Position]=JobBonus[[#This Row],[Position]])*(JobBonus[[#This Row],[Area]]=StandByRates[Area])*(StandByRates[Hourly]*JobBonus[[#This Row],[Standby/ Ext 
Hrs]]))</f>
        <v>0</v>
      </c>
      <c r="Y413" s="44">
        <f>JobBonus[[#This Row],[Variable Pay]]+JobBonus[[#This Row],[Crew Efficiency Bonus]]+JobBonus[[#This Row],[OVPP]]+JobBonus[[#This Row],[StandBy/ Ext Amount]]</f>
        <v>0</v>
      </c>
      <c r="Z413" s="80"/>
      <c r="AA413" s="42"/>
      <c r="AB413" s="42"/>
      <c r="AC413"/>
      <c r="AD413"/>
      <c r="AE413"/>
      <c r="AF413"/>
    </row>
    <row r="414" spans="1:32" hidden="1" x14ac:dyDescent="0.25">
      <c r="A414" s="46"/>
      <c r="B414" s="80"/>
      <c r="C414" s="15"/>
      <c r="D414" s="15"/>
      <c r="E414" s="15"/>
      <c r="F414" s="15"/>
      <c r="G414" s="16"/>
      <c r="H414" s="16"/>
      <c r="I414" s="19" t="str">
        <f>IF(ISBLANK(JobBonus[[#This Row],[Employee Name]]),"",INDEX(Employees[Job Title],MATCH(JobBonus[[#This Row],[Employee Name]],Employees[Employee Name2],0)))</f>
        <v/>
      </c>
      <c r="J414" s="19" t="str">
        <f>IF(ISBLANK(JobBonus[[#This Row],[Job Prov]]),"",IF(JobBonus[[#This Row],[Job Prov]]=INDEX(Employees[Province],MATCH(JobBonus[[#This Row],[Employee Name]],Employees[Employee Name2],0)),"No","Yes"))</f>
        <v/>
      </c>
      <c r="K414" s="17"/>
      <c r="L414" s="19"/>
      <c r="M414" s="23"/>
      <c r="N414" s="23"/>
      <c r="O414" s="15"/>
      <c r="P414" s="15"/>
      <c r="Q414" s="15"/>
      <c r="R414" s="15"/>
      <c r="S414" s="44" cm="1">
        <f t="array" ref="S4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4" s="44" cm="1">
        <f t="array" ref="T4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4" s="44">
        <f>JobBonus[[#This Row],[Variable Pay]]+JobBonus[[#This Row],[Crew Efficiency Bonus]]</f>
        <v>0</v>
      </c>
      <c r="V414" s="44" cm="1">
        <f t="array" ref="V4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4" s="44" t="b">
        <f>_xlfn.IFNA(EXACT(VLOOKUP(JobBonus[[#This Row],[Pay Type]],PayTypes[#All],4,FALSE),"Yes"),FALSE)</f>
        <v>0</v>
      </c>
      <c r="X414" s="44" cm="1">
        <f t="array" ref="X414">SUMPRODUCT((StandByRates[Position]=JobBonus[[#This Row],[Position]])*(JobBonus[[#This Row],[Area]]=StandByRates[Area])*(StandByRates[Hourly]*JobBonus[[#This Row],[Standby/ Ext 
Hrs]]))</f>
        <v>0</v>
      </c>
      <c r="Y414" s="44">
        <f>JobBonus[[#This Row],[Variable Pay]]+JobBonus[[#This Row],[Crew Efficiency Bonus]]+JobBonus[[#This Row],[OVPP]]+JobBonus[[#This Row],[StandBy/ Ext Amount]]</f>
        <v>0</v>
      </c>
      <c r="Z414" s="80"/>
      <c r="AA414" s="42"/>
      <c r="AB414" s="42"/>
      <c r="AC414"/>
      <c r="AD414"/>
      <c r="AE414"/>
      <c r="AF414"/>
    </row>
    <row r="415" spans="1:32" hidden="1" x14ac:dyDescent="0.25">
      <c r="A415" s="46"/>
      <c r="B415" s="80"/>
      <c r="C415" s="15"/>
      <c r="D415" s="15"/>
      <c r="E415" s="15"/>
      <c r="F415" s="15"/>
      <c r="G415" s="16"/>
      <c r="H415" s="16"/>
      <c r="I415" s="19" t="str">
        <f>IF(ISBLANK(JobBonus[[#This Row],[Employee Name]]),"",INDEX(Employees[Job Title],MATCH(JobBonus[[#This Row],[Employee Name]],Employees[Employee Name2],0)))</f>
        <v/>
      </c>
      <c r="J415" s="19" t="str">
        <f>IF(ISBLANK(JobBonus[[#This Row],[Job Prov]]),"",IF(JobBonus[[#This Row],[Job Prov]]=INDEX(Employees[Province],MATCH(JobBonus[[#This Row],[Employee Name]],Employees[Employee Name2],0)),"No","Yes"))</f>
        <v/>
      </c>
      <c r="K415" s="17"/>
      <c r="L415" s="19"/>
      <c r="M415" s="23"/>
      <c r="N415" s="23"/>
      <c r="O415" s="15"/>
      <c r="P415" s="15"/>
      <c r="Q415" s="15"/>
      <c r="R415" s="15"/>
      <c r="S415" s="44" cm="1">
        <f t="array" ref="S4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5" s="44" cm="1">
        <f t="array" ref="T4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5" s="44">
        <f>JobBonus[[#This Row],[Variable Pay]]+JobBonus[[#This Row],[Crew Efficiency Bonus]]</f>
        <v>0</v>
      </c>
      <c r="V415" s="44" cm="1">
        <f t="array" ref="V4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5" s="44" t="b">
        <f>_xlfn.IFNA(EXACT(VLOOKUP(JobBonus[[#This Row],[Pay Type]],PayTypes[#All],4,FALSE),"Yes"),FALSE)</f>
        <v>0</v>
      </c>
      <c r="X415" s="44" cm="1">
        <f t="array" ref="X415">SUMPRODUCT((StandByRates[Position]=JobBonus[[#This Row],[Position]])*(JobBonus[[#This Row],[Area]]=StandByRates[Area])*(StandByRates[Hourly]*JobBonus[[#This Row],[Standby/ Ext 
Hrs]]))</f>
        <v>0</v>
      </c>
      <c r="Y415" s="44">
        <f>JobBonus[[#This Row],[Variable Pay]]+JobBonus[[#This Row],[Crew Efficiency Bonus]]+JobBonus[[#This Row],[OVPP]]+JobBonus[[#This Row],[StandBy/ Ext Amount]]</f>
        <v>0</v>
      </c>
      <c r="Z415" s="80"/>
      <c r="AA415" s="42"/>
      <c r="AB415" s="42"/>
      <c r="AC415"/>
      <c r="AD415"/>
      <c r="AE415"/>
      <c r="AF415"/>
    </row>
    <row r="416" spans="1:32" hidden="1" x14ac:dyDescent="0.25">
      <c r="A416" s="46"/>
      <c r="B416" s="80"/>
      <c r="C416" s="15"/>
      <c r="D416" s="15"/>
      <c r="E416" s="15"/>
      <c r="F416" s="15"/>
      <c r="G416" s="16"/>
      <c r="H416" s="16"/>
      <c r="I416" s="19" t="str">
        <f>IF(ISBLANK(JobBonus[[#This Row],[Employee Name]]),"",INDEX(Employees[Job Title],MATCH(JobBonus[[#This Row],[Employee Name]],Employees[Employee Name2],0)))</f>
        <v/>
      </c>
      <c r="J416" s="19" t="str">
        <f>IF(ISBLANK(JobBonus[[#This Row],[Job Prov]]),"",IF(JobBonus[[#This Row],[Job Prov]]=INDEX(Employees[Province],MATCH(JobBonus[[#This Row],[Employee Name]],Employees[Employee Name2],0)),"No","Yes"))</f>
        <v/>
      </c>
      <c r="K416" s="17"/>
      <c r="L416" s="19"/>
      <c r="M416" s="23"/>
      <c r="N416" s="23"/>
      <c r="O416" s="15"/>
      <c r="P416" s="15"/>
      <c r="Q416" s="15"/>
      <c r="R416" s="15"/>
      <c r="S416" s="44" cm="1">
        <f t="array" ref="S4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6" s="44" cm="1">
        <f t="array" ref="T4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6" s="44">
        <f>JobBonus[[#This Row],[Variable Pay]]+JobBonus[[#This Row],[Crew Efficiency Bonus]]</f>
        <v>0</v>
      </c>
      <c r="V416" s="44" cm="1">
        <f t="array" ref="V4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6" s="44" t="b">
        <f>_xlfn.IFNA(EXACT(VLOOKUP(JobBonus[[#This Row],[Pay Type]],PayTypes[#All],4,FALSE),"Yes"),FALSE)</f>
        <v>0</v>
      </c>
      <c r="X416" s="44" cm="1">
        <f t="array" ref="X416">SUMPRODUCT((StandByRates[Position]=JobBonus[[#This Row],[Position]])*(JobBonus[[#This Row],[Area]]=StandByRates[Area])*(StandByRates[Hourly]*JobBonus[[#This Row],[Standby/ Ext 
Hrs]]))</f>
        <v>0</v>
      </c>
      <c r="Y416" s="44">
        <f>JobBonus[[#This Row],[Variable Pay]]+JobBonus[[#This Row],[Crew Efficiency Bonus]]+JobBonus[[#This Row],[OVPP]]+JobBonus[[#This Row],[StandBy/ Ext Amount]]</f>
        <v>0</v>
      </c>
      <c r="Z416" s="80"/>
      <c r="AA416" s="42"/>
      <c r="AB416" s="42"/>
      <c r="AC416"/>
      <c r="AD416"/>
      <c r="AE416"/>
      <c r="AF416"/>
    </row>
    <row r="417" spans="1:32" hidden="1" x14ac:dyDescent="0.25">
      <c r="A417" s="46"/>
      <c r="B417" s="80"/>
      <c r="C417" s="15"/>
      <c r="D417" s="15"/>
      <c r="E417" s="15"/>
      <c r="F417" s="15"/>
      <c r="G417" s="16"/>
      <c r="H417" s="16"/>
      <c r="I417" s="19" t="str">
        <f>IF(ISBLANK(JobBonus[[#This Row],[Employee Name]]),"",INDEX(Employees[Job Title],MATCH(JobBonus[[#This Row],[Employee Name]],Employees[Employee Name2],0)))</f>
        <v/>
      </c>
      <c r="J417" s="19" t="str">
        <f>IF(ISBLANK(JobBonus[[#This Row],[Job Prov]]),"",IF(JobBonus[[#This Row],[Job Prov]]=INDEX(Employees[Province],MATCH(JobBonus[[#This Row],[Employee Name]],Employees[Employee Name2],0)),"No","Yes"))</f>
        <v/>
      </c>
      <c r="K417" s="17"/>
      <c r="L417" s="19"/>
      <c r="M417" s="23"/>
      <c r="N417" s="23"/>
      <c r="O417" s="15"/>
      <c r="P417" s="15"/>
      <c r="Q417" s="15"/>
      <c r="R417" s="15"/>
      <c r="S417" s="44" cm="1">
        <f t="array" ref="S4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7" s="44" cm="1">
        <f t="array" ref="T4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7" s="44">
        <f>JobBonus[[#This Row],[Variable Pay]]+JobBonus[[#This Row],[Crew Efficiency Bonus]]</f>
        <v>0</v>
      </c>
      <c r="V417" s="44" cm="1">
        <f t="array" ref="V4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7" s="44" t="b">
        <f>_xlfn.IFNA(EXACT(VLOOKUP(JobBonus[[#This Row],[Pay Type]],PayTypes[#All],4,FALSE),"Yes"),FALSE)</f>
        <v>0</v>
      </c>
      <c r="X417" s="44" cm="1">
        <f t="array" ref="X417">SUMPRODUCT((StandByRates[Position]=JobBonus[[#This Row],[Position]])*(JobBonus[[#This Row],[Area]]=StandByRates[Area])*(StandByRates[Hourly]*JobBonus[[#This Row],[Standby/ Ext 
Hrs]]))</f>
        <v>0</v>
      </c>
      <c r="Y417" s="44">
        <f>JobBonus[[#This Row],[Variable Pay]]+JobBonus[[#This Row],[Crew Efficiency Bonus]]+JobBonus[[#This Row],[OVPP]]+JobBonus[[#This Row],[StandBy/ Ext Amount]]</f>
        <v>0</v>
      </c>
      <c r="Z417" s="80"/>
      <c r="AA417" s="42"/>
      <c r="AB417" s="42"/>
      <c r="AC417"/>
      <c r="AD417"/>
      <c r="AE417"/>
      <c r="AF417"/>
    </row>
    <row r="418" spans="1:32" hidden="1" x14ac:dyDescent="0.25">
      <c r="A418" s="46"/>
      <c r="B418" s="80"/>
      <c r="C418" s="15"/>
      <c r="D418" s="15"/>
      <c r="E418" s="15"/>
      <c r="F418" s="15"/>
      <c r="G418" s="16"/>
      <c r="H418" s="16"/>
      <c r="I418" s="19" t="str">
        <f>IF(ISBLANK(JobBonus[[#This Row],[Employee Name]]),"",INDEX(Employees[Job Title],MATCH(JobBonus[[#This Row],[Employee Name]],Employees[Employee Name2],0)))</f>
        <v/>
      </c>
      <c r="J418" s="19" t="str">
        <f>IF(ISBLANK(JobBonus[[#This Row],[Job Prov]]),"",IF(JobBonus[[#This Row],[Job Prov]]=INDEX(Employees[Province],MATCH(JobBonus[[#This Row],[Employee Name]],Employees[Employee Name2],0)),"No","Yes"))</f>
        <v/>
      </c>
      <c r="K418" s="17"/>
      <c r="L418" s="19"/>
      <c r="M418" s="23"/>
      <c r="N418" s="23"/>
      <c r="O418" s="15"/>
      <c r="P418" s="15"/>
      <c r="Q418" s="15"/>
      <c r="R418" s="15"/>
      <c r="S418" s="44" cm="1">
        <f t="array" ref="S4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8" s="44" cm="1">
        <f t="array" ref="T4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8" s="44">
        <f>JobBonus[[#This Row],[Variable Pay]]+JobBonus[[#This Row],[Crew Efficiency Bonus]]</f>
        <v>0</v>
      </c>
      <c r="V418" s="44" cm="1">
        <f t="array" ref="V4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8" s="44" t="b">
        <f>_xlfn.IFNA(EXACT(VLOOKUP(JobBonus[[#This Row],[Pay Type]],PayTypes[#All],4,FALSE),"Yes"),FALSE)</f>
        <v>0</v>
      </c>
      <c r="X418" s="44" cm="1">
        <f t="array" ref="X418">SUMPRODUCT((StandByRates[Position]=JobBonus[[#This Row],[Position]])*(JobBonus[[#This Row],[Area]]=StandByRates[Area])*(StandByRates[Hourly]*JobBonus[[#This Row],[Standby/ Ext 
Hrs]]))</f>
        <v>0</v>
      </c>
      <c r="Y418" s="44">
        <f>JobBonus[[#This Row],[Variable Pay]]+JobBonus[[#This Row],[Crew Efficiency Bonus]]+JobBonus[[#This Row],[OVPP]]+JobBonus[[#This Row],[StandBy/ Ext Amount]]</f>
        <v>0</v>
      </c>
      <c r="Z418" s="80"/>
      <c r="AA418" s="42"/>
      <c r="AB418" s="42"/>
      <c r="AC418"/>
      <c r="AD418"/>
      <c r="AE418"/>
      <c r="AF418"/>
    </row>
    <row r="419" spans="1:32" hidden="1" x14ac:dyDescent="0.25">
      <c r="A419" s="46"/>
      <c r="B419" s="80"/>
      <c r="C419" s="15"/>
      <c r="D419" s="15"/>
      <c r="E419" s="15"/>
      <c r="F419" s="15"/>
      <c r="G419" s="16"/>
      <c r="H419" s="16"/>
      <c r="I419" s="19" t="str">
        <f>IF(ISBLANK(JobBonus[[#This Row],[Employee Name]]),"",INDEX(Employees[Job Title],MATCH(JobBonus[[#This Row],[Employee Name]],Employees[Employee Name2],0)))</f>
        <v/>
      </c>
      <c r="J419" s="19" t="str">
        <f>IF(ISBLANK(JobBonus[[#This Row],[Job Prov]]),"",IF(JobBonus[[#This Row],[Job Prov]]=INDEX(Employees[Province],MATCH(JobBonus[[#This Row],[Employee Name]],Employees[Employee Name2],0)),"No","Yes"))</f>
        <v/>
      </c>
      <c r="K419" s="17"/>
      <c r="L419" s="19"/>
      <c r="M419" s="23"/>
      <c r="N419" s="23"/>
      <c r="O419" s="15"/>
      <c r="P419" s="15"/>
      <c r="Q419" s="15"/>
      <c r="R419" s="15"/>
      <c r="S419" s="44" cm="1">
        <f t="array" ref="S4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9" s="44" cm="1">
        <f t="array" ref="T4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9" s="44">
        <f>JobBonus[[#This Row],[Variable Pay]]+JobBonus[[#This Row],[Crew Efficiency Bonus]]</f>
        <v>0</v>
      </c>
      <c r="V419" s="44" cm="1">
        <f t="array" ref="V4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9" s="44" t="b">
        <f>_xlfn.IFNA(EXACT(VLOOKUP(JobBonus[[#This Row],[Pay Type]],PayTypes[#All],4,FALSE),"Yes"),FALSE)</f>
        <v>0</v>
      </c>
      <c r="X419" s="44" cm="1">
        <f t="array" ref="X419">SUMPRODUCT((StandByRates[Position]=JobBonus[[#This Row],[Position]])*(JobBonus[[#This Row],[Area]]=StandByRates[Area])*(StandByRates[Hourly]*JobBonus[[#This Row],[Standby/ Ext 
Hrs]]))</f>
        <v>0</v>
      </c>
      <c r="Y419" s="44">
        <f>JobBonus[[#This Row],[Variable Pay]]+JobBonus[[#This Row],[Crew Efficiency Bonus]]+JobBonus[[#This Row],[OVPP]]+JobBonus[[#This Row],[StandBy/ Ext Amount]]</f>
        <v>0</v>
      </c>
      <c r="Z419" s="80"/>
      <c r="AA419" s="42"/>
      <c r="AB419" s="42"/>
      <c r="AC419"/>
      <c r="AD419"/>
      <c r="AE419"/>
      <c r="AF419"/>
    </row>
    <row r="420" spans="1:32" hidden="1" x14ac:dyDescent="0.25">
      <c r="A420" s="46"/>
      <c r="B420" s="80"/>
      <c r="C420" s="15"/>
      <c r="D420" s="15"/>
      <c r="E420" s="15"/>
      <c r="F420" s="15"/>
      <c r="G420" s="16"/>
      <c r="H420" s="16"/>
      <c r="I420" s="19" t="str">
        <f>IF(ISBLANK(JobBonus[[#This Row],[Employee Name]]),"",INDEX(Employees[Job Title],MATCH(JobBonus[[#This Row],[Employee Name]],Employees[Employee Name2],0)))</f>
        <v/>
      </c>
      <c r="J420" s="19" t="str">
        <f>IF(ISBLANK(JobBonus[[#This Row],[Job Prov]]),"",IF(JobBonus[[#This Row],[Job Prov]]=INDEX(Employees[Province],MATCH(JobBonus[[#This Row],[Employee Name]],Employees[Employee Name2],0)),"No","Yes"))</f>
        <v/>
      </c>
      <c r="K420" s="17"/>
      <c r="L420" s="19"/>
      <c r="M420" s="23"/>
      <c r="N420" s="23"/>
      <c r="O420" s="15"/>
      <c r="P420" s="15"/>
      <c r="Q420" s="15"/>
      <c r="R420" s="15"/>
      <c r="S420" s="44" cm="1">
        <f t="array" ref="S4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0" s="44" cm="1">
        <f t="array" ref="T4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0" s="44">
        <f>JobBonus[[#This Row],[Variable Pay]]+JobBonus[[#This Row],[Crew Efficiency Bonus]]</f>
        <v>0</v>
      </c>
      <c r="V420" s="44" cm="1">
        <f t="array" ref="V4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0" s="44" t="b">
        <f>_xlfn.IFNA(EXACT(VLOOKUP(JobBonus[[#This Row],[Pay Type]],PayTypes[#All],4,FALSE),"Yes"),FALSE)</f>
        <v>0</v>
      </c>
      <c r="X420" s="44" cm="1">
        <f t="array" ref="X420">SUMPRODUCT((StandByRates[Position]=JobBonus[[#This Row],[Position]])*(JobBonus[[#This Row],[Area]]=StandByRates[Area])*(StandByRates[Hourly]*JobBonus[[#This Row],[Standby/ Ext 
Hrs]]))</f>
        <v>0</v>
      </c>
      <c r="Y420" s="44">
        <f>JobBonus[[#This Row],[Variable Pay]]+JobBonus[[#This Row],[Crew Efficiency Bonus]]+JobBonus[[#This Row],[OVPP]]+JobBonus[[#This Row],[StandBy/ Ext Amount]]</f>
        <v>0</v>
      </c>
      <c r="Z420" s="80"/>
      <c r="AA420" s="42"/>
      <c r="AB420" s="42"/>
      <c r="AC420"/>
      <c r="AD420"/>
      <c r="AE420"/>
      <c r="AF420"/>
    </row>
    <row r="421" spans="1:32" hidden="1" x14ac:dyDescent="0.25">
      <c r="A421" s="46"/>
      <c r="B421" s="80"/>
      <c r="C421" s="15"/>
      <c r="D421" s="15"/>
      <c r="E421" s="15"/>
      <c r="F421" s="15"/>
      <c r="G421" s="16"/>
      <c r="H421" s="16"/>
      <c r="I421" s="19" t="str">
        <f>IF(ISBLANK(JobBonus[[#This Row],[Employee Name]]),"",INDEX(Employees[Job Title],MATCH(JobBonus[[#This Row],[Employee Name]],Employees[Employee Name2],0)))</f>
        <v/>
      </c>
      <c r="J421" s="19" t="str">
        <f>IF(ISBLANK(JobBonus[[#This Row],[Job Prov]]),"",IF(JobBonus[[#This Row],[Job Prov]]=INDEX(Employees[Province],MATCH(JobBonus[[#This Row],[Employee Name]],Employees[Employee Name2],0)),"No","Yes"))</f>
        <v/>
      </c>
      <c r="K421" s="17"/>
      <c r="L421" s="19"/>
      <c r="M421" s="23"/>
      <c r="N421" s="23"/>
      <c r="O421" s="15"/>
      <c r="P421" s="15"/>
      <c r="Q421" s="15"/>
      <c r="R421" s="15"/>
      <c r="S421" s="44" cm="1">
        <f t="array" ref="S4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1" s="44" cm="1">
        <f t="array" ref="T4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1" s="44">
        <f>JobBonus[[#This Row],[Variable Pay]]+JobBonus[[#This Row],[Crew Efficiency Bonus]]</f>
        <v>0</v>
      </c>
      <c r="V421" s="44" cm="1">
        <f t="array" ref="V4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1" s="44" t="b">
        <f>_xlfn.IFNA(EXACT(VLOOKUP(JobBonus[[#This Row],[Pay Type]],PayTypes[#All],4,FALSE),"Yes"),FALSE)</f>
        <v>0</v>
      </c>
      <c r="X421" s="44" cm="1">
        <f t="array" ref="X421">SUMPRODUCT((StandByRates[Position]=JobBonus[[#This Row],[Position]])*(JobBonus[[#This Row],[Area]]=StandByRates[Area])*(StandByRates[Hourly]*JobBonus[[#This Row],[Standby/ Ext 
Hrs]]))</f>
        <v>0</v>
      </c>
      <c r="Y421" s="44">
        <f>JobBonus[[#This Row],[Variable Pay]]+JobBonus[[#This Row],[Crew Efficiency Bonus]]+JobBonus[[#This Row],[OVPP]]+JobBonus[[#This Row],[StandBy/ Ext Amount]]</f>
        <v>0</v>
      </c>
      <c r="Z421" s="80"/>
      <c r="AA421" s="42"/>
      <c r="AB421" s="42"/>
      <c r="AC421"/>
      <c r="AD421"/>
      <c r="AE421"/>
      <c r="AF421"/>
    </row>
    <row r="422" spans="1:32" hidden="1" x14ac:dyDescent="0.25">
      <c r="A422" s="46"/>
      <c r="B422" s="80"/>
      <c r="C422" s="15"/>
      <c r="D422" s="15"/>
      <c r="E422" s="15"/>
      <c r="F422" s="15"/>
      <c r="G422" s="16"/>
      <c r="H422" s="16"/>
      <c r="I422" s="19" t="str">
        <f>IF(ISBLANK(JobBonus[[#This Row],[Employee Name]]),"",INDEX(Employees[Job Title],MATCH(JobBonus[[#This Row],[Employee Name]],Employees[Employee Name2],0)))</f>
        <v/>
      </c>
      <c r="J422" s="19" t="str">
        <f>IF(ISBLANK(JobBonus[[#This Row],[Job Prov]]),"",IF(JobBonus[[#This Row],[Job Prov]]=INDEX(Employees[Province],MATCH(JobBonus[[#This Row],[Employee Name]],Employees[Employee Name2],0)),"No","Yes"))</f>
        <v/>
      </c>
      <c r="K422" s="17"/>
      <c r="L422" s="19"/>
      <c r="M422" s="23"/>
      <c r="N422" s="23"/>
      <c r="O422" s="15"/>
      <c r="P422" s="15"/>
      <c r="Q422" s="15"/>
      <c r="R422" s="15"/>
      <c r="S422" s="44" cm="1">
        <f t="array" ref="S4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2" s="44" cm="1">
        <f t="array" ref="T4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2" s="44">
        <f>JobBonus[[#This Row],[Variable Pay]]+JobBonus[[#This Row],[Crew Efficiency Bonus]]</f>
        <v>0</v>
      </c>
      <c r="V422" s="44" cm="1">
        <f t="array" ref="V4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2" s="44" t="b">
        <f>_xlfn.IFNA(EXACT(VLOOKUP(JobBonus[[#This Row],[Pay Type]],PayTypes[#All],4,FALSE),"Yes"),FALSE)</f>
        <v>0</v>
      </c>
      <c r="X422" s="44" cm="1">
        <f t="array" ref="X422">SUMPRODUCT((StandByRates[Position]=JobBonus[[#This Row],[Position]])*(JobBonus[[#This Row],[Area]]=StandByRates[Area])*(StandByRates[Hourly]*JobBonus[[#This Row],[Standby/ Ext 
Hrs]]))</f>
        <v>0</v>
      </c>
      <c r="Y422" s="44">
        <f>JobBonus[[#This Row],[Variable Pay]]+JobBonus[[#This Row],[Crew Efficiency Bonus]]+JobBonus[[#This Row],[OVPP]]+JobBonus[[#This Row],[StandBy/ Ext Amount]]</f>
        <v>0</v>
      </c>
      <c r="Z422" s="80"/>
      <c r="AA422" s="42"/>
      <c r="AB422" s="42"/>
      <c r="AC422"/>
      <c r="AD422"/>
      <c r="AE422"/>
      <c r="AF422"/>
    </row>
    <row r="423" spans="1:32" hidden="1" x14ac:dyDescent="0.25">
      <c r="A423" s="46"/>
      <c r="B423" s="80"/>
      <c r="C423" s="15"/>
      <c r="D423" s="15"/>
      <c r="E423" s="15"/>
      <c r="F423" s="15"/>
      <c r="G423" s="16"/>
      <c r="H423" s="16"/>
      <c r="I423" s="19" t="str">
        <f>IF(ISBLANK(JobBonus[[#This Row],[Employee Name]]),"",INDEX(Employees[Job Title],MATCH(JobBonus[[#This Row],[Employee Name]],Employees[Employee Name2],0)))</f>
        <v/>
      </c>
      <c r="J423" s="19" t="str">
        <f>IF(ISBLANK(JobBonus[[#This Row],[Job Prov]]),"",IF(JobBonus[[#This Row],[Job Prov]]=INDEX(Employees[Province],MATCH(JobBonus[[#This Row],[Employee Name]],Employees[Employee Name2],0)),"No","Yes"))</f>
        <v/>
      </c>
      <c r="K423" s="17"/>
      <c r="L423" s="19"/>
      <c r="M423" s="23"/>
      <c r="N423" s="23"/>
      <c r="O423" s="15"/>
      <c r="P423" s="15"/>
      <c r="Q423" s="15"/>
      <c r="R423" s="15"/>
      <c r="S423" s="44" cm="1">
        <f t="array" ref="S4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3" s="44" cm="1">
        <f t="array" ref="T4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3" s="44">
        <f>JobBonus[[#This Row],[Variable Pay]]+JobBonus[[#This Row],[Crew Efficiency Bonus]]</f>
        <v>0</v>
      </c>
      <c r="V423" s="44" cm="1">
        <f t="array" ref="V4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3" s="44" t="b">
        <f>_xlfn.IFNA(EXACT(VLOOKUP(JobBonus[[#This Row],[Pay Type]],PayTypes[#All],4,FALSE),"Yes"),FALSE)</f>
        <v>0</v>
      </c>
      <c r="X423" s="44" cm="1">
        <f t="array" ref="X423">SUMPRODUCT((StandByRates[Position]=JobBonus[[#This Row],[Position]])*(JobBonus[[#This Row],[Area]]=StandByRates[Area])*(StandByRates[Hourly]*JobBonus[[#This Row],[Standby/ Ext 
Hrs]]))</f>
        <v>0</v>
      </c>
      <c r="Y423" s="44">
        <f>JobBonus[[#This Row],[Variable Pay]]+JobBonus[[#This Row],[Crew Efficiency Bonus]]+JobBonus[[#This Row],[OVPP]]+JobBonus[[#This Row],[StandBy/ Ext Amount]]</f>
        <v>0</v>
      </c>
      <c r="Z423" s="80"/>
      <c r="AA423" s="42"/>
      <c r="AB423" s="42"/>
      <c r="AC423"/>
      <c r="AD423"/>
      <c r="AE423"/>
      <c r="AF423"/>
    </row>
    <row r="424" spans="1:32" hidden="1" x14ac:dyDescent="0.25">
      <c r="A424" s="46"/>
      <c r="B424" s="80"/>
      <c r="C424" s="15"/>
      <c r="D424" s="15"/>
      <c r="E424" s="15"/>
      <c r="F424" s="15"/>
      <c r="G424" s="16"/>
      <c r="H424" s="16"/>
      <c r="I424" s="19" t="str">
        <f>IF(ISBLANK(JobBonus[[#This Row],[Employee Name]]),"",INDEX(Employees[Job Title],MATCH(JobBonus[[#This Row],[Employee Name]],Employees[Employee Name2],0)))</f>
        <v/>
      </c>
      <c r="J424" s="19" t="str">
        <f>IF(ISBLANK(JobBonus[[#This Row],[Job Prov]]),"",IF(JobBonus[[#This Row],[Job Prov]]=INDEX(Employees[Province],MATCH(JobBonus[[#This Row],[Employee Name]],Employees[Employee Name2],0)),"No","Yes"))</f>
        <v/>
      </c>
      <c r="K424" s="17"/>
      <c r="L424" s="19"/>
      <c r="M424" s="23"/>
      <c r="N424" s="23"/>
      <c r="O424" s="15"/>
      <c r="P424" s="15"/>
      <c r="Q424" s="15"/>
      <c r="R424" s="15"/>
      <c r="S424" s="44" cm="1">
        <f t="array" ref="S4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4" s="44" cm="1">
        <f t="array" ref="T4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4" s="44">
        <f>JobBonus[[#This Row],[Variable Pay]]+JobBonus[[#This Row],[Crew Efficiency Bonus]]</f>
        <v>0</v>
      </c>
      <c r="V424" s="44" cm="1">
        <f t="array" ref="V4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4" s="44" t="b">
        <f>_xlfn.IFNA(EXACT(VLOOKUP(JobBonus[[#This Row],[Pay Type]],PayTypes[#All],4,FALSE),"Yes"),FALSE)</f>
        <v>0</v>
      </c>
      <c r="X424" s="44" cm="1">
        <f t="array" ref="X424">SUMPRODUCT((StandByRates[Position]=JobBonus[[#This Row],[Position]])*(JobBonus[[#This Row],[Area]]=StandByRates[Area])*(StandByRates[Hourly]*JobBonus[[#This Row],[Standby/ Ext 
Hrs]]))</f>
        <v>0</v>
      </c>
      <c r="Y424" s="44">
        <f>JobBonus[[#This Row],[Variable Pay]]+JobBonus[[#This Row],[Crew Efficiency Bonus]]+JobBonus[[#This Row],[OVPP]]+JobBonus[[#This Row],[StandBy/ Ext Amount]]</f>
        <v>0</v>
      </c>
      <c r="Z424" s="80"/>
      <c r="AA424" s="42"/>
      <c r="AB424" s="42"/>
      <c r="AC424"/>
      <c r="AD424"/>
      <c r="AE424"/>
      <c r="AF424"/>
    </row>
    <row r="425" spans="1:32" hidden="1" x14ac:dyDescent="0.25">
      <c r="A425" s="46"/>
      <c r="B425" s="80"/>
      <c r="C425" s="15"/>
      <c r="D425" s="15"/>
      <c r="E425" s="15"/>
      <c r="F425" s="15"/>
      <c r="G425" s="16"/>
      <c r="H425" s="16"/>
      <c r="I425" s="19" t="str">
        <f>IF(ISBLANK(JobBonus[[#This Row],[Employee Name]]),"",INDEX(Employees[Job Title],MATCH(JobBonus[[#This Row],[Employee Name]],Employees[Employee Name2],0)))</f>
        <v/>
      </c>
      <c r="J425" s="19" t="str">
        <f>IF(ISBLANK(JobBonus[[#This Row],[Job Prov]]),"",IF(JobBonus[[#This Row],[Job Prov]]=INDEX(Employees[Province],MATCH(JobBonus[[#This Row],[Employee Name]],Employees[Employee Name2],0)),"No","Yes"))</f>
        <v/>
      </c>
      <c r="K425" s="17"/>
      <c r="L425" s="19"/>
      <c r="M425" s="23"/>
      <c r="N425" s="23"/>
      <c r="O425" s="15"/>
      <c r="P425" s="15"/>
      <c r="Q425" s="15"/>
      <c r="R425" s="15"/>
      <c r="S425" s="44" cm="1">
        <f t="array" ref="S4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5" s="44" cm="1">
        <f t="array" ref="T4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5" s="44">
        <f>JobBonus[[#This Row],[Variable Pay]]+JobBonus[[#This Row],[Crew Efficiency Bonus]]</f>
        <v>0</v>
      </c>
      <c r="V425" s="44" cm="1">
        <f t="array" ref="V4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5" s="44" t="b">
        <f>_xlfn.IFNA(EXACT(VLOOKUP(JobBonus[[#This Row],[Pay Type]],PayTypes[#All],4,FALSE),"Yes"),FALSE)</f>
        <v>0</v>
      </c>
      <c r="X425" s="44" cm="1">
        <f t="array" ref="X425">SUMPRODUCT((StandByRates[Position]=JobBonus[[#This Row],[Position]])*(JobBonus[[#This Row],[Area]]=StandByRates[Area])*(StandByRates[Hourly]*JobBonus[[#This Row],[Standby/ Ext 
Hrs]]))</f>
        <v>0</v>
      </c>
      <c r="Y425" s="44">
        <f>JobBonus[[#This Row],[Variable Pay]]+JobBonus[[#This Row],[Crew Efficiency Bonus]]+JobBonus[[#This Row],[OVPP]]+JobBonus[[#This Row],[StandBy/ Ext Amount]]</f>
        <v>0</v>
      </c>
      <c r="Z425" s="80"/>
      <c r="AA425" s="42"/>
      <c r="AB425" s="42"/>
      <c r="AC425"/>
      <c r="AD425"/>
      <c r="AE425"/>
      <c r="AF425"/>
    </row>
    <row r="426" spans="1:32" hidden="1" x14ac:dyDescent="0.25">
      <c r="A426" s="46"/>
      <c r="B426" s="80"/>
      <c r="C426" s="15"/>
      <c r="D426" s="15"/>
      <c r="E426" s="15"/>
      <c r="F426" s="15"/>
      <c r="G426" s="16"/>
      <c r="H426" s="16"/>
      <c r="I426" s="19" t="str">
        <f>IF(ISBLANK(JobBonus[[#This Row],[Employee Name]]),"",INDEX(Employees[Job Title],MATCH(JobBonus[[#This Row],[Employee Name]],Employees[Employee Name2],0)))</f>
        <v/>
      </c>
      <c r="J426" s="19" t="str">
        <f>IF(ISBLANK(JobBonus[[#This Row],[Job Prov]]),"",IF(JobBonus[[#This Row],[Job Prov]]=INDEX(Employees[Province],MATCH(JobBonus[[#This Row],[Employee Name]],Employees[Employee Name2],0)),"No","Yes"))</f>
        <v/>
      </c>
      <c r="K426" s="17"/>
      <c r="L426" s="19"/>
      <c r="M426" s="23"/>
      <c r="N426" s="23"/>
      <c r="O426" s="15"/>
      <c r="P426" s="15"/>
      <c r="Q426" s="15"/>
      <c r="R426" s="15"/>
      <c r="S426" s="44" cm="1">
        <f t="array" ref="S4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6" s="44" cm="1">
        <f t="array" ref="T4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6" s="44">
        <f>JobBonus[[#This Row],[Variable Pay]]+JobBonus[[#This Row],[Crew Efficiency Bonus]]</f>
        <v>0</v>
      </c>
      <c r="V426" s="44" cm="1">
        <f t="array" ref="V4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6" s="44" t="b">
        <f>_xlfn.IFNA(EXACT(VLOOKUP(JobBonus[[#This Row],[Pay Type]],PayTypes[#All],4,FALSE),"Yes"),FALSE)</f>
        <v>0</v>
      </c>
      <c r="X426" s="44" cm="1">
        <f t="array" ref="X426">SUMPRODUCT((StandByRates[Position]=JobBonus[[#This Row],[Position]])*(JobBonus[[#This Row],[Area]]=StandByRates[Area])*(StandByRates[Hourly]*JobBonus[[#This Row],[Standby/ Ext 
Hrs]]))</f>
        <v>0</v>
      </c>
      <c r="Y426" s="44">
        <f>JobBonus[[#This Row],[Variable Pay]]+JobBonus[[#This Row],[Crew Efficiency Bonus]]+JobBonus[[#This Row],[OVPP]]+JobBonus[[#This Row],[StandBy/ Ext Amount]]</f>
        <v>0</v>
      </c>
      <c r="Z426" s="80"/>
      <c r="AA426" s="42"/>
      <c r="AB426" s="42"/>
      <c r="AC426"/>
      <c r="AD426"/>
      <c r="AE426"/>
      <c r="AF426"/>
    </row>
    <row r="427" spans="1:32" hidden="1" x14ac:dyDescent="0.25">
      <c r="A427" s="46"/>
      <c r="B427" s="80"/>
      <c r="C427" s="15"/>
      <c r="D427" s="15"/>
      <c r="E427" s="15"/>
      <c r="F427" s="15"/>
      <c r="G427" s="16"/>
      <c r="H427" s="16"/>
      <c r="I427" s="19" t="str">
        <f>IF(ISBLANK(JobBonus[[#This Row],[Employee Name]]),"",INDEX(Employees[Job Title],MATCH(JobBonus[[#This Row],[Employee Name]],Employees[Employee Name2],0)))</f>
        <v/>
      </c>
      <c r="J427" s="19" t="str">
        <f>IF(ISBLANK(JobBonus[[#This Row],[Job Prov]]),"",IF(JobBonus[[#This Row],[Job Prov]]=INDEX(Employees[Province],MATCH(JobBonus[[#This Row],[Employee Name]],Employees[Employee Name2],0)),"No","Yes"))</f>
        <v/>
      </c>
      <c r="K427" s="17"/>
      <c r="L427" s="19"/>
      <c r="M427" s="23"/>
      <c r="N427" s="23"/>
      <c r="O427" s="15"/>
      <c r="P427" s="15"/>
      <c r="Q427" s="15"/>
      <c r="R427" s="15"/>
      <c r="S427" s="44" cm="1">
        <f t="array" ref="S4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7" s="44" cm="1">
        <f t="array" ref="T4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7" s="44">
        <f>JobBonus[[#This Row],[Variable Pay]]+JobBonus[[#This Row],[Crew Efficiency Bonus]]</f>
        <v>0</v>
      </c>
      <c r="V427" s="44" cm="1">
        <f t="array" ref="V4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7" s="44" t="b">
        <f>_xlfn.IFNA(EXACT(VLOOKUP(JobBonus[[#This Row],[Pay Type]],PayTypes[#All],4,FALSE),"Yes"),FALSE)</f>
        <v>0</v>
      </c>
      <c r="X427" s="44" cm="1">
        <f t="array" ref="X427">SUMPRODUCT((StandByRates[Position]=JobBonus[[#This Row],[Position]])*(JobBonus[[#This Row],[Area]]=StandByRates[Area])*(StandByRates[Hourly]*JobBonus[[#This Row],[Standby/ Ext 
Hrs]]))</f>
        <v>0</v>
      </c>
      <c r="Y427" s="44">
        <f>JobBonus[[#This Row],[Variable Pay]]+JobBonus[[#This Row],[Crew Efficiency Bonus]]+JobBonus[[#This Row],[OVPP]]+JobBonus[[#This Row],[StandBy/ Ext Amount]]</f>
        <v>0</v>
      </c>
      <c r="Z427" s="80"/>
      <c r="AA427" s="42"/>
      <c r="AB427" s="42"/>
      <c r="AC427"/>
      <c r="AD427"/>
      <c r="AE427"/>
      <c r="AF427"/>
    </row>
    <row r="428" spans="1:32" hidden="1" x14ac:dyDescent="0.25">
      <c r="A428" s="46"/>
      <c r="B428" s="80"/>
      <c r="C428" s="15"/>
      <c r="D428" s="15"/>
      <c r="E428" s="15"/>
      <c r="F428" s="15"/>
      <c r="G428" s="16"/>
      <c r="H428" s="16"/>
      <c r="I428" s="19" t="str">
        <f>IF(ISBLANK(JobBonus[[#This Row],[Employee Name]]),"",INDEX(Employees[Job Title],MATCH(JobBonus[[#This Row],[Employee Name]],Employees[Employee Name2],0)))</f>
        <v/>
      </c>
      <c r="J428" s="19" t="str">
        <f>IF(ISBLANK(JobBonus[[#This Row],[Job Prov]]),"",IF(JobBonus[[#This Row],[Job Prov]]=INDEX(Employees[Province],MATCH(JobBonus[[#This Row],[Employee Name]],Employees[Employee Name2],0)),"No","Yes"))</f>
        <v/>
      </c>
      <c r="K428" s="17"/>
      <c r="L428" s="19"/>
      <c r="M428" s="23"/>
      <c r="N428" s="23"/>
      <c r="O428" s="15"/>
      <c r="P428" s="15"/>
      <c r="Q428" s="15"/>
      <c r="R428" s="15"/>
      <c r="S428" s="44" cm="1">
        <f t="array" ref="S4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8" s="44" cm="1">
        <f t="array" ref="T4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8" s="44">
        <f>JobBonus[[#This Row],[Variable Pay]]+JobBonus[[#This Row],[Crew Efficiency Bonus]]</f>
        <v>0</v>
      </c>
      <c r="V428" s="44" cm="1">
        <f t="array" ref="V4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8" s="44" t="b">
        <f>_xlfn.IFNA(EXACT(VLOOKUP(JobBonus[[#This Row],[Pay Type]],PayTypes[#All],4,FALSE),"Yes"),FALSE)</f>
        <v>0</v>
      </c>
      <c r="X428" s="44" cm="1">
        <f t="array" ref="X428">SUMPRODUCT((StandByRates[Position]=JobBonus[[#This Row],[Position]])*(JobBonus[[#This Row],[Area]]=StandByRates[Area])*(StandByRates[Hourly]*JobBonus[[#This Row],[Standby/ Ext 
Hrs]]))</f>
        <v>0</v>
      </c>
      <c r="Y428" s="44">
        <f>JobBonus[[#This Row],[Variable Pay]]+JobBonus[[#This Row],[Crew Efficiency Bonus]]+JobBonus[[#This Row],[OVPP]]+JobBonus[[#This Row],[StandBy/ Ext Amount]]</f>
        <v>0</v>
      </c>
      <c r="Z428" s="80"/>
      <c r="AA428" s="42"/>
      <c r="AB428" s="42"/>
      <c r="AC428"/>
      <c r="AD428"/>
      <c r="AE428"/>
      <c r="AF428"/>
    </row>
    <row r="429" spans="1:32" hidden="1" x14ac:dyDescent="0.25">
      <c r="A429" s="46"/>
      <c r="B429" s="80"/>
      <c r="C429" s="15"/>
      <c r="D429" s="15"/>
      <c r="E429" s="15"/>
      <c r="F429" s="15"/>
      <c r="G429" s="16"/>
      <c r="H429" s="16"/>
      <c r="I429" s="19" t="str">
        <f>IF(ISBLANK(JobBonus[[#This Row],[Employee Name]]),"",INDEX(Employees[Job Title],MATCH(JobBonus[[#This Row],[Employee Name]],Employees[Employee Name2],0)))</f>
        <v/>
      </c>
      <c r="J429" s="19" t="str">
        <f>IF(ISBLANK(JobBonus[[#This Row],[Job Prov]]),"",IF(JobBonus[[#This Row],[Job Prov]]=INDEX(Employees[Province],MATCH(JobBonus[[#This Row],[Employee Name]],Employees[Employee Name2],0)),"No","Yes"))</f>
        <v/>
      </c>
      <c r="K429" s="17"/>
      <c r="L429" s="19"/>
      <c r="M429" s="23"/>
      <c r="N429" s="23"/>
      <c r="O429" s="15"/>
      <c r="P429" s="15"/>
      <c r="Q429" s="15"/>
      <c r="R429" s="15"/>
      <c r="S429" s="44" cm="1">
        <f t="array" ref="S4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9" s="44" cm="1">
        <f t="array" ref="T4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9" s="44">
        <f>JobBonus[[#This Row],[Variable Pay]]+JobBonus[[#This Row],[Crew Efficiency Bonus]]</f>
        <v>0</v>
      </c>
      <c r="V429" s="44" cm="1">
        <f t="array" ref="V4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9" s="44" t="b">
        <f>_xlfn.IFNA(EXACT(VLOOKUP(JobBonus[[#This Row],[Pay Type]],PayTypes[#All],4,FALSE),"Yes"),FALSE)</f>
        <v>0</v>
      </c>
      <c r="X429" s="44" cm="1">
        <f t="array" ref="X429">SUMPRODUCT((StandByRates[Position]=JobBonus[[#This Row],[Position]])*(JobBonus[[#This Row],[Area]]=StandByRates[Area])*(StandByRates[Hourly]*JobBonus[[#This Row],[Standby/ Ext 
Hrs]]))</f>
        <v>0</v>
      </c>
      <c r="Y429" s="44">
        <f>JobBonus[[#This Row],[Variable Pay]]+JobBonus[[#This Row],[Crew Efficiency Bonus]]+JobBonus[[#This Row],[OVPP]]+JobBonus[[#This Row],[StandBy/ Ext Amount]]</f>
        <v>0</v>
      </c>
      <c r="Z429" s="80"/>
      <c r="AA429" s="42"/>
      <c r="AB429" s="42"/>
      <c r="AC429"/>
      <c r="AD429"/>
      <c r="AE429"/>
      <c r="AF429"/>
    </row>
    <row r="430" spans="1:32" hidden="1" x14ac:dyDescent="0.25">
      <c r="A430" s="46"/>
      <c r="B430" s="80"/>
      <c r="C430" s="15"/>
      <c r="D430" s="15"/>
      <c r="E430" s="15"/>
      <c r="F430" s="15"/>
      <c r="G430" s="16"/>
      <c r="H430" s="16"/>
      <c r="I430" s="19" t="str">
        <f>IF(ISBLANK(JobBonus[[#This Row],[Employee Name]]),"",INDEX(Employees[Job Title],MATCH(JobBonus[[#This Row],[Employee Name]],Employees[Employee Name2],0)))</f>
        <v/>
      </c>
      <c r="J430" s="19" t="str">
        <f>IF(ISBLANK(JobBonus[[#This Row],[Job Prov]]),"",IF(JobBonus[[#This Row],[Job Prov]]=INDEX(Employees[Province],MATCH(JobBonus[[#This Row],[Employee Name]],Employees[Employee Name2],0)),"No","Yes"))</f>
        <v/>
      </c>
      <c r="K430" s="17"/>
      <c r="L430" s="19"/>
      <c r="M430" s="23"/>
      <c r="N430" s="23"/>
      <c r="O430" s="15"/>
      <c r="P430" s="15"/>
      <c r="Q430" s="15"/>
      <c r="R430" s="15"/>
      <c r="S430" s="44" cm="1">
        <f t="array" ref="S4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0" s="44" cm="1">
        <f t="array" ref="T4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0" s="44">
        <f>JobBonus[[#This Row],[Variable Pay]]+JobBonus[[#This Row],[Crew Efficiency Bonus]]</f>
        <v>0</v>
      </c>
      <c r="V430" s="44" cm="1">
        <f t="array" ref="V4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0" s="44" t="b">
        <f>_xlfn.IFNA(EXACT(VLOOKUP(JobBonus[[#This Row],[Pay Type]],PayTypes[#All],4,FALSE),"Yes"),FALSE)</f>
        <v>0</v>
      </c>
      <c r="X430" s="44" cm="1">
        <f t="array" ref="X430">SUMPRODUCT((StandByRates[Position]=JobBonus[[#This Row],[Position]])*(JobBonus[[#This Row],[Area]]=StandByRates[Area])*(StandByRates[Hourly]*JobBonus[[#This Row],[Standby/ Ext 
Hrs]]))</f>
        <v>0</v>
      </c>
      <c r="Y430" s="44">
        <f>JobBonus[[#This Row],[Variable Pay]]+JobBonus[[#This Row],[Crew Efficiency Bonus]]+JobBonus[[#This Row],[OVPP]]+JobBonus[[#This Row],[StandBy/ Ext Amount]]</f>
        <v>0</v>
      </c>
      <c r="Z430" s="80"/>
      <c r="AA430" s="42"/>
      <c r="AB430" s="42"/>
      <c r="AC430"/>
      <c r="AD430"/>
      <c r="AE430"/>
      <c r="AF430"/>
    </row>
    <row r="431" spans="1:32" hidden="1" x14ac:dyDescent="0.25">
      <c r="A431" s="46"/>
      <c r="B431" s="80"/>
      <c r="C431" s="15"/>
      <c r="D431" s="15"/>
      <c r="E431" s="15"/>
      <c r="F431" s="15"/>
      <c r="G431" s="16"/>
      <c r="H431" s="16"/>
      <c r="I431" s="19" t="str">
        <f>IF(ISBLANK(JobBonus[[#This Row],[Employee Name]]),"",INDEX(Employees[Job Title],MATCH(JobBonus[[#This Row],[Employee Name]],Employees[Employee Name2],0)))</f>
        <v/>
      </c>
      <c r="J431" s="19" t="str">
        <f>IF(ISBLANK(JobBonus[[#This Row],[Job Prov]]),"",IF(JobBonus[[#This Row],[Job Prov]]=INDEX(Employees[Province],MATCH(JobBonus[[#This Row],[Employee Name]],Employees[Employee Name2],0)),"No","Yes"))</f>
        <v/>
      </c>
      <c r="K431" s="17"/>
      <c r="L431" s="19"/>
      <c r="M431" s="23"/>
      <c r="N431" s="23"/>
      <c r="O431" s="15"/>
      <c r="P431" s="15"/>
      <c r="Q431" s="15"/>
      <c r="R431" s="15"/>
      <c r="S431" s="44" cm="1">
        <f t="array" ref="S4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1" s="44" cm="1">
        <f t="array" ref="T4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1" s="44">
        <f>JobBonus[[#This Row],[Variable Pay]]+JobBonus[[#This Row],[Crew Efficiency Bonus]]</f>
        <v>0</v>
      </c>
      <c r="V431" s="44" cm="1">
        <f t="array" ref="V4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1" s="44" t="b">
        <f>_xlfn.IFNA(EXACT(VLOOKUP(JobBonus[[#This Row],[Pay Type]],PayTypes[#All],4,FALSE),"Yes"),FALSE)</f>
        <v>0</v>
      </c>
      <c r="X431" s="44" cm="1">
        <f t="array" ref="X431">SUMPRODUCT((StandByRates[Position]=JobBonus[[#This Row],[Position]])*(JobBonus[[#This Row],[Area]]=StandByRates[Area])*(StandByRates[Hourly]*JobBonus[[#This Row],[Standby/ Ext 
Hrs]]))</f>
        <v>0</v>
      </c>
      <c r="Y431" s="44">
        <f>JobBonus[[#This Row],[Variable Pay]]+JobBonus[[#This Row],[Crew Efficiency Bonus]]+JobBonus[[#This Row],[OVPP]]+JobBonus[[#This Row],[StandBy/ Ext Amount]]</f>
        <v>0</v>
      </c>
      <c r="Z431" s="80"/>
      <c r="AA431" s="42"/>
      <c r="AB431" s="42"/>
      <c r="AC431"/>
      <c r="AD431"/>
      <c r="AE431"/>
      <c r="AF431"/>
    </row>
    <row r="432" spans="1:32" hidden="1" x14ac:dyDescent="0.25">
      <c r="A432" s="46"/>
      <c r="B432" s="80"/>
      <c r="C432" s="15"/>
      <c r="D432" s="15"/>
      <c r="E432" s="15"/>
      <c r="F432" s="15"/>
      <c r="G432" s="16"/>
      <c r="H432" s="16"/>
      <c r="I432" s="19" t="str">
        <f>IF(ISBLANK(JobBonus[[#This Row],[Employee Name]]),"",INDEX(Employees[Job Title],MATCH(JobBonus[[#This Row],[Employee Name]],Employees[Employee Name2],0)))</f>
        <v/>
      </c>
      <c r="J432" s="19" t="str">
        <f>IF(ISBLANK(JobBonus[[#This Row],[Job Prov]]),"",IF(JobBonus[[#This Row],[Job Prov]]=INDEX(Employees[Province],MATCH(JobBonus[[#This Row],[Employee Name]],Employees[Employee Name2],0)),"No","Yes"))</f>
        <v/>
      </c>
      <c r="K432" s="17"/>
      <c r="L432" s="19"/>
      <c r="M432" s="23"/>
      <c r="N432" s="23"/>
      <c r="O432" s="15"/>
      <c r="P432" s="15"/>
      <c r="Q432" s="15"/>
      <c r="R432" s="15"/>
      <c r="S432" s="44" cm="1">
        <f t="array" ref="S4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2" s="44" cm="1">
        <f t="array" ref="T4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2" s="44">
        <f>JobBonus[[#This Row],[Variable Pay]]+JobBonus[[#This Row],[Crew Efficiency Bonus]]</f>
        <v>0</v>
      </c>
      <c r="V432" s="44" cm="1">
        <f t="array" ref="V4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2" s="44" t="b">
        <f>_xlfn.IFNA(EXACT(VLOOKUP(JobBonus[[#This Row],[Pay Type]],PayTypes[#All],4,FALSE),"Yes"),FALSE)</f>
        <v>0</v>
      </c>
      <c r="X432" s="44" cm="1">
        <f t="array" ref="X432">SUMPRODUCT((StandByRates[Position]=JobBonus[[#This Row],[Position]])*(JobBonus[[#This Row],[Area]]=StandByRates[Area])*(StandByRates[Hourly]*JobBonus[[#This Row],[Standby/ Ext 
Hrs]]))</f>
        <v>0</v>
      </c>
      <c r="Y432" s="44">
        <f>JobBonus[[#This Row],[Variable Pay]]+JobBonus[[#This Row],[Crew Efficiency Bonus]]+JobBonus[[#This Row],[OVPP]]+JobBonus[[#This Row],[StandBy/ Ext Amount]]</f>
        <v>0</v>
      </c>
      <c r="Z432" s="80"/>
      <c r="AA432" s="42"/>
      <c r="AB432" s="42"/>
      <c r="AC432"/>
      <c r="AD432"/>
      <c r="AE432"/>
      <c r="AF432"/>
    </row>
    <row r="433" spans="1:32" hidden="1" x14ac:dyDescent="0.25">
      <c r="A433" s="46"/>
      <c r="B433" s="80"/>
      <c r="C433" s="15"/>
      <c r="D433" s="15"/>
      <c r="E433" s="15"/>
      <c r="F433" s="15"/>
      <c r="G433" s="16"/>
      <c r="H433" s="16"/>
      <c r="I433" s="19" t="str">
        <f>IF(ISBLANK(JobBonus[[#This Row],[Employee Name]]),"",INDEX(Employees[Job Title],MATCH(JobBonus[[#This Row],[Employee Name]],Employees[Employee Name2],0)))</f>
        <v/>
      </c>
      <c r="J433" s="19" t="str">
        <f>IF(ISBLANK(JobBonus[[#This Row],[Job Prov]]),"",IF(JobBonus[[#This Row],[Job Prov]]=INDEX(Employees[Province],MATCH(JobBonus[[#This Row],[Employee Name]],Employees[Employee Name2],0)),"No","Yes"))</f>
        <v/>
      </c>
      <c r="K433" s="17"/>
      <c r="L433" s="19"/>
      <c r="M433" s="23"/>
      <c r="N433" s="23"/>
      <c r="O433" s="15"/>
      <c r="P433" s="15"/>
      <c r="Q433" s="15"/>
      <c r="R433" s="15"/>
      <c r="S433" s="44" cm="1">
        <f t="array" ref="S4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3" s="44" cm="1">
        <f t="array" ref="T4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3" s="44">
        <f>JobBonus[[#This Row],[Variable Pay]]+JobBonus[[#This Row],[Crew Efficiency Bonus]]</f>
        <v>0</v>
      </c>
      <c r="V433" s="44" cm="1">
        <f t="array" ref="V4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3" s="44" t="b">
        <f>_xlfn.IFNA(EXACT(VLOOKUP(JobBonus[[#This Row],[Pay Type]],PayTypes[#All],4,FALSE),"Yes"),FALSE)</f>
        <v>0</v>
      </c>
      <c r="X433" s="44" cm="1">
        <f t="array" ref="X433">SUMPRODUCT((StandByRates[Position]=JobBonus[[#This Row],[Position]])*(JobBonus[[#This Row],[Area]]=StandByRates[Area])*(StandByRates[Hourly]*JobBonus[[#This Row],[Standby/ Ext 
Hrs]]))</f>
        <v>0</v>
      </c>
      <c r="Y433" s="44">
        <f>JobBonus[[#This Row],[Variable Pay]]+JobBonus[[#This Row],[Crew Efficiency Bonus]]+JobBonus[[#This Row],[OVPP]]+JobBonus[[#This Row],[StandBy/ Ext Amount]]</f>
        <v>0</v>
      </c>
      <c r="Z433" s="80"/>
      <c r="AA433" s="42"/>
      <c r="AB433" s="42"/>
      <c r="AC433"/>
      <c r="AD433"/>
      <c r="AE433"/>
      <c r="AF433"/>
    </row>
    <row r="434" spans="1:32" hidden="1" x14ac:dyDescent="0.25">
      <c r="A434" s="46"/>
      <c r="B434" s="80"/>
      <c r="C434" s="15"/>
      <c r="D434" s="15"/>
      <c r="E434" s="15"/>
      <c r="F434" s="15"/>
      <c r="G434" s="16"/>
      <c r="H434" s="16"/>
      <c r="I434" s="19" t="str">
        <f>IF(ISBLANK(JobBonus[[#This Row],[Employee Name]]),"",INDEX(Employees[Job Title],MATCH(JobBonus[[#This Row],[Employee Name]],Employees[Employee Name2],0)))</f>
        <v/>
      </c>
      <c r="J434" s="19" t="str">
        <f>IF(ISBLANK(JobBonus[[#This Row],[Job Prov]]),"",IF(JobBonus[[#This Row],[Job Prov]]=INDEX(Employees[Province],MATCH(JobBonus[[#This Row],[Employee Name]],Employees[Employee Name2],0)),"No","Yes"))</f>
        <v/>
      </c>
      <c r="K434" s="17"/>
      <c r="L434" s="19"/>
      <c r="M434" s="23"/>
      <c r="N434" s="23"/>
      <c r="O434" s="15"/>
      <c r="P434" s="15"/>
      <c r="Q434" s="15"/>
      <c r="R434" s="15"/>
      <c r="S434" s="44" cm="1">
        <f t="array" ref="S4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4" s="44" cm="1">
        <f t="array" ref="T4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4" s="44">
        <f>JobBonus[[#This Row],[Variable Pay]]+JobBonus[[#This Row],[Crew Efficiency Bonus]]</f>
        <v>0</v>
      </c>
      <c r="V434" s="44" cm="1">
        <f t="array" ref="V4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4" s="44" t="b">
        <f>_xlfn.IFNA(EXACT(VLOOKUP(JobBonus[[#This Row],[Pay Type]],PayTypes[#All],4,FALSE),"Yes"),FALSE)</f>
        <v>0</v>
      </c>
      <c r="X434" s="44" cm="1">
        <f t="array" ref="X434">SUMPRODUCT((StandByRates[Position]=JobBonus[[#This Row],[Position]])*(JobBonus[[#This Row],[Area]]=StandByRates[Area])*(StandByRates[Hourly]*JobBonus[[#This Row],[Standby/ Ext 
Hrs]]))</f>
        <v>0</v>
      </c>
      <c r="Y434" s="44">
        <f>JobBonus[[#This Row],[Variable Pay]]+JobBonus[[#This Row],[Crew Efficiency Bonus]]+JobBonus[[#This Row],[OVPP]]+JobBonus[[#This Row],[StandBy/ Ext Amount]]</f>
        <v>0</v>
      </c>
      <c r="Z434" s="80"/>
      <c r="AA434" s="42"/>
      <c r="AB434" s="42"/>
      <c r="AC434"/>
      <c r="AD434"/>
      <c r="AE434"/>
      <c r="AF434"/>
    </row>
    <row r="435" spans="1:32" hidden="1" x14ac:dyDescent="0.25">
      <c r="A435" s="46"/>
      <c r="B435" s="80"/>
      <c r="C435" s="15"/>
      <c r="D435" s="15"/>
      <c r="E435" s="15"/>
      <c r="F435" s="15"/>
      <c r="G435" s="16"/>
      <c r="H435" s="16"/>
      <c r="I435" s="19" t="str">
        <f>IF(ISBLANK(JobBonus[[#This Row],[Employee Name]]),"",INDEX(Employees[Job Title],MATCH(JobBonus[[#This Row],[Employee Name]],Employees[Employee Name2],0)))</f>
        <v/>
      </c>
      <c r="J435" s="19" t="str">
        <f>IF(ISBLANK(JobBonus[[#This Row],[Job Prov]]),"",IF(JobBonus[[#This Row],[Job Prov]]=INDEX(Employees[Province],MATCH(JobBonus[[#This Row],[Employee Name]],Employees[Employee Name2],0)),"No","Yes"))</f>
        <v/>
      </c>
      <c r="K435" s="17"/>
      <c r="L435" s="19"/>
      <c r="M435" s="23"/>
      <c r="N435" s="23"/>
      <c r="O435" s="15"/>
      <c r="P435" s="15"/>
      <c r="Q435" s="15"/>
      <c r="R435" s="15"/>
      <c r="S435" s="44" cm="1">
        <f t="array" ref="S4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5" s="44" cm="1">
        <f t="array" ref="T4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5" s="44">
        <f>JobBonus[[#This Row],[Variable Pay]]+JobBonus[[#This Row],[Crew Efficiency Bonus]]</f>
        <v>0</v>
      </c>
      <c r="V435" s="44" cm="1">
        <f t="array" ref="V4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5" s="44" t="b">
        <f>_xlfn.IFNA(EXACT(VLOOKUP(JobBonus[[#This Row],[Pay Type]],PayTypes[#All],4,FALSE),"Yes"),FALSE)</f>
        <v>0</v>
      </c>
      <c r="X435" s="44" cm="1">
        <f t="array" ref="X435">SUMPRODUCT((StandByRates[Position]=JobBonus[[#This Row],[Position]])*(JobBonus[[#This Row],[Area]]=StandByRates[Area])*(StandByRates[Hourly]*JobBonus[[#This Row],[Standby/ Ext 
Hrs]]))</f>
        <v>0</v>
      </c>
      <c r="Y435" s="44">
        <f>JobBonus[[#This Row],[Variable Pay]]+JobBonus[[#This Row],[Crew Efficiency Bonus]]+JobBonus[[#This Row],[OVPP]]+JobBonus[[#This Row],[StandBy/ Ext Amount]]</f>
        <v>0</v>
      </c>
      <c r="Z435" s="80"/>
      <c r="AA435" s="42"/>
      <c r="AB435" s="42"/>
      <c r="AC435"/>
      <c r="AD435"/>
      <c r="AE435"/>
      <c r="AF435"/>
    </row>
    <row r="436" spans="1:32" hidden="1" x14ac:dyDescent="0.25">
      <c r="A436" s="46"/>
      <c r="B436" s="80"/>
      <c r="C436" s="15"/>
      <c r="D436" s="15"/>
      <c r="E436" s="15"/>
      <c r="F436" s="15"/>
      <c r="G436" s="16"/>
      <c r="H436" s="16"/>
      <c r="I436" s="19" t="str">
        <f>IF(ISBLANK(JobBonus[[#This Row],[Employee Name]]),"",INDEX(Employees[Job Title],MATCH(JobBonus[[#This Row],[Employee Name]],Employees[Employee Name2],0)))</f>
        <v/>
      </c>
      <c r="J436" s="19" t="str">
        <f>IF(ISBLANK(JobBonus[[#This Row],[Job Prov]]),"",IF(JobBonus[[#This Row],[Job Prov]]=INDEX(Employees[Province],MATCH(JobBonus[[#This Row],[Employee Name]],Employees[Employee Name2],0)),"No","Yes"))</f>
        <v/>
      </c>
      <c r="K436" s="17"/>
      <c r="L436" s="19"/>
      <c r="M436" s="23"/>
      <c r="N436" s="23"/>
      <c r="O436" s="15"/>
      <c r="P436" s="15"/>
      <c r="Q436" s="15"/>
      <c r="R436" s="15"/>
      <c r="S436" s="44" cm="1">
        <f t="array" ref="S4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6" s="44" cm="1">
        <f t="array" ref="T4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6" s="44">
        <f>JobBonus[[#This Row],[Variable Pay]]+JobBonus[[#This Row],[Crew Efficiency Bonus]]</f>
        <v>0</v>
      </c>
      <c r="V436" s="44" cm="1">
        <f t="array" ref="V4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6" s="44" t="b">
        <f>_xlfn.IFNA(EXACT(VLOOKUP(JobBonus[[#This Row],[Pay Type]],PayTypes[#All],4,FALSE),"Yes"),FALSE)</f>
        <v>0</v>
      </c>
      <c r="X436" s="44" cm="1">
        <f t="array" ref="X436">SUMPRODUCT((StandByRates[Position]=JobBonus[[#This Row],[Position]])*(JobBonus[[#This Row],[Area]]=StandByRates[Area])*(StandByRates[Hourly]*JobBonus[[#This Row],[Standby/ Ext 
Hrs]]))</f>
        <v>0</v>
      </c>
      <c r="Y436" s="44">
        <f>JobBonus[[#This Row],[Variable Pay]]+JobBonus[[#This Row],[Crew Efficiency Bonus]]+JobBonus[[#This Row],[OVPP]]+JobBonus[[#This Row],[StandBy/ Ext Amount]]</f>
        <v>0</v>
      </c>
      <c r="Z436" s="80"/>
      <c r="AA436" s="42"/>
      <c r="AB436" s="42"/>
      <c r="AC436"/>
      <c r="AD436"/>
      <c r="AE436"/>
      <c r="AF436"/>
    </row>
    <row r="437" spans="1:32" hidden="1" x14ac:dyDescent="0.25">
      <c r="A437" s="46"/>
      <c r="B437" s="80"/>
      <c r="C437" s="15"/>
      <c r="D437" s="15"/>
      <c r="E437" s="15"/>
      <c r="F437" s="15"/>
      <c r="G437" s="16"/>
      <c r="H437" s="16"/>
      <c r="I437" s="19" t="str">
        <f>IF(ISBLANK(JobBonus[[#This Row],[Employee Name]]),"",INDEX(Employees[Job Title],MATCH(JobBonus[[#This Row],[Employee Name]],Employees[Employee Name2],0)))</f>
        <v/>
      </c>
      <c r="J437" s="19" t="str">
        <f>IF(ISBLANK(JobBonus[[#This Row],[Job Prov]]),"",IF(JobBonus[[#This Row],[Job Prov]]=INDEX(Employees[Province],MATCH(JobBonus[[#This Row],[Employee Name]],Employees[Employee Name2],0)),"No","Yes"))</f>
        <v/>
      </c>
      <c r="K437" s="17"/>
      <c r="L437" s="19"/>
      <c r="M437" s="23"/>
      <c r="N437" s="23"/>
      <c r="O437" s="15"/>
      <c r="P437" s="15"/>
      <c r="Q437" s="15"/>
      <c r="R437" s="15"/>
      <c r="S437" s="44" cm="1">
        <f t="array" ref="S4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7" s="44" cm="1">
        <f t="array" ref="T4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7" s="44">
        <f>JobBonus[[#This Row],[Variable Pay]]+JobBonus[[#This Row],[Crew Efficiency Bonus]]</f>
        <v>0</v>
      </c>
      <c r="V437" s="44" cm="1">
        <f t="array" ref="V4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7" s="44" t="b">
        <f>_xlfn.IFNA(EXACT(VLOOKUP(JobBonus[[#This Row],[Pay Type]],PayTypes[#All],4,FALSE),"Yes"),FALSE)</f>
        <v>0</v>
      </c>
      <c r="X437" s="44" cm="1">
        <f t="array" ref="X437">SUMPRODUCT((StandByRates[Position]=JobBonus[[#This Row],[Position]])*(JobBonus[[#This Row],[Area]]=StandByRates[Area])*(StandByRates[Hourly]*JobBonus[[#This Row],[Standby/ Ext 
Hrs]]))</f>
        <v>0</v>
      </c>
      <c r="Y437" s="44">
        <f>JobBonus[[#This Row],[Variable Pay]]+JobBonus[[#This Row],[Crew Efficiency Bonus]]+JobBonus[[#This Row],[OVPP]]+JobBonus[[#This Row],[StandBy/ Ext Amount]]</f>
        <v>0</v>
      </c>
      <c r="Z437" s="80"/>
      <c r="AA437" s="42"/>
      <c r="AB437" s="42"/>
      <c r="AC437"/>
      <c r="AD437"/>
      <c r="AE437"/>
      <c r="AF437"/>
    </row>
    <row r="438" spans="1:32" hidden="1" x14ac:dyDescent="0.25">
      <c r="A438" s="46"/>
      <c r="B438" s="80"/>
      <c r="C438" s="15"/>
      <c r="D438" s="15"/>
      <c r="E438" s="15"/>
      <c r="F438" s="15"/>
      <c r="G438" s="16"/>
      <c r="H438" s="16"/>
      <c r="I438" s="19" t="str">
        <f>IF(ISBLANK(JobBonus[[#This Row],[Employee Name]]),"",INDEX(Employees[Job Title],MATCH(JobBonus[[#This Row],[Employee Name]],Employees[Employee Name2],0)))</f>
        <v/>
      </c>
      <c r="J438" s="19" t="str">
        <f>IF(ISBLANK(JobBonus[[#This Row],[Job Prov]]),"",IF(JobBonus[[#This Row],[Job Prov]]=INDEX(Employees[Province],MATCH(JobBonus[[#This Row],[Employee Name]],Employees[Employee Name2],0)),"No","Yes"))</f>
        <v/>
      </c>
      <c r="K438" s="17"/>
      <c r="L438" s="19"/>
      <c r="M438" s="23"/>
      <c r="N438" s="23"/>
      <c r="O438" s="15"/>
      <c r="P438" s="15"/>
      <c r="Q438" s="15"/>
      <c r="R438" s="15"/>
      <c r="S438" s="44" cm="1">
        <f t="array" ref="S4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8" s="44" cm="1">
        <f t="array" ref="T4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8" s="44">
        <f>JobBonus[[#This Row],[Variable Pay]]+JobBonus[[#This Row],[Crew Efficiency Bonus]]</f>
        <v>0</v>
      </c>
      <c r="V438" s="44" cm="1">
        <f t="array" ref="V4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8" s="44" t="b">
        <f>_xlfn.IFNA(EXACT(VLOOKUP(JobBonus[[#This Row],[Pay Type]],PayTypes[#All],4,FALSE),"Yes"),FALSE)</f>
        <v>0</v>
      </c>
      <c r="X438" s="44" cm="1">
        <f t="array" ref="X438">SUMPRODUCT((StandByRates[Position]=JobBonus[[#This Row],[Position]])*(JobBonus[[#This Row],[Area]]=StandByRates[Area])*(StandByRates[Hourly]*JobBonus[[#This Row],[Standby/ Ext 
Hrs]]))</f>
        <v>0</v>
      </c>
      <c r="Y438" s="44">
        <f>JobBonus[[#This Row],[Variable Pay]]+JobBonus[[#This Row],[Crew Efficiency Bonus]]+JobBonus[[#This Row],[OVPP]]+JobBonus[[#This Row],[StandBy/ Ext Amount]]</f>
        <v>0</v>
      </c>
      <c r="Z438" s="80"/>
      <c r="AA438" s="42"/>
      <c r="AB438" s="42"/>
      <c r="AC438"/>
      <c r="AD438"/>
      <c r="AE438"/>
      <c r="AF438"/>
    </row>
    <row r="439" spans="1:32" hidden="1" x14ac:dyDescent="0.25">
      <c r="A439" s="46"/>
      <c r="B439" s="80"/>
      <c r="C439" s="15"/>
      <c r="D439" s="15"/>
      <c r="E439" s="15"/>
      <c r="F439" s="15"/>
      <c r="G439" s="16"/>
      <c r="H439" s="16"/>
      <c r="I439" s="19" t="str">
        <f>IF(ISBLANK(JobBonus[[#This Row],[Employee Name]]),"",INDEX(Employees[Job Title],MATCH(JobBonus[[#This Row],[Employee Name]],Employees[Employee Name2],0)))</f>
        <v/>
      </c>
      <c r="J439" s="19" t="str">
        <f>IF(ISBLANK(JobBonus[[#This Row],[Job Prov]]),"",IF(JobBonus[[#This Row],[Job Prov]]=INDEX(Employees[Province],MATCH(JobBonus[[#This Row],[Employee Name]],Employees[Employee Name2],0)),"No","Yes"))</f>
        <v/>
      </c>
      <c r="K439" s="17"/>
      <c r="L439" s="19"/>
      <c r="M439" s="23"/>
      <c r="N439" s="23"/>
      <c r="O439" s="15"/>
      <c r="P439" s="15"/>
      <c r="Q439" s="15"/>
      <c r="R439" s="15"/>
      <c r="S439" s="44" cm="1">
        <f t="array" ref="S4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9" s="44" cm="1">
        <f t="array" ref="T4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9" s="44">
        <f>JobBonus[[#This Row],[Variable Pay]]+JobBonus[[#This Row],[Crew Efficiency Bonus]]</f>
        <v>0</v>
      </c>
      <c r="V439" s="44" cm="1">
        <f t="array" ref="V4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9" s="44" t="b">
        <f>_xlfn.IFNA(EXACT(VLOOKUP(JobBonus[[#This Row],[Pay Type]],PayTypes[#All],4,FALSE),"Yes"),FALSE)</f>
        <v>0</v>
      </c>
      <c r="X439" s="44" cm="1">
        <f t="array" ref="X439">SUMPRODUCT((StandByRates[Position]=JobBonus[[#This Row],[Position]])*(JobBonus[[#This Row],[Area]]=StandByRates[Area])*(StandByRates[Hourly]*JobBonus[[#This Row],[Standby/ Ext 
Hrs]]))</f>
        <v>0</v>
      </c>
      <c r="Y439" s="44">
        <f>JobBonus[[#This Row],[Variable Pay]]+JobBonus[[#This Row],[Crew Efficiency Bonus]]+JobBonus[[#This Row],[OVPP]]+JobBonus[[#This Row],[StandBy/ Ext Amount]]</f>
        <v>0</v>
      </c>
      <c r="Z439" s="80"/>
      <c r="AA439" s="42"/>
      <c r="AB439" s="42"/>
      <c r="AC439"/>
      <c r="AD439"/>
      <c r="AE439"/>
      <c r="AF439"/>
    </row>
    <row r="440" spans="1:32" hidden="1" x14ac:dyDescent="0.25">
      <c r="A440" s="46"/>
      <c r="B440" s="80"/>
      <c r="C440" s="15"/>
      <c r="D440" s="15"/>
      <c r="E440" s="15"/>
      <c r="F440" s="15"/>
      <c r="G440" s="16"/>
      <c r="H440" s="16"/>
      <c r="I440" s="19" t="str">
        <f>IF(ISBLANK(JobBonus[[#This Row],[Employee Name]]),"",INDEX(Employees[Job Title],MATCH(JobBonus[[#This Row],[Employee Name]],Employees[Employee Name2],0)))</f>
        <v/>
      </c>
      <c r="J440" s="19" t="str">
        <f>IF(ISBLANK(JobBonus[[#This Row],[Job Prov]]),"",IF(JobBonus[[#This Row],[Job Prov]]=INDEX(Employees[Province],MATCH(JobBonus[[#This Row],[Employee Name]],Employees[Employee Name2],0)),"No","Yes"))</f>
        <v/>
      </c>
      <c r="K440" s="17"/>
      <c r="L440" s="19"/>
      <c r="M440" s="23"/>
      <c r="N440" s="23"/>
      <c r="O440" s="15"/>
      <c r="P440" s="15"/>
      <c r="Q440" s="15"/>
      <c r="R440" s="15"/>
      <c r="S440" s="44" cm="1">
        <f t="array" ref="S4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0" s="44" cm="1">
        <f t="array" ref="T4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0" s="44">
        <f>JobBonus[[#This Row],[Variable Pay]]+JobBonus[[#This Row],[Crew Efficiency Bonus]]</f>
        <v>0</v>
      </c>
      <c r="V440" s="44" cm="1">
        <f t="array" ref="V4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0" s="44" t="b">
        <f>_xlfn.IFNA(EXACT(VLOOKUP(JobBonus[[#This Row],[Pay Type]],PayTypes[#All],4,FALSE),"Yes"),FALSE)</f>
        <v>0</v>
      </c>
      <c r="X440" s="44" cm="1">
        <f t="array" ref="X440">SUMPRODUCT((StandByRates[Position]=JobBonus[[#This Row],[Position]])*(JobBonus[[#This Row],[Area]]=StandByRates[Area])*(StandByRates[Hourly]*JobBonus[[#This Row],[Standby/ Ext 
Hrs]]))</f>
        <v>0</v>
      </c>
      <c r="Y440" s="44">
        <f>JobBonus[[#This Row],[Variable Pay]]+JobBonus[[#This Row],[Crew Efficiency Bonus]]+JobBonus[[#This Row],[OVPP]]+JobBonus[[#This Row],[StandBy/ Ext Amount]]</f>
        <v>0</v>
      </c>
      <c r="Z440" s="80"/>
      <c r="AA440" s="42"/>
      <c r="AB440" s="42"/>
      <c r="AC440"/>
      <c r="AD440"/>
      <c r="AE440"/>
      <c r="AF440"/>
    </row>
    <row r="441" spans="1:32" hidden="1" x14ac:dyDescent="0.25">
      <c r="A441" s="46"/>
      <c r="B441" s="80"/>
      <c r="C441" s="15"/>
      <c r="D441" s="15"/>
      <c r="E441" s="15"/>
      <c r="F441" s="15"/>
      <c r="G441" s="16"/>
      <c r="H441" s="16"/>
      <c r="I441" s="19" t="str">
        <f>IF(ISBLANK(JobBonus[[#This Row],[Employee Name]]),"",INDEX(Employees[Job Title],MATCH(JobBonus[[#This Row],[Employee Name]],Employees[Employee Name2],0)))</f>
        <v/>
      </c>
      <c r="J441" s="19" t="str">
        <f>IF(ISBLANK(JobBonus[[#This Row],[Job Prov]]),"",IF(JobBonus[[#This Row],[Job Prov]]=INDEX(Employees[Province],MATCH(JobBonus[[#This Row],[Employee Name]],Employees[Employee Name2],0)),"No","Yes"))</f>
        <v/>
      </c>
      <c r="K441" s="17"/>
      <c r="L441" s="19"/>
      <c r="M441" s="23"/>
      <c r="N441" s="23"/>
      <c r="O441" s="15"/>
      <c r="P441" s="15"/>
      <c r="Q441" s="15"/>
      <c r="R441" s="15"/>
      <c r="S441" s="44" cm="1">
        <f t="array" ref="S4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1" s="44" cm="1">
        <f t="array" ref="T4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1" s="44">
        <f>JobBonus[[#This Row],[Variable Pay]]+JobBonus[[#This Row],[Crew Efficiency Bonus]]</f>
        <v>0</v>
      </c>
      <c r="V441" s="44" cm="1">
        <f t="array" ref="V4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1" s="44" t="b">
        <f>_xlfn.IFNA(EXACT(VLOOKUP(JobBonus[[#This Row],[Pay Type]],PayTypes[#All],4,FALSE),"Yes"),FALSE)</f>
        <v>0</v>
      </c>
      <c r="X441" s="44" cm="1">
        <f t="array" ref="X441">SUMPRODUCT((StandByRates[Position]=JobBonus[[#This Row],[Position]])*(JobBonus[[#This Row],[Area]]=StandByRates[Area])*(StandByRates[Hourly]*JobBonus[[#This Row],[Standby/ Ext 
Hrs]]))</f>
        <v>0</v>
      </c>
      <c r="Y441" s="44">
        <f>JobBonus[[#This Row],[Variable Pay]]+JobBonus[[#This Row],[Crew Efficiency Bonus]]+JobBonus[[#This Row],[OVPP]]+JobBonus[[#This Row],[StandBy/ Ext Amount]]</f>
        <v>0</v>
      </c>
      <c r="Z441" s="80"/>
      <c r="AA441" s="42"/>
      <c r="AB441" s="42"/>
      <c r="AC441"/>
      <c r="AD441"/>
      <c r="AE441"/>
      <c r="AF441"/>
    </row>
    <row r="442" spans="1:32" hidden="1" x14ac:dyDescent="0.25">
      <c r="A442" s="46"/>
      <c r="B442" s="80"/>
      <c r="C442" s="15"/>
      <c r="D442" s="15"/>
      <c r="E442" s="15"/>
      <c r="F442" s="15"/>
      <c r="G442" s="16"/>
      <c r="H442" s="16"/>
      <c r="I442" s="19" t="str">
        <f>IF(ISBLANK(JobBonus[[#This Row],[Employee Name]]),"",INDEX(Employees[Job Title],MATCH(JobBonus[[#This Row],[Employee Name]],Employees[Employee Name2],0)))</f>
        <v/>
      </c>
      <c r="J442" s="19" t="str">
        <f>IF(ISBLANK(JobBonus[[#This Row],[Job Prov]]),"",IF(JobBonus[[#This Row],[Job Prov]]=INDEX(Employees[Province],MATCH(JobBonus[[#This Row],[Employee Name]],Employees[Employee Name2],0)),"No","Yes"))</f>
        <v/>
      </c>
      <c r="K442" s="17"/>
      <c r="L442" s="19"/>
      <c r="M442" s="23"/>
      <c r="N442" s="23"/>
      <c r="O442" s="15"/>
      <c r="P442" s="15"/>
      <c r="Q442" s="15"/>
      <c r="R442" s="15"/>
      <c r="S442" s="44" cm="1">
        <f t="array" ref="S4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2" s="44" cm="1">
        <f t="array" ref="T4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2" s="44">
        <f>JobBonus[[#This Row],[Variable Pay]]+JobBonus[[#This Row],[Crew Efficiency Bonus]]</f>
        <v>0</v>
      </c>
      <c r="V442" s="44" cm="1">
        <f t="array" ref="V4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2" s="44" t="b">
        <f>_xlfn.IFNA(EXACT(VLOOKUP(JobBonus[[#This Row],[Pay Type]],PayTypes[#All],4,FALSE),"Yes"),FALSE)</f>
        <v>0</v>
      </c>
      <c r="X442" s="44" cm="1">
        <f t="array" ref="X442">SUMPRODUCT((StandByRates[Position]=JobBonus[[#This Row],[Position]])*(JobBonus[[#This Row],[Area]]=StandByRates[Area])*(StandByRates[Hourly]*JobBonus[[#This Row],[Standby/ Ext 
Hrs]]))</f>
        <v>0</v>
      </c>
      <c r="Y442" s="44">
        <f>JobBonus[[#This Row],[Variable Pay]]+JobBonus[[#This Row],[Crew Efficiency Bonus]]+JobBonus[[#This Row],[OVPP]]+JobBonus[[#This Row],[StandBy/ Ext Amount]]</f>
        <v>0</v>
      </c>
      <c r="Z442" s="80"/>
      <c r="AA442" s="42"/>
      <c r="AB442" s="42"/>
      <c r="AC442"/>
      <c r="AD442"/>
      <c r="AE442"/>
      <c r="AF442"/>
    </row>
    <row r="443" spans="1:32" hidden="1" x14ac:dyDescent="0.25">
      <c r="A443" s="46"/>
      <c r="B443" s="80"/>
      <c r="C443" s="15"/>
      <c r="D443" s="15"/>
      <c r="E443" s="15"/>
      <c r="F443" s="15"/>
      <c r="G443" s="16"/>
      <c r="H443" s="16"/>
      <c r="I443" s="19" t="str">
        <f>IF(ISBLANK(JobBonus[[#This Row],[Employee Name]]),"",INDEX(Employees[Job Title],MATCH(JobBonus[[#This Row],[Employee Name]],Employees[Employee Name2],0)))</f>
        <v/>
      </c>
      <c r="J443" s="19" t="str">
        <f>IF(ISBLANK(JobBonus[[#This Row],[Job Prov]]),"",IF(JobBonus[[#This Row],[Job Prov]]=INDEX(Employees[Province],MATCH(JobBonus[[#This Row],[Employee Name]],Employees[Employee Name2],0)),"No","Yes"))</f>
        <v/>
      </c>
      <c r="K443" s="17"/>
      <c r="L443" s="19"/>
      <c r="M443" s="23"/>
      <c r="N443" s="23"/>
      <c r="O443" s="15"/>
      <c r="P443" s="15"/>
      <c r="Q443" s="15"/>
      <c r="R443" s="15"/>
      <c r="S443" s="44" cm="1">
        <f t="array" ref="S4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3" s="44" cm="1">
        <f t="array" ref="T4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3" s="44">
        <f>JobBonus[[#This Row],[Variable Pay]]+JobBonus[[#This Row],[Crew Efficiency Bonus]]</f>
        <v>0</v>
      </c>
      <c r="V443" s="44" cm="1">
        <f t="array" ref="V4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3" s="44" t="b">
        <f>_xlfn.IFNA(EXACT(VLOOKUP(JobBonus[[#This Row],[Pay Type]],PayTypes[#All],4,FALSE),"Yes"),FALSE)</f>
        <v>0</v>
      </c>
      <c r="X443" s="44" cm="1">
        <f t="array" ref="X443">SUMPRODUCT((StandByRates[Position]=JobBonus[[#This Row],[Position]])*(JobBonus[[#This Row],[Area]]=StandByRates[Area])*(StandByRates[Hourly]*JobBonus[[#This Row],[Standby/ Ext 
Hrs]]))</f>
        <v>0</v>
      </c>
      <c r="Y443" s="44">
        <f>JobBonus[[#This Row],[Variable Pay]]+JobBonus[[#This Row],[Crew Efficiency Bonus]]+JobBonus[[#This Row],[OVPP]]+JobBonus[[#This Row],[StandBy/ Ext Amount]]</f>
        <v>0</v>
      </c>
      <c r="Z443" s="80"/>
      <c r="AA443" s="42"/>
      <c r="AB443" s="42"/>
      <c r="AC443"/>
      <c r="AD443"/>
      <c r="AE443"/>
      <c r="AF443"/>
    </row>
    <row r="444" spans="1:32" hidden="1" x14ac:dyDescent="0.25">
      <c r="A444" s="46"/>
      <c r="B444" s="80"/>
      <c r="C444" s="15"/>
      <c r="D444" s="15"/>
      <c r="E444" s="15"/>
      <c r="F444" s="15"/>
      <c r="G444" s="16"/>
      <c r="H444" s="16"/>
      <c r="I444" s="19" t="str">
        <f>IF(ISBLANK(JobBonus[[#This Row],[Employee Name]]),"",INDEX(Employees[Job Title],MATCH(JobBonus[[#This Row],[Employee Name]],Employees[Employee Name2],0)))</f>
        <v/>
      </c>
      <c r="J444" s="19" t="str">
        <f>IF(ISBLANK(JobBonus[[#This Row],[Job Prov]]),"",IF(JobBonus[[#This Row],[Job Prov]]=INDEX(Employees[Province],MATCH(JobBonus[[#This Row],[Employee Name]],Employees[Employee Name2],0)),"No","Yes"))</f>
        <v/>
      </c>
      <c r="K444" s="17"/>
      <c r="L444" s="19"/>
      <c r="M444" s="23"/>
      <c r="N444" s="23"/>
      <c r="O444" s="15"/>
      <c r="P444" s="15"/>
      <c r="Q444" s="15"/>
      <c r="R444" s="15"/>
      <c r="S444" s="44" cm="1">
        <f t="array" ref="S4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4" s="44" cm="1">
        <f t="array" ref="T4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4" s="44">
        <f>JobBonus[[#This Row],[Variable Pay]]+JobBonus[[#This Row],[Crew Efficiency Bonus]]</f>
        <v>0</v>
      </c>
      <c r="V444" s="44" cm="1">
        <f t="array" ref="V4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4" s="44" t="b">
        <f>_xlfn.IFNA(EXACT(VLOOKUP(JobBonus[[#This Row],[Pay Type]],PayTypes[#All],4,FALSE),"Yes"),FALSE)</f>
        <v>0</v>
      </c>
      <c r="X444" s="44" cm="1">
        <f t="array" ref="X444">SUMPRODUCT((StandByRates[Position]=JobBonus[[#This Row],[Position]])*(JobBonus[[#This Row],[Area]]=StandByRates[Area])*(StandByRates[Hourly]*JobBonus[[#This Row],[Standby/ Ext 
Hrs]]))</f>
        <v>0</v>
      </c>
      <c r="Y444" s="44">
        <f>JobBonus[[#This Row],[Variable Pay]]+JobBonus[[#This Row],[Crew Efficiency Bonus]]+JobBonus[[#This Row],[OVPP]]+JobBonus[[#This Row],[StandBy/ Ext Amount]]</f>
        <v>0</v>
      </c>
      <c r="Z444" s="80"/>
      <c r="AA444" s="42"/>
      <c r="AB444" s="42"/>
      <c r="AC444"/>
      <c r="AD444"/>
      <c r="AE444"/>
      <c r="AF444"/>
    </row>
    <row r="445" spans="1:32" hidden="1" x14ac:dyDescent="0.25">
      <c r="A445" s="46"/>
      <c r="B445" s="80"/>
      <c r="C445" s="15"/>
      <c r="D445" s="15"/>
      <c r="E445" s="15"/>
      <c r="F445" s="15"/>
      <c r="G445" s="16"/>
      <c r="H445" s="16"/>
      <c r="I445" s="19" t="str">
        <f>IF(ISBLANK(JobBonus[[#This Row],[Employee Name]]),"",INDEX(Employees[Job Title],MATCH(JobBonus[[#This Row],[Employee Name]],Employees[Employee Name2],0)))</f>
        <v/>
      </c>
      <c r="J445" s="19" t="str">
        <f>IF(ISBLANK(JobBonus[[#This Row],[Job Prov]]),"",IF(JobBonus[[#This Row],[Job Prov]]=INDEX(Employees[Province],MATCH(JobBonus[[#This Row],[Employee Name]],Employees[Employee Name2],0)),"No","Yes"))</f>
        <v/>
      </c>
      <c r="K445" s="17"/>
      <c r="L445" s="19"/>
      <c r="M445" s="23"/>
      <c r="N445" s="23"/>
      <c r="O445" s="15"/>
      <c r="P445" s="15"/>
      <c r="Q445" s="15"/>
      <c r="R445" s="15"/>
      <c r="S445" s="44" cm="1">
        <f t="array" ref="S4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5" s="44" cm="1">
        <f t="array" ref="T4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5" s="44">
        <f>JobBonus[[#This Row],[Variable Pay]]+JobBonus[[#This Row],[Crew Efficiency Bonus]]</f>
        <v>0</v>
      </c>
      <c r="V445" s="44" cm="1">
        <f t="array" ref="V4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5" s="44" t="b">
        <f>_xlfn.IFNA(EXACT(VLOOKUP(JobBonus[[#This Row],[Pay Type]],PayTypes[#All],4,FALSE),"Yes"),FALSE)</f>
        <v>0</v>
      </c>
      <c r="X445" s="44" cm="1">
        <f t="array" ref="X445">SUMPRODUCT((StandByRates[Position]=JobBonus[[#This Row],[Position]])*(JobBonus[[#This Row],[Area]]=StandByRates[Area])*(StandByRates[Hourly]*JobBonus[[#This Row],[Standby/ Ext 
Hrs]]))</f>
        <v>0</v>
      </c>
      <c r="Y445" s="44">
        <f>JobBonus[[#This Row],[Variable Pay]]+JobBonus[[#This Row],[Crew Efficiency Bonus]]+JobBonus[[#This Row],[OVPP]]+JobBonus[[#This Row],[StandBy/ Ext Amount]]</f>
        <v>0</v>
      </c>
      <c r="Z445" s="80"/>
      <c r="AA445" s="42"/>
      <c r="AB445" s="42"/>
      <c r="AC445"/>
      <c r="AD445"/>
      <c r="AE445"/>
      <c r="AF445"/>
    </row>
    <row r="446" spans="1:32" hidden="1" x14ac:dyDescent="0.25">
      <c r="A446" s="46"/>
      <c r="B446" s="80"/>
      <c r="C446" s="15"/>
      <c r="D446" s="15"/>
      <c r="E446" s="15"/>
      <c r="F446" s="15"/>
      <c r="G446" s="16"/>
      <c r="H446" s="16"/>
      <c r="I446" s="19" t="str">
        <f>IF(ISBLANK(JobBonus[[#This Row],[Employee Name]]),"",INDEX(Employees[Job Title],MATCH(JobBonus[[#This Row],[Employee Name]],Employees[Employee Name2],0)))</f>
        <v/>
      </c>
      <c r="J446" s="19" t="str">
        <f>IF(ISBLANK(JobBonus[[#This Row],[Job Prov]]),"",IF(JobBonus[[#This Row],[Job Prov]]=INDEX(Employees[Province],MATCH(JobBonus[[#This Row],[Employee Name]],Employees[Employee Name2],0)),"No","Yes"))</f>
        <v/>
      </c>
      <c r="K446" s="17"/>
      <c r="L446" s="19"/>
      <c r="M446" s="23"/>
      <c r="N446" s="23"/>
      <c r="O446" s="15"/>
      <c r="P446" s="15"/>
      <c r="Q446" s="15"/>
      <c r="R446" s="15"/>
      <c r="S446" s="44" cm="1">
        <f t="array" ref="S4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6" s="44" cm="1">
        <f t="array" ref="T4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6" s="44">
        <f>JobBonus[[#This Row],[Variable Pay]]+JobBonus[[#This Row],[Crew Efficiency Bonus]]</f>
        <v>0</v>
      </c>
      <c r="V446" s="44" cm="1">
        <f t="array" ref="V4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6" s="44" t="b">
        <f>_xlfn.IFNA(EXACT(VLOOKUP(JobBonus[[#This Row],[Pay Type]],PayTypes[#All],4,FALSE),"Yes"),FALSE)</f>
        <v>0</v>
      </c>
      <c r="X446" s="44" cm="1">
        <f t="array" ref="X446">SUMPRODUCT((StandByRates[Position]=JobBonus[[#This Row],[Position]])*(JobBonus[[#This Row],[Area]]=StandByRates[Area])*(StandByRates[Hourly]*JobBonus[[#This Row],[Standby/ Ext 
Hrs]]))</f>
        <v>0</v>
      </c>
      <c r="Y446" s="44">
        <f>JobBonus[[#This Row],[Variable Pay]]+JobBonus[[#This Row],[Crew Efficiency Bonus]]+JobBonus[[#This Row],[OVPP]]+JobBonus[[#This Row],[StandBy/ Ext Amount]]</f>
        <v>0</v>
      </c>
      <c r="Z446" s="80"/>
      <c r="AA446" s="42"/>
      <c r="AB446" s="42"/>
      <c r="AC446"/>
      <c r="AD446"/>
      <c r="AE446"/>
      <c r="AF446"/>
    </row>
    <row r="447" spans="1:32" hidden="1" x14ac:dyDescent="0.25">
      <c r="A447" s="46"/>
      <c r="B447" s="80"/>
      <c r="C447" s="15"/>
      <c r="D447" s="15"/>
      <c r="E447" s="15"/>
      <c r="F447" s="15"/>
      <c r="G447" s="16"/>
      <c r="H447" s="16"/>
      <c r="I447" s="19" t="str">
        <f>IF(ISBLANK(JobBonus[[#This Row],[Employee Name]]),"",INDEX(Employees[Job Title],MATCH(JobBonus[[#This Row],[Employee Name]],Employees[Employee Name2],0)))</f>
        <v/>
      </c>
      <c r="J447" s="19" t="str">
        <f>IF(ISBLANK(JobBonus[[#This Row],[Job Prov]]),"",IF(JobBonus[[#This Row],[Job Prov]]=INDEX(Employees[Province],MATCH(JobBonus[[#This Row],[Employee Name]],Employees[Employee Name2],0)),"No","Yes"))</f>
        <v/>
      </c>
      <c r="K447" s="17"/>
      <c r="L447" s="19"/>
      <c r="M447" s="23"/>
      <c r="N447" s="23"/>
      <c r="O447" s="15"/>
      <c r="P447" s="15"/>
      <c r="Q447" s="15"/>
      <c r="R447" s="15"/>
      <c r="S447" s="44" cm="1">
        <f t="array" ref="S4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7" s="44" cm="1">
        <f t="array" ref="T4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7" s="44">
        <f>JobBonus[[#This Row],[Variable Pay]]+JobBonus[[#This Row],[Crew Efficiency Bonus]]</f>
        <v>0</v>
      </c>
      <c r="V447" s="44" cm="1">
        <f t="array" ref="V4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7" s="44" t="b">
        <f>_xlfn.IFNA(EXACT(VLOOKUP(JobBonus[[#This Row],[Pay Type]],PayTypes[#All],4,FALSE),"Yes"),FALSE)</f>
        <v>0</v>
      </c>
      <c r="X447" s="44" cm="1">
        <f t="array" ref="X447">SUMPRODUCT((StandByRates[Position]=JobBonus[[#This Row],[Position]])*(JobBonus[[#This Row],[Area]]=StandByRates[Area])*(StandByRates[Hourly]*JobBonus[[#This Row],[Standby/ Ext 
Hrs]]))</f>
        <v>0</v>
      </c>
      <c r="Y447" s="44">
        <f>JobBonus[[#This Row],[Variable Pay]]+JobBonus[[#This Row],[Crew Efficiency Bonus]]+JobBonus[[#This Row],[OVPP]]+JobBonus[[#This Row],[StandBy/ Ext Amount]]</f>
        <v>0</v>
      </c>
      <c r="Z447" s="80"/>
      <c r="AA447" s="42"/>
      <c r="AB447" s="42"/>
      <c r="AC447"/>
      <c r="AD447"/>
      <c r="AE447"/>
      <c r="AF447"/>
    </row>
    <row r="448" spans="1:32" hidden="1" x14ac:dyDescent="0.25">
      <c r="A448" s="46"/>
      <c r="B448" s="80"/>
      <c r="C448" s="15"/>
      <c r="D448" s="15"/>
      <c r="E448" s="15"/>
      <c r="F448" s="15"/>
      <c r="G448" s="16"/>
      <c r="H448" s="16"/>
      <c r="I448" s="19" t="str">
        <f>IF(ISBLANK(JobBonus[[#This Row],[Employee Name]]),"",INDEX(Employees[Job Title],MATCH(JobBonus[[#This Row],[Employee Name]],Employees[Employee Name2],0)))</f>
        <v/>
      </c>
      <c r="J448" s="19" t="str">
        <f>IF(ISBLANK(JobBonus[[#This Row],[Job Prov]]),"",IF(JobBonus[[#This Row],[Job Prov]]=INDEX(Employees[Province],MATCH(JobBonus[[#This Row],[Employee Name]],Employees[Employee Name2],0)),"No","Yes"))</f>
        <v/>
      </c>
      <c r="K448" s="17"/>
      <c r="L448" s="19"/>
      <c r="M448" s="23"/>
      <c r="N448" s="23"/>
      <c r="O448" s="15"/>
      <c r="P448" s="15"/>
      <c r="Q448" s="15"/>
      <c r="R448" s="15"/>
      <c r="S448" s="44" cm="1">
        <f t="array" ref="S4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8" s="44" cm="1">
        <f t="array" ref="T4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8" s="44">
        <f>JobBonus[[#This Row],[Variable Pay]]+JobBonus[[#This Row],[Crew Efficiency Bonus]]</f>
        <v>0</v>
      </c>
      <c r="V448" s="44" cm="1">
        <f t="array" ref="V4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8" s="44" t="b">
        <f>_xlfn.IFNA(EXACT(VLOOKUP(JobBonus[[#This Row],[Pay Type]],PayTypes[#All],4,FALSE),"Yes"),FALSE)</f>
        <v>0</v>
      </c>
      <c r="X448" s="44" cm="1">
        <f t="array" ref="X448">SUMPRODUCT((StandByRates[Position]=JobBonus[[#This Row],[Position]])*(JobBonus[[#This Row],[Area]]=StandByRates[Area])*(StandByRates[Hourly]*JobBonus[[#This Row],[Standby/ Ext 
Hrs]]))</f>
        <v>0</v>
      </c>
      <c r="Y448" s="44">
        <f>JobBonus[[#This Row],[Variable Pay]]+JobBonus[[#This Row],[Crew Efficiency Bonus]]+JobBonus[[#This Row],[OVPP]]+JobBonus[[#This Row],[StandBy/ Ext Amount]]</f>
        <v>0</v>
      </c>
      <c r="Z448" s="80"/>
      <c r="AA448" s="42"/>
      <c r="AB448" s="42"/>
      <c r="AC448"/>
      <c r="AD448"/>
      <c r="AE448"/>
      <c r="AF448"/>
    </row>
    <row r="449" spans="1:32" hidden="1" x14ac:dyDescent="0.25">
      <c r="A449" s="46"/>
      <c r="B449" s="80"/>
      <c r="C449" s="15"/>
      <c r="D449" s="15"/>
      <c r="E449" s="15"/>
      <c r="F449" s="15"/>
      <c r="G449" s="16"/>
      <c r="H449" s="16"/>
      <c r="I449" s="19" t="str">
        <f>IF(ISBLANK(JobBonus[[#This Row],[Employee Name]]),"",INDEX(Employees[Job Title],MATCH(JobBonus[[#This Row],[Employee Name]],Employees[Employee Name2],0)))</f>
        <v/>
      </c>
      <c r="J449" s="19" t="str">
        <f>IF(ISBLANK(JobBonus[[#This Row],[Job Prov]]),"",IF(JobBonus[[#This Row],[Job Prov]]=INDEX(Employees[Province],MATCH(JobBonus[[#This Row],[Employee Name]],Employees[Employee Name2],0)),"No","Yes"))</f>
        <v/>
      </c>
      <c r="K449" s="17"/>
      <c r="L449" s="19"/>
      <c r="M449" s="23"/>
      <c r="N449" s="23"/>
      <c r="O449" s="15"/>
      <c r="P449" s="15"/>
      <c r="Q449" s="15"/>
      <c r="R449" s="15"/>
      <c r="S449" s="44" cm="1">
        <f t="array" ref="S4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9" s="44" cm="1">
        <f t="array" ref="T4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9" s="44">
        <f>JobBonus[[#This Row],[Variable Pay]]+JobBonus[[#This Row],[Crew Efficiency Bonus]]</f>
        <v>0</v>
      </c>
      <c r="V449" s="44" cm="1">
        <f t="array" ref="V4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9" s="44" t="b">
        <f>_xlfn.IFNA(EXACT(VLOOKUP(JobBonus[[#This Row],[Pay Type]],PayTypes[#All],4,FALSE),"Yes"),FALSE)</f>
        <v>0</v>
      </c>
      <c r="X449" s="44" cm="1">
        <f t="array" ref="X449">SUMPRODUCT((StandByRates[Position]=JobBonus[[#This Row],[Position]])*(JobBonus[[#This Row],[Area]]=StandByRates[Area])*(StandByRates[Hourly]*JobBonus[[#This Row],[Standby/ Ext 
Hrs]]))</f>
        <v>0</v>
      </c>
      <c r="Y449" s="44">
        <f>JobBonus[[#This Row],[Variable Pay]]+JobBonus[[#This Row],[Crew Efficiency Bonus]]+JobBonus[[#This Row],[OVPP]]+JobBonus[[#This Row],[StandBy/ Ext Amount]]</f>
        <v>0</v>
      </c>
      <c r="Z449" s="80"/>
      <c r="AA449" s="42"/>
      <c r="AB449" s="42"/>
      <c r="AC449"/>
      <c r="AD449"/>
      <c r="AE449"/>
      <c r="AF449"/>
    </row>
    <row r="450" spans="1:32" hidden="1" x14ac:dyDescent="0.25">
      <c r="A450" s="46"/>
      <c r="B450" s="80"/>
      <c r="C450" s="15"/>
      <c r="D450" s="15"/>
      <c r="E450" s="15"/>
      <c r="F450" s="15"/>
      <c r="G450" s="16"/>
      <c r="H450" s="16"/>
      <c r="I450" s="19" t="str">
        <f>IF(ISBLANK(JobBonus[[#This Row],[Employee Name]]),"",INDEX(Employees[Job Title],MATCH(JobBonus[[#This Row],[Employee Name]],Employees[Employee Name2],0)))</f>
        <v/>
      </c>
      <c r="J450" s="19" t="str">
        <f>IF(ISBLANK(JobBonus[[#This Row],[Job Prov]]),"",IF(JobBonus[[#This Row],[Job Prov]]=INDEX(Employees[Province],MATCH(JobBonus[[#This Row],[Employee Name]],Employees[Employee Name2],0)),"No","Yes"))</f>
        <v/>
      </c>
      <c r="K450" s="17"/>
      <c r="L450" s="19"/>
      <c r="M450" s="23"/>
      <c r="N450" s="23"/>
      <c r="O450" s="15"/>
      <c r="P450" s="15"/>
      <c r="Q450" s="15"/>
      <c r="R450" s="15"/>
      <c r="S450" s="44" cm="1">
        <f t="array" ref="S4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0" s="44" cm="1">
        <f t="array" ref="T4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0" s="44">
        <f>JobBonus[[#This Row],[Variable Pay]]+JobBonus[[#This Row],[Crew Efficiency Bonus]]</f>
        <v>0</v>
      </c>
      <c r="V450" s="44" cm="1">
        <f t="array" ref="V4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0" s="44" t="b">
        <f>_xlfn.IFNA(EXACT(VLOOKUP(JobBonus[[#This Row],[Pay Type]],PayTypes[#All],4,FALSE),"Yes"),FALSE)</f>
        <v>0</v>
      </c>
      <c r="X450" s="44" cm="1">
        <f t="array" ref="X450">SUMPRODUCT((StandByRates[Position]=JobBonus[[#This Row],[Position]])*(JobBonus[[#This Row],[Area]]=StandByRates[Area])*(StandByRates[Hourly]*JobBonus[[#This Row],[Standby/ Ext 
Hrs]]))</f>
        <v>0</v>
      </c>
      <c r="Y450" s="44">
        <f>JobBonus[[#This Row],[Variable Pay]]+JobBonus[[#This Row],[Crew Efficiency Bonus]]+JobBonus[[#This Row],[OVPP]]+JobBonus[[#This Row],[StandBy/ Ext Amount]]</f>
        <v>0</v>
      </c>
      <c r="Z450" s="80"/>
      <c r="AA450" s="42"/>
      <c r="AB450" s="42"/>
      <c r="AC450"/>
      <c r="AD450"/>
      <c r="AE450"/>
      <c r="AF450"/>
    </row>
    <row r="451" spans="1:32" hidden="1" x14ac:dyDescent="0.25">
      <c r="A451" s="46"/>
      <c r="B451" s="80"/>
      <c r="C451" s="15"/>
      <c r="D451" s="15"/>
      <c r="E451" s="15"/>
      <c r="F451" s="15"/>
      <c r="G451" s="16"/>
      <c r="H451" s="16"/>
      <c r="I451" s="19" t="str">
        <f>IF(ISBLANK(JobBonus[[#This Row],[Employee Name]]),"",INDEX(Employees[Job Title],MATCH(JobBonus[[#This Row],[Employee Name]],Employees[Employee Name2],0)))</f>
        <v/>
      </c>
      <c r="J451" s="19" t="str">
        <f>IF(ISBLANK(JobBonus[[#This Row],[Job Prov]]),"",IF(JobBonus[[#This Row],[Job Prov]]=INDEX(Employees[Province],MATCH(JobBonus[[#This Row],[Employee Name]],Employees[Employee Name2],0)),"No","Yes"))</f>
        <v/>
      </c>
      <c r="K451" s="17"/>
      <c r="L451" s="19"/>
      <c r="M451" s="23"/>
      <c r="N451" s="23"/>
      <c r="O451" s="15"/>
      <c r="P451" s="15"/>
      <c r="Q451" s="15"/>
      <c r="R451" s="15"/>
      <c r="S451" s="44" cm="1">
        <f t="array" ref="S4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1" s="44" cm="1">
        <f t="array" ref="T4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1" s="44">
        <f>JobBonus[[#This Row],[Variable Pay]]+JobBonus[[#This Row],[Crew Efficiency Bonus]]</f>
        <v>0</v>
      </c>
      <c r="V451" s="44" cm="1">
        <f t="array" ref="V4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1" s="44" t="b">
        <f>_xlfn.IFNA(EXACT(VLOOKUP(JobBonus[[#This Row],[Pay Type]],PayTypes[#All],4,FALSE),"Yes"),FALSE)</f>
        <v>0</v>
      </c>
      <c r="X451" s="44" cm="1">
        <f t="array" ref="X451">SUMPRODUCT((StandByRates[Position]=JobBonus[[#This Row],[Position]])*(JobBonus[[#This Row],[Area]]=StandByRates[Area])*(StandByRates[Hourly]*JobBonus[[#This Row],[Standby/ Ext 
Hrs]]))</f>
        <v>0</v>
      </c>
      <c r="Y451" s="44">
        <f>JobBonus[[#This Row],[Variable Pay]]+JobBonus[[#This Row],[Crew Efficiency Bonus]]+JobBonus[[#This Row],[OVPP]]+JobBonus[[#This Row],[StandBy/ Ext Amount]]</f>
        <v>0</v>
      </c>
      <c r="Z451" s="80"/>
      <c r="AA451" s="42"/>
      <c r="AB451" s="42"/>
      <c r="AC451"/>
      <c r="AD451"/>
      <c r="AE451"/>
      <c r="AF451"/>
    </row>
    <row r="452" spans="1:32" hidden="1" x14ac:dyDescent="0.25">
      <c r="A452" s="46"/>
      <c r="B452" s="80"/>
      <c r="C452" s="15"/>
      <c r="D452" s="15"/>
      <c r="E452" s="15"/>
      <c r="F452" s="15"/>
      <c r="G452" s="16"/>
      <c r="H452" s="16"/>
      <c r="I452" s="19" t="str">
        <f>IF(ISBLANK(JobBonus[[#This Row],[Employee Name]]),"",INDEX(Employees[Job Title],MATCH(JobBonus[[#This Row],[Employee Name]],Employees[Employee Name2],0)))</f>
        <v/>
      </c>
      <c r="J452" s="19" t="str">
        <f>IF(ISBLANK(JobBonus[[#This Row],[Job Prov]]),"",IF(JobBonus[[#This Row],[Job Prov]]=INDEX(Employees[Province],MATCH(JobBonus[[#This Row],[Employee Name]],Employees[Employee Name2],0)),"No","Yes"))</f>
        <v/>
      </c>
      <c r="K452" s="17"/>
      <c r="L452" s="19"/>
      <c r="M452" s="23"/>
      <c r="N452" s="23"/>
      <c r="O452" s="15"/>
      <c r="P452" s="15"/>
      <c r="Q452" s="15"/>
      <c r="R452" s="15"/>
      <c r="S452" s="44" cm="1">
        <f t="array" ref="S4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2" s="44" cm="1">
        <f t="array" ref="T4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2" s="44">
        <f>JobBonus[[#This Row],[Variable Pay]]+JobBonus[[#This Row],[Crew Efficiency Bonus]]</f>
        <v>0</v>
      </c>
      <c r="V452" s="44" cm="1">
        <f t="array" ref="V4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2" s="44" t="b">
        <f>_xlfn.IFNA(EXACT(VLOOKUP(JobBonus[[#This Row],[Pay Type]],PayTypes[#All],4,FALSE),"Yes"),FALSE)</f>
        <v>0</v>
      </c>
      <c r="X452" s="44" cm="1">
        <f t="array" ref="X452">SUMPRODUCT((StandByRates[Position]=JobBonus[[#This Row],[Position]])*(JobBonus[[#This Row],[Area]]=StandByRates[Area])*(StandByRates[Hourly]*JobBonus[[#This Row],[Standby/ Ext 
Hrs]]))</f>
        <v>0</v>
      </c>
      <c r="Y452" s="44">
        <f>JobBonus[[#This Row],[Variable Pay]]+JobBonus[[#This Row],[Crew Efficiency Bonus]]+JobBonus[[#This Row],[OVPP]]+JobBonus[[#This Row],[StandBy/ Ext Amount]]</f>
        <v>0</v>
      </c>
      <c r="Z452" s="80"/>
      <c r="AA452" s="42"/>
      <c r="AB452" s="42"/>
      <c r="AC452"/>
      <c r="AD452"/>
      <c r="AE452"/>
      <c r="AF452"/>
    </row>
    <row r="453" spans="1:32" hidden="1" x14ac:dyDescent="0.25">
      <c r="A453" s="46"/>
      <c r="B453" s="80"/>
      <c r="C453" s="15"/>
      <c r="D453" s="15"/>
      <c r="E453" s="15"/>
      <c r="F453" s="15"/>
      <c r="G453" s="16"/>
      <c r="H453" s="16"/>
      <c r="I453" s="19" t="str">
        <f>IF(ISBLANK(JobBonus[[#This Row],[Employee Name]]),"",INDEX(Employees[Job Title],MATCH(JobBonus[[#This Row],[Employee Name]],Employees[Employee Name2],0)))</f>
        <v/>
      </c>
      <c r="J453" s="19" t="str">
        <f>IF(ISBLANK(JobBonus[[#This Row],[Job Prov]]),"",IF(JobBonus[[#This Row],[Job Prov]]=INDEX(Employees[Province],MATCH(JobBonus[[#This Row],[Employee Name]],Employees[Employee Name2],0)),"No","Yes"))</f>
        <v/>
      </c>
      <c r="K453" s="17"/>
      <c r="L453" s="19"/>
      <c r="M453" s="23"/>
      <c r="N453" s="23"/>
      <c r="O453" s="15"/>
      <c r="P453" s="15"/>
      <c r="Q453" s="15"/>
      <c r="R453" s="15"/>
      <c r="S453" s="44" cm="1">
        <f t="array" ref="S4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3" s="44" cm="1">
        <f t="array" ref="T4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3" s="44">
        <f>JobBonus[[#This Row],[Variable Pay]]+JobBonus[[#This Row],[Crew Efficiency Bonus]]</f>
        <v>0</v>
      </c>
      <c r="V453" s="44" cm="1">
        <f t="array" ref="V4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3" s="44" t="b">
        <f>_xlfn.IFNA(EXACT(VLOOKUP(JobBonus[[#This Row],[Pay Type]],PayTypes[#All],4,FALSE),"Yes"),FALSE)</f>
        <v>0</v>
      </c>
      <c r="X453" s="44" cm="1">
        <f t="array" ref="X453">SUMPRODUCT((StandByRates[Position]=JobBonus[[#This Row],[Position]])*(JobBonus[[#This Row],[Area]]=StandByRates[Area])*(StandByRates[Hourly]*JobBonus[[#This Row],[Standby/ Ext 
Hrs]]))</f>
        <v>0</v>
      </c>
      <c r="Y453" s="44">
        <f>JobBonus[[#This Row],[Variable Pay]]+JobBonus[[#This Row],[Crew Efficiency Bonus]]+JobBonus[[#This Row],[OVPP]]+JobBonus[[#This Row],[StandBy/ Ext Amount]]</f>
        <v>0</v>
      </c>
      <c r="Z453" s="80"/>
      <c r="AA453" s="42"/>
      <c r="AB453" s="42"/>
      <c r="AC453"/>
      <c r="AD453"/>
      <c r="AE453"/>
      <c r="AF453"/>
    </row>
    <row r="454" spans="1:32" hidden="1" x14ac:dyDescent="0.25">
      <c r="A454" s="46"/>
      <c r="B454" s="80"/>
      <c r="C454" s="15"/>
      <c r="D454" s="15"/>
      <c r="E454" s="15"/>
      <c r="F454" s="15"/>
      <c r="G454" s="16"/>
      <c r="H454" s="16"/>
      <c r="I454" s="19" t="str">
        <f>IF(ISBLANK(JobBonus[[#This Row],[Employee Name]]),"",INDEX(Employees[Job Title],MATCH(JobBonus[[#This Row],[Employee Name]],Employees[Employee Name2],0)))</f>
        <v/>
      </c>
      <c r="J454" s="19" t="str">
        <f>IF(ISBLANK(JobBonus[[#This Row],[Job Prov]]),"",IF(JobBonus[[#This Row],[Job Prov]]=INDEX(Employees[Province],MATCH(JobBonus[[#This Row],[Employee Name]],Employees[Employee Name2],0)),"No","Yes"))</f>
        <v/>
      </c>
      <c r="K454" s="17"/>
      <c r="L454" s="19"/>
      <c r="M454" s="23"/>
      <c r="N454" s="23"/>
      <c r="O454" s="15"/>
      <c r="P454" s="15"/>
      <c r="Q454" s="15"/>
      <c r="R454" s="15"/>
      <c r="S454" s="44" cm="1">
        <f t="array" ref="S4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4" s="44" cm="1">
        <f t="array" ref="T4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4" s="44">
        <f>JobBonus[[#This Row],[Variable Pay]]+JobBonus[[#This Row],[Crew Efficiency Bonus]]</f>
        <v>0</v>
      </c>
      <c r="V454" s="44" cm="1">
        <f t="array" ref="V4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4" s="44" t="b">
        <f>_xlfn.IFNA(EXACT(VLOOKUP(JobBonus[[#This Row],[Pay Type]],PayTypes[#All],4,FALSE),"Yes"),FALSE)</f>
        <v>0</v>
      </c>
      <c r="X454" s="44" cm="1">
        <f t="array" ref="X454">SUMPRODUCT((StandByRates[Position]=JobBonus[[#This Row],[Position]])*(JobBonus[[#This Row],[Area]]=StandByRates[Area])*(StandByRates[Hourly]*JobBonus[[#This Row],[Standby/ Ext 
Hrs]]))</f>
        <v>0</v>
      </c>
      <c r="Y454" s="44">
        <f>JobBonus[[#This Row],[Variable Pay]]+JobBonus[[#This Row],[Crew Efficiency Bonus]]+JobBonus[[#This Row],[OVPP]]+JobBonus[[#This Row],[StandBy/ Ext Amount]]</f>
        <v>0</v>
      </c>
      <c r="Z454" s="80"/>
      <c r="AA454" s="42"/>
      <c r="AB454" s="42"/>
      <c r="AC454"/>
      <c r="AD454"/>
      <c r="AE454"/>
      <c r="AF454"/>
    </row>
    <row r="455" spans="1:32" hidden="1" x14ac:dyDescent="0.25">
      <c r="A455" s="46"/>
      <c r="B455" s="80"/>
      <c r="C455" s="15"/>
      <c r="D455" s="15"/>
      <c r="E455" s="15"/>
      <c r="F455" s="15"/>
      <c r="G455" s="16"/>
      <c r="H455" s="16"/>
      <c r="I455" s="19" t="str">
        <f>IF(ISBLANK(JobBonus[[#This Row],[Employee Name]]),"",INDEX(Employees[Job Title],MATCH(JobBonus[[#This Row],[Employee Name]],Employees[Employee Name2],0)))</f>
        <v/>
      </c>
      <c r="J455" s="19" t="str">
        <f>IF(ISBLANK(JobBonus[[#This Row],[Job Prov]]),"",IF(JobBonus[[#This Row],[Job Prov]]=INDEX(Employees[Province],MATCH(JobBonus[[#This Row],[Employee Name]],Employees[Employee Name2],0)),"No","Yes"))</f>
        <v/>
      </c>
      <c r="K455" s="17"/>
      <c r="L455" s="19"/>
      <c r="M455" s="23"/>
      <c r="N455" s="23"/>
      <c r="O455" s="15"/>
      <c r="P455" s="15"/>
      <c r="Q455" s="15"/>
      <c r="R455" s="15"/>
      <c r="S455" s="44" cm="1">
        <f t="array" ref="S4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5" s="44" cm="1">
        <f t="array" ref="T4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5" s="44">
        <f>JobBonus[[#This Row],[Variable Pay]]+JobBonus[[#This Row],[Crew Efficiency Bonus]]</f>
        <v>0</v>
      </c>
      <c r="V455" s="44" cm="1">
        <f t="array" ref="V4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5" s="44" t="b">
        <f>_xlfn.IFNA(EXACT(VLOOKUP(JobBonus[[#This Row],[Pay Type]],PayTypes[#All],4,FALSE),"Yes"),FALSE)</f>
        <v>0</v>
      </c>
      <c r="X455" s="44" cm="1">
        <f t="array" ref="X455">SUMPRODUCT((StandByRates[Position]=JobBonus[[#This Row],[Position]])*(JobBonus[[#This Row],[Area]]=StandByRates[Area])*(StandByRates[Hourly]*JobBonus[[#This Row],[Standby/ Ext 
Hrs]]))</f>
        <v>0</v>
      </c>
      <c r="Y455" s="44">
        <f>JobBonus[[#This Row],[Variable Pay]]+JobBonus[[#This Row],[Crew Efficiency Bonus]]+JobBonus[[#This Row],[OVPP]]+JobBonus[[#This Row],[StandBy/ Ext Amount]]</f>
        <v>0</v>
      </c>
      <c r="Z455" s="80"/>
      <c r="AA455" s="42"/>
      <c r="AB455" s="42"/>
      <c r="AC455"/>
      <c r="AD455"/>
      <c r="AE455"/>
      <c r="AF455"/>
    </row>
    <row r="456" spans="1:32" hidden="1" x14ac:dyDescent="0.25">
      <c r="A456" s="46"/>
      <c r="B456" s="80"/>
      <c r="C456" s="15"/>
      <c r="D456" s="15"/>
      <c r="E456" s="15"/>
      <c r="F456" s="15"/>
      <c r="G456" s="16"/>
      <c r="H456" s="16"/>
      <c r="I456" s="19" t="str">
        <f>IF(ISBLANK(JobBonus[[#This Row],[Employee Name]]),"",INDEX(Employees[Job Title],MATCH(JobBonus[[#This Row],[Employee Name]],Employees[Employee Name2],0)))</f>
        <v/>
      </c>
      <c r="J456" s="19" t="str">
        <f>IF(ISBLANK(JobBonus[[#This Row],[Job Prov]]),"",IF(JobBonus[[#This Row],[Job Prov]]=INDEX(Employees[Province],MATCH(JobBonus[[#This Row],[Employee Name]],Employees[Employee Name2],0)),"No","Yes"))</f>
        <v/>
      </c>
      <c r="K456" s="17"/>
      <c r="L456" s="19"/>
      <c r="M456" s="23"/>
      <c r="N456" s="23"/>
      <c r="O456" s="15"/>
      <c r="P456" s="15"/>
      <c r="Q456" s="15"/>
      <c r="R456" s="15"/>
      <c r="S456" s="44" cm="1">
        <f t="array" ref="S4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6" s="44" cm="1">
        <f t="array" ref="T4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6" s="44">
        <f>JobBonus[[#This Row],[Variable Pay]]+JobBonus[[#This Row],[Crew Efficiency Bonus]]</f>
        <v>0</v>
      </c>
      <c r="V456" s="44" cm="1">
        <f t="array" ref="V4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6" s="44" t="b">
        <f>_xlfn.IFNA(EXACT(VLOOKUP(JobBonus[[#This Row],[Pay Type]],PayTypes[#All],4,FALSE),"Yes"),FALSE)</f>
        <v>0</v>
      </c>
      <c r="X456" s="44" cm="1">
        <f t="array" ref="X456">SUMPRODUCT((StandByRates[Position]=JobBonus[[#This Row],[Position]])*(JobBonus[[#This Row],[Area]]=StandByRates[Area])*(StandByRates[Hourly]*JobBonus[[#This Row],[Standby/ Ext 
Hrs]]))</f>
        <v>0</v>
      </c>
      <c r="Y456" s="44">
        <f>JobBonus[[#This Row],[Variable Pay]]+JobBonus[[#This Row],[Crew Efficiency Bonus]]+JobBonus[[#This Row],[OVPP]]+JobBonus[[#This Row],[StandBy/ Ext Amount]]</f>
        <v>0</v>
      </c>
      <c r="Z456" s="80"/>
      <c r="AA456" s="42"/>
      <c r="AB456" s="42"/>
      <c r="AC456"/>
      <c r="AD456"/>
      <c r="AE456"/>
      <c r="AF456"/>
    </row>
    <row r="457" spans="1:32" hidden="1" x14ac:dyDescent="0.25">
      <c r="A457" s="46"/>
      <c r="B457" s="80"/>
      <c r="C457" s="15"/>
      <c r="D457" s="15"/>
      <c r="E457" s="15"/>
      <c r="F457" s="15"/>
      <c r="G457" s="16"/>
      <c r="H457" s="16"/>
      <c r="I457" s="19" t="str">
        <f>IF(ISBLANK(JobBonus[[#This Row],[Employee Name]]),"",INDEX(Employees[Job Title],MATCH(JobBonus[[#This Row],[Employee Name]],Employees[Employee Name2],0)))</f>
        <v/>
      </c>
      <c r="J457" s="19" t="str">
        <f>IF(ISBLANK(JobBonus[[#This Row],[Job Prov]]),"",IF(JobBonus[[#This Row],[Job Prov]]=INDEX(Employees[Province],MATCH(JobBonus[[#This Row],[Employee Name]],Employees[Employee Name2],0)),"No","Yes"))</f>
        <v/>
      </c>
      <c r="K457" s="17"/>
      <c r="L457" s="19"/>
      <c r="M457" s="23"/>
      <c r="N457" s="23"/>
      <c r="O457" s="15"/>
      <c r="P457" s="15"/>
      <c r="Q457" s="15"/>
      <c r="R457" s="15"/>
      <c r="S457" s="44" cm="1">
        <f t="array" ref="S4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7" s="44" cm="1">
        <f t="array" ref="T4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7" s="44">
        <f>JobBonus[[#This Row],[Variable Pay]]+JobBonus[[#This Row],[Crew Efficiency Bonus]]</f>
        <v>0</v>
      </c>
      <c r="V457" s="44" cm="1">
        <f t="array" ref="V4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7" s="44" t="b">
        <f>_xlfn.IFNA(EXACT(VLOOKUP(JobBonus[[#This Row],[Pay Type]],PayTypes[#All],4,FALSE),"Yes"),FALSE)</f>
        <v>0</v>
      </c>
      <c r="X457" s="44" cm="1">
        <f t="array" ref="X457">SUMPRODUCT((StandByRates[Position]=JobBonus[[#This Row],[Position]])*(JobBonus[[#This Row],[Area]]=StandByRates[Area])*(StandByRates[Hourly]*JobBonus[[#This Row],[Standby/ Ext 
Hrs]]))</f>
        <v>0</v>
      </c>
      <c r="Y457" s="44">
        <f>JobBonus[[#This Row],[Variable Pay]]+JobBonus[[#This Row],[Crew Efficiency Bonus]]+JobBonus[[#This Row],[OVPP]]+JobBonus[[#This Row],[StandBy/ Ext Amount]]</f>
        <v>0</v>
      </c>
      <c r="Z457" s="80"/>
      <c r="AA457" s="42"/>
      <c r="AB457" s="42"/>
      <c r="AC457"/>
      <c r="AD457"/>
      <c r="AE457"/>
      <c r="AF457"/>
    </row>
    <row r="458" spans="1:32" hidden="1" x14ac:dyDescent="0.25">
      <c r="A458" s="46"/>
      <c r="B458" s="80"/>
      <c r="C458" s="15"/>
      <c r="D458" s="15"/>
      <c r="E458" s="15"/>
      <c r="F458" s="15"/>
      <c r="G458" s="16"/>
      <c r="H458" s="16"/>
      <c r="I458" s="19" t="str">
        <f>IF(ISBLANK(JobBonus[[#This Row],[Employee Name]]),"",INDEX(Employees[Job Title],MATCH(JobBonus[[#This Row],[Employee Name]],Employees[Employee Name2],0)))</f>
        <v/>
      </c>
      <c r="J458" s="19" t="str">
        <f>IF(ISBLANK(JobBonus[[#This Row],[Job Prov]]),"",IF(JobBonus[[#This Row],[Job Prov]]=INDEX(Employees[Province],MATCH(JobBonus[[#This Row],[Employee Name]],Employees[Employee Name2],0)),"No","Yes"))</f>
        <v/>
      </c>
      <c r="K458" s="17"/>
      <c r="L458" s="19"/>
      <c r="M458" s="23"/>
      <c r="N458" s="23"/>
      <c r="O458" s="15"/>
      <c r="P458" s="15"/>
      <c r="Q458" s="15"/>
      <c r="R458" s="15"/>
      <c r="S458" s="44" cm="1">
        <f t="array" ref="S4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8" s="44" cm="1">
        <f t="array" ref="T4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8" s="44">
        <f>JobBonus[[#This Row],[Variable Pay]]+JobBonus[[#This Row],[Crew Efficiency Bonus]]</f>
        <v>0</v>
      </c>
      <c r="V458" s="44" cm="1">
        <f t="array" ref="V4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8" s="44" t="b">
        <f>_xlfn.IFNA(EXACT(VLOOKUP(JobBonus[[#This Row],[Pay Type]],PayTypes[#All],4,FALSE),"Yes"),FALSE)</f>
        <v>0</v>
      </c>
      <c r="X458" s="44" cm="1">
        <f t="array" ref="X458">SUMPRODUCT((StandByRates[Position]=JobBonus[[#This Row],[Position]])*(JobBonus[[#This Row],[Area]]=StandByRates[Area])*(StandByRates[Hourly]*JobBonus[[#This Row],[Standby/ Ext 
Hrs]]))</f>
        <v>0</v>
      </c>
      <c r="Y458" s="44">
        <f>JobBonus[[#This Row],[Variable Pay]]+JobBonus[[#This Row],[Crew Efficiency Bonus]]+JobBonus[[#This Row],[OVPP]]+JobBonus[[#This Row],[StandBy/ Ext Amount]]</f>
        <v>0</v>
      </c>
      <c r="Z458" s="80"/>
      <c r="AA458" s="42"/>
      <c r="AB458" s="42"/>
      <c r="AC458"/>
      <c r="AD458"/>
      <c r="AE458"/>
      <c r="AF458"/>
    </row>
    <row r="459" spans="1:32" hidden="1" x14ac:dyDescent="0.25">
      <c r="A459" s="46"/>
      <c r="B459" s="80"/>
      <c r="C459" s="15"/>
      <c r="D459" s="15"/>
      <c r="E459" s="15"/>
      <c r="F459" s="15"/>
      <c r="G459" s="16"/>
      <c r="H459" s="16"/>
      <c r="I459" s="19" t="str">
        <f>IF(ISBLANK(JobBonus[[#This Row],[Employee Name]]),"",INDEX(Employees[Job Title],MATCH(JobBonus[[#This Row],[Employee Name]],Employees[Employee Name2],0)))</f>
        <v/>
      </c>
      <c r="J459" s="19" t="str">
        <f>IF(ISBLANK(JobBonus[[#This Row],[Job Prov]]),"",IF(JobBonus[[#This Row],[Job Prov]]=INDEX(Employees[Province],MATCH(JobBonus[[#This Row],[Employee Name]],Employees[Employee Name2],0)),"No","Yes"))</f>
        <v/>
      </c>
      <c r="K459" s="17"/>
      <c r="L459" s="19"/>
      <c r="M459" s="23"/>
      <c r="N459" s="23"/>
      <c r="O459" s="15"/>
      <c r="P459" s="15"/>
      <c r="Q459" s="15"/>
      <c r="R459" s="15"/>
      <c r="S459" s="44" cm="1">
        <f t="array" ref="S4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9" s="44" cm="1">
        <f t="array" ref="T4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9" s="44">
        <f>JobBonus[[#This Row],[Variable Pay]]+JobBonus[[#This Row],[Crew Efficiency Bonus]]</f>
        <v>0</v>
      </c>
      <c r="V459" s="44" cm="1">
        <f t="array" ref="V4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9" s="44" t="b">
        <f>_xlfn.IFNA(EXACT(VLOOKUP(JobBonus[[#This Row],[Pay Type]],PayTypes[#All],4,FALSE),"Yes"),FALSE)</f>
        <v>0</v>
      </c>
      <c r="X459" s="44" cm="1">
        <f t="array" ref="X459">SUMPRODUCT((StandByRates[Position]=JobBonus[[#This Row],[Position]])*(JobBonus[[#This Row],[Area]]=StandByRates[Area])*(StandByRates[Hourly]*JobBonus[[#This Row],[Standby/ Ext 
Hrs]]))</f>
        <v>0</v>
      </c>
      <c r="Y459" s="44">
        <f>JobBonus[[#This Row],[Variable Pay]]+JobBonus[[#This Row],[Crew Efficiency Bonus]]+JobBonus[[#This Row],[OVPP]]+JobBonus[[#This Row],[StandBy/ Ext Amount]]</f>
        <v>0</v>
      </c>
      <c r="Z459" s="80"/>
      <c r="AA459" s="42"/>
      <c r="AB459" s="42"/>
      <c r="AC459"/>
      <c r="AD459"/>
      <c r="AE459"/>
      <c r="AF459"/>
    </row>
    <row r="460" spans="1:32" hidden="1" x14ac:dyDescent="0.25">
      <c r="A460" s="46"/>
      <c r="B460" s="80"/>
      <c r="C460" s="15"/>
      <c r="D460" s="15"/>
      <c r="E460" s="15"/>
      <c r="F460" s="15"/>
      <c r="G460" s="16"/>
      <c r="H460" s="16"/>
      <c r="I460" s="19" t="str">
        <f>IF(ISBLANK(JobBonus[[#This Row],[Employee Name]]),"",INDEX(Employees[Job Title],MATCH(JobBonus[[#This Row],[Employee Name]],Employees[Employee Name2],0)))</f>
        <v/>
      </c>
      <c r="J460" s="19" t="str">
        <f>IF(ISBLANK(JobBonus[[#This Row],[Job Prov]]),"",IF(JobBonus[[#This Row],[Job Prov]]=INDEX(Employees[Province],MATCH(JobBonus[[#This Row],[Employee Name]],Employees[Employee Name2],0)),"No","Yes"))</f>
        <v/>
      </c>
      <c r="K460" s="17"/>
      <c r="L460" s="19"/>
      <c r="M460" s="23"/>
      <c r="N460" s="23"/>
      <c r="O460" s="15"/>
      <c r="P460" s="15"/>
      <c r="Q460" s="15"/>
      <c r="R460" s="15"/>
      <c r="S460" s="44" cm="1">
        <f t="array" ref="S4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0" s="44" cm="1">
        <f t="array" ref="T4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0" s="44">
        <f>JobBonus[[#This Row],[Variable Pay]]+JobBonus[[#This Row],[Crew Efficiency Bonus]]</f>
        <v>0</v>
      </c>
      <c r="V460" s="44" cm="1">
        <f t="array" ref="V4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0" s="44" t="b">
        <f>_xlfn.IFNA(EXACT(VLOOKUP(JobBonus[[#This Row],[Pay Type]],PayTypes[#All],4,FALSE),"Yes"),FALSE)</f>
        <v>0</v>
      </c>
      <c r="X460" s="44" cm="1">
        <f t="array" ref="X460">SUMPRODUCT((StandByRates[Position]=JobBonus[[#This Row],[Position]])*(JobBonus[[#This Row],[Area]]=StandByRates[Area])*(StandByRates[Hourly]*JobBonus[[#This Row],[Standby/ Ext 
Hrs]]))</f>
        <v>0</v>
      </c>
      <c r="Y460" s="44">
        <f>JobBonus[[#This Row],[Variable Pay]]+JobBonus[[#This Row],[Crew Efficiency Bonus]]+JobBonus[[#This Row],[OVPP]]+JobBonus[[#This Row],[StandBy/ Ext Amount]]</f>
        <v>0</v>
      </c>
      <c r="Z460" s="80"/>
      <c r="AA460" s="42"/>
      <c r="AB460" s="42"/>
      <c r="AC460"/>
      <c r="AD460"/>
      <c r="AE460"/>
      <c r="AF460"/>
    </row>
    <row r="461" spans="1:32" hidden="1" x14ac:dyDescent="0.25">
      <c r="A461" s="46"/>
      <c r="B461" s="80"/>
      <c r="C461" s="15"/>
      <c r="D461" s="15"/>
      <c r="E461" s="15"/>
      <c r="F461" s="15"/>
      <c r="G461" s="16"/>
      <c r="H461" s="16"/>
      <c r="I461" s="19" t="str">
        <f>IF(ISBLANK(JobBonus[[#This Row],[Employee Name]]),"",INDEX(Employees[Job Title],MATCH(JobBonus[[#This Row],[Employee Name]],Employees[Employee Name2],0)))</f>
        <v/>
      </c>
      <c r="J461" s="19" t="str">
        <f>IF(ISBLANK(JobBonus[[#This Row],[Job Prov]]),"",IF(JobBonus[[#This Row],[Job Prov]]=INDEX(Employees[Province],MATCH(JobBonus[[#This Row],[Employee Name]],Employees[Employee Name2],0)),"No","Yes"))</f>
        <v/>
      </c>
      <c r="K461" s="17"/>
      <c r="L461" s="19"/>
      <c r="M461" s="23"/>
      <c r="N461" s="23"/>
      <c r="O461" s="15"/>
      <c r="P461" s="15"/>
      <c r="Q461" s="15"/>
      <c r="R461" s="15"/>
      <c r="S461" s="44" cm="1">
        <f t="array" ref="S4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1" s="44" cm="1">
        <f t="array" ref="T4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1" s="44">
        <f>JobBonus[[#This Row],[Variable Pay]]+JobBonus[[#This Row],[Crew Efficiency Bonus]]</f>
        <v>0</v>
      </c>
      <c r="V461" s="44" cm="1">
        <f t="array" ref="V4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1" s="44" t="b">
        <f>_xlfn.IFNA(EXACT(VLOOKUP(JobBonus[[#This Row],[Pay Type]],PayTypes[#All],4,FALSE),"Yes"),FALSE)</f>
        <v>0</v>
      </c>
      <c r="X461" s="44" cm="1">
        <f t="array" ref="X461">SUMPRODUCT((StandByRates[Position]=JobBonus[[#This Row],[Position]])*(JobBonus[[#This Row],[Area]]=StandByRates[Area])*(StandByRates[Hourly]*JobBonus[[#This Row],[Standby/ Ext 
Hrs]]))</f>
        <v>0</v>
      </c>
      <c r="Y461" s="44">
        <f>JobBonus[[#This Row],[Variable Pay]]+JobBonus[[#This Row],[Crew Efficiency Bonus]]+JobBonus[[#This Row],[OVPP]]+JobBonus[[#This Row],[StandBy/ Ext Amount]]</f>
        <v>0</v>
      </c>
      <c r="Z461" s="80"/>
      <c r="AA461" s="42"/>
      <c r="AB461" s="42"/>
      <c r="AC461"/>
      <c r="AD461"/>
      <c r="AE461"/>
      <c r="AF461"/>
    </row>
    <row r="462" spans="1:32" hidden="1" x14ac:dyDescent="0.25">
      <c r="A462" s="46"/>
      <c r="B462" s="80"/>
      <c r="C462" s="15"/>
      <c r="D462" s="15"/>
      <c r="E462" s="15"/>
      <c r="F462" s="15"/>
      <c r="G462" s="16"/>
      <c r="H462" s="16"/>
      <c r="I462" s="19" t="str">
        <f>IF(ISBLANK(JobBonus[[#This Row],[Employee Name]]),"",INDEX(Employees[Job Title],MATCH(JobBonus[[#This Row],[Employee Name]],Employees[Employee Name2],0)))</f>
        <v/>
      </c>
      <c r="J462" s="19" t="str">
        <f>IF(ISBLANK(JobBonus[[#This Row],[Job Prov]]),"",IF(JobBonus[[#This Row],[Job Prov]]=INDEX(Employees[Province],MATCH(JobBonus[[#This Row],[Employee Name]],Employees[Employee Name2],0)),"No","Yes"))</f>
        <v/>
      </c>
      <c r="K462" s="17"/>
      <c r="L462" s="19"/>
      <c r="M462" s="23"/>
      <c r="N462" s="23"/>
      <c r="O462" s="15"/>
      <c r="P462" s="15"/>
      <c r="Q462" s="15"/>
      <c r="R462" s="15"/>
      <c r="S462" s="44" cm="1">
        <f t="array" ref="S4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2" s="44" cm="1">
        <f t="array" ref="T4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2" s="44">
        <f>JobBonus[[#This Row],[Variable Pay]]+JobBonus[[#This Row],[Crew Efficiency Bonus]]</f>
        <v>0</v>
      </c>
      <c r="V462" s="44" cm="1">
        <f t="array" ref="V4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2" s="44" t="b">
        <f>_xlfn.IFNA(EXACT(VLOOKUP(JobBonus[[#This Row],[Pay Type]],PayTypes[#All],4,FALSE),"Yes"),FALSE)</f>
        <v>0</v>
      </c>
      <c r="X462" s="44" cm="1">
        <f t="array" ref="X462">SUMPRODUCT((StandByRates[Position]=JobBonus[[#This Row],[Position]])*(JobBonus[[#This Row],[Area]]=StandByRates[Area])*(StandByRates[Hourly]*JobBonus[[#This Row],[Standby/ Ext 
Hrs]]))</f>
        <v>0</v>
      </c>
      <c r="Y462" s="44">
        <f>JobBonus[[#This Row],[Variable Pay]]+JobBonus[[#This Row],[Crew Efficiency Bonus]]+JobBonus[[#This Row],[OVPP]]+JobBonus[[#This Row],[StandBy/ Ext Amount]]</f>
        <v>0</v>
      </c>
      <c r="Z462" s="80"/>
      <c r="AA462" s="42"/>
      <c r="AB462" s="42"/>
      <c r="AC462"/>
      <c r="AD462"/>
      <c r="AE462"/>
      <c r="AF462"/>
    </row>
    <row r="463" spans="1:32" hidden="1" x14ac:dyDescent="0.25">
      <c r="A463" s="46"/>
      <c r="B463" s="80"/>
      <c r="C463" s="15"/>
      <c r="D463" s="15"/>
      <c r="E463" s="15"/>
      <c r="F463" s="15"/>
      <c r="G463" s="16"/>
      <c r="H463" s="16"/>
      <c r="I463" s="19" t="str">
        <f>IF(ISBLANK(JobBonus[[#This Row],[Employee Name]]),"",INDEX(Employees[Job Title],MATCH(JobBonus[[#This Row],[Employee Name]],Employees[Employee Name2],0)))</f>
        <v/>
      </c>
      <c r="J463" s="19" t="str">
        <f>IF(ISBLANK(JobBonus[[#This Row],[Job Prov]]),"",IF(JobBonus[[#This Row],[Job Prov]]=INDEX(Employees[Province],MATCH(JobBonus[[#This Row],[Employee Name]],Employees[Employee Name2],0)),"No","Yes"))</f>
        <v/>
      </c>
      <c r="K463" s="17"/>
      <c r="L463" s="19"/>
      <c r="M463" s="23"/>
      <c r="N463" s="23"/>
      <c r="O463" s="15"/>
      <c r="P463" s="15"/>
      <c r="Q463" s="15"/>
      <c r="R463" s="15"/>
      <c r="S463" s="44" cm="1">
        <f t="array" ref="S4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3" s="44" cm="1">
        <f t="array" ref="T4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3" s="44">
        <f>JobBonus[[#This Row],[Variable Pay]]+JobBonus[[#This Row],[Crew Efficiency Bonus]]</f>
        <v>0</v>
      </c>
      <c r="V463" s="44" cm="1">
        <f t="array" ref="V4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3" s="44" t="b">
        <f>_xlfn.IFNA(EXACT(VLOOKUP(JobBonus[[#This Row],[Pay Type]],PayTypes[#All],4,FALSE),"Yes"),FALSE)</f>
        <v>0</v>
      </c>
      <c r="X463" s="44" cm="1">
        <f t="array" ref="X463">SUMPRODUCT((StandByRates[Position]=JobBonus[[#This Row],[Position]])*(JobBonus[[#This Row],[Area]]=StandByRates[Area])*(StandByRates[Hourly]*JobBonus[[#This Row],[Standby/ Ext 
Hrs]]))</f>
        <v>0</v>
      </c>
      <c r="Y463" s="44">
        <f>JobBonus[[#This Row],[Variable Pay]]+JobBonus[[#This Row],[Crew Efficiency Bonus]]+JobBonus[[#This Row],[OVPP]]+JobBonus[[#This Row],[StandBy/ Ext Amount]]</f>
        <v>0</v>
      </c>
      <c r="Z463" s="80"/>
      <c r="AA463" s="42"/>
      <c r="AB463" s="42"/>
      <c r="AC463"/>
      <c r="AD463"/>
      <c r="AE463"/>
      <c r="AF463"/>
    </row>
    <row r="464" spans="1:32" hidden="1" x14ac:dyDescent="0.25">
      <c r="A464" s="46"/>
      <c r="B464" s="80"/>
      <c r="C464" s="15"/>
      <c r="D464" s="15"/>
      <c r="E464" s="15"/>
      <c r="F464" s="15"/>
      <c r="G464" s="16"/>
      <c r="H464" s="16"/>
      <c r="I464" s="19" t="str">
        <f>IF(ISBLANK(JobBonus[[#This Row],[Employee Name]]),"",INDEX(Employees[Job Title],MATCH(JobBonus[[#This Row],[Employee Name]],Employees[Employee Name2],0)))</f>
        <v/>
      </c>
      <c r="J464" s="19" t="str">
        <f>IF(ISBLANK(JobBonus[[#This Row],[Job Prov]]),"",IF(JobBonus[[#This Row],[Job Prov]]=INDEX(Employees[Province],MATCH(JobBonus[[#This Row],[Employee Name]],Employees[Employee Name2],0)),"No","Yes"))</f>
        <v/>
      </c>
      <c r="K464" s="17"/>
      <c r="L464" s="19"/>
      <c r="M464" s="23"/>
      <c r="N464" s="23"/>
      <c r="O464" s="15"/>
      <c r="P464" s="15"/>
      <c r="Q464" s="15"/>
      <c r="R464" s="15"/>
      <c r="S464" s="44" cm="1">
        <f t="array" ref="S4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4" s="44" cm="1">
        <f t="array" ref="T4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4" s="44">
        <f>JobBonus[[#This Row],[Variable Pay]]+JobBonus[[#This Row],[Crew Efficiency Bonus]]</f>
        <v>0</v>
      </c>
      <c r="V464" s="44" cm="1">
        <f t="array" ref="V4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4" s="44" t="b">
        <f>_xlfn.IFNA(EXACT(VLOOKUP(JobBonus[[#This Row],[Pay Type]],PayTypes[#All],4,FALSE),"Yes"),FALSE)</f>
        <v>0</v>
      </c>
      <c r="X464" s="44" cm="1">
        <f t="array" ref="X464">SUMPRODUCT((StandByRates[Position]=JobBonus[[#This Row],[Position]])*(JobBonus[[#This Row],[Area]]=StandByRates[Area])*(StandByRates[Hourly]*JobBonus[[#This Row],[Standby/ Ext 
Hrs]]))</f>
        <v>0</v>
      </c>
      <c r="Y464" s="44">
        <f>JobBonus[[#This Row],[Variable Pay]]+JobBonus[[#This Row],[Crew Efficiency Bonus]]+JobBonus[[#This Row],[OVPP]]+JobBonus[[#This Row],[StandBy/ Ext Amount]]</f>
        <v>0</v>
      </c>
      <c r="Z464" s="80"/>
      <c r="AA464" s="42"/>
      <c r="AB464" s="42"/>
      <c r="AC464"/>
      <c r="AD464"/>
      <c r="AE464"/>
      <c r="AF464"/>
    </row>
    <row r="465" spans="1:32" hidden="1" x14ac:dyDescent="0.25">
      <c r="A465" s="46"/>
      <c r="B465" s="80"/>
      <c r="C465" s="15"/>
      <c r="D465" s="15"/>
      <c r="E465" s="15"/>
      <c r="F465" s="15"/>
      <c r="G465" s="16"/>
      <c r="H465" s="16"/>
      <c r="I465" s="19" t="str">
        <f>IF(ISBLANK(JobBonus[[#This Row],[Employee Name]]),"",INDEX(Employees[Job Title],MATCH(JobBonus[[#This Row],[Employee Name]],Employees[Employee Name2],0)))</f>
        <v/>
      </c>
      <c r="J465" s="19" t="str">
        <f>IF(ISBLANK(JobBonus[[#This Row],[Job Prov]]),"",IF(JobBonus[[#This Row],[Job Prov]]=INDEX(Employees[Province],MATCH(JobBonus[[#This Row],[Employee Name]],Employees[Employee Name2],0)),"No","Yes"))</f>
        <v/>
      </c>
      <c r="K465" s="17"/>
      <c r="L465" s="19"/>
      <c r="M465" s="23"/>
      <c r="N465" s="23"/>
      <c r="O465" s="15"/>
      <c r="P465" s="15"/>
      <c r="Q465" s="15"/>
      <c r="R465" s="15"/>
      <c r="S465" s="44" cm="1">
        <f t="array" ref="S4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5" s="44" cm="1">
        <f t="array" ref="T4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5" s="44">
        <f>JobBonus[[#This Row],[Variable Pay]]+JobBonus[[#This Row],[Crew Efficiency Bonus]]</f>
        <v>0</v>
      </c>
      <c r="V465" s="44" cm="1">
        <f t="array" ref="V4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5" s="44" t="b">
        <f>_xlfn.IFNA(EXACT(VLOOKUP(JobBonus[[#This Row],[Pay Type]],PayTypes[#All],4,FALSE),"Yes"),FALSE)</f>
        <v>0</v>
      </c>
      <c r="X465" s="44" cm="1">
        <f t="array" ref="X465">SUMPRODUCT((StandByRates[Position]=JobBonus[[#This Row],[Position]])*(JobBonus[[#This Row],[Area]]=StandByRates[Area])*(StandByRates[Hourly]*JobBonus[[#This Row],[Standby/ Ext 
Hrs]]))</f>
        <v>0</v>
      </c>
      <c r="Y465" s="44">
        <f>JobBonus[[#This Row],[Variable Pay]]+JobBonus[[#This Row],[Crew Efficiency Bonus]]+JobBonus[[#This Row],[OVPP]]+JobBonus[[#This Row],[StandBy/ Ext Amount]]</f>
        <v>0</v>
      </c>
      <c r="Z465" s="80"/>
      <c r="AA465" s="42"/>
      <c r="AB465" s="42"/>
      <c r="AC465"/>
      <c r="AD465"/>
      <c r="AE465"/>
      <c r="AF465"/>
    </row>
    <row r="466" spans="1:32" hidden="1" x14ac:dyDescent="0.25">
      <c r="A466" s="46"/>
      <c r="B466" s="80"/>
      <c r="C466" s="15"/>
      <c r="D466" s="15"/>
      <c r="E466" s="15"/>
      <c r="F466" s="15"/>
      <c r="G466" s="16"/>
      <c r="H466" s="16"/>
      <c r="I466" s="19" t="str">
        <f>IF(ISBLANK(JobBonus[[#This Row],[Employee Name]]),"",INDEX(Employees[Job Title],MATCH(JobBonus[[#This Row],[Employee Name]],Employees[Employee Name2],0)))</f>
        <v/>
      </c>
      <c r="J466" s="19" t="str">
        <f>IF(ISBLANK(JobBonus[[#This Row],[Job Prov]]),"",IF(JobBonus[[#This Row],[Job Prov]]=INDEX(Employees[Province],MATCH(JobBonus[[#This Row],[Employee Name]],Employees[Employee Name2],0)),"No","Yes"))</f>
        <v/>
      </c>
      <c r="K466" s="17"/>
      <c r="L466" s="19"/>
      <c r="M466" s="23"/>
      <c r="N466" s="23"/>
      <c r="O466" s="15"/>
      <c r="P466" s="15"/>
      <c r="Q466" s="15"/>
      <c r="R466" s="15"/>
      <c r="S466" s="44" cm="1">
        <f t="array" ref="S4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6" s="44" cm="1">
        <f t="array" ref="T4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6" s="44">
        <f>JobBonus[[#This Row],[Variable Pay]]+JobBonus[[#This Row],[Crew Efficiency Bonus]]</f>
        <v>0</v>
      </c>
      <c r="V466" s="44" cm="1">
        <f t="array" ref="V4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6" s="44" t="b">
        <f>_xlfn.IFNA(EXACT(VLOOKUP(JobBonus[[#This Row],[Pay Type]],PayTypes[#All],4,FALSE),"Yes"),FALSE)</f>
        <v>0</v>
      </c>
      <c r="X466" s="44" cm="1">
        <f t="array" ref="X466">SUMPRODUCT((StandByRates[Position]=JobBonus[[#This Row],[Position]])*(JobBonus[[#This Row],[Area]]=StandByRates[Area])*(StandByRates[Hourly]*JobBonus[[#This Row],[Standby/ Ext 
Hrs]]))</f>
        <v>0</v>
      </c>
      <c r="Y466" s="44">
        <f>JobBonus[[#This Row],[Variable Pay]]+JobBonus[[#This Row],[Crew Efficiency Bonus]]+JobBonus[[#This Row],[OVPP]]+JobBonus[[#This Row],[StandBy/ Ext Amount]]</f>
        <v>0</v>
      </c>
      <c r="Z466" s="80"/>
      <c r="AA466" s="42"/>
      <c r="AB466" s="42"/>
      <c r="AC466"/>
      <c r="AD466"/>
      <c r="AE466"/>
      <c r="AF466"/>
    </row>
    <row r="467" spans="1:32" hidden="1" x14ac:dyDescent="0.25">
      <c r="A467" s="46"/>
      <c r="B467" s="80"/>
      <c r="C467" s="15"/>
      <c r="D467" s="15"/>
      <c r="E467" s="15"/>
      <c r="F467" s="15"/>
      <c r="G467" s="16"/>
      <c r="H467" s="16"/>
      <c r="I467" s="19" t="str">
        <f>IF(ISBLANK(JobBonus[[#This Row],[Employee Name]]),"",INDEX(Employees[Job Title],MATCH(JobBonus[[#This Row],[Employee Name]],Employees[Employee Name2],0)))</f>
        <v/>
      </c>
      <c r="J467" s="19" t="str">
        <f>IF(ISBLANK(JobBonus[[#This Row],[Job Prov]]),"",IF(JobBonus[[#This Row],[Job Prov]]=INDEX(Employees[Province],MATCH(JobBonus[[#This Row],[Employee Name]],Employees[Employee Name2],0)),"No","Yes"))</f>
        <v/>
      </c>
      <c r="K467" s="17"/>
      <c r="L467" s="19"/>
      <c r="M467" s="23"/>
      <c r="N467" s="23"/>
      <c r="O467" s="15"/>
      <c r="P467" s="15"/>
      <c r="Q467" s="15"/>
      <c r="R467" s="15"/>
      <c r="S467" s="44" cm="1">
        <f t="array" ref="S4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7" s="44" cm="1">
        <f t="array" ref="T4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7" s="44">
        <f>JobBonus[[#This Row],[Variable Pay]]+JobBonus[[#This Row],[Crew Efficiency Bonus]]</f>
        <v>0</v>
      </c>
      <c r="V467" s="44" cm="1">
        <f t="array" ref="V4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7" s="44" t="b">
        <f>_xlfn.IFNA(EXACT(VLOOKUP(JobBonus[[#This Row],[Pay Type]],PayTypes[#All],4,FALSE),"Yes"),FALSE)</f>
        <v>0</v>
      </c>
      <c r="X467" s="44" cm="1">
        <f t="array" ref="X467">SUMPRODUCT((StandByRates[Position]=JobBonus[[#This Row],[Position]])*(JobBonus[[#This Row],[Area]]=StandByRates[Area])*(StandByRates[Hourly]*JobBonus[[#This Row],[Standby/ Ext 
Hrs]]))</f>
        <v>0</v>
      </c>
      <c r="Y467" s="44">
        <f>JobBonus[[#This Row],[Variable Pay]]+JobBonus[[#This Row],[Crew Efficiency Bonus]]+JobBonus[[#This Row],[OVPP]]+JobBonus[[#This Row],[StandBy/ Ext Amount]]</f>
        <v>0</v>
      </c>
      <c r="Z467" s="80"/>
      <c r="AA467" s="42"/>
      <c r="AB467" s="42"/>
      <c r="AC467"/>
      <c r="AD467"/>
      <c r="AE467"/>
      <c r="AF467"/>
    </row>
    <row r="468" spans="1:32" hidden="1" x14ac:dyDescent="0.25">
      <c r="A468" s="46"/>
      <c r="B468" s="80"/>
      <c r="C468" s="15"/>
      <c r="D468" s="15"/>
      <c r="E468" s="15"/>
      <c r="F468" s="15"/>
      <c r="G468" s="16"/>
      <c r="H468" s="16"/>
      <c r="I468" s="19" t="str">
        <f>IF(ISBLANK(JobBonus[[#This Row],[Employee Name]]),"",INDEX(Employees[Job Title],MATCH(JobBonus[[#This Row],[Employee Name]],Employees[Employee Name2],0)))</f>
        <v/>
      </c>
      <c r="J468" s="19" t="str">
        <f>IF(ISBLANK(JobBonus[[#This Row],[Job Prov]]),"",IF(JobBonus[[#This Row],[Job Prov]]=INDEX(Employees[Province],MATCH(JobBonus[[#This Row],[Employee Name]],Employees[Employee Name2],0)),"No","Yes"))</f>
        <v/>
      </c>
      <c r="K468" s="17"/>
      <c r="L468" s="19"/>
      <c r="M468" s="23"/>
      <c r="N468" s="23"/>
      <c r="O468" s="15"/>
      <c r="P468" s="15"/>
      <c r="Q468" s="15"/>
      <c r="R468" s="15"/>
      <c r="S468" s="44" cm="1">
        <f t="array" ref="S4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8" s="44" cm="1">
        <f t="array" ref="T4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8" s="44">
        <f>JobBonus[[#This Row],[Variable Pay]]+JobBonus[[#This Row],[Crew Efficiency Bonus]]</f>
        <v>0</v>
      </c>
      <c r="V468" s="44" cm="1">
        <f t="array" ref="V4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8" s="44" t="b">
        <f>_xlfn.IFNA(EXACT(VLOOKUP(JobBonus[[#This Row],[Pay Type]],PayTypes[#All],4,FALSE),"Yes"),FALSE)</f>
        <v>0</v>
      </c>
      <c r="X468" s="44" cm="1">
        <f t="array" ref="X468">SUMPRODUCT((StandByRates[Position]=JobBonus[[#This Row],[Position]])*(JobBonus[[#This Row],[Area]]=StandByRates[Area])*(StandByRates[Hourly]*JobBonus[[#This Row],[Standby/ Ext 
Hrs]]))</f>
        <v>0</v>
      </c>
      <c r="Y468" s="44">
        <f>JobBonus[[#This Row],[Variable Pay]]+JobBonus[[#This Row],[Crew Efficiency Bonus]]+JobBonus[[#This Row],[OVPP]]+JobBonus[[#This Row],[StandBy/ Ext Amount]]</f>
        <v>0</v>
      </c>
      <c r="Z468" s="80"/>
      <c r="AA468" s="42"/>
      <c r="AB468" s="42"/>
      <c r="AC468"/>
      <c r="AD468"/>
      <c r="AE468"/>
      <c r="AF468"/>
    </row>
    <row r="469" spans="1:32" hidden="1" x14ac:dyDescent="0.25">
      <c r="A469" s="46"/>
      <c r="B469" s="80"/>
      <c r="C469" s="15"/>
      <c r="D469" s="15"/>
      <c r="E469" s="15"/>
      <c r="F469" s="15"/>
      <c r="G469" s="16"/>
      <c r="H469" s="16"/>
      <c r="I469" s="19" t="str">
        <f>IF(ISBLANK(JobBonus[[#This Row],[Employee Name]]),"",INDEX(Employees[Job Title],MATCH(JobBonus[[#This Row],[Employee Name]],Employees[Employee Name2],0)))</f>
        <v/>
      </c>
      <c r="J469" s="19" t="str">
        <f>IF(ISBLANK(JobBonus[[#This Row],[Job Prov]]),"",IF(JobBonus[[#This Row],[Job Prov]]=INDEX(Employees[Province],MATCH(JobBonus[[#This Row],[Employee Name]],Employees[Employee Name2],0)),"No","Yes"))</f>
        <v/>
      </c>
      <c r="K469" s="17"/>
      <c r="L469" s="19"/>
      <c r="M469" s="23"/>
      <c r="N469" s="23"/>
      <c r="O469" s="15"/>
      <c r="P469" s="15"/>
      <c r="Q469" s="15"/>
      <c r="R469" s="15"/>
      <c r="S469" s="44" cm="1">
        <f t="array" ref="S4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9" s="44" cm="1">
        <f t="array" ref="T4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9" s="44">
        <f>JobBonus[[#This Row],[Variable Pay]]+JobBonus[[#This Row],[Crew Efficiency Bonus]]</f>
        <v>0</v>
      </c>
      <c r="V469" s="44" cm="1">
        <f t="array" ref="V4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9" s="44" t="b">
        <f>_xlfn.IFNA(EXACT(VLOOKUP(JobBonus[[#This Row],[Pay Type]],PayTypes[#All],4,FALSE),"Yes"),FALSE)</f>
        <v>0</v>
      </c>
      <c r="X469" s="44" cm="1">
        <f t="array" ref="X469">SUMPRODUCT((StandByRates[Position]=JobBonus[[#This Row],[Position]])*(JobBonus[[#This Row],[Area]]=StandByRates[Area])*(StandByRates[Hourly]*JobBonus[[#This Row],[Standby/ Ext 
Hrs]]))</f>
        <v>0</v>
      </c>
      <c r="Y469" s="44">
        <f>JobBonus[[#This Row],[Variable Pay]]+JobBonus[[#This Row],[Crew Efficiency Bonus]]+JobBonus[[#This Row],[OVPP]]+JobBonus[[#This Row],[StandBy/ Ext Amount]]</f>
        <v>0</v>
      </c>
      <c r="Z469" s="80"/>
      <c r="AA469" s="42"/>
      <c r="AB469" s="42"/>
      <c r="AC469"/>
      <c r="AD469"/>
      <c r="AE469"/>
      <c r="AF469"/>
    </row>
    <row r="470" spans="1:32" hidden="1" x14ac:dyDescent="0.25">
      <c r="A470" s="46"/>
      <c r="B470" s="80"/>
      <c r="C470" s="15"/>
      <c r="D470" s="15"/>
      <c r="E470" s="15"/>
      <c r="F470" s="15"/>
      <c r="G470" s="16"/>
      <c r="H470" s="16"/>
      <c r="I470" s="19" t="str">
        <f>IF(ISBLANK(JobBonus[[#This Row],[Employee Name]]),"",INDEX(Employees[Job Title],MATCH(JobBonus[[#This Row],[Employee Name]],Employees[Employee Name2],0)))</f>
        <v/>
      </c>
      <c r="J470" s="19" t="str">
        <f>IF(ISBLANK(JobBonus[[#This Row],[Job Prov]]),"",IF(JobBonus[[#This Row],[Job Prov]]=INDEX(Employees[Province],MATCH(JobBonus[[#This Row],[Employee Name]],Employees[Employee Name2],0)),"No","Yes"))</f>
        <v/>
      </c>
      <c r="K470" s="17"/>
      <c r="L470" s="19"/>
      <c r="M470" s="23"/>
      <c r="N470" s="23"/>
      <c r="O470" s="15"/>
      <c r="P470" s="15"/>
      <c r="Q470" s="15"/>
      <c r="R470" s="15"/>
      <c r="S470" s="44" cm="1">
        <f t="array" ref="S4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0" s="44" cm="1">
        <f t="array" ref="T4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0" s="44">
        <f>JobBonus[[#This Row],[Variable Pay]]+JobBonus[[#This Row],[Crew Efficiency Bonus]]</f>
        <v>0</v>
      </c>
      <c r="V470" s="44" cm="1">
        <f t="array" ref="V4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0" s="44" t="b">
        <f>_xlfn.IFNA(EXACT(VLOOKUP(JobBonus[[#This Row],[Pay Type]],PayTypes[#All],4,FALSE),"Yes"),FALSE)</f>
        <v>0</v>
      </c>
      <c r="X470" s="44" cm="1">
        <f t="array" ref="X470">SUMPRODUCT((StandByRates[Position]=JobBonus[[#This Row],[Position]])*(JobBonus[[#This Row],[Area]]=StandByRates[Area])*(StandByRates[Hourly]*JobBonus[[#This Row],[Standby/ Ext 
Hrs]]))</f>
        <v>0</v>
      </c>
      <c r="Y470" s="44">
        <f>JobBonus[[#This Row],[Variable Pay]]+JobBonus[[#This Row],[Crew Efficiency Bonus]]+JobBonus[[#This Row],[OVPP]]+JobBonus[[#This Row],[StandBy/ Ext Amount]]</f>
        <v>0</v>
      </c>
      <c r="Z470" s="80"/>
      <c r="AA470" s="42"/>
      <c r="AB470" s="42"/>
      <c r="AC470"/>
      <c r="AD470"/>
      <c r="AE470"/>
      <c r="AF470"/>
    </row>
    <row r="471" spans="1:32" hidden="1" x14ac:dyDescent="0.25">
      <c r="A471" s="46"/>
      <c r="B471" s="80"/>
      <c r="C471" s="15"/>
      <c r="D471" s="15"/>
      <c r="E471" s="15"/>
      <c r="F471" s="15"/>
      <c r="G471" s="16"/>
      <c r="H471" s="16"/>
      <c r="I471" s="19" t="str">
        <f>IF(ISBLANK(JobBonus[[#This Row],[Employee Name]]),"",INDEX(Employees[Job Title],MATCH(JobBonus[[#This Row],[Employee Name]],Employees[Employee Name2],0)))</f>
        <v/>
      </c>
      <c r="J471" s="19" t="str">
        <f>IF(ISBLANK(JobBonus[[#This Row],[Job Prov]]),"",IF(JobBonus[[#This Row],[Job Prov]]=INDEX(Employees[Province],MATCH(JobBonus[[#This Row],[Employee Name]],Employees[Employee Name2],0)),"No","Yes"))</f>
        <v/>
      </c>
      <c r="K471" s="17"/>
      <c r="L471" s="19"/>
      <c r="M471" s="23"/>
      <c r="N471" s="23"/>
      <c r="O471" s="15"/>
      <c r="P471" s="15"/>
      <c r="Q471" s="15"/>
      <c r="R471" s="15"/>
      <c r="S471" s="44" cm="1">
        <f t="array" ref="S4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1" s="44" cm="1">
        <f t="array" ref="T4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1" s="44">
        <f>JobBonus[[#This Row],[Variable Pay]]+JobBonus[[#This Row],[Crew Efficiency Bonus]]</f>
        <v>0</v>
      </c>
      <c r="V471" s="44" cm="1">
        <f t="array" ref="V4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1" s="44" t="b">
        <f>_xlfn.IFNA(EXACT(VLOOKUP(JobBonus[[#This Row],[Pay Type]],PayTypes[#All],4,FALSE),"Yes"),FALSE)</f>
        <v>0</v>
      </c>
      <c r="X471" s="44" cm="1">
        <f t="array" ref="X471">SUMPRODUCT((StandByRates[Position]=JobBonus[[#This Row],[Position]])*(JobBonus[[#This Row],[Area]]=StandByRates[Area])*(StandByRates[Hourly]*JobBonus[[#This Row],[Standby/ Ext 
Hrs]]))</f>
        <v>0</v>
      </c>
      <c r="Y471" s="44">
        <f>JobBonus[[#This Row],[Variable Pay]]+JobBonus[[#This Row],[Crew Efficiency Bonus]]+JobBonus[[#This Row],[OVPP]]+JobBonus[[#This Row],[StandBy/ Ext Amount]]</f>
        <v>0</v>
      </c>
      <c r="Z471" s="80"/>
      <c r="AA471" s="42"/>
      <c r="AB471" s="42"/>
      <c r="AC471"/>
      <c r="AD471"/>
      <c r="AE471"/>
      <c r="AF471"/>
    </row>
    <row r="472" spans="1:32" hidden="1" x14ac:dyDescent="0.25">
      <c r="A472" s="46"/>
      <c r="B472" s="80"/>
      <c r="C472" s="15"/>
      <c r="D472" s="15"/>
      <c r="E472" s="15"/>
      <c r="F472" s="15"/>
      <c r="G472" s="16"/>
      <c r="H472" s="16"/>
      <c r="I472" s="19" t="str">
        <f>IF(ISBLANK(JobBonus[[#This Row],[Employee Name]]),"",INDEX(Employees[Job Title],MATCH(JobBonus[[#This Row],[Employee Name]],Employees[Employee Name2],0)))</f>
        <v/>
      </c>
      <c r="J472" s="19" t="str">
        <f>IF(ISBLANK(JobBonus[[#This Row],[Job Prov]]),"",IF(JobBonus[[#This Row],[Job Prov]]=INDEX(Employees[Province],MATCH(JobBonus[[#This Row],[Employee Name]],Employees[Employee Name2],0)),"No","Yes"))</f>
        <v/>
      </c>
      <c r="K472" s="17"/>
      <c r="L472" s="19"/>
      <c r="M472" s="23"/>
      <c r="N472" s="23"/>
      <c r="O472" s="15"/>
      <c r="P472" s="15"/>
      <c r="Q472" s="15"/>
      <c r="R472" s="15"/>
      <c r="S472" s="44" cm="1">
        <f t="array" ref="S4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2" s="44" cm="1">
        <f t="array" ref="T4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2" s="44">
        <f>JobBonus[[#This Row],[Variable Pay]]+JobBonus[[#This Row],[Crew Efficiency Bonus]]</f>
        <v>0</v>
      </c>
      <c r="V472" s="44" cm="1">
        <f t="array" ref="V4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2" s="44" t="b">
        <f>_xlfn.IFNA(EXACT(VLOOKUP(JobBonus[[#This Row],[Pay Type]],PayTypes[#All],4,FALSE),"Yes"),FALSE)</f>
        <v>0</v>
      </c>
      <c r="X472" s="44" cm="1">
        <f t="array" ref="X472">SUMPRODUCT((StandByRates[Position]=JobBonus[[#This Row],[Position]])*(JobBonus[[#This Row],[Area]]=StandByRates[Area])*(StandByRates[Hourly]*JobBonus[[#This Row],[Standby/ Ext 
Hrs]]))</f>
        <v>0</v>
      </c>
      <c r="Y472" s="44">
        <f>JobBonus[[#This Row],[Variable Pay]]+JobBonus[[#This Row],[Crew Efficiency Bonus]]+JobBonus[[#This Row],[OVPP]]+JobBonus[[#This Row],[StandBy/ Ext Amount]]</f>
        <v>0</v>
      </c>
      <c r="Z472" s="80"/>
      <c r="AA472" s="42"/>
      <c r="AB472" s="42"/>
      <c r="AC472"/>
      <c r="AD472"/>
      <c r="AE472"/>
      <c r="AF472"/>
    </row>
    <row r="473" spans="1:32" hidden="1" x14ac:dyDescent="0.25">
      <c r="A473" s="46"/>
      <c r="B473" s="80"/>
      <c r="C473" s="15"/>
      <c r="D473" s="15"/>
      <c r="E473" s="15"/>
      <c r="F473" s="15"/>
      <c r="G473" s="16"/>
      <c r="H473" s="16"/>
      <c r="I473" s="19" t="str">
        <f>IF(ISBLANK(JobBonus[[#This Row],[Employee Name]]),"",INDEX(Employees[Job Title],MATCH(JobBonus[[#This Row],[Employee Name]],Employees[Employee Name2],0)))</f>
        <v/>
      </c>
      <c r="J473" s="19" t="str">
        <f>IF(ISBLANK(JobBonus[[#This Row],[Job Prov]]),"",IF(JobBonus[[#This Row],[Job Prov]]=INDEX(Employees[Province],MATCH(JobBonus[[#This Row],[Employee Name]],Employees[Employee Name2],0)),"No","Yes"))</f>
        <v/>
      </c>
      <c r="K473" s="17"/>
      <c r="L473" s="19"/>
      <c r="M473" s="23"/>
      <c r="N473" s="23"/>
      <c r="O473" s="15"/>
      <c r="P473" s="15"/>
      <c r="Q473" s="15"/>
      <c r="R473" s="15"/>
      <c r="S473" s="44" cm="1">
        <f t="array" ref="S4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3" s="44" cm="1">
        <f t="array" ref="T4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3" s="44">
        <f>JobBonus[[#This Row],[Variable Pay]]+JobBonus[[#This Row],[Crew Efficiency Bonus]]</f>
        <v>0</v>
      </c>
      <c r="V473" s="44" cm="1">
        <f t="array" ref="V4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3" s="44" t="b">
        <f>_xlfn.IFNA(EXACT(VLOOKUP(JobBonus[[#This Row],[Pay Type]],PayTypes[#All],4,FALSE),"Yes"),FALSE)</f>
        <v>0</v>
      </c>
      <c r="X473" s="44" cm="1">
        <f t="array" ref="X473">SUMPRODUCT((StandByRates[Position]=JobBonus[[#This Row],[Position]])*(JobBonus[[#This Row],[Area]]=StandByRates[Area])*(StandByRates[Hourly]*JobBonus[[#This Row],[Standby/ Ext 
Hrs]]))</f>
        <v>0</v>
      </c>
      <c r="Y473" s="44">
        <f>JobBonus[[#This Row],[Variable Pay]]+JobBonus[[#This Row],[Crew Efficiency Bonus]]+JobBonus[[#This Row],[OVPP]]+JobBonus[[#This Row],[StandBy/ Ext Amount]]</f>
        <v>0</v>
      </c>
      <c r="Z473" s="80"/>
      <c r="AA473" s="42"/>
      <c r="AB473" s="42"/>
      <c r="AC473"/>
      <c r="AD473"/>
      <c r="AE473"/>
      <c r="AF473"/>
    </row>
    <row r="474" spans="1:32" hidden="1" x14ac:dyDescent="0.25">
      <c r="A474" s="46"/>
      <c r="B474" s="80"/>
      <c r="C474" s="15"/>
      <c r="D474" s="15"/>
      <c r="E474" s="15"/>
      <c r="F474" s="15"/>
      <c r="G474" s="16"/>
      <c r="H474" s="16"/>
      <c r="I474" s="19" t="str">
        <f>IF(ISBLANK(JobBonus[[#This Row],[Employee Name]]),"",INDEX(Employees[Job Title],MATCH(JobBonus[[#This Row],[Employee Name]],Employees[Employee Name2],0)))</f>
        <v/>
      </c>
      <c r="J474" s="19" t="str">
        <f>IF(ISBLANK(JobBonus[[#This Row],[Job Prov]]),"",IF(JobBonus[[#This Row],[Job Prov]]=INDEX(Employees[Province],MATCH(JobBonus[[#This Row],[Employee Name]],Employees[Employee Name2],0)),"No","Yes"))</f>
        <v/>
      </c>
      <c r="K474" s="17"/>
      <c r="L474" s="19"/>
      <c r="M474" s="23"/>
      <c r="N474" s="23"/>
      <c r="O474" s="15"/>
      <c r="P474" s="15"/>
      <c r="Q474" s="15"/>
      <c r="R474" s="15"/>
      <c r="S474" s="44" cm="1">
        <f t="array" ref="S4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4" s="44" cm="1">
        <f t="array" ref="T4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4" s="44">
        <f>JobBonus[[#This Row],[Variable Pay]]+JobBonus[[#This Row],[Crew Efficiency Bonus]]</f>
        <v>0</v>
      </c>
      <c r="V474" s="44" cm="1">
        <f t="array" ref="V4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4" s="44" t="b">
        <f>_xlfn.IFNA(EXACT(VLOOKUP(JobBonus[[#This Row],[Pay Type]],PayTypes[#All],4,FALSE),"Yes"),FALSE)</f>
        <v>0</v>
      </c>
      <c r="X474" s="44" cm="1">
        <f t="array" ref="X474">SUMPRODUCT((StandByRates[Position]=JobBonus[[#This Row],[Position]])*(JobBonus[[#This Row],[Area]]=StandByRates[Area])*(StandByRates[Hourly]*JobBonus[[#This Row],[Standby/ Ext 
Hrs]]))</f>
        <v>0</v>
      </c>
      <c r="Y474" s="44">
        <f>JobBonus[[#This Row],[Variable Pay]]+JobBonus[[#This Row],[Crew Efficiency Bonus]]+JobBonus[[#This Row],[OVPP]]+JobBonus[[#This Row],[StandBy/ Ext Amount]]</f>
        <v>0</v>
      </c>
      <c r="Z474" s="80"/>
      <c r="AA474" s="42"/>
      <c r="AB474" s="42"/>
      <c r="AC474"/>
      <c r="AD474"/>
      <c r="AE474"/>
      <c r="AF474"/>
    </row>
    <row r="475" spans="1:32" hidden="1" x14ac:dyDescent="0.25">
      <c r="A475" s="46"/>
      <c r="B475" s="80"/>
      <c r="C475" s="15"/>
      <c r="D475" s="15"/>
      <c r="E475" s="15"/>
      <c r="F475" s="15"/>
      <c r="G475" s="16"/>
      <c r="H475" s="16"/>
      <c r="I475" s="19" t="str">
        <f>IF(ISBLANK(JobBonus[[#This Row],[Employee Name]]),"",INDEX(Employees[Job Title],MATCH(JobBonus[[#This Row],[Employee Name]],Employees[Employee Name2],0)))</f>
        <v/>
      </c>
      <c r="J475" s="19" t="str">
        <f>IF(ISBLANK(JobBonus[[#This Row],[Job Prov]]),"",IF(JobBonus[[#This Row],[Job Prov]]=INDEX(Employees[Province],MATCH(JobBonus[[#This Row],[Employee Name]],Employees[Employee Name2],0)),"No","Yes"))</f>
        <v/>
      </c>
      <c r="K475" s="17"/>
      <c r="L475" s="19"/>
      <c r="M475" s="23"/>
      <c r="N475" s="23"/>
      <c r="O475" s="15"/>
      <c r="P475" s="15"/>
      <c r="Q475" s="15"/>
      <c r="R475" s="15"/>
      <c r="S475" s="44" cm="1">
        <f t="array" ref="S4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5" s="44" cm="1">
        <f t="array" ref="T4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5" s="44">
        <f>JobBonus[[#This Row],[Variable Pay]]+JobBonus[[#This Row],[Crew Efficiency Bonus]]</f>
        <v>0</v>
      </c>
      <c r="V475" s="44" cm="1">
        <f t="array" ref="V4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5" s="44" t="b">
        <f>_xlfn.IFNA(EXACT(VLOOKUP(JobBonus[[#This Row],[Pay Type]],PayTypes[#All],4,FALSE),"Yes"),FALSE)</f>
        <v>0</v>
      </c>
      <c r="X475" s="44" cm="1">
        <f t="array" ref="X475">SUMPRODUCT((StandByRates[Position]=JobBonus[[#This Row],[Position]])*(JobBonus[[#This Row],[Area]]=StandByRates[Area])*(StandByRates[Hourly]*JobBonus[[#This Row],[Standby/ Ext 
Hrs]]))</f>
        <v>0</v>
      </c>
      <c r="Y475" s="44">
        <f>JobBonus[[#This Row],[Variable Pay]]+JobBonus[[#This Row],[Crew Efficiency Bonus]]+JobBonus[[#This Row],[OVPP]]+JobBonus[[#This Row],[StandBy/ Ext Amount]]</f>
        <v>0</v>
      </c>
      <c r="Z475" s="80"/>
      <c r="AA475" s="42"/>
      <c r="AB475" s="42"/>
      <c r="AC475"/>
      <c r="AD475"/>
      <c r="AE475"/>
      <c r="AF475"/>
    </row>
    <row r="476" spans="1:32" hidden="1" x14ac:dyDescent="0.25">
      <c r="A476" s="46"/>
      <c r="B476" s="80"/>
      <c r="C476" s="15"/>
      <c r="D476" s="15"/>
      <c r="E476" s="15"/>
      <c r="F476" s="15"/>
      <c r="G476" s="16"/>
      <c r="H476" s="16"/>
      <c r="I476" s="19" t="str">
        <f>IF(ISBLANK(JobBonus[[#This Row],[Employee Name]]),"",INDEX(Employees[Job Title],MATCH(JobBonus[[#This Row],[Employee Name]],Employees[Employee Name2],0)))</f>
        <v/>
      </c>
      <c r="J476" s="19" t="str">
        <f>IF(ISBLANK(JobBonus[[#This Row],[Job Prov]]),"",IF(JobBonus[[#This Row],[Job Prov]]=INDEX(Employees[Province],MATCH(JobBonus[[#This Row],[Employee Name]],Employees[Employee Name2],0)),"No","Yes"))</f>
        <v/>
      </c>
      <c r="K476" s="17"/>
      <c r="L476" s="19"/>
      <c r="M476" s="23"/>
      <c r="N476" s="23"/>
      <c r="O476" s="15"/>
      <c r="P476" s="15"/>
      <c r="Q476" s="15"/>
      <c r="R476" s="15"/>
      <c r="S476" s="44" cm="1">
        <f t="array" ref="S4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6" s="44" cm="1">
        <f t="array" ref="T4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6" s="44">
        <f>JobBonus[[#This Row],[Variable Pay]]+JobBonus[[#This Row],[Crew Efficiency Bonus]]</f>
        <v>0</v>
      </c>
      <c r="V476" s="44" cm="1">
        <f t="array" ref="V4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6" s="44" t="b">
        <f>_xlfn.IFNA(EXACT(VLOOKUP(JobBonus[[#This Row],[Pay Type]],PayTypes[#All],4,FALSE),"Yes"),FALSE)</f>
        <v>0</v>
      </c>
      <c r="X476" s="44" cm="1">
        <f t="array" ref="X476">SUMPRODUCT((StandByRates[Position]=JobBonus[[#This Row],[Position]])*(JobBonus[[#This Row],[Area]]=StandByRates[Area])*(StandByRates[Hourly]*JobBonus[[#This Row],[Standby/ Ext 
Hrs]]))</f>
        <v>0</v>
      </c>
      <c r="Y476" s="44">
        <f>JobBonus[[#This Row],[Variable Pay]]+JobBonus[[#This Row],[Crew Efficiency Bonus]]+JobBonus[[#This Row],[OVPP]]+JobBonus[[#This Row],[StandBy/ Ext Amount]]</f>
        <v>0</v>
      </c>
      <c r="Z476" s="80"/>
      <c r="AA476" s="42"/>
      <c r="AB476" s="42"/>
      <c r="AC476"/>
      <c r="AD476"/>
      <c r="AE476"/>
      <c r="AF476"/>
    </row>
    <row r="477" spans="1:32" hidden="1" x14ac:dyDescent="0.25">
      <c r="A477" s="46"/>
      <c r="B477" s="80"/>
      <c r="C477" s="15"/>
      <c r="D477" s="15"/>
      <c r="E477" s="15"/>
      <c r="F477" s="15"/>
      <c r="G477" s="16"/>
      <c r="H477" s="16"/>
      <c r="I477" s="19" t="str">
        <f>IF(ISBLANK(JobBonus[[#This Row],[Employee Name]]),"",INDEX(Employees[Job Title],MATCH(JobBonus[[#This Row],[Employee Name]],Employees[Employee Name2],0)))</f>
        <v/>
      </c>
      <c r="J477" s="19" t="str">
        <f>IF(ISBLANK(JobBonus[[#This Row],[Job Prov]]),"",IF(JobBonus[[#This Row],[Job Prov]]=INDEX(Employees[Province],MATCH(JobBonus[[#This Row],[Employee Name]],Employees[Employee Name2],0)),"No","Yes"))</f>
        <v/>
      </c>
      <c r="K477" s="17"/>
      <c r="L477" s="19"/>
      <c r="M477" s="23"/>
      <c r="N477" s="23"/>
      <c r="O477" s="15"/>
      <c r="P477" s="15"/>
      <c r="Q477" s="15"/>
      <c r="R477" s="15"/>
      <c r="S477" s="44" cm="1">
        <f t="array" ref="S4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7" s="44" cm="1">
        <f t="array" ref="T4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7" s="44">
        <f>JobBonus[[#This Row],[Variable Pay]]+JobBonus[[#This Row],[Crew Efficiency Bonus]]</f>
        <v>0</v>
      </c>
      <c r="V477" s="44" cm="1">
        <f t="array" ref="V4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7" s="44" t="b">
        <f>_xlfn.IFNA(EXACT(VLOOKUP(JobBonus[[#This Row],[Pay Type]],PayTypes[#All],4,FALSE),"Yes"),FALSE)</f>
        <v>0</v>
      </c>
      <c r="X477" s="44" cm="1">
        <f t="array" ref="X477">SUMPRODUCT((StandByRates[Position]=JobBonus[[#This Row],[Position]])*(JobBonus[[#This Row],[Area]]=StandByRates[Area])*(StandByRates[Hourly]*JobBonus[[#This Row],[Standby/ Ext 
Hrs]]))</f>
        <v>0</v>
      </c>
      <c r="Y477" s="44">
        <f>JobBonus[[#This Row],[Variable Pay]]+JobBonus[[#This Row],[Crew Efficiency Bonus]]+JobBonus[[#This Row],[OVPP]]+JobBonus[[#This Row],[StandBy/ Ext Amount]]</f>
        <v>0</v>
      </c>
      <c r="Z477" s="80"/>
      <c r="AA477" s="42"/>
      <c r="AB477" s="42"/>
      <c r="AC477"/>
      <c r="AD477"/>
      <c r="AE477"/>
      <c r="AF477"/>
    </row>
    <row r="478" spans="1:32" hidden="1" x14ac:dyDescent="0.25">
      <c r="A478" s="46"/>
      <c r="B478" s="80"/>
      <c r="C478" s="15"/>
      <c r="D478" s="15"/>
      <c r="E478" s="15"/>
      <c r="F478" s="15"/>
      <c r="G478" s="16"/>
      <c r="H478" s="16"/>
      <c r="I478" s="19" t="str">
        <f>IF(ISBLANK(JobBonus[[#This Row],[Employee Name]]),"",INDEX(Employees[Job Title],MATCH(JobBonus[[#This Row],[Employee Name]],Employees[Employee Name2],0)))</f>
        <v/>
      </c>
      <c r="J478" s="19" t="str">
        <f>IF(ISBLANK(JobBonus[[#This Row],[Job Prov]]),"",IF(JobBonus[[#This Row],[Job Prov]]=INDEX(Employees[Province],MATCH(JobBonus[[#This Row],[Employee Name]],Employees[Employee Name2],0)),"No","Yes"))</f>
        <v/>
      </c>
      <c r="K478" s="17"/>
      <c r="L478" s="19"/>
      <c r="M478" s="23"/>
      <c r="N478" s="23"/>
      <c r="O478" s="15"/>
      <c r="P478" s="15"/>
      <c r="Q478" s="15"/>
      <c r="R478" s="15"/>
      <c r="S478" s="44" cm="1">
        <f t="array" ref="S4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8" s="44" cm="1">
        <f t="array" ref="T4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8" s="44">
        <f>JobBonus[[#This Row],[Variable Pay]]+JobBonus[[#This Row],[Crew Efficiency Bonus]]</f>
        <v>0</v>
      </c>
      <c r="V478" s="44" cm="1">
        <f t="array" ref="V4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8" s="44" t="b">
        <f>_xlfn.IFNA(EXACT(VLOOKUP(JobBonus[[#This Row],[Pay Type]],PayTypes[#All],4,FALSE),"Yes"),FALSE)</f>
        <v>0</v>
      </c>
      <c r="X478" s="44" cm="1">
        <f t="array" ref="X478">SUMPRODUCT((StandByRates[Position]=JobBonus[[#This Row],[Position]])*(JobBonus[[#This Row],[Area]]=StandByRates[Area])*(StandByRates[Hourly]*JobBonus[[#This Row],[Standby/ Ext 
Hrs]]))</f>
        <v>0</v>
      </c>
      <c r="Y478" s="44">
        <f>JobBonus[[#This Row],[Variable Pay]]+JobBonus[[#This Row],[Crew Efficiency Bonus]]+JobBonus[[#This Row],[OVPP]]+JobBonus[[#This Row],[StandBy/ Ext Amount]]</f>
        <v>0</v>
      </c>
      <c r="Z478" s="80"/>
      <c r="AA478" s="42"/>
      <c r="AB478" s="42"/>
      <c r="AC478"/>
      <c r="AD478"/>
      <c r="AE478"/>
      <c r="AF478"/>
    </row>
    <row r="479" spans="1:32" hidden="1" x14ac:dyDescent="0.25">
      <c r="A479" s="46"/>
      <c r="B479" s="80"/>
      <c r="C479" s="15"/>
      <c r="D479" s="15"/>
      <c r="E479" s="15"/>
      <c r="F479" s="15"/>
      <c r="G479" s="16"/>
      <c r="H479" s="16"/>
      <c r="I479" s="19" t="str">
        <f>IF(ISBLANK(JobBonus[[#This Row],[Employee Name]]),"",INDEX(Employees[Job Title],MATCH(JobBonus[[#This Row],[Employee Name]],Employees[Employee Name2],0)))</f>
        <v/>
      </c>
      <c r="J479" s="19" t="str">
        <f>IF(ISBLANK(JobBonus[[#This Row],[Job Prov]]),"",IF(JobBonus[[#This Row],[Job Prov]]=INDEX(Employees[Province],MATCH(JobBonus[[#This Row],[Employee Name]],Employees[Employee Name2],0)),"No","Yes"))</f>
        <v/>
      </c>
      <c r="K479" s="17"/>
      <c r="L479" s="19"/>
      <c r="M479" s="23"/>
      <c r="N479" s="23"/>
      <c r="O479" s="15"/>
      <c r="P479" s="15"/>
      <c r="Q479" s="15"/>
      <c r="R479" s="15"/>
      <c r="S479" s="44" cm="1">
        <f t="array" ref="S4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9" s="44" cm="1">
        <f t="array" ref="T4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9" s="44">
        <f>JobBonus[[#This Row],[Variable Pay]]+JobBonus[[#This Row],[Crew Efficiency Bonus]]</f>
        <v>0</v>
      </c>
      <c r="V479" s="44" cm="1">
        <f t="array" ref="V4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9" s="44" t="b">
        <f>_xlfn.IFNA(EXACT(VLOOKUP(JobBonus[[#This Row],[Pay Type]],PayTypes[#All],4,FALSE),"Yes"),FALSE)</f>
        <v>0</v>
      </c>
      <c r="X479" s="44" cm="1">
        <f t="array" ref="X479">SUMPRODUCT((StandByRates[Position]=JobBonus[[#This Row],[Position]])*(JobBonus[[#This Row],[Area]]=StandByRates[Area])*(StandByRates[Hourly]*JobBonus[[#This Row],[Standby/ Ext 
Hrs]]))</f>
        <v>0</v>
      </c>
      <c r="Y479" s="44">
        <f>JobBonus[[#This Row],[Variable Pay]]+JobBonus[[#This Row],[Crew Efficiency Bonus]]+JobBonus[[#This Row],[OVPP]]+JobBonus[[#This Row],[StandBy/ Ext Amount]]</f>
        <v>0</v>
      </c>
      <c r="Z479" s="80"/>
      <c r="AA479" s="42"/>
      <c r="AB479" s="42"/>
      <c r="AC479"/>
      <c r="AD479"/>
      <c r="AE479"/>
      <c r="AF479"/>
    </row>
    <row r="480" spans="1:32" hidden="1" x14ac:dyDescent="0.25">
      <c r="A480" s="46"/>
      <c r="B480" s="80"/>
      <c r="C480" s="15"/>
      <c r="D480" s="15"/>
      <c r="E480" s="15"/>
      <c r="F480" s="15"/>
      <c r="G480" s="16"/>
      <c r="H480" s="16"/>
      <c r="I480" s="19" t="str">
        <f>IF(ISBLANK(JobBonus[[#This Row],[Employee Name]]),"",INDEX(Employees[Job Title],MATCH(JobBonus[[#This Row],[Employee Name]],Employees[Employee Name2],0)))</f>
        <v/>
      </c>
      <c r="J480" s="19" t="str">
        <f>IF(ISBLANK(JobBonus[[#This Row],[Job Prov]]),"",IF(JobBonus[[#This Row],[Job Prov]]=INDEX(Employees[Province],MATCH(JobBonus[[#This Row],[Employee Name]],Employees[Employee Name2],0)),"No","Yes"))</f>
        <v/>
      </c>
      <c r="K480" s="17"/>
      <c r="L480" s="19"/>
      <c r="M480" s="23"/>
      <c r="N480" s="23"/>
      <c r="O480" s="15"/>
      <c r="P480" s="15"/>
      <c r="Q480" s="15"/>
      <c r="R480" s="15"/>
      <c r="S480" s="44" cm="1">
        <f t="array" ref="S4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0" s="44" cm="1">
        <f t="array" ref="T4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0" s="44">
        <f>JobBonus[[#This Row],[Variable Pay]]+JobBonus[[#This Row],[Crew Efficiency Bonus]]</f>
        <v>0</v>
      </c>
      <c r="V480" s="44" cm="1">
        <f t="array" ref="V4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0" s="44" t="b">
        <f>_xlfn.IFNA(EXACT(VLOOKUP(JobBonus[[#This Row],[Pay Type]],PayTypes[#All],4,FALSE),"Yes"),FALSE)</f>
        <v>0</v>
      </c>
      <c r="X480" s="44" cm="1">
        <f t="array" ref="X480">SUMPRODUCT((StandByRates[Position]=JobBonus[[#This Row],[Position]])*(JobBonus[[#This Row],[Area]]=StandByRates[Area])*(StandByRates[Hourly]*JobBonus[[#This Row],[Standby/ Ext 
Hrs]]))</f>
        <v>0</v>
      </c>
      <c r="Y480" s="44">
        <f>JobBonus[[#This Row],[Variable Pay]]+JobBonus[[#This Row],[Crew Efficiency Bonus]]+JobBonus[[#This Row],[OVPP]]+JobBonus[[#This Row],[StandBy/ Ext Amount]]</f>
        <v>0</v>
      </c>
      <c r="Z480" s="80"/>
      <c r="AA480" s="42"/>
      <c r="AB480" s="42"/>
      <c r="AC480"/>
      <c r="AD480"/>
      <c r="AE480"/>
      <c r="AF480"/>
    </row>
    <row r="481" spans="1:32" hidden="1" x14ac:dyDescent="0.25">
      <c r="A481" s="46"/>
      <c r="B481" s="80"/>
      <c r="C481" s="15"/>
      <c r="D481" s="15"/>
      <c r="E481" s="15"/>
      <c r="F481" s="15"/>
      <c r="G481" s="16"/>
      <c r="H481" s="16"/>
      <c r="I481" s="19" t="str">
        <f>IF(ISBLANK(JobBonus[[#This Row],[Employee Name]]),"",INDEX(Employees[Job Title],MATCH(JobBonus[[#This Row],[Employee Name]],Employees[Employee Name2],0)))</f>
        <v/>
      </c>
      <c r="J481" s="19" t="str">
        <f>IF(ISBLANK(JobBonus[[#This Row],[Job Prov]]),"",IF(JobBonus[[#This Row],[Job Prov]]=INDEX(Employees[Province],MATCH(JobBonus[[#This Row],[Employee Name]],Employees[Employee Name2],0)),"No","Yes"))</f>
        <v/>
      </c>
      <c r="K481" s="17"/>
      <c r="L481" s="19"/>
      <c r="M481" s="23"/>
      <c r="N481" s="23"/>
      <c r="O481" s="15"/>
      <c r="P481" s="15"/>
      <c r="Q481" s="15"/>
      <c r="R481" s="15"/>
      <c r="S481" s="44" cm="1">
        <f t="array" ref="S4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1" s="44" cm="1">
        <f t="array" ref="T4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1" s="44">
        <f>JobBonus[[#This Row],[Variable Pay]]+JobBonus[[#This Row],[Crew Efficiency Bonus]]</f>
        <v>0</v>
      </c>
      <c r="V481" s="44" cm="1">
        <f t="array" ref="V4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1" s="44" t="b">
        <f>_xlfn.IFNA(EXACT(VLOOKUP(JobBonus[[#This Row],[Pay Type]],PayTypes[#All],4,FALSE),"Yes"),FALSE)</f>
        <v>0</v>
      </c>
      <c r="X481" s="44" cm="1">
        <f t="array" ref="X481">SUMPRODUCT((StandByRates[Position]=JobBonus[[#This Row],[Position]])*(JobBonus[[#This Row],[Area]]=StandByRates[Area])*(StandByRates[Hourly]*JobBonus[[#This Row],[Standby/ Ext 
Hrs]]))</f>
        <v>0</v>
      </c>
      <c r="Y481" s="44">
        <f>JobBonus[[#This Row],[Variable Pay]]+JobBonus[[#This Row],[Crew Efficiency Bonus]]+JobBonus[[#This Row],[OVPP]]+JobBonus[[#This Row],[StandBy/ Ext Amount]]</f>
        <v>0</v>
      </c>
      <c r="Z481" s="80"/>
      <c r="AA481" s="42"/>
      <c r="AB481" s="42"/>
      <c r="AC481"/>
      <c r="AD481"/>
      <c r="AE481"/>
      <c r="AF481"/>
    </row>
    <row r="482" spans="1:32" hidden="1" x14ac:dyDescent="0.25">
      <c r="A482" s="46"/>
      <c r="B482" s="80"/>
      <c r="C482" s="15"/>
      <c r="D482" s="15"/>
      <c r="E482" s="15"/>
      <c r="F482" s="15"/>
      <c r="G482" s="16"/>
      <c r="H482" s="16"/>
      <c r="I482" s="19" t="str">
        <f>IF(ISBLANK(JobBonus[[#This Row],[Employee Name]]),"",INDEX(Employees[Job Title],MATCH(JobBonus[[#This Row],[Employee Name]],Employees[Employee Name2],0)))</f>
        <v/>
      </c>
      <c r="J482" s="19" t="str">
        <f>IF(ISBLANK(JobBonus[[#This Row],[Job Prov]]),"",IF(JobBonus[[#This Row],[Job Prov]]=INDEX(Employees[Province],MATCH(JobBonus[[#This Row],[Employee Name]],Employees[Employee Name2],0)),"No","Yes"))</f>
        <v/>
      </c>
      <c r="K482" s="17"/>
      <c r="L482" s="19"/>
      <c r="M482" s="23"/>
      <c r="N482" s="23"/>
      <c r="O482" s="15"/>
      <c r="P482" s="15"/>
      <c r="Q482" s="15"/>
      <c r="R482" s="15"/>
      <c r="S482" s="44" cm="1">
        <f t="array" ref="S4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2" s="44" cm="1">
        <f t="array" ref="T4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2" s="44">
        <f>JobBonus[[#This Row],[Variable Pay]]+JobBonus[[#This Row],[Crew Efficiency Bonus]]</f>
        <v>0</v>
      </c>
      <c r="V482" s="44" cm="1">
        <f t="array" ref="V4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2" s="44" t="b">
        <f>_xlfn.IFNA(EXACT(VLOOKUP(JobBonus[[#This Row],[Pay Type]],PayTypes[#All],4,FALSE),"Yes"),FALSE)</f>
        <v>0</v>
      </c>
      <c r="X482" s="44" cm="1">
        <f t="array" ref="X482">SUMPRODUCT((StandByRates[Position]=JobBonus[[#This Row],[Position]])*(JobBonus[[#This Row],[Area]]=StandByRates[Area])*(StandByRates[Hourly]*JobBonus[[#This Row],[Standby/ Ext 
Hrs]]))</f>
        <v>0</v>
      </c>
      <c r="Y482" s="44">
        <f>JobBonus[[#This Row],[Variable Pay]]+JobBonus[[#This Row],[Crew Efficiency Bonus]]+JobBonus[[#This Row],[OVPP]]+JobBonus[[#This Row],[StandBy/ Ext Amount]]</f>
        <v>0</v>
      </c>
      <c r="Z482" s="80"/>
      <c r="AA482" s="42"/>
      <c r="AB482" s="42"/>
      <c r="AC482"/>
      <c r="AD482"/>
      <c r="AE482"/>
      <c r="AF482"/>
    </row>
    <row r="483" spans="1:32" hidden="1" x14ac:dyDescent="0.25">
      <c r="A483" s="46"/>
      <c r="B483" s="80"/>
      <c r="C483" s="15"/>
      <c r="D483" s="15"/>
      <c r="E483" s="15"/>
      <c r="F483" s="15"/>
      <c r="G483" s="16"/>
      <c r="H483" s="16"/>
      <c r="I483" s="19" t="str">
        <f>IF(ISBLANK(JobBonus[[#This Row],[Employee Name]]),"",INDEX(Employees[Job Title],MATCH(JobBonus[[#This Row],[Employee Name]],Employees[Employee Name2],0)))</f>
        <v/>
      </c>
      <c r="J483" s="19" t="str">
        <f>IF(ISBLANK(JobBonus[[#This Row],[Job Prov]]),"",IF(JobBonus[[#This Row],[Job Prov]]=INDEX(Employees[Province],MATCH(JobBonus[[#This Row],[Employee Name]],Employees[Employee Name2],0)),"No","Yes"))</f>
        <v/>
      </c>
      <c r="K483" s="17"/>
      <c r="L483" s="19"/>
      <c r="M483" s="23"/>
      <c r="N483" s="23"/>
      <c r="O483" s="15"/>
      <c r="P483" s="15"/>
      <c r="Q483" s="15"/>
      <c r="R483" s="15"/>
      <c r="S483" s="44" cm="1">
        <f t="array" ref="S4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3" s="44" cm="1">
        <f t="array" ref="T4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3" s="44">
        <f>JobBonus[[#This Row],[Variable Pay]]+JobBonus[[#This Row],[Crew Efficiency Bonus]]</f>
        <v>0</v>
      </c>
      <c r="V483" s="44" cm="1">
        <f t="array" ref="V4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3" s="44" t="b">
        <f>_xlfn.IFNA(EXACT(VLOOKUP(JobBonus[[#This Row],[Pay Type]],PayTypes[#All],4,FALSE),"Yes"),FALSE)</f>
        <v>0</v>
      </c>
      <c r="X483" s="44" cm="1">
        <f t="array" ref="X483">SUMPRODUCT((StandByRates[Position]=JobBonus[[#This Row],[Position]])*(JobBonus[[#This Row],[Area]]=StandByRates[Area])*(StandByRates[Hourly]*JobBonus[[#This Row],[Standby/ Ext 
Hrs]]))</f>
        <v>0</v>
      </c>
      <c r="Y483" s="44">
        <f>JobBonus[[#This Row],[Variable Pay]]+JobBonus[[#This Row],[Crew Efficiency Bonus]]+JobBonus[[#This Row],[OVPP]]+JobBonus[[#This Row],[StandBy/ Ext Amount]]</f>
        <v>0</v>
      </c>
      <c r="Z483" s="80"/>
      <c r="AA483" s="42"/>
      <c r="AB483" s="42"/>
      <c r="AC483"/>
      <c r="AD483"/>
      <c r="AE483"/>
      <c r="AF483"/>
    </row>
    <row r="484" spans="1:32" hidden="1" x14ac:dyDescent="0.25">
      <c r="A484" s="46"/>
      <c r="B484" s="80"/>
      <c r="C484" s="15"/>
      <c r="D484" s="15"/>
      <c r="E484" s="15"/>
      <c r="F484" s="15"/>
      <c r="G484" s="16"/>
      <c r="H484" s="16"/>
      <c r="I484" s="19" t="str">
        <f>IF(ISBLANK(JobBonus[[#This Row],[Employee Name]]),"",INDEX(Employees[Job Title],MATCH(JobBonus[[#This Row],[Employee Name]],Employees[Employee Name2],0)))</f>
        <v/>
      </c>
      <c r="J484" s="19" t="str">
        <f>IF(ISBLANK(JobBonus[[#This Row],[Job Prov]]),"",IF(JobBonus[[#This Row],[Job Prov]]=INDEX(Employees[Province],MATCH(JobBonus[[#This Row],[Employee Name]],Employees[Employee Name2],0)),"No","Yes"))</f>
        <v/>
      </c>
      <c r="K484" s="17"/>
      <c r="L484" s="19"/>
      <c r="M484" s="23"/>
      <c r="N484" s="23"/>
      <c r="O484" s="15"/>
      <c r="P484" s="15"/>
      <c r="Q484" s="15"/>
      <c r="R484" s="15"/>
      <c r="S484" s="44" cm="1">
        <f t="array" ref="S4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4" s="44" cm="1">
        <f t="array" ref="T4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4" s="44">
        <f>JobBonus[[#This Row],[Variable Pay]]+JobBonus[[#This Row],[Crew Efficiency Bonus]]</f>
        <v>0</v>
      </c>
      <c r="V484" s="44" cm="1">
        <f t="array" ref="V4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4" s="44" t="b">
        <f>_xlfn.IFNA(EXACT(VLOOKUP(JobBonus[[#This Row],[Pay Type]],PayTypes[#All],4,FALSE),"Yes"),FALSE)</f>
        <v>0</v>
      </c>
      <c r="X484" s="44" cm="1">
        <f t="array" ref="X484">SUMPRODUCT((StandByRates[Position]=JobBonus[[#This Row],[Position]])*(JobBonus[[#This Row],[Area]]=StandByRates[Area])*(StandByRates[Hourly]*JobBonus[[#This Row],[Standby/ Ext 
Hrs]]))</f>
        <v>0</v>
      </c>
      <c r="Y484" s="44">
        <f>JobBonus[[#This Row],[Variable Pay]]+JobBonus[[#This Row],[Crew Efficiency Bonus]]+JobBonus[[#This Row],[OVPP]]+JobBonus[[#This Row],[StandBy/ Ext Amount]]</f>
        <v>0</v>
      </c>
      <c r="Z484" s="80"/>
      <c r="AA484" s="42"/>
      <c r="AB484" s="42"/>
      <c r="AC484"/>
      <c r="AD484"/>
      <c r="AE484"/>
      <c r="AF484"/>
    </row>
    <row r="485" spans="1:32" hidden="1" x14ac:dyDescent="0.25">
      <c r="A485" s="46"/>
      <c r="B485" s="80"/>
      <c r="C485" s="15"/>
      <c r="D485" s="15"/>
      <c r="E485" s="15"/>
      <c r="F485" s="15"/>
      <c r="G485" s="16"/>
      <c r="H485" s="16"/>
      <c r="I485" s="19" t="str">
        <f>IF(ISBLANK(JobBonus[[#This Row],[Employee Name]]),"",INDEX(Employees[Job Title],MATCH(JobBonus[[#This Row],[Employee Name]],Employees[Employee Name2],0)))</f>
        <v/>
      </c>
      <c r="J485" s="19" t="str">
        <f>IF(ISBLANK(JobBonus[[#This Row],[Job Prov]]),"",IF(JobBonus[[#This Row],[Job Prov]]=INDEX(Employees[Province],MATCH(JobBonus[[#This Row],[Employee Name]],Employees[Employee Name2],0)),"No","Yes"))</f>
        <v/>
      </c>
      <c r="K485" s="17"/>
      <c r="L485" s="19"/>
      <c r="M485" s="23"/>
      <c r="N485" s="23"/>
      <c r="O485" s="15"/>
      <c r="P485" s="15"/>
      <c r="Q485" s="15"/>
      <c r="R485" s="15"/>
      <c r="S485" s="44" cm="1">
        <f t="array" ref="S4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5" s="44" cm="1">
        <f t="array" ref="T4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5" s="44">
        <f>JobBonus[[#This Row],[Variable Pay]]+JobBonus[[#This Row],[Crew Efficiency Bonus]]</f>
        <v>0</v>
      </c>
      <c r="V485" s="44" cm="1">
        <f t="array" ref="V4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5" s="44" t="b">
        <f>_xlfn.IFNA(EXACT(VLOOKUP(JobBonus[[#This Row],[Pay Type]],PayTypes[#All],4,FALSE),"Yes"),FALSE)</f>
        <v>0</v>
      </c>
      <c r="X485" s="44" cm="1">
        <f t="array" ref="X485">SUMPRODUCT((StandByRates[Position]=JobBonus[[#This Row],[Position]])*(JobBonus[[#This Row],[Area]]=StandByRates[Area])*(StandByRates[Hourly]*JobBonus[[#This Row],[Standby/ Ext 
Hrs]]))</f>
        <v>0</v>
      </c>
      <c r="Y485" s="44">
        <f>JobBonus[[#This Row],[Variable Pay]]+JobBonus[[#This Row],[Crew Efficiency Bonus]]+JobBonus[[#This Row],[OVPP]]+JobBonus[[#This Row],[StandBy/ Ext Amount]]</f>
        <v>0</v>
      </c>
      <c r="Z485" s="80"/>
      <c r="AA485" s="42"/>
      <c r="AB485" s="42"/>
      <c r="AC485"/>
      <c r="AD485"/>
      <c r="AE485"/>
      <c r="AF485"/>
    </row>
    <row r="486" spans="1:32" hidden="1" x14ac:dyDescent="0.25">
      <c r="A486" s="46"/>
      <c r="B486" s="80"/>
      <c r="C486" s="15"/>
      <c r="D486" s="15"/>
      <c r="E486" s="15"/>
      <c r="F486" s="15"/>
      <c r="G486" s="16"/>
      <c r="H486" s="16"/>
      <c r="I486" s="19" t="str">
        <f>IF(ISBLANK(JobBonus[[#This Row],[Employee Name]]),"",INDEX(Employees[Job Title],MATCH(JobBonus[[#This Row],[Employee Name]],Employees[Employee Name2],0)))</f>
        <v/>
      </c>
      <c r="J486" s="19" t="str">
        <f>IF(ISBLANK(JobBonus[[#This Row],[Job Prov]]),"",IF(JobBonus[[#This Row],[Job Prov]]=INDEX(Employees[Province],MATCH(JobBonus[[#This Row],[Employee Name]],Employees[Employee Name2],0)),"No","Yes"))</f>
        <v/>
      </c>
      <c r="K486" s="17"/>
      <c r="L486" s="19"/>
      <c r="M486" s="23"/>
      <c r="N486" s="23"/>
      <c r="O486" s="15"/>
      <c r="P486" s="15"/>
      <c r="Q486" s="15"/>
      <c r="R486" s="15"/>
      <c r="S486" s="44" cm="1">
        <f t="array" ref="S4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6" s="44" cm="1">
        <f t="array" ref="T4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6" s="44">
        <f>JobBonus[[#This Row],[Variable Pay]]+JobBonus[[#This Row],[Crew Efficiency Bonus]]</f>
        <v>0</v>
      </c>
      <c r="V486" s="44" cm="1">
        <f t="array" ref="V4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6" s="44" t="b">
        <f>_xlfn.IFNA(EXACT(VLOOKUP(JobBonus[[#This Row],[Pay Type]],PayTypes[#All],4,FALSE),"Yes"),FALSE)</f>
        <v>0</v>
      </c>
      <c r="X486" s="44" cm="1">
        <f t="array" ref="X486">SUMPRODUCT((StandByRates[Position]=JobBonus[[#This Row],[Position]])*(JobBonus[[#This Row],[Area]]=StandByRates[Area])*(StandByRates[Hourly]*JobBonus[[#This Row],[Standby/ Ext 
Hrs]]))</f>
        <v>0</v>
      </c>
      <c r="Y486" s="44">
        <f>JobBonus[[#This Row],[Variable Pay]]+JobBonus[[#This Row],[Crew Efficiency Bonus]]+JobBonus[[#This Row],[OVPP]]+JobBonus[[#This Row],[StandBy/ Ext Amount]]</f>
        <v>0</v>
      </c>
      <c r="Z486" s="80"/>
      <c r="AA486" s="42"/>
      <c r="AB486" s="42"/>
      <c r="AC486"/>
      <c r="AD486"/>
      <c r="AE486"/>
      <c r="AF486"/>
    </row>
    <row r="487" spans="1:32" hidden="1" x14ac:dyDescent="0.25">
      <c r="A487" s="46"/>
      <c r="B487" s="80"/>
      <c r="C487" s="15"/>
      <c r="D487" s="15"/>
      <c r="E487" s="15"/>
      <c r="F487" s="15"/>
      <c r="G487" s="16"/>
      <c r="H487" s="16"/>
      <c r="I487" s="19" t="str">
        <f>IF(ISBLANK(JobBonus[[#This Row],[Employee Name]]),"",INDEX(Employees[Job Title],MATCH(JobBonus[[#This Row],[Employee Name]],Employees[Employee Name2],0)))</f>
        <v/>
      </c>
      <c r="J487" s="19" t="str">
        <f>IF(ISBLANK(JobBonus[[#This Row],[Job Prov]]),"",IF(JobBonus[[#This Row],[Job Prov]]=INDEX(Employees[Province],MATCH(JobBonus[[#This Row],[Employee Name]],Employees[Employee Name2],0)),"No","Yes"))</f>
        <v/>
      </c>
      <c r="K487" s="17"/>
      <c r="L487" s="19"/>
      <c r="M487" s="23"/>
      <c r="N487" s="23"/>
      <c r="O487" s="15"/>
      <c r="P487" s="15"/>
      <c r="Q487" s="15"/>
      <c r="R487" s="15"/>
      <c r="S487" s="44" cm="1">
        <f t="array" ref="S4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7" s="44" cm="1">
        <f t="array" ref="T4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7" s="44">
        <f>JobBonus[[#This Row],[Variable Pay]]+JobBonus[[#This Row],[Crew Efficiency Bonus]]</f>
        <v>0</v>
      </c>
      <c r="V487" s="44" cm="1">
        <f t="array" ref="V4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7" s="44" t="b">
        <f>_xlfn.IFNA(EXACT(VLOOKUP(JobBonus[[#This Row],[Pay Type]],PayTypes[#All],4,FALSE),"Yes"),FALSE)</f>
        <v>0</v>
      </c>
      <c r="X487" s="44" cm="1">
        <f t="array" ref="X487">SUMPRODUCT((StandByRates[Position]=JobBonus[[#This Row],[Position]])*(JobBonus[[#This Row],[Area]]=StandByRates[Area])*(StandByRates[Hourly]*JobBonus[[#This Row],[Standby/ Ext 
Hrs]]))</f>
        <v>0</v>
      </c>
      <c r="Y487" s="44">
        <f>JobBonus[[#This Row],[Variable Pay]]+JobBonus[[#This Row],[Crew Efficiency Bonus]]+JobBonus[[#This Row],[OVPP]]+JobBonus[[#This Row],[StandBy/ Ext Amount]]</f>
        <v>0</v>
      </c>
      <c r="Z487" s="80"/>
      <c r="AA487" s="42"/>
      <c r="AB487" s="42"/>
      <c r="AC487"/>
      <c r="AD487"/>
      <c r="AE487"/>
      <c r="AF487"/>
    </row>
    <row r="488" spans="1:32" hidden="1" x14ac:dyDescent="0.25">
      <c r="A488" s="46"/>
      <c r="B488" s="80"/>
      <c r="C488" s="15"/>
      <c r="D488" s="15"/>
      <c r="E488" s="15"/>
      <c r="F488" s="15"/>
      <c r="G488" s="16"/>
      <c r="H488" s="16"/>
      <c r="I488" s="19" t="str">
        <f>IF(ISBLANK(JobBonus[[#This Row],[Employee Name]]),"",INDEX(Employees[Job Title],MATCH(JobBonus[[#This Row],[Employee Name]],Employees[Employee Name2],0)))</f>
        <v/>
      </c>
      <c r="J488" s="19" t="str">
        <f>IF(ISBLANK(JobBonus[[#This Row],[Job Prov]]),"",IF(JobBonus[[#This Row],[Job Prov]]=INDEX(Employees[Province],MATCH(JobBonus[[#This Row],[Employee Name]],Employees[Employee Name2],0)),"No","Yes"))</f>
        <v/>
      </c>
      <c r="K488" s="17"/>
      <c r="L488" s="19"/>
      <c r="M488" s="23"/>
      <c r="N488" s="23"/>
      <c r="O488" s="15"/>
      <c r="P488" s="15"/>
      <c r="Q488" s="15"/>
      <c r="R488" s="15"/>
      <c r="S488" s="44" cm="1">
        <f t="array" ref="S4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8" s="44" cm="1">
        <f t="array" ref="T4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8" s="44">
        <f>JobBonus[[#This Row],[Variable Pay]]+JobBonus[[#This Row],[Crew Efficiency Bonus]]</f>
        <v>0</v>
      </c>
      <c r="V488" s="44" cm="1">
        <f t="array" ref="V4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8" s="44" t="b">
        <f>_xlfn.IFNA(EXACT(VLOOKUP(JobBonus[[#This Row],[Pay Type]],PayTypes[#All],4,FALSE),"Yes"),FALSE)</f>
        <v>0</v>
      </c>
      <c r="X488" s="44" cm="1">
        <f t="array" ref="X488">SUMPRODUCT((StandByRates[Position]=JobBonus[[#This Row],[Position]])*(JobBonus[[#This Row],[Area]]=StandByRates[Area])*(StandByRates[Hourly]*JobBonus[[#This Row],[Standby/ Ext 
Hrs]]))</f>
        <v>0</v>
      </c>
      <c r="Y488" s="44">
        <f>JobBonus[[#This Row],[Variable Pay]]+JobBonus[[#This Row],[Crew Efficiency Bonus]]+JobBonus[[#This Row],[OVPP]]+JobBonus[[#This Row],[StandBy/ Ext Amount]]</f>
        <v>0</v>
      </c>
      <c r="Z488" s="80"/>
      <c r="AA488" s="42"/>
      <c r="AB488" s="42"/>
      <c r="AC488"/>
      <c r="AD488"/>
      <c r="AE488"/>
      <c r="AF488"/>
    </row>
    <row r="489" spans="1:32" hidden="1" x14ac:dyDescent="0.25">
      <c r="A489" s="46"/>
      <c r="B489" s="80"/>
      <c r="C489" s="15"/>
      <c r="D489" s="15"/>
      <c r="E489" s="15"/>
      <c r="F489" s="15"/>
      <c r="G489" s="16"/>
      <c r="H489" s="16"/>
      <c r="I489" s="19" t="str">
        <f>IF(ISBLANK(JobBonus[[#This Row],[Employee Name]]),"",INDEX(Employees[Job Title],MATCH(JobBonus[[#This Row],[Employee Name]],Employees[Employee Name2],0)))</f>
        <v/>
      </c>
      <c r="J489" s="19" t="str">
        <f>IF(ISBLANK(JobBonus[[#This Row],[Job Prov]]),"",IF(JobBonus[[#This Row],[Job Prov]]=INDEX(Employees[Province],MATCH(JobBonus[[#This Row],[Employee Name]],Employees[Employee Name2],0)),"No","Yes"))</f>
        <v/>
      </c>
      <c r="K489" s="17"/>
      <c r="L489" s="19"/>
      <c r="M489" s="23"/>
      <c r="N489" s="23"/>
      <c r="O489" s="15"/>
      <c r="P489" s="15"/>
      <c r="Q489" s="15"/>
      <c r="R489" s="15"/>
      <c r="S489" s="44" cm="1">
        <f t="array" ref="S4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9" s="44" cm="1">
        <f t="array" ref="T4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9" s="44">
        <f>JobBonus[[#This Row],[Variable Pay]]+JobBonus[[#This Row],[Crew Efficiency Bonus]]</f>
        <v>0</v>
      </c>
      <c r="V489" s="44" cm="1">
        <f t="array" ref="V4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9" s="44" t="b">
        <f>_xlfn.IFNA(EXACT(VLOOKUP(JobBonus[[#This Row],[Pay Type]],PayTypes[#All],4,FALSE),"Yes"),FALSE)</f>
        <v>0</v>
      </c>
      <c r="X489" s="44" cm="1">
        <f t="array" ref="X489">SUMPRODUCT((StandByRates[Position]=JobBonus[[#This Row],[Position]])*(JobBonus[[#This Row],[Area]]=StandByRates[Area])*(StandByRates[Hourly]*JobBonus[[#This Row],[Standby/ Ext 
Hrs]]))</f>
        <v>0</v>
      </c>
      <c r="Y489" s="44">
        <f>JobBonus[[#This Row],[Variable Pay]]+JobBonus[[#This Row],[Crew Efficiency Bonus]]+JobBonus[[#This Row],[OVPP]]+JobBonus[[#This Row],[StandBy/ Ext Amount]]</f>
        <v>0</v>
      </c>
      <c r="Z489" s="80"/>
      <c r="AA489" s="42"/>
      <c r="AB489" s="42"/>
      <c r="AC489"/>
      <c r="AD489"/>
      <c r="AE489"/>
      <c r="AF489"/>
    </row>
    <row r="490" spans="1:32" hidden="1" x14ac:dyDescent="0.25">
      <c r="A490" s="46"/>
      <c r="B490" s="80"/>
      <c r="C490" s="15"/>
      <c r="D490" s="15"/>
      <c r="E490" s="15"/>
      <c r="F490" s="15"/>
      <c r="G490" s="16"/>
      <c r="H490" s="16"/>
      <c r="I490" s="19" t="str">
        <f>IF(ISBLANK(JobBonus[[#This Row],[Employee Name]]),"",INDEX(Employees[Job Title],MATCH(JobBonus[[#This Row],[Employee Name]],Employees[Employee Name2],0)))</f>
        <v/>
      </c>
      <c r="J490" s="19" t="str">
        <f>IF(ISBLANK(JobBonus[[#This Row],[Job Prov]]),"",IF(JobBonus[[#This Row],[Job Prov]]=INDEX(Employees[Province],MATCH(JobBonus[[#This Row],[Employee Name]],Employees[Employee Name2],0)),"No","Yes"))</f>
        <v/>
      </c>
      <c r="K490" s="17"/>
      <c r="L490" s="19"/>
      <c r="M490" s="23"/>
      <c r="N490" s="23"/>
      <c r="O490" s="15"/>
      <c r="P490" s="15"/>
      <c r="Q490" s="15"/>
      <c r="R490" s="15"/>
      <c r="S490" s="44" cm="1">
        <f t="array" ref="S4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0" s="44" cm="1">
        <f t="array" ref="T4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0" s="44">
        <f>JobBonus[[#This Row],[Variable Pay]]+JobBonus[[#This Row],[Crew Efficiency Bonus]]</f>
        <v>0</v>
      </c>
      <c r="V490" s="44" cm="1">
        <f t="array" ref="V4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0" s="44" t="b">
        <f>_xlfn.IFNA(EXACT(VLOOKUP(JobBonus[[#This Row],[Pay Type]],PayTypes[#All],4,FALSE),"Yes"),FALSE)</f>
        <v>0</v>
      </c>
      <c r="X490" s="44" cm="1">
        <f t="array" ref="X490">SUMPRODUCT((StandByRates[Position]=JobBonus[[#This Row],[Position]])*(JobBonus[[#This Row],[Area]]=StandByRates[Area])*(StandByRates[Hourly]*JobBonus[[#This Row],[Standby/ Ext 
Hrs]]))</f>
        <v>0</v>
      </c>
      <c r="Y490" s="44">
        <f>JobBonus[[#This Row],[Variable Pay]]+JobBonus[[#This Row],[Crew Efficiency Bonus]]+JobBonus[[#This Row],[OVPP]]+JobBonus[[#This Row],[StandBy/ Ext Amount]]</f>
        <v>0</v>
      </c>
      <c r="Z490" s="80"/>
      <c r="AA490" s="42"/>
      <c r="AB490" s="42"/>
      <c r="AC490"/>
      <c r="AD490"/>
      <c r="AE490"/>
      <c r="AF490"/>
    </row>
    <row r="491" spans="1:32" hidden="1" x14ac:dyDescent="0.25">
      <c r="A491" s="46"/>
      <c r="B491" s="80"/>
      <c r="C491" s="15"/>
      <c r="D491" s="15"/>
      <c r="E491" s="15"/>
      <c r="F491" s="15"/>
      <c r="G491" s="16"/>
      <c r="H491" s="16"/>
      <c r="I491" s="19" t="str">
        <f>IF(ISBLANK(JobBonus[[#This Row],[Employee Name]]),"",INDEX(Employees[Job Title],MATCH(JobBonus[[#This Row],[Employee Name]],Employees[Employee Name2],0)))</f>
        <v/>
      </c>
      <c r="J491" s="19" t="str">
        <f>IF(ISBLANK(JobBonus[[#This Row],[Job Prov]]),"",IF(JobBonus[[#This Row],[Job Prov]]=INDEX(Employees[Province],MATCH(JobBonus[[#This Row],[Employee Name]],Employees[Employee Name2],0)),"No","Yes"))</f>
        <v/>
      </c>
      <c r="K491" s="17"/>
      <c r="L491" s="19"/>
      <c r="M491" s="23"/>
      <c r="N491" s="23"/>
      <c r="O491" s="15"/>
      <c r="P491" s="15"/>
      <c r="Q491" s="15"/>
      <c r="R491" s="15"/>
      <c r="S491" s="44" cm="1">
        <f t="array" ref="S4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1" s="44" cm="1">
        <f t="array" ref="T4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1" s="44">
        <f>JobBonus[[#This Row],[Variable Pay]]+JobBonus[[#This Row],[Crew Efficiency Bonus]]</f>
        <v>0</v>
      </c>
      <c r="V491" s="44" cm="1">
        <f t="array" ref="V4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1" s="44" t="b">
        <f>_xlfn.IFNA(EXACT(VLOOKUP(JobBonus[[#This Row],[Pay Type]],PayTypes[#All],4,FALSE),"Yes"),FALSE)</f>
        <v>0</v>
      </c>
      <c r="X491" s="44" cm="1">
        <f t="array" ref="X491">SUMPRODUCT((StandByRates[Position]=JobBonus[[#This Row],[Position]])*(JobBonus[[#This Row],[Area]]=StandByRates[Area])*(StandByRates[Hourly]*JobBonus[[#This Row],[Standby/ Ext 
Hrs]]))</f>
        <v>0</v>
      </c>
      <c r="Y491" s="44">
        <f>JobBonus[[#This Row],[Variable Pay]]+JobBonus[[#This Row],[Crew Efficiency Bonus]]+JobBonus[[#This Row],[OVPP]]+JobBonus[[#This Row],[StandBy/ Ext Amount]]</f>
        <v>0</v>
      </c>
      <c r="Z491" s="80"/>
      <c r="AA491" s="42"/>
      <c r="AB491" s="42"/>
      <c r="AC491"/>
      <c r="AD491"/>
      <c r="AE491"/>
      <c r="AF491"/>
    </row>
    <row r="492" spans="1:32" hidden="1" x14ac:dyDescent="0.25">
      <c r="A492" s="46"/>
      <c r="B492" s="80"/>
      <c r="C492" s="15"/>
      <c r="D492" s="15"/>
      <c r="E492" s="15"/>
      <c r="F492" s="15"/>
      <c r="G492" s="16"/>
      <c r="H492" s="16"/>
      <c r="I492" s="19" t="str">
        <f>IF(ISBLANK(JobBonus[[#This Row],[Employee Name]]),"",INDEX(Employees[Job Title],MATCH(JobBonus[[#This Row],[Employee Name]],Employees[Employee Name2],0)))</f>
        <v/>
      </c>
      <c r="J492" s="19" t="str">
        <f>IF(ISBLANK(JobBonus[[#This Row],[Job Prov]]),"",IF(JobBonus[[#This Row],[Job Prov]]=INDEX(Employees[Province],MATCH(JobBonus[[#This Row],[Employee Name]],Employees[Employee Name2],0)),"No","Yes"))</f>
        <v/>
      </c>
      <c r="K492" s="17"/>
      <c r="L492" s="19"/>
      <c r="M492" s="23"/>
      <c r="N492" s="23"/>
      <c r="O492" s="15"/>
      <c r="P492" s="15"/>
      <c r="Q492" s="15"/>
      <c r="R492" s="15"/>
      <c r="S492" s="44" cm="1">
        <f t="array" ref="S4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2" s="44" cm="1">
        <f t="array" ref="T4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2" s="44">
        <f>JobBonus[[#This Row],[Variable Pay]]+JobBonus[[#This Row],[Crew Efficiency Bonus]]</f>
        <v>0</v>
      </c>
      <c r="V492" s="44" cm="1">
        <f t="array" ref="V4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2" s="44" t="b">
        <f>_xlfn.IFNA(EXACT(VLOOKUP(JobBonus[[#This Row],[Pay Type]],PayTypes[#All],4,FALSE),"Yes"),FALSE)</f>
        <v>0</v>
      </c>
      <c r="X492" s="44" cm="1">
        <f t="array" ref="X492">SUMPRODUCT((StandByRates[Position]=JobBonus[[#This Row],[Position]])*(JobBonus[[#This Row],[Area]]=StandByRates[Area])*(StandByRates[Hourly]*JobBonus[[#This Row],[Standby/ Ext 
Hrs]]))</f>
        <v>0</v>
      </c>
      <c r="Y492" s="44">
        <f>JobBonus[[#This Row],[Variable Pay]]+JobBonus[[#This Row],[Crew Efficiency Bonus]]+JobBonus[[#This Row],[OVPP]]+JobBonus[[#This Row],[StandBy/ Ext Amount]]</f>
        <v>0</v>
      </c>
      <c r="Z492" s="80"/>
      <c r="AA492" s="42"/>
      <c r="AB492" s="42"/>
      <c r="AC492"/>
      <c r="AD492"/>
      <c r="AE492"/>
      <c r="AF492"/>
    </row>
    <row r="493" spans="1:32" hidden="1" x14ac:dyDescent="0.25">
      <c r="A493" s="46"/>
      <c r="B493" s="80"/>
      <c r="C493" s="15"/>
      <c r="D493" s="15"/>
      <c r="E493" s="15"/>
      <c r="F493" s="15"/>
      <c r="G493" s="16"/>
      <c r="H493" s="16"/>
      <c r="I493" s="19" t="str">
        <f>IF(ISBLANK(JobBonus[[#This Row],[Employee Name]]),"",INDEX(Employees[Job Title],MATCH(JobBonus[[#This Row],[Employee Name]],Employees[Employee Name2],0)))</f>
        <v/>
      </c>
      <c r="J493" s="19" t="str">
        <f>IF(ISBLANK(JobBonus[[#This Row],[Job Prov]]),"",IF(JobBonus[[#This Row],[Job Prov]]=INDEX(Employees[Province],MATCH(JobBonus[[#This Row],[Employee Name]],Employees[Employee Name2],0)),"No","Yes"))</f>
        <v/>
      </c>
      <c r="K493" s="17"/>
      <c r="L493" s="19"/>
      <c r="M493" s="23"/>
      <c r="N493" s="23"/>
      <c r="O493" s="15"/>
      <c r="P493" s="15"/>
      <c r="Q493" s="15"/>
      <c r="R493" s="15"/>
      <c r="S493" s="44" cm="1">
        <f t="array" ref="S4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3" s="44" cm="1">
        <f t="array" ref="T4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3" s="44">
        <f>JobBonus[[#This Row],[Variable Pay]]+JobBonus[[#This Row],[Crew Efficiency Bonus]]</f>
        <v>0</v>
      </c>
      <c r="V493" s="44" cm="1">
        <f t="array" ref="V4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3" s="44" t="b">
        <f>_xlfn.IFNA(EXACT(VLOOKUP(JobBonus[[#This Row],[Pay Type]],PayTypes[#All],4,FALSE),"Yes"),FALSE)</f>
        <v>0</v>
      </c>
      <c r="X493" s="44" cm="1">
        <f t="array" ref="X493">SUMPRODUCT((StandByRates[Position]=JobBonus[[#This Row],[Position]])*(JobBonus[[#This Row],[Area]]=StandByRates[Area])*(StandByRates[Hourly]*JobBonus[[#This Row],[Standby/ Ext 
Hrs]]))</f>
        <v>0</v>
      </c>
      <c r="Y493" s="44">
        <f>JobBonus[[#This Row],[Variable Pay]]+JobBonus[[#This Row],[Crew Efficiency Bonus]]+JobBonus[[#This Row],[OVPP]]+JobBonus[[#This Row],[StandBy/ Ext Amount]]</f>
        <v>0</v>
      </c>
      <c r="Z493" s="80"/>
      <c r="AA493" s="42"/>
      <c r="AB493" s="42"/>
      <c r="AC493"/>
      <c r="AD493"/>
      <c r="AE493"/>
      <c r="AF493"/>
    </row>
    <row r="494" spans="1:32" hidden="1" x14ac:dyDescent="0.25">
      <c r="A494" s="46"/>
      <c r="B494" s="80"/>
      <c r="C494" s="15"/>
      <c r="D494" s="15"/>
      <c r="E494" s="15"/>
      <c r="F494" s="15"/>
      <c r="G494" s="16"/>
      <c r="H494" s="16"/>
      <c r="I494" s="19" t="str">
        <f>IF(ISBLANK(JobBonus[[#This Row],[Employee Name]]),"",INDEX(Employees[Job Title],MATCH(JobBonus[[#This Row],[Employee Name]],Employees[Employee Name2],0)))</f>
        <v/>
      </c>
      <c r="J494" s="19" t="str">
        <f>IF(ISBLANK(JobBonus[[#This Row],[Job Prov]]),"",IF(JobBonus[[#This Row],[Job Prov]]=INDEX(Employees[Province],MATCH(JobBonus[[#This Row],[Employee Name]],Employees[Employee Name2],0)),"No","Yes"))</f>
        <v/>
      </c>
      <c r="K494" s="17"/>
      <c r="L494" s="19"/>
      <c r="M494" s="23"/>
      <c r="N494" s="23"/>
      <c r="O494" s="15"/>
      <c r="P494" s="15"/>
      <c r="Q494" s="15"/>
      <c r="R494" s="15"/>
      <c r="S494" s="44" cm="1">
        <f t="array" ref="S4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4" s="44" cm="1">
        <f t="array" ref="T4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4" s="44">
        <f>JobBonus[[#This Row],[Variable Pay]]+JobBonus[[#This Row],[Crew Efficiency Bonus]]</f>
        <v>0</v>
      </c>
      <c r="V494" s="44" cm="1">
        <f t="array" ref="V4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4" s="44" t="b">
        <f>_xlfn.IFNA(EXACT(VLOOKUP(JobBonus[[#This Row],[Pay Type]],PayTypes[#All],4,FALSE),"Yes"),FALSE)</f>
        <v>0</v>
      </c>
      <c r="X494" s="44" cm="1">
        <f t="array" ref="X494">SUMPRODUCT((StandByRates[Position]=JobBonus[[#This Row],[Position]])*(JobBonus[[#This Row],[Area]]=StandByRates[Area])*(StandByRates[Hourly]*JobBonus[[#This Row],[Standby/ Ext 
Hrs]]))</f>
        <v>0</v>
      </c>
      <c r="Y494" s="44">
        <f>JobBonus[[#This Row],[Variable Pay]]+JobBonus[[#This Row],[Crew Efficiency Bonus]]+JobBonus[[#This Row],[OVPP]]+JobBonus[[#This Row],[StandBy/ Ext Amount]]</f>
        <v>0</v>
      </c>
      <c r="Z494" s="80"/>
      <c r="AA494" s="42"/>
      <c r="AB494" s="42"/>
      <c r="AC494"/>
      <c r="AD494"/>
      <c r="AE494"/>
      <c r="AF494"/>
    </row>
    <row r="495" spans="1:32" hidden="1" x14ac:dyDescent="0.25">
      <c r="A495" s="46"/>
      <c r="B495" s="80"/>
      <c r="C495" s="15"/>
      <c r="D495" s="15"/>
      <c r="E495" s="15"/>
      <c r="F495" s="15"/>
      <c r="G495" s="16"/>
      <c r="H495" s="16"/>
      <c r="I495" s="19" t="str">
        <f>IF(ISBLANK(JobBonus[[#This Row],[Employee Name]]),"",INDEX(Employees[Job Title],MATCH(JobBonus[[#This Row],[Employee Name]],Employees[Employee Name2],0)))</f>
        <v/>
      </c>
      <c r="J495" s="19" t="str">
        <f>IF(ISBLANK(JobBonus[[#This Row],[Job Prov]]),"",IF(JobBonus[[#This Row],[Job Prov]]=INDEX(Employees[Province],MATCH(JobBonus[[#This Row],[Employee Name]],Employees[Employee Name2],0)),"No","Yes"))</f>
        <v/>
      </c>
      <c r="K495" s="17"/>
      <c r="L495" s="19"/>
      <c r="M495" s="23"/>
      <c r="N495" s="23"/>
      <c r="O495" s="15"/>
      <c r="P495" s="15"/>
      <c r="Q495" s="15"/>
      <c r="R495" s="15"/>
      <c r="S495" s="44" cm="1">
        <f t="array" ref="S4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5" s="44" cm="1">
        <f t="array" ref="T4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5" s="44">
        <f>JobBonus[[#This Row],[Variable Pay]]+JobBonus[[#This Row],[Crew Efficiency Bonus]]</f>
        <v>0</v>
      </c>
      <c r="V495" s="44" cm="1">
        <f t="array" ref="V4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5" s="44" t="b">
        <f>_xlfn.IFNA(EXACT(VLOOKUP(JobBonus[[#This Row],[Pay Type]],PayTypes[#All],4,FALSE),"Yes"),FALSE)</f>
        <v>0</v>
      </c>
      <c r="X495" s="44" cm="1">
        <f t="array" ref="X495">SUMPRODUCT((StandByRates[Position]=JobBonus[[#This Row],[Position]])*(JobBonus[[#This Row],[Area]]=StandByRates[Area])*(StandByRates[Hourly]*JobBonus[[#This Row],[Standby/ Ext 
Hrs]]))</f>
        <v>0</v>
      </c>
      <c r="Y495" s="44">
        <f>JobBonus[[#This Row],[Variable Pay]]+JobBonus[[#This Row],[Crew Efficiency Bonus]]+JobBonus[[#This Row],[OVPP]]+JobBonus[[#This Row],[StandBy/ Ext Amount]]</f>
        <v>0</v>
      </c>
      <c r="Z495" s="80"/>
      <c r="AA495" s="42"/>
      <c r="AB495" s="42"/>
      <c r="AC495"/>
      <c r="AD495"/>
      <c r="AE495"/>
      <c r="AF495"/>
    </row>
    <row r="496" spans="1:32" hidden="1" x14ac:dyDescent="0.25">
      <c r="A496" s="46"/>
      <c r="B496" s="80"/>
      <c r="C496" s="15"/>
      <c r="D496" s="15"/>
      <c r="E496" s="15"/>
      <c r="F496" s="15"/>
      <c r="G496" s="16"/>
      <c r="H496" s="16"/>
      <c r="I496" s="19" t="str">
        <f>IF(ISBLANK(JobBonus[[#This Row],[Employee Name]]),"",INDEX(Employees[Job Title],MATCH(JobBonus[[#This Row],[Employee Name]],Employees[Employee Name2],0)))</f>
        <v/>
      </c>
      <c r="J496" s="19" t="str">
        <f>IF(ISBLANK(JobBonus[[#This Row],[Job Prov]]),"",IF(JobBonus[[#This Row],[Job Prov]]=INDEX(Employees[Province],MATCH(JobBonus[[#This Row],[Employee Name]],Employees[Employee Name2],0)),"No","Yes"))</f>
        <v/>
      </c>
      <c r="K496" s="17"/>
      <c r="L496" s="19"/>
      <c r="M496" s="23"/>
      <c r="N496" s="23"/>
      <c r="O496" s="15"/>
      <c r="P496" s="15"/>
      <c r="Q496" s="15"/>
      <c r="R496" s="15"/>
      <c r="S496" s="44" cm="1">
        <f t="array" ref="S4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6" s="44" cm="1">
        <f t="array" ref="T4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6" s="44">
        <f>JobBonus[[#This Row],[Variable Pay]]+JobBonus[[#This Row],[Crew Efficiency Bonus]]</f>
        <v>0</v>
      </c>
      <c r="V496" s="44" cm="1">
        <f t="array" ref="V4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6" s="44" t="b">
        <f>_xlfn.IFNA(EXACT(VLOOKUP(JobBonus[[#This Row],[Pay Type]],PayTypes[#All],4,FALSE),"Yes"),FALSE)</f>
        <v>0</v>
      </c>
      <c r="X496" s="44" cm="1">
        <f t="array" ref="X496">SUMPRODUCT((StandByRates[Position]=JobBonus[[#This Row],[Position]])*(JobBonus[[#This Row],[Area]]=StandByRates[Area])*(StandByRates[Hourly]*JobBonus[[#This Row],[Standby/ Ext 
Hrs]]))</f>
        <v>0</v>
      </c>
      <c r="Y496" s="44">
        <f>JobBonus[[#This Row],[Variable Pay]]+JobBonus[[#This Row],[Crew Efficiency Bonus]]+JobBonus[[#This Row],[OVPP]]+JobBonus[[#This Row],[StandBy/ Ext Amount]]</f>
        <v>0</v>
      </c>
      <c r="Z496" s="80"/>
      <c r="AA496" s="42"/>
      <c r="AB496" s="42"/>
      <c r="AC496"/>
      <c r="AD496"/>
      <c r="AE496"/>
      <c r="AF496"/>
    </row>
    <row r="497" spans="1:32" hidden="1" x14ac:dyDescent="0.25">
      <c r="A497" s="46"/>
      <c r="B497" s="80"/>
      <c r="C497" s="15"/>
      <c r="D497" s="15"/>
      <c r="E497" s="15"/>
      <c r="F497" s="15"/>
      <c r="G497" s="16"/>
      <c r="H497" s="16"/>
      <c r="I497" s="19" t="str">
        <f>IF(ISBLANK(JobBonus[[#This Row],[Employee Name]]),"",INDEX(Employees[Job Title],MATCH(JobBonus[[#This Row],[Employee Name]],Employees[Employee Name2],0)))</f>
        <v/>
      </c>
      <c r="J497" s="19" t="str">
        <f>IF(ISBLANK(JobBonus[[#This Row],[Job Prov]]),"",IF(JobBonus[[#This Row],[Job Prov]]=INDEX(Employees[Province],MATCH(JobBonus[[#This Row],[Employee Name]],Employees[Employee Name2],0)),"No","Yes"))</f>
        <v/>
      </c>
      <c r="K497" s="17"/>
      <c r="L497" s="19"/>
      <c r="M497" s="23"/>
      <c r="N497" s="23"/>
      <c r="O497" s="15"/>
      <c r="P497" s="15"/>
      <c r="Q497" s="15"/>
      <c r="R497" s="15"/>
      <c r="S497" s="44" cm="1">
        <f t="array" ref="S4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7" s="44" cm="1">
        <f t="array" ref="T4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7" s="44">
        <f>JobBonus[[#This Row],[Variable Pay]]+JobBonus[[#This Row],[Crew Efficiency Bonus]]</f>
        <v>0</v>
      </c>
      <c r="V497" s="44" cm="1">
        <f t="array" ref="V4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7" s="44" t="b">
        <f>_xlfn.IFNA(EXACT(VLOOKUP(JobBonus[[#This Row],[Pay Type]],PayTypes[#All],4,FALSE),"Yes"),FALSE)</f>
        <v>0</v>
      </c>
      <c r="X497" s="44" cm="1">
        <f t="array" ref="X497">SUMPRODUCT((StandByRates[Position]=JobBonus[[#This Row],[Position]])*(JobBonus[[#This Row],[Area]]=StandByRates[Area])*(StandByRates[Hourly]*JobBonus[[#This Row],[Standby/ Ext 
Hrs]]))</f>
        <v>0</v>
      </c>
      <c r="Y497" s="44">
        <f>JobBonus[[#This Row],[Variable Pay]]+JobBonus[[#This Row],[Crew Efficiency Bonus]]+JobBonus[[#This Row],[OVPP]]+JobBonus[[#This Row],[StandBy/ Ext Amount]]</f>
        <v>0</v>
      </c>
      <c r="Z497" s="80"/>
      <c r="AA497" s="42"/>
      <c r="AB497" s="42"/>
      <c r="AC497"/>
      <c r="AD497"/>
      <c r="AE497"/>
      <c r="AF497"/>
    </row>
    <row r="498" spans="1:32" hidden="1" x14ac:dyDescent="0.25">
      <c r="A498" s="46"/>
      <c r="B498" s="80"/>
      <c r="C498" s="15"/>
      <c r="D498" s="15"/>
      <c r="E498" s="15"/>
      <c r="F498" s="15"/>
      <c r="G498" s="16"/>
      <c r="H498" s="16"/>
      <c r="I498" s="19" t="str">
        <f>IF(ISBLANK(JobBonus[[#This Row],[Employee Name]]),"",INDEX(Employees[Job Title],MATCH(JobBonus[[#This Row],[Employee Name]],Employees[Employee Name2],0)))</f>
        <v/>
      </c>
      <c r="J498" s="19" t="str">
        <f>IF(ISBLANK(JobBonus[[#This Row],[Job Prov]]),"",IF(JobBonus[[#This Row],[Job Prov]]=INDEX(Employees[Province],MATCH(JobBonus[[#This Row],[Employee Name]],Employees[Employee Name2],0)),"No","Yes"))</f>
        <v/>
      </c>
      <c r="K498" s="17"/>
      <c r="L498" s="19"/>
      <c r="M498" s="23"/>
      <c r="N498" s="71"/>
      <c r="O498" s="15"/>
      <c r="P498" s="15"/>
      <c r="Q498" s="15"/>
      <c r="R498" s="15"/>
      <c r="S498" s="44" cm="1">
        <f t="array" ref="S4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8" s="44" cm="1">
        <f t="array" ref="T4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8" s="44">
        <f>JobBonus[[#This Row],[Variable Pay]]+JobBonus[[#This Row],[Crew Efficiency Bonus]]</f>
        <v>0</v>
      </c>
      <c r="V498" s="44" cm="1">
        <f t="array" ref="V4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8" s="44" t="b">
        <f>_xlfn.IFNA(EXACT(VLOOKUP(JobBonus[[#This Row],[Pay Type]],PayTypes[#All],4,FALSE),"Yes"),FALSE)</f>
        <v>0</v>
      </c>
      <c r="X498" s="44" cm="1">
        <f t="array" ref="X498">SUMPRODUCT((StandByRates[Position]=JobBonus[[#This Row],[Position]])*(JobBonus[[#This Row],[Area]]=StandByRates[Area])*(StandByRates[Hourly]*JobBonus[[#This Row],[Standby/ Ext 
Hrs]]))</f>
        <v>0</v>
      </c>
      <c r="Y498" s="44">
        <f>JobBonus[[#This Row],[Variable Pay]]+JobBonus[[#This Row],[Crew Efficiency Bonus]]+JobBonus[[#This Row],[OVPP]]+JobBonus[[#This Row],[StandBy/ Ext Amount]]</f>
        <v>0</v>
      </c>
      <c r="Z498" s="80"/>
      <c r="AA498" s="42"/>
      <c r="AB498" s="42"/>
      <c r="AC498"/>
      <c r="AD498"/>
      <c r="AE498"/>
      <c r="AF498"/>
    </row>
    <row r="499" spans="1:32" hidden="1" x14ac:dyDescent="0.25">
      <c r="A499" s="46"/>
      <c r="B499" s="40"/>
      <c r="C499" s="15"/>
      <c r="D499" s="70"/>
      <c r="E499" s="70"/>
      <c r="F499" s="70"/>
      <c r="G499" s="19"/>
      <c r="H499" s="19"/>
      <c r="I499" s="19" t="str">
        <f>IF(ISBLANK(JobBonus[[#This Row],[Employee Name]]),"",INDEX(Employees[Job Title],MATCH(JobBonus[[#This Row],[Employee Name]],Employees[Employee Name2],0)))</f>
        <v/>
      </c>
      <c r="J499" s="19" t="str">
        <f>IF(ISBLANK(JobBonus[[#This Row],[Job Prov]]),"",IF(JobBonus[[#This Row],[Job Prov]]=INDEX(Employees[Province],MATCH(JobBonus[[#This Row],[Employee Name]],Employees[Employee Name2],0)),"No","Yes"))</f>
        <v/>
      </c>
      <c r="K499" s="17"/>
      <c r="L499" s="19"/>
      <c r="M499" s="71"/>
      <c r="N499" s="15"/>
      <c r="O499" s="70"/>
      <c r="P499" s="70"/>
      <c r="Q499" s="70"/>
      <c r="R499" s="15"/>
      <c r="S499" s="44" cm="1">
        <f t="array" ref="S4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9" s="44" cm="1">
        <f t="array" ref="T4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9" s="44">
        <f>JobBonus[[#This Row],[Variable Pay]]+JobBonus[[#This Row],[Crew Efficiency Bonus]]</f>
        <v>0</v>
      </c>
      <c r="V499" s="44" cm="1">
        <f t="array" ref="V4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9" s="44" t="b">
        <f>_xlfn.IFNA(EXACT(VLOOKUP(JobBonus[[#This Row],[Pay Type]],PayTypes[#All],4,FALSE),"Yes"),FALSE)</f>
        <v>0</v>
      </c>
      <c r="X499" s="44" cm="1">
        <f t="array" ref="X499">SUMPRODUCT((StandByRates[Position]=JobBonus[[#This Row],[Position]])*(JobBonus[[#This Row],[Area]]=StandByRates[Area])*(StandByRates[Hourly]*JobBonus[[#This Row],[Standby/ Ext 
Hrs]]))</f>
        <v>0</v>
      </c>
      <c r="Y499" s="44">
        <f>JobBonus[[#This Row],[Variable Pay]]+JobBonus[[#This Row],[Crew Efficiency Bonus]]+JobBonus[[#This Row],[OVPP]]+JobBonus[[#This Row],[StandBy/ Ext Amount]]</f>
        <v>0</v>
      </c>
      <c r="Z499" s="40"/>
      <c r="AA499" s="42"/>
      <c r="AB499" s="42"/>
      <c r="AC499"/>
      <c r="AD499"/>
      <c r="AE499"/>
      <c r="AF499"/>
    </row>
    <row r="500" spans="1:32" ht="15.75" thickBot="1" x14ac:dyDescent="0.3">
      <c r="A500" s="72"/>
      <c r="B500" s="72"/>
      <c r="C500" s="72"/>
      <c r="D500" s="72"/>
      <c r="E500" s="72"/>
      <c r="F500" s="72"/>
      <c r="G500" s="72"/>
      <c r="H500" s="72"/>
      <c r="I500" s="73"/>
      <c r="J500" s="73"/>
      <c r="K500" s="72"/>
      <c r="L500" s="72"/>
      <c r="M500" s="74" t="s">
        <v>67</v>
      </c>
      <c r="N500" s="72"/>
      <c r="O500" s="72"/>
      <c r="P500" s="72"/>
      <c r="Q500" s="72"/>
      <c r="R500" s="72"/>
      <c r="S500" s="75"/>
      <c r="T500" s="76"/>
      <c r="U500" s="76"/>
      <c r="V500" s="73"/>
      <c r="W500" s="73"/>
      <c r="X500" s="76"/>
      <c r="Y500" s="75">
        <f>SUBTOTAL(109,JobBonus[Total Amount])</f>
        <v>121</v>
      </c>
      <c r="Z500" s="78"/>
      <c r="AA500" s="42"/>
      <c r="AB500" s="42"/>
      <c r="AC500"/>
      <c r="AD500"/>
      <c r="AE500"/>
      <c r="AF500"/>
    </row>
    <row r="501" spans="1:32" ht="15.75" thickTop="1" x14ac:dyDescent="0.25">
      <c r="H501" s="20"/>
      <c r="I501" s="20"/>
      <c r="K501" s="45"/>
      <c r="L501" s="45"/>
      <c r="N501" s="20"/>
      <c r="O501" s="20"/>
      <c r="P501" s="20"/>
      <c r="Q501" s="20"/>
      <c r="R501" s="24"/>
      <c r="S501" s="24"/>
      <c r="T501" s="24"/>
      <c r="AD501" s="41"/>
    </row>
  </sheetData>
  <sheetProtection algorithmName="SHA-512" hashValue="F4NzL6gPsNv6E/QkCXC67cIfNmwjxbOOrvbMSE6+H8qtFYWjoPFdO+iEOBWUyc/GuWT+xFVhzYqGoYI9ZLWVIg==" saltValue="Weyhca63sHm1BJm/94//tQ==" spinCount="100000" sheet="1" autoFilter="0"/>
  <mergeCells count="2">
    <mergeCell ref="F2:Q3"/>
    <mergeCell ref="M4:P4"/>
  </mergeCells>
  <phoneticPr fontId="13" type="noConversion"/>
  <conditionalFormatting sqref="K7:K499">
    <cfRule type="expression" dxfId="142" priority="4">
      <formula>($I7&lt;&gt;$K7)*($K7&lt;&gt;"")</formula>
    </cfRule>
  </conditionalFormatting>
  <dataValidations count="8">
    <dataValidation type="list" allowBlank="1" showInputMessage="1" showErrorMessage="1" sqref="O499:P499 N7:N499">
      <formula1>"Yes,No"</formula1>
    </dataValidation>
    <dataValidation type="list" allowBlank="1" showInputMessage="1" showErrorMessage="1" sqref="H7:H499">
      <formula1>BonusTypeList</formula1>
    </dataValidation>
    <dataValidation type="list" allowBlank="1" showInputMessage="1" showErrorMessage="1" sqref="A7:A499">
      <formula1>EmployeeNameList</formula1>
    </dataValidation>
    <dataValidation type="list" allowBlank="1" showInputMessage="1" showErrorMessage="1" sqref="D7:D499">
      <formula1>"AB,BC,MB,QC,SK,NT"</formula1>
    </dataValidation>
    <dataValidation type="decimal" allowBlank="1" showInputMessage="1" showErrorMessage="1" sqref="R7:R499 O7:P498">
      <formula1>0</formula1>
      <formula2>10000</formula2>
    </dataValidation>
    <dataValidation type="list" allowBlank="1" showInputMessage="1" showErrorMessage="1" sqref="E7:E499">
      <formula1>BonusArea</formula1>
    </dataValidation>
    <dataValidation type="list" allowBlank="1" showInputMessage="1" showErrorMessage="1" sqref="C7:C499">
      <formula1>ServiceLineList_Indirect</formula1>
    </dataValidation>
    <dataValidation type="list" allowBlank="1" showInputMessage="1" showErrorMessage="1" sqref="K7:K499">
      <formula1>INDIRECT($C7)</formula1>
    </dataValidation>
  </dataValidations>
  <pageMargins left="0.7" right="0.7" top="0.75" bottom="0.75" header="0.3" footer="0.3"/>
  <pageSetup scale="41" orientation="landscape" r:id="rId1"/>
  <colBreaks count="1" manualBreakCount="1">
    <brk id="29" max="1048575" man="1"/>
  </colBreaks>
  <drawing r:id="rId2"/>
  <legacyDrawing r:id="rId3"/>
  <controls>
    <mc:AlternateContent xmlns:mc="http://schemas.openxmlformats.org/markup-compatibility/2006">
      <mc:Choice Requires="x14">
        <control shapeId="2054" r:id="rId4" name="btnUpload">
          <controlPr defaultSize="0" autoLine="0" r:id="rId5">
            <anchor moveWithCells="1">
              <from>
                <xdr:col>18</xdr:col>
                <xdr:colOff>19050</xdr:colOff>
                <xdr:row>1</xdr:row>
                <xdr:rowOff>0</xdr:rowOff>
              </from>
              <to>
                <xdr:col>21</xdr:col>
                <xdr:colOff>581025</xdr:colOff>
                <xdr:row>4</xdr:row>
                <xdr:rowOff>9525</xdr:rowOff>
              </to>
            </anchor>
          </controlPr>
        </control>
      </mc:Choice>
      <mc:Fallback>
        <control shapeId="2054" r:id="rId4" name="btnUpload"/>
      </mc:Fallback>
    </mc:AlternateContent>
    <mc:AlternateContent xmlns:mc="http://schemas.openxmlformats.org/markup-compatibility/2006">
      <mc:Choice Requires="x14">
        <control shapeId="2053" r:id="rId6" name="ComboBox1">
          <controlPr defaultSize="0" autoLine="0" r:id="rId7">
            <anchor moveWithCells="1">
              <from>
                <xdr:col>40</xdr:col>
                <xdr:colOff>447675</xdr:colOff>
                <xdr:row>1</xdr:row>
                <xdr:rowOff>9525</xdr:rowOff>
              </from>
              <to>
                <xdr:col>42</xdr:col>
                <xdr:colOff>590550</xdr:colOff>
                <xdr:row>2</xdr:row>
                <xdr:rowOff>133350</xdr:rowOff>
              </to>
            </anchor>
          </controlPr>
        </control>
      </mc:Choice>
      <mc:Fallback>
        <control shapeId="2053" r:id="rId6" name="ComboBox1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L84"/>
  <sheetViews>
    <sheetView zoomScaleNormal="100" workbookViewId="0">
      <selection activeCell="I30" sqref="I30"/>
    </sheetView>
  </sheetViews>
  <sheetFormatPr defaultRowHeight="15" x14ac:dyDescent="0.25"/>
  <cols>
    <col min="1" max="1" width="18" bestFit="1" customWidth="1"/>
    <col min="2" max="2" width="12" style="62" bestFit="1" customWidth="1"/>
    <col min="3" max="3" width="14.42578125" bestFit="1" customWidth="1"/>
    <col min="4" max="4" width="12.85546875" customWidth="1"/>
    <col min="5" max="5" width="17" customWidth="1"/>
    <col min="6" max="6" width="13.140625" customWidth="1"/>
    <col min="7" max="7" width="14.140625" customWidth="1"/>
    <col min="8" max="8" width="16.28515625" customWidth="1"/>
    <col min="9" max="9" width="19.7109375" customWidth="1"/>
    <col min="10" max="10" width="15.42578125" customWidth="1"/>
    <col min="11" max="11" width="15.5703125" customWidth="1"/>
    <col min="12" max="12" width="21.5703125" bestFit="1" customWidth="1"/>
    <col min="13" max="13" width="15.42578125" bestFit="1" customWidth="1"/>
  </cols>
  <sheetData>
    <row r="2" spans="1:12" x14ac:dyDescent="0.25">
      <c r="C2" s="49"/>
    </row>
    <row r="4" spans="1:12" x14ac:dyDescent="0.25">
      <c r="F4" s="135" t="s">
        <v>283</v>
      </c>
      <c r="G4" s="135"/>
      <c r="H4" s="136" t="str">
        <f>TEXT('Start Here'!C9,"mmm d, yyyy")&amp;" to "&amp;TEXT('Start Here'!D9,"mmm d, yyyy")</f>
        <v>Dec 27, 2020 to Jan 9, 2021</v>
      </c>
      <c r="I4" s="136"/>
      <c r="J4" s="136"/>
    </row>
    <row r="5" spans="1:12" x14ac:dyDescent="0.25">
      <c r="F5" s="135" t="s">
        <v>70</v>
      </c>
      <c r="G5" s="135"/>
      <c r="H5" s="137" t="str">
        <f>TEXT('Start Here'!E9,"mmm d, yyyy")</f>
        <v>Jan 29, 2021</v>
      </c>
      <c r="I5" s="137"/>
      <c r="J5" s="137"/>
    </row>
    <row r="6" spans="1:12" ht="15" customHeight="1" x14ac:dyDescent="0.25">
      <c r="A6" s="48"/>
      <c r="B6" s="63"/>
    </row>
    <row r="7" spans="1:12" ht="15" customHeight="1" x14ac:dyDescent="0.25">
      <c r="A7" s="47"/>
      <c r="B7" s="63"/>
      <c r="H7" s="85" t="str">
        <f>'Start Here'!C11</f>
        <v>Swift Current &amp; Kindersley</v>
      </c>
    </row>
    <row r="8" spans="1:12" ht="15" customHeight="1" x14ac:dyDescent="0.25">
      <c r="A8" s="3" t="s">
        <v>2</v>
      </c>
      <c r="B8" t="s">
        <v>71</v>
      </c>
    </row>
    <row r="9" spans="1:12" ht="15" customHeight="1" x14ac:dyDescent="0.25">
      <c r="A9" s="47"/>
      <c r="B9" s="63"/>
      <c r="C9" s="47"/>
      <c r="D9" s="47"/>
      <c r="E9" s="47"/>
    </row>
    <row r="10" spans="1:12" ht="30" x14ac:dyDescent="0.25">
      <c r="A10" s="3" t="s">
        <v>22</v>
      </c>
      <c r="B10" s="106" t="s">
        <v>21</v>
      </c>
      <c r="C10" s="3" t="s">
        <v>278</v>
      </c>
      <c r="D10" s="3" t="s">
        <v>30</v>
      </c>
      <c r="E10" s="3" t="s">
        <v>1</v>
      </c>
      <c r="F10" t="s">
        <v>281</v>
      </c>
      <c r="G10" t="s">
        <v>282</v>
      </c>
      <c r="H10" t="s">
        <v>228</v>
      </c>
      <c r="I10" t="s">
        <v>229</v>
      </c>
      <c r="J10" t="s">
        <v>101</v>
      </c>
      <c r="K10" t="s">
        <v>218</v>
      </c>
      <c r="L10" s="123" t="s">
        <v>355</v>
      </c>
    </row>
    <row r="11" spans="1:12" x14ac:dyDescent="0.25">
      <c r="A11" s="121" t="s">
        <v>29</v>
      </c>
      <c r="B11" s="124" t="s">
        <v>29</v>
      </c>
      <c r="C11" s="124" t="s">
        <v>29</v>
      </c>
      <c r="D11" s="124" t="s">
        <v>29</v>
      </c>
      <c r="E11" s="124" t="s">
        <v>29</v>
      </c>
      <c r="F11" s="98">
        <v>0</v>
      </c>
      <c r="G11" s="98">
        <v>0</v>
      </c>
      <c r="H11" s="98"/>
      <c r="I11" s="98">
        <v>0</v>
      </c>
      <c r="J11" s="98"/>
      <c r="K11" s="98">
        <v>0</v>
      </c>
      <c r="L11" s="98"/>
    </row>
    <row r="12" spans="1:12" x14ac:dyDescent="0.25">
      <c r="A12" s="121">
        <v>44196</v>
      </c>
      <c r="B12" s="124">
        <v>464091</v>
      </c>
      <c r="C12" s="124" t="s">
        <v>29</v>
      </c>
      <c r="D12" s="124" t="s">
        <v>396</v>
      </c>
      <c r="E12" s="124" t="s">
        <v>270</v>
      </c>
      <c r="F12" s="98">
        <v>190</v>
      </c>
      <c r="G12" s="98">
        <v>0</v>
      </c>
      <c r="H12" s="98"/>
      <c r="I12" s="98">
        <v>0</v>
      </c>
      <c r="J12" s="98"/>
      <c r="K12" s="98">
        <v>190</v>
      </c>
      <c r="L12" s="98"/>
    </row>
    <row r="13" spans="1:12" x14ac:dyDescent="0.25">
      <c r="B13"/>
      <c r="E13" s="124" t="s">
        <v>117</v>
      </c>
      <c r="F13" s="98">
        <v>335</v>
      </c>
      <c r="G13" s="98">
        <v>0</v>
      </c>
      <c r="H13" s="98"/>
      <c r="I13" s="98">
        <v>0</v>
      </c>
      <c r="J13" s="98"/>
      <c r="K13" s="98">
        <v>335</v>
      </c>
      <c r="L13" s="98"/>
    </row>
    <row r="14" spans="1:12" x14ac:dyDescent="0.25">
      <c r="B14"/>
      <c r="E14" s="124" t="s">
        <v>115</v>
      </c>
      <c r="F14" s="98">
        <v>235</v>
      </c>
      <c r="G14" s="98">
        <v>0</v>
      </c>
      <c r="H14" s="98"/>
      <c r="I14" s="98">
        <v>0</v>
      </c>
      <c r="J14" s="98"/>
      <c r="K14" s="98">
        <v>235</v>
      </c>
      <c r="L14" s="98"/>
    </row>
    <row r="15" spans="1:12" x14ac:dyDescent="0.25">
      <c r="B15" s="124">
        <v>464629</v>
      </c>
      <c r="C15" s="124" t="s">
        <v>29</v>
      </c>
      <c r="D15" s="124" t="s">
        <v>396</v>
      </c>
      <c r="E15" s="124" t="s">
        <v>156</v>
      </c>
      <c r="F15" s="98">
        <v>422.5</v>
      </c>
      <c r="G15" s="98">
        <v>0</v>
      </c>
      <c r="H15" s="98"/>
      <c r="I15" s="98">
        <v>0</v>
      </c>
      <c r="J15" s="98"/>
      <c r="K15" s="98">
        <v>422.5</v>
      </c>
      <c r="L15" s="98">
        <v>1</v>
      </c>
    </row>
    <row r="16" spans="1:12" x14ac:dyDescent="0.25">
      <c r="B16"/>
      <c r="E16" s="124" t="s">
        <v>155</v>
      </c>
      <c r="F16" s="98">
        <v>337.5</v>
      </c>
      <c r="G16" s="98">
        <v>0</v>
      </c>
      <c r="H16" s="98"/>
      <c r="I16" s="98">
        <v>0</v>
      </c>
      <c r="J16" s="98"/>
      <c r="K16" s="98">
        <v>337.5</v>
      </c>
      <c r="L16" s="98">
        <v>1</v>
      </c>
    </row>
    <row r="17" spans="1:12" x14ac:dyDescent="0.25">
      <c r="A17" s="121">
        <v>44195</v>
      </c>
      <c r="B17" s="124">
        <v>463095</v>
      </c>
      <c r="C17" s="124" t="s">
        <v>29</v>
      </c>
      <c r="D17" s="124" t="s">
        <v>398</v>
      </c>
      <c r="E17" s="124" t="s">
        <v>270</v>
      </c>
      <c r="F17" s="98">
        <v>190</v>
      </c>
      <c r="G17" s="98">
        <v>0</v>
      </c>
      <c r="H17" s="98"/>
      <c r="I17" s="98">
        <v>0</v>
      </c>
      <c r="J17" s="98"/>
      <c r="K17" s="98">
        <v>190</v>
      </c>
      <c r="L17" s="98"/>
    </row>
    <row r="18" spans="1:12" x14ac:dyDescent="0.25">
      <c r="B18"/>
      <c r="E18" s="124" t="s">
        <v>115</v>
      </c>
      <c r="F18" s="98">
        <v>235</v>
      </c>
      <c r="G18" s="98">
        <v>0</v>
      </c>
      <c r="H18" s="98"/>
      <c r="I18" s="98">
        <v>0</v>
      </c>
      <c r="J18" s="98"/>
      <c r="K18" s="98">
        <v>235</v>
      </c>
      <c r="L18" s="98"/>
    </row>
    <row r="19" spans="1:12" x14ac:dyDescent="0.25">
      <c r="B19"/>
      <c r="E19" s="124" t="s">
        <v>118</v>
      </c>
      <c r="F19" s="98">
        <v>315</v>
      </c>
      <c r="G19" s="98">
        <v>0</v>
      </c>
      <c r="H19" s="98"/>
      <c r="I19" s="98">
        <v>0</v>
      </c>
      <c r="J19" s="98"/>
      <c r="K19" s="98">
        <v>315</v>
      </c>
      <c r="L19" s="98"/>
    </row>
    <row r="20" spans="1:12" x14ac:dyDescent="0.25">
      <c r="A20" s="121">
        <v>44198</v>
      </c>
      <c r="B20" s="124">
        <v>463821</v>
      </c>
      <c r="C20" s="124" t="s">
        <v>29</v>
      </c>
      <c r="D20" s="124" t="s">
        <v>398</v>
      </c>
      <c r="E20" s="124" t="s">
        <v>115</v>
      </c>
      <c r="F20" s="98">
        <v>301.34000000000003</v>
      </c>
      <c r="G20" s="98">
        <v>0</v>
      </c>
      <c r="H20" s="98"/>
      <c r="I20" s="98">
        <v>0</v>
      </c>
      <c r="J20" s="98"/>
      <c r="K20" s="98">
        <v>301.34000000000003</v>
      </c>
      <c r="L20" s="98"/>
    </row>
    <row r="21" spans="1:12" x14ac:dyDescent="0.25">
      <c r="B21"/>
      <c r="E21" s="124" t="s">
        <v>121</v>
      </c>
      <c r="F21" s="98">
        <v>321.39</v>
      </c>
      <c r="G21" s="98">
        <v>0</v>
      </c>
      <c r="H21" s="98"/>
      <c r="I21" s="98">
        <v>0</v>
      </c>
      <c r="J21" s="98"/>
      <c r="K21" s="98">
        <v>321.39</v>
      </c>
      <c r="L21" s="98"/>
    </row>
    <row r="22" spans="1:12" x14ac:dyDescent="0.25">
      <c r="B22" s="124">
        <v>461817</v>
      </c>
      <c r="C22" s="124" t="s">
        <v>29</v>
      </c>
      <c r="D22" s="124" t="s">
        <v>396</v>
      </c>
      <c r="E22" s="124" t="s">
        <v>270</v>
      </c>
      <c r="F22" s="98">
        <v>175</v>
      </c>
      <c r="G22" s="98">
        <v>0</v>
      </c>
      <c r="H22" s="98"/>
      <c r="I22" s="98">
        <v>0</v>
      </c>
      <c r="J22" s="98"/>
      <c r="K22" s="98">
        <v>175</v>
      </c>
      <c r="L22" s="98"/>
    </row>
    <row r="23" spans="1:12" x14ac:dyDescent="0.25">
      <c r="B23"/>
      <c r="E23" s="124" t="s">
        <v>115</v>
      </c>
      <c r="F23" s="98">
        <v>195</v>
      </c>
      <c r="G23" s="98">
        <v>0</v>
      </c>
      <c r="H23" s="98"/>
      <c r="I23" s="98">
        <v>0</v>
      </c>
      <c r="J23" s="98"/>
      <c r="K23" s="98">
        <v>195</v>
      </c>
      <c r="L23" s="98"/>
    </row>
    <row r="24" spans="1:12" x14ac:dyDescent="0.25">
      <c r="B24"/>
      <c r="E24" s="124" t="s">
        <v>119</v>
      </c>
      <c r="F24" s="98">
        <v>245</v>
      </c>
      <c r="G24" s="98">
        <v>0</v>
      </c>
      <c r="H24" s="98"/>
      <c r="I24" s="98">
        <v>0</v>
      </c>
      <c r="J24" s="98"/>
      <c r="K24" s="98">
        <v>245</v>
      </c>
      <c r="L24" s="98"/>
    </row>
    <row r="25" spans="1:12" x14ac:dyDescent="0.25">
      <c r="A25" s="121">
        <v>44199</v>
      </c>
      <c r="B25" s="124">
        <v>463096</v>
      </c>
      <c r="C25" s="124" t="s">
        <v>29</v>
      </c>
      <c r="D25" s="124" t="s">
        <v>398</v>
      </c>
      <c r="E25" s="124" t="s">
        <v>115</v>
      </c>
      <c r="F25" s="98">
        <v>235</v>
      </c>
      <c r="G25" s="98">
        <v>0</v>
      </c>
      <c r="H25" s="98"/>
      <c r="I25" s="98">
        <v>0</v>
      </c>
      <c r="J25" s="98"/>
      <c r="K25" s="98">
        <v>235</v>
      </c>
      <c r="L25" s="98"/>
    </row>
    <row r="26" spans="1:12" x14ac:dyDescent="0.25">
      <c r="B26"/>
      <c r="E26" s="124" t="s">
        <v>118</v>
      </c>
      <c r="F26" s="98">
        <v>315</v>
      </c>
      <c r="G26" s="98">
        <v>0</v>
      </c>
      <c r="H26" s="98"/>
      <c r="I26" s="98">
        <v>0</v>
      </c>
      <c r="J26" s="98"/>
      <c r="K26" s="98">
        <v>315</v>
      </c>
      <c r="L26" s="98"/>
    </row>
    <row r="27" spans="1:12" x14ac:dyDescent="0.25">
      <c r="B27" s="124">
        <v>461818</v>
      </c>
      <c r="C27" s="124" t="s">
        <v>29</v>
      </c>
      <c r="D27" s="124" t="s">
        <v>396</v>
      </c>
      <c r="E27" s="124" t="s">
        <v>156</v>
      </c>
      <c r="F27" s="98">
        <v>315</v>
      </c>
      <c r="G27" s="98">
        <v>0</v>
      </c>
      <c r="H27" s="98"/>
      <c r="I27" s="98">
        <v>0</v>
      </c>
      <c r="J27" s="98"/>
      <c r="K27" s="98">
        <v>315</v>
      </c>
      <c r="L27" s="98"/>
    </row>
    <row r="28" spans="1:12" x14ac:dyDescent="0.25">
      <c r="B28"/>
      <c r="E28" s="124" t="s">
        <v>155</v>
      </c>
      <c r="F28" s="98">
        <v>230</v>
      </c>
      <c r="G28" s="98">
        <v>0</v>
      </c>
      <c r="H28" s="98"/>
      <c r="I28" s="98">
        <v>0</v>
      </c>
      <c r="J28" s="98"/>
      <c r="K28" s="98">
        <v>230</v>
      </c>
      <c r="L28" s="98"/>
    </row>
    <row r="29" spans="1:12" x14ac:dyDescent="0.25">
      <c r="B29"/>
      <c r="E29" s="124" t="s">
        <v>271</v>
      </c>
      <c r="F29" s="98">
        <v>220</v>
      </c>
      <c r="G29" s="98">
        <v>0</v>
      </c>
      <c r="H29" s="98"/>
      <c r="I29" s="98">
        <v>0</v>
      </c>
      <c r="J29" s="98"/>
      <c r="K29" s="98">
        <v>220</v>
      </c>
      <c r="L29" s="98"/>
    </row>
    <row r="30" spans="1:12" x14ac:dyDescent="0.25">
      <c r="A30" s="121">
        <v>44193</v>
      </c>
      <c r="B30" s="124" t="s">
        <v>29</v>
      </c>
      <c r="C30" s="124">
        <v>514410</v>
      </c>
      <c r="D30" s="124" t="s">
        <v>396</v>
      </c>
      <c r="E30" s="124" t="s">
        <v>115</v>
      </c>
      <c r="F30" s="98">
        <v>0</v>
      </c>
      <c r="G30" s="98">
        <v>121</v>
      </c>
      <c r="H30" s="98"/>
      <c r="I30" s="98">
        <v>0</v>
      </c>
      <c r="J30" s="98"/>
      <c r="K30" s="98">
        <v>121</v>
      </c>
      <c r="L30" s="98"/>
    </row>
    <row r="31" spans="1:12" x14ac:dyDescent="0.25">
      <c r="A31" s="121">
        <v>44201</v>
      </c>
      <c r="B31" s="124" t="s">
        <v>29</v>
      </c>
      <c r="C31" s="124">
        <v>504150</v>
      </c>
      <c r="D31" s="124" t="s">
        <v>406</v>
      </c>
      <c r="E31" s="124" t="s">
        <v>115</v>
      </c>
      <c r="F31" s="98">
        <v>0</v>
      </c>
      <c r="G31" s="98">
        <v>168</v>
      </c>
      <c r="H31" s="98"/>
      <c r="I31" s="98">
        <v>0</v>
      </c>
      <c r="J31" s="98"/>
      <c r="K31" s="98">
        <v>168</v>
      </c>
      <c r="L31" s="98"/>
    </row>
    <row r="32" spans="1:12" x14ac:dyDescent="0.25">
      <c r="B32" s="124">
        <v>463425</v>
      </c>
      <c r="C32" s="124" t="s">
        <v>29</v>
      </c>
      <c r="D32" s="124" t="s">
        <v>409</v>
      </c>
      <c r="E32" s="124" t="s">
        <v>270</v>
      </c>
      <c r="F32" s="98">
        <v>190</v>
      </c>
      <c r="G32" s="98">
        <v>0</v>
      </c>
      <c r="H32" s="98"/>
      <c r="I32" s="98">
        <v>0</v>
      </c>
      <c r="J32" s="98"/>
      <c r="K32" s="98">
        <v>190</v>
      </c>
      <c r="L32" s="98"/>
    </row>
    <row r="33" spans="1:12" x14ac:dyDescent="0.25">
      <c r="B33"/>
      <c r="E33" s="124" t="s">
        <v>115</v>
      </c>
      <c r="F33" s="98">
        <v>235</v>
      </c>
      <c r="G33" s="98">
        <v>0</v>
      </c>
      <c r="H33" s="98"/>
      <c r="I33" s="98">
        <v>0</v>
      </c>
      <c r="J33" s="98"/>
      <c r="K33" s="98">
        <v>235</v>
      </c>
      <c r="L33" s="98"/>
    </row>
    <row r="34" spans="1:12" x14ac:dyDescent="0.25">
      <c r="B34"/>
      <c r="E34" s="124" t="s">
        <v>118</v>
      </c>
      <c r="F34" s="98">
        <v>315</v>
      </c>
      <c r="G34" s="98">
        <v>0</v>
      </c>
      <c r="H34" s="98"/>
      <c r="I34" s="98">
        <v>0</v>
      </c>
      <c r="J34" s="98"/>
      <c r="K34" s="98">
        <v>315</v>
      </c>
      <c r="L34" s="98"/>
    </row>
    <row r="35" spans="1:12" x14ac:dyDescent="0.25">
      <c r="B35" s="124">
        <v>463822</v>
      </c>
      <c r="C35" s="124" t="s">
        <v>29</v>
      </c>
      <c r="D35" s="124" t="s">
        <v>409</v>
      </c>
      <c r="E35" s="124" t="s">
        <v>115</v>
      </c>
      <c r="F35" s="98">
        <v>268.47000000000003</v>
      </c>
      <c r="G35" s="98">
        <v>0</v>
      </c>
      <c r="H35" s="98"/>
      <c r="I35" s="98">
        <v>0</v>
      </c>
      <c r="J35" s="98"/>
      <c r="K35" s="98">
        <v>268.47000000000003</v>
      </c>
      <c r="L35" s="98"/>
    </row>
    <row r="36" spans="1:12" x14ac:dyDescent="0.25">
      <c r="B36"/>
      <c r="E36" s="124" t="s">
        <v>121</v>
      </c>
      <c r="F36" s="98">
        <v>283.54000000000002</v>
      </c>
      <c r="G36" s="98">
        <v>0</v>
      </c>
      <c r="H36" s="98"/>
      <c r="I36" s="98">
        <v>0</v>
      </c>
      <c r="J36" s="98"/>
      <c r="K36" s="98">
        <v>283.54000000000002</v>
      </c>
      <c r="L36" s="98"/>
    </row>
    <row r="37" spans="1:12" x14ac:dyDescent="0.25">
      <c r="B37" s="124">
        <v>461820</v>
      </c>
      <c r="C37" s="124" t="s">
        <v>29</v>
      </c>
      <c r="D37" s="124" t="s">
        <v>415</v>
      </c>
      <c r="E37" s="124" t="s">
        <v>270</v>
      </c>
      <c r="F37" s="98">
        <v>175</v>
      </c>
      <c r="G37" s="98">
        <v>0</v>
      </c>
      <c r="H37" s="98"/>
      <c r="I37" s="98">
        <v>0</v>
      </c>
      <c r="J37" s="98"/>
      <c r="K37" s="98">
        <v>175</v>
      </c>
      <c r="L37" s="98"/>
    </row>
    <row r="38" spans="1:12" x14ac:dyDescent="0.25">
      <c r="B38"/>
      <c r="E38" s="124" t="s">
        <v>115</v>
      </c>
      <c r="F38" s="98">
        <v>195</v>
      </c>
      <c r="G38" s="98">
        <v>0</v>
      </c>
      <c r="H38" s="98"/>
      <c r="I38" s="98">
        <v>0</v>
      </c>
      <c r="J38" s="98"/>
      <c r="K38" s="98">
        <v>195</v>
      </c>
      <c r="L38" s="98"/>
    </row>
    <row r="39" spans="1:12" x14ac:dyDescent="0.25">
      <c r="B39"/>
      <c r="E39" s="124" t="s">
        <v>119</v>
      </c>
      <c r="F39" s="98">
        <v>245</v>
      </c>
      <c r="G39" s="98">
        <v>0</v>
      </c>
      <c r="H39" s="98"/>
      <c r="I39" s="98">
        <v>0</v>
      </c>
      <c r="J39" s="98"/>
      <c r="K39" s="98">
        <v>245</v>
      </c>
      <c r="L39" s="98"/>
    </row>
    <row r="40" spans="1:12" x14ac:dyDescent="0.25">
      <c r="B40" s="124">
        <v>461821</v>
      </c>
      <c r="C40" s="124" t="s">
        <v>29</v>
      </c>
      <c r="D40" s="124" t="s">
        <v>416</v>
      </c>
      <c r="E40" s="124" t="s">
        <v>156</v>
      </c>
      <c r="F40" s="98">
        <v>315</v>
      </c>
      <c r="G40" s="98">
        <v>0</v>
      </c>
      <c r="H40" s="98"/>
      <c r="I40" s="98">
        <v>0</v>
      </c>
      <c r="J40" s="98"/>
      <c r="K40" s="98">
        <v>315</v>
      </c>
      <c r="L40" s="98"/>
    </row>
    <row r="41" spans="1:12" x14ac:dyDescent="0.25">
      <c r="B41"/>
      <c r="E41" s="124" t="s">
        <v>155</v>
      </c>
      <c r="F41" s="98">
        <v>230</v>
      </c>
      <c r="G41" s="98">
        <v>0</v>
      </c>
      <c r="H41" s="98"/>
      <c r="I41" s="98">
        <v>0</v>
      </c>
      <c r="J41" s="98"/>
      <c r="K41" s="98">
        <v>230</v>
      </c>
      <c r="L41" s="98"/>
    </row>
    <row r="42" spans="1:12" x14ac:dyDescent="0.25">
      <c r="B42"/>
      <c r="E42" s="124" t="s">
        <v>271</v>
      </c>
      <c r="F42" s="98">
        <v>220</v>
      </c>
      <c r="G42" s="98">
        <v>0</v>
      </c>
      <c r="H42" s="98"/>
      <c r="I42" s="98">
        <v>0</v>
      </c>
      <c r="J42" s="98"/>
      <c r="K42" s="98">
        <v>220</v>
      </c>
      <c r="L42" s="98"/>
    </row>
    <row r="43" spans="1:12" x14ac:dyDescent="0.25">
      <c r="A43" s="121">
        <v>44202</v>
      </c>
      <c r="B43" s="124" t="s">
        <v>29</v>
      </c>
      <c r="C43" s="124">
        <v>514423</v>
      </c>
      <c r="D43" s="124" t="s">
        <v>396</v>
      </c>
      <c r="E43" s="124" t="s">
        <v>270</v>
      </c>
      <c r="F43" s="98">
        <v>0</v>
      </c>
      <c r="G43" s="98">
        <v>127</v>
      </c>
      <c r="H43" s="98"/>
      <c r="I43" s="98">
        <v>0</v>
      </c>
      <c r="J43" s="98"/>
      <c r="K43" s="98">
        <v>127</v>
      </c>
      <c r="L43" s="98"/>
    </row>
    <row r="44" spans="1:12" x14ac:dyDescent="0.25">
      <c r="B44"/>
      <c r="C44" s="124">
        <v>514422</v>
      </c>
      <c r="D44" s="124" t="s">
        <v>396</v>
      </c>
      <c r="E44" s="124" t="s">
        <v>270</v>
      </c>
      <c r="F44" s="98">
        <v>0</v>
      </c>
      <c r="G44" s="98">
        <v>127</v>
      </c>
      <c r="H44" s="98"/>
      <c r="I44" s="98">
        <v>0</v>
      </c>
      <c r="J44" s="98"/>
      <c r="K44" s="98">
        <v>127</v>
      </c>
      <c r="L44" s="98"/>
    </row>
    <row r="45" spans="1:12" x14ac:dyDescent="0.25">
      <c r="B45" s="124">
        <v>464151</v>
      </c>
      <c r="C45" s="124" t="s">
        <v>29</v>
      </c>
      <c r="D45" s="124" t="s">
        <v>409</v>
      </c>
      <c r="E45" s="124" t="s">
        <v>270</v>
      </c>
      <c r="F45" s="98">
        <v>190</v>
      </c>
      <c r="G45" s="98">
        <v>0</v>
      </c>
      <c r="H45" s="98"/>
      <c r="I45" s="98">
        <v>0</v>
      </c>
      <c r="J45" s="98"/>
      <c r="K45" s="98">
        <v>190</v>
      </c>
      <c r="L45" s="98"/>
    </row>
    <row r="46" spans="1:12" x14ac:dyDescent="0.25">
      <c r="B46"/>
      <c r="E46" s="124" t="s">
        <v>115</v>
      </c>
      <c r="F46" s="98">
        <v>235</v>
      </c>
      <c r="G46" s="98">
        <v>0</v>
      </c>
      <c r="H46" s="98"/>
      <c r="I46" s="98">
        <v>0</v>
      </c>
      <c r="J46" s="98"/>
      <c r="K46" s="98">
        <v>235</v>
      </c>
      <c r="L46" s="98"/>
    </row>
    <row r="47" spans="1:12" x14ac:dyDescent="0.25">
      <c r="B47"/>
      <c r="E47" s="124" t="s">
        <v>118</v>
      </c>
      <c r="F47" s="98">
        <v>315</v>
      </c>
      <c r="G47" s="98">
        <v>0</v>
      </c>
      <c r="H47" s="98"/>
      <c r="I47" s="98">
        <v>0</v>
      </c>
      <c r="J47" s="98"/>
      <c r="K47" s="98">
        <v>315</v>
      </c>
      <c r="L47" s="98"/>
    </row>
    <row r="48" spans="1:12" x14ac:dyDescent="0.25">
      <c r="B48" s="124">
        <v>464152</v>
      </c>
      <c r="C48" s="124" t="s">
        <v>29</v>
      </c>
      <c r="D48" s="124" t="s">
        <v>409</v>
      </c>
      <c r="E48" s="124" t="s">
        <v>270</v>
      </c>
      <c r="F48" s="98">
        <v>190</v>
      </c>
      <c r="G48" s="98">
        <v>0</v>
      </c>
      <c r="H48" s="98"/>
      <c r="I48" s="98">
        <v>0</v>
      </c>
      <c r="J48" s="98"/>
      <c r="K48" s="98">
        <v>190</v>
      </c>
      <c r="L48" s="98"/>
    </row>
    <row r="49" spans="1:12" x14ac:dyDescent="0.25">
      <c r="B49"/>
      <c r="E49" s="124" t="s">
        <v>115</v>
      </c>
      <c r="F49" s="98">
        <v>235</v>
      </c>
      <c r="G49" s="98">
        <v>0</v>
      </c>
      <c r="H49" s="98"/>
      <c r="I49" s="98">
        <v>0</v>
      </c>
      <c r="J49" s="98"/>
      <c r="K49" s="98">
        <v>235</v>
      </c>
      <c r="L49" s="98"/>
    </row>
    <row r="50" spans="1:12" x14ac:dyDescent="0.25">
      <c r="B50"/>
      <c r="E50" s="124" t="s">
        <v>118</v>
      </c>
      <c r="F50" s="98">
        <v>315</v>
      </c>
      <c r="G50" s="98">
        <v>0</v>
      </c>
      <c r="H50" s="98"/>
      <c r="I50" s="98">
        <v>0</v>
      </c>
      <c r="J50" s="98"/>
      <c r="K50" s="98">
        <v>315</v>
      </c>
      <c r="L50" s="98"/>
    </row>
    <row r="51" spans="1:12" x14ac:dyDescent="0.25">
      <c r="B51" s="124">
        <v>463823</v>
      </c>
      <c r="C51" s="124" t="s">
        <v>29</v>
      </c>
      <c r="D51" s="124" t="s">
        <v>409</v>
      </c>
      <c r="E51" s="124" t="s">
        <v>121</v>
      </c>
      <c r="F51" s="98">
        <v>517.86</v>
      </c>
      <c r="G51" s="98">
        <v>0</v>
      </c>
      <c r="H51" s="98"/>
      <c r="I51" s="98">
        <v>0</v>
      </c>
      <c r="J51" s="98"/>
      <c r="K51" s="98">
        <v>517.86</v>
      </c>
      <c r="L51" s="98"/>
    </row>
    <row r="52" spans="1:12" x14ac:dyDescent="0.25">
      <c r="B52" s="124">
        <v>464180</v>
      </c>
      <c r="C52" s="124" t="s">
        <v>29</v>
      </c>
      <c r="D52" s="124" t="s">
        <v>396</v>
      </c>
      <c r="E52" s="124" t="s">
        <v>270</v>
      </c>
      <c r="F52" s="98">
        <v>199.85</v>
      </c>
      <c r="G52" s="98">
        <v>0</v>
      </c>
      <c r="H52" s="98"/>
      <c r="I52" s="98">
        <v>0</v>
      </c>
      <c r="J52" s="98"/>
      <c r="K52" s="98">
        <v>199.85</v>
      </c>
      <c r="L52" s="98"/>
    </row>
    <row r="53" spans="1:12" x14ac:dyDescent="0.25">
      <c r="B53"/>
      <c r="E53" s="124" t="s">
        <v>115</v>
      </c>
      <c r="F53" s="98">
        <v>249.13</v>
      </c>
      <c r="G53" s="98">
        <v>0</v>
      </c>
      <c r="H53" s="98"/>
      <c r="I53" s="98">
        <v>0</v>
      </c>
      <c r="J53" s="98"/>
      <c r="K53" s="98">
        <v>249.13</v>
      </c>
      <c r="L53" s="98"/>
    </row>
    <row r="54" spans="1:12" x14ac:dyDescent="0.25">
      <c r="B54"/>
      <c r="E54" s="124" t="s">
        <v>119</v>
      </c>
      <c r="F54" s="98">
        <v>317.69</v>
      </c>
      <c r="G54" s="98">
        <v>0</v>
      </c>
      <c r="H54" s="98"/>
      <c r="I54" s="98">
        <v>0</v>
      </c>
      <c r="J54" s="98"/>
      <c r="K54" s="98">
        <v>317.69</v>
      </c>
      <c r="L54" s="98"/>
    </row>
    <row r="55" spans="1:12" x14ac:dyDescent="0.25">
      <c r="A55" s="121">
        <v>44200</v>
      </c>
      <c r="B55" s="124">
        <v>463424</v>
      </c>
      <c r="C55" s="124" t="s">
        <v>29</v>
      </c>
      <c r="D55" s="124" t="s">
        <v>409</v>
      </c>
      <c r="E55" s="124" t="s">
        <v>270</v>
      </c>
      <c r="F55" s="98">
        <v>190</v>
      </c>
      <c r="G55" s="98">
        <v>0</v>
      </c>
      <c r="H55" s="98"/>
      <c r="I55" s="98">
        <v>0</v>
      </c>
      <c r="J55" s="98"/>
      <c r="K55" s="98">
        <v>190</v>
      </c>
      <c r="L55" s="98"/>
    </row>
    <row r="56" spans="1:12" x14ac:dyDescent="0.25">
      <c r="B56"/>
      <c r="E56" s="124" t="s">
        <v>115</v>
      </c>
      <c r="F56" s="98">
        <v>235</v>
      </c>
      <c r="G56" s="98">
        <v>0</v>
      </c>
      <c r="H56" s="98"/>
      <c r="I56" s="98">
        <v>0</v>
      </c>
      <c r="J56" s="98"/>
      <c r="K56" s="98">
        <v>235</v>
      </c>
      <c r="L56" s="98"/>
    </row>
    <row r="57" spans="1:12" x14ac:dyDescent="0.25">
      <c r="B57"/>
      <c r="E57" s="124" t="s">
        <v>118</v>
      </c>
      <c r="F57" s="98">
        <v>315</v>
      </c>
      <c r="G57" s="98">
        <v>0</v>
      </c>
      <c r="H57" s="98"/>
      <c r="I57" s="98">
        <v>0</v>
      </c>
      <c r="J57" s="98"/>
      <c r="K57" s="98">
        <v>315</v>
      </c>
      <c r="L57" s="98"/>
    </row>
    <row r="58" spans="1:12" x14ac:dyDescent="0.25">
      <c r="B58" s="124">
        <v>461819</v>
      </c>
      <c r="C58" s="124" t="s">
        <v>29</v>
      </c>
      <c r="D58" s="124" t="s">
        <v>396</v>
      </c>
      <c r="E58" s="124" t="s">
        <v>156</v>
      </c>
      <c r="F58" s="98">
        <v>315</v>
      </c>
      <c r="G58" s="98">
        <v>0</v>
      </c>
      <c r="H58" s="98"/>
      <c r="I58" s="98">
        <v>0</v>
      </c>
      <c r="J58" s="98"/>
      <c r="K58" s="98">
        <v>315</v>
      </c>
      <c r="L58" s="98"/>
    </row>
    <row r="59" spans="1:12" x14ac:dyDescent="0.25">
      <c r="B59"/>
      <c r="E59" s="124" t="s">
        <v>155</v>
      </c>
      <c r="F59" s="98">
        <v>230</v>
      </c>
      <c r="G59" s="98">
        <v>0</v>
      </c>
      <c r="H59" s="98"/>
      <c r="I59" s="98">
        <v>0</v>
      </c>
      <c r="J59" s="98"/>
      <c r="K59" s="98">
        <v>230</v>
      </c>
      <c r="L59" s="98"/>
    </row>
    <row r="60" spans="1:12" x14ac:dyDescent="0.25">
      <c r="B60"/>
      <c r="E60" s="124" t="s">
        <v>271</v>
      </c>
      <c r="F60" s="98">
        <v>220</v>
      </c>
      <c r="G60" s="98">
        <v>0</v>
      </c>
      <c r="H60" s="98"/>
      <c r="I60" s="98">
        <v>0</v>
      </c>
      <c r="J60" s="98"/>
      <c r="K60" s="98">
        <v>220</v>
      </c>
      <c r="L60" s="98"/>
    </row>
    <row r="61" spans="1:12" x14ac:dyDescent="0.25">
      <c r="A61" s="121">
        <v>44203</v>
      </c>
      <c r="B61" s="124">
        <v>463824</v>
      </c>
      <c r="C61" s="124" t="s">
        <v>29</v>
      </c>
      <c r="D61" s="124" t="s">
        <v>409</v>
      </c>
      <c r="E61" s="124" t="s">
        <v>118</v>
      </c>
      <c r="F61" s="98">
        <v>329.04</v>
      </c>
      <c r="G61" s="98">
        <v>0</v>
      </c>
      <c r="H61" s="98"/>
      <c r="I61" s="98">
        <v>0</v>
      </c>
      <c r="J61" s="98"/>
      <c r="K61" s="98">
        <v>329.04</v>
      </c>
      <c r="L61" s="98"/>
    </row>
    <row r="62" spans="1:12" x14ac:dyDescent="0.25">
      <c r="B62"/>
      <c r="E62" s="124" t="s">
        <v>121</v>
      </c>
      <c r="F62" s="98">
        <v>253.47</v>
      </c>
      <c r="G62" s="98">
        <v>0</v>
      </c>
      <c r="H62" s="98"/>
      <c r="I62" s="98">
        <v>0</v>
      </c>
      <c r="J62" s="98"/>
      <c r="K62" s="98">
        <v>253.47</v>
      </c>
      <c r="L62" s="98"/>
    </row>
    <row r="63" spans="1:12" x14ac:dyDescent="0.25">
      <c r="B63" s="124">
        <v>464153</v>
      </c>
      <c r="C63" s="124" t="s">
        <v>29</v>
      </c>
      <c r="D63" s="124" t="s">
        <v>409</v>
      </c>
      <c r="E63" s="124" t="s">
        <v>270</v>
      </c>
      <c r="F63" s="98">
        <v>190</v>
      </c>
      <c r="G63" s="98">
        <v>0</v>
      </c>
      <c r="H63" s="98"/>
      <c r="I63" s="98">
        <v>0</v>
      </c>
      <c r="J63" s="98"/>
      <c r="K63" s="98">
        <v>190</v>
      </c>
      <c r="L63" s="98"/>
    </row>
    <row r="64" spans="1:12" x14ac:dyDescent="0.25">
      <c r="B64"/>
      <c r="E64" s="124" t="s">
        <v>115</v>
      </c>
      <c r="F64" s="98">
        <v>235</v>
      </c>
      <c r="G64" s="98">
        <v>0</v>
      </c>
      <c r="H64" s="98"/>
      <c r="I64" s="98">
        <v>0</v>
      </c>
      <c r="J64" s="98"/>
      <c r="K64" s="98">
        <v>235</v>
      </c>
      <c r="L64" s="98"/>
    </row>
    <row r="65" spans="1:12" x14ac:dyDescent="0.25">
      <c r="B65"/>
      <c r="E65" s="124" t="s">
        <v>118</v>
      </c>
      <c r="F65" s="98">
        <v>315</v>
      </c>
      <c r="G65" s="98">
        <v>0</v>
      </c>
      <c r="H65" s="98"/>
      <c r="I65" s="98">
        <v>0</v>
      </c>
      <c r="J65" s="98"/>
      <c r="K65" s="98">
        <v>315</v>
      </c>
      <c r="L65" s="98"/>
    </row>
    <row r="66" spans="1:12" x14ac:dyDescent="0.25">
      <c r="B66" s="124">
        <v>464181</v>
      </c>
      <c r="C66" s="124" t="s">
        <v>29</v>
      </c>
      <c r="D66" s="124" t="s">
        <v>396</v>
      </c>
      <c r="E66" s="124" t="s">
        <v>270</v>
      </c>
      <c r="F66" s="98">
        <v>175</v>
      </c>
      <c r="G66" s="98">
        <v>0</v>
      </c>
      <c r="H66" s="98"/>
      <c r="I66" s="98">
        <v>0</v>
      </c>
      <c r="J66" s="98"/>
      <c r="K66" s="98">
        <v>175</v>
      </c>
      <c r="L66" s="98"/>
    </row>
    <row r="67" spans="1:12" x14ac:dyDescent="0.25">
      <c r="B67"/>
      <c r="E67" s="124" t="s">
        <v>115</v>
      </c>
      <c r="F67" s="98">
        <v>195</v>
      </c>
      <c r="G67" s="98">
        <v>0</v>
      </c>
      <c r="H67" s="98"/>
      <c r="I67" s="98">
        <v>0</v>
      </c>
      <c r="J67" s="98"/>
      <c r="K67" s="98">
        <v>195</v>
      </c>
      <c r="L67" s="98"/>
    </row>
    <row r="68" spans="1:12" x14ac:dyDescent="0.25">
      <c r="B68"/>
      <c r="E68" s="124" t="s">
        <v>119</v>
      </c>
      <c r="F68" s="98">
        <v>245</v>
      </c>
      <c r="G68" s="98">
        <v>0</v>
      </c>
      <c r="H68" s="98"/>
      <c r="I68" s="98">
        <v>0</v>
      </c>
      <c r="J68" s="98"/>
      <c r="K68" s="98">
        <v>245</v>
      </c>
      <c r="L68" s="98"/>
    </row>
    <row r="69" spans="1:12" x14ac:dyDescent="0.25">
      <c r="A69" s="121">
        <v>44204</v>
      </c>
      <c r="B69" s="124">
        <v>464155</v>
      </c>
      <c r="C69" s="124" t="s">
        <v>29</v>
      </c>
      <c r="D69" s="124" t="s">
        <v>409</v>
      </c>
      <c r="E69" s="124" t="s">
        <v>270</v>
      </c>
      <c r="F69" s="98">
        <v>175</v>
      </c>
      <c r="G69" s="98">
        <v>0</v>
      </c>
      <c r="H69" s="98"/>
      <c r="I69" s="98">
        <v>0</v>
      </c>
      <c r="J69" s="98"/>
      <c r="K69" s="98">
        <v>175</v>
      </c>
      <c r="L69" s="98"/>
    </row>
    <row r="70" spans="1:12" x14ac:dyDescent="0.25">
      <c r="B70"/>
      <c r="E70" s="124" t="s">
        <v>115</v>
      </c>
      <c r="F70" s="98">
        <v>195</v>
      </c>
      <c r="G70" s="98">
        <v>0</v>
      </c>
      <c r="H70" s="98"/>
      <c r="I70" s="98">
        <v>0</v>
      </c>
      <c r="J70" s="98"/>
      <c r="K70" s="98">
        <v>195</v>
      </c>
      <c r="L70" s="98"/>
    </row>
    <row r="71" spans="1:12" x14ac:dyDescent="0.25">
      <c r="B71"/>
      <c r="E71" s="124" t="s">
        <v>118</v>
      </c>
      <c r="F71" s="98">
        <v>265</v>
      </c>
      <c r="G71" s="98">
        <v>0</v>
      </c>
      <c r="H71" s="98"/>
      <c r="I71" s="98">
        <v>0</v>
      </c>
      <c r="J71" s="98"/>
      <c r="K71" s="98">
        <v>265</v>
      </c>
      <c r="L71" s="98"/>
    </row>
    <row r="72" spans="1:12" x14ac:dyDescent="0.25">
      <c r="B72" s="124">
        <v>463825</v>
      </c>
      <c r="C72" s="124" t="s">
        <v>29</v>
      </c>
      <c r="D72" s="124" t="s">
        <v>409</v>
      </c>
      <c r="E72" s="124" t="s">
        <v>121</v>
      </c>
      <c r="F72" s="98">
        <v>532.9</v>
      </c>
      <c r="G72" s="98">
        <v>0</v>
      </c>
      <c r="H72" s="98"/>
      <c r="I72" s="98">
        <v>0</v>
      </c>
      <c r="J72" s="98"/>
      <c r="K72" s="98">
        <v>532.9</v>
      </c>
      <c r="L72" s="98"/>
    </row>
    <row r="73" spans="1:12" x14ac:dyDescent="0.25">
      <c r="A73" s="121">
        <v>44197</v>
      </c>
      <c r="B73" s="124">
        <v>461816</v>
      </c>
      <c r="C73" s="124" t="s">
        <v>29</v>
      </c>
      <c r="D73" s="124" t="s">
        <v>413</v>
      </c>
      <c r="E73" s="124" t="s">
        <v>119</v>
      </c>
      <c r="F73" s="98">
        <v>295</v>
      </c>
      <c r="G73" s="98">
        <v>0</v>
      </c>
      <c r="H73" s="98"/>
      <c r="I73" s="98">
        <v>0</v>
      </c>
      <c r="J73" s="98"/>
      <c r="K73" s="98">
        <v>295</v>
      </c>
      <c r="L73" s="98"/>
    </row>
    <row r="74" spans="1:12" x14ac:dyDescent="0.25">
      <c r="B74" s="124">
        <v>481816</v>
      </c>
      <c r="C74" s="124" t="s">
        <v>29</v>
      </c>
      <c r="D74" s="124" t="s">
        <v>413</v>
      </c>
      <c r="E74" s="124" t="s">
        <v>115</v>
      </c>
      <c r="F74" s="98">
        <v>235</v>
      </c>
      <c r="G74" s="98">
        <v>0</v>
      </c>
      <c r="H74" s="98"/>
      <c r="I74" s="98">
        <v>0</v>
      </c>
      <c r="J74" s="98"/>
      <c r="K74" s="98">
        <v>235</v>
      </c>
      <c r="L74" s="98"/>
    </row>
    <row r="75" spans="1:12" x14ac:dyDescent="0.25">
      <c r="B75" s="124">
        <v>461092</v>
      </c>
      <c r="C75" s="124" t="s">
        <v>29</v>
      </c>
      <c r="D75" s="124" t="s">
        <v>396</v>
      </c>
      <c r="E75" s="124" t="s">
        <v>270</v>
      </c>
      <c r="F75" s="98">
        <v>190</v>
      </c>
      <c r="G75" s="98">
        <v>0</v>
      </c>
      <c r="H75" s="98"/>
      <c r="I75" s="98">
        <v>0</v>
      </c>
      <c r="J75" s="98"/>
      <c r="K75" s="98">
        <v>190</v>
      </c>
      <c r="L75" s="98"/>
    </row>
    <row r="76" spans="1:12" x14ac:dyDescent="0.25">
      <c r="B76"/>
      <c r="E76" s="124" t="s">
        <v>117</v>
      </c>
      <c r="F76" s="98">
        <v>335</v>
      </c>
      <c r="G76" s="98">
        <v>0</v>
      </c>
      <c r="H76" s="98"/>
      <c r="I76" s="98">
        <v>0</v>
      </c>
      <c r="J76" s="98"/>
      <c r="K76" s="98">
        <v>335</v>
      </c>
      <c r="L76" s="98"/>
    </row>
    <row r="77" spans="1:12" x14ac:dyDescent="0.25">
      <c r="B77"/>
      <c r="E77" s="124" t="s">
        <v>115</v>
      </c>
      <c r="F77" s="98">
        <v>235</v>
      </c>
      <c r="G77" s="98">
        <v>0</v>
      </c>
      <c r="H77" s="98"/>
      <c r="I77" s="98">
        <v>0</v>
      </c>
      <c r="J77" s="98"/>
      <c r="K77" s="98">
        <v>235</v>
      </c>
      <c r="L77" s="98"/>
    </row>
    <row r="78" spans="1:12" x14ac:dyDescent="0.25">
      <c r="A78" s="121">
        <v>44205</v>
      </c>
      <c r="B78" s="124" t="s">
        <v>29</v>
      </c>
      <c r="C78" s="124" t="s">
        <v>29</v>
      </c>
      <c r="D78" s="124" t="s">
        <v>29</v>
      </c>
      <c r="E78" s="124" t="s">
        <v>29</v>
      </c>
      <c r="F78" s="98">
        <v>0</v>
      </c>
      <c r="G78" s="98">
        <v>0</v>
      </c>
      <c r="H78" s="98"/>
      <c r="I78" s="98">
        <v>0</v>
      </c>
      <c r="J78" s="98">
        <v>3190</v>
      </c>
      <c r="K78" s="98">
        <v>0</v>
      </c>
      <c r="L78" s="98"/>
    </row>
    <row r="79" spans="1:12" x14ac:dyDescent="0.25">
      <c r="B79"/>
      <c r="C79" s="124">
        <v>514428</v>
      </c>
      <c r="D79" s="124" t="s">
        <v>396</v>
      </c>
      <c r="E79" s="124" t="s">
        <v>270</v>
      </c>
      <c r="F79" s="98">
        <v>0</v>
      </c>
      <c r="G79" s="98">
        <v>123</v>
      </c>
      <c r="H79" s="98"/>
      <c r="I79" s="98">
        <v>0</v>
      </c>
      <c r="J79" s="98"/>
      <c r="K79" s="98">
        <v>123</v>
      </c>
      <c r="L79" s="98"/>
    </row>
    <row r="80" spans="1:12" x14ac:dyDescent="0.25">
      <c r="B80" s="124">
        <v>463288</v>
      </c>
      <c r="C80" s="124" t="s">
        <v>29</v>
      </c>
      <c r="D80" s="124" t="s">
        <v>422</v>
      </c>
      <c r="E80" s="124" t="s">
        <v>270</v>
      </c>
      <c r="F80" s="98">
        <v>190.9</v>
      </c>
      <c r="G80" s="98">
        <v>0</v>
      </c>
      <c r="H80" s="98"/>
      <c r="I80" s="98">
        <v>0</v>
      </c>
      <c r="J80" s="98"/>
      <c r="K80" s="98">
        <v>190.9</v>
      </c>
      <c r="L80" s="98"/>
    </row>
    <row r="81" spans="1:12" x14ac:dyDescent="0.25">
      <c r="B81" s="124">
        <v>463752</v>
      </c>
      <c r="C81" s="124" t="s">
        <v>29</v>
      </c>
      <c r="D81" s="124" t="s">
        <v>409</v>
      </c>
      <c r="E81" s="124" t="s">
        <v>118</v>
      </c>
      <c r="F81" s="98">
        <v>356.51</v>
      </c>
      <c r="G81" s="98">
        <v>0</v>
      </c>
      <c r="H81" s="98"/>
      <c r="I81" s="98">
        <v>0</v>
      </c>
      <c r="J81" s="98"/>
      <c r="K81" s="98">
        <v>356.51</v>
      </c>
      <c r="L81" s="98"/>
    </row>
    <row r="82" spans="1:12" x14ac:dyDescent="0.25">
      <c r="B82"/>
      <c r="E82" s="124" t="s">
        <v>121</v>
      </c>
      <c r="F82" s="98">
        <v>270.04000000000002</v>
      </c>
      <c r="G82" s="98">
        <v>0</v>
      </c>
      <c r="H82" s="98"/>
      <c r="I82" s="98">
        <v>0</v>
      </c>
      <c r="J82" s="98"/>
      <c r="K82" s="98">
        <v>270.04000000000002</v>
      </c>
      <c r="L82" s="98"/>
    </row>
    <row r="83" spans="1:12" x14ac:dyDescent="0.25">
      <c r="A83" s="121">
        <v>44194</v>
      </c>
      <c r="B83" s="124" t="s">
        <v>29</v>
      </c>
      <c r="C83" s="124">
        <v>514411</v>
      </c>
      <c r="D83" s="124" t="s">
        <v>396</v>
      </c>
      <c r="E83" s="124" t="s">
        <v>270</v>
      </c>
      <c r="F83" s="98">
        <v>0</v>
      </c>
      <c r="G83" s="98">
        <v>146</v>
      </c>
      <c r="H83" s="98"/>
      <c r="I83" s="98">
        <v>0</v>
      </c>
      <c r="J83" s="98"/>
      <c r="K83" s="98">
        <v>146</v>
      </c>
      <c r="L83" s="98"/>
    </row>
    <row r="84" spans="1:12" x14ac:dyDescent="0.25">
      <c r="A84" s="121" t="s">
        <v>9</v>
      </c>
      <c r="B84"/>
      <c r="F84" s="98">
        <v>16967.13</v>
      </c>
      <c r="G84" s="98">
        <v>812</v>
      </c>
      <c r="H84" s="98"/>
      <c r="I84" s="98">
        <v>0</v>
      </c>
      <c r="J84" s="98">
        <v>3190</v>
      </c>
      <c r="K84" s="98">
        <v>17779.13</v>
      </c>
      <c r="L84" s="98">
        <v>2</v>
      </c>
    </row>
  </sheetData>
  <mergeCells count="4">
    <mergeCell ref="F5:G5"/>
    <mergeCell ref="F4:G4"/>
    <mergeCell ref="H4:J4"/>
    <mergeCell ref="H5:J5"/>
  </mergeCells>
  <pageMargins left="0.7" right="0.7" top="0.75" bottom="0.75" header="0.3" footer="0.3"/>
  <pageSetup scale="62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PrintStatements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762000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37"/>
  <sheetViews>
    <sheetView zoomScaleNormal="100" workbookViewId="0">
      <selection activeCell="A11" sqref="A11"/>
    </sheetView>
  </sheetViews>
  <sheetFormatPr defaultRowHeight="15" x14ac:dyDescent="0.25"/>
  <cols>
    <col min="1" max="1" width="25.7109375" customWidth="1"/>
    <col min="2" max="2" width="18" style="62" customWidth="1"/>
    <col min="3" max="3" width="16.42578125" customWidth="1"/>
    <col min="4" max="4" width="14.85546875" customWidth="1"/>
    <col min="5" max="5" width="20.7109375" customWidth="1"/>
    <col min="6" max="7" width="16.28515625" bestFit="1" customWidth="1"/>
    <col min="8" max="8" width="11.7109375" bestFit="1" customWidth="1"/>
    <col min="9" max="9" width="15.42578125" bestFit="1" customWidth="1"/>
    <col min="10" max="10" width="10.28515625" customWidth="1"/>
    <col min="11" max="11" width="11.7109375" customWidth="1"/>
    <col min="12" max="12" width="11.7109375" bestFit="1" customWidth="1"/>
  </cols>
  <sheetData>
    <row r="2" spans="1:7" x14ac:dyDescent="0.25">
      <c r="C2" s="64"/>
    </row>
    <row r="4" spans="1:7" x14ac:dyDescent="0.25">
      <c r="D4" s="103" t="s">
        <v>23</v>
      </c>
      <c r="E4" s="137" t="str">
        <f>TEXT('Start Here'!C9,"mmm d, yyyy")&amp;" to "&amp;TEXT('Start Here'!D9,"mmm d, yyyy")</f>
        <v>Dec 27, 2020 to Jan 9, 2021</v>
      </c>
      <c r="F4" s="137"/>
      <c r="G4" s="104"/>
    </row>
    <row r="5" spans="1:7" x14ac:dyDescent="0.25">
      <c r="D5" s="103" t="s">
        <v>70</v>
      </c>
      <c r="E5" s="137" t="str">
        <f>TEXT('Start Here'!E9,"mmm d, yyyy")</f>
        <v>Jan 29, 2021</v>
      </c>
      <c r="F5" s="137"/>
      <c r="G5" s="104"/>
    </row>
    <row r="6" spans="1:7" ht="15" customHeight="1" x14ac:dyDescent="0.25">
      <c r="A6" s="48"/>
      <c r="B6" s="63"/>
      <c r="D6" s="103"/>
    </row>
    <row r="7" spans="1:7" ht="15" customHeight="1" x14ac:dyDescent="0.25">
      <c r="A7" s="48"/>
      <c r="B7" s="63"/>
      <c r="D7" s="103" t="s">
        <v>94</v>
      </c>
      <c r="E7" s="138" t="str">
        <f>'Start Here'!C11</f>
        <v>Swift Current &amp; Kindersley</v>
      </c>
      <c r="F7" s="138"/>
    </row>
    <row r="8" spans="1:7" ht="15" customHeight="1" x14ac:dyDescent="0.25">
      <c r="A8" s="3" t="s">
        <v>230</v>
      </c>
      <c r="B8" t="s">
        <v>71</v>
      </c>
      <c r="D8" s="103"/>
    </row>
    <row r="9" spans="1:7" ht="15" customHeight="1" x14ac:dyDescent="0.25">
      <c r="A9" s="47"/>
      <c r="B9" s="63"/>
      <c r="C9" s="47"/>
      <c r="D9" s="47"/>
      <c r="E9" s="47"/>
    </row>
    <row r="10" spans="1:7" x14ac:dyDescent="0.25">
      <c r="A10" s="3" t="s">
        <v>22</v>
      </c>
      <c r="B10" t="s">
        <v>274</v>
      </c>
      <c r="C10" t="s">
        <v>290</v>
      </c>
      <c r="D10" t="s">
        <v>229</v>
      </c>
      <c r="E10" t="s">
        <v>272</v>
      </c>
      <c r="F10" t="s">
        <v>101</v>
      </c>
    </row>
    <row r="11" spans="1:7" x14ac:dyDescent="0.25">
      <c r="A11" t="s">
        <v>29</v>
      </c>
      <c r="B11" s="2">
        <v>0</v>
      </c>
      <c r="C11" s="2">
        <v>0</v>
      </c>
      <c r="D11" s="2">
        <v>0</v>
      </c>
      <c r="E11" s="2">
        <v>0</v>
      </c>
      <c r="F11" s="2"/>
    </row>
    <row r="12" spans="1:7" x14ac:dyDescent="0.25">
      <c r="A12" t="s">
        <v>393</v>
      </c>
      <c r="B12" s="2">
        <v>942.69</v>
      </c>
      <c r="C12" s="2">
        <v>0</v>
      </c>
      <c r="D12" s="2">
        <v>0</v>
      </c>
      <c r="E12" s="2">
        <v>942.69</v>
      </c>
      <c r="F12" s="2">
        <v>510</v>
      </c>
    </row>
    <row r="13" spans="1:7" x14ac:dyDescent="0.25">
      <c r="A13" t="s">
        <v>394</v>
      </c>
      <c r="B13" s="2">
        <v>670</v>
      </c>
      <c r="C13" s="2">
        <v>0</v>
      </c>
      <c r="D13" s="2">
        <v>0</v>
      </c>
      <c r="E13" s="2">
        <v>670</v>
      </c>
      <c r="F13" s="2">
        <v>214</v>
      </c>
    </row>
    <row r="14" spans="1:7" x14ac:dyDescent="0.25">
      <c r="A14" t="s">
        <v>395</v>
      </c>
      <c r="B14" s="2">
        <v>660.9</v>
      </c>
      <c r="C14" s="2">
        <v>121</v>
      </c>
      <c r="D14" s="2">
        <v>0</v>
      </c>
      <c r="E14" s="2">
        <v>781.9</v>
      </c>
      <c r="F14" s="2"/>
    </row>
    <row r="15" spans="1:7" x14ac:dyDescent="0.25">
      <c r="A15" t="s">
        <v>397</v>
      </c>
      <c r="B15" s="2">
        <v>1039.81</v>
      </c>
      <c r="C15" s="2">
        <v>0</v>
      </c>
      <c r="D15" s="2">
        <v>0</v>
      </c>
      <c r="E15" s="2">
        <v>1039.81</v>
      </c>
      <c r="F15" s="2">
        <v>495</v>
      </c>
    </row>
    <row r="16" spans="1:7" x14ac:dyDescent="0.25">
      <c r="A16" t="s">
        <v>400</v>
      </c>
      <c r="B16" s="2">
        <v>1234.93</v>
      </c>
      <c r="C16" s="2">
        <v>0</v>
      </c>
      <c r="D16" s="2">
        <v>0</v>
      </c>
      <c r="E16" s="2">
        <v>1234.93</v>
      </c>
      <c r="F16" s="2">
        <v>495</v>
      </c>
    </row>
    <row r="17" spans="1:6" x14ac:dyDescent="0.25">
      <c r="A17" t="s">
        <v>401</v>
      </c>
      <c r="B17" s="2">
        <v>980</v>
      </c>
      <c r="C17" s="2">
        <v>254</v>
      </c>
      <c r="D17" s="2">
        <v>0</v>
      </c>
      <c r="E17" s="2">
        <v>1234</v>
      </c>
      <c r="F17" s="2">
        <v>303</v>
      </c>
    </row>
    <row r="18" spans="1:6" x14ac:dyDescent="0.25">
      <c r="A18" t="s">
        <v>403</v>
      </c>
      <c r="B18" s="2">
        <v>1633.43</v>
      </c>
      <c r="C18" s="2">
        <v>0</v>
      </c>
      <c r="D18" s="2">
        <v>0</v>
      </c>
      <c r="E18" s="2">
        <v>1633.43</v>
      </c>
      <c r="F18" s="2">
        <v>60</v>
      </c>
    </row>
    <row r="19" spans="1:6" x14ac:dyDescent="0.25">
      <c r="A19" t="s">
        <v>402</v>
      </c>
      <c r="B19" s="2">
        <v>1386.39</v>
      </c>
      <c r="C19" s="2">
        <v>0</v>
      </c>
      <c r="D19" s="2">
        <v>0</v>
      </c>
      <c r="E19" s="2">
        <v>1386.39</v>
      </c>
      <c r="F19" s="2">
        <v>40</v>
      </c>
    </row>
    <row r="20" spans="1:6" x14ac:dyDescent="0.25">
      <c r="A20" t="s">
        <v>405</v>
      </c>
      <c r="B20" s="2">
        <v>594.85</v>
      </c>
      <c r="C20" s="2">
        <v>168</v>
      </c>
      <c r="D20" s="2">
        <v>0</v>
      </c>
      <c r="E20" s="2">
        <v>762.85</v>
      </c>
      <c r="F20" s="2">
        <v>194</v>
      </c>
    </row>
    <row r="21" spans="1:6" x14ac:dyDescent="0.25">
      <c r="A21" t="s">
        <v>408</v>
      </c>
      <c r="B21" s="2">
        <v>1125</v>
      </c>
      <c r="C21" s="2">
        <v>146</v>
      </c>
      <c r="D21" s="2">
        <v>0</v>
      </c>
      <c r="E21" s="2">
        <v>1271</v>
      </c>
      <c r="F21" s="2">
        <v>94</v>
      </c>
    </row>
    <row r="22" spans="1:6" x14ac:dyDescent="0.25">
      <c r="A22" t="s">
        <v>410</v>
      </c>
      <c r="B22" s="2">
        <v>1370</v>
      </c>
      <c r="C22" s="2">
        <v>0</v>
      </c>
      <c r="D22" s="2">
        <v>0</v>
      </c>
      <c r="E22" s="2">
        <v>1370</v>
      </c>
      <c r="F22" s="2">
        <v>87</v>
      </c>
    </row>
    <row r="23" spans="1:6" x14ac:dyDescent="0.25">
      <c r="A23" t="s">
        <v>411</v>
      </c>
      <c r="B23" s="2">
        <v>1840</v>
      </c>
      <c r="C23" s="2">
        <v>0</v>
      </c>
      <c r="D23" s="2">
        <v>0</v>
      </c>
      <c r="E23" s="2">
        <v>1840</v>
      </c>
      <c r="F23" s="2">
        <v>84</v>
      </c>
    </row>
    <row r="24" spans="1:6" x14ac:dyDescent="0.25">
      <c r="A24" t="s">
        <v>412</v>
      </c>
      <c r="B24" s="2">
        <v>1730</v>
      </c>
      <c r="C24" s="2">
        <v>0</v>
      </c>
      <c r="D24" s="2">
        <v>0</v>
      </c>
      <c r="E24" s="2">
        <v>1730</v>
      </c>
      <c r="F24" s="2">
        <v>233</v>
      </c>
    </row>
    <row r="25" spans="1:6" x14ac:dyDescent="0.25">
      <c r="A25" t="s">
        <v>414</v>
      </c>
      <c r="B25" s="2">
        <v>1759.13</v>
      </c>
      <c r="C25" s="2">
        <v>0</v>
      </c>
      <c r="D25" s="2">
        <v>0</v>
      </c>
      <c r="E25" s="2">
        <v>1759.13</v>
      </c>
      <c r="F25" s="2"/>
    </row>
    <row r="26" spans="1:6" x14ac:dyDescent="0.25">
      <c r="A26" t="s">
        <v>417</v>
      </c>
      <c r="B26" s="2">
        <v>0</v>
      </c>
      <c r="C26" s="2">
        <v>123</v>
      </c>
      <c r="D26" s="2">
        <v>0</v>
      </c>
      <c r="E26" s="2">
        <v>123</v>
      </c>
      <c r="F26" s="2">
        <v>188</v>
      </c>
    </row>
    <row r="27" spans="1:6" x14ac:dyDescent="0.25">
      <c r="A27" t="s">
        <v>424</v>
      </c>
      <c r="B27" s="2">
        <v>0</v>
      </c>
      <c r="C27" s="2">
        <v>0</v>
      </c>
      <c r="D27" s="2">
        <v>0</v>
      </c>
      <c r="E27" s="2">
        <v>0</v>
      </c>
      <c r="F27" s="2">
        <v>193</v>
      </c>
    </row>
    <row r="28" spans="1:6" x14ac:dyDescent="0.25">
      <c r="A28" t="s">
        <v>9</v>
      </c>
      <c r="B28" s="2">
        <v>16967.13</v>
      </c>
      <c r="C28" s="2">
        <v>812</v>
      </c>
      <c r="D28" s="2">
        <v>0</v>
      </c>
      <c r="E28" s="2">
        <v>17779.13</v>
      </c>
      <c r="F28" s="2">
        <v>3190</v>
      </c>
    </row>
    <row r="29" spans="1:6" x14ac:dyDescent="0.25">
      <c r="B29" s="65"/>
    </row>
    <row r="30" spans="1:6" x14ac:dyDescent="0.25">
      <c r="B30" s="65"/>
    </row>
    <row r="31" spans="1:6" x14ac:dyDescent="0.25">
      <c r="B31" s="65"/>
    </row>
    <row r="32" spans="1:6" x14ac:dyDescent="0.25">
      <c r="B32" s="65"/>
    </row>
    <row r="33" spans="2:2" x14ac:dyDescent="0.25">
      <c r="B33" s="65"/>
    </row>
    <row r="34" spans="2:2" x14ac:dyDescent="0.25">
      <c r="B34" s="65"/>
    </row>
    <row r="35" spans="2:2" x14ac:dyDescent="0.25">
      <c r="B35" s="65"/>
    </row>
    <row r="36" spans="2:2" x14ac:dyDescent="0.25">
      <c r="B36" s="65"/>
    </row>
    <row r="37" spans="2:2" x14ac:dyDescent="0.25">
      <c r="B37" s="65"/>
    </row>
  </sheetData>
  <mergeCells count="3">
    <mergeCell ref="E7:F7"/>
    <mergeCell ref="E4:F4"/>
    <mergeCell ref="E5:F5"/>
  </mergeCells>
  <pageMargins left="0.7" right="0.7" top="0.75" bottom="0.75" header="0.3" footer="0.3"/>
  <pageSetup scale="72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31"/>
  <sheetViews>
    <sheetView workbookViewId="0">
      <selection activeCell="G17" sqref="G17"/>
    </sheetView>
  </sheetViews>
  <sheetFormatPr defaultRowHeight="15" x14ac:dyDescent="0.25"/>
  <cols>
    <col min="1" max="1" width="30.5703125" customWidth="1"/>
    <col min="2" max="2" width="19.5703125" customWidth="1"/>
    <col min="3" max="3" width="15.85546875" customWidth="1"/>
  </cols>
  <sheetData>
    <row r="4" spans="1:7" x14ac:dyDescent="0.25">
      <c r="C4" s="135" t="s">
        <v>23</v>
      </c>
      <c r="D4" s="135"/>
      <c r="E4" s="137" t="str">
        <f>TEXT('Start Here'!C9,"mmm d, yyyy")&amp;" to "&amp;TEXT('Start Here'!D9,"mmm d, yyyy")</f>
        <v>Dec 27, 2020 to Jan 9, 2021</v>
      </c>
      <c r="F4" s="137"/>
      <c r="G4" s="137"/>
    </row>
    <row r="5" spans="1:7" x14ac:dyDescent="0.25">
      <c r="C5" s="135" t="s">
        <v>70</v>
      </c>
      <c r="D5" s="135"/>
      <c r="E5" s="137" t="str">
        <f>TEXT('Start Here'!E9,"mmm d, yyyy")</f>
        <v>Jan 29, 2021</v>
      </c>
      <c r="F5" s="137"/>
      <c r="G5" s="137"/>
    </row>
    <row r="7" spans="1:7" x14ac:dyDescent="0.25">
      <c r="D7" t="s">
        <v>94</v>
      </c>
      <c r="E7" s="2" t="str">
        <f>'Start Here'!C11</f>
        <v>Swift Current &amp; Kindersley</v>
      </c>
    </row>
    <row r="10" spans="1:7" x14ac:dyDescent="0.25">
      <c r="A10" s="3" t="s">
        <v>93</v>
      </c>
      <c r="B10" t="s">
        <v>71</v>
      </c>
    </row>
    <row r="11" spans="1:7" x14ac:dyDescent="0.25">
      <c r="A11" s="3" t="s">
        <v>96</v>
      </c>
      <c r="B11" t="s">
        <v>71</v>
      </c>
    </row>
    <row r="12" spans="1:7" ht="15.75" thickBot="1" x14ac:dyDescent="0.3"/>
    <row r="13" spans="1:7" x14ac:dyDescent="0.25">
      <c r="A13" s="118" t="s">
        <v>2</v>
      </c>
      <c r="B13" t="s">
        <v>272</v>
      </c>
      <c r="C13" s="118" t="s">
        <v>95</v>
      </c>
    </row>
    <row r="14" spans="1:7" x14ac:dyDescent="0.25">
      <c r="A14" s="124" t="s">
        <v>29</v>
      </c>
      <c r="B14" s="2">
        <v>0</v>
      </c>
      <c r="C14" s="2"/>
    </row>
    <row r="15" spans="1:7" ht="15.75" thickBot="1" x14ac:dyDescent="0.3">
      <c r="A15" s="124" t="s">
        <v>393</v>
      </c>
      <c r="B15" s="2">
        <v>942.69</v>
      </c>
      <c r="C15" s="2">
        <v>5</v>
      </c>
    </row>
    <row r="16" spans="1:7" x14ac:dyDescent="0.25">
      <c r="A16" s="124" t="s">
        <v>394</v>
      </c>
      <c r="B16" s="2">
        <v>670</v>
      </c>
      <c r="C16" s="2">
        <v>3</v>
      </c>
    </row>
    <row r="17" spans="1:3" x14ac:dyDescent="0.25">
      <c r="A17" s="124" t="s">
        <v>395</v>
      </c>
      <c r="B17" s="2">
        <v>781.9</v>
      </c>
      <c r="C17" s="2">
        <v>4</v>
      </c>
    </row>
    <row r="18" spans="1:3" x14ac:dyDescent="0.25">
      <c r="A18" s="124" t="s">
        <v>397</v>
      </c>
      <c r="B18" s="2">
        <v>1039.81</v>
      </c>
      <c r="C18" s="2">
        <v>5</v>
      </c>
    </row>
    <row r="19" spans="1:3" x14ac:dyDescent="0.25">
      <c r="A19" s="124" t="s">
        <v>400</v>
      </c>
      <c r="B19" s="2">
        <v>1234.93</v>
      </c>
      <c r="C19" s="2">
        <v>5</v>
      </c>
    </row>
    <row r="20" spans="1:3" x14ac:dyDescent="0.25">
      <c r="A20" s="124" t="s">
        <v>401</v>
      </c>
      <c r="B20" s="2">
        <v>1234</v>
      </c>
      <c r="C20" s="2">
        <v>8</v>
      </c>
    </row>
    <row r="21" spans="1:3" x14ac:dyDescent="0.25">
      <c r="A21" s="124" t="s">
        <v>403</v>
      </c>
      <c r="B21" s="2">
        <v>1633.43</v>
      </c>
      <c r="C21" s="2">
        <v>6</v>
      </c>
    </row>
    <row r="22" spans="1:3" x14ac:dyDescent="0.25">
      <c r="A22" s="124" t="s">
        <v>402</v>
      </c>
      <c r="B22" s="2">
        <v>1386.39</v>
      </c>
      <c r="C22" s="2">
        <v>6</v>
      </c>
    </row>
    <row r="23" spans="1:3" ht="15.75" thickBot="1" x14ac:dyDescent="0.3">
      <c r="A23" s="124" t="s">
        <v>405</v>
      </c>
      <c r="B23" s="2">
        <v>762.85</v>
      </c>
      <c r="C23" s="2">
        <v>5</v>
      </c>
    </row>
    <row r="24" spans="1:3" x14ac:dyDescent="0.25">
      <c r="A24" s="124" t="s">
        <v>408</v>
      </c>
      <c r="B24" s="2">
        <v>1271</v>
      </c>
      <c r="C24" s="2">
        <v>8</v>
      </c>
    </row>
    <row r="25" spans="1:3" x14ac:dyDescent="0.25">
      <c r="A25" s="124" t="s">
        <v>410</v>
      </c>
      <c r="B25" s="2">
        <v>1370</v>
      </c>
      <c r="C25" s="2">
        <v>7</v>
      </c>
    </row>
    <row r="26" spans="1:3" x14ac:dyDescent="0.25">
      <c r="A26" s="124" t="s">
        <v>411</v>
      </c>
      <c r="B26" s="2">
        <v>1840</v>
      </c>
      <c r="C26" s="2">
        <v>7</v>
      </c>
    </row>
    <row r="27" spans="1:3" x14ac:dyDescent="0.25">
      <c r="A27" s="124" t="s">
        <v>412</v>
      </c>
      <c r="B27" s="2">
        <v>1730</v>
      </c>
      <c r="C27" s="2">
        <v>7</v>
      </c>
    </row>
    <row r="28" spans="1:3" x14ac:dyDescent="0.25">
      <c r="A28" s="124" t="s">
        <v>414</v>
      </c>
      <c r="B28" s="2">
        <v>1759.13</v>
      </c>
      <c r="C28" s="2">
        <v>8</v>
      </c>
    </row>
    <row r="29" spans="1:3" x14ac:dyDescent="0.25">
      <c r="A29" s="124" t="s">
        <v>417</v>
      </c>
      <c r="B29" s="2">
        <v>123</v>
      </c>
      <c r="C29" s="2">
        <v>2</v>
      </c>
    </row>
    <row r="30" spans="1:3" x14ac:dyDescent="0.25">
      <c r="A30" s="124" t="s">
        <v>424</v>
      </c>
      <c r="B30" s="2">
        <v>0</v>
      </c>
      <c r="C30" s="2">
        <v>1</v>
      </c>
    </row>
    <row r="31" spans="1:3" ht="15.75" thickBot="1" x14ac:dyDescent="0.3">
      <c r="A31" s="117" t="s">
        <v>9</v>
      </c>
      <c r="B31" s="116">
        <v>17779.130000000005</v>
      </c>
      <c r="C31" s="116">
        <v>87</v>
      </c>
    </row>
  </sheetData>
  <mergeCells count="4">
    <mergeCell ref="C4:D4"/>
    <mergeCell ref="E4:G4"/>
    <mergeCell ref="C5:D5"/>
    <mergeCell ref="E5:G5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37"/>
  <sheetViews>
    <sheetView zoomScaleNormal="100" workbookViewId="0">
      <selection activeCell="E10" sqref="E10"/>
    </sheetView>
  </sheetViews>
  <sheetFormatPr defaultRowHeight="15" x14ac:dyDescent="0.25"/>
  <cols>
    <col min="1" max="1" width="17.140625" customWidth="1"/>
    <col min="2" max="2" width="25.28515625" style="62" bestFit="1" customWidth="1"/>
    <col min="3" max="3" width="14.7109375" customWidth="1"/>
    <col min="4" max="4" width="14.85546875" customWidth="1"/>
    <col min="5" max="5" width="12" customWidth="1"/>
    <col min="6" max="6" width="11.7109375" customWidth="1"/>
    <col min="7" max="7" width="13.140625" customWidth="1"/>
    <col min="8" max="8" width="15.42578125" bestFit="1" customWidth="1"/>
    <col min="9" max="10" width="10.28515625" customWidth="1"/>
    <col min="11" max="11" width="11.7109375" customWidth="1"/>
    <col min="12" max="12" width="11.7109375" bestFit="1" customWidth="1"/>
  </cols>
  <sheetData>
    <row r="2" spans="1:8" x14ac:dyDescent="0.25">
      <c r="C2" s="89"/>
    </row>
    <row r="4" spans="1:8" x14ac:dyDescent="0.25">
      <c r="D4" s="135" t="s">
        <v>23</v>
      </c>
      <c r="E4" s="135"/>
      <c r="F4" s="137" t="str">
        <f>TEXT('Start Here'!C9,"mmm d, yyyy")&amp;" to "&amp;TEXT('Start Here'!D9,"mmm d, yyyy")</f>
        <v>Dec 27, 2020 to Jan 9, 2021</v>
      </c>
      <c r="G4" s="137"/>
      <c r="H4" s="137"/>
    </row>
    <row r="5" spans="1:8" x14ac:dyDescent="0.25">
      <c r="D5" s="135" t="s">
        <v>70</v>
      </c>
      <c r="E5" s="135"/>
      <c r="F5" s="137" t="str">
        <f>TEXT('Start Here'!E9,"mmm d, yyyy")</f>
        <v>Jan 29, 2021</v>
      </c>
      <c r="G5" s="137"/>
      <c r="H5" s="137"/>
    </row>
    <row r="6" spans="1:8" ht="15" customHeight="1" x14ac:dyDescent="0.25">
      <c r="A6" s="48"/>
      <c r="B6" s="63"/>
    </row>
    <row r="7" spans="1:8" ht="15" customHeight="1" x14ac:dyDescent="0.25">
      <c r="A7" s="48"/>
      <c r="B7" s="63"/>
      <c r="E7" s="88" t="s">
        <v>94</v>
      </c>
      <c r="F7" s="2" t="str">
        <f>'Start Here'!C11</f>
        <v>Swift Current &amp; Kindersley</v>
      </c>
    </row>
    <row r="8" spans="1:8" ht="15" customHeight="1" x14ac:dyDescent="0.25">
      <c r="A8" s="47"/>
      <c r="B8" s="63"/>
    </row>
    <row r="9" spans="1:8" ht="15" customHeight="1" x14ac:dyDescent="0.25">
      <c r="A9" s="47"/>
      <c r="B9" s="63"/>
      <c r="C9" s="47"/>
      <c r="D9" s="47"/>
      <c r="E9" s="47"/>
    </row>
    <row r="10" spans="1:8" x14ac:dyDescent="0.25">
      <c r="A10" s="3" t="s">
        <v>22</v>
      </c>
      <c r="B10"/>
    </row>
    <row r="11" spans="1:8" x14ac:dyDescent="0.25">
      <c r="A11" t="s">
        <v>29</v>
      </c>
      <c r="B11"/>
    </row>
    <row r="12" spans="1:8" x14ac:dyDescent="0.25">
      <c r="A12" t="s">
        <v>393</v>
      </c>
      <c r="B12"/>
    </row>
    <row r="13" spans="1:8" x14ac:dyDescent="0.25">
      <c r="A13" t="s">
        <v>394</v>
      </c>
      <c r="B13"/>
    </row>
    <row r="14" spans="1:8" x14ac:dyDescent="0.25">
      <c r="A14" t="s">
        <v>395</v>
      </c>
      <c r="B14"/>
    </row>
    <row r="15" spans="1:8" x14ac:dyDescent="0.25">
      <c r="A15" t="s">
        <v>397</v>
      </c>
      <c r="B15"/>
    </row>
    <row r="16" spans="1:8" x14ac:dyDescent="0.25">
      <c r="A16" t="s">
        <v>400</v>
      </c>
      <c r="B16"/>
    </row>
    <row r="17" spans="1:2" x14ac:dyDescent="0.25">
      <c r="A17" t="s">
        <v>401</v>
      </c>
      <c r="B17"/>
    </row>
    <row r="18" spans="1:2" x14ac:dyDescent="0.25">
      <c r="A18" t="s">
        <v>403</v>
      </c>
      <c r="B18"/>
    </row>
    <row r="19" spans="1:2" x14ac:dyDescent="0.25">
      <c r="A19" t="s">
        <v>402</v>
      </c>
      <c r="B19"/>
    </row>
    <row r="20" spans="1:2" x14ac:dyDescent="0.25">
      <c r="A20" t="s">
        <v>405</v>
      </c>
      <c r="B20"/>
    </row>
    <row r="21" spans="1:2" x14ac:dyDescent="0.25">
      <c r="A21" t="s">
        <v>408</v>
      </c>
      <c r="B21"/>
    </row>
    <row r="22" spans="1:2" x14ac:dyDescent="0.25">
      <c r="A22" t="s">
        <v>410</v>
      </c>
      <c r="B22"/>
    </row>
    <row r="23" spans="1:2" x14ac:dyDescent="0.25">
      <c r="A23" t="s">
        <v>411</v>
      </c>
      <c r="B23"/>
    </row>
    <row r="24" spans="1:2" x14ac:dyDescent="0.25">
      <c r="A24" t="s">
        <v>412</v>
      </c>
      <c r="B24"/>
    </row>
    <row r="25" spans="1:2" x14ac:dyDescent="0.25">
      <c r="A25" t="s">
        <v>414</v>
      </c>
      <c r="B25"/>
    </row>
    <row r="26" spans="1:2" x14ac:dyDescent="0.25">
      <c r="A26" t="s">
        <v>417</v>
      </c>
      <c r="B26"/>
    </row>
    <row r="27" spans="1:2" x14ac:dyDescent="0.25">
      <c r="A27" t="s">
        <v>424</v>
      </c>
      <c r="B27"/>
    </row>
    <row r="28" spans="1:2" x14ac:dyDescent="0.25">
      <c r="A28" t="s">
        <v>9</v>
      </c>
      <c r="B28" s="88"/>
    </row>
    <row r="29" spans="1:2" x14ac:dyDescent="0.25">
      <c r="B29" s="88"/>
    </row>
    <row r="30" spans="1:2" x14ac:dyDescent="0.25">
      <c r="B30" s="88"/>
    </row>
    <row r="31" spans="1:2" x14ac:dyDescent="0.25">
      <c r="B31" s="88"/>
    </row>
    <row r="32" spans="1:2" x14ac:dyDescent="0.25">
      <c r="B32" s="88"/>
    </row>
    <row r="33" spans="2:2" x14ac:dyDescent="0.25">
      <c r="B33" s="88"/>
    </row>
    <row r="34" spans="2:2" x14ac:dyDescent="0.25">
      <c r="B34" s="88"/>
    </row>
    <row r="35" spans="2:2" x14ac:dyDescent="0.25">
      <c r="B35" s="88"/>
    </row>
    <row r="36" spans="2:2" x14ac:dyDescent="0.25">
      <c r="B36" s="88"/>
    </row>
    <row r="37" spans="2:2" x14ac:dyDescent="0.25">
      <c r="B37" s="88"/>
    </row>
  </sheetData>
  <mergeCells count="4">
    <mergeCell ref="D4:E4"/>
    <mergeCell ref="F4:H4"/>
    <mergeCell ref="D5:E5"/>
    <mergeCell ref="F5:H5"/>
  </mergeCells>
  <pageMargins left="0.7" right="0.7" top="0.75" bottom="0.75" header="0.3" footer="0.3"/>
  <pageSetup scale="72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50"/>
  <sheetViews>
    <sheetView zoomScale="90" zoomScaleNormal="90" zoomScaleSheetLayoutView="100" workbookViewId="0">
      <pane xSplit="2" ySplit="2" topLeftCell="P3" activePane="bottomRight" state="frozen"/>
      <selection pane="topRight" activeCell="C1" sqref="C1"/>
      <selection pane="bottomLeft" activeCell="A3" sqref="A3"/>
      <selection pane="bottomRight" activeCell="C42" sqref="C42"/>
    </sheetView>
  </sheetViews>
  <sheetFormatPr defaultRowHeight="15" x14ac:dyDescent="0.25"/>
  <cols>
    <col min="1" max="1" width="21.85546875" customWidth="1"/>
    <col min="2" max="2" width="15.7109375" bestFit="1" customWidth="1"/>
    <col min="3" max="3" width="36" bestFit="1" customWidth="1"/>
    <col min="4" max="4" width="33.28515625" customWidth="1"/>
    <col min="5" max="5" width="13.7109375" style="91" customWidth="1"/>
    <col min="6" max="6" width="13.7109375" customWidth="1"/>
    <col min="9" max="10" width="26" customWidth="1"/>
    <col min="12" max="12" width="13.28515625" bestFit="1" customWidth="1"/>
    <col min="13" max="13" width="20.42578125" customWidth="1"/>
    <col min="14" max="14" width="19.85546875" bestFit="1" customWidth="1"/>
    <col min="15" max="15" width="15.5703125" customWidth="1"/>
    <col min="16" max="16" width="14.7109375" customWidth="1"/>
    <col min="17" max="17" width="12" hidden="1" customWidth="1"/>
    <col min="18" max="18" width="11.28515625" customWidth="1"/>
    <col min="19" max="19" width="10.42578125" customWidth="1"/>
    <col min="20" max="20" width="21.7109375" customWidth="1"/>
    <col min="21" max="21" width="8.5703125" customWidth="1"/>
    <col min="22" max="22" width="9" customWidth="1"/>
    <col min="23" max="23" width="10.42578125" customWidth="1"/>
    <col min="24" max="24" width="24" customWidth="1"/>
    <col min="25" max="25" width="16.42578125" bestFit="1" customWidth="1"/>
    <col min="26" max="26" width="17.42578125" bestFit="1" customWidth="1"/>
    <col min="27" max="27" width="14.28515625" bestFit="1" customWidth="1"/>
    <col min="28" max="28" width="12.7109375" customWidth="1"/>
    <col min="29" max="29" width="13.42578125" customWidth="1"/>
    <col min="30" max="30" width="14.42578125" style="54" customWidth="1"/>
    <col min="31" max="31" width="15.28515625" style="54" customWidth="1"/>
    <col min="32" max="32" width="13.85546875" style="122" customWidth="1"/>
    <col min="33" max="34" width="13.85546875" style="54" customWidth="1"/>
    <col min="35" max="35" width="24.85546875" bestFit="1" customWidth="1"/>
    <col min="36" max="36" width="12.28515625" customWidth="1"/>
    <col min="37" max="37" width="13.85546875" customWidth="1"/>
    <col min="39" max="39" width="20" bestFit="1" customWidth="1"/>
    <col min="40" max="40" width="20.42578125" customWidth="1"/>
    <col min="41" max="41" width="11.7109375" customWidth="1"/>
    <col min="42" max="42" width="11.85546875" bestFit="1" customWidth="1"/>
    <col min="43" max="43" width="15.42578125" hidden="1" customWidth="1"/>
    <col min="44" max="44" width="15.42578125" bestFit="1" customWidth="1"/>
    <col min="45" max="45" width="19.5703125" hidden="1" customWidth="1"/>
    <col min="46" max="46" width="11.140625" bestFit="1" customWidth="1"/>
    <col min="48" max="48" width="23.7109375" bestFit="1" customWidth="1"/>
    <col min="49" max="49" width="9.140625" style="109" customWidth="1"/>
    <col min="50" max="50" width="10.7109375" customWidth="1"/>
    <col min="51" max="51" width="12.140625" bestFit="1" customWidth="1"/>
    <col min="52" max="52" width="11.7109375" customWidth="1"/>
    <col min="54" max="54" width="19.42578125" customWidth="1"/>
    <col min="55" max="55" width="16.42578125" customWidth="1"/>
    <col min="56" max="56" width="10.140625" customWidth="1"/>
    <col min="57" max="57" width="10.85546875" customWidth="1"/>
  </cols>
  <sheetData>
    <row r="1" spans="1:57" x14ac:dyDescent="0.25">
      <c r="A1" s="13" t="s">
        <v>28</v>
      </c>
      <c r="B1" s="13"/>
      <c r="C1" s="13"/>
      <c r="D1" s="13"/>
      <c r="E1" s="92"/>
      <c r="F1" s="13"/>
      <c r="G1" s="13"/>
      <c r="I1" s="13" t="s">
        <v>203</v>
      </c>
      <c r="J1" s="13"/>
      <c r="L1" s="84" t="s">
        <v>204</v>
      </c>
      <c r="M1" s="84"/>
      <c r="N1" s="84"/>
      <c r="O1" s="84"/>
      <c r="P1" s="84"/>
      <c r="Q1" s="84"/>
      <c r="R1" s="84"/>
      <c r="T1" s="13" t="s">
        <v>223</v>
      </c>
      <c r="U1" s="13"/>
      <c r="V1" s="12"/>
      <c r="X1" s="13" t="s">
        <v>214</v>
      </c>
      <c r="Y1" s="13"/>
      <c r="Z1" s="13"/>
      <c r="AA1" s="13"/>
      <c r="AB1" s="13"/>
      <c r="AD1" s="52" t="s">
        <v>10</v>
      </c>
      <c r="AE1" s="53"/>
      <c r="AF1" s="52"/>
      <c r="AG1" s="53"/>
      <c r="AH1"/>
      <c r="AI1" s="13" t="s">
        <v>16</v>
      </c>
      <c r="AK1" s="13" t="s">
        <v>208</v>
      </c>
      <c r="AM1" s="84" t="s">
        <v>267</v>
      </c>
      <c r="AN1" s="84"/>
      <c r="AO1" s="84"/>
      <c r="AP1" s="84"/>
      <c r="AQ1" s="84"/>
      <c r="AR1" s="84"/>
      <c r="AS1" s="84"/>
      <c r="AT1" s="84"/>
      <c r="AV1" s="13" t="s">
        <v>219</v>
      </c>
      <c r="AW1" s="112"/>
      <c r="AX1" s="13"/>
      <c r="AY1" s="13"/>
      <c r="AZ1" s="13"/>
      <c r="BB1" s="13" t="s">
        <v>210</v>
      </c>
      <c r="BC1" s="13"/>
      <c r="BD1" s="13"/>
      <c r="BE1" s="13"/>
    </row>
    <row r="2" spans="1:57" x14ac:dyDescent="0.25">
      <c r="A2" t="s">
        <v>2</v>
      </c>
      <c r="B2" t="s">
        <v>32</v>
      </c>
      <c r="C2" t="s">
        <v>64</v>
      </c>
      <c r="D2" t="s">
        <v>63</v>
      </c>
      <c r="E2" s="91" t="s">
        <v>65</v>
      </c>
      <c r="F2" t="s">
        <v>82</v>
      </c>
      <c r="G2" t="s">
        <v>91</v>
      </c>
      <c r="I2" t="s">
        <v>220</v>
      </c>
      <c r="J2" t="s">
        <v>222</v>
      </c>
      <c r="L2" t="s">
        <v>205</v>
      </c>
      <c r="M2" t="s">
        <v>1</v>
      </c>
      <c r="N2" t="s">
        <v>3</v>
      </c>
      <c r="O2" t="s">
        <v>4</v>
      </c>
      <c r="P2" t="s">
        <v>206</v>
      </c>
      <c r="Q2" t="s">
        <v>5</v>
      </c>
      <c r="R2" t="s">
        <v>0</v>
      </c>
      <c r="T2" t="s">
        <v>1</v>
      </c>
      <c r="U2" t="s">
        <v>205</v>
      </c>
      <c r="V2" t="s">
        <v>226</v>
      </c>
      <c r="X2" s="11" t="s">
        <v>207</v>
      </c>
      <c r="Y2" s="11" t="s">
        <v>131</v>
      </c>
      <c r="Z2" s="11" t="s">
        <v>269</v>
      </c>
      <c r="AA2" s="11" t="s">
        <v>197</v>
      </c>
      <c r="AB2" s="11" t="s">
        <v>233</v>
      </c>
      <c r="AD2" s="54" t="s">
        <v>11</v>
      </c>
      <c r="AE2" s="54" t="s">
        <v>12</v>
      </c>
      <c r="AF2" s="122" t="s">
        <v>13</v>
      </c>
      <c r="AG2" s="54" t="s">
        <v>68</v>
      </c>
      <c r="AI2" t="s">
        <v>15</v>
      </c>
      <c r="AK2" t="s">
        <v>205</v>
      </c>
      <c r="AM2" s="97" t="s">
        <v>207</v>
      </c>
      <c r="AN2" s="97" t="s">
        <v>1</v>
      </c>
      <c r="AO2" s="97" t="s">
        <v>205</v>
      </c>
      <c r="AP2" s="97" t="s">
        <v>180</v>
      </c>
      <c r="AQ2" s="105" t="s">
        <v>177</v>
      </c>
      <c r="AR2" s="97" t="s">
        <v>178</v>
      </c>
      <c r="AS2" s="105" t="s">
        <v>179</v>
      </c>
      <c r="AT2" s="108" t="s">
        <v>232</v>
      </c>
      <c r="AV2" t="s">
        <v>1</v>
      </c>
      <c r="AW2" s="109" t="s">
        <v>265</v>
      </c>
      <c r="AX2" t="s">
        <v>205</v>
      </c>
      <c r="AY2" t="s">
        <v>231</v>
      </c>
      <c r="AZ2" t="s">
        <v>209</v>
      </c>
      <c r="BB2" t="s">
        <v>211</v>
      </c>
      <c r="BC2" t="s">
        <v>212</v>
      </c>
      <c r="BD2" t="s">
        <v>205</v>
      </c>
      <c r="BE2" t="s">
        <v>213</v>
      </c>
    </row>
    <row r="3" spans="1:57" x14ac:dyDescent="0.25">
      <c r="A3" t="s">
        <v>112</v>
      </c>
      <c r="B3" t="s">
        <v>113</v>
      </c>
      <c r="C3" t="s">
        <v>121</v>
      </c>
      <c r="D3" s="2" t="str">
        <f>Employees[[#This Row],[Employee Name]]&amp;" ("&amp;Employees[[#This Row],[Personal ID]]&amp;")"</f>
        <v>Aguilar, Chino (N20S000001530)</v>
      </c>
      <c r="E3" s="90">
        <v>1530</v>
      </c>
      <c r="F3" t="s">
        <v>72</v>
      </c>
      <c r="G3" t="s">
        <v>89</v>
      </c>
      <c r="I3" t="s">
        <v>262</v>
      </c>
      <c r="J3" s="9"/>
      <c r="L3" t="s">
        <v>263</v>
      </c>
      <c r="M3" t="s">
        <v>117</v>
      </c>
      <c r="N3" s="1">
        <v>0</v>
      </c>
      <c r="O3" s="1">
        <v>10000.99</v>
      </c>
      <c r="P3" s="1">
        <v>320</v>
      </c>
      <c r="Q3" s="1"/>
      <c r="R3" s="1">
        <f>VariablePayTable[[#This Row],[Base Amount]]+VariablePayTable[[#This Row],[Premium]]</f>
        <v>320</v>
      </c>
      <c r="T3" s="8" t="s">
        <v>117</v>
      </c>
      <c r="U3" t="s">
        <v>263</v>
      </c>
      <c r="V3">
        <v>16</v>
      </c>
      <c r="X3" s="56" t="s">
        <v>216</v>
      </c>
      <c r="Y3" s="57" t="s">
        <v>133</v>
      </c>
      <c r="Z3" s="87" t="s">
        <v>133</v>
      </c>
      <c r="AA3" s="87" t="s">
        <v>133</v>
      </c>
      <c r="AB3" s="87" t="s">
        <v>133</v>
      </c>
      <c r="AD3" s="54">
        <v>42526</v>
      </c>
      <c r="AE3" s="54">
        <v>42539</v>
      </c>
      <c r="AF3" s="122">
        <v>42559</v>
      </c>
      <c r="AG3" s="54">
        <f>PayPeriods[[#This Row],[End]]+10</f>
        <v>42549</v>
      </c>
      <c r="AI3" t="s">
        <v>135</v>
      </c>
      <c r="AK3" t="s">
        <v>263</v>
      </c>
      <c r="AM3" s="96" t="s">
        <v>7</v>
      </c>
      <c r="AN3" t="s">
        <v>262</v>
      </c>
      <c r="AO3" s="96" t="s">
        <v>263</v>
      </c>
      <c r="AP3" s="96">
        <v>150</v>
      </c>
      <c r="AQ3" s="33"/>
      <c r="AR3" s="33">
        <v>0.1</v>
      </c>
      <c r="AS3" s="33"/>
      <c r="AT3" s="33">
        <v>0</v>
      </c>
      <c r="AV3" s="96" t="s">
        <v>117</v>
      </c>
      <c r="AW3" s="113">
        <v>1</v>
      </c>
      <c r="AX3" s="96" t="s">
        <v>263</v>
      </c>
      <c r="AY3" s="107">
        <v>20001</v>
      </c>
      <c r="AZ3" s="110">
        <v>4.6499999999999996E-3</v>
      </c>
      <c r="BB3">
        <v>0</v>
      </c>
      <c r="BC3">
        <v>10</v>
      </c>
      <c r="BD3" s="96" t="s">
        <v>263</v>
      </c>
      <c r="BE3">
        <v>0</v>
      </c>
    </row>
    <row r="4" spans="1:57" x14ac:dyDescent="0.25">
      <c r="A4" t="s">
        <v>127</v>
      </c>
      <c r="B4" t="s">
        <v>128</v>
      </c>
      <c r="C4" t="s">
        <v>183</v>
      </c>
      <c r="D4" s="2" t="str">
        <f>Employees[[#This Row],[Employee Name]]&amp;" ("&amp;Employees[[#This Row],[Personal ID]]&amp;")"</f>
        <v>Alder, Cam (N20S000001570)</v>
      </c>
      <c r="E4" s="90">
        <v>1570</v>
      </c>
      <c r="F4" t="s">
        <v>18</v>
      </c>
      <c r="G4" t="s">
        <v>89</v>
      </c>
      <c r="I4" t="s">
        <v>266</v>
      </c>
      <c r="J4" t="s">
        <v>262</v>
      </c>
      <c r="L4" t="s">
        <v>263</v>
      </c>
      <c r="M4" t="s">
        <v>117</v>
      </c>
      <c r="N4" s="1">
        <v>10001</v>
      </c>
      <c r="O4" s="1">
        <v>20000.990000000002</v>
      </c>
      <c r="P4" s="1">
        <v>370</v>
      </c>
      <c r="Q4" s="1"/>
      <c r="R4" s="1">
        <f>VariablePayTable[[#This Row],[Base Amount]]+VariablePayTable[[#This Row],[Premium]]</f>
        <v>370</v>
      </c>
      <c r="T4" t="s">
        <v>118</v>
      </c>
      <c r="U4" t="s">
        <v>263</v>
      </c>
      <c r="V4">
        <v>16</v>
      </c>
      <c r="X4" s="56" t="s">
        <v>6</v>
      </c>
      <c r="Y4" s="57" t="s">
        <v>133</v>
      </c>
      <c r="Z4" s="56" t="s">
        <v>132</v>
      </c>
      <c r="AA4" s="87" t="s">
        <v>133</v>
      </c>
      <c r="AB4" s="87" t="s">
        <v>133</v>
      </c>
      <c r="AD4" s="54">
        <v>42540</v>
      </c>
      <c r="AE4" s="54">
        <v>42553</v>
      </c>
      <c r="AF4" s="122">
        <f>AF3+14</f>
        <v>42573</v>
      </c>
      <c r="AG4" s="54">
        <f>PayPeriods[[#This Row],[End]]+10</f>
        <v>42563</v>
      </c>
      <c r="AI4" t="s">
        <v>17</v>
      </c>
      <c r="AK4" t="s">
        <v>264</v>
      </c>
      <c r="AM4" s="96" t="s">
        <v>7</v>
      </c>
      <c r="AN4" t="s">
        <v>262</v>
      </c>
      <c r="AO4" s="96" t="s">
        <v>264</v>
      </c>
      <c r="AP4" s="96">
        <v>116</v>
      </c>
      <c r="AQ4" s="33"/>
      <c r="AR4" s="33">
        <v>0.1</v>
      </c>
      <c r="AS4" s="33"/>
      <c r="AT4" s="33">
        <v>0</v>
      </c>
      <c r="AV4" s="96" t="s">
        <v>118</v>
      </c>
      <c r="AW4" s="113">
        <v>2</v>
      </c>
      <c r="AX4" s="96" t="s">
        <v>263</v>
      </c>
      <c r="AY4" s="107">
        <v>20001</v>
      </c>
      <c r="AZ4" s="111">
        <v>4.15E-3</v>
      </c>
      <c r="BB4">
        <v>11</v>
      </c>
      <c r="BC4">
        <v>15</v>
      </c>
      <c r="BD4" s="96" t="s">
        <v>263</v>
      </c>
      <c r="BE4">
        <v>100</v>
      </c>
    </row>
    <row r="5" spans="1:57" x14ac:dyDescent="0.25">
      <c r="A5" t="s">
        <v>173</v>
      </c>
      <c r="B5" t="s">
        <v>174</v>
      </c>
      <c r="C5" t="s">
        <v>183</v>
      </c>
      <c r="D5" s="2" t="str">
        <f>Employees[[#This Row],[Employee Name]]&amp;" ("&amp;Employees[[#This Row],[Personal ID]]&amp;")"</f>
        <v>Allen, Lloyd (N20S000001824)</v>
      </c>
      <c r="E5" s="90">
        <v>1824</v>
      </c>
      <c r="F5" t="s">
        <v>259</v>
      </c>
      <c r="G5" t="s">
        <v>89</v>
      </c>
      <c r="I5" s="9" t="s">
        <v>117</v>
      </c>
      <c r="J5" t="s">
        <v>266</v>
      </c>
      <c r="L5" t="s">
        <v>263</v>
      </c>
      <c r="M5" t="s">
        <v>117</v>
      </c>
      <c r="N5" s="1">
        <v>20001</v>
      </c>
      <c r="O5" s="1">
        <v>1000000.99</v>
      </c>
      <c r="P5" s="1">
        <v>370</v>
      </c>
      <c r="Q5" s="1"/>
      <c r="R5" s="1">
        <f>VariablePayTable[[#This Row],[Base Amount]]+VariablePayTable[[#This Row],[Premium]]</f>
        <v>370</v>
      </c>
      <c r="T5" t="s">
        <v>119</v>
      </c>
      <c r="U5" t="s">
        <v>263</v>
      </c>
      <c r="V5">
        <v>16</v>
      </c>
      <c r="X5" s="56" t="s">
        <v>184</v>
      </c>
      <c r="Y5" s="57" t="s">
        <v>133</v>
      </c>
      <c r="Z5" s="56" t="s">
        <v>132</v>
      </c>
      <c r="AA5" s="87" t="s">
        <v>133</v>
      </c>
      <c r="AB5" s="87" t="s">
        <v>133</v>
      </c>
      <c r="AD5" s="54">
        <v>42554</v>
      </c>
      <c r="AE5" s="54">
        <v>42567</v>
      </c>
      <c r="AF5" s="122">
        <f t="shared" ref="AF5:AF44" si="0">AF4+14</f>
        <v>42587</v>
      </c>
      <c r="AG5" s="54">
        <f>PayPeriods[[#This Row],[End]]+10</f>
        <v>42577</v>
      </c>
      <c r="AI5" t="s">
        <v>18</v>
      </c>
      <c r="AM5" s="96" t="s">
        <v>7</v>
      </c>
      <c r="AN5" t="s">
        <v>266</v>
      </c>
      <c r="AO5" s="96" t="s">
        <v>263</v>
      </c>
      <c r="AP5" s="96">
        <v>150</v>
      </c>
      <c r="AQ5" s="33"/>
      <c r="AR5" s="33">
        <v>0.1</v>
      </c>
      <c r="AS5" s="33"/>
      <c r="AT5" s="33">
        <v>0</v>
      </c>
      <c r="AV5" s="96" t="s">
        <v>119</v>
      </c>
      <c r="AW5" s="113">
        <v>3</v>
      </c>
      <c r="AX5" s="96" t="s">
        <v>263</v>
      </c>
      <c r="AY5" s="107">
        <v>20001</v>
      </c>
      <c r="AZ5" s="111">
        <v>3.65E-3</v>
      </c>
      <c r="BB5">
        <v>16</v>
      </c>
      <c r="BC5">
        <v>500</v>
      </c>
      <c r="BD5" s="96" t="s">
        <v>263</v>
      </c>
      <c r="BE5">
        <v>150</v>
      </c>
    </row>
    <row r="6" spans="1:57" x14ac:dyDescent="0.25">
      <c r="A6" t="s">
        <v>80</v>
      </c>
      <c r="B6" t="s">
        <v>81</v>
      </c>
      <c r="C6" t="s">
        <v>119</v>
      </c>
      <c r="D6" s="2" t="str">
        <f>Employees[[#This Row],[Employee Name]]&amp;" ("&amp;Employees[[#This Row],[Personal ID]]&amp;")"</f>
        <v>Andrews, Jamey (N20S000001260)</v>
      </c>
      <c r="E6" s="90">
        <v>1260</v>
      </c>
      <c r="F6" t="s">
        <v>256</v>
      </c>
      <c r="G6" t="s">
        <v>257</v>
      </c>
      <c r="I6" s="9" t="s">
        <v>118</v>
      </c>
      <c r="J6" t="s">
        <v>156</v>
      </c>
      <c r="L6" t="s">
        <v>263</v>
      </c>
      <c r="M6" t="s">
        <v>118</v>
      </c>
      <c r="N6" s="1">
        <v>0</v>
      </c>
      <c r="O6" s="1">
        <v>10000.99</v>
      </c>
      <c r="P6" s="1">
        <v>300</v>
      </c>
      <c r="Q6" s="1"/>
      <c r="R6" s="1">
        <f>VariablePayTable[[#This Row],[Base Amount]]+VariablePayTable[[#This Row],[Premium]]</f>
        <v>300</v>
      </c>
      <c r="T6" t="s">
        <v>120</v>
      </c>
      <c r="U6" t="s">
        <v>263</v>
      </c>
      <c r="V6">
        <v>15</v>
      </c>
      <c r="X6" s="56" t="s">
        <v>7</v>
      </c>
      <c r="Y6" s="57" t="s">
        <v>133</v>
      </c>
      <c r="Z6" s="56" t="s">
        <v>132</v>
      </c>
      <c r="AA6" s="87" t="s">
        <v>133</v>
      </c>
      <c r="AB6" s="87" t="s">
        <v>133</v>
      </c>
      <c r="AD6" s="54">
        <v>42568</v>
      </c>
      <c r="AE6" s="54">
        <v>42581</v>
      </c>
      <c r="AF6" s="122">
        <f t="shared" si="0"/>
        <v>42601</v>
      </c>
      <c r="AG6" s="54">
        <f>PayPeriods[[#This Row],[End]]+10</f>
        <v>42591</v>
      </c>
      <c r="AI6" t="s">
        <v>19</v>
      </c>
      <c r="AM6" s="96" t="s">
        <v>7</v>
      </c>
      <c r="AN6" t="s">
        <v>266</v>
      </c>
      <c r="AO6" s="96" t="s">
        <v>264</v>
      </c>
      <c r="AP6" s="96">
        <v>116</v>
      </c>
      <c r="AQ6" s="33"/>
      <c r="AR6" s="33">
        <v>0.1</v>
      </c>
      <c r="AS6" s="33"/>
      <c r="AT6" s="33">
        <v>0</v>
      </c>
      <c r="AV6" s="96" t="s">
        <v>120</v>
      </c>
      <c r="AW6" s="113">
        <v>4</v>
      </c>
      <c r="AX6" s="96" t="s">
        <v>263</v>
      </c>
      <c r="AY6" s="107">
        <v>20001</v>
      </c>
      <c r="AZ6" s="111">
        <v>3.15E-3</v>
      </c>
      <c r="BB6">
        <v>0</v>
      </c>
      <c r="BC6">
        <v>10</v>
      </c>
      <c r="BD6" s="96" t="s">
        <v>264</v>
      </c>
      <c r="BE6">
        <v>0</v>
      </c>
    </row>
    <row r="7" spans="1:57" x14ac:dyDescent="0.25">
      <c r="A7" t="s">
        <v>335</v>
      </c>
      <c r="B7" t="s">
        <v>336</v>
      </c>
      <c r="C7" t="s">
        <v>116</v>
      </c>
      <c r="D7" s="2" t="str">
        <f>Employees[[#This Row],[Employee Name]]&amp;" ("&amp;Employees[[#This Row],[Personal ID]]&amp;")"</f>
        <v>Antunes da Silva, Jorge (N20S000001876)</v>
      </c>
      <c r="E7" s="90">
        <v>1876</v>
      </c>
      <c r="F7" t="s">
        <v>259</v>
      </c>
      <c r="G7" t="s">
        <v>89</v>
      </c>
      <c r="I7" s="9" t="s">
        <v>119</v>
      </c>
      <c r="J7" t="s">
        <v>155</v>
      </c>
      <c r="L7" t="s">
        <v>263</v>
      </c>
      <c r="M7" t="s">
        <v>118</v>
      </c>
      <c r="N7" s="1">
        <v>10001</v>
      </c>
      <c r="O7" s="1">
        <v>20000.990000000002</v>
      </c>
      <c r="P7" s="1">
        <v>350</v>
      </c>
      <c r="Q7" s="1"/>
      <c r="R7" s="1">
        <f>VariablePayTable[[#This Row],[Base Amount]]+VariablePayTable[[#This Row],[Premium]]</f>
        <v>350</v>
      </c>
      <c r="T7" s="8" t="s">
        <v>121</v>
      </c>
      <c r="U7" t="s">
        <v>263</v>
      </c>
      <c r="V7">
        <v>15</v>
      </c>
      <c r="X7" s="56" t="s">
        <v>181</v>
      </c>
      <c r="Y7" s="57" t="s">
        <v>133</v>
      </c>
      <c r="Z7" s="56" t="s">
        <v>132</v>
      </c>
      <c r="AA7" s="56" t="s">
        <v>132</v>
      </c>
      <c r="AB7" s="87" t="s">
        <v>133</v>
      </c>
      <c r="AD7" s="54">
        <v>42582</v>
      </c>
      <c r="AE7" s="54">
        <v>42595</v>
      </c>
      <c r="AF7" s="122">
        <f t="shared" si="0"/>
        <v>42615</v>
      </c>
      <c r="AG7" s="54">
        <f>PayPeriods[[#This Row],[End]]+10</f>
        <v>42605</v>
      </c>
      <c r="AI7" t="s">
        <v>72</v>
      </c>
      <c r="AM7" s="96" t="s">
        <v>7</v>
      </c>
      <c r="AN7" s="96" t="s">
        <v>117</v>
      </c>
      <c r="AO7" s="96" t="s">
        <v>263</v>
      </c>
      <c r="AP7" s="96">
        <v>150</v>
      </c>
      <c r="AQ7" s="33"/>
      <c r="AR7" s="33">
        <v>0.1</v>
      </c>
      <c r="AS7" s="33"/>
      <c r="AT7" s="33">
        <v>0</v>
      </c>
      <c r="AV7" s="96" t="s">
        <v>121</v>
      </c>
      <c r="AW7" s="113">
        <v>5</v>
      </c>
      <c r="AX7" s="96" t="s">
        <v>263</v>
      </c>
      <c r="AY7" s="107">
        <v>20001</v>
      </c>
      <c r="AZ7" s="111">
        <v>2.8999999999999998E-3</v>
      </c>
      <c r="BB7">
        <v>11</v>
      </c>
      <c r="BC7">
        <v>15</v>
      </c>
      <c r="BD7" s="96" t="s">
        <v>264</v>
      </c>
      <c r="BE7">
        <v>100</v>
      </c>
    </row>
    <row r="8" spans="1:57" x14ac:dyDescent="0.25">
      <c r="A8" t="s">
        <v>153</v>
      </c>
      <c r="B8" t="s">
        <v>154</v>
      </c>
      <c r="C8" t="s">
        <v>115</v>
      </c>
      <c r="D8" s="2" t="str">
        <f>Employees[[#This Row],[Employee Name]]&amp;" ("&amp;Employees[[#This Row],[Personal ID]]&amp;")"</f>
        <v>Aspin, Danny (N20S000001729)</v>
      </c>
      <c r="E8" s="90">
        <v>1729</v>
      </c>
      <c r="F8" t="s">
        <v>259</v>
      </c>
      <c r="G8" t="s">
        <v>89</v>
      </c>
      <c r="I8" s="9" t="s">
        <v>120</v>
      </c>
      <c r="J8" s="9" t="s">
        <v>271</v>
      </c>
      <c r="L8" t="s">
        <v>263</v>
      </c>
      <c r="M8" t="s">
        <v>118</v>
      </c>
      <c r="N8" s="1">
        <v>20001</v>
      </c>
      <c r="O8" s="1">
        <v>1000000.99</v>
      </c>
      <c r="P8" s="1">
        <v>350</v>
      </c>
      <c r="Q8" s="1"/>
      <c r="R8" s="1">
        <f>VariablePayTable[[#This Row],[Base Amount]]+VariablePayTable[[#This Row],[Premium]]</f>
        <v>350</v>
      </c>
      <c r="T8" t="s">
        <v>115</v>
      </c>
      <c r="U8" t="s">
        <v>263</v>
      </c>
      <c r="V8">
        <v>15</v>
      </c>
      <c r="X8" s="56" t="s">
        <v>182</v>
      </c>
      <c r="Y8" s="57" t="s">
        <v>133</v>
      </c>
      <c r="Z8" s="56" t="s">
        <v>132</v>
      </c>
      <c r="AA8" s="56" t="s">
        <v>132</v>
      </c>
      <c r="AB8" s="87" t="s">
        <v>133</v>
      </c>
      <c r="AD8" s="54">
        <v>42596</v>
      </c>
      <c r="AE8" s="54">
        <v>42609</v>
      </c>
      <c r="AF8" s="122">
        <f t="shared" si="0"/>
        <v>42629</v>
      </c>
      <c r="AG8" s="54">
        <f>PayPeriods[[#This Row],[End]]+10</f>
        <v>42619</v>
      </c>
      <c r="AI8" t="s">
        <v>138</v>
      </c>
      <c r="AM8" s="96" t="s">
        <v>7</v>
      </c>
      <c r="AN8" s="96" t="s">
        <v>117</v>
      </c>
      <c r="AO8" s="96" t="s">
        <v>264</v>
      </c>
      <c r="AP8" s="96">
        <v>116</v>
      </c>
      <c r="AQ8" s="33"/>
      <c r="AR8" s="33">
        <v>0.1</v>
      </c>
      <c r="AS8" s="33"/>
      <c r="AT8" s="33">
        <v>0</v>
      </c>
      <c r="AV8" s="96" t="s">
        <v>115</v>
      </c>
      <c r="AW8" s="113">
        <v>6</v>
      </c>
      <c r="AX8" s="96" t="s">
        <v>263</v>
      </c>
      <c r="AY8" s="107">
        <v>20001</v>
      </c>
      <c r="AZ8" s="111">
        <v>2.65E-3</v>
      </c>
      <c r="BB8">
        <v>16</v>
      </c>
      <c r="BC8">
        <v>500</v>
      </c>
      <c r="BD8" s="96" t="s">
        <v>264</v>
      </c>
      <c r="BE8">
        <v>150</v>
      </c>
    </row>
    <row r="9" spans="1:57" x14ac:dyDescent="0.25">
      <c r="A9" t="s">
        <v>245</v>
      </c>
      <c r="B9" t="s">
        <v>41</v>
      </c>
      <c r="C9" t="s">
        <v>121</v>
      </c>
      <c r="D9" s="2" t="str">
        <f>Employees[[#This Row],[Employee Name]]&amp;" ("&amp;Employees[[#This Row],[Personal ID]]&amp;")"</f>
        <v>Austin, Jon (N20S000001114)</v>
      </c>
      <c r="E9" s="90">
        <v>1114</v>
      </c>
      <c r="F9" t="s">
        <v>72</v>
      </c>
      <c r="G9" t="s">
        <v>89</v>
      </c>
      <c r="I9" s="9" t="s">
        <v>121</v>
      </c>
      <c r="J9" s="9"/>
      <c r="L9" t="s">
        <v>263</v>
      </c>
      <c r="M9" t="s">
        <v>119</v>
      </c>
      <c r="N9" s="1">
        <v>0</v>
      </c>
      <c r="O9" s="1">
        <v>10000.99</v>
      </c>
      <c r="P9" s="1">
        <v>280</v>
      </c>
      <c r="Q9" s="1"/>
      <c r="R9" s="1">
        <f>VariablePayTable[[#This Row],[Base Amount]]+VariablePayTable[[#This Row],[Premium]]</f>
        <v>280</v>
      </c>
      <c r="T9" t="s">
        <v>114</v>
      </c>
      <c r="U9" t="s">
        <v>263</v>
      </c>
      <c r="V9">
        <v>15</v>
      </c>
      <c r="X9" s="56" t="s">
        <v>195</v>
      </c>
      <c r="Y9" s="57" t="s">
        <v>133</v>
      </c>
      <c r="Z9" s="56" t="s">
        <v>132</v>
      </c>
      <c r="AA9" s="57" t="s">
        <v>132</v>
      </c>
      <c r="AB9" s="87" t="s">
        <v>133</v>
      </c>
      <c r="AD9" s="54">
        <v>42610</v>
      </c>
      <c r="AE9" s="54">
        <v>42623</v>
      </c>
      <c r="AF9" s="122">
        <f t="shared" si="0"/>
        <v>42643</v>
      </c>
      <c r="AG9" s="54">
        <f>PayPeriods[[#This Row],[End]]+10</f>
        <v>42633</v>
      </c>
      <c r="AI9" t="s">
        <v>20</v>
      </c>
      <c r="AM9" s="96" t="s">
        <v>7</v>
      </c>
      <c r="AN9" s="96" t="s">
        <v>118</v>
      </c>
      <c r="AO9" s="96" t="s">
        <v>263</v>
      </c>
      <c r="AP9" s="96">
        <v>150</v>
      </c>
      <c r="AQ9" s="33"/>
      <c r="AR9" s="33">
        <v>0.1</v>
      </c>
      <c r="AS9" s="33"/>
      <c r="AT9" s="33">
        <v>0</v>
      </c>
      <c r="AV9" s="96" t="s">
        <v>114</v>
      </c>
      <c r="AW9" s="113">
        <v>7</v>
      </c>
      <c r="AX9" s="96" t="s">
        <v>263</v>
      </c>
      <c r="AY9" s="107">
        <v>20001</v>
      </c>
      <c r="AZ9" s="111">
        <v>2.3999999999999998E-3</v>
      </c>
    </row>
    <row r="10" spans="1:57" x14ac:dyDescent="0.25">
      <c r="A10" t="s">
        <v>200</v>
      </c>
      <c r="B10" t="s">
        <v>201</v>
      </c>
      <c r="C10" t="s">
        <v>121</v>
      </c>
      <c r="D10" s="2" t="str">
        <f>Employees[[#This Row],[Employee Name]]&amp;" ("&amp;Employees[[#This Row],[Personal ID]]&amp;")"</f>
        <v>Bardahl, Tyler (N20S000001151)</v>
      </c>
      <c r="E10" s="90">
        <v>1151</v>
      </c>
      <c r="F10" t="s">
        <v>261</v>
      </c>
      <c r="G10" t="s">
        <v>257</v>
      </c>
      <c r="I10" s="9" t="s">
        <v>115</v>
      </c>
      <c r="J10" s="9"/>
      <c r="L10" t="s">
        <v>263</v>
      </c>
      <c r="M10" t="s">
        <v>119</v>
      </c>
      <c r="N10" s="1">
        <v>10001</v>
      </c>
      <c r="O10" s="1">
        <v>20000.990000000002</v>
      </c>
      <c r="P10" s="1">
        <v>330</v>
      </c>
      <c r="Q10" s="1"/>
      <c r="R10" s="1">
        <f>VariablePayTable[[#This Row],[Base Amount]]+VariablePayTable[[#This Row],[Premium]]</f>
        <v>330</v>
      </c>
      <c r="T10" s="8" t="s">
        <v>270</v>
      </c>
      <c r="U10" t="s">
        <v>263</v>
      </c>
      <c r="V10">
        <v>14</v>
      </c>
      <c r="X10" s="57" t="s">
        <v>227</v>
      </c>
      <c r="Y10" s="57" t="s">
        <v>133</v>
      </c>
      <c r="Z10" s="57" t="s">
        <v>132</v>
      </c>
      <c r="AA10" s="57" t="s">
        <v>133</v>
      </c>
      <c r="AB10" s="57" t="s">
        <v>132</v>
      </c>
      <c r="AD10" s="54">
        <v>42624</v>
      </c>
      <c r="AE10" s="54">
        <v>42637</v>
      </c>
      <c r="AF10" s="122">
        <f t="shared" si="0"/>
        <v>42657</v>
      </c>
      <c r="AG10" s="54">
        <f>PayPeriods[[#This Row],[End]]+10</f>
        <v>42647</v>
      </c>
      <c r="AI10" t="s">
        <v>134</v>
      </c>
      <c r="AM10" s="96" t="s">
        <v>7</v>
      </c>
      <c r="AN10" s="96" t="s">
        <v>118</v>
      </c>
      <c r="AO10" s="96" t="s">
        <v>264</v>
      </c>
      <c r="AP10" s="96">
        <v>116</v>
      </c>
      <c r="AQ10" s="33"/>
      <c r="AR10" s="33">
        <v>0.1</v>
      </c>
      <c r="AS10" s="33"/>
      <c r="AT10" s="33">
        <v>0</v>
      </c>
      <c r="AV10" s="9" t="s">
        <v>270</v>
      </c>
      <c r="AW10" s="113">
        <v>8</v>
      </c>
      <c r="AX10" s="96" t="s">
        <v>263</v>
      </c>
      <c r="AY10" s="115">
        <v>20001</v>
      </c>
      <c r="AZ10" s="111">
        <v>2.15E-3</v>
      </c>
    </row>
    <row r="11" spans="1:57" x14ac:dyDescent="0.25">
      <c r="A11" t="s">
        <v>246</v>
      </c>
      <c r="B11" t="s">
        <v>42</v>
      </c>
      <c r="C11" t="s">
        <v>121</v>
      </c>
      <c r="D11" s="2" t="str">
        <f>Employees[[#This Row],[Employee Name]]&amp;" ("&amp;Employees[[#This Row],[Personal ID]]&amp;")"</f>
        <v>Baron, Darcy (N20S000001115)</v>
      </c>
      <c r="E11" s="90">
        <v>1115</v>
      </c>
      <c r="F11" t="s">
        <v>72</v>
      </c>
      <c r="G11" t="s">
        <v>89</v>
      </c>
      <c r="I11" s="9" t="s">
        <v>114</v>
      </c>
      <c r="J11" s="9"/>
      <c r="L11" t="s">
        <v>263</v>
      </c>
      <c r="M11" t="s">
        <v>119</v>
      </c>
      <c r="N11" s="1">
        <v>20001</v>
      </c>
      <c r="O11" s="1">
        <v>1000000.99</v>
      </c>
      <c r="P11" s="1">
        <v>330</v>
      </c>
      <c r="Q11" s="1"/>
      <c r="R11" s="1">
        <f>VariablePayTable[[#This Row],[Base Amount]]+VariablePayTable[[#This Row],[Premium]]</f>
        <v>330</v>
      </c>
      <c r="T11" s="8" t="s">
        <v>117</v>
      </c>
      <c r="U11" t="s">
        <v>264</v>
      </c>
      <c r="V11" s="28">
        <v>16</v>
      </c>
      <c r="X11" s="57"/>
      <c r="Y11" s="57"/>
      <c r="Z11" s="57"/>
      <c r="AA11" s="57"/>
      <c r="AB11" s="57"/>
      <c r="AD11" s="54">
        <v>42638</v>
      </c>
      <c r="AE11" s="54">
        <v>42651</v>
      </c>
      <c r="AF11" s="122">
        <f t="shared" si="0"/>
        <v>42671</v>
      </c>
      <c r="AG11" s="54">
        <f>PayPeriods[[#This Row],[End]]+10</f>
        <v>42661</v>
      </c>
      <c r="AM11" s="96" t="s">
        <v>7</v>
      </c>
      <c r="AN11" s="96" t="s">
        <v>119</v>
      </c>
      <c r="AO11" s="96" t="s">
        <v>263</v>
      </c>
      <c r="AP11" s="96">
        <v>150</v>
      </c>
      <c r="AQ11" s="33"/>
      <c r="AR11" s="33">
        <v>0.1</v>
      </c>
      <c r="AS11" s="33"/>
      <c r="AT11" s="33">
        <v>0</v>
      </c>
      <c r="AV11" s="96" t="s">
        <v>117</v>
      </c>
      <c r="AW11" s="113">
        <v>9</v>
      </c>
      <c r="AX11" s="96" t="s">
        <v>264</v>
      </c>
      <c r="AY11" s="107">
        <v>20001</v>
      </c>
      <c r="AZ11" s="110">
        <v>3.65E-3</v>
      </c>
    </row>
    <row r="12" spans="1:57" x14ac:dyDescent="0.25">
      <c r="A12" t="s">
        <v>51</v>
      </c>
      <c r="B12" t="s">
        <v>52</v>
      </c>
      <c r="C12" t="s">
        <v>117</v>
      </c>
      <c r="D12" s="2" t="str">
        <f>Employees[[#This Row],[Employee Name]]&amp;" ("&amp;Employees[[#This Row],[Personal ID]]&amp;")"</f>
        <v>Bauder, Jesse (N20S000001176)</v>
      </c>
      <c r="E12" s="90">
        <v>1176</v>
      </c>
      <c r="F12" t="s">
        <v>72</v>
      </c>
      <c r="G12" t="s">
        <v>89</v>
      </c>
      <c r="I12" s="10" t="s">
        <v>183</v>
      </c>
      <c r="J12" s="10"/>
      <c r="L12" t="s">
        <v>263</v>
      </c>
      <c r="M12" t="s">
        <v>120</v>
      </c>
      <c r="N12" s="1">
        <v>0</v>
      </c>
      <c r="O12" s="1">
        <v>10000.99</v>
      </c>
      <c r="P12" s="1">
        <v>260</v>
      </c>
      <c r="Q12" s="1"/>
      <c r="R12" s="1">
        <f>VariablePayTable[[#This Row],[Base Amount]]+VariablePayTable[[#This Row],[Premium]]</f>
        <v>260</v>
      </c>
      <c r="T12" s="8" t="s">
        <v>118</v>
      </c>
      <c r="U12" t="s">
        <v>264</v>
      </c>
      <c r="V12">
        <v>16</v>
      </c>
      <c r="X12" s="57"/>
      <c r="Y12" s="57"/>
      <c r="Z12" s="57"/>
      <c r="AA12" s="57"/>
      <c r="AB12" s="96"/>
      <c r="AD12" s="54">
        <v>42652</v>
      </c>
      <c r="AE12" s="54">
        <v>42665</v>
      </c>
      <c r="AF12" s="122">
        <f t="shared" si="0"/>
        <v>42685</v>
      </c>
      <c r="AG12" s="54">
        <f>PayPeriods[[#This Row],[End]]+10</f>
        <v>42675</v>
      </c>
      <c r="AM12" s="96" t="s">
        <v>7</v>
      </c>
      <c r="AN12" s="96" t="s">
        <v>119</v>
      </c>
      <c r="AO12" s="96" t="s">
        <v>264</v>
      </c>
      <c r="AP12" s="96">
        <v>116</v>
      </c>
      <c r="AQ12" s="33"/>
      <c r="AR12" s="33">
        <v>0.1</v>
      </c>
      <c r="AS12" s="33"/>
      <c r="AT12" s="33">
        <v>0</v>
      </c>
      <c r="AV12" s="96" t="s">
        <v>118</v>
      </c>
      <c r="AW12" s="113">
        <v>10</v>
      </c>
      <c r="AX12" s="96" t="s">
        <v>264</v>
      </c>
      <c r="AY12" s="107">
        <v>20001</v>
      </c>
      <c r="AZ12" s="111">
        <v>3.15E-3</v>
      </c>
    </row>
    <row r="13" spans="1:57" x14ac:dyDescent="0.25">
      <c r="A13" t="s">
        <v>240</v>
      </c>
      <c r="B13" t="s">
        <v>198</v>
      </c>
      <c r="C13" t="s">
        <v>117</v>
      </c>
      <c r="D13" s="2" t="str">
        <f>Employees[[#This Row],[Employee Name]]&amp;" ("&amp;Employees[[#This Row],[Personal ID]]&amp;")"</f>
        <v>Beisel, Kyle (N20S000011087)</v>
      </c>
      <c r="E13" s="90">
        <v>1087</v>
      </c>
      <c r="F13" t="s">
        <v>20</v>
      </c>
      <c r="G13" t="s">
        <v>257</v>
      </c>
      <c r="I13" s="10" t="s">
        <v>270</v>
      </c>
      <c r="J13" s="10"/>
      <c r="L13" t="s">
        <v>263</v>
      </c>
      <c r="M13" t="s">
        <v>120</v>
      </c>
      <c r="N13" s="1">
        <v>10001</v>
      </c>
      <c r="O13" s="1">
        <v>20000.990000000002</v>
      </c>
      <c r="P13" s="1">
        <v>290</v>
      </c>
      <c r="Q13" s="1"/>
      <c r="R13" s="1">
        <f>VariablePayTable[[#This Row],[Base Amount]]+VariablePayTable[[#This Row],[Premium]]</f>
        <v>290</v>
      </c>
      <c r="T13" s="8" t="s">
        <v>119</v>
      </c>
      <c r="U13" t="s">
        <v>264</v>
      </c>
      <c r="V13">
        <v>16</v>
      </c>
      <c r="AD13" s="54">
        <v>42666</v>
      </c>
      <c r="AE13" s="54">
        <v>42679</v>
      </c>
      <c r="AF13" s="122">
        <f t="shared" si="0"/>
        <v>42699</v>
      </c>
      <c r="AG13" s="54">
        <f>PayPeriods[[#This Row],[End]]+10</f>
        <v>42689</v>
      </c>
      <c r="AM13" s="96" t="s">
        <v>7</v>
      </c>
      <c r="AN13" s="96" t="s">
        <v>120</v>
      </c>
      <c r="AO13" s="96" t="s">
        <v>263</v>
      </c>
      <c r="AP13" s="96">
        <v>150</v>
      </c>
      <c r="AQ13" s="33"/>
      <c r="AR13" s="33">
        <v>0.1</v>
      </c>
      <c r="AS13" s="33"/>
      <c r="AT13" s="33">
        <v>0</v>
      </c>
      <c r="AV13" s="96" t="s">
        <v>119</v>
      </c>
      <c r="AW13" s="113">
        <v>11</v>
      </c>
      <c r="AX13" s="96" t="s">
        <v>264</v>
      </c>
      <c r="AY13" s="107">
        <v>20001</v>
      </c>
      <c r="AZ13" s="111">
        <v>2.65E-3</v>
      </c>
    </row>
    <row r="14" spans="1:57" x14ac:dyDescent="0.25">
      <c r="A14" t="s">
        <v>122</v>
      </c>
      <c r="B14" t="s">
        <v>123</v>
      </c>
      <c r="C14" t="s">
        <v>115</v>
      </c>
      <c r="D14" s="2" t="str">
        <f>Employees[[#This Row],[Employee Name]]&amp;" ("&amp;Employees[[#This Row],[Personal ID]]&amp;")"</f>
        <v>Benjamin, Lane (N20S000001532)</v>
      </c>
      <c r="E14" s="90">
        <v>1532</v>
      </c>
      <c r="F14" t="s">
        <v>259</v>
      </c>
      <c r="G14" t="s">
        <v>89</v>
      </c>
      <c r="I14" s="9"/>
      <c r="J14" s="9"/>
      <c r="L14" t="s">
        <v>263</v>
      </c>
      <c r="M14" t="s">
        <v>120</v>
      </c>
      <c r="N14" s="1">
        <v>20001</v>
      </c>
      <c r="O14" s="1">
        <v>1000000.99</v>
      </c>
      <c r="P14" s="1">
        <v>290</v>
      </c>
      <c r="Q14" s="1"/>
      <c r="R14" s="1">
        <f>VariablePayTable[[#This Row],[Base Amount]]+VariablePayTable[[#This Row],[Premium]]</f>
        <v>290</v>
      </c>
      <c r="T14" s="8" t="s">
        <v>120</v>
      </c>
      <c r="U14" t="s">
        <v>264</v>
      </c>
      <c r="V14">
        <v>16</v>
      </c>
      <c r="AD14" s="54">
        <v>42680</v>
      </c>
      <c r="AE14" s="54">
        <v>42693</v>
      </c>
      <c r="AF14" s="122">
        <f t="shared" si="0"/>
        <v>42713</v>
      </c>
      <c r="AG14" s="54">
        <f>PayPeriods[[#This Row],[End]]+10</f>
        <v>42703</v>
      </c>
      <c r="AM14" s="96" t="s">
        <v>7</v>
      </c>
      <c r="AN14" s="96" t="s">
        <v>120</v>
      </c>
      <c r="AO14" s="96" t="s">
        <v>264</v>
      </c>
      <c r="AP14" s="96">
        <v>116</v>
      </c>
      <c r="AQ14" s="33"/>
      <c r="AR14" s="33">
        <v>0.1</v>
      </c>
      <c r="AS14" s="33"/>
      <c r="AT14" s="33">
        <v>0</v>
      </c>
      <c r="AV14" s="96" t="s">
        <v>120</v>
      </c>
      <c r="AW14" s="113">
        <v>12</v>
      </c>
      <c r="AX14" s="96" t="s">
        <v>264</v>
      </c>
      <c r="AY14" s="107">
        <v>20001</v>
      </c>
      <c r="AZ14" s="111">
        <v>2.15E-3</v>
      </c>
    </row>
    <row r="15" spans="1:57" x14ac:dyDescent="0.25">
      <c r="A15" t="s">
        <v>151</v>
      </c>
      <c r="B15" t="s">
        <v>152</v>
      </c>
      <c r="C15" t="s">
        <v>119</v>
      </c>
      <c r="D15" s="2" t="str">
        <f>Employees[[#This Row],[Employee Name]]&amp;" ("&amp;Employees[[#This Row],[Personal ID]]&amp;")"</f>
        <v>Best, Kevin (N20S000001038)</v>
      </c>
      <c r="E15" s="90">
        <v>1038</v>
      </c>
      <c r="F15" t="s">
        <v>256</v>
      </c>
      <c r="G15" t="s">
        <v>257</v>
      </c>
      <c r="I15" s="10"/>
      <c r="J15" s="10"/>
      <c r="L15" t="s">
        <v>263</v>
      </c>
      <c r="M15" t="s">
        <v>121</v>
      </c>
      <c r="N15" s="1">
        <v>0</v>
      </c>
      <c r="O15" s="1">
        <v>10000.99</v>
      </c>
      <c r="P15" s="1">
        <v>250</v>
      </c>
      <c r="Q15" s="1"/>
      <c r="R15" s="1">
        <f>VariablePayTable[[#This Row],[Base Amount]]+VariablePayTable[[#This Row],[Premium]]</f>
        <v>250</v>
      </c>
      <c r="T15" s="8" t="s">
        <v>121</v>
      </c>
      <c r="U15" t="s">
        <v>264</v>
      </c>
      <c r="V15">
        <v>15</v>
      </c>
      <c r="AD15" s="54">
        <v>42694</v>
      </c>
      <c r="AE15" s="54">
        <v>42707</v>
      </c>
      <c r="AF15" s="122">
        <f t="shared" si="0"/>
        <v>42727</v>
      </c>
      <c r="AG15" s="54">
        <f>PayPeriods[[#This Row],[End]]+10</f>
        <v>42717</v>
      </c>
      <c r="AM15" s="96" t="s">
        <v>7</v>
      </c>
      <c r="AN15" s="96" t="s">
        <v>121</v>
      </c>
      <c r="AO15" s="96" t="s">
        <v>263</v>
      </c>
      <c r="AP15" s="96">
        <v>150</v>
      </c>
      <c r="AQ15" s="33"/>
      <c r="AR15" s="33">
        <v>0.1</v>
      </c>
      <c r="AS15" s="33"/>
      <c r="AT15" s="33">
        <v>0</v>
      </c>
      <c r="AV15" s="96" t="s">
        <v>121</v>
      </c>
      <c r="AW15" s="113">
        <v>13</v>
      </c>
      <c r="AX15" s="96" t="s">
        <v>264</v>
      </c>
      <c r="AY15" s="107">
        <v>20001</v>
      </c>
      <c r="AZ15" s="111">
        <v>1.9E-3</v>
      </c>
    </row>
    <row r="16" spans="1:57" x14ac:dyDescent="0.25">
      <c r="A16" t="s">
        <v>241</v>
      </c>
      <c r="B16" t="s">
        <v>39</v>
      </c>
      <c r="C16" t="s">
        <v>118</v>
      </c>
      <c r="D16" s="2" t="str">
        <f>Employees[[#This Row],[Employee Name]]&amp;" ("&amp;Employees[[#This Row],[Personal ID]]&amp;")"</f>
        <v>Blanco, Cliff (N20S000001088)</v>
      </c>
      <c r="E16" s="90">
        <v>1088</v>
      </c>
      <c r="F16" t="s">
        <v>18</v>
      </c>
      <c r="G16" t="s">
        <v>89</v>
      </c>
      <c r="L16" t="s">
        <v>263</v>
      </c>
      <c r="M16" t="s">
        <v>121</v>
      </c>
      <c r="N16" s="1">
        <v>10001</v>
      </c>
      <c r="O16" s="1">
        <v>20000.990000000002</v>
      </c>
      <c r="P16" s="1">
        <v>280</v>
      </c>
      <c r="Q16" s="1"/>
      <c r="R16" s="1">
        <f>VariablePayTable[[#This Row],[Base Amount]]+VariablePayTable[[#This Row],[Premium]]</f>
        <v>280</v>
      </c>
      <c r="T16" t="s">
        <v>115</v>
      </c>
      <c r="U16" t="s">
        <v>264</v>
      </c>
      <c r="V16">
        <v>15</v>
      </c>
      <c r="AD16" s="54">
        <v>42708</v>
      </c>
      <c r="AE16" s="54">
        <v>42721</v>
      </c>
      <c r="AF16" s="122">
        <f t="shared" si="0"/>
        <v>42741</v>
      </c>
      <c r="AG16" s="54">
        <f>PayPeriods[[#This Row],[End]]+10</f>
        <v>42731</v>
      </c>
      <c r="AM16" s="96" t="s">
        <v>7</v>
      </c>
      <c r="AN16" s="96" t="s">
        <v>121</v>
      </c>
      <c r="AO16" s="96" t="s">
        <v>264</v>
      </c>
      <c r="AP16" s="96">
        <v>116</v>
      </c>
      <c r="AQ16" s="33"/>
      <c r="AR16" s="33">
        <v>0.1</v>
      </c>
      <c r="AS16" s="33"/>
      <c r="AT16" s="33">
        <v>0</v>
      </c>
      <c r="AV16" s="96" t="s">
        <v>115</v>
      </c>
      <c r="AW16" s="113">
        <v>14</v>
      </c>
      <c r="AX16" s="96" t="s">
        <v>264</v>
      </c>
      <c r="AY16" s="107">
        <v>20001</v>
      </c>
      <c r="AZ16" s="111">
        <v>1.65E-3</v>
      </c>
    </row>
    <row r="17" spans="1:52" x14ac:dyDescent="0.25">
      <c r="A17" t="s">
        <v>356</v>
      </c>
      <c r="B17" t="s">
        <v>357</v>
      </c>
      <c r="C17" t="s">
        <v>116</v>
      </c>
      <c r="D17" s="2" t="str">
        <f>Employees[[#This Row],[Employee Name]]&amp;" ("&amp;Employees[[#This Row],[Personal ID]]&amp;")"</f>
        <v>Boichenko, Iurii (N20S000001677)</v>
      </c>
      <c r="E17" s="90">
        <v>1677</v>
      </c>
      <c r="F17" t="s">
        <v>260</v>
      </c>
      <c r="G17" t="s">
        <v>89</v>
      </c>
      <c r="L17" t="s">
        <v>263</v>
      </c>
      <c r="M17" t="s">
        <v>121</v>
      </c>
      <c r="N17" s="1">
        <v>20001</v>
      </c>
      <c r="O17" s="1">
        <v>1000000.99</v>
      </c>
      <c r="P17" s="1">
        <v>280</v>
      </c>
      <c r="Q17" s="1"/>
      <c r="R17" s="1">
        <f>VariablePayTable[[#This Row],[Base Amount]]+VariablePayTable[[#This Row],[Premium]]</f>
        <v>280</v>
      </c>
      <c r="T17" t="s">
        <v>114</v>
      </c>
      <c r="U17" t="s">
        <v>264</v>
      </c>
      <c r="V17">
        <v>15</v>
      </c>
      <c r="AD17" s="54">
        <v>42722</v>
      </c>
      <c r="AE17" s="54">
        <v>42735</v>
      </c>
      <c r="AF17" s="122">
        <f t="shared" si="0"/>
        <v>42755</v>
      </c>
      <c r="AG17" s="54">
        <f>PayPeriods[[#This Row],[End]]+10</f>
        <v>42745</v>
      </c>
      <c r="AM17" s="96" t="s">
        <v>7</v>
      </c>
      <c r="AN17" s="96" t="s">
        <v>115</v>
      </c>
      <c r="AO17" s="96" t="s">
        <v>263</v>
      </c>
      <c r="AP17" s="96">
        <v>150</v>
      </c>
      <c r="AQ17" s="33"/>
      <c r="AR17" s="33">
        <v>0.1</v>
      </c>
      <c r="AS17" s="33"/>
      <c r="AT17" s="33">
        <v>0</v>
      </c>
      <c r="AV17" s="96" t="s">
        <v>114</v>
      </c>
      <c r="AW17" s="113">
        <v>15</v>
      </c>
      <c r="AX17" s="96" t="s">
        <v>264</v>
      </c>
      <c r="AY17" s="107">
        <v>20001</v>
      </c>
      <c r="AZ17" s="111">
        <v>1.4E-3</v>
      </c>
    </row>
    <row r="18" spans="1:52" x14ac:dyDescent="0.25">
      <c r="A18" t="s">
        <v>129</v>
      </c>
      <c r="B18" t="s">
        <v>130</v>
      </c>
      <c r="C18" t="s">
        <v>183</v>
      </c>
      <c r="D18" s="2" t="str">
        <f>Employees[[#This Row],[Employee Name]]&amp;" ("&amp;Employees[[#This Row],[Personal ID]]&amp;")"</f>
        <v>Booker, Darren (N20S000001577)</v>
      </c>
      <c r="E18" s="90">
        <v>1577</v>
      </c>
      <c r="F18" t="s">
        <v>259</v>
      </c>
      <c r="G18" t="s">
        <v>89</v>
      </c>
      <c r="L18" t="s">
        <v>263</v>
      </c>
      <c r="M18" t="s">
        <v>115</v>
      </c>
      <c r="N18" s="1">
        <v>0</v>
      </c>
      <c r="O18" s="1">
        <v>10000.99</v>
      </c>
      <c r="P18" s="1">
        <v>230</v>
      </c>
      <c r="Q18" s="1"/>
      <c r="R18" s="1">
        <f>VariablePayTable[[#This Row],[Base Amount]]+VariablePayTable[[#This Row],[Premium]]</f>
        <v>230</v>
      </c>
      <c r="T18" s="8" t="s">
        <v>270</v>
      </c>
      <c r="U18" t="s">
        <v>264</v>
      </c>
      <c r="V18">
        <v>14</v>
      </c>
      <c r="AD18" s="54">
        <f>AD17+14</f>
        <v>42736</v>
      </c>
      <c r="AE18" s="54">
        <f>AE17+14</f>
        <v>42749</v>
      </c>
      <c r="AF18" s="122">
        <f t="shared" si="0"/>
        <v>42769</v>
      </c>
      <c r="AG18" s="54">
        <f>PayPeriods[[#This Row],[End]]+10</f>
        <v>42759</v>
      </c>
      <c r="AM18" s="96" t="s">
        <v>7</v>
      </c>
      <c r="AN18" s="96" t="s">
        <v>115</v>
      </c>
      <c r="AO18" s="96" t="s">
        <v>264</v>
      </c>
      <c r="AP18" s="96">
        <v>116</v>
      </c>
      <c r="AQ18" s="33"/>
      <c r="AR18" s="33">
        <v>0.1</v>
      </c>
      <c r="AS18" s="33"/>
      <c r="AT18" s="33">
        <v>0</v>
      </c>
      <c r="AV18" s="9" t="s">
        <v>270</v>
      </c>
      <c r="AW18" s="113">
        <v>16</v>
      </c>
      <c r="AX18" s="96" t="s">
        <v>264</v>
      </c>
      <c r="AY18" s="115">
        <v>20001</v>
      </c>
      <c r="AZ18" s="111">
        <v>1.15E-3</v>
      </c>
    </row>
    <row r="19" spans="1:52" x14ac:dyDescent="0.25">
      <c r="A19" t="s">
        <v>250</v>
      </c>
      <c r="B19" t="s">
        <v>61</v>
      </c>
      <c r="C19" t="s">
        <v>115</v>
      </c>
      <c r="D19" s="2" t="str">
        <f>Employees[[#This Row],[Employee Name]]&amp;" ("&amp;Employees[[#This Row],[Personal ID]]&amp;")"</f>
        <v>Borman, Clarence (N20S000001152)</v>
      </c>
      <c r="E19" s="90">
        <v>1152</v>
      </c>
      <c r="F19" t="s">
        <v>261</v>
      </c>
      <c r="G19" t="s">
        <v>257</v>
      </c>
      <c r="L19" t="s">
        <v>263</v>
      </c>
      <c r="M19" t="s">
        <v>115</v>
      </c>
      <c r="N19" s="1">
        <v>10001</v>
      </c>
      <c r="O19" s="1">
        <v>20000.990000000002</v>
      </c>
      <c r="P19" s="1">
        <v>270</v>
      </c>
      <c r="Q19" s="1"/>
      <c r="R19" s="1">
        <f>VariablePayTable[[#This Row],[Base Amount]]+VariablePayTable[[#This Row],[Premium]]</f>
        <v>270</v>
      </c>
      <c r="T19" s="8" t="s">
        <v>330</v>
      </c>
      <c r="U19" t="s">
        <v>263</v>
      </c>
      <c r="V19">
        <v>15</v>
      </c>
      <c r="AD19" s="54">
        <f t="shared" ref="AD19:AD36" si="1">AD18+14</f>
        <v>42750</v>
      </c>
      <c r="AE19" s="54">
        <f t="shared" ref="AE19:AE36" si="2">AE18+14</f>
        <v>42763</v>
      </c>
      <c r="AF19" s="122">
        <f t="shared" si="0"/>
        <v>42783</v>
      </c>
      <c r="AG19" s="54">
        <f>PayPeriods[[#This Row],[End]]+10</f>
        <v>42773</v>
      </c>
      <c r="AM19" s="96" t="s">
        <v>7</v>
      </c>
      <c r="AN19" s="96" t="s">
        <v>114</v>
      </c>
      <c r="AO19" s="96" t="s">
        <v>263</v>
      </c>
      <c r="AP19" s="96">
        <v>150</v>
      </c>
      <c r="AQ19" s="33"/>
      <c r="AR19" s="33">
        <v>0.1</v>
      </c>
      <c r="AS19" s="33"/>
      <c r="AT19" s="33">
        <v>0</v>
      </c>
      <c r="AV19" t="s">
        <v>156</v>
      </c>
      <c r="AW19" s="113">
        <v>17</v>
      </c>
      <c r="AX19" s="96" t="s">
        <v>263</v>
      </c>
      <c r="AY19" s="107">
        <v>10001</v>
      </c>
      <c r="AZ19" s="110">
        <v>4.0000000000000001E-3</v>
      </c>
    </row>
    <row r="20" spans="1:52" x14ac:dyDescent="0.25">
      <c r="A20" t="s">
        <v>255</v>
      </c>
      <c r="B20" t="s">
        <v>146</v>
      </c>
      <c r="C20" t="s">
        <v>118</v>
      </c>
      <c r="D20" s="2" t="str">
        <f>Employees[[#This Row],[Employee Name]]&amp;" ("&amp;Employees[[#This Row],[Personal ID]]&amp;")"</f>
        <v>Braun, Luke (N20S000001689)</v>
      </c>
      <c r="E20" s="90">
        <v>1689</v>
      </c>
      <c r="F20" t="s">
        <v>259</v>
      </c>
      <c r="G20" t="s">
        <v>89</v>
      </c>
      <c r="L20" t="s">
        <v>263</v>
      </c>
      <c r="M20" t="s">
        <v>115</v>
      </c>
      <c r="N20" s="1">
        <v>20001</v>
      </c>
      <c r="O20" s="1">
        <v>1000000.99</v>
      </c>
      <c r="P20" s="1">
        <v>270</v>
      </c>
      <c r="Q20" s="1"/>
      <c r="R20" s="1">
        <f>VariablePayTable[[#This Row],[Base Amount]]+VariablePayTable[[#This Row],[Premium]]</f>
        <v>270</v>
      </c>
      <c r="T20" s="8" t="s">
        <v>331</v>
      </c>
      <c r="U20" t="s">
        <v>264</v>
      </c>
      <c r="V20">
        <v>15</v>
      </c>
      <c r="AD20" s="54">
        <f t="shared" si="1"/>
        <v>42764</v>
      </c>
      <c r="AE20" s="54">
        <f t="shared" si="2"/>
        <v>42777</v>
      </c>
      <c r="AF20" s="122">
        <f t="shared" si="0"/>
        <v>42797</v>
      </c>
      <c r="AG20" s="54">
        <f>PayPeriods[[#This Row],[End]]+10</f>
        <v>42787</v>
      </c>
      <c r="AM20" s="96" t="s">
        <v>7</v>
      </c>
      <c r="AN20" s="96" t="s">
        <v>114</v>
      </c>
      <c r="AO20" s="96" t="s">
        <v>264</v>
      </c>
      <c r="AP20" s="96">
        <v>116</v>
      </c>
      <c r="AQ20" s="33"/>
      <c r="AR20" s="33">
        <v>0.1</v>
      </c>
      <c r="AS20" s="33"/>
      <c r="AT20" s="33">
        <v>0</v>
      </c>
      <c r="AV20" t="s">
        <v>155</v>
      </c>
      <c r="AW20" s="113">
        <v>18</v>
      </c>
      <c r="AX20" s="96" t="s">
        <v>263</v>
      </c>
      <c r="AY20" s="107">
        <v>10001</v>
      </c>
      <c r="AZ20" s="111">
        <v>2E-3</v>
      </c>
    </row>
    <row r="21" spans="1:52" x14ac:dyDescent="0.25">
      <c r="A21" t="s">
        <v>76</v>
      </c>
      <c r="B21" t="s">
        <v>77</v>
      </c>
      <c r="C21" t="s">
        <v>118</v>
      </c>
      <c r="D21" s="2" t="str">
        <f>Employees[[#This Row],[Employee Name]]&amp;" ("&amp;Employees[[#This Row],[Personal ID]]&amp;")"</f>
        <v>Chamieh, Luai (N20S000001228)</v>
      </c>
      <c r="E21" s="90">
        <v>1228</v>
      </c>
      <c r="F21" t="s">
        <v>20</v>
      </c>
      <c r="G21" t="s">
        <v>257</v>
      </c>
      <c r="L21" t="s">
        <v>263</v>
      </c>
      <c r="M21" t="s">
        <v>114</v>
      </c>
      <c r="N21" s="1">
        <v>0</v>
      </c>
      <c r="O21" s="1">
        <v>10000.99</v>
      </c>
      <c r="P21" s="1">
        <v>220</v>
      </c>
      <c r="Q21" s="1"/>
      <c r="R21" s="1">
        <f>VariablePayTable[[#This Row],[Base Amount]]+VariablePayTable[[#This Row],[Premium]]</f>
        <v>220</v>
      </c>
      <c r="T21" s="8" t="s">
        <v>330</v>
      </c>
      <c r="U21" t="s">
        <v>263</v>
      </c>
      <c r="V21">
        <v>15</v>
      </c>
      <c r="AD21" s="54">
        <f t="shared" si="1"/>
        <v>42778</v>
      </c>
      <c r="AE21" s="54">
        <f t="shared" si="2"/>
        <v>42791</v>
      </c>
      <c r="AF21" s="122">
        <f t="shared" si="0"/>
        <v>42811</v>
      </c>
      <c r="AG21" s="54">
        <f>PayPeriods[[#This Row],[End]]+10</f>
        <v>42801</v>
      </c>
      <c r="AM21" s="96" t="s">
        <v>7</v>
      </c>
      <c r="AN21" s="96" t="s">
        <v>270</v>
      </c>
      <c r="AO21" s="96" t="s">
        <v>263</v>
      </c>
      <c r="AP21" s="96">
        <v>150</v>
      </c>
      <c r="AQ21" s="33"/>
      <c r="AR21" s="33">
        <v>0.1</v>
      </c>
      <c r="AS21" s="33"/>
      <c r="AT21" s="33">
        <v>0</v>
      </c>
      <c r="AV21" s="9" t="s">
        <v>271</v>
      </c>
      <c r="AW21" s="113">
        <v>19</v>
      </c>
      <c r="AX21" s="96" t="s">
        <v>263</v>
      </c>
      <c r="AY21" s="115">
        <v>10001</v>
      </c>
      <c r="AZ21" s="111">
        <v>1.5E-3</v>
      </c>
    </row>
    <row r="22" spans="1:52" x14ac:dyDescent="0.25">
      <c r="A22" t="s">
        <v>78</v>
      </c>
      <c r="B22" t="s">
        <v>79</v>
      </c>
      <c r="C22" t="s">
        <v>121</v>
      </c>
      <c r="D22" s="2" t="str">
        <f>Employees[[#This Row],[Employee Name]]&amp;" ("&amp;Employees[[#This Row],[Personal ID]]&amp;")"</f>
        <v>Conners, Jamie (N20S000001237)</v>
      </c>
      <c r="E22" s="90">
        <v>1237</v>
      </c>
      <c r="F22" t="s">
        <v>18</v>
      </c>
      <c r="G22" t="s">
        <v>89</v>
      </c>
      <c r="L22" t="s">
        <v>263</v>
      </c>
      <c r="M22" t="s">
        <v>114</v>
      </c>
      <c r="N22" s="1">
        <v>10001</v>
      </c>
      <c r="O22" s="1">
        <v>20000.990000000002</v>
      </c>
      <c r="P22" s="1">
        <v>240</v>
      </c>
      <c r="Q22" s="1"/>
      <c r="R22" s="1">
        <f>VariablePayTable[[#This Row],[Base Amount]]+VariablePayTable[[#This Row],[Premium]]</f>
        <v>240</v>
      </c>
      <c r="T22" s="8" t="s">
        <v>331</v>
      </c>
      <c r="U22" t="s">
        <v>264</v>
      </c>
      <c r="V22">
        <v>15</v>
      </c>
      <c r="AD22" s="54">
        <f t="shared" si="1"/>
        <v>42792</v>
      </c>
      <c r="AE22" s="54">
        <f t="shared" si="2"/>
        <v>42805</v>
      </c>
      <c r="AF22" s="122">
        <f t="shared" si="0"/>
        <v>42825</v>
      </c>
      <c r="AG22" s="54">
        <f>PayPeriods[[#This Row],[End]]+10</f>
        <v>42815</v>
      </c>
      <c r="AM22" s="96" t="s">
        <v>7</v>
      </c>
      <c r="AN22" s="96" t="s">
        <v>270</v>
      </c>
      <c r="AO22" s="96" t="s">
        <v>264</v>
      </c>
      <c r="AP22" s="96">
        <v>116</v>
      </c>
      <c r="AQ22" s="33"/>
      <c r="AR22" s="33">
        <v>0.1</v>
      </c>
      <c r="AS22" s="33"/>
      <c r="AT22" s="33">
        <v>0</v>
      </c>
      <c r="AV22" t="s">
        <v>156</v>
      </c>
      <c r="AW22" s="113">
        <v>20</v>
      </c>
      <c r="AX22" s="96" t="s">
        <v>264</v>
      </c>
      <c r="AY22" s="107">
        <v>10001</v>
      </c>
      <c r="AZ22" s="110">
        <v>4.0000000000000001E-3</v>
      </c>
    </row>
    <row r="23" spans="1:52" x14ac:dyDescent="0.25">
      <c r="A23" t="s">
        <v>339</v>
      </c>
      <c r="B23" t="s">
        <v>340</v>
      </c>
      <c r="C23" t="s">
        <v>116</v>
      </c>
      <c r="D23" s="2" t="str">
        <f>Employees[[#This Row],[Employee Name]]&amp;" ("&amp;Employees[[#This Row],[Personal ID]]&amp;")"</f>
        <v>Coyne, Dale (N20S000011822)</v>
      </c>
      <c r="E23" s="90">
        <v>1822</v>
      </c>
      <c r="F23" t="s">
        <v>20</v>
      </c>
      <c r="G23" t="s">
        <v>257</v>
      </c>
      <c r="L23" t="s">
        <v>263</v>
      </c>
      <c r="M23" t="s">
        <v>114</v>
      </c>
      <c r="N23" s="1">
        <v>20001</v>
      </c>
      <c r="O23" s="1">
        <v>1000000.99</v>
      </c>
      <c r="P23" s="1">
        <v>240</v>
      </c>
      <c r="Q23" s="1"/>
      <c r="R23" s="1">
        <f>VariablePayTable[[#This Row],[Base Amount]]+VariablePayTable[[#This Row],[Premium]]</f>
        <v>240</v>
      </c>
      <c r="T23" s="8" t="s">
        <v>156</v>
      </c>
      <c r="U23" s="28" t="s">
        <v>263</v>
      </c>
      <c r="V23">
        <v>15</v>
      </c>
      <c r="AD23" s="54">
        <f t="shared" si="1"/>
        <v>42806</v>
      </c>
      <c r="AE23" s="54">
        <f t="shared" si="2"/>
        <v>42819</v>
      </c>
      <c r="AF23" s="122">
        <f>AF22+13</f>
        <v>42838</v>
      </c>
      <c r="AG23" s="54">
        <f>PayPeriods[[#This Row],[End]]+10</f>
        <v>42829</v>
      </c>
      <c r="AM23" s="9" t="s">
        <v>6</v>
      </c>
      <c r="AN23" t="s">
        <v>262</v>
      </c>
      <c r="AO23" s="99" t="s">
        <v>264</v>
      </c>
      <c r="AP23" s="99">
        <v>84</v>
      </c>
      <c r="AQ23" s="99"/>
      <c r="AR23" s="99">
        <v>0</v>
      </c>
      <c r="AS23" s="102"/>
      <c r="AT23" s="33">
        <v>0</v>
      </c>
      <c r="AV23" t="s">
        <v>155</v>
      </c>
      <c r="AW23" s="113">
        <v>21</v>
      </c>
      <c r="AX23" s="96" t="s">
        <v>264</v>
      </c>
      <c r="AY23" s="107">
        <v>10001</v>
      </c>
      <c r="AZ23" s="111">
        <v>2E-3</v>
      </c>
    </row>
    <row r="24" spans="1:52" x14ac:dyDescent="0.25">
      <c r="A24" t="s">
        <v>46</v>
      </c>
      <c r="B24" t="s">
        <v>47</v>
      </c>
      <c r="C24" t="s">
        <v>118</v>
      </c>
      <c r="D24" s="2" t="str">
        <f>Employees[[#This Row],[Employee Name]]&amp;" ("&amp;Employees[[#This Row],[Personal ID]]&amp;")"</f>
        <v>Daley, Weldon (N20S000001207)</v>
      </c>
      <c r="E24" s="90">
        <v>1207</v>
      </c>
      <c r="F24" t="s">
        <v>72</v>
      </c>
      <c r="G24" t="s">
        <v>89</v>
      </c>
      <c r="L24" t="s">
        <v>263</v>
      </c>
      <c r="M24" t="s">
        <v>270</v>
      </c>
      <c r="N24" s="1">
        <v>0</v>
      </c>
      <c r="O24" s="1">
        <v>10000.99</v>
      </c>
      <c r="P24" s="1">
        <v>210</v>
      </c>
      <c r="Q24" s="1"/>
      <c r="R24" s="1">
        <f>VariablePayTable[[#This Row],[Base Amount]]+VariablePayTable[[#This Row],[Premium]]</f>
        <v>210</v>
      </c>
      <c r="T24" s="8" t="s">
        <v>155</v>
      </c>
      <c r="U24" s="28" t="s">
        <v>263</v>
      </c>
      <c r="V24">
        <v>35</v>
      </c>
      <c r="AD24" s="54">
        <f t="shared" si="1"/>
        <v>42820</v>
      </c>
      <c r="AE24" s="54">
        <f t="shared" si="2"/>
        <v>42833</v>
      </c>
      <c r="AF24" s="122">
        <f>AF23+14+1</f>
        <v>42853</v>
      </c>
      <c r="AG24" s="54">
        <f>PayPeriods[[#This Row],[End]]+10</f>
        <v>42843</v>
      </c>
      <c r="AM24" s="9" t="s">
        <v>6</v>
      </c>
      <c r="AN24" t="s">
        <v>262</v>
      </c>
      <c r="AO24" s="99" t="s">
        <v>263</v>
      </c>
      <c r="AP24" s="99">
        <v>84</v>
      </c>
      <c r="AQ24" s="99"/>
      <c r="AR24" s="99">
        <v>0</v>
      </c>
      <c r="AS24" s="102"/>
      <c r="AT24" s="33">
        <v>0</v>
      </c>
      <c r="AV24" s="10" t="s">
        <v>271</v>
      </c>
      <c r="AW24" s="113">
        <v>22</v>
      </c>
      <c r="AX24" s="28" t="s">
        <v>264</v>
      </c>
      <c r="AY24" s="114">
        <v>10001</v>
      </c>
      <c r="AZ24" s="110">
        <v>1.5E-3</v>
      </c>
    </row>
    <row r="25" spans="1:52" x14ac:dyDescent="0.25">
      <c r="A25" t="s">
        <v>358</v>
      </c>
      <c r="B25" t="s">
        <v>359</v>
      </c>
      <c r="C25" t="s">
        <v>360</v>
      </c>
      <c r="D25" s="2" t="str">
        <f>Employees[[#This Row],[Employee Name]]&amp;" ("&amp;Employees[[#This Row],[Personal ID]]&amp;")"</f>
        <v>Daub Turnbull, Mike (N20S000001849)</v>
      </c>
      <c r="E25" s="90">
        <v>1849</v>
      </c>
      <c r="F25" t="s">
        <v>259</v>
      </c>
      <c r="G25" t="s">
        <v>89</v>
      </c>
      <c r="L25" t="s">
        <v>263</v>
      </c>
      <c r="M25" t="s">
        <v>270</v>
      </c>
      <c r="N25" s="1">
        <v>10001</v>
      </c>
      <c r="O25" s="1">
        <v>20000.990000000002</v>
      </c>
      <c r="P25" s="1">
        <v>225</v>
      </c>
      <c r="Q25" s="1"/>
      <c r="R25" s="1">
        <f>VariablePayTable[[#This Row],[Base Amount]]+VariablePayTable[[#This Row],[Premium]]</f>
        <v>225</v>
      </c>
      <c r="T25" s="8" t="s">
        <v>156</v>
      </c>
      <c r="U25" t="s">
        <v>264</v>
      </c>
      <c r="V25">
        <v>46</v>
      </c>
      <c r="AD25" s="54">
        <f t="shared" si="1"/>
        <v>42834</v>
      </c>
      <c r="AE25" s="54">
        <f t="shared" si="2"/>
        <v>42847</v>
      </c>
      <c r="AF25" s="122">
        <f t="shared" si="0"/>
        <v>42867</v>
      </c>
      <c r="AG25" s="54">
        <f>PayPeriods[[#This Row],[End]]+10</f>
        <v>42857</v>
      </c>
      <c r="AM25" s="9" t="s">
        <v>6</v>
      </c>
      <c r="AN25" t="s">
        <v>266</v>
      </c>
      <c r="AO25" s="99" t="s">
        <v>264</v>
      </c>
      <c r="AP25" s="99">
        <v>84</v>
      </c>
      <c r="AQ25" s="99"/>
      <c r="AR25" s="99">
        <v>0</v>
      </c>
      <c r="AS25" s="102"/>
      <c r="AT25" s="33">
        <v>0</v>
      </c>
      <c r="AV25" t="s">
        <v>266</v>
      </c>
      <c r="AW25" s="113">
        <v>23</v>
      </c>
      <c r="AX25" t="s">
        <v>264</v>
      </c>
      <c r="AY25" s="107">
        <v>20001</v>
      </c>
      <c r="AZ25" s="111">
        <v>3.15E-3</v>
      </c>
    </row>
    <row r="26" spans="1:52" x14ac:dyDescent="0.25">
      <c r="A26" t="s">
        <v>361</v>
      </c>
      <c r="B26" t="s">
        <v>362</v>
      </c>
      <c r="C26" t="s">
        <v>334</v>
      </c>
      <c r="D26" s="2" t="str">
        <f>Employees[[#This Row],[Employee Name]]&amp;" ("&amp;Employees[[#This Row],[Personal ID]]&amp;")"</f>
        <v>Davies, Shaun (N20S000001891)</v>
      </c>
      <c r="E26" s="90">
        <v>1891</v>
      </c>
      <c r="F26" t="s">
        <v>259</v>
      </c>
      <c r="G26" t="s">
        <v>89</v>
      </c>
      <c r="L26" t="s">
        <v>263</v>
      </c>
      <c r="M26" t="s">
        <v>270</v>
      </c>
      <c r="N26" s="1">
        <v>20001</v>
      </c>
      <c r="O26" s="1">
        <v>1000000.99</v>
      </c>
      <c r="P26" s="1">
        <v>225</v>
      </c>
      <c r="Q26" s="1"/>
      <c r="R26" s="1">
        <f>VariablePayTable[[#This Row],[Base Amount]]+VariablePayTable[[#This Row],[Premium]]</f>
        <v>225</v>
      </c>
      <c r="T26" t="s">
        <v>155</v>
      </c>
      <c r="U26" s="28" t="s">
        <v>264</v>
      </c>
      <c r="V26" s="28">
        <v>35</v>
      </c>
      <c r="AD26" s="54">
        <f t="shared" si="1"/>
        <v>42848</v>
      </c>
      <c r="AE26" s="54">
        <f t="shared" si="2"/>
        <v>42861</v>
      </c>
      <c r="AF26" s="122">
        <f t="shared" si="0"/>
        <v>42881</v>
      </c>
      <c r="AG26" s="54">
        <f>PayPeriods[[#This Row],[End]]+10</f>
        <v>42871</v>
      </c>
      <c r="AM26" s="9" t="s">
        <v>6</v>
      </c>
      <c r="AN26" t="s">
        <v>266</v>
      </c>
      <c r="AO26" s="99" t="s">
        <v>263</v>
      </c>
      <c r="AP26" s="99">
        <v>84</v>
      </c>
      <c r="AQ26" s="99"/>
      <c r="AR26" s="99">
        <v>0</v>
      </c>
      <c r="AS26" s="102"/>
      <c r="AT26" s="33">
        <v>0</v>
      </c>
      <c r="AV26" t="s">
        <v>266</v>
      </c>
      <c r="AW26" s="113">
        <v>24</v>
      </c>
      <c r="AX26" t="s">
        <v>263</v>
      </c>
      <c r="AY26" s="107">
        <v>20001</v>
      </c>
      <c r="AZ26" s="111">
        <v>4.15E-3</v>
      </c>
    </row>
    <row r="27" spans="1:52" x14ac:dyDescent="0.25">
      <c r="A27" t="s">
        <v>164</v>
      </c>
      <c r="B27" t="s">
        <v>34</v>
      </c>
      <c r="C27" t="s">
        <v>118</v>
      </c>
      <c r="D27" s="2" t="str">
        <f>Employees[[#This Row],[Employee Name]]&amp;" ("&amp;Employees[[#This Row],[Personal ID]]&amp;")"</f>
        <v>Delaney, Alex (N20S000001065)</v>
      </c>
      <c r="E27" s="90">
        <v>1065</v>
      </c>
      <c r="F27" t="s">
        <v>17</v>
      </c>
      <c r="G27" t="s">
        <v>89</v>
      </c>
      <c r="L27" t="s">
        <v>264</v>
      </c>
      <c r="M27" t="s">
        <v>117</v>
      </c>
      <c r="N27" s="1">
        <v>0</v>
      </c>
      <c r="O27" s="1">
        <v>10000.99</v>
      </c>
      <c r="P27" s="1">
        <v>285</v>
      </c>
      <c r="Q27" s="1"/>
      <c r="R27" s="1">
        <f>VariablePayTable[[#This Row],[Base Amount]]+VariablePayTable[[#This Row],[Premium]]</f>
        <v>285</v>
      </c>
      <c r="T27" t="s">
        <v>266</v>
      </c>
      <c r="U27" s="28" t="s">
        <v>263</v>
      </c>
      <c r="V27" s="28">
        <v>16</v>
      </c>
      <c r="AD27" s="54">
        <f t="shared" si="1"/>
        <v>42862</v>
      </c>
      <c r="AE27" s="54">
        <f t="shared" si="2"/>
        <v>42875</v>
      </c>
      <c r="AF27" s="122">
        <f t="shared" si="0"/>
        <v>42895</v>
      </c>
      <c r="AG27" s="54">
        <f>PayPeriods[[#This Row],[End]]+10</f>
        <v>42885</v>
      </c>
      <c r="AM27" s="9" t="s">
        <v>6</v>
      </c>
      <c r="AN27" s="99" t="s">
        <v>117</v>
      </c>
      <c r="AO27" s="99" t="s">
        <v>264</v>
      </c>
      <c r="AP27" s="99">
        <v>84</v>
      </c>
      <c r="AQ27" s="99"/>
      <c r="AR27" s="99">
        <v>0</v>
      </c>
      <c r="AS27" s="102"/>
      <c r="AT27" s="33">
        <v>0</v>
      </c>
      <c r="AV27" t="s">
        <v>262</v>
      </c>
      <c r="AW27" s="113">
        <v>25</v>
      </c>
      <c r="AX27" s="96" t="s">
        <v>264</v>
      </c>
      <c r="AY27" s="107">
        <v>20001</v>
      </c>
      <c r="AZ27" s="111">
        <v>1.9E-3</v>
      </c>
    </row>
    <row r="28" spans="1:52" x14ac:dyDescent="0.25">
      <c r="A28" t="s">
        <v>363</v>
      </c>
      <c r="B28" t="s">
        <v>341</v>
      </c>
      <c r="C28" t="s">
        <v>116</v>
      </c>
      <c r="D28" s="2" t="str">
        <f>Employees[[#This Row],[Employee Name]]&amp;" ("&amp;Employees[[#This Row],[Personal ID]]&amp;")"</f>
        <v>Diggins, Casey (N20S000001879)</v>
      </c>
      <c r="E28" s="90">
        <v>1879</v>
      </c>
      <c r="F28" t="s">
        <v>259</v>
      </c>
      <c r="G28" t="s">
        <v>89</v>
      </c>
      <c r="L28" t="s">
        <v>264</v>
      </c>
      <c r="M28" t="s">
        <v>117</v>
      </c>
      <c r="N28" s="1">
        <v>10001</v>
      </c>
      <c r="O28" s="1">
        <v>20000.990000000002</v>
      </c>
      <c r="P28" s="1">
        <v>335</v>
      </c>
      <c r="Q28" s="1"/>
      <c r="R28" s="1">
        <f>VariablePayTable[[#This Row],[Base Amount]]+VariablePayTable[[#This Row],[Premium]]</f>
        <v>335</v>
      </c>
      <c r="T28" t="s">
        <v>266</v>
      </c>
      <c r="U28" s="28" t="s">
        <v>264</v>
      </c>
      <c r="V28" s="28">
        <v>16</v>
      </c>
      <c r="AD28" s="54">
        <f t="shared" si="1"/>
        <v>42876</v>
      </c>
      <c r="AE28" s="54">
        <f t="shared" si="2"/>
        <v>42889</v>
      </c>
      <c r="AF28" s="122">
        <f t="shared" si="0"/>
        <v>42909</v>
      </c>
      <c r="AG28" s="54">
        <f>PayPeriods[[#This Row],[End]]+10</f>
        <v>42899</v>
      </c>
      <c r="AM28" s="9" t="s">
        <v>6</v>
      </c>
      <c r="AN28" s="99" t="s">
        <v>117</v>
      </c>
      <c r="AO28" s="99" t="s">
        <v>263</v>
      </c>
      <c r="AP28" s="99">
        <v>84</v>
      </c>
      <c r="AQ28" s="99"/>
      <c r="AR28" s="99">
        <v>0</v>
      </c>
      <c r="AS28" s="102"/>
      <c r="AT28" s="33">
        <v>0</v>
      </c>
      <c r="AV28" t="s">
        <v>262</v>
      </c>
      <c r="AW28" s="113">
        <v>26</v>
      </c>
      <c r="AX28" s="96" t="s">
        <v>263</v>
      </c>
      <c r="AY28" s="107">
        <v>20001</v>
      </c>
      <c r="AZ28" s="111">
        <v>2.8999999999999998E-3</v>
      </c>
    </row>
    <row r="29" spans="1:52" x14ac:dyDescent="0.25">
      <c r="A29" t="s">
        <v>54</v>
      </c>
      <c r="B29" t="s">
        <v>55</v>
      </c>
      <c r="C29" t="s">
        <v>117</v>
      </c>
      <c r="D29" s="2" t="str">
        <f>Employees[[#This Row],[Employee Name]]&amp;" ("&amp;Employees[[#This Row],[Personal ID]]&amp;")"</f>
        <v>Dumont, Gary (N20S000001201)</v>
      </c>
      <c r="E29" s="90">
        <v>1201</v>
      </c>
      <c r="F29" t="s">
        <v>260</v>
      </c>
      <c r="G29" t="s">
        <v>89</v>
      </c>
      <c r="L29" t="s">
        <v>264</v>
      </c>
      <c r="M29" t="s">
        <v>117</v>
      </c>
      <c r="N29" s="1">
        <v>20001</v>
      </c>
      <c r="O29" s="1">
        <v>1000000.99</v>
      </c>
      <c r="P29" s="1">
        <v>335</v>
      </c>
      <c r="Q29" s="1"/>
      <c r="R29" s="1">
        <f>VariablePayTable[[#This Row],[Base Amount]]+VariablePayTable[[#This Row],[Premium]]</f>
        <v>335</v>
      </c>
      <c r="T29" t="s">
        <v>262</v>
      </c>
      <c r="U29" s="28" t="s">
        <v>263</v>
      </c>
      <c r="V29" s="28">
        <v>15</v>
      </c>
      <c r="AD29" s="54">
        <f t="shared" si="1"/>
        <v>42890</v>
      </c>
      <c r="AE29" s="54">
        <f t="shared" si="2"/>
        <v>42903</v>
      </c>
      <c r="AF29" s="122">
        <f t="shared" si="0"/>
        <v>42923</v>
      </c>
      <c r="AG29" s="54">
        <f>PayPeriods[[#This Row],[End]]+10</f>
        <v>42913</v>
      </c>
      <c r="AM29" s="9" t="s">
        <v>6</v>
      </c>
      <c r="AN29" s="99" t="s">
        <v>118</v>
      </c>
      <c r="AO29" s="99" t="s">
        <v>264</v>
      </c>
      <c r="AP29" s="99">
        <v>84</v>
      </c>
      <c r="AQ29" s="99"/>
      <c r="AR29" s="99">
        <v>0</v>
      </c>
      <c r="AS29" s="102"/>
      <c r="AT29" s="33">
        <v>0</v>
      </c>
    </row>
    <row r="30" spans="1:52" x14ac:dyDescent="0.25">
      <c r="A30" t="s">
        <v>302</v>
      </c>
      <c r="B30" t="s">
        <v>303</v>
      </c>
      <c r="C30" t="s">
        <v>116</v>
      </c>
      <c r="D30" s="2" t="str">
        <f>Employees[[#This Row],[Employee Name]]&amp;" ("&amp;Employees[[#This Row],[Personal ID]]&amp;")"</f>
        <v>Dzikowski, Evan (N20S000011490)</v>
      </c>
      <c r="E30" s="90">
        <v>1490</v>
      </c>
      <c r="F30" t="s">
        <v>261</v>
      </c>
      <c r="G30" t="s">
        <v>257</v>
      </c>
      <c r="L30" t="s">
        <v>264</v>
      </c>
      <c r="M30" t="s">
        <v>118</v>
      </c>
      <c r="N30" s="1">
        <v>0</v>
      </c>
      <c r="O30" s="1">
        <v>10000.99</v>
      </c>
      <c r="P30" s="1">
        <v>265</v>
      </c>
      <c r="Q30" s="1"/>
      <c r="R30" s="1">
        <f>VariablePayTable[[#This Row],[Base Amount]]+VariablePayTable[[#This Row],[Premium]]</f>
        <v>265</v>
      </c>
      <c r="T30" t="s">
        <v>262</v>
      </c>
      <c r="U30" s="28" t="s">
        <v>264</v>
      </c>
      <c r="V30" s="28">
        <v>15</v>
      </c>
      <c r="AD30" s="54">
        <f t="shared" si="1"/>
        <v>42904</v>
      </c>
      <c r="AE30" s="54">
        <f t="shared" si="2"/>
        <v>42917</v>
      </c>
      <c r="AF30" s="122">
        <f t="shared" si="0"/>
        <v>42937</v>
      </c>
      <c r="AG30" s="54">
        <f>PayPeriods[[#This Row],[End]]+10</f>
        <v>42927</v>
      </c>
      <c r="AM30" s="9" t="s">
        <v>6</v>
      </c>
      <c r="AN30" s="99" t="s">
        <v>118</v>
      </c>
      <c r="AO30" s="99" t="s">
        <v>263</v>
      </c>
      <c r="AP30" s="99">
        <v>84</v>
      </c>
      <c r="AQ30" s="99"/>
      <c r="AR30" s="99">
        <v>0</v>
      </c>
      <c r="AS30" s="102"/>
      <c r="AT30" s="33">
        <v>0</v>
      </c>
    </row>
    <row r="31" spans="1:52" x14ac:dyDescent="0.25">
      <c r="A31" t="s">
        <v>237</v>
      </c>
      <c r="B31" t="s">
        <v>33</v>
      </c>
      <c r="C31" t="s">
        <v>121</v>
      </c>
      <c r="D31" s="2" t="str">
        <f>Employees[[#This Row],[Employee Name]]&amp;" ("&amp;Employees[[#This Row],[Personal ID]]&amp;")"</f>
        <v>Eade, Thomas (N20S000001068)</v>
      </c>
      <c r="E31" s="90">
        <v>1068</v>
      </c>
      <c r="F31" t="s">
        <v>17</v>
      </c>
      <c r="G31" t="s">
        <v>89</v>
      </c>
      <c r="L31" t="s">
        <v>264</v>
      </c>
      <c r="M31" t="s">
        <v>118</v>
      </c>
      <c r="N31" s="1">
        <v>10001</v>
      </c>
      <c r="O31" s="1">
        <v>20000.990000000002</v>
      </c>
      <c r="P31" s="1">
        <v>315</v>
      </c>
      <c r="Q31" s="1"/>
      <c r="R31" s="1">
        <f>VariablePayTable[[#This Row],[Base Amount]]+VariablePayTable[[#This Row],[Premium]]</f>
        <v>315</v>
      </c>
      <c r="AD31" s="54">
        <f t="shared" si="1"/>
        <v>42918</v>
      </c>
      <c r="AE31" s="54">
        <f t="shared" si="2"/>
        <v>42931</v>
      </c>
      <c r="AF31" s="122">
        <f t="shared" si="0"/>
        <v>42951</v>
      </c>
      <c r="AG31" s="54">
        <f>PayPeriods[[#This Row],[End]]+10</f>
        <v>42941</v>
      </c>
      <c r="AM31" s="9" t="s">
        <v>6</v>
      </c>
      <c r="AN31" s="99" t="s">
        <v>119</v>
      </c>
      <c r="AO31" s="99" t="s">
        <v>264</v>
      </c>
      <c r="AP31" s="99">
        <v>84</v>
      </c>
      <c r="AQ31" s="99"/>
      <c r="AR31" s="99">
        <v>0</v>
      </c>
      <c r="AS31" s="102"/>
      <c r="AT31" s="33">
        <v>0</v>
      </c>
    </row>
    <row r="32" spans="1:52" x14ac:dyDescent="0.25">
      <c r="A32" t="s">
        <v>364</v>
      </c>
      <c r="B32" t="s">
        <v>365</v>
      </c>
      <c r="C32" t="s">
        <v>116</v>
      </c>
      <c r="D32" s="2" t="str">
        <f>Employees[[#This Row],[Employee Name]]&amp;" ("&amp;Employees[[#This Row],[Personal ID]]&amp;")"</f>
        <v>Flatla, Matthew (N20S000001886)</v>
      </c>
      <c r="E32" s="90">
        <v>1886</v>
      </c>
      <c r="F32" t="s">
        <v>259</v>
      </c>
      <c r="G32" t="s">
        <v>89</v>
      </c>
      <c r="L32" t="s">
        <v>264</v>
      </c>
      <c r="M32" t="s">
        <v>118</v>
      </c>
      <c r="N32" s="1">
        <v>20001</v>
      </c>
      <c r="O32" s="1">
        <v>1000000.99</v>
      </c>
      <c r="P32" s="1">
        <v>315</v>
      </c>
      <c r="Q32" s="1"/>
      <c r="R32" s="1">
        <f>VariablePayTable[[#This Row],[Base Amount]]+VariablePayTable[[#This Row],[Premium]]</f>
        <v>315</v>
      </c>
      <c r="AD32" s="54">
        <f t="shared" si="1"/>
        <v>42932</v>
      </c>
      <c r="AE32" s="54">
        <f t="shared" si="2"/>
        <v>42945</v>
      </c>
      <c r="AF32" s="122">
        <f t="shared" si="0"/>
        <v>42965</v>
      </c>
      <c r="AG32" s="54">
        <f>PayPeriods[[#This Row],[End]]+10</f>
        <v>42955</v>
      </c>
      <c r="AM32" s="9" t="s">
        <v>6</v>
      </c>
      <c r="AN32" s="99" t="s">
        <v>119</v>
      </c>
      <c r="AO32" s="99" t="s">
        <v>263</v>
      </c>
      <c r="AP32" s="99">
        <v>84</v>
      </c>
      <c r="AQ32" s="99"/>
      <c r="AR32" s="99">
        <v>0</v>
      </c>
      <c r="AS32" s="102"/>
      <c r="AT32" s="33">
        <v>0</v>
      </c>
    </row>
    <row r="33" spans="1:46" x14ac:dyDescent="0.25">
      <c r="A33" t="s">
        <v>342</v>
      </c>
      <c r="B33" t="s">
        <v>343</v>
      </c>
      <c r="C33" t="s">
        <v>116</v>
      </c>
      <c r="D33" s="2" t="str">
        <f>Employees[[#This Row],[Employee Name]]&amp;" ("&amp;Employees[[#This Row],[Personal ID]]&amp;")"</f>
        <v>Forsyth, Brad (N20S000011883)</v>
      </c>
      <c r="E33" s="90">
        <v>1883</v>
      </c>
      <c r="F33" t="s">
        <v>20</v>
      </c>
      <c r="G33" t="s">
        <v>257</v>
      </c>
      <c r="L33" t="s">
        <v>264</v>
      </c>
      <c r="M33" t="s">
        <v>119</v>
      </c>
      <c r="N33" s="1">
        <v>0</v>
      </c>
      <c r="O33" s="1">
        <v>10000.99</v>
      </c>
      <c r="P33" s="1">
        <v>245</v>
      </c>
      <c r="Q33" s="1"/>
      <c r="R33" s="1">
        <f>VariablePayTable[[#This Row],[Base Amount]]+VariablePayTable[[#This Row],[Premium]]</f>
        <v>245</v>
      </c>
      <c r="AD33" s="54">
        <f t="shared" si="1"/>
        <v>42946</v>
      </c>
      <c r="AE33" s="54">
        <f t="shared" si="2"/>
        <v>42959</v>
      </c>
      <c r="AF33" s="122">
        <f t="shared" si="0"/>
        <v>42979</v>
      </c>
      <c r="AG33" s="54">
        <f>PayPeriods[[#This Row],[End]]+10</f>
        <v>42969</v>
      </c>
      <c r="AM33" s="9" t="s">
        <v>6</v>
      </c>
      <c r="AN33" s="99" t="s">
        <v>120</v>
      </c>
      <c r="AO33" s="99" t="s">
        <v>264</v>
      </c>
      <c r="AP33" s="99">
        <v>84</v>
      </c>
      <c r="AQ33" s="99"/>
      <c r="AR33" s="99">
        <v>0</v>
      </c>
      <c r="AS33" s="102"/>
      <c r="AT33" s="33">
        <v>0</v>
      </c>
    </row>
    <row r="34" spans="1:46" x14ac:dyDescent="0.25">
      <c r="A34" t="s">
        <v>165</v>
      </c>
      <c r="B34" t="s">
        <v>166</v>
      </c>
      <c r="C34" t="s">
        <v>183</v>
      </c>
      <c r="D34" s="2" t="str">
        <f>Employees[[#This Row],[Employee Name]]&amp;" ("&amp;Employees[[#This Row],[Personal ID]]&amp;")"</f>
        <v>Fortin, Steven (N20S000001783)</v>
      </c>
      <c r="E34" s="90">
        <v>1783</v>
      </c>
      <c r="F34" t="s">
        <v>259</v>
      </c>
      <c r="G34" t="s">
        <v>89</v>
      </c>
      <c r="L34" t="s">
        <v>264</v>
      </c>
      <c r="M34" t="s">
        <v>119</v>
      </c>
      <c r="N34" s="1">
        <v>10001</v>
      </c>
      <c r="O34" s="1">
        <v>20000.990000000002</v>
      </c>
      <c r="P34" s="1">
        <v>295</v>
      </c>
      <c r="Q34" s="1"/>
      <c r="R34" s="1">
        <f>VariablePayTable[[#This Row],[Base Amount]]+VariablePayTable[[#This Row],[Premium]]</f>
        <v>295</v>
      </c>
      <c r="AD34" s="54">
        <f t="shared" si="1"/>
        <v>42960</v>
      </c>
      <c r="AE34" s="54">
        <f t="shared" si="2"/>
        <v>42973</v>
      </c>
      <c r="AF34" s="122">
        <f t="shared" si="0"/>
        <v>42993</v>
      </c>
      <c r="AG34" s="54">
        <f>PayPeriods[[#This Row],[End]]+10</f>
        <v>42983</v>
      </c>
      <c r="AM34" s="9" t="s">
        <v>6</v>
      </c>
      <c r="AN34" s="99" t="s">
        <v>120</v>
      </c>
      <c r="AO34" s="99" t="s">
        <v>263</v>
      </c>
      <c r="AP34" s="99">
        <v>84</v>
      </c>
      <c r="AQ34" s="99"/>
      <c r="AR34" s="99">
        <v>0</v>
      </c>
      <c r="AS34" s="102"/>
      <c r="AT34" s="33">
        <v>0</v>
      </c>
    </row>
    <row r="35" spans="1:46" x14ac:dyDescent="0.25">
      <c r="A35" t="s">
        <v>60</v>
      </c>
      <c r="B35" t="s">
        <v>199</v>
      </c>
      <c r="C35" t="s">
        <v>118</v>
      </c>
      <c r="D35" s="2" t="str">
        <f>Employees[[#This Row],[Employee Name]]&amp;" ("&amp;Employees[[#This Row],[Personal ID]]&amp;")"</f>
        <v>Froude, Steve (N20S000031155)</v>
      </c>
      <c r="E35" s="90">
        <v>1155</v>
      </c>
      <c r="F35" t="s">
        <v>18</v>
      </c>
      <c r="G35" t="s">
        <v>89</v>
      </c>
      <c r="L35" t="s">
        <v>264</v>
      </c>
      <c r="M35" t="s">
        <v>119</v>
      </c>
      <c r="N35" s="1">
        <v>20001</v>
      </c>
      <c r="O35" s="1">
        <v>1000000.99</v>
      </c>
      <c r="P35" s="1">
        <v>295</v>
      </c>
      <c r="Q35" s="1"/>
      <c r="R35" s="1">
        <f>VariablePayTable[[#This Row],[Base Amount]]+VariablePayTable[[#This Row],[Premium]]</f>
        <v>295</v>
      </c>
      <c r="AD35" s="54">
        <f t="shared" si="1"/>
        <v>42974</v>
      </c>
      <c r="AE35" s="54">
        <f t="shared" si="2"/>
        <v>42987</v>
      </c>
      <c r="AF35" s="122">
        <f t="shared" si="0"/>
        <v>43007</v>
      </c>
      <c r="AG35" s="54">
        <f>PayPeriods[[#This Row],[End]]+10</f>
        <v>42997</v>
      </c>
      <c r="AM35" s="9" t="s">
        <v>6</v>
      </c>
      <c r="AN35" s="99" t="s">
        <v>121</v>
      </c>
      <c r="AO35" s="99" t="s">
        <v>264</v>
      </c>
      <c r="AP35" s="99">
        <v>84</v>
      </c>
      <c r="AQ35" s="99"/>
      <c r="AR35" s="99">
        <v>0</v>
      </c>
      <c r="AS35" s="102"/>
      <c r="AT35" s="33">
        <v>0</v>
      </c>
    </row>
    <row r="36" spans="1:46" x14ac:dyDescent="0.25">
      <c r="A36" t="s">
        <v>337</v>
      </c>
      <c r="B36" t="s">
        <v>338</v>
      </c>
      <c r="C36" t="s">
        <v>183</v>
      </c>
      <c r="D36" s="2" t="str">
        <f>Employees[[#This Row],[Employee Name]]&amp;" ("&amp;Employees[[#This Row],[Personal ID]]&amp;")"</f>
        <v>Gardiner, Tyler (N20S000001877)</v>
      </c>
      <c r="E36" s="90">
        <v>1877</v>
      </c>
      <c r="F36" t="s">
        <v>259</v>
      </c>
      <c r="G36" t="s">
        <v>89</v>
      </c>
      <c r="L36" t="s">
        <v>264</v>
      </c>
      <c r="M36" t="s">
        <v>120</v>
      </c>
      <c r="N36" s="1">
        <v>0</v>
      </c>
      <c r="O36" s="1">
        <v>10000.99</v>
      </c>
      <c r="P36" s="1">
        <v>225</v>
      </c>
      <c r="Q36" s="1"/>
      <c r="R36" s="1">
        <f>VariablePayTable[[#This Row],[Base Amount]]+VariablePayTable[[#This Row],[Premium]]</f>
        <v>225</v>
      </c>
      <c r="AD36" s="54">
        <f t="shared" si="1"/>
        <v>42988</v>
      </c>
      <c r="AE36" s="54">
        <f t="shared" si="2"/>
        <v>43001</v>
      </c>
      <c r="AF36" s="122">
        <f t="shared" si="0"/>
        <v>43021</v>
      </c>
      <c r="AG36" s="54">
        <f>PayPeriods[[#This Row],[End]]+10</f>
        <v>43011</v>
      </c>
      <c r="AM36" s="9" t="s">
        <v>6</v>
      </c>
      <c r="AN36" s="99" t="s">
        <v>121</v>
      </c>
      <c r="AO36" s="99" t="s">
        <v>263</v>
      </c>
      <c r="AP36" s="99">
        <v>84</v>
      </c>
      <c r="AQ36" s="99"/>
      <c r="AR36" s="99">
        <v>0</v>
      </c>
      <c r="AS36" s="102"/>
      <c r="AT36" s="33">
        <v>0</v>
      </c>
    </row>
    <row r="37" spans="1:46" x14ac:dyDescent="0.25">
      <c r="A37" t="s">
        <v>242</v>
      </c>
      <c r="B37" t="s">
        <v>40</v>
      </c>
      <c r="C37" t="s">
        <v>121</v>
      </c>
      <c r="D37" s="2" t="str">
        <f>Employees[[#This Row],[Employee Name]]&amp;" ("&amp;Employees[[#This Row],[Personal ID]]&amp;")"</f>
        <v>Gauthier, Gerry (N20S000001095)</v>
      </c>
      <c r="E37" s="90">
        <v>1095</v>
      </c>
      <c r="F37" t="s">
        <v>18</v>
      </c>
      <c r="G37" t="s">
        <v>89</v>
      </c>
      <c r="L37" t="s">
        <v>264</v>
      </c>
      <c r="M37" t="s">
        <v>120</v>
      </c>
      <c r="N37" s="1">
        <v>10001</v>
      </c>
      <c r="O37" s="1">
        <v>20000.990000000002</v>
      </c>
      <c r="P37" s="1">
        <v>255</v>
      </c>
      <c r="Q37" s="1"/>
      <c r="R37" s="1">
        <f>VariablePayTable[[#This Row],[Base Amount]]+VariablePayTable[[#This Row],[Premium]]</f>
        <v>255</v>
      </c>
      <c r="AD37" s="54">
        <f t="shared" ref="AD37:AD44" si="3">AD36+14</f>
        <v>43002</v>
      </c>
      <c r="AE37" s="54">
        <f t="shared" ref="AE37:AE44" si="4">AE36+14</f>
        <v>43015</v>
      </c>
      <c r="AF37" s="122">
        <f t="shared" si="0"/>
        <v>43035</v>
      </c>
      <c r="AG37" s="54">
        <f>PayPeriods[[#This Row],[End]]+10</f>
        <v>43025</v>
      </c>
      <c r="AM37" s="9" t="s">
        <v>6</v>
      </c>
      <c r="AN37" s="99" t="s">
        <v>115</v>
      </c>
      <c r="AO37" s="99" t="s">
        <v>264</v>
      </c>
      <c r="AP37" s="99">
        <v>84</v>
      </c>
      <c r="AQ37" s="99"/>
      <c r="AR37" s="99">
        <v>0</v>
      </c>
      <c r="AS37" s="102"/>
      <c r="AT37" s="33">
        <v>0</v>
      </c>
    </row>
    <row r="38" spans="1:46" x14ac:dyDescent="0.25">
      <c r="A38" t="s">
        <v>141</v>
      </c>
      <c r="B38" t="s">
        <v>142</v>
      </c>
      <c r="C38" t="s">
        <v>115</v>
      </c>
      <c r="D38" s="2" t="str">
        <f>Employees[[#This Row],[Employee Name]]&amp;" ("&amp;Employees[[#This Row],[Personal ID]]&amp;")"</f>
        <v>Gilmore, Carson (N20S000021671)</v>
      </c>
      <c r="E38" s="90">
        <v>1671</v>
      </c>
      <c r="F38" t="s">
        <v>258</v>
      </c>
      <c r="G38" t="s">
        <v>90</v>
      </c>
      <c r="L38" t="s">
        <v>264</v>
      </c>
      <c r="M38" t="s">
        <v>120</v>
      </c>
      <c r="N38" s="1">
        <v>20001</v>
      </c>
      <c r="O38" s="1">
        <v>1000000.99</v>
      </c>
      <c r="P38" s="1">
        <v>255</v>
      </c>
      <c r="Q38" s="1"/>
      <c r="R38" s="1">
        <f>VariablePayTable[[#This Row],[Base Amount]]+VariablePayTable[[#This Row],[Premium]]</f>
        <v>255</v>
      </c>
      <c r="AD38" s="54">
        <f t="shared" si="3"/>
        <v>43016</v>
      </c>
      <c r="AE38" s="54">
        <f t="shared" si="4"/>
        <v>43029</v>
      </c>
      <c r="AF38" s="122">
        <f t="shared" si="0"/>
        <v>43049</v>
      </c>
      <c r="AG38" s="54">
        <f>PayPeriods[[#This Row],[End]]+10</f>
        <v>43039</v>
      </c>
      <c r="AM38" s="9" t="s">
        <v>6</v>
      </c>
      <c r="AN38" s="99" t="s">
        <v>115</v>
      </c>
      <c r="AO38" s="99" t="s">
        <v>263</v>
      </c>
      <c r="AP38" s="99">
        <v>84</v>
      </c>
      <c r="AQ38" s="99"/>
      <c r="AR38" s="99">
        <v>0</v>
      </c>
      <c r="AS38" s="102"/>
      <c r="AT38" s="33">
        <v>0</v>
      </c>
    </row>
    <row r="39" spans="1:46" x14ac:dyDescent="0.25">
      <c r="A39" t="s">
        <v>98</v>
      </c>
      <c r="B39" t="s">
        <v>144</v>
      </c>
      <c r="C39" t="s">
        <v>115</v>
      </c>
      <c r="D39" s="2" t="str">
        <f>Employees[[#This Row],[Employee Name]]&amp;" ("&amp;Employees[[#This Row],[Personal ID]]&amp;")"</f>
        <v>Gonschior, Cory (N20S000011340)</v>
      </c>
      <c r="E39" s="90">
        <v>1340</v>
      </c>
      <c r="F39" t="s">
        <v>261</v>
      </c>
      <c r="G39" t="s">
        <v>257</v>
      </c>
      <c r="L39" t="s">
        <v>264</v>
      </c>
      <c r="M39" t="s">
        <v>121</v>
      </c>
      <c r="N39" s="1">
        <v>0</v>
      </c>
      <c r="O39" s="1">
        <v>10000.99</v>
      </c>
      <c r="P39" s="1">
        <v>215</v>
      </c>
      <c r="Q39" s="1"/>
      <c r="R39" s="1">
        <f>VariablePayTable[[#This Row],[Base Amount]]+VariablePayTable[[#This Row],[Premium]]</f>
        <v>215</v>
      </c>
      <c r="AD39" s="54">
        <f t="shared" si="3"/>
        <v>43030</v>
      </c>
      <c r="AE39" s="54">
        <f t="shared" si="4"/>
        <v>43043</v>
      </c>
      <c r="AF39" s="122">
        <f t="shared" si="0"/>
        <v>43063</v>
      </c>
      <c r="AG39" s="54">
        <f>PayPeriods[[#This Row],[End]]+10</f>
        <v>43053</v>
      </c>
      <c r="AM39" s="9" t="s">
        <v>6</v>
      </c>
      <c r="AN39" s="99" t="s">
        <v>114</v>
      </c>
      <c r="AO39" s="99" t="s">
        <v>264</v>
      </c>
      <c r="AP39" s="99">
        <v>84</v>
      </c>
      <c r="AQ39" s="99"/>
      <c r="AR39" s="99">
        <v>0</v>
      </c>
      <c r="AS39" s="102"/>
      <c r="AT39" s="33">
        <v>0</v>
      </c>
    </row>
    <row r="40" spans="1:46" x14ac:dyDescent="0.25">
      <c r="A40" t="s">
        <v>366</v>
      </c>
      <c r="B40" t="s">
        <v>367</v>
      </c>
      <c r="C40" t="s">
        <v>360</v>
      </c>
      <c r="D40" s="2" t="str">
        <f>Employees[[#This Row],[Employee Name]]&amp;" ("&amp;Employees[[#This Row],[Personal ID]]&amp;")"</f>
        <v>Goodyear, Harris (N20S000001889)</v>
      </c>
      <c r="E40" s="90">
        <v>1889</v>
      </c>
      <c r="F40" t="s">
        <v>17</v>
      </c>
      <c r="G40" t="s">
        <v>89</v>
      </c>
      <c r="L40" t="s">
        <v>264</v>
      </c>
      <c r="M40" t="s">
        <v>121</v>
      </c>
      <c r="N40" s="1">
        <v>10001</v>
      </c>
      <c r="O40" s="1">
        <v>20000.990000000002</v>
      </c>
      <c r="P40" s="1">
        <v>245</v>
      </c>
      <c r="Q40" s="1"/>
      <c r="R40" s="1">
        <f>VariablePayTable[[#This Row],[Base Amount]]+VariablePayTable[[#This Row],[Premium]]</f>
        <v>245</v>
      </c>
      <c r="AD40" s="54">
        <f t="shared" si="3"/>
        <v>43044</v>
      </c>
      <c r="AE40" s="54">
        <f t="shared" si="4"/>
        <v>43057</v>
      </c>
      <c r="AF40" s="122">
        <f t="shared" si="0"/>
        <v>43077</v>
      </c>
      <c r="AG40" s="54">
        <f>PayPeriods[[#This Row],[End]]+10</f>
        <v>43067</v>
      </c>
      <c r="AM40" s="9" t="s">
        <v>6</v>
      </c>
      <c r="AN40" s="99" t="s">
        <v>114</v>
      </c>
      <c r="AO40" s="99" t="s">
        <v>263</v>
      </c>
      <c r="AP40" s="99">
        <v>84</v>
      </c>
      <c r="AQ40" s="99"/>
      <c r="AR40" s="99">
        <v>0</v>
      </c>
      <c r="AS40" s="102"/>
      <c r="AT40" s="33">
        <v>0</v>
      </c>
    </row>
    <row r="41" spans="1:46" x14ac:dyDescent="0.25">
      <c r="A41" t="s">
        <v>147</v>
      </c>
      <c r="B41" t="s">
        <v>148</v>
      </c>
      <c r="C41" t="s">
        <v>118</v>
      </c>
      <c r="D41" s="2" t="str">
        <f>Employees[[#This Row],[Employee Name]]&amp;" ("&amp;Employees[[#This Row],[Personal ID]]&amp;")"</f>
        <v>Grant, Dairus (N20S000001169)</v>
      </c>
      <c r="E41" s="90">
        <v>1169</v>
      </c>
      <c r="F41" t="s">
        <v>261</v>
      </c>
      <c r="G41" t="s">
        <v>257</v>
      </c>
      <c r="L41" t="s">
        <v>264</v>
      </c>
      <c r="M41" t="s">
        <v>121</v>
      </c>
      <c r="N41" s="1">
        <v>20001</v>
      </c>
      <c r="O41" s="1">
        <v>1000000.99</v>
      </c>
      <c r="P41" s="1">
        <v>245</v>
      </c>
      <c r="Q41" s="1"/>
      <c r="R41" s="1">
        <f>VariablePayTable[[#This Row],[Base Amount]]+VariablePayTable[[#This Row],[Premium]]</f>
        <v>245</v>
      </c>
      <c r="AD41" s="54">
        <f t="shared" si="3"/>
        <v>43058</v>
      </c>
      <c r="AE41" s="54">
        <f t="shared" si="4"/>
        <v>43071</v>
      </c>
      <c r="AF41" s="122">
        <f t="shared" si="0"/>
        <v>43091</v>
      </c>
      <c r="AG41" s="54">
        <f>PayPeriods[[#This Row],[End]]+10</f>
        <v>43081</v>
      </c>
      <c r="AM41" s="9" t="s">
        <v>6</v>
      </c>
      <c r="AN41" s="96" t="s">
        <v>270</v>
      </c>
      <c r="AO41" s="99" t="s">
        <v>264</v>
      </c>
      <c r="AP41" s="99">
        <v>84</v>
      </c>
      <c r="AQ41" s="99"/>
      <c r="AR41" s="99">
        <v>0</v>
      </c>
      <c r="AS41" s="102"/>
      <c r="AT41" s="33">
        <v>0</v>
      </c>
    </row>
    <row r="42" spans="1:46" x14ac:dyDescent="0.25">
      <c r="A42" t="s">
        <v>136</v>
      </c>
      <c r="B42" t="s">
        <v>137</v>
      </c>
      <c r="C42" t="s">
        <v>266</v>
      </c>
      <c r="D42" s="2" t="str">
        <f>Employees[[#This Row],[Employee Name]]&amp;" ("&amp;Employees[[#This Row],[Personal ID]]&amp;")"</f>
        <v>Grinde, Gabriel (N20S000001612)</v>
      </c>
      <c r="E42" s="90">
        <v>1612</v>
      </c>
      <c r="F42" t="s">
        <v>259</v>
      </c>
      <c r="G42" t="s">
        <v>89</v>
      </c>
      <c r="L42" t="s">
        <v>264</v>
      </c>
      <c r="M42" t="s">
        <v>115</v>
      </c>
      <c r="N42" s="1">
        <v>0</v>
      </c>
      <c r="O42" s="1">
        <v>10000.99</v>
      </c>
      <c r="P42" s="1">
        <v>195</v>
      </c>
      <c r="Q42" s="1"/>
      <c r="R42" s="1">
        <f>VariablePayTable[[#This Row],[Base Amount]]+VariablePayTable[[#This Row],[Premium]]</f>
        <v>195</v>
      </c>
      <c r="AD42" s="54">
        <f t="shared" si="3"/>
        <v>43072</v>
      </c>
      <c r="AE42" s="54">
        <f t="shared" si="4"/>
        <v>43085</v>
      </c>
      <c r="AF42" s="122">
        <f t="shared" si="0"/>
        <v>43105</v>
      </c>
      <c r="AG42" s="54">
        <f>PayPeriods[[#This Row],[End]]+10</f>
        <v>43095</v>
      </c>
      <c r="AM42" s="9" t="s">
        <v>6</v>
      </c>
      <c r="AN42" s="96" t="s">
        <v>270</v>
      </c>
      <c r="AO42" s="99" t="s">
        <v>263</v>
      </c>
      <c r="AP42" s="99">
        <v>84</v>
      </c>
      <c r="AQ42" s="99"/>
      <c r="AR42" s="99">
        <v>0</v>
      </c>
      <c r="AS42" s="102"/>
      <c r="AT42" s="33">
        <v>0</v>
      </c>
    </row>
    <row r="43" spans="1:46" x14ac:dyDescent="0.25">
      <c r="A43" t="s">
        <v>105</v>
      </c>
      <c r="B43" t="s">
        <v>143</v>
      </c>
      <c r="C43" t="s">
        <v>119</v>
      </c>
      <c r="D43" s="2" t="str">
        <f>Employees[[#This Row],[Employee Name]]&amp;" ("&amp;Employees[[#This Row],[Personal ID]]&amp;")"</f>
        <v>Groisman, Mark (N20S000011435)</v>
      </c>
      <c r="E43" s="90">
        <v>1435</v>
      </c>
      <c r="F43" t="s">
        <v>20</v>
      </c>
      <c r="G43" t="s">
        <v>257</v>
      </c>
      <c r="L43" t="s">
        <v>264</v>
      </c>
      <c r="M43" t="s">
        <v>115</v>
      </c>
      <c r="N43" s="1">
        <v>10001</v>
      </c>
      <c r="O43" s="1">
        <v>20000.990000000002</v>
      </c>
      <c r="P43" s="1">
        <v>235</v>
      </c>
      <c r="Q43" s="1"/>
      <c r="R43" s="1">
        <f>VariablePayTable[[#This Row],[Base Amount]]+VariablePayTable[[#This Row],[Premium]]</f>
        <v>235</v>
      </c>
      <c r="AD43" s="54">
        <f t="shared" si="3"/>
        <v>43086</v>
      </c>
      <c r="AE43" s="54">
        <f t="shared" si="4"/>
        <v>43099</v>
      </c>
      <c r="AF43" s="122">
        <f t="shared" si="0"/>
        <v>43119</v>
      </c>
      <c r="AG43" s="54">
        <f>PayPeriods[[#This Row],[End]]+10</f>
        <v>43109</v>
      </c>
      <c r="AM43" s="9" t="s">
        <v>184</v>
      </c>
      <c r="AN43" t="s">
        <v>262</v>
      </c>
      <c r="AO43" s="99" t="s">
        <v>264</v>
      </c>
      <c r="AP43" s="99">
        <v>0</v>
      </c>
      <c r="AQ43" s="99"/>
      <c r="AR43" s="99">
        <v>0.25</v>
      </c>
      <c r="AS43" s="102"/>
      <c r="AT43" s="33">
        <v>0</v>
      </c>
    </row>
    <row r="44" spans="1:46" x14ac:dyDescent="0.25">
      <c r="A44" t="s">
        <v>86</v>
      </c>
      <c r="B44" t="s">
        <v>87</v>
      </c>
      <c r="C44" t="s">
        <v>118</v>
      </c>
      <c r="D44" s="2" t="str">
        <f>Employees[[#This Row],[Employee Name]]&amp;" ("&amp;Employees[[#This Row],[Personal ID]]&amp;")"</f>
        <v>Guenther, Daniel (N20S000001304)</v>
      </c>
      <c r="E44" s="90">
        <v>1304</v>
      </c>
      <c r="F44" t="s">
        <v>17</v>
      </c>
      <c r="G44" t="s">
        <v>89</v>
      </c>
      <c r="L44" t="s">
        <v>264</v>
      </c>
      <c r="M44" t="s">
        <v>115</v>
      </c>
      <c r="N44" s="1">
        <v>20001</v>
      </c>
      <c r="O44" s="1">
        <v>1000000.99</v>
      </c>
      <c r="P44" s="1">
        <v>235</v>
      </c>
      <c r="Q44" s="1"/>
      <c r="R44" s="1">
        <f>VariablePayTable[[#This Row],[Base Amount]]+VariablePayTable[[#This Row],[Premium]]</f>
        <v>235</v>
      </c>
      <c r="AD44" s="54">
        <f t="shared" si="3"/>
        <v>43100</v>
      </c>
      <c r="AE44" s="54">
        <f t="shared" si="4"/>
        <v>43113</v>
      </c>
      <c r="AF44" s="122">
        <f t="shared" si="0"/>
        <v>43133</v>
      </c>
      <c r="AG44" s="54">
        <f>PayPeriods[[#This Row],[End]]+10</f>
        <v>43123</v>
      </c>
      <c r="AM44" s="9" t="s">
        <v>184</v>
      </c>
      <c r="AN44" t="s">
        <v>262</v>
      </c>
      <c r="AO44" s="99" t="s">
        <v>263</v>
      </c>
      <c r="AP44" s="99">
        <v>0</v>
      </c>
      <c r="AQ44" s="99"/>
      <c r="AR44" s="99">
        <v>0.25</v>
      </c>
      <c r="AS44" s="102"/>
      <c r="AT44" s="33">
        <v>0</v>
      </c>
    </row>
    <row r="45" spans="1:46" x14ac:dyDescent="0.25">
      <c r="A45" t="s">
        <v>332</v>
      </c>
      <c r="B45" t="s">
        <v>333</v>
      </c>
      <c r="C45" t="s">
        <v>334</v>
      </c>
      <c r="D45" s="2" t="str">
        <f>Employees[[#This Row],[Employee Name]]&amp;" ("&amp;Employees[[#This Row],[Personal ID]]&amp;")"</f>
        <v>Headsman, Karlo (N20S000011875)</v>
      </c>
      <c r="E45" s="90">
        <v>1875</v>
      </c>
      <c r="F45" t="s">
        <v>20</v>
      </c>
      <c r="G45" t="s">
        <v>257</v>
      </c>
      <c r="L45" t="s">
        <v>264</v>
      </c>
      <c r="M45" t="s">
        <v>114</v>
      </c>
      <c r="N45" s="1">
        <v>0</v>
      </c>
      <c r="O45" s="1">
        <v>10000.99</v>
      </c>
      <c r="P45" s="1">
        <v>185</v>
      </c>
      <c r="Q45" s="1"/>
      <c r="R45" s="1">
        <f>VariablePayTable[[#This Row],[Base Amount]]+VariablePayTable[[#This Row],[Premium]]</f>
        <v>185</v>
      </c>
      <c r="S45" s="1"/>
      <c r="AD45" s="54">
        <f>AD44+14</f>
        <v>43114</v>
      </c>
      <c r="AE45" s="54">
        <f>AE44+14</f>
        <v>43127</v>
      </c>
      <c r="AF45" s="122">
        <f>AF44+14</f>
        <v>43147</v>
      </c>
      <c r="AG45" s="54">
        <f>PayPeriods[[#This Row],[End]]+10</f>
        <v>43137</v>
      </c>
      <c r="AM45" s="9" t="s">
        <v>184</v>
      </c>
      <c r="AN45" t="s">
        <v>266</v>
      </c>
      <c r="AO45" s="99" t="s">
        <v>264</v>
      </c>
      <c r="AP45" s="99">
        <v>0</v>
      </c>
      <c r="AQ45" s="99"/>
      <c r="AR45" s="99">
        <v>0.25</v>
      </c>
      <c r="AS45" s="102"/>
      <c r="AT45" s="33">
        <v>0</v>
      </c>
    </row>
    <row r="46" spans="1:46" x14ac:dyDescent="0.25">
      <c r="A46" t="s">
        <v>254</v>
      </c>
      <c r="B46" t="s">
        <v>145</v>
      </c>
      <c r="C46" t="s">
        <v>115</v>
      </c>
      <c r="D46" s="2" t="str">
        <f>Employees[[#This Row],[Employee Name]]&amp;" ("&amp;Employees[[#This Row],[Personal ID]]&amp;")"</f>
        <v>Heinrichs, Chris (N20S000011515)</v>
      </c>
      <c r="E46" s="90">
        <v>1515</v>
      </c>
      <c r="F46" t="s">
        <v>261</v>
      </c>
      <c r="G46" t="s">
        <v>257</v>
      </c>
      <c r="L46" t="s">
        <v>264</v>
      </c>
      <c r="M46" t="s">
        <v>114</v>
      </c>
      <c r="N46" s="1">
        <v>10001</v>
      </c>
      <c r="O46" s="1">
        <v>20000.990000000002</v>
      </c>
      <c r="P46" s="1">
        <v>205</v>
      </c>
      <c r="Q46" s="1"/>
      <c r="R46" s="1">
        <f>VariablePayTable[[#This Row],[Base Amount]]+VariablePayTable[[#This Row],[Premium]]</f>
        <v>205</v>
      </c>
      <c r="S46" s="1"/>
      <c r="AD46" s="54">
        <f t="shared" ref="AD46:AD47" si="5">AD45+14</f>
        <v>43128</v>
      </c>
      <c r="AE46" s="54">
        <f t="shared" ref="AE46:AE47" si="6">AE45+14</f>
        <v>43141</v>
      </c>
      <c r="AF46" s="122">
        <f t="shared" ref="AF46:AF47" si="7">AF45+14</f>
        <v>43161</v>
      </c>
      <c r="AG46" s="54">
        <f>PayPeriods[[#This Row],[End]]+10</f>
        <v>43151</v>
      </c>
      <c r="AM46" s="9" t="s">
        <v>184</v>
      </c>
      <c r="AN46" t="s">
        <v>266</v>
      </c>
      <c r="AO46" s="99" t="s">
        <v>263</v>
      </c>
      <c r="AP46" s="99">
        <v>0</v>
      </c>
      <c r="AQ46" s="99"/>
      <c r="AR46" s="99">
        <v>0.25</v>
      </c>
      <c r="AS46" s="102"/>
      <c r="AT46" s="33">
        <v>0</v>
      </c>
    </row>
    <row r="47" spans="1:46" x14ac:dyDescent="0.25">
      <c r="A47" t="s">
        <v>88</v>
      </c>
      <c r="B47" t="s">
        <v>97</v>
      </c>
      <c r="C47" t="s">
        <v>115</v>
      </c>
      <c r="D47" s="2" t="str">
        <f>Employees[[#This Row],[Employee Name]]&amp;" ("&amp;Employees[[#This Row],[Personal ID]]&amp;")"</f>
        <v>Henderson, Samuel (N20S000001310)</v>
      </c>
      <c r="E47" s="90">
        <v>1310</v>
      </c>
      <c r="F47" t="s">
        <v>20</v>
      </c>
      <c r="G47" t="s">
        <v>257</v>
      </c>
      <c r="L47" t="s">
        <v>264</v>
      </c>
      <c r="M47" t="s">
        <v>114</v>
      </c>
      <c r="N47" s="1">
        <v>20001</v>
      </c>
      <c r="O47" s="1">
        <v>1000000.99</v>
      </c>
      <c r="P47" s="1">
        <v>205</v>
      </c>
      <c r="Q47" s="1"/>
      <c r="R47" s="1">
        <f>VariablePayTable[[#This Row],[Base Amount]]+VariablePayTable[[#This Row],[Premium]]</f>
        <v>205</v>
      </c>
      <c r="AD47" s="54">
        <f t="shared" si="5"/>
        <v>43142</v>
      </c>
      <c r="AE47" s="54">
        <f t="shared" si="6"/>
        <v>43155</v>
      </c>
      <c r="AF47" s="122">
        <f t="shared" si="7"/>
        <v>43175</v>
      </c>
      <c r="AG47" s="54">
        <f>PayPeriods[[#This Row],[End]]+10</f>
        <v>43165</v>
      </c>
      <c r="AM47" s="9" t="s">
        <v>184</v>
      </c>
      <c r="AN47" s="99" t="s">
        <v>117</v>
      </c>
      <c r="AO47" s="99" t="s">
        <v>264</v>
      </c>
      <c r="AP47" s="99">
        <v>0</v>
      </c>
      <c r="AQ47" s="99"/>
      <c r="AR47" s="99">
        <v>0.25</v>
      </c>
      <c r="AS47" s="102"/>
      <c r="AT47" s="33">
        <v>0</v>
      </c>
    </row>
    <row r="48" spans="1:46" x14ac:dyDescent="0.25">
      <c r="A48" t="s">
        <v>48</v>
      </c>
      <c r="B48" t="s">
        <v>49</v>
      </c>
      <c r="C48" t="s">
        <v>118</v>
      </c>
      <c r="D48" s="2" t="str">
        <f>Employees[[#This Row],[Employee Name]]&amp;" ("&amp;Employees[[#This Row],[Personal ID]]&amp;")"</f>
        <v>Hinz, Steven (N20S000001118)</v>
      </c>
      <c r="E48" s="90">
        <v>1118</v>
      </c>
      <c r="F48" t="s">
        <v>72</v>
      </c>
      <c r="G48" t="s">
        <v>89</v>
      </c>
      <c r="L48" t="s">
        <v>264</v>
      </c>
      <c r="M48" t="s">
        <v>270</v>
      </c>
      <c r="N48" s="1">
        <v>0</v>
      </c>
      <c r="O48" s="1">
        <v>10000.99</v>
      </c>
      <c r="P48" s="1">
        <v>175</v>
      </c>
      <c r="Q48" s="1"/>
      <c r="R48" s="1">
        <f>VariablePayTable[[#This Row],[Base Amount]]+VariablePayTable[[#This Row],[Premium]]</f>
        <v>175</v>
      </c>
      <c r="AD48" s="54">
        <f t="shared" ref="AD48:AD111" si="8">AD47+14</f>
        <v>43156</v>
      </c>
      <c r="AE48" s="54">
        <f t="shared" ref="AE48:AE111" si="9">AE47+14</f>
        <v>43169</v>
      </c>
      <c r="AF48" s="122">
        <f t="shared" ref="AF48:AF111" si="10">AF47+14</f>
        <v>43189</v>
      </c>
      <c r="AG48" s="54">
        <f>PayPeriods[[#This Row],[End]]+10</f>
        <v>43179</v>
      </c>
      <c r="AM48" s="9" t="s">
        <v>184</v>
      </c>
      <c r="AN48" s="99" t="s">
        <v>117</v>
      </c>
      <c r="AO48" s="99" t="s">
        <v>263</v>
      </c>
      <c r="AP48" s="99">
        <v>0</v>
      </c>
      <c r="AQ48" s="99"/>
      <c r="AR48" s="99">
        <v>0.25</v>
      </c>
      <c r="AS48" s="102"/>
      <c r="AT48" s="33">
        <v>0</v>
      </c>
    </row>
    <row r="49" spans="1:46" x14ac:dyDescent="0.25">
      <c r="A49" t="s">
        <v>235</v>
      </c>
      <c r="B49" t="s">
        <v>158</v>
      </c>
      <c r="C49" t="s">
        <v>117</v>
      </c>
      <c r="D49" s="2" t="str">
        <f>Employees[[#This Row],[Employee Name]]&amp;" ("&amp;Employees[[#This Row],[Personal ID]]&amp;")"</f>
        <v>Jamieson, Grant (N20S000011058)</v>
      </c>
      <c r="E49" s="90">
        <v>1058</v>
      </c>
      <c r="F49" t="s">
        <v>256</v>
      </c>
      <c r="G49" t="s">
        <v>257</v>
      </c>
      <c r="L49" t="s">
        <v>264</v>
      </c>
      <c r="M49" t="s">
        <v>270</v>
      </c>
      <c r="N49" s="1">
        <v>10001</v>
      </c>
      <c r="O49" s="1">
        <v>20000.990000000002</v>
      </c>
      <c r="P49" s="1">
        <v>190</v>
      </c>
      <c r="Q49" s="1"/>
      <c r="R49" s="1">
        <f>VariablePayTable[[#This Row],[Base Amount]]+VariablePayTable[[#This Row],[Premium]]</f>
        <v>190</v>
      </c>
      <c r="AD49" s="54">
        <f t="shared" si="8"/>
        <v>43170</v>
      </c>
      <c r="AE49" s="54">
        <f t="shared" si="9"/>
        <v>43183</v>
      </c>
      <c r="AF49" s="122">
        <f t="shared" si="10"/>
        <v>43203</v>
      </c>
      <c r="AG49" s="54">
        <f>PayPeriods[[#This Row],[End]]+10</f>
        <v>43193</v>
      </c>
      <c r="AM49" s="9" t="s">
        <v>184</v>
      </c>
      <c r="AN49" s="99" t="s">
        <v>118</v>
      </c>
      <c r="AO49" s="99" t="s">
        <v>264</v>
      </c>
      <c r="AP49" s="99">
        <v>0</v>
      </c>
      <c r="AQ49" s="99"/>
      <c r="AR49" s="99">
        <v>0.25</v>
      </c>
      <c r="AS49" s="102"/>
      <c r="AT49" s="33">
        <v>0</v>
      </c>
    </row>
    <row r="50" spans="1:46" x14ac:dyDescent="0.25">
      <c r="A50" t="s">
        <v>304</v>
      </c>
      <c r="B50" t="s">
        <v>305</v>
      </c>
      <c r="C50" t="s">
        <v>116</v>
      </c>
      <c r="D50" s="2" t="str">
        <f>Employees[[#This Row],[Employee Name]]&amp;" ("&amp;Employees[[#This Row],[Personal ID]]&amp;")"</f>
        <v>Jamieson, Jerry (N20S000001231)</v>
      </c>
      <c r="E50" s="90">
        <v>1231</v>
      </c>
      <c r="F50" t="s">
        <v>72</v>
      </c>
      <c r="G50" t="s">
        <v>89</v>
      </c>
      <c r="L50" t="s">
        <v>264</v>
      </c>
      <c r="M50" t="s">
        <v>270</v>
      </c>
      <c r="N50" s="1">
        <v>20001</v>
      </c>
      <c r="O50" s="1">
        <v>1000000.99</v>
      </c>
      <c r="P50" s="1">
        <v>190</v>
      </c>
      <c r="Q50" s="1"/>
      <c r="R50" s="1">
        <f>VariablePayTable[[#This Row],[Base Amount]]+VariablePayTable[[#This Row],[Premium]]</f>
        <v>190</v>
      </c>
      <c r="AD50" s="54">
        <f t="shared" si="8"/>
        <v>43184</v>
      </c>
      <c r="AE50" s="54">
        <f t="shared" si="9"/>
        <v>43197</v>
      </c>
      <c r="AF50" s="122">
        <f t="shared" si="10"/>
        <v>43217</v>
      </c>
      <c r="AG50" s="54">
        <f>PayPeriods[[#This Row],[End]]+10</f>
        <v>43207</v>
      </c>
      <c r="AM50" s="9" t="s">
        <v>184</v>
      </c>
      <c r="AN50" s="99" t="s">
        <v>118</v>
      </c>
      <c r="AO50" s="99" t="s">
        <v>263</v>
      </c>
      <c r="AP50" s="99">
        <v>0</v>
      </c>
      <c r="AQ50" s="99"/>
      <c r="AR50" s="99">
        <v>0.25</v>
      </c>
      <c r="AS50" s="102"/>
      <c r="AT50" s="33">
        <v>0</v>
      </c>
    </row>
    <row r="51" spans="1:46" x14ac:dyDescent="0.25">
      <c r="A51" t="s">
        <v>175</v>
      </c>
      <c r="B51" t="s">
        <v>176</v>
      </c>
      <c r="C51" t="s">
        <v>121</v>
      </c>
      <c r="D51" s="2" t="str">
        <f>Employees[[#This Row],[Employee Name]]&amp;" ("&amp;Employees[[#This Row],[Personal ID]]&amp;")"</f>
        <v>Jardine, Darryl (N20S000001830)</v>
      </c>
      <c r="E51" s="90">
        <v>1830</v>
      </c>
      <c r="F51" t="s">
        <v>18</v>
      </c>
      <c r="G51" t="s">
        <v>89</v>
      </c>
      <c r="L51" t="s">
        <v>263</v>
      </c>
      <c r="M51" t="s">
        <v>156</v>
      </c>
      <c r="N51" s="1">
        <v>0</v>
      </c>
      <c r="O51" s="1">
        <v>10000.99</v>
      </c>
      <c r="P51" s="1">
        <v>315</v>
      </c>
      <c r="Q51" s="1"/>
      <c r="R51" s="1">
        <f>VariablePayTable[[#This Row],[Base Amount]]+VariablePayTable[[#This Row],[Premium]]</f>
        <v>315</v>
      </c>
      <c r="AD51" s="54">
        <f t="shared" si="8"/>
        <v>43198</v>
      </c>
      <c r="AE51" s="54">
        <f t="shared" si="9"/>
        <v>43211</v>
      </c>
      <c r="AF51" s="122">
        <f t="shared" si="10"/>
        <v>43231</v>
      </c>
      <c r="AG51" s="54">
        <f>PayPeriods[[#This Row],[End]]+10</f>
        <v>43221</v>
      </c>
      <c r="AM51" s="9" t="s">
        <v>184</v>
      </c>
      <c r="AN51" s="99" t="s">
        <v>119</v>
      </c>
      <c r="AO51" s="99" t="s">
        <v>264</v>
      </c>
      <c r="AP51" s="99">
        <v>0</v>
      </c>
      <c r="AQ51" s="99"/>
      <c r="AR51" s="99">
        <v>0.25</v>
      </c>
      <c r="AS51" s="102"/>
      <c r="AT51" s="33">
        <v>0</v>
      </c>
    </row>
    <row r="52" spans="1:46" x14ac:dyDescent="0.25">
      <c r="A52" t="s">
        <v>389</v>
      </c>
      <c r="B52" t="s">
        <v>390</v>
      </c>
      <c r="C52" t="s">
        <v>346</v>
      </c>
      <c r="D52" s="2" t="str">
        <f>Employees[[#This Row],[Employee Name]]&amp;" ("&amp;Employees[[#This Row],[Personal ID]]&amp;")"</f>
        <v>Jennings, Scott (N20S000001366)</v>
      </c>
      <c r="E52" s="90">
        <v>1366</v>
      </c>
      <c r="F52" t="s">
        <v>72</v>
      </c>
      <c r="G52" t="s">
        <v>89</v>
      </c>
      <c r="L52" t="s">
        <v>263</v>
      </c>
      <c r="M52" t="s">
        <v>156</v>
      </c>
      <c r="N52" s="1">
        <v>10001</v>
      </c>
      <c r="O52" s="1">
        <v>1000000.99</v>
      </c>
      <c r="P52" s="1">
        <v>340</v>
      </c>
      <c r="Q52" s="1"/>
      <c r="R52" s="1">
        <f>VariablePayTable[[#This Row],[Base Amount]]+VariablePayTable[[#This Row],[Premium]]</f>
        <v>340</v>
      </c>
      <c r="AD52" s="54">
        <f t="shared" si="8"/>
        <v>43212</v>
      </c>
      <c r="AE52" s="54">
        <f t="shared" si="9"/>
        <v>43225</v>
      </c>
      <c r="AF52" s="122">
        <f t="shared" si="10"/>
        <v>43245</v>
      </c>
      <c r="AG52" s="54">
        <f>PayPeriods[[#This Row],[End]]+10</f>
        <v>43235</v>
      </c>
      <c r="AM52" s="9" t="s">
        <v>184</v>
      </c>
      <c r="AN52" s="99" t="s">
        <v>119</v>
      </c>
      <c r="AO52" s="99" t="s">
        <v>263</v>
      </c>
      <c r="AP52" s="99">
        <v>0</v>
      </c>
      <c r="AQ52" s="99"/>
      <c r="AR52" s="99">
        <v>0.25</v>
      </c>
      <c r="AS52" s="102"/>
      <c r="AT52" s="33">
        <v>0</v>
      </c>
    </row>
    <row r="53" spans="1:46" x14ac:dyDescent="0.25">
      <c r="A53" t="s">
        <v>300</v>
      </c>
      <c r="B53" t="s">
        <v>301</v>
      </c>
      <c r="C53" t="s">
        <v>114</v>
      </c>
      <c r="D53" s="2" t="str">
        <f>Employees[[#This Row],[Employee Name]]&amp;" ("&amp;Employees[[#This Row],[Personal ID]]&amp;")"</f>
        <v>Johnson, Tyson (N20S000001795)</v>
      </c>
      <c r="E53" s="90">
        <v>1795</v>
      </c>
      <c r="F53" t="s">
        <v>260</v>
      </c>
      <c r="G53" t="s">
        <v>89</v>
      </c>
      <c r="L53" t="s">
        <v>263</v>
      </c>
      <c r="M53" t="s">
        <v>155</v>
      </c>
      <c r="N53" s="1">
        <v>0</v>
      </c>
      <c r="O53" s="1">
        <v>10000.99</v>
      </c>
      <c r="P53" s="1">
        <v>230</v>
      </c>
      <c r="Q53" s="1"/>
      <c r="R53" s="1">
        <f>VariablePayTable[[#This Row],[Base Amount]]+VariablePayTable[[#This Row],[Premium]]</f>
        <v>230</v>
      </c>
      <c r="AD53" s="54">
        <f t="shared" si="8"/>
        <v>43226</v>
      </c>
      <c r="AE53" s="54">
        <f t="shared" si="9"/>
        <v>43239</v>
      </c>
      <c r="AF53" s="122">
        <f t="shared" si="10"/>
        <v>43259</v>
      </c>
      <c r="AG53" s="54">
        <f>PayPeriods[[#This Row],[End]]+10</f>
        <v>43249</v>
      </c>
      <c r="AM53" s="9" t="s">
        <v>184</v>
      </c>
      <c r="AN53" s="99" t="s">
        <v>120</v>
      </c>
      <c r="AO53" s="99" t="s">
        <v>264</v>
      </c>
      <c r="AP53" s="99">
        <v>0</v>
      </c>
      <c r="AQ53" s="99"/>
      <c r="AR53" s="99">
        <v>0.25</v>
      </c>
      <c r="AS53" s="102"/>
      <c r="AT53" s="33">
        <v>0</v>
      </c>
    </row>
    <row r="54" spans="1:46" x14ac:dyDescent="0.25">
      <c r="A54" t="s">
        <v>124</v>
      </c>
      <c r="B54" t="s">
        <v>125</v>
      </c>
      <c r="C54" t="s">
        <v>121</v>
      </c>
      <c r="D54" s="2" t="str">
        <f>Employees[[#This Row],[Employee Name]]&amp;" ("&amp;Employees[[#This Row],[Personal ID]]&amp;")"</f>
        <v>Jolin, Bastien (N20S000001537)</v>
      </c>
      <c r="E54" s="90">
        <v>1537</v>
      </c>
      <c r="F54" t="s">
        <v>259</v>
      </c>
      <c r="G54" t="s">
        <v>89</v>
      </c>
      <c r="L54" t="s">
        <v>263</v>
      </c>
      <c r="M54" t="s">
        <v>155</v>
      </c>
      <c r="N54" s="1">
        <v>10001</v>
      </c>
      <c r="O54" s="1">
        <v>1000000.99</v>
      </c>
      <c r="P54" s="1">
        <v>250</v>
      </c>
      <c r="Q54" s="1"/>
      <c r="R54" s="1">
        <f>VariablePayTable[[#This Row],[Base Amount]]+VariablePayTable[[#This Row],[Premium]]</f>
        <v>250</v>
      </c>
      <c r="AD54" s="54">
        <f t="shared" si="8"/>
        <v>43240</v>
      </c>
      <c r="AE54" s="54">
        <f t="shared" si="9"/>
        <v>43253</v>
      </c>
      <c r="AF54" s="122">
        <f t="shared" si="10"/>
        <v>43273</v>
      </c>
      <c r="AG54" s="54">
        <f>PayPeriods[[#This Row],[End]]+10</f>
        <v>43263</v>
      </c>
      <c r="AM54" s="9" t="s">
        <v>184</v>
      </c>
      <c r="AN54" s="99" t="s">
        <v>120</v>
      </c>
      <c r="AO54" s="99" t="s">
        <v>263</v>
      </c>
      <c r="AP54" s="99">
        <v>0</v>
      </c>
      <c r="AQ54" s="99"/>
      <c r="AR54" s="99">
        <v>0.25</v>
      </c>
      <c r="AS54" s="102"/>
      <c r="AT54" s="33">
        <v>0</v>
      </c>
    </row>
    <row r="55" spans="1:46" x14ac:dyDescent="0.25">
      <c r="A55" t="s">
        <v>368</v>
      </c>
      <c r="B55" t="s">
        <v>369</v>
      </c>
      <c r="C55" t="s">
        <v>360</v>
      </c>
      <c r="D55" s="2" t="str">
        <f>Employees[[#This Row],[Employee Name]]&amp;" ("&amp;Employees[[#This Row],[Personal ID]]&amp;")"</f>
        <v>Kachowski, Jacob (N20S000001885)</v>
      </c>
      <c r="E55" s="90">
        <v>1885</v>
      </c>
      <c r="F55" t="s">
        <v>259</v>
      </c>
      <c r="G55" t="s">
        <v>89</v>
      </c>
      <c r="L55" t="s">
        <v>263</v>
      </c>
      <c r="M55" t="s">
        <v>271</v>
      </c>
      <c r="N55" s="1">
        <v>0</v>
      </c>
      <c r="O55" s="1">
        <v>10000.99</v>
      </c>
      <c r="P55" s="1">
        <v>220</v>
      </c>
      <c r="Q55" s="1"/>
      <c r="R55" s="1">
        <f>VariablePayTable[[#This Row],[Base Amount]]+VariablePayTable[[#This Row],[Premium]]</f>
        <v>220</v>
      </c>
      <c r="AD55" s="54">
        <f t="shared" si="8"/>
        <v>43254</v>
      </c>
      <c r="AE55" s="54">
        <f t="shared" si="9"/>
        <v>43267</v>
      </c>
      <c r="AF55" s="122">
        <f t="shared" si="10"/>
        <v>43287</v>
      </c>
      <c r="AG55" s="54">
        <f>PayPeriods[[#This Row],[End]]+10</f>
        <v>43277</v>
      </c>
      <c r="AM55" s="9" t="s">
        <v>184</v>
      </c>
      <c r="AN55" s="99" t="s">
        <v>121</v>
      </c>
      <c r="AO55" s="99" t="s">
        <v>264</v>
      </c>
      <c r="AP55" s="99">
        <v>0</v>
      </c>
      <c r="AQ55" s="99"/>
      <c r="AR55" s="99">
        <v>0.25</v>
      </c>
      <c r="AS55" s="102"/>
      <c r="AT55" s="33">
        <v>0</v>
      </c>
    </row>
    <row r="56" spans="1:46" x14ac:dyDescent="0.25">
      <c r="A56" t="s">
        <v>102</v>
      </c>
      <c r="B56" t="s">
        <v>103</v>
      </c>
      <c r="C56" t="s">
        <v>118</v>
      </c>
      <c r="D56" s="2" t="str">
        <f>Employees[[#This Row],[Employee Name]]&amp;" ("&amp;Employees[[#This Row],[Personal ID]]&amp;")"</f>
        <v>Keir, Eric (N20S000001385)</v>
      </c>
      <c r="E56" s="90">
        <v>1385</v>
      </c>
      <c r="F56" t="s">
        <v>260</v>
      </c>
      <c r="G56" t="s">
        <v>89</v>
      </c>
      <c r="L56" t="s">
        <v>263</v>
      </c>
      <c r="M56" t="s">
        <v>271</v>
      </c>
      <c r="N56" s="1">
        <v>10001</v>
      </c>
      <c r="O56" s="1">
        <v>1000000.99</v>
      </c>
      <c r="P56" s="1">
        <v>240</v>
      </c>
      <c r="Q56" s="1"/>
      <c r="R56" s="1">
        <f>VariablePayTable[[#This Row],[Base Amount]]+VariablePayTable[[#This Row],[Premium]]</f>
        <v>240</v>
      </c>
      <c r="AD56" s="54">
        <f t="shared" si="8"/>
        <v>43268</v>
      </c>
      <c r="AE56" s="54">
        <f t="shared" si="9"/>
        <v>43281</v>
      </c>
      <c r="AF56" s="122">
        <f t="shared" si="10"/>
        <v>43301</v>
      </c>
      <c r="AG56" s="54">
        <f>PayPeriods[[#This Row],[End]]+10</f>
        <v>43291</v>
      </c>
      <c r="AM56" s="9" t="s">
        <v>184</v>
      </c>
      <c r="AN56" s="99" t="s">
        <v>121</v>
      </c>
      <c r="AO56" s="99" t="s">
        <v>263</v>
      </c>
      <c r="AP56" s="99">
        <v>0</v>
      </c>
      <c r="AQ56" s="99"/>
      <c r="AR56" s="99">
        <v>0.25</v>
      </c>
      <c r="AS56" s="102"/>
      <c r="AT56" s="33">
        <v>0</v>
      </c>
    </row>
    <row r="57" spans="1:46" x14ac:dyDescent="0.25">
      <c r="A57" t="s">
        <v>318</v>
      </c>
      <c r="B57" t="s">
        <v>319</v>
      </c>
      <c r="C57" t="s">
        <v>320</v>
      </c>
      <c r="D57" s="2" t="str">
        <f>Employees[[#This Row],[Employee Name]]&amp;" ("&amp;Employees[[#This Row],[Personal ID]]&amp;")"</f>
        <v>King, Mike (N20S000021861)</v>
      </c>
      <c r="E57" s="90">
        <v>1861</v>
      </c>
      <c r="F57" t="s">
        <v>258</v>
      </c>
      <c r="G57" t="s">
        <v>90</v>
      </c>
      <c r="L57" t="s">
        <v>264</v>
      </c>
      <c r="M57" t="s">
        <v>156</v>
      </c>
      <c r="N57" s="1">
        <v>0</v>
      </c>
      <c r="O57" s="1">
        <v>10000.99</v>
      </c>
      <c r="P57" s="1">
        <v>315</v>
      </c>
      <c r="Q57" s="1"/>
      <c r="R57" s="1">
        <f>VariablePayTable[[#This Row],[Base Amount]]+VariablePayTable[[#This Row],[Premium]]</f>
        <v>315</v>
      </c>
      <c r="AD57" s="54">
        <f t="shared" si="8"/>
        <v>43282</v>
      </c>
      <c r="AE57" s="54">
        <f t="shared" si="9"/>
        <v>43295</v>
      </c>
      <c r="AF57" s="122">
        <f t="shared" si="10"/>
        <v>43315</v>
      </c>
      <c r="AG57" s="54">
        <f>PayPeriods[[#This Row],[End]]+10</f>
        <v>43305</v>
      </c>
      <c r="AM57" s="9" t="s">
        <v>184</v>
      </c>
      <c r="AN57" s="99" t="s">
        <v>115</v>
      </c>
      <c r="AO57" s="99" t="s">
        <v>264</v>
      </c>
      <c r="AP57" s="99">
        <v>0</v>
      </c>
      <c r="AQ57" s="99"/>
      <c r="AR57" s="99">
        <v>0.25</v>
      </c>
      <c r="AS57" s="102"/>
      <c r="AT57" s="33">
        <v>0</v>
      </c>
    </row>
    <row r="58" spans="1:46" x14ac:dyDescent="0.25">
      <c r="A58" t="s">
        <v>149</v>
      </c>
      <c r="B58" t="s">
        <v>150</v>
      </c>
      <c r="C58" t="s">
        <v>118</v>
      </c>
      <c r="D58" s="2" t="str">
        <f>Employees[[#This Row],[Employee Name]]&amp;" ("&amp;Employees[[#This Row],[Personal ID]]&amp;")"</f>
        <v>Klassen, Jody (N20S000011379)</v>
      </c>
      <c r="E58" s="90">
        <v>1379</v>
      </c>
      <c r="F58" t="s">
        <v>261</v>
      </c>
      <c r="G58" t="s">
        <v>257</v>
      </c>
      <c r="L58" t="s">
        <v>264</v>
      </c>
      <c r="M58" t="s">
        <v>156</v>
      </c>
      <c r="N58" s="1">
        <v>10001</v>
      </c>
      <c r="O58" s="1">
        <v>1000000.99</v>
      </c>
      <c r="P58" s="1">
        <v>340</v>
      </c>
      <c r="Q58" s="1"/>
      <c r="R58" s="1">
        <f>VariablePayTable[[#This Row],[Base Amount]]+VariablePayTable[[#This Row],[Premium]]</f>
        <v>340</v>
      </c>
      <c r="AD58" s="54">
        <f t="shared" si="8"/>
        <v>43296</v>
      </c>
      <c r="AE58" s="54">
        <f t="shared" si="9"/>
        <v>43309</v>
      </c>
      <c r="AF58" s="122">
        <f t="shared" si="10"/>
        <v>43329</v>
      </c>
      <c r="AG58" s="54">
        <f>PayPeriods[[#This Row],[End]]+10</f>
        <v>43319</v>
      </c>
      <c r="AM58" s="9" t="s">
        <v>184</v>
      </c>
      <c r="AN58" s="99" t="s">
        <v>115</v>
      </c>
      <c r="AO58" s="99" t="s">
        <v>263</v>
      </c>
      <c r="AP58" s="99">
        <v>0</v>
      </c>
      <c r="AQ58" s="99"/>
      <c r="AR58" s="99">
        <v>0.25</v>
      </c>
      <c r="AS58" s="102"/>
      <c r="AT58" s="33">
        <v>0</v>
      </c>
    </row>
    <row r="59" spans="1:46" x14ac:dyDescent="0.25">
      <c r="A59" t="s">
        <v>162</v>
      </c>
      <c r="B59" t="s">
        <v>163</v>
      </c>
      <c r="C59" t="s">
        <v>117</v>
      </c>
      <c r="D59" s="2" t="str">
        <f>Employees[[#This Row],[Employee Name]]&amp;" ("&amp;Employees[[#This Row],[Personal ID]]&amp;")"</f>
        <v>Kljucaricek, Steve (N20S000001128)</v>
      </c>
      <c r="E59" s="90">
        <v>1128</v>
      </c>
      <c r="F59" t="s">
        <v>260</v>
      </c>
      <c r="G59" t="s">
        <v>89</v>
      </c>
      <c r="L59" t="s">
        <v>264</v>
      </c>
      <c r="M59" t="s">
        <v>155</v>
      </c>
      <c r="N59" s="1">
        <v>0</v>
      </c>
      <c r="O59" s="1">
        <v>10000.99</v>
      </c>
      <c r="P59" s="1">
        <v>230</v>
      </c>
      <c r="Q59" s="1"/>
      <c r="R59" s="1">
        <f>VariablePayTable[[#This Row],[Base Amount]]+VariablePayTable[[#This Row],[Premium]]</f>
        <v>230</v>
      </c>
      <c r="AD59" s="54">
        <f t="shared" si="8"/>
        <v>43310</v>
      </c>
      <c r="AE59" s="54">
        <f t="shared" si="9"/>
        <v>43323</v>
      </c>
      <c r="AF59" s="122">
        <f t="shared" si="10"/>
        <v>43343</v>
      </c>
      <c r="AG59" s="54">
        <f>PayPeriods[[#This Row],[End]]+10</f>
        <v>43333</v>
      </c>
      <c r="AM59" s="9" t="s">
        <v>184</v>
      </c>
      <c r="AN59" s="99" t="s">
        <v>114</v>
      </c>
      <c r="AO59" s="99" t="s">
        <v>264</v>
      </c>
      <c r="AP59" s="99">
        <v>0</v>
      </c>
      <c r="AQ59" s="99"/>
      <c r="AR59" s="99">
        <v>0.25</v>
      </c>
      <c r="AS59" s="102"/>
      <c r="AT59" s="33">
        <v>0</v>
      </c>
    </row>
    <row r="60" spans="1:46" x14ac:dyDescent="0.25">
      <c r="A60" t="s">
        <v>344</v>
      </c>
      <c r="B60" t="s">
        <v>345</v>
      </c>
      <c r="C60" t="s">
        <v>346</v>
      </c>
      <c r="D60" s="2" t="str">
        <f>Employees[[#This Row],[Employee Name]]&amp;" ("&amp;Employees[[#This Row],[Personal ID]]&amp;")"</f>
        <v>Knott, Darrell (N20S000021880)</v>
      </c>
      <c r="E60" s="90">
        <v>1880</v>
      </c>
      <c r="F60" t="s">
        <v>258</v>
      </c>
      <c r="G60" t="s">
        <v>90</v>
      </c>
      <c r="L60" t="s">
        <v>264</v>
      </c>
      <c r="M60" t="s">
        <v>155</v>
      </c>
      <c r="N60" s="1">
        <v>10001</v>
      </c>
      <c r="O60" s="1">
        <v>1000000.99</v>
      </c>
      <c r="P60" s="1">
        <v>250</v>
      </c>
      <c r="Q60" s="1"/>
      <c r="R60" s="1">
        <f>VariablePayTable[[#This Row],[Base Amount]]+VariablePayTable[[#This Row],[Premium]]</f>
        <v>250</v>
      </c>
      <c r="AD60" s="54">
        <f t="shared" si="8"/>
        <v>43324</v>
      </c>
      <c r="AE60" s="54">
        <f t="shared" si="9"/>
        <v>43337</v>
      </c>
      <c r="AF60" s="122">
        <f t="shared" si="10"/>
        <v>43357</v>
      </c>
      <c r="AG60" s="54">
        <f>PayPeriods[[#This Row],[End]]+10</f>
        <v>43347</v>
      </c>
      <c r="AM60" s="9" t="s">
        <v>184</v>
      </c>
      <c r="AN60" s="99" t="s">
        <v>114</v>
      </c>
      <c r="AO60" s="99" t="s">
        <v>263</v>
      </c>
      <c r="AP60" s="99">
        <v>0</v>
      </c>
      <c r="AQ60" s="99"/>
      <c r="AR60" s="99">
        <v>0.25</v>
      </c>
      <c r="AS60" s="102"/>
      <c r="AT60" s="33">
        <v>0</v>
      </c>
    </row>
    <row r="61" spans="1:46" x14ac:dyDescent="0.25">
      <c r="A61" t="s">
        <v>381</v>
      </c>
      <c r="B61" t="s">
        <v>382</v>
      </c>
      <c r="C61" t="s">
        <v>116</v>
      </c>
      <c r="D61" s="2" t="str">
        <f>Employees[[#This Row],[Employee Name]]&amp;" ("&amp;Employees[[#This Row],[Personal ID]]&amp;")"</f>
        <v>Kramps, Dustin (N20S000001894)</v>
      </c>
      <c r="E61" s="90">
        <v>1894</v>
      </c>
      <c r="F61" t="s">
        <v>17</v>
      </c>
      <c r="G61" t="s">
        <v>89</v>
      </c>
      <c r="L61" t="s">
        <v>264</v>
      </c>
      <c r="M61" t="s">
        <v>271</v>
      </c>
      <c r="N61" s="1">
        <v>0</v>
      </c>
      <c r="O61" s="1">
        <v>10000.99</v>
      </c>
      <c r="P61" s="1">
        <v>220</v>
      </c>
      <c r="Q61" s="1"/>
      <c r="R61" s="1">
        <f>VariablePayTable[[#This Row],[Base Amount]]+VariablePayTable[[#This Row],[Premium]]</f>
        <v>220</v>
      </c>
      <c r="AD61" s="54">
        <f t="shared" si="8"/>
        <v>43338</v>
      </c>
      <c r="AE61" s="54">
        <f t="shared" si="9"/>
        <v>43351</v>
      </c>
      <c r="AF61" s="122">
        <f t="shared" si="10"/>
        <v>43371</v>
      </c>
      <c r="AG61" s="54">
        <f>PayPeriods[[#This Row],[End]]+10</f>
        <v>43361</v>
      </c>
      <c r="AM61" s="9" t="s">
        <v>184</v>
      </c>
      <c r="AN61" s="96" t="s">
        <v>270</v>
      </c>
      <c r="AO61" s="99" t="s">
        <v>264</v>
      </c>
      <c r="AP61" s="99">
        <v>0</v>
      </c>
      <c r="AQ61" s="99"/>
      <c r="AR61" s="99">
        <v>0.25</v>
      </c>
      <c r="AS61" s="102"/>
      <c r="AT61" s="33">
        <v>0</v>
      </c>
    </row>
    <row r="62" spans="1:46" x14ac:dyDescent="0.25">
      <c r="A62" t="s">
        <v>370</v>
      </c>
      <c r="B62" t="s">
        <v>371</v>
      </c>
      <c r="C62" t="s">
        <v>116</v>
      </c>
      <c r="D62" s="2" t="str">
        <f>Employees[[#This Row],[Employee Name]]&amp;" ("&amp;Employees[[#This Row],[Personal ID]]&amp;")"</f>
        <v>Lang, David (N20S000001884)</v>
      </c>
      <c r="E62" s="90">
        <v>1884</v>
      </c>
      <c r="F62" t="s">
        <v>18</v>
      </c>
      <c r="G62" t="s">
        <v>89</v>
      </c>
      <c r="L62" t="s">
        <v>264</v>
      </c>
      <c r="M62" t="s">
        <v>271</v>
      </c>
      <c r="N62" s="1">
        <v>10001</v>
      </c>
      <c r="O62" s="1">
        <v>1000000.99</v>
      </c>
      <c r="P62" s="1">
        <v>240</v>
      </c>
      <c r="Q62" s="1"/>
      <c r="R62" s="1">
        <f>VariablePayTable[[#This Row],[Base Amount]]+VariablePayTable[[#This Row],[Premium]]</f>
        <v>240</v>
      </c>
      <c r="AD62" s="54">
        <f t="shared" si="8"/>
        <v>43352</v>
      </c>
      <c r="AE62" s="54">
        <f t="shared" si="9"/>
        <v>43365</v>
      </c>
      <c r="AF62" s="122">
        <f t="shared" si="10"/>
        <v>43385</v>
      </c>
      <c r="AG62" s="54">
        <f>PayPeriods[[#This Row],[End]]+10</f>
        <v>43375</v>
      </c>
      <c r="AM62" s="9" t="s">
        <v>184</v>
      </c>
      <c r="AN62" s="96" t="s">
        <v>270</v>
      </c>
      <c r="AO62" s="99" t="s">
        <v>263</v>
      </c>
      <c r="AP62" s="99">
        <v>0</v>
      </c>
      <c r="AQ62" s="99"/>
      <c r="AR62" s="99">
        <v>0.25</v>
      </c>
      <c r="AS62" s="102"/>
      <c r="AT62" s="33">
        <v>0</v>
      </c>
    </row>
    <row r="63" spans="1:46" x14ac:dyDescent="0.25">
      <c r="A63" t="s">
        <v>306</v>
      </c>
      <c r="B63" t="s">
        <v>307</v>
      </c>
      <c r="C63" t="s">
        <v>116</v>
      </c>
      <c r="D63" s="2" t="str">
        <f>Employees[[#This Row],[Employee Name]]&amp;" ("&amp;Employees[[#This Row],[Personal ID]]&amp;")"</f>
        <v>LeBlanc, Scott (N20S000001236)</v>
      </c>
      <c r="E63" s="90">
        <v>1236</v>
      </c>
      <c r="F63" t="s">
        <v>72</v>
      </c>
      <c r="G63" t="s">
        <v>89</v>
      </c>
      <c r="L63" t="s">
        <v>263</v>
      </c>
      <c r="M63" t="s">
        <v>266</v>
      </c>
      <c r="N63" s="1">
        <v>0</v>
      </c>
      <c r="O63" s="1">
        <v>10000.99</v>
      </c>
      <c r="P63" s="1">
        <v>300</v>
      </c>
      <c r="Q63" s="1"/>
      <c r="R63" s="1">
        <f>VariablePayTable[[#This Row],[Base Amount]]+VariablePayTable[[#This Row],[Premium]]</f>
        <v>300</v>
      </c>
      <c r="AD63" s="54">
        <f t="shared" si="8"/>
        <v>43366</v>
      </c>
      <c r="AE63" s="54">
        <f t="shared" si="9"/>
        <v>43379</v>
      </c>
      <c r="AF63" s="122">
        <f t="shared" si="10"/>
        <v>43399</v>
      </c>
      <c r="AG63" s="54">
        <f>PayPeriods[[#This Row],[End]]+10</f>
        <v>43389</v>
      </c>
      <c r="AM63" s="9" t="s">
        <v>195</v>
      </c>
      <c r="AN63" t="s">
        <v>262</v>
      </c>
      <c r="AO63" s="99" t="s">
        <v>264</v>
      </c>
      <c r="AP63" s="99">
        <v>40</v>
      </c>
      <c r="AQ63" s="99"/>
      <c r="AR63" s="99">
        <v>0</v>
      </c>
      <c r="AS63" s="99"/>
      <c r="AT63" s="33">
        <v>0</v>
      </c>
    </row>
    <row r="64" spans="1:46" x14ac:dyDescent="0.25">
      <c r="A64" t="s">
        <v>383</v>
      </c>
      <c r="B64" t="s">
        <v>384</v>
      </c>
      <c r="C64" t="s">
        <v>360</v>
      </c>
      <c r="D64" s="2" t="str">
        <f>Employees[[#This Row],[Employee Name]]&amp;" ("&amp;Employees[[#This Row],[Personal ID]]&amp;")"</f>
        <v>Locher, Travis (N20S000001895)</v>
      </c>
      <c r="E64" s="90">
        <v>1895</v>
      </c>
      <c r="F64" t="s">
        <v>259</v>
      </c>
      <c r="G64" t="s">
        <v>89</v>
      </c>
      <c r="L64" t="s">
        <v>263</v>
      </c>
      <c r="M64" t="s">
        <v>266</v>
      </c>
      <c r="N64" s="1">
        <v>10001</v>
      </c>
      <c r="O64" s="1">
        <v>20000.990000000002</v>
      </c>
      <c r="P64" s="1">
        <v>350</v>
      </c>
      <c r="Q64" s="1"/>
      <c r="R64" s="1">
        <f>VariablePayTable[[#This Row],[Base Amount]]+VariablePayTable[[#This Row],[Premium]]</f>
        <v>350</v>
      </c>
      <c r="AD64" s="54">
        <f t="shared" si="8"/>
        <v>43380</v>
      </c>
      <c r="AE64" s="54">
        <f t="shared" si="9"/>
        <v>43393</v>
      </c>
      <c r="AF64" s="122">
        <f t="shared" si="10"/>
        <v>43413</v>
      </c>
      <c r="AG64" s="54">
        <f>PayPeriods[[#This Row],[End]]+10</f>
        <v>43403</v>
      </c>
      <c r="AM64" s="9" t="s">
        <v>195</v>
      </c>
      <c r="AN64" t="s">
        <v>262</v>
      </c>
      <c r="AO64" s="99" t="s">
        <v>263</v>
      </c>
      <c r="AP64" s="99">
        <v>40</v>
      </c>
      <c r="AQ64" s="99"/>
      <c r="AR64" s="99">
        <v>0</v>
      </c>
      <c r="AS64" s="99"/>
      <c r="AT64" s="33">
        <v>0</v>
      </c>
    </row>
    <row r="65" spans="1:46" x14ac:dyDescent="0.25">
      <c r="A65" t="s">
        <v>248</v>
      </c>
      <c r="B65" t="s">
        <v>50</v>
      </c>
      <c r="C65" t="s">
        <v>118</v>
      </c>
      <c r="D65" s="2" t="str">
        <f>Employees[[#This Row],[Employee Name]]&amp;" ("&amp;Employees[[#This Row],[Personal ID]]&amp;")"</f>
        <v>Loewen, Matt (N20S000001123)</v>
      </c>
      <c r="E65" s="90">
        <v>1123</v>
      </c>
      <c r="F65" t="s">
        <v>72</v>
      </c>
      <c r="G65" t="s">
        <v>89</v>
      </c>
      <c r="L65" t="s">
        <v>263</v>
      </c>
      <c r="M65" t="s">
        <v>266</v>
      </c>
      <c r="N65" s="1">
        <v>20001</v>
      </c>
      <c r="O65" s="1">
        <v>1000000.99</v>
      </c>
      <c r="P65" s="1">
        <v>350</v>
      </c>
      <c r="Q65" s="1"/>
      <c r="R65" s="1">
        <f>VariablePayTable[[#This Row],[Base Amount]]+VariablePayTable[[#This Row],[Premium]]</f>
        <v>350</v>
      </c>
      <c r="AD65" s="54">
        <f t="shared" si="8"/>
        <v>43394</v>
      </c>
      <c r="AE65" s="54">
        <f t="shared" si="9"/>
        <v>43407</v>
      </c>
      <c r="AF65" s="122">
        <f t="shared" si="10"/>
        <v>43427</v>
      </c>
      <c r="AG65" s="54">
        <f>PayPeriods[[#This Row],[End]]+10</f>
        <v>43417</v>
      </c>
      <c r="AM65" s="9" t="s">
        <v>195</v>
      </c>
      <c r="AN65" t="s">
        <v>266</v>
      </c>
      <c r="AO65" s="99" t="s">
        <v>264</v>
      </c>
      <c r="AP65" s="99">
        <v>40</v>
      </c>
      <c r="AQ65" s="99"/>
      <c r="AR65" s="99">
        <v>0</v>
      </c>
      <c r="AS65" s="99"/>
      <c r="AT65" s="33">
        <v>0</v>
      </c>
    </row>
    <row r="66" spans="1:46" x14ac:dyDescent="0.25">
      <c r="A66" t="s">
        <v>238</v>
      </c>
      <c r="B66" t="s">
        <v>36</v>
      </c>
      <c r="C66" t="s">
        <v>117</v>
      </c>
      <c r="D66" s="2" t="str">
        <f>Employees[[#This Row],[Employee Name]]&amp;" ("&amp;Employees[[#This Row],[Personal ID]]&amp;")"</f>
        <v>Lovean, Earl (N20S000001071)</v>
      </c>
      <c r="E66" s="90">
        <v>1071</v>
      </c>
      <c r="F66" t="s">
        <v>17</v>
      </c>
      <c r="G66" t="s">
        <v>89</v>
      </c>
      <c r="L66" t="s">
        <v>264</v>
      </c>
      <c r="M66" t="s">
        <v>266</v>
      </c>
      <c r="N66" s="1">
        <v>0</v>
      </c>
      <c r="O66" s="1">
        <v>10000.99</v>
      </c>
      <c r="P66" s="1">
        <v>265</v>
      </c>
      <c r="Q66" s="1"/>
      <c r="R66" s="1">
        <f>VariablePayTable[[#This Row],[Base Amount]]+VariablePayTable[[#This Row],[Premium]]</f>
        <v>265</v>
      </c>
      <c r="AD66" s="54">
        <f t="shared" si="8"/>
        <v>43408</v>
      </c>
      <c r="AE66" s="54">
        <f t="shared" si="9"/>
        <v>43421</v>
      </c>
      <c r="AF66" s="122">
        <f t="shared" si="10"/>
        <v>43441</v>
      </c>
      <c r="AG66" s="54">
        <f>PayPeriods[[#This Row],[End]]+10</f>
        <v>43431</v>
      </c>
      <c r="AM66" s="9" t="s">
        <v>195</v>
      </c>
      <c r="AN66" t="s">
        <v>266</v>
      </c>
      <c r="AO66" s="99" t="s">
        <v>263</v>
      </c>
      <c r="AP66" s="99">
        <v>40</v>
      </c>
      <c r="AQ66" s="99"/>
      <c r="AR66" s="99">
        <v>0</v>
      </c>
      <c r="AS66" s="99"/>
      <c r="AT66" s="33">
        <v>0</v>
      </c>
    </row>
    <row r="67" spans="1:46" x14ac:dyDescent="0.25">
      <c r="A67" t="s">
        <v>110</v>
      </c>
      <c r="B67" t="s">
        <v>111</v>
      </c>
      <c r="C67" t="s">
        <v>183</v>
      </c>
      <c r="D67" s="2" t="str">
        <f>Employees[[#This Row],[Employee Name]]&amp;" ("&amp;Employees[[#This Row],[Personal ID]]&amp;")"</f>
        <v>Ludington, Jayden (N20S000001514)</v>
      </c>
      <c r="E67" s="90">
        <v>1514</v>
      </c>
      <c r="F67" t="s">
        <v>18</v>
      </c>
      <c r="G67" t="s">
        <v>89</v>
      </c>
      <c r="L67" t="s">
        <v>264</v>
      </c>
      <c r="M67" t="s">
        <v>266</v>
      </c>
      <c r="N67" s="1">
        <v>10001</v>
      </c>
      <c r="O67" s="1">
        <v>20000.990000000002</v>
      </c>
      <c r="P67" s="1">
        <v>315</v>
      </c>
      <c r="Q67" s="1"/>
      <c r="R67" s="1">
        <f>VariablePayTable[[#This Row],[Base Amount]]+VariablePayTable[[#This Row],[Premium]]</f>
        <v>315</v>
      </c>
      <c r="AD67" s="54">
        <f t="shared" si="8"/>
        <v>43422</v>
      </c>
      <c r="AE67" s="54">
        <f t="shared" si="9"/>
        <v>43435</v>
      </c>
      <c r="AF67" s="122">
        <f t="shared" si="10"/>
        <v>43455</v>
      </c>
      <c r="AG67" s="54">
        <f>PayPeriods[[#This Row],[End]]+10</f>
        <v>43445</v>
      </c>
      <c r="AM67" s="9" t="s">
        <v>195</v>
      </c>
      <c r="AN67" s="99" t="s">
        <v>117</v>
      </c>
      <c r="AO67" s="99" t="s">
        <v>264</v>
      </c>
      <c r="AP67" s="99">
        <v>40</v>
      </c>
      <c r="AQ67" s="99"/>
      <c r="AR67" s="99">
        <v>0</v>
      </c>
      <c r="AS67" s="99"/>
      <c r="AT67" s="33">
        <v>0</v>
      </c>
    </row>
    <row r="68" spans="1:46" x14ac:dyDescent="0.25">
      <c r="A68" t="s">
        <v>252</v>
      </c>
      <c r="B68" t="s">
        <v>85</v>
      </c>
      <c r="C68" t="s">
        <v>118</v>
      </c>
      <c r="D68" s="2" t="str">
        <f>Employees[[#This Row],[Employee Name]]&amp;" ("&amp;Employees[[#This Row],[Personal ID]]&amp;")"</f>
        <v>MacLean, Joshua (N20S000001301)</v>
      </c>
      <c r="E68" s="90">
        <v>1301</v>
      </c>
      <c r="F68" t="s">
        <v>18</v>
      </c>
      <c r="G68" t="s">
        <v>89</v>
      </c>
      <c r="L68" t="s">
        <v>264</v>
      </c>
      <c r="M68" t="s">
        <v>266</v>
      </c>
      <c r="N68" s="1">
        <v>20001</v>
      </c>
      <c r="O68" s="1">
        <v>1000000.99</v>
      </c>
      <c r="P68" s="1">
        <v>315</v>
      </c>
      <c r="Q68" s="1"/>
      <c r="R68" s="1">
        <f>VariablePayTable[[#This Row],[Base Amount]]+VariablePayTable[[#This Row],[Premium]]</f>
        <v>315</v>
      </c>
      <c r="AD68" s="54">
        <f t="shared" si="8"/>
        <v>43436</v>
      </c>
      <c r="AE68" s="54">
        <f t="shared" si="9"/>
        <v>43449</v>
      </c>
      <c r="AF68" s="122">
        <f t="shared" si="10"/>
        <v>43469</v>
      </c>
      <c r="AG68" s="54">
        <f>PayPeriods[[#This Row],[End]]+10</f>
        <v>43459</v>
      </c>
      <c r="AM68" s="9" t="s">
        <v>195</v>
      </c>
      <c r="AN68" s="99" t="s">
        <v>117</v>
      </c>
      <c r="AO68" s="99" t="s">
        <v>263</v>
      </c>
      <c r="AP68" s="99">
        <v>40</v>
      </c>
      <c r="AQ68" s="99"/>
      <c r="AR68" s="99">
        <v>0</v>
      </c>
      <c r="AS68" s="99"/>
      <c r="AT68" s="33">
        <v>0</v>
      </c>
    </row>
    <row r="69" spans="1:46" x14ac:dyDescent="0.25">
      <c r="A69" t="s">
        <v>247</v>
      </c>
      <c r="B69" t="s">
        <v>45</v>
      </c>
      <c r="C69" t="s">
        <v>118</v>
      </c>
      <c r="D69" s="2" t="str">
        <f>Employees[[#This Row],[Employee Name]]&amp;" ("&amp;Employees[[#This Row],[Personal ID]]&amp;")"</f>
        <v>Magundayao, Phil (N20S000001120)</v>
      </c>
      <c r="E69" s="90">
        <v>1120</v>
      </c>
      <c r="F69" t="s">
        <v>72</v>
      </c>
      <c r="G69" t="s">
        <v>89</v>
      </c>
      <c r="L69" t="s">
        <v>263</v>
      </c>
      <c r="M69" t="s">
        <v>262</v>
      </c>
      <c r="N69" s="1">
        <v>0</v>
      </c>
      <c r="O69" s="1">
        <v>10000.99</v>
      </c>
      <c r="P69" s="1">
        <v>250</v>
      </c>
      <c r="Q69" s="1"/>
      <c r="R69" s="1">
        <f>VariablePayTable[[#This Row],[Base Amount]]+VariablePayTable[[#This Row],[Premium]]</f>
        <v>250</v>
      </c>
      <c r="AD69" s="54">
        <f t="shared" si="8"/>
        <v>43450</v>
      </c>
      <c r="AE69" s="54">
        <f t="shared" si="9"/>
        <v>43463</v>
      </c>
      <c r="AF69" s="122">
        <f t="shared" si="10"/>
        <v>43483</v>
      </c>
      <c r="AG69" s="54">
        <f>PayPeriods[[#This Row],[End]]+10</f>
        <v>43473</v>
      </c>
      <c r="AM69" s="9" t="s">
        <v>195</v>
      </c>
      <c r="AN69" s="99" t="s">
        <v>118</v>
      </c>
      <c r="AO69" s="99" t="s">
        <v>264</v>
      </c>
      <c r="AP69" s="99">
        <v>40</v>
      </c>
      <c r="AQ69" s="99"/>
      <c r="AR69" s="99">
        <v>0</v>
      </c>
      <c r="AS69" s="99"/>
      <c r="AT69" s="33">
        <v>0</v>
      </c>
    </row>
    <row r="70" spans="1:46" x14ac:dyDescent="0.25">
      <c r="A70" t="s">
        <v>83</v>
      </c>
      <c r="B70" t="s">
        <v>84</v>
      </c>
      <c r="C70" t="s">
        <v>115</v>
      </c>
      <c r="D70" s="2" t="str">
        <f>Employees[[#This Row],[Employee Name]]&amp;" ("&amp;Employees[[#This Row],[Personal ID]]&amp;")"</f>
        <v>Mamer, Colton (N20S000001291)</v>
      </c>
      <c r="E70" s="90">
        <v>1291</v>
      </c>
      <c r="F70" t="s">
        <v>261</v>
      </c>
      <c r="G70" t="s">
        <v>257</v>
      </c>
      <c r="L70" t="s">
        <v>263</v>
      </c>
      <c r="M70" t="s">
        <v>262</v>
      </c>
      <c r="N70" s="1">
        <v>10001</v>
      </c>
      <c r="O70" s="1">
        <v>20000.990000000002</v>
      </c>
      <c r="P70" s="1">
        <v>280</v>
      </c>
      <c r="Q70" s="1"/>
      <c r="R70" s="1">
        <f>VariablePayTable[[#This Row],[Base Amount]]+VariablePayTable[[#This Row],[Premium]]</f>
        <v>280</v>
      </c>
      <c r="AD70" s="54">
        <f t="shared" si="8"/>
        <v>43464</v>
      </c>
      <c r="AE70" s="54">
        <f t="shared" si="9"/>
        <v>43477</v>
      </c>
      <c r="AF70" s="122">
        <f t="shared" si="10"/>
        <v>43497</v>
      </c>
      <c r="AG70" s="54">
        <f>PayPeriods[[#This Row],[End]]+10</f>
        <v>43487</v>
      </c>
      <c r="AM70" s="9" t="s">
        <v>195</v>
      </c>
      <c r="AN70" s="99" t="s">
        <v>118</v>
      </c>
      <c r="AO70" s="99" t="s">
        <v>263</v>
      </c>
      <c r="AP70" s="99">
        <v>40</v>
      </c>
      <c r="AQ70" s="99"/>
      <c r="AR70" s="99">
        <v>0</v>
      </c>
      <c r="AS70" s="99"/>
      <c r="AT70" s="33">
        <v>0</v>
      </c>
    </row>
    <row r="71" spans="1:46" x14ac:dyDescent="0.25">
      <c r="A71" t="s">
        <v>321</v>
      </c>
      <c r="B71" t="s">
        <v>322</v>
      </c>
      <c r="C71" t="s">
        <v>116</v>
      </c>
      <c r="D71" s="2" t="str">
        <f>Employees[[#This Row],[Employee Name]]&amp;" ("&amp;Employees[[#This Row],[Personal ID]]&amp;")"</f>
        <v>Martin, Sharla (N20S000001871)</v>
      </c>
      <c r="E71" s="90">
        <v>1871</v>
      </c>
      <c r="F71" t="s">
        <v>17</v>
      </c>
      <c r="G71" t="s">
        <v>89</v>
      </c>
      <c r="L71" t="s">
        <v>263</v>
      </c>
      <c r="M71" t="s">
        <v>262</v>
      </c>
      <c r="N71" s="1">
        <v>20001</v>
      </c>
      <c r="O71" s="1">
        <v>1000000.99</v>
      </c>
      <c r="P71" s="1">
        <v>280</v>
      </c>
      <c r="Q71" s="1"/>
      <c r="R71" s="1">
        <f>VariablePayTable[[#This Row],[Base Amount]]+VariablePayTable[[#This Row],[Premium]]</f>
        <v>280</v>
      </c>
      <c r="AD71" s="54">
        <f t="shared" si="8"/>
        <v>43478</v>
      </c>
      <c r="AE71" s="54">
        <f t="shared" si="9"/>
        <v>43491</v>
      </c>
      <c r="AF71" s="122">
        <f t="shared" si="10"/>
        <v>43511</v>
      </c>
      <c r="AG71" s="54">
        <f>PayPeriods[[#This Row],[End]]+10</f>
        <v>43501</v>
      </c>
      <c r="AM71" s="9" t="s">
        <v>195</v>
      </c>
      <c r="AN71" s="99" t="s">
        <v>119</v>
      </c>
      <c r="AO71" s="99" t="s">
        <v>264</v>
      </c>
      <c r="AP71" s="99">
        <v>40</v>
      </c>
      <c r="AQ71" s="99"/>
      <c r="AR71" s="99">
        <v>0</v>
      </c>
      <c r="AS71" s="99"/>
      <c r="AT71" s="33">
        <v>0</v>
      </c>
    </row>
    <row r="72" spans="1:46" x14ac:dyDescent="0.25">
      <c r="A72" t="s">
        <v>308</v>
      </c>
      <c r="B72" t="s">
        <v>309</v>
      </c>
      <c r="C72" t="s">
        <v>116</v>
      </c>
      <c r="D72" s="2" t="str">
        <f>Employees[[#This Row],[Employee Name]]&amp;" ("&amp;Employees[[#This Row],[Personal ID]]&amp;")"</f>
        <v>McCaw, Brad (N20S000001111)</v>
      </c>
      <c r="E72" s="90">
        <v>1111</v>
      </c>
      <c r="F72" t="s">
        <v>72</v>
      </c>
      <c r="G72" t="s">
        <v>89</v>
      </c>
      <c r="L72" t="s">
        <v>264</v>
      </c>
      <c r="M72" t="s">
        <v>262</v>
      </c>
      <c r="N72" s="1">
        <v>0</v>
      </c>
      <c r="O72" s="1">
        <v>10000.99</v>
      </c>
      <c r="P72" s="1">
        <v>215</v>
      </c>
      <c r="Q72" s="1"/>
      <c r="R72" s="1">
        <f>VariablePayTable[[#This Row],[Base Amount]]+VariablePayTable[[#This Row],[Premium]]</f>
        <v>215</v>
      </c>
      <c r="AD72" s="54">
        <f t="shared" si="8"/>
        <v>43492</v>
      </c>
      <c r="AE72" s="54">
        <f t="shared" si="9"/>
        <v>43505</v>
      </c>
      <c r="AF72" s="122">
        <f t="shared" si="10"/>
        <v>43525</v>
      </c>
      <c r="AG72" s="54">
        <f>PayPeriods[[#This Row],[End]]+10</f>
        <v>43515</v>
      </c>
      <c r="AM72" s="9" t="s">
        <v>195</v>
      </c>
      <c r="AN72" s="99" t="s">
        <v>119</v>
      </c>
      <c r="AO72" s="99" t="s">
        <v>263</v>
      </c>
      <c r="AP72" s="99">
        <v>40</v>
      </c>
      <c r="AQ72" s="99"/>
      <c r="AR72" s="99">
        <v>0</v>
      </c>
      <c r="AS72" s="99"/>
      <c r="AT72" s="33">
        <v>0</v>
      </c>
    </row>
    <row r="73" spans="1:46" x14ac:dyDescent="0.25">
      <c r="A73" t="s">
        <v>347</v>
      </c>
      <c r="B73" t="s">
        <v>348</v>
      </c>
      <c r="C73" t="s">
        <v>183</v>
      </c>
      <c r="D73" s="2" t="str">
        <f>Employees[[#This Row],[Employee Name]]&amp;" ("&amp;Employees[[#This Row],[Personal ID]]&amp;")"</f>
        <v>McCooeye, Sean (N20S000001882)</v>
      </c>
      <c r="E73" s="90">
        <v>1882</v>
      </c>
      <c r="F73" t="s">
        <v>259</v>
      </c>
      <c r="G73" t="s">
        <v>89</v>
      </c>
      <c r="L73" t="s">
        <v>264</v>
      </c>
      <c r="M73" t="s">
        <v>262</v>
      </c>
      <c r="N73" s="1">
        <v>10001</v>
      </c>
      <c r="O73" s="1">
        <v>20000.990000000002</v>
      </c>
      <c r="P73" s="1">
        <v>245</v>
      </c>
      <c r="Q73" s="1"/>
      <c r="R73" s="1">
        <f>VariablePayTable[[#This Row],[Base Amount]]+VariablePayTable[[#This Row],[Premium]]</f>
        <v>245</v>
      </c>
      <c r="AD73" s="54">
        <f t="shared" si="8"/>
        <v>43506</v>
      </c>
      <c r="AE73" s="54">
        <f t="shared" si="9"/>
        <v>43519</v>
      </c>
      <c r="AF73" s="122">
        <f t="shared" si="10"/>
        <v>43539</v>
      </c>
      <c r="AG73" s="54">
        <f>PayPeriods[[#This Row],[End]]+10</f>
        <v>43529</v>
      </c>
      <c r="AM73" s="9" t="s">
        <v>195</v>
      </c>
      <c r="AN73" s="99" t="s">
        <v>120</v>
      </c>
      <c r="AO73" s="99" t="s">
        <v>264</v>
      </c>
      <c r="AP73" s="99">
        <v>40</v>
      </c>
      <c r="AQ73" s="99"/>
      <c r="AR73" s="99">
        <v>0</v>
      </c>
      <c r="AS73" s="99"/>
      <c r="AT73" s="33">
        <v>0</v>
      </c>
    </row>
    <row r="74" spans="1:46" x14ac:dyDescent="0.25">
      <c r="A74" t="s">
        <v>391</v>
      </c>
      <c r="B74" t="s">
        <v>392</v>
      </c>
      <c r="C74" t="s">
        <v>183</v>
      </c>
      <c r="D74" s="2" t="str">
        <f>Employees[[#This Row],[Employee Name]]&amp;" ("&amp;Employees[[#This Row],[Personal ID]]&amp;")"</f>
        <v>McDonell, Andrew (N20S000031133)</v>
      </c>
      <c r="E74" s="90">
        <v>1133</v>
      </c>
      <c r="F74" t="s">
        <v>259</v>
      </c>
      <c r="G74" t="s">
        <v>89</v>
      </c>
      <c r="L74" t="s">
        <v>264</v>
      </c>
      <c r="M74" t="s">
        <v>262</v>
      </c>
      <c r="N74" s="1">
        <v>20001</v>
      </c>
      <c r="O74" s="1">
        <v>1000000.99</v>
      </c>
      <c r="P74" s="1">
        <v>245</v>
      </c>
      <c r="Q74" s="1"/>
      <c r="R74" s="1">
        <f>VariablePayTable[[#This Row],[Base Amount]]+VariablePayTable[[#This Row],[Premium]]</f>
        <v>245</v>
      </c>
      <c r="AD74" s="54">
        <f t="shared" si="8"/>
        <v>43520</v>
      </c>
      <c r="AE74" s="54">
        <f t="shared" si="9"/>
        <v>43533</v>
      </c>
      <c r="AF74" s="122">
        <f t="shared" si="10"/>
        <v>43553</v>
      </c>
      <c r="AG74" s="54">
        <f>PayPeriods[[#This Row],[End]]+10</f>
        <v>43543</v>
      </c>
      <c r="AM74" s="9" t="s">
        <v>195</v>
      </c>
      <c r="AN74" s="99" t="s">
        <v>120</v>
      </c>
      <c r="AO74" s="99" t="s">
        <v>263</v>
      </c>
      <c r="AP74" s="99">
        <v>40</v>
      </c>
      <c r="AQ74" s="99"/>
      <c r="AR74" s="99">
        <v>0</v>
      </c>
      <c r="AS74" s="99"/>
      <c r="AT74" s="33">
        <v>0</v>
      </c>
    </row>
    <row r="75" spans="1:46" x14ac:dyDescent="0.25">
      <c r="A75" t="s">
        <v>295</v>
      </c>
      <c r="B75" t="s">
        <v>296</v>
      </c>
      <c r="C75" t="s">
        <v>121</v>
      </c>
      <c r="D75" s="2" t="str">
        <f>Employees[[#This Row],[Employee Name]]&amp;" ("&amp;Employees[[#This Row],[Personal ID]]&amp;")"</f>
        <v>McGill, Andrew (N20S000011604)</v>
      </c>
      <c r="E75" s="90">
        <v>1604</v>
      </c>
      <c r="F75" t="s">
        <v>20</v>
      </c>
      <c r="G75" t="s">
        <v>257</v>
      </c>
      <c r="AD75" s="54">
        <f t="shared" si="8"/>
        <v>43534</v>
      </c>
      <c r="AE75" s="54">
        <f t="shared" si="9"/>
        <v>43547</v>
      </c>
      <c r="AF75" s="122">
        <f t="shared" si="10"/>
        <v>43567</v>
      </c>
      <c r="AG75" s="54">
        <f>PayPeriods[[#This Row],[End]]+10</f>
        <v>43557</v>
      </c>
      <c r="AM75" s="9" t="s">
        <v>195</v>
      </c>
      <c r="AN75" s="99" t="s">
        <v>121</v>
      </c>
      <c r="AO75" s="99" t="s">
        <v>264</v>
      </c>
      <c r="AP75" s="99">
        <v>40</v>
      </c>
      <c r="AQ75" s="99"/>
      <c r="AR75" s="99">
        <v>0</v>
      </c>
      <c r="AS75" s="99"/>
      <c r="AT75" s="33">
        <v>0</v>
      </c>
    </row>
    <row r="76" spans="1:46" x14ac:dyDescent="0.25">
      <c r="A76" t="s">
        <v>385</v>
      </c>
      <c r="B76" t="s">
        <v>386</v>
      </c>
      <c r="C76" t="s">
        <v>116</v>
      </c>
      <c r="D76" s="2" t="str">
        <f>Employees[[#This Row],[Employee Name]]&amp;" ("&amp;Employees[[#This Row],[Personal ID]]&amp;")"</f>
        <v>McNeil, Sean (N20S000011898)</v>
      </c>
      <c r="E76" s="90">
        <v>1898</v>
      </c>
      <c r="F76" t="s">
        <v>261</v>
      </c>
      <c r="G76" t="s">
        <v>257</v>
      </c>
      <c r="AD76" s="54">
        <f t="shared" si="8"/>
        <v>43548</v>
      </c>
      <c r="AE76" s="54">
        <f t="shared" si="9"/>
        <v>43561</v>
      </c>
      <c r="AF76" s="122">
        <f t="shared" si="10"/>
        <v>43581</v>
      </c>
      <c r="AG76" s="54">
        <f>PayPeriods[[#This Row],[End]]+10</f>
        <v>43571</v>
      </c>
      <c r="AM76" s="9" t="s">
        <v>195</v>
      </c>
      <c r="AN76" s="99" t="s">
        <v>121</v>
      </c>
      <c r="AO76" s="99" t="s">
        <v>263</v>
      </c>
      <c r="AP76" s="99">
        <v>40</v>
      </c>
      <c r="AQ76" s="99"/>
      <c r="AR76" s="99">
        <v>0</v>
      </c>
      <c r="AS76" s="99"/>
      <c r="AT76" s="33">
        <v>0</v>
      </c>
    </row>
    <row r="77" spans="1:46" x14ac:dyDescent="0.25">
      <c r="A77" t="s">
        <v>316</v>
      </c>
      <c r="B77" t="s">
        <v>317</v>
      </c>
      <c r="C77" t="s">
        <v>114</v>
      </c>
      <c r="D77" s="2" t="str">
        <f>Employees[[#This Row],[Employee Name]]&amp;" ("&amp;Employees[[#This Row],[Personal ID]]&amp;")"</f>
        <v>Mercier, Christian (N20S000001843)</v>
      </c>
      <c r="E77" s="90">
        <v>1843</v>
      </c>
      <c r="F77" t="s">
        <v>17</v>
      </c>
      <c r="G77" t="s">
        <v>89</v>
      </c>
      <c r="AD77" s="54">
        <f t="shared" si="8"/>
        <v>43562</v>
      </c>
      <c r="AE77" s="54">
        <f t="shared" si="9"/>
        <v>43575</v>
      </c>
      <c r="AF77" s="122">
        <f t="shared" si="10"/>
        <v>43595</v>
      </c>
      <c r="AG77" s="54">
        <f>PayPeriods[[#This Row],[End]]+10</f>
        <v>43585</v>
      </c>
      <c r="AM77" s="9" t="s">
        <v>195</v>
      </c>
      <c r="AN77" s="99" t="s">
        <v>115</v>
      </c>
      <c r="AO77" s="99" t="s">
        <v>264</v>
      </c>
      <c r="AP77" s="99">
        <v>40</v>
      </c>
      <c r="AQ77" s="99"/>
      <c r="AR77" s="99">
        <v>0</v>
      </c>
      <c r="AS77" s="99"/>
      <c r="AT77" s="33">
        <v>0</v>
      </c>
    </row>
    <row r="78" spans="1:46" x14ac:dyDescent="0.25">
      <c r="A78" t="s">
        <v>191</v>
      </c>
      <c r="B78" t="s">
        <v>192</v>
      </c>
      <c r="C78" t="s">
        <v>115</v>
      </c>
      <c r="D78" s="2" t="str">
        <f>Employees[[#This Row],[Employee Name]]&amp;" ("&amp;Employees[[#This Row],[Personal ID]]&amp;")"</f>
        <v>Metters, Jordan (N20S000011842)</v>
      </c>
      <c r="E78" s="90">
        <v>1842</v>
      </c>
      <c r="F78" t="s">
        <v>256</v>
      </c>
      <c r="G78" t="s">
        <v>257</v>
      </c>
      <c r="AD78" s="54">
        <f t="shared" si="8"/>
        <v>43576</v>
      </c>
      <c r="AE78" s="54">
        <f t="shared" si="9"/>
        <v>43589</v>
      </c>
      <c r="AF78" s="122">
        <f t="shared" si="10"/>
        <v>43609</v>
      </c>
      <c r="AG78" s="54">
        <f>PayPeriods[[#This Row],[End]]+10</f>
        <v>43599</v>
      </c>
      <c r="AM78" s="9" t="s">
        <v>195</v>
      </c>
      <c r="AN78" s="99" t="s">
        <v>115</v>
      </c>
      <c r="AO78" s="99" t="s">
        <v>263</v>
      </c>
      <c r="AP78" s="99">
        <v>40</v>
      </c>
      <c r="AQ78" s="99"/>
      <c r="AR78" s="99">
        <v>0</v>
      </c>
      <c r="AS78" s="99"/>
      <c r="AT78" s="33">
        <v>0</v>
      </c>
    </row>
    <row r="79" spans="1:46" x14ac:dyDescent="0.25">
      <c r="A79" t="s">
        <v>372</v>
      </c>
      <c r="B79" t="s">
        <v>373</v>
      </c>
      <c r="C79" t="s">
        <v>360</v>
      </c>
      <c r="D79" s="2" t="str">
        <f>Employees[[#This Row],[Employee Name]]&amp;" ("&amp;Employees[[#This Row],[Personal ID]]&amp;")"</f>
        <v>Michalko, Martin (N20S000001887)</v>
      </c>
      <c r="E79" s="90">
        <v>1887</v>
      </c>
      <c r="F79" t="s">
        <v>259</v>
      </c>
      <c r="G79" t="s">
        <v>89</v>
      </c>
      <c r="AD79" s="54">
        <f t="shared" si="8"/>
        <v>43590</v>
      </c>
      <c r="AE79" s="54">
        <f t="shared" si="9"/>
        <v>43603</v>
      </c>
      <c r="AF79" s="122">
        <f t="shared" si="10"/>
        <v>43623</v>
      </c>
      <c r="AG79" s="54">
        <f>PayPeriods[[#This Row],[End]]+10</f>
        <v>43613</v>
      </c>
      <c r="AM79" s="9" t="s">
        <v>195</v>
      </c>
      <c r="AN79" s="99" t="s">
        <v>114</v>
      </c>
      <c r="AO79" s="99" t="s">
        <v>264</v>
      </c>
      <c r="AP79" s="99">
        <v>40</v>
      </c>
      <c r="AQ79" s="99"/>
      <c r="AR79" s="99">
        <v>0</v>
      </c>
      <c r="AS79" s="99"/>
      <c r="AT79" s="33">
        <v>0</v>
      </c>
    </row>
    <row r="80" spans="1:46" x14ac:dyDescent="0.25">
      <c r="A80" t="s">
        <v>291</v>
      </c>
      <c r="B80" t="s">
        <v>292</v>
      </c>
      <c r="C80" t="s">
        <v>121</v>
      </c>
      <c r="D80" s="2" t="str">
        <f>Employees[[#This Row],[Employee Name]]&amp;" ("&amp;Employees[[#This Row],[Personal ID]]&amp;")"</f>
        <v>Mokelky, Colton (N20S000001134)</v>
      </c>
      <c r="E80" s="90">
        <v>1134</v>
      </c>
      <c r="F80" t="s">
        <v>260</v>
      </c>
      <c r="G80" t="s">
        <v>89</v>
      </c>
      <c r="AD80" s="54">
        <f t="shared" si="8"/>
        <v>43604</v>
      </c>
      <c r="AE80" s="54">
        <f t="shared" si="9"/>
        <v>43617</v>
      </c>
      <c r="AF80" s="122">
        <f t="shared" si="10"/>
        <v>43637</v>
      </c>
      <c r="AG80" s="54">
        <f>PayPeriods[[#This Row],[End]]+10</f>
        <v>43627</v>
      </c>
      <c r="AM80" s="9" t="s">
        <v>195</v>
      </c>
      <c r="AN80" s="100" t="s">
        <v>114</v>
      </c>
      <c r="AO80" s="100" t="s">
        <v>263</v>
      </c>
      <c r="AP80" s="99">
        <v>40</v>
      </c>
      <c r="AQ80" s="100"/>
      <c r="AR80" s="100">
        <v>0</v>
      </c>
      <c r="AS80" s="100"/>
      <c r="AT80" s="33">
        <v>0</v>
      </c>
    </row>
    <row r="81" spans="1:46" x14ac:dyDescent="0.25">
      <c r="A81" t="s">
        <v>374</v>
      </c>
      <c r="B81" t="s">
        <v>375</v>
      </c>
      <c r="C81" t="s">
        <v>360</v>
      </c>
      <c r="D81" s="2" t="str">
        <f>Employees[[#This Row],[Employee Name]]&amp;" ("&amp;Employees[[#This Row],[Personal ID]]&amp;")"</f>
        <v>Morin, Cole (N20S000001890)</v>
      </c>
      <c r="E81" s="90">
        <v>1890</v>
      </c>
      <c r="F81" t="s">
        <v>259</v>
      </c>
      <c r="G81" t="s">
        <v>89</v>
      </c>
      <c r="AD81" s="54">
        <f t="shared" si="8"/>
        <v>43618</v>
      </c>
      <c r="AE81" s="54">
        <f t="shared" si="9"/>
        <v>43631</v>
      </c>
      <c r="AF81" s="122">
        <f t="shared" si="10"/>
        <v>43651</v>
      </c>
      <c r="AG81" s="54">
        <f>PayPeriods[[#This Row],[End]]+10</f>
        <v>43641</v>
      </c>
      <c r="AM81" s="9" t="s">
        <v>195</v>
      </c>
      <c r="AN81" s="96" t="s">
        <v>270</v>
      </c>
      <c r="AO81" s="99" t="s">
        <v>264</v>
      </c>
      <c r="AP81" s="99">
        <v>40</v>
      </c>
      <c r="AQ81" s="99"/>
      <c r="AR81" s="99">
        <v>0</v>
      </c>
      <c r="AS81" s="99"/>
      <c r="AT81" s="33">
        <v>0</v>
      </c>
    </row>
    <row r="82" spans="1:46" x14ac:dyDescent="0.25">
      <c r="A82" t="s">
        <v>249</v>
      </c>
      <c r="B82" t="s">
        <v>53</v>
      </c>
      <c r="C82" t="s">
        <v>118</v>
      </c>
      <c r="D82" s="2" t="str">
        <f>Employees[[#This Row],[Employee Name]]&amp;" ("&amp;Employees[[#This Row],[Personal ID]]&amp;")"</f>
        <v>Nickolson, Jeff (N20S000001136)</v>
      </c>
      <c r="E82" s="90">
        <v>1136</v>
      </c>
      <c r="F82" t="s">
        <v>260</v>
      </c>
      <c r="G82" t="s">
        <v>89</v>
      </c>
      <c r="AD82" s="54">
        <f t="shared" si="8"/>
        <v>43632</v>
      </c>
      <c r="AE82" s="54">
        <f t="shared" si="9"/>
        <v>43645</v>
      </c>
      <c r="AF82" s="122">
        <f t="shared" si="10"/>
        <v>43665</v>
      </c>
      <c r="AG82" s="54">
        <f>PayPeriods[[#This Row],[End]]+10</f>
        <v>43655</v>
      </c>
      <c r="AM82" s="9" t="s">
        <v>195</v>
      </c>
      <c r="AN82" s="96" t="s">
        <v>270</v>
      </c>
      <c r="AO82" s="100" t="s">
        <v>263</v>
      </c>
      <c r="AP82" s="99">
        <v>40</v>
      </c>
      <c r="AQ82" s="100"/>
      <c r="AR82" s="100">
        <v>0</v>
      </c>
      <c r="AS82" s="100"/>
      <c r="AT82" s="33">
        <v>0</v>
      </c>
    </row>
    <row r="83" spans="1:46" x14ac:dyDescent="0.25">
      <c r="A83" t="s">
        <v>43</v>
      </c>
      <c r="B83" t="s">
        <v>44</v>
      </c>
      <c r="C83" t="s">
        <v>121</v>
      </c>
      <c r="D83" s="2" t="str">
        <f>Employees[[#This Row],[Employee Name]]&amp;" ("&amp;Employees[[#This Row],[Personal ID]]&amp;")"</f>
        <v>Niemi, Darrel (N20S000001121)</v>
      </c>
      <c r="E83" s="90">
        <v>1121</v>
      </c>
      <c r="F83" t="s">
        <v>72</v>
      </c>
      <c r="G83" t="s">
        <v>89</v>
      </c>
      <c r="AD83" s="54">
        <f t="shared" si="8"/>
        <v>43646</v>
      </c>
      <c r="AE83" s="54">
        <f t="shared" si="9"/>
        <v>43659</v>
      </c>
      <c r="AF83" s="122">
        <f t="shared" si="10"/>
        <v>43679</v>
      </c>
      <c r="AG83" s="54">
        <f>PayPeriods[[#This Row],[End]]+10</f>
        <v>43669</v>
      </c>
      <c r="AM83" s="86" t="s">
        <v>227</v>
      </c>
      <c r="AN83" t="s">
        <v>262</v>
      </c>
      <c r="AO83" s="96" t="s">
        <v>264</v>
      </c>
      <c r="AP83" s="86">
        <v>70</v>
      </c>
      <c r="AQ83" s="100"/>
      <c r="AR83" s="100">
        <v>0</v>
      </c>
      <c r="AS83" s="100"/>
      <c r="AT83" s="96">
        <v>600</v>
      </c>
    </row>
    <row r="84" spans="1:46" ht="15.75" customHeight="1" x14ac:dyDescent="0.25">
      <c r="A84" t="s">
        <v>239</v>
      </c>
      <c r="B84" t="s">
        <v>35</v>
      </c>
      <c r="C84" t="s">
        <v>118</v>
      </c>
      <c r="D84" s="2" t="str">
        <f>Employees[[#This Row],[Employee Name]]&amp;" ("&amp;Employees[[#This Row],[Personal ID]]&amp;")"</f>
        <v>Oatway, Peter (N20S000001072)</v>
      </c>
      <c r="E84" s="90">
        <v>1072</v>
      </c>
      <c r="F84" t="s">
        <v>18</v>
      </c>
      <c r="G84" t="s">
        <v>89</v>
      </c>
      <c r="AD84" s="54">
        <f t="shared" si="8"/>
        <v>43660</v>
      </c>
      <c r="AE84" s="54">
        <f t="shared" si="9"/>
        <v>43673</v>
      </c>
      <c r="AF84" s="122">
        <f t="shared" si="10"/>
        <v>43693</v>
      </c>
      <c r="AG84" s="54">
        <f>PayPeriods[[#This Row],[End]]+10</f>
        <v>43683</v>
      </c>
      <c r="AM84" s="86" t="s">
        <v>227</v>
      </c>
      <c r="AN84" t="s">
        <v>262</v>
      </c>
      <c r="AO84" s="96" t="s">
        <v>263</v>
      </c>
      <c r="AP84" s="86">
        <v>70</v>
      </c>
      <c r="AQ84" s="100"/>
      <c r="AR84" s="100">
        <v>0</v>
      </c>
      <c r="AS84" s="100"/>
      <c r="AT84" s="96">
        <v>600</v>
      </c>
    </row>
    <row r="85" spans="1:46" x14ac:dyDescent="0.25">
      <c r="A85" t="s">
        <v>297</v>
      </c>
      <c r="B85" t="s">
        <v>376</v>
      </c>
      <c r="C85" t="s">
        <v>266</v>
      </c>
      <c r="D85" s="2" t="str">
        <f>Employees[[#This Row],[Employee Name]]&amp;" ("&amp;Employees[[#This Row],[Personal ID]]&amp;")"</f>
        <v>Olson, Landon (N20S000001679)</v>
      </c>
      <c r="E85" s="90">
        <v>1679</v>
      </c>
      <c r="F85" t="s">
        <v>17</v>
      </c>
      <c r="G85" t="s">
        <v>89</v>
      </c>
      <c r="AD85" s="54">
        <f t="shared" si="8"/>
        <v>43674</v>
      </c>
      <c r="AE85" s="54">
        <f t="shared" si="9"/>
        <v>43687</v>
      </c>
      <c r="AF85" s="122">
        <f t="shared" si="10"/>
        <v>43707</v>
      </c>
      <c r="AG85" s="54">
        <f>PayPeriods[[#This Row],[End]]+10</f>
        <v>43697</v>
      </c>
      <c r="AM85" s="86" t="s">
        <v>227</v>
      </c>
      <c r="AN85" t="s">
        <v>266</v>
      </c>
      <c r="AO85" s="96" t="s">
        <v>264</v>
      </c>
      <c r="AP85" s="86">
        <v>70</v>
      </c>
      <c r="AQ85" s="100"/>
      <c r="AR85" s="100">
        <v>0</v>
      </c>
      <c r="AS85" s="100"/>
      <c r="AT85" s="96">
        <v>600</v>
      </c>
    </row>
    <row r="86" spans="1:46" x14ac:dyDescent="0.25">
      <c r="A86" t="s">
        <v>243</v>
      </c>
      <c r="B86" t="s">
        <v>38</v>
      </c>
      <c r="C86" t="s">
        <v>118</v>
      </c>
      <c r="D86" s="2" t="str">
        <f>Employees[[#This Row],[Employee Name]]&amp;" ("&amp;Employees[[#This Row],[Personal ID]]&amp;")"</f>
        <v>Parish, Jordan (N20S000001099)</v>
      </c>
      <c r="E86" s="90">
        <v>1099</v>
      </c>
      <c r="F86" t="s">
        <v>259</v>
      </c>
      <c r="G86" t="s">
        <v>89</v>
      </c>
      <c r="AD86" s="54">
        <f t="shared" si="8"/>
        <v>43688</v>
      </c>
      <c r="AE86" s="54">
        <f t="shared" si="9"/>
        <v>43701</v>
      </c>
      <c r="AF86" s="122">
        <f t="shared" si="10"/>
        <v>43721</v>
      </c>
      <c r="AG86" s="54">
        <f>PayPeriods[[#This Row],[End]]+10</f>
        <v>43711</v>
      </c>
      <c r="AM86" s="86" t="s">
        <v>227</v>
      </c>
      <c r="AN86" t="s">
        <v>266</v>
      </c>
      <c r="AO86" s="96" t="s">
        <v>263</v>
      </c>
      <c r="AP86" s="86">
        <v>70</v>
      </c>
      <c r="AQ86" s="100"/>
      <c r="AR86" s="100">
        <v>0</v>
      </c>
      <c r="AS86" s="100"/>
      <c r="AT86" s="96">
        <v>600</v>
      </c>
    </row>
    <row r="87" spans="1:46" x14ac:dyDescent="0.25">
      <c r="A87" t="s">
        <v>193</v>
      </c>
      <c r="B87" t="s">
        <v>194</v>
      </c>
      <c r="C87" t="s">
        <v>115</v>
      </c>
      <c r="D87" s="2" t="str">
        <f>Employees[[#This Row],[Employee Name]]&amp;" ("&amp;Employees[[#This Row],[Personal ID]]&amp;")"</f>
        <v>Penner, Cody (N20S000021848)</v>
      </c>
      <c r="E87" s="90">
        <v>1848</v>
      </c>
      <c r="F87" t="s">
        <v>258</v>
      </c>
      <c r="G87" t="s">
        <v>90</v>
      </c>
      <c r="AD87" s="54">
        <f t="shared" si="8"/>
        <v>43702</v>
      </c>
      <c r="AE87" s="54">
        <f t="shared" si="9"/>
        <v>43715</v>
      </c>
      <c r="AF87" s="122">
        <f t="shared" si="10"/>
        <v>43735</v>
      </c>
      <c r="AG87" s="54">
        <f>PayPeriods[[#This Row],[End]]+10</f>
        <v>43725</v>
      </c>
      <c r="AM87" s="86" t="s">
        <v>227</v>
      </c>
      <c r="AN87" t="s">
        <v>156</v>
      </c>
      <c r="AO87" s="86" t="s">
        <v>263</v>
      </c>
      <c r="AP87" s="86">
        <v>70</v>
      </c>
      <c r="AQ87" s="100"/>
      <c r="AR87" s="100">
        <v>0</v>
      </c>
      <c r="AS87" s="100"/>
      <c r="AT87" s="96">
        <v>600</v>
      </c>
    </row>
    <row r="88" spans="1:46" x14ac:dyDescent="0.25">
      <c r="A88" t="s">
        <v>169</v>
      </c>
      <c r="B88" t="s">
        <v>170</v>
      </c>
      <c r="C88" t="s">
        <v>183</v>
      </c>
      <c r="D88" s="2" t="str">
        <f>Employees[[#This Row],[Employee Name]]&amp;" ("&amp;Employees[[#This Row],[Personal ID]]&amp;")"</f>
        <v>Perron, Terry (N20S000001817)</v>
      </c>
      <c r="E88" s="90">
        <v>1817</v>
      </c>
      <c r="F88" t="s">
        <v>259</v>
      </c>
      <c r="G88" t="s">
        <v>89</v>
      </c>
      <c r="AD88" s="54">
        <f t="shared" si="8"/>
        <v>43716</v>
      </c>
      <c r="AE88" s="54">
        <f t="shared" si="9"/>
        <v>43729</v>
      </c>
      <c r="AF88" s="122">
        <f t="shared" si="10"/>
        <v>43749</v>
      </c>
      <c r="AG88" s="54">
        <f>PayPeriods[[#This Row],[End]]+10</f>
        <v>43739</v>
      </c>
      <c r="AM88" s="86" t="s">
        <v>227</v>
      </c>
      <c r="AN88" t="s">
        <v>155</v>
      </c>
      <c r="AO88" s="86" t="s">
        <v>263</v>
      </c>
      <c r="AP88" s="86">
        <v>70</v>
      </c>
      <c r="AQ88" s="100"/>
      <c r="AR88" s="100">
        <v>0</v>
      </c>
      <c r="AS88" s="100"/>
      <c r="AT88" s="96">
        <v>600</v>
      </c>
    </row>
    <row r="89" spans="1:46" x14ac:dyDescent="0.25">
      <c r="A89" t="s">
        <v>310</v>
      </c>
      <c r="B89" t="s">
        <v>311</v>
      </c>
      <c r="C89" t="s">
        <v>116</v>
      </c>
      <c r="D89" s="2" t="str">
        <f>Employees[[#This Row],[Employee Name]]&amp;" ("&amp;Employees[[#This Row],[Personal ID]]&amp;")"</f>
        <v>Peters, Kris (N20S000001160)</v>
      </c>
      <c r="E89" s="90">
        <v>1160</v>
      </c>
      <c r="F89" t="s">
        <v>261</v>
      </c>
      <c r="G89" t="s">
        <v>257</v>
      </c>
      <c r="AD89" s="54">
        <f t="shared" si="8"/>
        <v>43730</v>
      </c>
      <c r="AE89" s="54">
        <f t="shared" si="9"/>
        <v>43743</v>
      </c>
      <c r="AF89" s="122">
        <f t="shared" si="10"/>
        <v>43763</v>
      </c>
      <c r="AG89" s="54">
        <f>PayPeriods[[#This Row],[End]]+10</f>
        <v>43753</v>
      </c>
      <c r="AM89" s="86" t="s">
        <v>227</v>
      </c>
      <c r="AN89" t="s">
        <v>156</v>
      </c>
      <c r="AO89" s="86" t="s">
        <v>264</v>
      </c>
      <c r="AP89" s="86">
        <v>70</v>
      </c>
      <c r="AQ89" s="100"/>
      <c r="AR89" s="100">
        <v>0</v>
      </c>
      <c r="AS89" s="100"/>
      <c r="AT89" s="96">
        <v>600</v>
      </c>
    </row>
    <row r="90" spans="1:46" x14ac:dyDescent="0.25">
      <c r="A90" t="s">
        <v>349</v>
      </c>
      <c r="B90" t="s">
        <v>350</v>
      </c>
      <c r="C90" t="s">
        <v>183</v>
      </c>
      <c r="D90" s="2" t="str">
        <f>Employees[[#This Row],[Employee Name]]&amp;" ("&amp;Employees[[#This Row],[Personal ID]]&amp;")"</f>
        <v>Petitpas, Joe (N20S000001881)</v>
      </c>
      <c r="E90" s="90">
        <v>1881</v>
      </c>
      <c r="F90" t="s">
        <v>259</v>
      </c>
      <c r="G90" t="s">
        <v>89</v>
      </c>
      <c r="AD90" s="54">
        <f t="shared" si="8"/>
        <v>43744</v>
      </c>
      <c r="AE90" s="54">
        <f t="shared" si="9"/>
        <v>43757</v>
      </c>
      <c r="AF90" s="122">
        <f t="shared" si="10"/>
        <v>43777</v>
      </c>
      <c r="AG90" s="54">
        <f>PayPeriods[[#This Row],[End]]+10</f>
        <v>43767</v>
      </c>
      <c r="AM90" s="86" t="s">
        <v>227</v>
      </c>
      <c r="AN90" t="s">
        <v>155</v>
      </c>
      <c r="AO90" s="86" t="s">
        <v>264</v>
      </c>
      <c r="AP90" s="86">
        <v>70</v>
      </c>
      <c r="AQ90" s="100"/>
      <c r="AR90" s="100">
        <v>0</v>
      </c>
      <c r="AS90" s="100"/>
      <c r="AT90" s="96">
        <v>600</v>
      </c>
    </row>
    <row r="91" spans="1:46" x14ac:dyDescent="0.25">
      <c r="A91" t="s">
        <v>298</v>
      </c>
      <c r="B91" t="s">
        <v>299</v>
      </c>
      <c r="C91" t="s">
        <v>183</v>
      </c>
      <c r="D91" s="2" t="str">
        <f>Employees[[#This Row],[Employee Name]]&amp;" ("&amp;Employees[[#This Row],[Personal ID]]&amp;")"</f>
        <v>Pomerleau, John (N20S000001862)</v>
      </c>
      <c r="E91" s="90">
        <v>1862</v>
      </c>
      <c r="F91" t="s">
        <v>259</v>
      </c>
      <c r="G91" t="s">
        <v>89</v>
      </c>
      <c r="AD91" s="54">
        <f t="shared" si="8"/>
        <v>43758</v>
      </c>
      <c r="AE91" s="54">
        <f t="shared" si="9"/>
        <v>43771</v>
      </c>
      <c r="AF91" s="122">
        <f t="shared" si="10"/>
        <v>43791</v>
      </c>
      <c r="AG91" s="54">
        <f>PayPeriods[[#This Row],[End]]+10</f>
        <v>43781</v>
      </c>
      <c r="AM91" s="86" t="s">
        <v>181</v>
      </c>
      <c r="AN91" s="86" t="s">
        <v>183</v>
      </c>
      <c r="AO91" s="86" t="s">
        <v>263</v>
      </c>
      <c r="AP91" s="86">
        <v>70</v>
      </c>
      <c r="AQ91" s="86"/>
      <c r="AR91" s="86">
        <v>0.25</v>
      </c>
      <c r="AS91" s="86"/>
      <c r="AT91" s="86">
        <v>0</v>
      </c>
    </row>
    <row r="92" spans="1:46" x14ac:dyDescent="0.25">
      <c r="A92" t="s">
        <v>171</v>
      </c>
      <c r="B92" t="s">
        <v>172</v>
      </c>
      <c r="C92" t="s">
        <v>183</v>
      </c>
      <c r="D92" s="2" t="str">
        <f>Employees[[#This Row],[Employee Name]]&amp;" ("&amp;Employees[[#This Row],[Personal ID]]&amp;")"</f>
        <v>Racine, Eugene (N20S000001818)</v>
      </c>
      <c r="E92" s="90">
        <v>1818</v>
      </c>
      <c r="F92" t="s">
        <v>259</v>
      </c>
      <c r="G92" t="s">
        <v>89</v>
      </c>
      <c r="AD92" s="54">
        <f t="shared" si="8"/>
        <v>43772</v>
      </c>
      <c r="AE92" s="54">
        <f t="shared" si="9"/>
        <v>43785</v>
      </c>
      <c r="AF92" s="122">
        <f t="shared" si="10"/>
        <v>43805</v>
      </c>
      <c r="AG92" s="54">
        <f>PayPeriods[[#This Row],[End]]+10</f>
        <v>43795</v>
      </c>
      <c r="AM92" s="86" t="s">
        <v>181</v>
      </c>
      <c r="AN92" s="86" t="s">
        <v>183</v>
      </c>
      <c r="AO92" s="86" t="s">
        <v>264</v>
      </c>
      <c r="AP92" s="86">
        <v>70</v>
      </c>
      <c r="AQ92" s="86"/>
      <c r="AR92" s="86">
        <v>0.25</v>
      </c>
      <c r="AS92" s="86"/>
      <c r="AT92" s="86">
        <v>0</v>
      </c>
    </row>
    <row r="93" spans="1:46" x14ac:dyDescent="0.25">
      <c r="A93" t="s">
        <v>126</v>
      </c>
      <c r="B93" t="s">
        <v>109</v>
      </c>
      <c r="C93" t="s">
        <v>121</v>
      </c>
      <c r="D93" s="2" t="str">
        <f>Employees[[#This Row],[Employee Name]]&amp;" ("&amp;Employees[[#This Row],[Personal ID]]&amp;")"</f>
        <v>Rikardsen, Karl (N20S000001499)</v>
      </c>
      <c r="E93" s="90">
        <v>1499</v>
      </c>
      <c r="F93" t="s">
        <v>17</v>
      </c>
      <c r="G93" t="s">
        <v>89</v>
      </c>
      <c r="AD93" s="54">
        <f t="shared" si="8"/>
        <v>43786</v>
      </c>
      <c r="AE93" s="54">
        <f t="shared" si="9"/>
        <v>43799</v>
      </c>
      <c r="AF93" s="122">
        <f t="shared" si="10"/>
        <v>43819</v>
      </c>
      <c r="AG93" s="54">
        <f>PayPeriods[[#This Row],[End]]+10</f>
        <v>43809</v>
      </c>
      <c r="AM93" s="86" t="s">
        <v>182</v>
      </c>
      <c r="AN93" s="86" t="s">
        <v>183</v>
      </c>
      <c r="AO93" s="86" t="s">
        <v>263</v>
      </c>
      <c r="AP93" s="86">
        <v>20</v>
      </c>
      <c r="AQ93" s="86"/>
      <c r="AR93" s="86">
        <v>0.25</v>
      </c>
      <c r="AS93" s="86"/>
      <c r="AT93" s="86">
        <v>0</v>
      </c>
    </row>
    <row r="94" spans="1:46" x14ac:dyDescent="0.25">
      <c r="A94" t="s">
        <v>323</v>
      </c>
      <c r="B94" t="s">
        <v>324</v>
      </c>
      <c r="C94" t="s">
        <v>121</v>
      </c>
      <c r="D94" s="2" t="str">
        <f>Employees[[#This Row],[Employee Name]]&amp;" ("&amp;Employees[[#This Row],[Personal ID]]&amp;")"</f>
        <v>Riley, Dave (N20S000011872)</v>
      </c>
      <c r="E94" s="90">
        <v>1872</v>
      </c>
      <c r="F94" t="s">
        <v>20</v>
      </c>
      <c r="G94" t="s">
        <v>257</v>
      </c>
      <c r="AD94" s="54">
        <f t="shared" si="8"/>
        <v>43800</v>
      </c>
      <c r="AE94" s="54">
        <f t="shared" si="9"/>
        <v>43813</v>
      </c>
      <c r="AF94" s="122">
        <f t="shared" si="10"/>
        <v>43833</v>
      </c>
      <c r="AG94" s="54">
        <f>PayPeriods[[#This Row],[End]]+10</f>
        <v>43823</v>
      </c>
      <c r="AM94" s="86" t="s">
        <v>182</v>
      </c>
      <c r="AN94" s="86" t="s">
        <v>183</v>
      </c>
      <c r="AO94" s="86" t="s">
        <v>264</v>
      </c>
      <c r="AP94" s="86">
        <v>20</v>
      </c>
      <c r="AQ94" s="86"/>
      <c r="AR94" s="86">
        <v>0.25</v>
      </c>
      <c r="AS94" s="86"/>
      <c r="AT94" s="86">
        <v>0</v>
      </c>
    </row>
    <row r="95" spans="1:46" x14ac:dyDescent="0.25">
      <c r="A95" t="s">
        <v>325</v>
      </c>
      <c r="B95" t="s">
        <v>326</v>
      </c>
      <c r="C95" t="s">
        <v>327</v>
      </c>
      <c r="D95" s="2" t="str">
        <f>Employees[[#This Row],[Employee Name]]&amp;" ("&amp;Employees[[#This Row],[Personal ID]]&amp;")"</f>
        <v>Rioux, Rino (N20S000011867)</v>
      </c>
      <c r="E95" s="90">
        <v>1867</v>
      </c>
      <c r="F95" t="s">
        <v>20</v>
      </c>
      <c r="G95" t="s">
        <v>257</v>
      </c>
      <c r="AD95" s="54">
        <f t="shared" si="8"/>
        <v>43814</v>
      </c>
      <c r="AE95" s="54">
        <f t="shared" si="9"/>
        <v>43827</v>
      </c>
      <c r="AF95" s="122">
        <f t="shared" si="10"/>
        <v>43847</v>
      </c>
      <c r="AG95" s="54">
        <f>PayPeriods[[#This Row],[End]]+10</f>
        <v>43837</v>
      </c>
      <c r="AM95" s="86" t="s">
        <v>182</v>
      </c>
      <c r="AN95" s="86" t="s">
        <v>116</v>
      </c>
      <c r="AO95" s="86" t="s">
        <v>263</v>
      </c>
      <c r="AP95" s="86">
        <v>20</v>
      </c>
      <c r="AQ95" s="86"/>
      <c r="AR95" s="86">
        <v>0.25</v>
      </c>
      <c r="AS95" s="86"/>
      <c r="AT95" s="86">
        <v>0</v>
      </c>
    </row>
    <row r="96" spans="1:46" x14ac:dyDescent="0.25">
      <c r="A96" t="s">
        <v>187</v>
      </c>
      <c r="B96" t="s">
        <v>188</v>
      </c>
      <c r="C96" t="s">
        <v>183</v>
      </c>
      <c r="D96" s="2" t="str">
        <f>Employees[[#This Row],[Employee Name]]&amp;" ("&amp;Employees[[#This Row],[Personal ID]]&amp;")"</f>
        <v>Roqara, Anare (N20S000001833)</v>
      </c>
      <c r="E96" s="90">
        <v>1833</v>
      </c>
      <c r="F96" t="s">
        <v>259</v>
      </c>
      <c r="G96" t="s">
        <v>89</v>
      </c>
      <c r="AD96" s="54">
        <f t="shared" si="8"/>
        <v>43828</v>
      </c>
      <c r="AE96" s="54">
        <f t="shared" si="9"/>
        <v>43841</v>
      </c>
      <c r="AF96" s="122">
        <f t="shared" si="10"/>
        <v>43861</v>
      </c>
      <c r="AG96" s="54">
        <f>PayPeriods[[#This Row],[End]]+10</f>
        <v>43851</v>
      </c>
      <c r="AM96" s="86" t="s">
        <v>182</v>
      </c>
      <c r="AN96" s="86" t="s">
        <v>116</v>
      </c>
      <c r="AO96" s="86" t="s">
        <v>264</v>
      </c>
      <c r="AP96" s="86">
        <v>20</v>
      </c>
      <c r="AQ96" s="86"/>
      <c r="AR96" s="86">
        <v>0.25</v>
      </c>
      <c r="AS96" s="86"/>
      <c r="AT96" s="86">
        <v>0</v>
      </c>
    </row>
    <row r="97" spans="1:33" x14ac:dyDescent="0.25">
      <c r="A97" t="s">
        <v>377</v>
      </c>
      <c r="B97" t="s">
        <v>378</v>
      </c>
      <c r="C97" t="s">
        <v>360</v>
      </c>
      <c r="D97" s="2" t="str">
        <f>Employees[[#This Row],[Employee Name]]&amp;" ("&amp;Employees[[#This Row],[Personal ID]]&amp;")"</f>
        <v>Shakeyev, Serik (N20S000001893)</v>
      </c>
      <c r="E97" s="90">
        <v>1893</v>
      </c>
      <c r="F97" t="s">
        <v>17</v>
      </c>
      <c r="G97" t="s">
        <v>89</v>
      </c>
      <c r="AD97" s="54">
        <f t="shared" si="8"/>
        <v>43842</v>
      </c>
      <c r="AE97" s="54">
        <f t="shared" si="9"/>
        <v>43855</v>
      </c>
      <c r="AF97" s="122">
        <f t="shared" si="10"/>
        <v>43875</v>
      </c>
      <c r="AG97" s="54">
        <f>PayPeriods[[#This Row],[End]]+10</f>
        <v>43865</v>
      </c>
    </row>
    <row r="98" spans="1:33" x14ac:dyDescent="0.25">
      <c r="A98" t="s">
        <v>312</v>
      </c>
      <c r="B98" t="s">
        <v>313</v>
      </c>
      <c r="C98" t="s">
        <v>115</v>
      </c>
      <c r="D98" s="2" t="str">
        <f>Employees[[#This Row],[Employee Name]]&amp;" ("&amp;Employees[[#This Row],[Personal ID]]&amp;")"</f>
        <v>Smith, Dave (N20S000001706)</v>
      </c>
      <c r="E98" s="90">
        <v>1706</v>
      </c>
      <c r="F98" t="s">
        <v>260</v>
      </c>
      <c r="G98" t="s">
        <v>89</v>
      </c>
      <c r="AD98" s="54">
        <f t="shared" si="8"/>
        <v>43856</v>
      </c>
      <c r="AE98" s="54">
        <f t="shared" si="9"/>
        <v>43869</v>
      </c>
      <c r="AF98" s="122">
        <f t="shared" si="10"/>
        <v>43889</v>
      </c>
      <c r="AG98" s="54">
        <f>PayPeriods[[#This Row],[End]]+10</f>
        <v>43879</v>
      </c>
    </row>
    <row r="99" spans="1:33" x14ac:dyDescent="0.25">
      <c r="A99" t="s">
        <v>160</v>
      </c>
      <c r="B99" t="s">
        <v>161</v>
      </c>
      <c r="C99" t="s">
        <v>121</v>
      </c>
      <c r="D99" s="2" t="str">
        <f>Employees[[#This Row],[Employee Name]]&amp;" ("&amp;Employees[[#This Row],[Personal ID]]&amp;")"</f>
        <v>Smith, Jason (N20S000001772)</v>
      </c>
      <c r="E99" s="90">
        <v>1772</v>
      </c>
      <c r="F99" t="s">
        <v>17</v>
      </c>
      <c r="G99" t="s">
        <v>89</v>
      </c>
      <c r="AD99" s="54">
        <f t="shared" si="8"/>
        <v>43870</v>
      </c>
      <c r="AE99" s="54">
        <f t="shared" si="9"/>
        <v>43883</v>
      </c>
      <c r="AF99" s="122">
        <f t="shared" si="10"/>
        <v>43903</v>
      </c>
      <c r="AG99" s="54">
        <f>PayPeriods[[#This Row],[End]]+10</f>
        <v>43893</v>
      </c>
    </row>
    <row r="100" spans="1:33" x14ac:dyDescent="0.25">
      <c r="A100" t="s">
        <v>253</v>
      </c>
      <c r="B100" t="s">
        <v>108</v>
      </c>
      <c r="C100" t="s">
        <v>115</v>
      </c>
      <c r="D100" s="2" t="str">
        <f>Employees[[#This Row],[Employee Name]]&amp;" ("&amp;Employees[[#This Row],[Personal ID]]&amp;")"</f>
        <v>Sorenson, Mathew (N20S000001497)</v>
      </c>
      <c r="E100" s="90">
        <v>1497</v>
      </c>
      <c r="F100" t="s">
        <v>18</v>
      </c>
      <c r="G100" t="s">
        <v>89</v>
      </c>
      <c r="AD100" s="54">
        <f t="shared" si="8"/>
        <v>43884</v>
      </c>
      <c r="AE100" s="54">
        <f t="shared" si="9"/>
        <v>43897</v>
      </c>
      <c r="AF100" s="122">
        <f t="shared" si="10"/>
        <v>43917</v>
      </c>
      <c r="AG100" s="54">
        <f>PayPeriods[[#This Row],[End]]+10</f>
        <v>43907</v>
      </c>
    </row>
    <row r="101" spans="1:33" x14ac:dyDescent="0.25">
      <c r="A101" t="s">
        <v>379</v>
      </c>
      <c r="B101" t="s">
        <v>380</v>
      </c>
      <c r="C101" t="s">
        <v>116</v>
      </c>
      <c r="D101" s="2" t="str">
        <f>Employees[[#This Row],[Employee Name]]&amp;" ("&amp;Employees[[#This Row],[Personal ID]]&amp;")"</f>
        <v>Staples, Michael (N20S000021888)</v>
      </c>
      <c r="E101" s="90">
        <v>1888</v>
      </c>
      <c r="F101" t="s">
        <v>258</v>
      </c>
      <c r="G101" t="s">
        <v>90</v>
      </c>
      <c r="AD101" s="54">
        <f t="shared" si="8"/>
        <v>43898</v>
      </c>
      <c r="AE101" s="54">
        <f t="shared" si="9"/>
        <v>43911</v>
      </c>
      <c r="AF101" s="122">
        <f t="shared" si="10"/>
        <v>43931</v>
      </c>
      <c r="AG101" s="54">
        <f>PayPeriods[[#This Row],[End]]+10</f>
        <v>43921</v>
      </c>
    </row>
    <row r="102" spans="1:33" x14ac:dyDescent="0.25">
      <c r="A102" t="s">
        <v>139</v>
      </c>
      <c r="B102" t="s">
        <v>140</v>
      </c>
      <c r="C102" t="s">
        <v>121</v>
      </c>
      <c r="D102" s="2" t="str">
        <f>Employees[[#This Row],[Employee Name]]&amp;" ("&amp;Employees[[#This Row],[Personal ID]]&amp;")"</f>
        <v>Steels, Darren (N20S000001634)</v>
      </c>
      <c r="E102" s="90">
        <v>1634</v>
      </c>
      <c r="F102" t="s">
        <v>17</v>
      </c>
      <c r="G102" t="s">
        <v>89</v>
      </c>
      <c r="AD102" s="54">
        <f t="shared" si="8"/>
        <v>43912</v>
      </c>
      <c r="AE102" s="54">
        <f t="shared" si="9"/>
        <v>43925</v>
      </c>
      <c r="AF102" s="122">
        <f t="shared" si="10"/>
        <v>43945</v>
      </c>
      <c r="AG102" s="54">
        <f>PayPeriods[[#This Row],[End]]+10</f>
        <v>43935</v>
      </c>
    </row>
    <row r="103" spans="1:33" x14ac:dyDescent="0.25">
      <c r="A103" t="s">
        <v>106</v>
      </c>
      <c r="B103" t="s">
        <v>107</v>
      </c>
      <c r="C103" t="s">
        <v>114</v>
      </c>
      <c r="D103" s="2" t="str">
        <f>Employees[[#This Row],[Employee Name]]&amp;" ("&amp;Employees[[#This Row],[Personal ID]]&amp;")"</f>
        <v>Stelmacker, Matthew (N20S000001460)</v>
      </c>
      <c r="E103" s="90">
        <v>1460</v>
      </c>
      <c r="F103" t="s">
        <v>17</v>
      </c>
      <c r="G103" t="s">
        <v>89</v>
      </c>
      <c r="AD103" s="54">
        <f t="shared" si="8"/>
        <v>43926</v>
      </c>
      <c r="AE103" s="54">
        <f t="shared" si="9"/>
        <v>43939</v>
      </c>
      <c r="AF103" s="122">
        <f t="shared" si="10"/>
        <v>43959</v>
      </c>
      <c r="AG103" s="54">
        <f>PayPeriods[[#This Row],[End]]+10</f>
        <v>43949</v>
      </c>
    </row>
    <row r="104" spans="1:33" x14ac:dyDescent="0.25">
      <c r="A104" t="s">
        <v>189</v>
      </c>
      <c r="B104" t="s">
        <v>190</v>
      </c>
      <c r="C104" t="s">
        <v>156</v>
      </c>
      <c r="D104" s="2" t="str">
        <f>Employees[[#This Row],[Employee Name]]&amp;" ("&amp;Employees[[#This Row],[Personal ID]]&amp;")"</f>
        <v>Stolz, David (N20S000001841)</v>
      </c>
      <c r="E104" s="90">
        <v>1841</v>
      </c>
      <c r="F104" t="s">
        <v>259</v>
      </c>
      <c r="G104" t="s">
        <v>89</v>
      </c>
      <c r="AD104" s="54">
        <f t="shared" si="8"/>
        <v>43940</v>
      </c>
      <c r="AE104" s="54">
        <f t="shared" si="9"/>
        <v>43953</v>
      </c>
      <c r="AF104" s="122">
        <f t="shared" si="10"/>
        <v>43973</v>
      </c>
      <c r="AG104" s="54">
        <f>PayPeriods[[#This Row],[End]]+10</f>
        <v>43963</v>
      </c>
    </row>
    <row r="105" spans="1:33" x14ac:dyDescent="0.25">
      <c r="A105" t="s">
        <v>234</v>
      </c>
      <c r="B105" t="s">
        <v>59</v>
      </c>
      <c r="C105" t="s">
        <v>119</v>
      </c>
      <c r="D105" s="2" t="str">
        <f>Employees[[#This Row],[Employee Name]]&amp;" ("&amp;Employees[[#This Row],[Personal ID]]&amp;")"</f>
        <v>Stradeski, Greg (N20S000001050)</v>
      </c>
      <c r="E105" s="90">
        <v>1050</v>
      </c>
      <c r="F105" t="s">
        <v>20</v>
      </c>
      <c r="G105" t="s">
        <v>257</v>
      </c>
      <c r="AD105" s="54">
        <f t="shared" si="8"/>
        <v>43954</v>
      </c>
      <c r="AE105" s="54">
        <f t="shared" si="9"/>
        <v>43967</v>
      </c>
      <c r="AF105" s="122">
        <f t="shared" si="10"/>
        <v>43987</v>
      </c>
      <c r="AG105" s="54">
        <f>PayPeriods[[#This Row],[End]]+10</f>
        <v>43977</v>
      </c>
    </row>
    <row r="106" spans="1:33" x14ac:dyDescent="0.25">
      <c r="A106" t="s">
        <v>167</v>
      </c>
      <c r="B106" t="s">
        <v>168</v>
      </c>
      <c r="C106" t="s">
        <v>183</v>
      </c>
      <c r="D106" s="2" t="str">
        <f>Employees[[#This Row],[Employee Name]]&amp;" ("&amp;Employees[[#This Row],[Personal ID]]&amp;")"</f>
        <v>Swann, Leonard (N20S000001797)</v>
      </c>
      <c r="E106" s="90">
        <v>1797</v>
      </c>
      <c r="F106" t="s">
        <v>259</v>
      </c>
      <c r="G106" t="s">
        <v>89</v>
      </c>
      <c r="AD106" s="54">
        <f t="shared" si="8"/>
        <v>43968</v>
      </c>
      <c r="AE106" s="54">
        <f t="shared" si="9"/>
        <v>43981</v>
      </c>
      <c r="AF106" s="122">
        <f t="shared" si="10"/>
        <v>44001</v>
      </c>
      <c r="AG106" s="54">
        <f>PayPeriods[[#This Row],[End]]+10</f>
        <v>43991</v>
      </c>
    </row>
    <row r="107" spans="1:33" x14ac:dyDescent="0.25">
      <c r="A107" t="s">
        <v>251</v>
      </c>
      <c r="B107" t="s">
        <v>62</v>
      </c>
      <c r="C107" t="s">
        <v>115</v>
      </c>
      <c r="D107" s="2" t="str">
        <f>Employees[[#This Row],[Employee Name]]&amp;" ("&amp;Employees[[#This Row],[Personal ID]]&amp;")"</f>
        <v>Terry, Lance (N20S000001162)</v>
      </c>
      <c r="E107" s="90">
        <v>1162</v>
      </c>
      <c r="F107" t="s">
        <v>261</v>
      </c>
      <c r="G107" t="s">
        <v>257</v>
      </c>
      <c r="AD107" s="54">
        <f t="shared" si="8"/>
        <v>43982</v>
      </c>
      <c r="AE107" s="54">
        <f t="shared" si="9"/>
        <v>43995</v>
      </c>
      <c r="AF107" s="122">
        <f t="shared" si="10"/>
        <v>44015</v>
      </c>
      <c r="AG107" s="54">
        <f>PayPeriods[[#This Row],[End]]+10</f>
        <v>44005</v>
      </c>
    </row>
    <row r="108" spans="1:33" x14ac:dyDescent="0.25">
      <c r="A108" t="s">
        <v>104</v>
      </c>
      <c r="B108" t="s">
        <v>157</v>
      </c>
      <c r="C108" t="s">
        <v>119</v>
      </c>
      <c r="D108" s="2" t="str">
        <f>Employees[[#This Row],[Employee Name]]&amp;" ("&amp;Employees[[#This Row],[Personal ID]]&amp;")"</f>
        <v>Thiessen, Riley (N20S000001284)</v>
      </c>
      <c r="E108" s="90">
        <v>1284</v>
      </c>
      <c r="F108" t="s">
        <v>258</v>
      </c>
      <c r="G108" t="s">
        <v>90</v>
      </c>
      <c r="AD108" s="54">
        <f t="shared" si="8"/>
        <v>43996</v>
      </c>
      <c r="AE108" s="54">
        <f t="shared" si="9"/>
        <v>44009</v>
      </c>
      <c r="AF108" s="122">
        <f t="shared" si="10"/>
        <v>44029</v>
      </c>
      <c r="AG108" s="54">
        <f>PayPeriods[[#This Row],[End]]+10</f>
        <v>44019</v>
      </c>
    </row>
    <row r="109" spans="1:33" x14ac:dyDescent="0.25">
      <c r="A109" t="s">
        <v>236</v>
      </c>
      <c r="B109" t="s">
        <v>56</v>
      </c>
      <c r="C109" t="s">
        <v>118</v>
      </c>
      <c r="D109" s="2" t="str">
        <f>Employees[[#This Row],[Employee Name]]&amp;" ("&amp;Employees[[#This Row],[Personal ID]]&amp;")"</f>
        <v>Triska, David (N20S000001060)</v>
      </c>
      <c r="E109" s="90">
        <v>1060</v>
      </c>
      <c r="F109" t="s">
        <v>258</v>
      </c>
      <c r="G109" t="s">
        <v>90</v>
      </c>
      <c r="AD109" s="54">
        <f t="shared" si="8"/>
        <v>44010</v>
      </c>
      <c r="AE109" s="54">
        <f t="shared" si="9"/>
        <v>44023</v>
      </c>
      <c r="AF109" s="122">
        <f t="shared" si="10"/>
        <v>44043</v>
      </c>
      <c r="AG109" s="54">
        <f>PayPeriods[[#This Row],[End]]+10</f>
        <v>44033</v>
      </c>
    </row>
    <row r="110" spans="1:33" x14ac:dyDescent="0.25">
      <c r="A110" t="s">
        <v>57</v>
      </c>
      <c r="B110" t="s">
        <v>58</v>
      </c>
      <c r="C110" t="s">
        <v>117</v>
      </c>
      <c r="D110" s="2" t="str">
        <f>Employees[[#This Row],[Employee Name]]&amp;" ("&amp;Employees[[#This Row],[Personal ID]]&amp;")"</f>
        <v>Triska, Donal (N20S000001061)</v>
      </c>
      <c r="E110" s="90">
        <v>1061</v>
      </c>
      <c r="F110" t="s">
        <v>258</v>
      </c>
      <c r="G110" t="s">
        <v>90</v>
      </c>
      <c r="AD110" s="54">
        <f t="shared" si="8"/>
        <v>44024</v>
      </c>
      <c r="AE110" s="54">
        <f t="shared" si="9"/>
        <v>44037</v>
      </c>
      <c r="AF110" s="122">
        <f t="shared" si="10"/>
        <v>44057</v>
      </c>
      <c r="AG110" s="54">
        <f>PayPeriods[[#This Row],[End]]+10</f>
        <v>44047</v>
      </c>
    </row>
    <row r="111" spans="1:33" x14ac:dyDescent="0.25">
      <c r="A111" t="s">
        <v>351</v>
      </c>
      <c r="B111" t="s">
        <v>352</v>
      </c>
      <c r="C111" t="s">
        <v>115</v>
      </c>
      <c r="D111" s="2" t="str">
        <f>Employees[[#This Row],[Employee Name]]&amp;" ("&amp;Employees[[#This Row],[Personal ID]]&amp;")"</f>
        <v>Van Laar, Gerrit (N20S000001878)</v>
      </c>
      <c r="E111" s="90">
        <v>1878</v>
      </c>
      <c r="F111" t="s">
        <v>259</v>
      </c>
      <c r="G111" t="s">
        <v>89</v>
      </c>
      <c r="AD111" s="54">
        <f t="shared" si="8"/>
        <v>44038</v>
      </c>
      <c r="AE111" s="54">
        <f t="shared" si="9"/>
        <v>44051</v>
      </c>
      <c r="AF111" s="122">
        <f t="shared" si="10"/>
        <v>44071</v>
      </c>
      <c r="AG111" s="54">
        <f>PayPeriods[[#This Row],[End]]+10</f>
        <v>44061</v>
      </c>
    </row>
    <row r="112" spans="1:33" x14ac:dyDescent="0.25">
      <c r="A112" t="s">
        <v>314</v>
      </c>
      <c r="B112" t="s">
        <v>315</v>
      </c>
      <c r="C112" t="s">
        <v>115</v>
      </c>
      <c r="D112" s="2" t="str">
        <f>Employees[[#This Row],[Employee Name]]&amp;" ("&amp;Employees[[#This Row],[Personal ID]]&amp;")"</f>
        <v>Van Someren, Chris (N20S000001868)</v>
      </c>
      <c r="E112" s="90">
        <v>1868</v>
      </c>
      <c r="F112" t="s">
        <v>259</v>
      </c>
      <c r="G112" t="s">
        <v>89</v>
      </c>
      <c r="AD112" s="54">
        <f t="shared" ref="AD112:AF120" si="11">AD111+14</f>
        <v>44052</v>
      </c>
      <c r="AE112" s="54">
        <f t="shared" si="11"/>
        <v>44065</v>
      </c>
      <c r="AF112" s="122">
        <f t="shared" si="11"/>
        <v>44085</v>
      </c>
      <c r="AG112" s="54">
        <f>PayPeriods[[#This Row],[End]]+10</f>
        <v>44075</v>
      </c>
    </row>
    <row r="113" spans="1:33" x14ac:dyDescent="0.25">
      <c r="A113" t="s">
        <v>244</v>
      </c>
      <c r="B113" t="s">
        <v>37</v>
      </c>
      <c r="C113" t="s">
        <v>183</v>
      </c>
      <c r="D113" s="2" t="str">
        <f>Employees[[#This Row],[Employee Name]]&amp;" ("&amp;Employees[[#This Row],[Personal ID]]&amp;")"</f>
        <v>Venman, Brent (N20S000001105)</v>
      </c>
      <c r="E113" s="90">
        <v>1105</v>
      </c>
      <c r="F113" t="s">
        <v>18</v>
      </c>
      <c r="G113" t="s">
        <v>89</v>
      </c>
      <c r="AD113" s="54">
        <f t="shared" si="11"/>
        <v>44066</v>
      </c>
      <c r="AE113" s="54">
        <f t="shared" si="11"/>
        <v>44079</v>
      </c>
      <c r="AF113" s="122">
        <f t="shared" si="11"/>
        <v>44099</v>
      </c>
      <c r="AG113" s="54">
        <f>PayPeriods[[#This Row],[End]]+10</f>
        <v>44089</v>
      </c>
    </row>
    <row r="114" spans="1:33" x14ac:dyDescent="0.25">
      <c r="A114" t="s">
        <v>353</v>
      </c>
      <c r="B114" t="s">
        <v>354</v>
      </c>
      <c r="C114" t="s">
        <v>346</v>
      </c>
      <c r="D114" s="2" t="str">
        <f>Employees[[#This Row],[Employee Name]]&amp;" ("&amp;Employees[[#This Row],[Personal ID]]&amp;")"</f>
        <v>Vhal, Terry (N20S000001141)</v>
      </c>
      <c r="E114" s="90">
        <v>1141</v>
      </c>
      <c r="F114" t="s">
        <v>260</v>
      </c>
      <c r="G114" t="s">
        <v>89</v>
      </c>
      <c r="AD114" s="54">
        <f t="shared" si="11"/>
        <v>44080</v>
      </c>
      <c r="AE114" s="54">
        <f t="shared" si="11"/>
        <v>44093</v>
      </c>
      <c r="AF114" s="122">
        <f t="shared" si="11"/>
        <v>44113</v>
      </c>
      <c r="AG114" s="54">
        <f>PayPeriods[[#This Row],[End]]+10</f>
        <v>44103</v>
      </c>
    </row>
    <row r="115" spans="1:33" x14ac:dyDescent="0.25">
      <c r="A115" t="s">
        <v>293</v>
      </c>
      <c r="B115" t="s">
        <v>294</v>
      </c>
      <c r="C115" t="s">
        <v>118</v>
      </c>
      <c r="D115" s="2" t="str">
        <f>Employees[[#This Row],[Employee Name]]&amp;" ("&amp;Employees[[#This Row],[Personal ID]]&amp;")"</f>
        <v>Webb, Ryan (N20S000001412)</v>
      </c>
      <c r="E115" s="90">
        <v>1412</v>
      </c>
      <c r="F115" t="s">
        <v>18</v>
      </c>
      <c r="G115" t="s">
        <v>89</v>
      </c>
      <c r="AD115" s="54">
        <f t="shared" si="11"/>
        <v>44094</v>
      </c>
      <c r="AE115" s="54">
        <f t="shared" si="11"/>
        <v>44107</v>
      </c>
      <c r="AF115" s="122">
        <f t="shared" si="11"/>
        <v>44127</v>
      </c>
      <c r="AG115" s="54">
        <f>PayPeriods[[#This Row],[End]]+10</f>
        <v>44117</v>
      </c>
    </row>
    <row r="116" spans="1:33" x14ac:dyDescent="0.25">
      <c r="A116" t="s">
        <v>99</v>
      </c>
      <c r="B116" t="s">
        <v>159</v>
      </c>
      <c r="C116" t="s">
        <v>118</v>
      </c>
      <c r="D116" s="2" t="str">
        <f>Employees[[#This Row],[Employee Name]]&amp;" ("&amp;Employees[[#This Row],[Personal ID]]&amp;")"</f>
        <v>Wilkinson, Kevin (N20S000011350)</v>
      </c>
      <c r="E116" s="90">
        <v>1350</v>
      </c>
      <c r="F116" t="s">
        <v>256</v>
      </c>
      <c r="G116" t="s">
        <v>257</v>
      </c>
      <c r="AD116" s="54">
        <f t="shared" si="11"/>
        <v>44108</v>
      </c>
      <c r="AE116" s="54">
        <f t="shared" si="11"/>
        <v>44121</v>
      </c>
      <c r="AF116" s="122">
        <f t="shared" si="11"/>
        <v>44141</v>
      </c>
      <c r="AG116" s="54">
        <f>PayPeriods[[#This Row],[End]]+10</f>
        <v>44131</v>
      </c>
    </row>
    <row r="117" spans="1:33" x14ac:dyDescent="0.25">
      <c r="A117" t="s">
        <v>74</v>
      </c>
      <c r="B117" t="s">
        <v>75</v>
      </c>
      <c r="C117" t="s">
        <v>121</v>
      </c>
      <c r="D117" s="2" t="str">
        <f>Employees[[#This Row],[Employee Name]]&amp;" ("&amp;Employees[[#This Row],[Personal ID]]&amp;")"</f>
        <v>Wong, Antonio (N20S000001226)</v>
      </c>
      <c r="E117" s="90">
        <v>1226</v>
      </c>
      <c r="F117" t="s">
        <v>260</v>
      </c>
      <c r="G117" t="s">
        <v>89</v>
      </c>
      <c r="AD117" s="54">
        <f t="shared" si="11"/>
        <v>44122</v>
      </c>
      <c r="AE117" s="54">
        <f t="shared" si="11"/>
        <v>44135</v>
      </c>
      <c r="AF117" s="122">
        <f t="shared" si="11"/>
        <v>44155</v>
      </c>
      <c r="AG117" s="54">
        <f>PayPeriods[[#This Row],[End]]+10</f>
        <v>44145</v>
      </c>
    </row>
    <row r="118" spans="1:33" x14ac:dyDescent="0.25">
      <c r="A118" t="s">
        <v>328</v>
      </c>
      <c r="B118" t="s">
        <v>329</v>
      </c>
      <c r="C118" t="s">
        <v>183</v>
      </c>
      <c r="D118" s="2" t="str">
        <f>Employees[[#This Row],[Employee Name]]&amp;" ("&amp;Employees[[#This Row],[Personal ID]]&amp;")"</f>
        <v>Wuchterl, Jim (N20S000001873)</v>
      </c>
      <c r="E118" s="90">
        <v>1873</v>
      </c>
      <c r="F118" t="s">
        <v>259</v>
      </c>
      <c r="G118" t="s">
        <v>89</v>
      </c>
      <c r="AD118" s="54">
        <f t="shared" si="11"/>
        <v>44136</v>
      </c>
      <c r="AE118" s="54">
        <f t="shared" si="11"/>
        <v>44149</v>
      </c>
      <c r="AF118" s="122">
        <f t="shared" si="11"/>
        <v>44169</v>
      </c>
      <c r="AG118" s="54">
        <f>PayPeriods[[#This Row],[End]]+10</f>
        <v>44159</v>
      </c>
    </row>
    <row r="119" spans="1:33" x14ac:dyDescent="0.25">
      <c r="A119" t="s">
        <v>387</v>
      </c>
      <c r="B119" t="s">
        <v>388</v>
      </c>
      <c r="C119" t="s">
        <v>334</v>
      </c>
      <c r="D119" s="2" t="str">
        <f>Employees[[#This Row],[Employee Name]]&amp;" ("&amp;Employees[[#This Row],[Personal ID]]&amp;")"</f>
        <v>Wudwud, Daniel (N20S000001896)</v>
      </c>
      <c r="E119" s="90">
        <v>1896</v>
      </c>
      <c r="F119" t="s">
        <v>259</v>
      </c>
      <c r="G119" t="s">
        <v>89</v>
      </c>
      <c r="AD119" s="54">
        <f t="shared" si="11"/>
        <v>44150</v>
      </c>
      <c r="AE119" s="54">
        <f t="shared" si="11"/>
        <v>44163</v>
      </c>
      <c r="AF119" s="122">
        <f t="shared" si="11"/>
        <v>44183</v>
      </c>
      <c r="AG119" s="54">
        <f>PayPeriods[[#This Row],[End]]+10</f>
        <v>44173</v>
      </c>
    </row>
    <row r="120" spans="1:33" x14ac:dyDescent="0.25">
      <c r="AD120" s="54">
        <f t="shared" si="11"/>
        <v>44164</v>
      </c>
      <c r="AE120" s="54">
        <f t="shared" si="11"/>
        <v>44177</v>
      </c>
      <c r="AF120" s="122">
        <f>AF119+13</f>
        <v>44196</v>
      </c>
      <c r="AG120" s="54">
        <f>PayPeriods[[#This Row],[End]]+10</f>
        <v>44187</v>
      </c>
    </row>
    <row r="121" spans="1:33" x14ac:dyDescent="0.25">
      <c r="AD121" s="54">
        <f t="shared" ref="AD121:AE121" si="12">AD120+14</f>
        <v>44178</v>
      </c>
      <c r="AE121" s="54">
        <f t="shared" si="12"/>
        <v>44191</v>
      </c>
      <c r="AF121" s="122">
        <f>AF120+15</f>
        <v>44211</v>
      </c>
      <c r="AG121" s="54">
        <f>PayPeriods[[#This Row],[End]]+10</f>
        <v>44201</v>
      </c>
    </row>
    <row r="122" spans="1:33" x14ac:dyDescent="0.25">
      <c r="AD122" s="54">
        <f t="shared" ref="AD122:AF122" si="13">AD121+14</f>
        <v>44192</v>
      </c>
      <c r="AE122" s="54">
        <f t="shared" si="13"/>
        <v>44205</v>
      </c>
      <c r="AF122" s="122">
        <f t="shared" si="13"/>
        <v>44225</v>
      </c>
      <c r="AG122" s="54">
        <f>PayPeriods[[#This Row],[End]]+10</f>
        <v>44215</v>
      </c>
    </row>
    <row r="123" spans="1:33" x14ac:dyDescent="0.25">
      <c r="AD123" s="54">
        <f t="shared" ref="AD123:AF123" si="14">AD122+14</f>
        <v>44206</v>
      </c>
      <c r="AE123" s="54">
        <f t="shared" si="14"/>
        <v>44219</v>
      </c>
      <c r="AF123" s="122">
        <f t="shared" si="14"/>
        <v>44239</v>
      </c>
      <c r="AG123" s="54">
        <f>PayPeriods[[#This Row],[End]]+10</f>
        <v>44229</v>
      </c>
    </row>
    <row r="124" spans="1:33" x14ac:dyDescent="0.25">
      <c r="AD124" s="54">
        <f t="shared" ref="AD124:AF124" si="15">AD123+14</f>
        <v>44220</v>
      </c>
      <c r="AE124" s="54">
        <f t="shared" si="15"/>
        <v>44233</v>
      </c>
      <c r="AF124" s="122">
        <f t="shared" si="15"/>
        <v>44253</v>
      </c>
      <c r="AG124" s="54">
        <f>PayPeriods[[#This Row],[End]]+10</f>
        <v>44243</v>
      </c>
    </row>
    <row r="125" spans="1:33" x14ac:dyDescent="0.25">
      <c r="AD125" s="54">
        <f t="shared" ref="AD125:AF125" si="16">AD124+14</f>
        <v>44234</v>
      </c>
      <c r="AE125" s="54">
        <f t="shared" si="16"/>
        <v>44247</v>
      </c>
      <c r="AF125" s="122">
        <f t="shared" si="16"/>
        <v>44267</v>
      </c>
      <c r="AG125" s="54">
        <f>PayPeriods[[#This Row],[End]]+10</f>
        <v>44257</v>
      </c>
    </row>
    <row r="126" spans="1:33" x14ac:dyDescent="0.25">
      <c r="AD126" s="54">
        <f t="shared" ref="AD126:AF126" si="17">AD125+14</f>
        <v>44248</v>
      </c>
      <c r="AE126" s="54">
        <f t="shared" si="17"/>
        <v>44261</v>
      </c>
      <c r="AF126" s="122">
        <f t="shared" si="17"/>
        <v>44281</v>
      </c>
      <c r="AG126" s="54">
        <f>PayPeriods[[#This Row],[End]]+10</f>
        <v>44271</v>
      </c>
    </row>
    <row r="127" spans="1:33" x14ac:dyDescent="0.25">
      <c r="AD127" s="54">
        <f t="shared" ref="AD127:AF127" si="18">AD126+14</f>
        <v>44262</v>
      </c>
      <c r="AE127" s="54">
        <f t="shared" si="18"/>
        <v>44275</v>
      </c>
      <c r="AF127" s="122">
        <f t="shared" si="18"/>
        <v>44295</v>
      </c>
      <c r="AG127" s="54">
        <f>PayPeriods[[#This Row],[End]]+10</f>
        <v>44285</v>
      </c>
    </row>
    <row r="128" spans="1:33" x14ac:dyDescent="0.25">
      <c r="AD128" s="54">
        <f t="shared" ref="AD128:AF128" si="19">AD127+14</f>
        <v>44276</v>
      </c>
      <c r="AE128" s="54">
        <f t="shared" si="19"/>
        <v>44289</v>
      </c>
      <c r="AF128" s="122">
        <f t="shared" si="19"/>
        <v>44309</v>
      </c>
      <c r="AG128" s="54">
        <f>PayPeriods[[#This Row],[End]]+10</f>
        <v>44299</v>
      </c>
    </row>
    <row r="129" spans="30:33" x14ac:dyDescent="0.25">
      <c r="AD129" s="54">
        <f t="shared" ref="AD129:AF129" si="20">AD128+14</f>
        <v>44290</v>
      </c>
      <c r="AE129" s="54">
        <f t="shared" si="20"/>
        <v>44303</v>
      </c>
      <c r="AF129" s="122">
        <f t="shared" si="20"/>
        <v>44323</v>
      </c>
      <c r="AG129" s="54">
        <f>PayPeriods[[#This Row],[End]]+10</f>
        <v>44313</v>
      </c>
    </row>
    <row r="130" spans="30:33" x14ac:dyDescent="0.25">
      <c r="AD130" s="54">
        <f t="shared" ref="AD130:AF130" si="21">AD129+14</f>
        <v>44304</v>
      </c>
      <c r="AE130" s="54">
        <f t="shared" si="21"/>
        <v>44317</v>
      </c>
      <c r="AF130" s="122">
        <f t="shared" si="21"/>
        <v>44337</v>
      </c>
      <c r="AG130" s="54">
        <f>PayPeriods[[#This Row],[End]]+10</f>
        <v>44327</v>
      </c>
    </row>
    <row r="131" spans="30:33" x14ac:dyDescent="0.25">
      <c r="AD131" s="54">
        <f t="shared" ref="AD131:AF131" si="22">AD130+14</f>
        <v>44318</v>
      </c>
      <c r="AE131" s="54">
        <f t="shared" si="22"/>
        <v>44331</v>
      </c>
      <c r="AF131" s="122">
        <f t="shared" si="22"/>
        <v>44351</v>
      </c>
      <c r="AG131" s="54">
        <f>PayPeriods[[#This Row],[End]]+10</f>
        <v>44341</v>
      </c>
    </row>
    <row r="132" spans="30:33" x14ac:dyDescent="0.25">
      <c r="AD132" s="54">
        <f t="shared" ref="AD132:AF132" si="23">AD131+14</f>
        <v>44332</v>
      </c>
      <c r="AE132" s="54">
        <f t="shared" si="23"/>
        <v>44345</v>
      </c>
      <c r="AF132" s="122">
        <f t="shared" si="23"/>
        <v>44365</v>
      </c>
      <c r="AG132" s="54">
        <f>PayPeriods[[#This Row],[End]]+10</f>
        <v>44355</v>
      </c>
    </row>
    <row r="133" spans="30:33" x14ac:dyDescent="0.25">
      <c r="AD133" s="54">
        <f t="shared" ref="AD133:AF133" si="24">AD132+14</f>
        <v>44346</v>
      </c>
      <c r="AE133" s="54">
        <f t="shared" si="24"/>
        <v>44359</v>
      </c>
      <c r="AF133" s="122">
        <f t="shared" si="24"/>
        <v>44379</v>
      </c>
      <c r="AG133" s="54">
        <f>PayPeriods[[#This Row],[End]]+10</f>
        <v>44369</v>
      </c>
    </row>
    <row r="134" spans="30:33" x14ac:dyDescent="0.25">
      <c r="AD134" s="54">
        <f t="shared" ref="AD134:AF134" si="25">AD133+14</f>
        <v>44360</v>
      </c>
      <c r="AE134" s="54">
        <f t="shared" si="25"/>
        <v>44373</v>
      </c>
      <c r="AF134" s="122">
        <f t="shared" si="25"/>
        <v>44393</v>
      </c>
      <c r="AG134" s="54">
        <f>PayPeriods[[#This Row],[End]]+10</f>
        <v>44383</v>
      </c>
    </row>
    <row r="135" spans="30:33" x14ac:dyDescent="0.25">
      <c r="AD135" s="54">
        <f t="shared" ref="AD135:AF135" si="26">AD134+14</f>
        <v>44374</v>
      </c>
      <c r="AE135" s="54">
        <f t="shared" si="26"/>
        <v>44387</v>
      </c>
      <c r="AF135" s="122">
        <f t="shared" si="26"/>
        <v>44407</v>
      </c>
      <c r="AG135" s="54">
        <f>PayPeriods[[#This Row],[End]]+10</f>
        <v>44397</v>
      </c>
    </row>
    <row r="136" spans="30:33" x14ac:dyDescent="0.25">
      <c r="AD136" s="54">
        <f t="shared" ref="AD136:AF136" si="27">AD135+14</f>
        <v>44388</v>
      </c>
      <c r="AE136" s="54">
        <f t="shared" si="27"/>
        <v>44401</v>
      </c>
      <c r="AF136" s="122">
        <f t="shared" si="27"/>
        <v>44421</v>
      </c>
      <c r="AG136" s="54">
        <f>PayPeriods[[#This Row],[End]]+10</f>
        <v>44411</v>
      </c>
    </row>
    <row r="137" spans="30:33" x14ac:dyDescent="0.25">
      <c r="AD137" s="54">
        <f t="shared" ref="AD137:AF137" si="28">AD136+14</f>
        <v>44402</v>
      </c>
      <c r="AE137" s="54">
        <f t="shared" si="28"/>
        <v>44415</v>
      </c>
      <c r="AF137" s="122">
        <f t="shared" si="28"/>
        <v>44435</v>
      </c>
      <c r="AG137" s="54">
        <f>PayPeriods[[#This Row],[End]]+10</f>
        <v>44425</v>
      </c>
    </row>
    <row r="138" spans="30:33" x14ac:dyDescent="0.25">
      <c r="AD138" s="54">
        <f t="shared" ref="AD138:AF138" si="29">AD137+14</f>
        <v>44416</v>
      </c>
      <c r="AE138" s="54">
        <f t="shared" si="29"/>
        <v>44429</v>
      </c>
      <c r="AF138" s="122">
        <f t="shared" si="29"/>
        <v>44449</v>
      </c>
      <c r="AG138" s="54">
        <f>PayPeriods[[#This Row],[End]]+10</f>
        <v>44439</v>
      </c>
    </row>
    <row r="139" spans="30:33" x14ac:dyDescent="0.25">
      <c r="AD139" s="54">
        <f t="shared" ref="AD139:AF139" si="30">AD138+14</f>
        <v>44430</v>
      </c>
      <c r="AE139" s="54">
        <f t="shared" si="30"/>
        <v>44443</v>
      </c>
      <c r="AF139" s="122">
        <f t="shared" si="30"/>
        <v>44463</v>
      </c>
      <c r="AG139" s="54">
        <f>PayPeriods[[#This Row],[End]]+10</f>
        <v>44453</v>
      </c>
    </row>
    <row r="140" spans="30:33" x14ac:dyDescent="0.25">
      <c r="AD140" s="54">
        <f t="shared" ref="AD140:AF140" si="31">AD139+14</f>
        <v>44444</v>
      </c>
      <c r="AE140" s="54">
        <f t="shared" si="31"/>
        <v>44457</v>
      </c>
      <c r="AF140" s="122">
        <f t="shared" si="31"/>
        <v>44477</v>
      </c>
      <c r="AG140" s="54">
        <f>PayPeriods[[#This Row],[End]]+10</f>
        <v>44467</v>
      </c>
    </row>
    <row r="141" spans="30:33" x14ac:dyDescent="0.25">
      <c r="AD141" s="54">
        <f t="shared" ref="AD141:AF141" si="32">AD140+14</f>
        <v>44458</v>
      </c>
      <c r="AE141" s="54">
        <f t="shared" si="32"/>
        <v>44471</v>
      </c>
      <c r="AF141" s="122">
        <f t="shared" si="32"/>
        <v>44491</v>
      </c>
      <c r="AG141" s="54">
        <f>PayPeriods[[#This Row],[End]]+10</f>
        <v>44481</v>
      </c>
    </row>
    <row r="142" spans="30:33" x14ac:dyDescent="0.25">
      <c r="AD142" s="54">
        <f t="shared" ref="AD142:AF142" si="33">AD141+14</f>
        <v>44472</v>
      </c>
      <c r="AE142" s="54">
        <f t="shared" si="33"/>
        <v>44485</v>
      </c>
      <c r="AF142" s="122">
        <f t="shared" si="33"/>
        <v>44505</v>
      </c>
      <c r="AG142" s="54">
        <f>PayPeriods[[#This Row],[End]]+10</f>
        <v>44495</v>
      </c>
    </row>
    <row r="143" spans="30:33" x14ac:dyDescent="0.25">
      <c r="AD143" s="54">
        <f t="shared" ref="AD143:AF143" si="34">AD142+14</f>
        <v>44486</v>
      </c>
      <c r="AE143" s="54">
        <f t="shared" si="34"/>
        <v>44499</v>
      </c>
      <c r="AF143" s="122">
        <f t="shared" si="34"/>
        <v>44519</v>
      </c>
      <c r="AG143" s="54">
        <f>PayPeriods[[#This Row],[End]]+10</f>
        <v>44509</v>
      </c>
    </row>
    <row r="144" spans="30:33" x14ac:dyDescent="0.25">
      <c r="AD144" s="54">
        <f t="shared" ref="AD144:AF144" si="35">AD143+14</f>
        <v>44500</v>
      </c>
      <c r="AE144" s="54">
        <f t="shared" si="35"/>
        <v>44513</v>
      </c>
      <c r="AF144" s="122">
        <f t="shared" si="35"/>
        <v>44533</v>
      </c>
      <c r="AG144" s="54">
        <f>PayPeriods[[#This Row],[End]]+10</f>
        <v>44523</v>
      </c>
    </row>
    <row r="145" spans="30:33" x14ac:dyDescent="0.25">
      <c r="AD145" s="54">
        <f t="shared" ref="AD145:AF145" si="36">AD144+14</f>
        <v>44514</v>
      </c>
      <c r="AE145" s="54">
        <f t="shared" si="36"/>
        <v>44527</v>
      </c>
      <c r="AF145" s="122">
        <f t="shared" si="36"/>
        <v>44547</v>
      </c>
      <c r="AG145" s="54">
        <f>PayPeriods[[#This Row],[End]]+10</f>
        <v>44537</v>
      </c>
    </row>
    <row r="146" spans="30:33" x14ac:dyDescent="0.25">
      <c r="AD146" s="54">
        <f t="shared" ref="AD146:AF146" si="37">AD145+14</f>
        <v>44528</v>
      </c>
      <c r="AE146" s="54">
        <f t="shared" si="37"/>
        <v>44541</v>
      </c>
      <c r="AF146" s="122">
        <f t="shared" si="37"/>
        <v>44561</v>
      </c>
      <c r="AG146" s="54">
        <f>PayPeriods[[#This Row],[End]]+10</f>
        <v>44551</v>
      </c>
    </row>
    <row r="147" spans="30:33" x14ac:dyDescent="0.25">
      <c r="AD147" s="54">
        <f t="shared" ref="AD147:AF147" si="38">AD146+14</f>
        <v>44542</v>
      </c>
      <c r="AE147" s="54">
        <f t="shared" si="38"/>
        <v>44555</v>
      </c>
      <c r="AF147" s="122">
        <f t="shared" si="38"/>
        <v>44575</v>
      </c>
      <c r="AG147" s="54">
        <f>PayPeriods[[#This Row],[End]]+10</f>
        <v>44565</v>
      </c>
    </row>
    <row r="148" spans="30:33" x14ac:dyDescent="0.25">
      <c r="AD148" s="54">
        <f t="shared" ref="AD148:AF148" si="39">AD147+14</f>
        <v>44556</v>
      </c>
      <c r="AE148" s="54">
        <f t="shared" si="39"/>
        <v>44569</v>
      </c>
      <c r="AF148" s="122">
        <f t="shared" si="39"/>
        <v>44589</v>
      </c>
      <c r="AG148" s="54">
        <f>PayPeriods[[#This Row],[End]]+10</f>
        <v>44579</v>
      </c>
    </row>
    <row r="150" spans="30:33" ht="17.25" customHeight="1" x14ac:dyDescent="0.25"/>
  </sheetData>
  <sheetProtection algorithmName="SHA-512" hashValue="BuFZqvj3zm6Au1MnKaIKH1jp8ZMZ5ga7vZ7n2rnXnUqJ68X075oJMRqy3gaXWA1ajhJCDj5U9pckVRVTyDg32A==" saltValue="KpWUiKeSdZq+jjta739T6Q==" spinCount="100000" sheet="1" objects="1" scenarios="1"/>
  <phoneticPr fontId="13" type="noConversion"/>
  <dataValidations count="3">
    <dataValidation type="list" allowBlank="1" showInputMessage="1" showErrorMessage="1" sqref="M3:M50 AV3:AV18 AN27:AN42 AN47:AN62 AN67:AN82 T3:T22 AN7:AN22">
      <formula1>BonusPositionList</formula1>
    </dataValidation>
    <dataValidation type="list" allowBlank="1" showInputMessage="1" showErrorMessage="1" sqref="BD3:BD8 L3:L74 AX3:AX28 U3:U30 AO3:AO96">
      <formula1>BonusArea</formula1>
    </dataValidation>
    <dataValidation type="list" allowBlank="1" showInputMessage="1" showErrorMessage="1" sqref="AM3:AM96">
      <formula1>BonusTypeList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RefreshEmployees">
          <controlPr defaultSize="0" autoLine="0" r:id="rId5">
            <anchor moveWithCells="1">
              <from>
                <xdr:col>2</xdr:col>
                <xdr:colOff>762000</xdr:colOff>
                <xdr:row>0</xdr:row>
                <xdr:rowOff>19050</xdr:rowOff>
              </from>
              <to>
                <xdr:col>2</xdr:col>
                <xdr:colOff>2219325</xdr:colOff>
                <xdr:row>1</xdr:row>
                <xdr:rowOff>133350</xdr:rowOff>
              </to>
            </anchor>
          </controlPr>
        </control>
      </mc:Choice>
      <mc:Fallback>
        <control shapeId="7169" r:id="rId4" name="cmdRefreshEmployees"/>
      </mc:Fallback>
    </mc:AlternateContent>
  </controls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696EC4E4A3B6498D3F7347DF0A14F5" ma:contentTypeVersion="11" ma:contentTypeDescription="Create a new document." ma:contentTypeScope="" ma:versionID="cfc4e69fd1737a6885faad70a7b3e0b4">
  <xsd:schema xmlns:xsd="http://www.w3.org/2001/XMLSchema" xmlns:xs="http://www.w3.org/2001/XMLSchema" xmlns:p="http://schemas.microsoft.com/office/2006/metadata/properties" xmlns:ns3="59321ca0-104b-4077-945c-3a88210efc6d" xmlns:ns4="806f58dc-fb1a-406e-812d-d8c437a30043" targetNamespace="http://schemas.microsoft.com/office/2006/metadata/properties" ma:root="true" ma:fieldsID="c243200900cda3242b9e408d607fe303" ns3:_="" ns4:_="">
    <xsd:import namespace="59321ca0-104b-4077-945c-3a88210efc6d"/>
    <xsd:import namespace="806f58dc-fb1a-406e-812d-d8c437a3004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1ca0-104b-4077-945c-3a88210efc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f58dc-fb1a-406e-812d-d8c437a300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A39F73-1143-4551-B41E-E708FA13BA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1ca0-104b-4077-945c-3a88210efc6d"/>
    <ds:schemaRef ds:uri="806f58dc-fb1a-406e-812d-d8c437a30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6A97CC8-0D11-458A-AAE1-1167C31334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1AB3B3-EA97-49BD-B05D-9CDDD8473CD9}">
  <ds:schemaRefs>
    <ds:schemaRef ds:uri="http://purl.org/dc/terms/"/>
    <ds:schemaRef ds:uri="http://schemas.openxmlformats.org/package/2006/metadata/core-properties"/>
    <ds:schemaRef ds:uri="59321ca0-104b-4077-945c-3a88210efc6d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806f58dc-fb1a-406e-812d-d8c437a3004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Start Here</vt:lpstr>
      <vt:lpstr>Pay Calcs</vt:lpstr>
      <vt:lpstr>Statements</vt:lpstr>
      <vt:lpstr>Payroll Summary</vt:lpstr>
      <vt:lpstr>WCB</vt:lpstr>
      <vt:lpstr>MBA Summary</vt:lpstr>
      <vt:lpstr>Schedule</vt:lpstr>
      <vt:lpstr>'MBA Summary'!BonusArea</vt:lpstr>
      <vt:lpstr>BonusArea</vt:lpstr>
      <vt:lpstr>'MBA Summary'!BonusPositionList</vt:lpstr>
      <vt:lpstr>'Payroll Summary'!BonusPositionList</vt:lpstr>
      <vt:lpstr>BonusPositionList</vt:lpstr>
      <vt:lpstr>BonusTypeList</vt:lpstr>
      <vt:lpstr>'MBA Summary'!EmployeeNameList</vt:lpstr>
      <vt:lpstr>'Payroll Summary'!EmployeeNameList</vt:lpstr>
      <vt:lpstr>EmployeeNameList</vt:lpstr>
      <vt:lpstr>'MBA Summary'!LocationList</vt:lpstr>
      <vt:lpstr>'Payroll Summary'!LocationList</vt:lpstr>
      <vt:lpstr>LocationList</vt:lpstr>
      <vt:lpstr>'MBA Summary'!PayPeriodList</vt:lpstr>
      <vt:lpstr>'Payroll Summary'!PayPeriodList</vt:lpstr>
      <vt:lpstr>PayPeriodList</vt:lpstr>
      <vt:lpstr>Primary</vt:lpstr>
      <vt:lpstr>'Pay Calcs'!Print_Area</vt:lpstr>
      <vt:lpstr>Schedule!Print_Area</vt:lpstr>
      <vt:lpstr>Remedial</vt:lpstr>
      <vt:lpstr>ServiceLineList_Indirect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Gaine</dc:creator>
  <cp:lastModifiedBy>Beth Kirkpatrick</cp:lastModifiedBy>
  <cp:lastPrinted>2021-01-13T21:47:12Z</cp:lastPrinted>
  <dcterms:created xsi:type="dcterms:W3CDTF">2016-05-09T15:12:29Z</dcterms:created>
  <dcterms:modified xsi:type="dcterms:W3CDTF">2021-01-15T19:02:28Z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0x01010029696EC4E4A3B6498D3F7347DF0A14F5</vt:lpwstr>
  </property>
</Properties>
</file>