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95" windowWidth="7635" windowHeight="8445" activeTab="2"/>
  </bookViews>
  <sheets>
    <sheet name="Sheet1" sheetId="1" r:id="rId1"/>
    <sheet name="Sheet2" sheetId="2" r:id="rId2"/>
    <sheet name="Example" sheetId="3" r:id="rId3"/>
  </sheets>
  <calcPr calcId="145621"/>
</workbook>
</file>

<file path=xl/calcChain.xml><?xml version="1.0" encoding="utf-8"?>
<calcChain xmlns="http://schemas.openxmlformats.org/spreadsheetml/2006/main">
  <c r="K48" i="3" l="1"/>
  <c r="L48" i="3"/>
  <c r="K44" i="3"/>
  <c r="K45" i="3"/>
  <c r="K46" i="3"/>
  <c r="K47" i="3"/>
  <c r="K43" i="3"/>
  <c r="L43" i="3"/>
  <c r="L42" i="3"/>
  <c r="G43" i="3"/>
  <c r="I43" i="3" s="1"/>
  <c r="E44" i="3"/>
  <c r="G44" i="3" s="1"/>
  <c r="G48" i="3"/>
  <c r="I48" i="3" s="1"/>
  <c r="G28" i="3"/>
  <c r="I28" i="3" s="1"/>
  <c r="E45" i="3"/>
  <c r="G45" i="3" s="1"/>
  <c r="I45" i="3" s="1"/>
  <c r="E46" i="3"/>
  <c r="G46" i="3" s="1"/>
  <c r="I46" i="3" s="1"/>
  <c r="G34" i="3"/>
  <c r="I34" i="3" s="1"/>
  <c r="G32" i="3"/>
  <c r="I32" i="3" s="1"/>
  <c r="G39" i="3"/>
  <c r="I39" i="3" s="1"/>
  <c r="I38" i="3"/>
  <c r="G33" i="3"/>
  <c r="I33" i="3" s="1"/>
  <c r="G31" i="3"/>
  <c r="I31" i="3" s="1"/>
  <c r="G30" i="3"/>
  <c r="I30" i="3" s="1"/>
  <c r="G29" i="3"/>
  <c r="I29" i="3" s="1"/>
  <c r="G53" i="2"/>
  <c r="I53" i="2" s="1"/>
  <c r="G52" i="2"/>
  <c r="I52" i="2" s="1"/>
  <c r="I51" i="2"/>
  <c r="G51" i="2"/>
  <c r="G50" i="2"/>
  <c r="I50" i="2" s="1"/>
  <c r="G49" i="2"/>
  <c r="I49" i="2" s="1"/>
  <c r="J53" i="2" s="1"/>
  <c r="G46" i="2"/>
  <c r="I46" i="2" s="1"/>
  <c r="G45" i="2"/>
  <c r="I45" i="2" s="1"/>
  <c r="G44" i="2"/>
  <c r="I44" i="2" s="1"/>
  <c r="G43" i="2"/>
  <c r="I43" i="2" s="1"/>
  <c r="G42" i="2"/>
  <c r="I42" i="2" s="1"/>
  <c r="G39" i="2"/>
  <c r="I39" i="2" s="1"/>
  <c r="I38" i="2"/>
  <c r="G38" i="2"/>
  <c r="G37" i="2"/>
  <c r="I37" i="2" s="1"/>
  <c r="G36" i="2"/>
  <c r="I36" i="2" s="1"/>
  <c r="G35" i="2"/>
  <c r="I35" i="2" s="1"/>
  <c r="I30" i="2"/>
  <c r="I32" i="2"/>
  <c r="G29" i="2"/>
  <c r="I29" i="2" s="1"/>
  <c r="G30" i="2"/>
  <c r="G31" i="2"/>
  <c r="I31" i="2" s="1"/>
  <c r="G32" i="2"/>
  <c r="G28" i="2"/>
  <c r="I28" i="2" s="1"/>
  <c r="L44" i="3" l="1"/>
  <c r="L45" i="3"/>
  <c r="E47" i="3"/>
  <c r="G47" i="3" s="1"/>
  <c r="L47" i="3"/>
  <c r="I44" i="3"/>
  <c r="L46" i="3"/>
  <c r="J34" i="3"/>
  <c r="J39" i="3"/>
  <c r="K39" i="3"/>
  <c r="K34" i="3"/>
  <c r="J32" i="2"/>
  <c r="J46" i="2"/>
  <c r="J39" i="2"/>
  <c r="I47" i="3" l="1"/>
  <c r="J49" i="3" s="1"/>
  <c r="K49" i="3"/>
</calcChain>
</file>

<file path=xl/sharedStrings.xml><?xml version="1.0" encoding="utf-8"?>
<sst xmlns="http://schemas.openxmlformats.org/spreadsheetml/2006/main" count="212" uniqueCount="116">
  <si>
    <t>Header</t>
  </si>
  <si>
    <t>Program ID</t>
  </si>
  <si>
    <t>Well</t>
  </si>
  <si>
    <t>Pricing</t>
  </si>
  <si>
    <t>Client</t>
  </si>
  <si>
    <t>Well Name</t>
  </si>
  <si>
    <t>Well Location (Surface)</t>
  </si>
  <si>
    <t>Well Location (UWI)</t>
  </si>
  <si>
    <t xml:space="preserve"> </t>
  </si>
  <si>
    <t>Materials</t>
  </si>
  <si>
    <t>Base Charges</t>
  </si>
  <si>
    <t>Services</t>
  </si>
  <si>
    <t>Product Handling</t>
  </si>
  <si>
    <t>Product Delivery</t>
  </si>
  <si>
    <t>Pickup travel</t>
  </si>
  <si>
    <t>Environmental Surcharge</t>
  </si>
  <si>
    <t>Tubing - Size / weight / grade / Depth</t>
  </si>
  <si>
    <t>Liner - Size / weight / grade / Depth</t>
  </si>
  <si>
    <t>Casing - Size / weight / grade / Depth</t>
  </si>
  <si>
    <t>Cement</t>
  </si>
  <si>
    <t>Frac</t>
  </si>
  <si>
    <t>Hole - Size / Depth (mD) / Depth (TVD)</t>
  </si>
  <si>
    <t>All chemical / products</t>
  </si>
  <si>
    <t>Additional location time</t>
  </si>
  <si>
    <t>People - mechanic, Quality control technician</t>
  </si>
  <si>
    <t>Travel / Cartage</t>
  </si>
  <si>
    <t>Product Transport</t>
  </si>
  <si>
    <t>Equipment Cartage</t>
  </si>
  <si>
    <t>Internet Broadcasting</t>
  </si>
  <si>
    <t>Miscellaneous</t>
  </si>
  <si>
    <t>Unit Travel Charge</t>
  </si>
  <si>
    <t>Additional equipment</t>
  </si>
  <si>
    <t>Program Description</t>
  </si>
  <si>
    <t>Job Type</t>
  </si>
  <si>
    <t>Main Service Line</t>
  </si>
  <si>
    <t>Multi-Service Line?</t>
  </si>
  <si>
    <t>Charge Method</t>
  </si>
  <si>
    <t>Book Less Discount</t>
  </si>
  <si>
    <t>As Per Bid</t>
  </si>
  <si>
    <t>Yes</t>
  </si>
  <si>
    <t>No</t>
  </si>
  <si>
    <t>Cementing</t>
  </si>
  <si>
    <t>Fracturing</t>
  </si>
  <si>
    <t>Coiled Tubing</t>
  </si>
  <si>
    <t>Discount (%)</t>
  </si>
  <si>
    <t>Depth Base Charge</t>
  </si>
  <si>
    <t>Travel Base Charge</t>
  </si>
  <si>
    <t>% amount</t>
  </si>
  <si>
    <t>xxx m / ft</t>
  </si>
  <si>
    <t>YYY Km/mile</t>
  </si>
  <si>
    <t>Name</t>
  </si>
  <si>
    <t>Location</t>
  </si>
  <si>
    <t>Section 1</t>
  </si>
  <si>
    <t>Pricing Information</t>
  </si>
  <si>
    <t>Section Name Here</t>
  </si>
  <si>
    <t>Item Name</t>
  </si>
  <si>
    <t>Item Code</t>
  </si>
  <si>
    <t>Quantity</t>
  </si>
  <si>
    <t>Price Per Unit</t>
  </si>
  <si>
    <t>Total Price</t>
  </si>
  <si>
    <t>Discount</t>
  </si>
  <si>
    <t>Amount after discount</t>
  </si>
  <si>
    <t>Bid Price</t>
  </si>
  <si>
    <t>Section Total Price</t>
  </si>
  <si>
    <t>Section #</t>
  </si>
  <si>
    <t>Section 2</t>
  </si>
  <si>
    <t>Section 3</t>
  </si>
  <si>
    <t>Province / State</t>
  </si>
  <si>
    <t>High Profile / Critical Well</t>
  </si>
  <si>
    <t>Pricing Area</t>
  </si>
  <si>
    <t>Dispatch District</t>
  </si>
  <si>
    <t>Service Point</t>
  </si>
  <si>
    <t>Section 4</t>
  </si>
  <si>
    <t xml:space="preserve">Tubulars / Open Hole </t>
  </si>
  <si>
    <t>Description</t>
  </si>
  <si>
    <t>Type</t>
  </si>
  <si>
    <t>Size</t>
  </si>
  <si>
    <t xml:space="preserve">Grade </t>
  </si>
  <si>
    <t>Weight</t>
  </si>
  <si>
    <t>MD From</t>
  </si>
  <si>
    <t>MD To</t>
  </si>
  <si>
    <t>TVD From</t>
  </si>
  <si>
    <t>TVD To</t>
  </si>
  <si>
    <t>Open Hole</t>
  </si>
  <si>
    <t>Casing</t>
  </si>
  <si>
    <t>3043.MW</t>
  </si>
  <si>
    <t>Primary Cementing Procedure</t>
  </si>
  <si>
    <t>Spur Resources Ltd</t>
  </si>
  <si>
    <t>APB</t>
  </si>
  <si>
    <t>86 m</t>
  </si>
  <si>
    <t xml:space="preserve">SPUR 1-22 HZ PROVOST </t>
  </si>
  <si>
    <t>100/14-14-34-8 W4</t>
  </si>
  <si>
    <t>1-22-34-8 W4</t>
  </si>
  <si>
    <t>Alberta</t>
  </si>
  <si>
    <t>Area 1</t>
  </si>
  <si>
    <t>Lloydminster</t>
  </si>
  <si>
    <t>Surface Casing</t>
  </si>
  <si>
    <t xml:space="preserve">Pumping Services: Cementing Base Charge (6 hours), Unit Travel, Pickup Travel, Environmental Surcharge, Radios, Pressure Recorder     
</t>
  </si>
  <si>
    <t>Book Price</t>
  </si>
  <si>
    <t>Unit Travel</t>
  </si>
  <si>
    <t>Pick Up Travel</t>
  </si>
  <si>
    <t>Radios</t>
  </si>
  <si>
    <t>Base Charge</t>
  </si>
  <si>
    <t>Pressure Recorder</t>
  </si>
  <si>
    <t>Bulk Cement Handling</t>
  </si>
  <si>
    <t>Bulk Cement Delivery</t>
  </si>
  <si>
    <t>SRPU Travel</t>
  </si>
  <si>
    <t>Plugs</t>
  </si>
  <si>
    <t>SSi</t>
  </si>
  <si>
    <t>Price / Tonne</t>
  </si>
  <si>
    <t>CFR-2 (0.15%)</t>
  </si>
  <si>
    <t>CaCl2 (2%)</t>
  </si>
  <si>
    <t>CDF-4P (0.15%)</t>
  </si>
  <si>
    <t>% Addition</t>
  </si>
  <si>
    <t>Pumping Services: Slow Rate Pumping Unit Base Charge, SRPU Travel</t>
  </si>
  <si>
    <t>SSi  + 0.15% CFR-2 + 2.00% CaCl2 + 0.15% CDF-4P /tonne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</si>
</sst>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2" fillId="0" borderId="0"/>
    <xf numFmtId="0" fontId="3" fillId="0" borderId="0"/>
    <xf numFmtId="0" fontId="3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4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6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10" fontId="0" fillId="0" borderId="0" xfId="0" applyNumberFormat="1"/>
    <xf numFmtId="8" fontId="0" fillId="0" borderId="0" xfId="0" applyNumberFormat="1"/>
    <xf numFmtId="6" fontId="0" fillId="3" borderId="0" xfId="0" applyNumberFormat="1" applyFill="1"/>
    <xf numFmtId="0" fontId="0" fillId="3" borderId="0" xfId="0" applyFill="1" applyAlignment="1">
      <alignment horizontal="left" wrapText="1"/>
    </xf>
    <xf numFmtId="0" fontId="0" fillId="0" borderId="0" xfId="0" applyFill="1" applyAlignment="1">
      <alignment horizontal="left" wrapText="1"/>
    </xf>
    <xf numFmtId="8" fontId="0" fillId="3" borderId="0" xfId="0" applyNumberFormat="1" applyFill="1"/>
    <xf numFmtId="0" fontId="0" fillId="0" borderId="0" xfId="0" applyFill="1"/>
    <xf numFmtId="6" fontId="0" fillId="0" borderId="0" xfId="0" applyNumberFormat="1" applyFill="1"/>
    <xf numFmtId="0" fontId="0" fillId="0" borderId="0" xfId="0" applyFill="1" applyAlignment="1">
      <alignment wrapText="1"/>
    </xf>
    <xf numFmtId="0" fontId="0" fillId="0" borderId="0" xfId="0" applyFill="1" applyAlignment="1"/>
  </cellXfs>
  <cellStyles count="47">
    <cellStyle name="Comma 2" xfId="39"/>
    <cellStyle name="Comma 3" xfId="2"/>
    <cellStyle name="Currency 2" xfId="40"/>
    <cellStyle name="Currency 3" xfId="3"/>
    <cellStyle name="Normal" xfId="0" builtinId="0"/>
    <cellStyle name="Normal 10" xfId="1"/>
    <cellStyle name="Normal 13" xfId="9"/>
    <cellStyle name="Normal 14" xfId="10"/>
    <cellStyle name="Normal 15" xfId="11"/>
    <cellStyle name="Normal 16" xfId="13"/>
    <cellStyle name="Normal 17" xfId="14"/>
    <cellStyle name="Normal 17 2" xfId="43"/>
    <cellStyle name="Normal 18" xfId="15"/>
    <cellStyle name="Normal 18 2" xfId="44"/>
    <cellStyle name="Normal 19" xfId="16"/>
    <cellStyle name="Normal 19 2" xfId="45"/>
    <cellStyle name="Normal 2" xfId="30"/>
    <cellStyle name="Normal 2 2" xfId="31"/>
    <cellStyle name="Normal 2 2 2" xfId="34"/>
    <cellStyle name="Normal 2 3" xfId="33"/>
    <cellStyle name="Normal 3" xfId="4"/>
    <cellStyle name="Normal 3 2" xfId="17"/>
    <cellStyle name="Normal 3 2 2" xfId="35"/>
    <cellStyle name="Normal 3 2 3" xfId="46"/>
    <cellStyle name="Normal 31" xfId="18"/>
    <cellStyle name="Normal 32" xfId="24"/>
    <cellStyle name="Normal 34" xfId="23"/>
    <cellStyle name="Normal 35" xfId="25"/>
    <cellStyle name="Normal 36" xfId="19"/>
    <cellStyle name="Normal 37" xfId="21"/>
    <cellStyle name="Normal 38" xfId="27"/>
    <cellStyle name="Normal 39" xfId="22"/>
    <cellStyle name="Normal 4" xfId="36"/>
    <cellStyle name="Normal 40" xfId="26"/>
    <cellStyle name="Normal 41" xfId="28"/>
    <cellStyle name="Normal 42" xfId="20"/>
    <cellStyle name="Normal 43" xfId="29"/>
    <cellStyle name="Normal 5" xfId="5"/>
    <cellStyle name="Normal 5 2" xfId="38"/>
    <cellStyle name="Normal 5 3" xfId="37"/>
    <cellStyle name="Normal 5 4" xfId="41"/>
    <cellStyle name="Normal 6" xfId="6"/>
    <cellStyle name="Normal 6 2" xfId="32"/>
    <cellStyle name="Normal 6 3" xfId="42"/>
    <cellStyle name="Normal 7" xfId="8"/>
    <cellStyle name="Normal 8" xfId="7"/>
    <cellStyle name="Normal 9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29"/>
  <sheetViews>
    <sheetView workbookViewId="0">
      <selection activeCell="F14" sqref="F14:F29"/>
    </sheetView>
  </sheetViews>
  <sheetFormatPr defaultRowHeight="15" x14ac:dyDescent="0.25"/>
  <cols>
    <col min="3" max="3" width="36.42578125" customWidth="1"/>
    <col min="4" max="4" width="42.140625" bestFit="1" customWidth="1"/>
  </cols>
  <sheetData>
    <row r="2" spans="2:4" x14ac:dyDescent="0.25">
      <c r="B2" t="s">
        <v>0</v>
      </c>
      <c r="C2" t="s">
        <v>1</v>
      </c>
    </row>
    <row r="3" spans="2:4" x14ac:dyDescent="0.25">
      <c r="C3" t="s">
        <v>4</v>
      </c>
    </row>
    <row r="4" spans="2:4" x14ac:dyDescent="0.25">
      <c r="C4" t="s">
        <v>5</v>
      </c>
    </row>
    <row r="5" spans="2:4" x14ac:dyDescent="0.25">
      <c r="C5" t="s">
        <v>6</v>
      </c>
    </row>
    <row r="6" spans="2:4" x14ac:dyDescent="0.25">
      <c r="C6" t="s">
        <v>7</v>
      </c>
    </row>
    <row r="8" spans="2:4" x14ac:dyDescent="0.25">
      <c r="B8" t="s">
        <v>2</v>
      </c>
      <c r="C8" t="s">
        <v>18</v>
      </c>
      <c r="D8" t="s">
        <v>19</v>
      </c>
    </row>
    <row r="9" spans="2:4" x14ac:dyDescent="0.25">
      <c r="C9" t="s">
        <v>16</v>
      </c>
      <c r="D9" t="s">
        <v>20</v>
      </c>
    </row>
    <row r="10" spans="2:4" x14ac:dyDescent="0.25">
      <c r="C10" t="s">
        <v>17</v>
      </c>
      <c r="D10" t="s">
        <v>20</v>
      </c>
    </row>
    <row r="11" spans="2:4" x14ac:dyDescent="0.25">
      <c r="C11" t="s">
        <v>21</v>
      </c>
    </row>
    <row r="12" spans="2:4" x14ac:dyDescent="0.25">
      <c r="C12" t="s">
        <v>8</v>
      </c>
    </row>
    <row r="13" spans="2:4" ht="15.75" thickBot="1" x14ac:dyDescent="0.3">
      <c r="C13" t="s">
        <v>8</v>
      </c>
    </row>
    <row r="14" spans="2:4" x14ac:dyDescent="0.25">
      <c r="B14" t="s">
        <v>3</v>
      </c>
      <c r="C14" s="1" t="s">
        <v>11</v>
      </c>
      <c r="D14" s="2" t="s">
        <v>10</v>
      </c>
    </row>
    <row r="15" spans="2:4" x14ac:dyDescent="0.25">
      <c r="C15" s="5"/>
      <c r="D15" s="6" t="s">
        <v>12</v>
      </c>
    </row>
    <row r="16" spans="2:4" x14ac:dyDescent="0.25">
      <c r="C16" s="5"/>
      <c r="D16" s="6" t="s">
        <v>13</v>
      </c>
    </row>
    <row r="17" spans="3:4" x14ac:dyDescent="0.25">
      <c r="C17" s="5"/>
      <c r="D17" s="6" t="s">
        <v>31</v>
      </c>
    </row>
    <row r="18" spans="3:4" x14ac:dyDescent="0.25">
      <c r="C18" s="5"/>
      <c r="D18" s="6" t="s">
        <v>23</v>
      </c>
    </row>
    <row r="19" spans="3:4" x14ac:dyDescent="0.25">
      <c r="C19" s="5"/>
      <c r="D19" s="6" t="s">
        <v>24</v>
      </c>
    </row>
    <row r="20" spans="3:4" ht="15.75" thickBot="1" x14ac:dyDescent="0.3">
      <c r="C20" s="3"/>
      <c r="D20" s="4" t="s">
        <v>28</v>
      </c>
    </row>
    <row r="21" spans="3:4" x14ac:dyDescent="0.25">
      <c r="C21" s="1" t="s">
        <v>9</v>
      </c>
      <c r="D21" s="2" t="s">
        <v>22</v>
      </c>
    </row>
    <row r="22" spans="3:4" ht="15.75" thickBot="1" x14ac:dyDescent="0.3">
      <c r="C22" s="3"/>
      <c r="D22" s="4"/>
    </row>
    <row r="23" spans="3:4" x14ac:dyDescent="0.25">
      <c r="C23" s="1" t="s">
        <v>25</v>
      </c>
      <c r="D23" s="2" t="s">
        <v>14</v>
      </c>
    </row>
    <row r="24" spans="3:4" x14ac:dyDescent="0.25">
      <c r="C24" s="5"/>
      <c r="D24" s="6" t="s">
        <v>30</v>
      </c>
    </row>
    <row r="25" spans="3:4" x14ac:dyDescent="0.25">
      <c r="C25" s="5"/>
      <c r="D25" s="6" t="s">
        <v>26</v>
      </c>
    </row>
    <row r="26" spans="3:4" x14ac:dyDescent="0.25">
      <c r="C26" s="5"/>
      <c r="D26" s="6" t="s">
        <v>13</v>
      </c>
    </row>
    <row r="27" spans="3:4" ht="15.75" thickBot="1" x14ac:dyDescent="0.3">
      <c r="C27" s="3"/>
      <c r="D27" s="4" t="s">
        <v>27</v>
      </c>
    </row>
    <row r="28" spans="3:4" x14ac:dyDescent="0.25">
      <c r="C28" s="1" t="s">
        <v>29</v>
      </c>
      <c r="D28" s="2" t="s">
        <v>15</v>
      </c>
    </row>
    <row r="29" spans="3:4" ht="15.75" thickBot="1" x14ac:dyDescent="0.3">
      <c r="C29" s="3"/>
      <c r="D2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59"/>
  <sheetViews>
    <sheetView workbookViewId="0">
      <selection sqref="A1:XFD1048576"/>
    </sheetView>
  </sheetViews>
  <sheetFormatPr defaultRowHeight="15" x14ac:dyDescent="0.25"/>
  <cols>
    <col min="2" max="2" width="24.28515625" bestFit="1" customWidth="1"/>
    <col min="3" max="3" width="18" bestFit="1" customWidth="1"/>
    <col min="4" max="4" width="9.85546875" bestFit="1" customWidth="1"/>
    <col min="5" max="5" width="13.28515625" bestFit="1" customWidth="1"/>
    <col min="6" max="6" width="13.140625" bestFit="1" customWidth="1"/>
    <col min="7" max="7" width="10.28515625" bestFit="1" customWidth="1"/>
    <col min="9" max="9" width="21.140625" bestFit="1" customWidth="1"/>
    <col min="10" max="10" width="17.5703125" bestFit="1" customWidth="1"/>
  </cols>
  <sheetData>
    <row r="2" spans="2:5" x14ac:dyDescent="0.25">
      <c r="B2" t="s">
        <v>1</v>
      </c>
    </row>
    <row r="3" spans="2:5" x14ac:dyDescent="0.25">
      <c r="B3" t="s">
        <v>32</v>
      </c>
    </row>
    <row r="4" spans="2:5" x14ac:dyDescent="0.25">
      <c r="B4" t="s">
        <v>34</v>
      </c>
      <c r="C4" t="s">
        <v>41</v>
      </c>
      <c r="D4" t="s">
        <v>42</v>
      </c>
      <c r="E4" t="s">
        <v>43</v>
      </c>
    </row>
    <row r="5" spans="2:5" x14ac:dyDescent="0.25">
      <c r="B5" t="s">
        <v>35</v>
      </c>
      <c r="C5" t="s">
        <v>39</v>
      </c>
      <c r="D5" t="s">
        <v>40</v>
      </c>
    </row>
    <row r="7" spans="2:5" x14ac:dyDescent="0.25">
      <c r="B7" t="s">
        <v>4</v>
      </c>
    </row>
    <row r="8" spans="2:5" x14ac:dyDescent="0.25">
      <c r="B8" t="s">
        <v>36</v>
      </c>
      <c r="C8" t="s">
        <v>37</v>
      </c>
      <c r="D8" t="s">
        <v>38</v>
      </c>
    </row>
    <row r="9" spans="2:5" x14ac:dyDescent="0.25">
      <c r="B9" t="s">
        <v>44</v>
      </c>
      <c r="C9" t="s">
        <v>47</v>
      </c>
    </row>
    <row r="10" spans="2:5" x14ac:dyDescent="0.25">
      <c r="B10" t="s">
        <v>45</v>
      </c>
      <c r="C10" t="s">
        <v>48</v>
      </c>
    </row>
    <row r="11" spans="2:5" x14ac:dyDescent="0.25">
      <c r="B11" t="s">
        <v>46</v>
      </c>
      <c r="C11" t="s">
        <v>49</v>
      </c>
    </row>
    <row r="14" spans="2:5" x14ac:dyDescent="0.25">
      <c r="B14" t="s">
        <v>5</v>
      </c>
      <c r="C14" t="s">
        <v>50</v>
      </c>
    </row>
    <row r="15" spans="2:5" x14ac:dyDescent="0.25">
      <c r="B15" t="s">
        <v>6</v>
      </c>
      <c r="C15" t="s">
        <v>51</v>
      </c>
    </row>
    <row r="16" spans="2:5" x14ac:dyDescent="0.25">
      <c r="B16" t="s">
        <v>7</v>
      </c>
      <c r="C16" t="s">
        <v>51</v>
      </c>
    </row>
    <row r="17" spans="2:10" x14ac:dyDescent="0.25">
      <c r="B17" t="s">
        <v>67</v>
      </c>
    </row>
    <row r="18" spans="2:10" x14ac:dyDescent="0.25">
      <c r="B18" t="s">
        <v>68</v>
      </c>
      <c r="C18" t="s">
        <v>39</v>
      </c>
      <c r="D18" t="s">
        <v>40</v>
      </c>
    </row>
    <row r="19" spans="2:10" x14ac:dyDescent="0.25">
      <c r="B19" t="s">
        <v>69</v>
      </c>
    </row>
    <row r="20" spans="2:10" x14ac:dyDescent="0.25">
      <c r="B20" t="s">
        <v>70</v>
      </c>
    </row>
    <row r="21" spans="2:10" x14ac:dyDescent="0.25">
      <c r="B21" t="s">
        <v>71</v>
      </c>
    </row>
    <row r="23" spans="2:10" x14ac:dyDescent="0.25">
      <c r="B23" s="10" t="s">
        <v>33</v>
      </c>
    </row>
    <row r="25" spans="2:10" x14ac:dyDescent="0.25">
      <c r="B25" t="s">
        <v>53</v>
      </c>
    </row>
    <row r="26" spans="2:10" x14ac:dyDescent="0.25">
      <c r="B26" t="s">
        <v>64</v>
      </c>
      <c r="C26" t="s">
        <v>55</v>
      </c>
      <c r="D26" t="s">
        <v>56</v>
      </c>
      <c r="E26" t="s">
        <v>57</v>
      </c>
      <c r="F26" t="s">
        <v>58</v>
      </c>
      <c r="G26" t="s">
        <v>59</v>
      </c>
      <c r="H26" t="s">
        <v>60</v>
      </c>
      <c r="I26" t="s">
        <v>61</v>
      </c>
      <c r="J26" t="s">
        <v>63</v>
      </c>
    </row>
    <row r="27" spans="2:10" x14ac:dyDescent="0.25">
      <c r="B27" t="s">
        <v>52</v>
      </c>
      <c r="C27" t="s">
        <v>54</v>
      </c>
      <c r="D27" t="s">
        <v>8</v>
      </c>
      <c r="I27" s="7" t="s">
        <v>62</v>
      </c>
    </row>
    <row r="28" spans="2:10" x14ac:dyDescent="0.25">
      <c r="D28">
        <v>1710</v>
      </c>
      <c r="E28">
        <v>1</v>
      </c>
      <c r="F28" s="9">
        <v>500</v>
      </c>
      <c r="G28" s="9">
        <f>F28*E28</f>
        <v>500</v>
      </c>
      <c r="H28" s="8">
        <v>0.55000000000000004</v>
      </c>
      <c r="I28" s="9">
        <f>G28*(1-H28)</f>
        <v>224.99999999999997</v>
      </c>
    </row>
    <row r="29" spans="2:10" x14ac:dyDescent="0.25">
      <c r="D29">
        <v>1300</v>
      </c>
      <c r="E29">
        <v>3</v>
      </c>
      <c r="F29" s="9">
        <v>500</v>
      </c>
      <c r="G29" s="9">
        <f t="shared" ref="G29:G32" si="0">F29*E29</f>
        <v>1500</v>
      </c>
      <c r="H29" s="8">
        <v>0.55000000000000004</v>
      </c>
      <c r="I29" s="9">
        <f t="shared" ref="I29:I32" si="1">G29*(1-H29)</f>
        <v>674.99999999999989</v>
      </c>
    </row>
    <row r="30" spans="2:10" x14ac:dyDescent="0.25">
      <c r="D30">
        <v>1600</v>
      </c>
      <c r="E30">
        <v>1</v>
      </c>
      <c r="F30" s="9">
        <v>750</v>
      </c>
      <c r="G30" s="9">
        <f t="shared" si="0"/>
        <v>750</v>
      </c>
      <c r="H30" s="8">
        <v>0.55000000000000004</v>
      </c>
      <c r="I30" s="9">
        <f t="shared" si="1"/>
        <v>337.49999999999994</v>
      </c>
    </row>
    <row r="31" spans="2:10" x14ac:dyDescent="0.25">
      <c r="D31">
        <v>1602</v>
      </c>
      <c r="E31">
        <v>1</v>
      </c>
      <c r="F31" s="9">
        <v>500</v>
      </c>
      <c r="G31" s="9">
        <f t="shared" si="0"/>
        <v>500</v>
      </c>
      <c r="H31" s="8">
        <v>0.55000000000000004</v>
      </c>
      <c r="I31" s="9">
        <f t="shared" si="1"/>
        <v>224.99999999999997</v>
      </c>
    </row>
    <row r="32" spans="2:10" x14ac:dyDescent="0.25">
      <c r="D32">
        <v>1690</v>
      </c>
      <c r="E32">
        <v>1</v>
      </c>
      <c r="F32" s="9">
        <v>250</v>
      </c>
      <c r="G32" s="9">
        <f t="shared" si="0"/>
        <v>250</v>
      </c>
      <c r="H32" s="8">
        <v>0.55000000000000004</v>
      </c>
      <c r="I32" s="9">
        <f t="shared" si="1"/>
        <v>112.49999999999999</v>
      </c>
      <c r="J32" s="9">
        <f>SUM(I28:I32)</f>
        <v>1574.9999999999998</v>
      </c>
    </row>
    <row r="34" spans="2:10" x14ac:dyDescent="0.25">
      <c r="B34" t="s">
        <v>65</v>
      </c>
      <c r="C34" t="s">
        <v>54</v>
      </c>
      <c r="D34" t="s">
        <v>8</v>
      </c>
      <c r="I34" s="7" t="s">
        <v>62</v>
      </c>
    </row>
    <row r="35" spans="2:10" x14ac:dyDescent="0.25">
      <c r="D35">
        <v>1710</v>
      </c>
      <c r="E35">
        <v>1</v>
      </c>
      <c r="F35" s="9">
        <v>500</v>
      </c>
      <c r="G35" s="9">
        <f>F35*E35</f>
        <v>500</v>
      </c>
      <c r="H35" s="8">
        <v>0.55000000000000004</v>
      </c>
      <c r="I35" s="9">
        <f>G35*(1-H35)</f>
        <v>224.99999999999997</v>
      </c>
    </row>
    <row r="36" spans="2:10" x14ac:dyDescent="0.25">
      <c r="D36">
        <v>1300</v>
      </c>
      <c r="E36">
        <v>3</v>
      </c>
      <c r="F36" s="9">
        <v>500</v>
      </c>
      <c r="G36" s="9">
        <f t="shared" ref="G36:G39" si="2">F36*E36</f>
        <v>1500</v>
      </c>
      <c r="H36" s="8">
        <v>0.55000000000000004</v>
      </c>
      <c r="I36" s="9">
        <f t="shared" ref="I36:I39" si="3">G36*(1-H36)</f>
        <v>674.99999999999989</v>
      </c>
    </row>
    <row r="37" spans="2:10" x14ac:dyDescent="0.25">
      <c r="D37">
        <v>1600</v>
      </c>
      <c r="E37">
        <v>1</v>
      </c>
      <c r="F37" s="9">
        <v>750</v>
      </c>
      <c r="G37" s="9">
        <f t="shared" si="2"/>
        <v>750</v>
      </c>
      <c r="H37" s="8">
        <v>0.55000000000000004</v>
      </c>
      <c r="I37" s="9">
        <f t="shared" si="3"/>
        <v>337.49999999999994</v>
      </c>
    </row>
    <row r="38" spans="2:10" x14ac:dyDescent="0.25">
      <c r="D38">
        <v>1602</v>
      </c>
      <c r="E38">
        <v>1</v>
      </c>
      <c r="F38" s="9">
        <v>500</v>
      </c>
      <c r="G38" s="9">
        <f t="shared" si="2"/>
        <v>500</v>
      </c>
      <c r="H38" s="8">
        <v>0.55000000000000004</v>
      </c>
      <c r="I38" s="9">
        <f t="shared" si="3"/>
        <v>224.99999999999997</v>
      </c>
    </row>
    <row r="39" spans="2:10" x14ac:dyDescent="0.25">
      <c r="D39">
        <v>1690</v>
      </c>
      <c r="E39">
        <v>1</v>
      </c>
      <c r="F39" s="9">
        <v>250</v>
      </c>
      <c r="G39" s="9">
        <f t="shared" si="2"/>
        <v>250</v>
      </c>
      <c r="H39" s="8">
        <v>0.55000000000000004</v>
      </c>
      <c r="I39" s="9">
        <f t="shared" si="3"/>
        <v>112.49999999999999</v>
      </c>
      <c r="J39" s="9">
        <f>SUM(I35:I39)</f>
        <v>1574.9999999999998</v>
      </c>
    </row>
    <row r="41" spans="2:10" x14ac:dyDescent="0.25">
      <c r="B41" t="s">
        <v>66</v>
      </c>
      <c r="C41" t="s">
        <v>54</v>
      </c>
      <c r="D41" t="s">
        <v>8</v>
      </c>
      <c r="I41" s="7" t="s">
        <v>62</v>
      </c>
    </row>
    <row r="42" spans="2:10" x14ac:dyDescent="0.25">
      <c r="D42">
        <v>1710</v>
      </c>
      <c r="E42">
        <v>1</v>
      </c>
      <c r="F42" s="9">
        <v>500</v>
      </c>
      <c r="G42" s="9">
        <f>F42*E42</f>
        <v>500</v>
      </c>
      <c r="H42" s="8">
        <v>0.55000000000000004</v>
      </c>
      <c r="I42" s="9">
        <f>G42*(1-H42)</f>
        <v>224.99999999999997</v>
      </c>
    </row>
    <row r="43" spans="2:10" x14ac:dyDescent="0.25">
      <c r="D43">
        <v>1300</v>
      </c>
      <c r="E43">
        <v>3</v>
      </c>
      <c r="F43" s="9">
        <v>500</v>
      </c>
      <c r="G43" s="9">
        <f t="shared" ref="G43:G46" si="4">F43*E43</f>
        <v>1500</v>
      </c>
      <c r="H43" s="8">
        <v>0.55000000000000004</v>
      </c>
      <c r="I43" s="9">
        <f t="shared" ref="I43:I46" si="5">G43*(1-H43)</f>
        <v>674.99999999999989</v>
      </c>
    </row>
    <row r="44" spans="2:10" x14ac:dyDescent="0.25">
      <c r="D44">
        <v>1600</v>
      </c>
      <c r="E44">
        <v>1</v>
      </c>
      <c r="F44" s="9">
        <v>750</v>
      </c>
      <c r="G44" s="9">
        <f t="shared" si="4"/>
        <v>750</v>
      </c>
      <c r="H44" s="8">
        <v>0.55000000000000004</v>
      </c>
      <c r="I44" s="9">
        <f t="shared" si="5"/>
        <v>337.49999999999994</v>
      </c>
    </row>
    <row r="45" spans="2:10" x14ac:dyDescent="0.25">
      <c r="D45">
        <v>1602</v>
      </c>
      <c r="E45">
        <v>1</v>
      </c>
      <c r="F45" s="9">
        <v>500</v>
      </c>
      <c r="G45" s="9">
        <f t="shared" si="4"/>
        <v>500</v>
      </c>
      <c r="H45" s="8">
        <v>0.55000000000000004</v>
      </c>
      <c r="I45" s="9">
        <f t="shared" si="5"/>
        <v>224.99999999999997</v>
      </c>
    </row>
    <row r="46" spans="2:10" x14ac:dyDescent="0.25">
      <c r="D46">
        <v>1690</v>
      </c>
      <c r="E46">
        <v>1</v>
      </c>
      <c r="F46" s="9">
        <v>250</v>
      </c>
      <c r="G46" s="9">
        <f t="shared" si="4"/>
        <v>250</v>
      </c>
      <c r="H46" s="8">
        <v>0.55000000000000004</v>
      </c>
      <c r="I46" s="9">
        <f t="shared" si="5"/>
        <v>112.49999999999999</v>
      </c>
      <c r="J46" s="9">
        <f>SUM(I42:I46)</f>
        <v>1574.9999999999998</v>
      </c>
    </row>
    <row r="48" spans="2:10" x14ac:dyDescent="0.25">
      <c r="B48" t="s">
        <v>72</v>
      </c>
      <c r="C48" t="s">
        <v>54</v>
      </c>
      <c r="D48" t="s">
        <v>8</v>
      </c>
      <c r="I48" s="7" t="s">
        <v>62</v>
      </c>
    </row>
    <row r="49" spans="2:11" x14ac:dyDescent="0.25">
      <c r="D49">
        <v>1710</v>
      </c>
      <c r="E49">
        <v>1</v>
      </c>
      <c r="F49" s="9">
        <v>500</v>
      </c>
      <c r="G49" s="9">
        <f>F49*E49</f>
        <v>500</v>
      </c>
      <c r="H49" s="8">
        <v>0.55000000000000004</v>
      </c>
      <c r="I49" s="9">
        <f>G49*(1-H49)</f>
        <v>224.99999999999997</v>
      </c>
    </row>
    <row r="50" spans="2:11" x14ac:dyDescent="0.25">
      <c r="D50">
        <v>1300</v>
      </c>
      <c r="E50">
        <v>3</v>
      </c>
      <c r="F50" s="9">
        <v>500</v>
      </c>
      <c r="G50" s="9">
        <f t="shared" ref="G50:G53" si="6">F50*E50</f>
        <v>1500</v>
      </c>
      <c r="H50" s="8">
        <v>0.55000000000000004</v>
      </c>
      <c r="I50" s="9">
        <f t="shared" ref="I50:I53" si="7">G50*(1-H50)</f>
        <v>674.99999999999989</v>
      </c>
    </row>
    <row r="51" spans="2:11" x14ac:dyDescent="0.25">
      <c r="D51">
        <v>1600</v>
      </c>
      <c r="E51">
        <v>1</v>
      </c>
      <c r="F51" s="9">
        <v>750</v>
      </c>
      <c r="G51" s="9">
        <f t="shared" si="6"/>
        <v>750</v>
      </c>
      <c r="H51" s="8">
        <v>0.55000000000000004</v>
      </c>
      <c r="I51" s="9">
        <f t="shared" si="7"/>
        <v>337.49999999999994</v>
      </c>
    </row>
    <row r="52" spans="2:11" x14ac:dyDescent="0.25">
      <c r="D52">
        <v>1602</v>
      </c>
      <c r="E52">
        <v>1</v>
      </c>
      <c r="F52" s="9">
        <v>500</v>
      </c>
      <c r="G52" s="9">
        <f t="shared" si="6"/>
        <v>500</v>
      </c>
      <c r="H52" s="8">
        <v>0.55000000000000004</v>
      </c>
      <c r="I52" s="9">
        <f t="shared" si="7"/>
        <v>224.99999999999997</v>
      </c>
    </row>
    <row r="53" spans="2:11" x14ac:dyDescent="0.25">
      <c r="D53">
        <v>1690</v>
      </c>
      <c r="E53">
        <v>1</v>
      </c>
      <c r="F53" s="9">
        <v>250</v>
      </c>
      <c r="G53" s="9">
        <f t="shared" si="6"/>
        <v>250</v>
      </c>
      <c r="H53" s="8">
        <v>0.55000000000000004</v>
      </c>
      <c r="I53" s="9">
        <f t="shared" si="7"/>
        <v>112.49999999999999</v>
      </c>
      <c r="J53" s="9">
        <f>SUM(I49:I53)</f>
        <v>1574.9999999999998</v>
      </c>
    </row>
    <row r="56" spans="2:11" x14ac:dyDescent="0.25">
      <c r="B56" t="s">
        <v>73</v>
      </c>
    </row>
    <row r="57" spans="2:11" x14ac:dyDescent="0.25">
      <c r="C57" t="s">
        <v>74</v>
      </c>
      <c r="D57" t="s">
        <v>75</v>
      </c>
      <c r="E57" t="s">
        <v>76</v>
      </c>
      <c r="F57" t="s">
        <v>77</v>
      </c>
      <c r="G57" t="s">
        <v>78</v>
      </c>
      <c r="H57" t="s">
        <v>79</v>
      </c>
      <c r="I57" t="s">
        <v>80</v>
      </c>
      <c r="J57" t="s">
        <v>81</v>
      </c>
      <c r="K57" t="s">
        <v>82</v>
      </c>
    </row>
    <row r="58" spans="2:11" x14ac:dyDescent="0.25">
      <c r="C58" t="s">
        <v>83</v>
      </c>
    </row>
    <row r="59" spans="2:11" x14ac:dyDescent="0.25">
      <c r="C59" t="s">
        <v>84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61"/>
  <sheetViews>
    <sheetView tabSelected="1" topLeftCell="A27" workbookViewId="0">
      <selection activeCell="K43" sqref="K43:K48"/>
    </sheetView>
  </sheetViews>
  <sheetFormatPr defaultRowHeight="15" x14ac:dyDescent="0.25"/>
  <cols>
    <col min="1" max="1" width="24.28515625" bestFit="1" customWidth="1"/>
    <col min="2" max="2" width="31" customWidth="1"/>
    <col min="3" max="3" width="13.85546875" bestFit="1" customWidth="1"/>
    <col min="4" max="4" width="10.7109375" bestFit="1" customWidth="1"/>
    <col min="5" max="5" width="8.7109375" bestFit="1" customWidth="1"/>
    <col min="6" max="6" width="13.140625" bestFit="1" customWidth="1"/>
    <col min="7" max="7" width="10.28515625" bestFit="1" customWidth="1"/>
    <col min="8" max="8" width="8.7109375" bestFit="1" customWidth="1"/>
    <col min="9" max="9" width="21.140625" bestFit="1" customWidth="1"/>
    <col min="10" max="10" width="17.5703125" bestFit="1" customWidth="1"/>
    <col min="11" max="11" width="10.28515625" bestFit="1" customWidth="1"/>
    <col min="12" max="12" width="12.7109375" bestFit="1" customWidth="1"/>
  </cols>
  <sheetData>
    <row r="2" spans="1:4" x14ac:dyDescent="0.25">
      <c r="A2" t="s">
        <v>1</v>
      </c>
      <c r="B2" t="s">
        <v>85</v>
      </c>
    </row>
    <row r="3" spans="1:4" x14ac:dyDescent="0.25">
      <c r="A3" t="s">
        <v>32</v>
      </c>
      <c r="B3" t="s">
        <v>86</v>
      </c>
    </row>
    <row r="4" spans="1:4" x14ac:dyDescent="0.25">
      <c r="A4" t="s">
        <v>34</v>
      </c>
      <c r="B4" t="s">
        <v>41</v>
      </c>
      <c r="C4" t="s">
        <v>8</v>
      </c>
      <c r="D4" t="s">
        <v>8</v>
      </c>
    </row>
    <row r="5" spans="1:4" x14ac:dyDescent="0.25">
      <c r="A5" t="s">
        <v>35</v>
      </c>
      <c r="B5" t="s">
        <v>40</v>
      </c>
      <c r="C5" t="s">
        <v>8</v>
      </c>
    </row>
    <row r="7" spans="1:4" x14ac:dyDescent="0.25">
      <c r="A7" t="s">
        <v>4</v>
      </c>
      <c r="B7" t="s">
        <v>87</v>
      </c>
    </row>
    <row r="8" spans="1:4" x14ac:dyDescent="0.25">
      <c r="A8" t="s">
        <v>36</v>
      </c>
      <c r="B8" t="s">
        <v>88</v>
      </c>
      <c r="C8" t="s">
        <v>8</v>
      </c>
    </row>
    <row r="9" spans="1:4" x14ac:dyDescent="0.25">
      <c r="A9" t="s">
        <v>44</v>
      </c>
      <c r="B9" s="12">
        <v>0.69</v>
      </c>
    </row>
    <row r="10" spans="1:4" x14ac:dyDescent="0.25">
      <c r="A10" t="s">
        <v>45</v>
      </c>
      <c r="B10" t="s">
        <v>89</v>
      </c>
    </row>
    <row r="11" spans="1:4" x14ac:dyDescent="0.25">
      <c r="A11" t="s">
        <v>46</v>
      </c>
      <c r="B11" s="11">
        <v>120</v>
      </c>
    </row>
    <row r="14" spans="1:4" x14ac:dyDescent="0.25">
      <c r="A14" t="s">
        <v>5</v>
      </c>
      <c r="B14" t="s">
        <v>90</v>
      </c>
    </row>
    <row r="15" spans="1:4" x14ac:dyDescent="0.25">
      <c r="A15" t="s">
        <v>6</v>
      </c>
      <c r="B15" t="s">
        <v>92</v>
      </c>
    </row>
    <row r="16" spans="1:4" x14ac:dyDescent="0.25">
      <c r="A16" t="s">
        <v>7</v>
      </c>
      <c r="B16" t="s">
        <v>91</v>
      </c>
    </row>
    <row r="17" spans="1:11" x14ac:dyDescent="0.25">
      <c r="A17" t="s">
        <v>67</v>
      </c>
      <c r="B17" t="s">
        <v>93</v>
      </c>
    </row>
    <row r="18" spans="1:11" x14ac:dyDescent="0.25">
      <c r="A18" t="s">
        <v>68</v>
      </c>
      <c r="B18" t="s">
        <v>40</v>
      </c>
      <c r="C18" t="s">
        <v>8</v>
      </c>
    </row>
    <row r="19" spans="1:11" x14ac:dyDescent="0.25">
      <c r="A19" t="s">
        <v>69</v>
      </c>
      <c r="B19" t="s">
        <v>94</v>
      </c>
    </row>
    <row r="20" spans="1:11" x14ac:dyDescent="0.25">
      <c r="A20" t="s">
        <v>70</v>
      </c>
      <c r="B20" t="s">
        <v>95</v>
      </c>
    </row>
    <row r="21" spans="1:11" x14ac:dyDescent="0.25">
      <c r="A21" t="s">
        <v>71</v>
      </c>
      <c r="B21" t="s">
        <v>95</v>
      </c>
    </row>
    <row r="23" spans="1:11" x14ac:dyDescent="0.25">
      <c r="A23" s="10" t="s">
        <v>33</v>
      </c>
      <c r="B23" t="s">
        <v>96</v>
      </c>
    </row>
    <row r="25" spans="1:11" x14ac:dyDescent="0.25">
      <c r="A25" t="s">
        <v>53</v>
      </c>
    </row>
    <row r="26" spans="1:11" x14ac:dyDescent="0.25">
      <c r="A26" t="s">
        <v>64</v>
      </c>
      <c r="B26" t="s">
        <v>55</v>
      </c>
      <c r="C26" t="s">
        <v>56</v>
      </c>
      <c r="E26" t="s">
        <v>57</v>
      </c>
      <c r="F26" t="s">
        <v>58</v>
      </c>
      <c r="G26" t="s">
        <v>59</v>
      </c>
      <c r="H26" t="s">
        <v>60</v>
      </c>
      <c r="I26" t="s">
        <v>61</v>
      </c>
      <c r="J26" t="s">
        <v>63</v>
      </c>
      <c r="K26" t="s">
        <v>98</v>
      </c>
    </row>
    <row r="27" spans="1:11" ht="30" customHeight="1" x14ac:dyDescent="0.25">
      <c r="A27" t="s">
        <v>52</v>
      </c>
      <c r="B27" s="16" t="s">
        <v>97</v>
      </c>
      <c r="C27" s="16"/>
      <c r="D27" s="16"/>
      <c r="E27" s="16"/>
      <c r="F27" s="16"/>
      <c r="G27" s="16"/>
      <c r="H27" s="15">
        <v>1550</v>
      </c>
    </row>
    <row r="28" spans="1:11" x14ac:dyDescent="0.25">
      <c r="A28" t="s">
        <v>8</v>
      </c>
      <c r="B28" t="s">
        <v>102</v>
      </c>
      <c r="C28">
        <v>1000</v>
      </c>
      <c r="E28">
        <v>1</v>
      </c>
      <c r="F28" s="9">
        <v>3350</v>
      </c>
      <c r="G28" s="9">
        <f>F28*E28</f>
        <v>3350</v>
      </c>
      <c r="H28" s="8">
        <v>0.7</v>
      </c>
      <c r="I28" s="9">
        <f>G28*(1-H28)</f>
        <v>1005.0000000000001</v>
      </c>
    </row>
    <row r="29" spans="1:11" x14ac:dyDescent="0.25">
      <c r="B29" t="s">
        <v>99</v>
      </c>
      <c r="C29">
        <v>1380</v>
      </c>
      <c r="E29">
        <v>1</v>
      </c>
      <c r="F29" s="9">
        <v>996</v>
      </c>
      <c r="G29" s="9">
        <f t="shared" ref="G29:G34" si="0">F29*E29</f>
        <v>996</v>
      </c>
      <c r="H29" s="8">
        <v>0.7</v>
      </c>
      <c r="I29" s="9">
        <f t="shared" ref="I29:I34" si="1">G29*(1-H29)</f>
        <v>298.80000000000007</v>
      </c>
    </row>
    <row r="30" spans="1:11" x14ac:dyDescent="0.25">
      <c r="B30" t="s">
        <v>100</v>
      </c>
      <c r="C30">
        <v>1382</v>
      </c>
      <c r="E30">
        <v>1</v>
      </c>
      <c r="F30" s="9">
        <v>426</v>
      </c>
      <c r="G30" s="9">
        <f t="shared" si="0"/>
        <v>426</v>
      </c>
      <c r="H30" s="8">
        <v>0.7</v>
      </c>
      <c r="I30" s="9">
        <f t="shared" si="1"/>
        <v>127.80000000000003</v>
      </c>
    </row>
    <row r="31" spans="1:11" x14ac:dyDescent="0.25">
      <c r="B31" t="s">
        <v>15</v>
      </c>
      <c r="C31">
        <v>1493</v>
      </c>
      <c r="E31">
        <v>1</v>
      </c>
      <c r="F31" s="9">
        <v>55</v>
      </c>
      <c r="G31" s="9">
        <f t="shared" si="0"/>
        <v>55</v>
      </c>
      <c r="H31" s="8">
        <v>0</v>
      </c>
      <c r="I31" s="9">
        <f t="shared" si="1"/>
        <v>55</v>
      </c>
    </row>
    <row r="32" spans="1:11" x14ac:dyDescent="0.25">
      <c r="B32" t="s">
        <v>103</v>
      </c>
      <c r="C32">
        <v>1442</v>
      </c>
      <c r="E32">
        <v>1</v>
      </c>
      <c r="F32" s="9">
        <v>235</v>
      </c>
      <c r="G32" s="9">
        <f t="shared" si="0"/>
        <v>235</v>
      </c>
      <c r="H32" s="8">
        <v>0.7</v>
      </c>
      <c r="I32" s="9">
        <f t="shared" si="1"/>
        <v>70.500000000000014</v>
      </c>
    </row>
    <row r="33" spans="1:12" x14ac:dyDescent="0.25">
      <c r="B33" t="s">
        <v>101</v>
      </c>
      <c r="C33">
        <v>1690</v>
      </c>
      <c r="E33">
        <v>0</v>
      </c>
      <c r="F33" s="9">
        <v>250</v>
      </c>
      <c r="G33" s="9">
        <f t="shared" si="0"/>
        <v>0</v>
      </c>
      <c r="H33" s="8">
        <v>0.7</v>
      </c>
      <c r="I33" s="9">
        <f t="shared" si="1"/>
        <v>0</v>
      </c>
    </row>
    <row r="34" spans="1:12" x14ac:dyDescent="0.25">
      <c r="B34" t="s">
        <v>107</v>
      </c>
      <c r="C34">
        <v>3372</v>
      </c>
      <c r="E34">
        <v>1</v>
      </c>
      <c r="F34" s="9">
        <v>185</v>
      </c>
      <c r="G34" s="9">
        <f t="shared" si="0"/>
        <v>185</v>
      </c>
      <c r="H34" s="8">
        <v>0.7</v>
      </c>
      <c r="I34" s="9">
        <f t="shared" si="1"/>
        <v>55.500000000000007</v>
      </c>
      <c r="J34" s="9">
        <f>SUM(I28:I34)</f>
        <v>1612.6000000000001</v>
      </c>
      <c r="K34" s="9">
        <f>SUM(G28:G34)</f>
        <v>5247</v>
      </c>
    </row>
    <row r="36" spans="1:12" x14ac:dyDescent="0.25">
      <c r="A36" t="s">
        <v>64</v>
      </c>
      <c r="B36" t="s">
        <v>55</v>
      </c>
      <c r="C36" t="s">
        <v>56</v>
      </c>
      <c r="E36" t="s">
        <v>57</v>
      </c>
      <c r="F36" t="s">
        <v>58</v>
      </c>
      <c r="G36" t="s">
        <v>59</v>
      </c>
      <c r="H36" t="s">
        <v>60</v>
      </c>
      <c r="I36" t="s">
        <v>61</v>
      </c>
      <c r="J36" t="s">
        <v>63</v>
      </c>
      <c r="K36" t="s">
        <v>98</v>
      </c>
    </row>
    <row r="37" spans="1:12" ht="15" customHeight="1" x14ac:dyDescent="0.25">
      <c r="A37" t="s">
        <v>65</v>
      </c>
      <c r="B37" s="16" t="s">
        <v>114</v>
      </c>
      <c r="C37" s="16"/>
      <c r="D37" s="16"/>
      <c r="E37" s="16"/>
      <c r="F37" s="16"/>
      <c r="G37" s="16"/>
      <c r="H37" s="15">
        <v>1300</v>
      </c>
    </row>
    <row r="38" spans="1:12" ht="15" customHeight="1" x14ac:dyDescent="0.25">
      <c r="B38" s="22"/>
      <c r="C38" s="22"/>
      <c r="D38" s="22"/>
      <c r="E38" s="22"/>
      <c r="F38" s="22"/>
      <c r="G38" s="22"/>
      <c r="H38" s="22"/>
      <c r="I38" s="9">
        <f>G38*(1-H38)</f>
        <v>0</v>
      </c>
    </row>
    <row r="39" spans="1:12" x14ac:dyDescent="0.25">
      <c r="B39" t="s">
        <v>106</v>
      </c>
      <c r="C39">
        <v>1300</v>
      </c>
      <c r="E39">
        <v>1</v>
      </c>
      <c r="F39" s="9">
        <v>852</v>
      </c>
      <c r="G39" s="9">
        <f t="shared" ref="G39" si="2">F39*E39</f>
        <v>852</v>
      </c>
      <c r="H39" s="8">
        <v>0.7</v>
      </c>
      <c r="I39" s="9">
        <f t="shared" ref="I39" si="3">G39*(1-H39)</f>
        <v>255.60000000000005</v>
      </c>
      <c r="J39" s="9">
        <f>SUM(I38:I39)</f>
        <v>255.60000000000005</v>
      </c>
      <c r="K39" s="9">
        <f>SUM(G38:G39)</f>
        <v>852</v>
      </c>
    </row>
    <row r="41" spans="1:12" x14ac:dyDescent="0.25">
      <c r="A41" t="s">
        <v>64</v>
      </c>
      <c r="B41" t="s">
        <v>55</v>
      </c>
      <c r="C41" t="s">
        <v>56</v>
      </c>
      <c r="D41" t="s">
        <v>113</v>
      </c>
      <c r="E41" t="s">
        <v>57</v>
      </c>
      <c r="F41" t="s">
        <v>58</v>
      </c>
      <c r="G41" t="s">
        <v>59</v>
      </c>
      <c r="H41" t="s">
        <v>60</v>
      </c>
      <c r="I41" t="s">
        <v>61</v>
      </c>
      <c r="J41" t="s">
        <v>63</v>
      </c>
      <c r="K41" t="s">
        <v>98</v>
      </c>
      <c r="L41" t="s">
        <v>109</v>
      </c>
    </row>
    <row r="42" spans="1:12" ht="15" customHeight="1" x14ac:dyDescent="0.25">
      <c r="A42" t="s">
        <v>66</v>
      </c>
      <c r="B42" s="16" t="s">
        <v>115</v>
      </c>
      <c r="C42" s="16"/>
      <c r="D42" s="16"/>
      <c r="E42" s="21">
        <v>5.0999999999999996</v>
      </c>
      <c r="F42" s="21"/>
      <c r="G42" s="21"/>
      <c r="H42" s="19"/>
      <c r="I42" s="20">
        <v>1887</v>
      </c>
      <c r="L42" s="18">
        <f>I42/E42</f>
        <v>370</v>
      </c>
    </row>
    <row r="43" spans="1:12" ht="15" customHeight="1" x14ac:dyDescent="0.25">
      <c r="B43" t="s">
        <v>108</v>
      </c>
      <c r="C43">
        <v>3011</v>
      </c>
      <c r="E43">
        <v>5</v>
      </c>
      <c r="F43" s="9">
        <v>760</v>
      </c>
      <c r="G43" s="9">
        <f>F43*E43</f>
        <v>3800</v>
      </c>
      <c r="H43" s="8">
        <v>0.69</v>
      </c>
      <c r="I43" s="9">
        <f>G43*(1-H43)</f>
        <v>1178.0000000000002</v>
      </c>
      <c r="K43" s="9">
        <f>E43/E$43*F43</f>
        <v>760</v>
      </c>
      <c r="L43" s="14">
        <f>E43/E$43*F43*(1-H43)</f>
        <v>235.60000000000005</v>
      </c>
    </row>
    <row r="44" spans="1:12" ht="15" customHeight="1" x14ac:dyDescent="0.25">
      <c r="B44" t="s">
        <v>110</v>
      </c>
      <c r="C44">
        <v>3161</v>
      </c>
      <c r="D44" s="13">
        <v>1.5E-3</v>
      </c>
      <c r="E44">
        <f>D44*E$43*1000</f>
        <v>7.5</v>
      </c>
      <c r="F44" s="9">
        <v>23</v>
      </c>
      <c r="G44" s="9">
        <f t="shared" ref="G44:G46" si="4">F44*E44</f>
        <v>172.5</v>
      </c>
      <c r="H44" s="8">
        <v>0.69</v>
      </c>
      <c r="I44" s="9">
        <f>G44*(1-H44)</f>
        <v>53.475000000000009</v>
      </c>
      <c r="K44" s="9">
        <f t="shared" ref="K44:K48" si="5">E44/E$43*F44</f>
        <v>34.5</v>
      </c>
      <c r="L44" s="14">
        <f>E44/E$43*F44*(1-H44)</f>
        <v>10.695000000000002</v>
      </c>
    </row>
    <row r="45" spans="1:12" x14ac:dyDescent="0.25">
      <c r="B45" t="s">
        <v>111</v>
      </c>
      <c r="C45">
        <v>3100</v>
      </c>
      <c r="D45" s="8">
        <v>0.02</v>
      </c>
      <c r="E45">
        <f t="shared" ref="E45:E46" si="6">D45*E$43*1000</f>
        <v>100</v>
      </c>
      <c r="F45" s="9">
        <v>3.5</v>
      </c>
      <c r="G45" s="9">
        <f t="shared" si="4"/>
        <v>350</v>
      </c>
      <c r="H45" s="8">
        <v>0.69</v>
      </c>
      <c r="I45" s="9">
        <f t="shared" ref="I45:I46" si="7">G45*(1-H45)</f>
        <v>108.50000000000001</v>
      </c>
      <c r="K45" s="9">
        <f t="shared" si="5"/>
        <v>70</v>
      </c>
      <c r="L45" s="14">
        <f>E45/E$43*F45*(1-H45)</f>
        <v>21.700000000000003</v>
      </c>
    </row>
    <row r="46" spans="1:12" x14ac:dyDescent="0.25">
      <c r="B46" t="s">
        <v>112</v>
      </c>
      <c r="C46">
        <v>3317</v>
      </c>
      <c r="D46" s="13">
        <v>1.5E-3</v>
      </c>
      <c r="E46">
        <f t="shared" si="6"/>
        <v>7.5</v>
      </c>
      <c r="F46" s="9">
        <v>28</v>
      </c>
      <c r="G46" s="9">
        <f t="shared" si="4"/>
        <v>210</v>
      </c>
      <c r="H46" s="8">
        <v>0.69</v>
      </c>
      <c r="I46" s="9">
        <f t="shared" si="7"/>
        <v>65.100000000000009</v>
      </c>
      <c r="K46" s="9">
        <f t="shared" si="5"/>
        <v>42</v>
      </c>
      <c r="L46" s="14">
        <f>E46/E$43*F46*(1-H46)</f>
        <v>13.020000000000003</v>
      </c>
    </row>
    <row r="47" spans="1:12" x14ac:dyDescent="0.25">
      <c r="B47" t="s">
        <v>104</v>
      </c>
      <c r="C47">
        <v>1481</v>
      </c>
      <c r="E47">
        <f>(E43*1000+E44+E45+E46)/1000</f>
        <v>5.1150000000000002</v>
      </c>
      <c r="F47" s="9">
        <v>100</v>
      </c>
      <c r="G47" s="9">
        <f>F47*E47</f>
        <v>511.5</v>
      </c>
      <c r="H47" s="8">
        <v>0.69</v>
      </c>
      <c r="I47" s="9">
        <f>G47*(1-H47)</f>
        <v>158.56500000000003</v>
      </c>
      <c r="K47" s="9">
        <f t="shared" si="5"/>
        <v>102.30000000000001</v>
      </c>
      <c r="L47" s="14">
        <f>E47/E$43*F47*(1-H47)</f>
        <v>31.713000000000008</v>
      </c>
    </row>
    <row r="48" spans="1:12" x14ac:dyDescent="0.25">
      <c r="B48" t="s">
        <v>105</v>
      </c>
      <c r="C48">
        <v>1485</v>
      </c>
      <c r="E48">
        <v>5.1150000000000002</v>
      </c>
      <c r="F48" s="9">
        <v>1.5</v>
      </c>
      <c r="G48" s="9">
        <f>F48*E48*B11</f>
        <v>920.7</v>
      </c>
      <c r="H48" s="8">
        <v>0.69</v>
      </c>
      <c r="I48" s="9">
        <f>G48*(1-H48)</f>
        <v>285.41700000000009</v>
      </c>
      <c r="K48" s="9">
        <f>E48/E$43*B11*F48</f>
        <v>184.14000000000004</v>
      </c>
      <c r="L48" s="14">
        <f>E48/E$43*B11*F48*(1-H48)</f>
        <v>57.083400000000026</v>
      </c>
    </row>
    <row r="49" spans="1:11" x14ac:dyDescent="0.25">
      <c r="E49" s="9"/>
      <c r="F49" s="9"/>
      <c r="G49" s="8"/>
      <c r="H49" s="9"/>
      <c r="I49" s="9"/>
      <c r="J49" s="9">
        <f>SUM(I43:I48)</f>
        <v>1849.0570000000002</v>
      </c>
      <c r="K49" s="9">
        <f>SUM(G43:G48)</f>
        <v>5964.7</v>
      </c>
    </row>
    <row r="51" spans="1:11" x14ac:dyDescent="0.25">
      <c r="A51" t="s">
        <v>73</v>
      </c>
    </row>
    <row r="52" spans="1:11" x14ac:dyDescent="0.25">
      <c r="B52" t="s">
        <v>74</v>
      </c>
      <c r="C52" t="s">
        <v>75</v>
      </c>
      <c r="D52" t="s">
        <v>76</v>
      </c>
      <c r="E52" t="s">
        <v>77</v>
      </c>
      <c r="F52" t="s">
        <v>78</v>
      </c>
      <c r="G52" t="s">
        <v>79</v>
      </c>
      <c r="H52" t="s">
        <v>80</v>
      </c>
      <c r="I52" t="s">
        <v>81</v>
      </c>
      <c r="J52" t="s">
        <v>82</v>
      </c>
    </row>
    <row r="53" spans="1:11" x14ac:dyDescent="0.25">
      <c r="B53" t="s">
        <v>83</v>
      </c>
      <c r="D53">
        <v>250.8</v>
      </c>
      <c r="G53">
        <v>0</v>
      </c>
      <c r="H53">
        <v>86</v>
      </c>
      <c r="I53">
        <v>0</v>
      </c>
      <c r="J53">
        <v>86</v>
      </c>
    </row>
    <row r="54" spans="1:11" x14ac:dyDescent="0.25">
      <c r="B54" t="s">
        <v>84</v>
      </c>
      <c r="C54" t="s">
        <v>96</v>
      </c>
      <c r="D54">
        <v>177.8</v>
      </c>
      <c r="F54">
        <v>25.3</v>
      </c>
      <c r="G54">
        <v>0</v>
      </c>
      <c r="H54">
        <v>86</v>
      </c>
      <c r="I54">
        <v>0</v>
      </c>
      <c r="J54">
        <v>86</v>
      </c>
    </row>
    <row r="58" spans="1:11" x14ac:dyDescent="0.25">
      <c r="B58" s="19"/>
      <c r="C58" s="19"/>
      <c r="D58" s="19"/>
      <c r="E58" s="19"/>
      <c r="F58" s="19"/>
      <c r="G58" s="19"/>
    </row>
    <row r="59" spans="1:11" ht="15" customHeight="1" x14ac:dyDescent="0.25">
      <c r="B59" s="17"/>
      <c r="C59" s="17"/>
      <c r="D59" s="17"/>
      <c r="E59" s="17"/>
      <c r="F59" s="17"/>
      <c r="G59" s="17"/>
    </row>
    <row r="60" spans="1:11" ht="15" customHeight="1" x14ac:dyDescent="0.25">
      <c r="B60" s="17"/>
      <c r="C60" s="17"/>
      <c r="D60" s="17"/>
      <c r="E60" s="17"/>
      <c r="F60" s="17"/>
      <c r="G60" s="17"/>
    </row>
    <row r="61" spans="1:11" ht="15" customHeight="1" x14ac:dyDescent="0.25">
      <c r="B61" s="17"/>
      <c r="C61" s="17"/>
      <c r="D61" s="17"/>
      <c r="E61" s="17"/>
      <c r="F61" s="17"/>
      <c r="G61" s="17"/>
    </row>
  </sheetData>
  <mergeCells count="6">
    <mergeCell ref="B59:G59"/>
    <mergeCell ref="B60:G60"/>
    <mergeCell ref="B61:G61"/>
    <mergeCell ref="B42:D42"/>
    <mergeCell ref="B27:G27"/>
    <mergeCell ref="B37:G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Example</vt:lpstr>
    </vt:vector>
  </TitlesOfParts>
  <Company>Sanjel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Jason Schneider</cp:lastModifiedBy>
  <dcterms:created xsi:type="dcterms:W3CDTF">2015-10-27T20:52:29Z</dcterms:created>
  <dcterms:modified xsi:type="dcterms:W3CDTF">2015-11-03T21:55:34Z</dcterms:modified>
</cp:coreProperties>
</file>