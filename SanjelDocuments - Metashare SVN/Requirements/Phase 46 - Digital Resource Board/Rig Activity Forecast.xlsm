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1961531albertaltd.sharepoint.com/sites/RegionalManagement/Shared Documents/"/>
    </mc:Choice>
  </mc:AlternateContent>
  <xr:revisionPtr revIDLastSave="0" documentId="8_{531A7FD7-EFEA-4C9F-946F-C91A1317D27B}" xr6:coauthVersionLast="47" xr6:coauthVersionMax="47" xr10:uidLastSave="{00000000-0000-0000-0000-000000000000}"/>
  <bookViews>
    <workbookView xWindow="19080" yWindow="-120" windowWidth="19440" windowHeight="15000" xr2:uid="{E221527C-AE58-4AC7-98AB-CF124ED01082}"/>
  </bookViews>
  <sheets>
    <sheet name="Rig Sheet " sheetId="1" r:id="rId1"/>
    <sheet name="Utilization " sheetId="3" r:id="rId2"/>
    <sheet name="Active Unit Count " sheetId="4" r:id="rId3"/>
    <sheet name="JT Sinopsis" sheetId="6" r:id="rId4"/>
    <sheet name="Crew tracking Data" sheetId="9" r:id="rId5"/>
    <sheet name="Crew Targets Forecast,Actuals" sheetId="8" r:id="rId6"/>
    <sheet name="BI data" sheetId="7" r:id="rId7"/>
  </sheets>
  <definedNames>
    <definedName name="_xlnm._FilterDatabase" localSheetId="0" hidden="1">'Rig Sheet '!$B$1:$E$294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K6" i="1" l="1"/>
  <c r="JT11" i="1" a="1"/>
  <c r="JT11" i="1" s="1"/>
  <c r="JT10" i="1" a="1"/>
  <c r="JT10" i="1" s="1"/>
  <c r="KY8" i="1" a="1"/>
  <c r="KY8" i="1" s="1"/>
  <c r="S309" i="4"/>
  <c r="T309" i="4"/>
  <c r="U309" i="4"/>
  <c r="S310" i="4"/>
  <c r="T310" i="4"/>
  <c r="U310" i="4"/>
  <c r="S311" i="4"/>
  <c r="U311" i="4" s="1"/>
  <c r="T311" i="4"/>
  <c r="S312" i="4"/>
  <c r="U312" i="4" s="1"/>
  <c r="T312" i="4"/>
  <c r="S313" i="4"/>
  <c r="T313" i="4"/>
  <c r="U313" i="4" s="1"/>
  <c r="S314" i="4"/>
  <c r="T314" i="4"/>
  <c r="U314" i="4"/>
  <c r="S315" i="4"/>
  <c r="U315" i="4" s="1"/>
  <c r="T315" i="4"/>
  <c r="S316" i="4"/>
  <c r="U316" i="4" s="1"/>
  <c r="T316" i="4"/>
  <c r="S317" i="4"/>
  <c r="T317" i="4"/>
  <c r="U317" i="4"/>
  <c r="S318" i="4"/>
  <c r="T318" i="4"/>
  <c r="U318" i="4"/>
  <c r="S319" i="4"/>
  <c r="U319" i="4" s="1"/>
  <c r="T319" i="4"/>
  <c r="S320" i="4"/>
  <c r="U320" i="4" s="1"/>
  <c r="T320" i="4"/>
  <c r="S321" i="4"/>
  <c r="T321" i="4"/>
  <c r="U321" i="4" s="1"/>
  <c r="S322" i="4"/>
  <c r="T322" i="4"/>
  <c r="U322" i="4"/>
  <c r="S323" i="4"/>
  <c r="U323" i="4" s="1"/>
  <c r="T323" i="4"/>
  <c r="S324" i="4"/>
  <c r="T324" i="4"/>
  <c r="U324" i="4"/>
  <c r="S325" i="4"/>
  <c r="T325" i="4"/>
  <c r="U325" i="4"/>
  <c r="S326" i="4"/>
  <c r="T326" i="4"/>
  <c r="U326" i="4"/>
  <c r="S327" i="4"/>
  <c r="U327" i="4" s="1"/>
  <c r="T327" i="4"/>
  <c r="S328" i="4"/>
  <c r="U328" i="4" s="1"/>
  <c r="T328" i="4"/>
  <c r="S329" i="4"/>
  <c r="T329" i="4"/>
  <c r="U329" i="4" s="1"/>
  <c r="S330" i="4"/>
  <c r="T330" i="4"/>
  <c r="U330" i="4"/>
  <c r="S331" i="4"/>
  <c r="U331" i="4" s="1"/>
  <c r="T331" i="4"/>
  <c r="S332" i="4"/>
  <c r="T332" i="4"/>
  <c r="U332" i="4"/>
  <c r="S333" i="4"/>
  <c r="T333" i="4"/>
  <c r="U333" i="4"/>
  <c r="S334" i="4"/>
  <c r="T334" i="4"/>
  <c r="U334" i="4"/>
  <c r="S335" i="4"/>
  <c r="U335" i="4" s="1"/>
  <c r="T335" i="4"/>
  <c r="S336" i="4"/>
  <c r="U336" i="4" s="1"/>
  <c r="T336" i="4"/>
  <c r="S337" i="4"/>
  <c r="T337" i="4"/>
  <c r="U337" i="4" s="1"/>
  <c r="S338" i="4"/>
  <c r="T338" i="4"/>
  <c r="U338" i="4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KZ3" i="1"/>
  <c r="LA3" i="1"/>
  <c r="LB3" i="1"/>
  <c r="LC3" i="1"/>
  <c r="LD3" i="1"/>
  <c r="LE3" i="1"/>
  <c r="LF3" i="1"/>
  <c r="LG3" i="1"/>
  <c r="LH3" i="1"/>
  <c r="LI3" i="1"/>
  <c r="LJ3" i="1"/>
  <c r="LK3" i="1"/>
  <c r="LL3" i="1"/>
  <c r="LM3" i="1"/>
  <c r="LN3" i="1"/>
  <c r="LO3" i="1"/>
  <c r="LP3" i="1"/>
  <c r="LQ3" i="1"/>
  <c r="LR3" i="1"/>
  <c r="LS3" i="1"/>
  <c r="LT3" i="1"/>
  <c r="LU3" i="1"/>
  <c r="LV3" i="1"/>
  <c r="LW3" i="1"/>
  <c r="LX3" i="1"/>
  <c r="LY3" i="1"/>
  <c r="LZ3" i="1"/>
  <c r="MA3" i="1"/>
  <c r="MB3" i="1"/>
  <c r="KZ6" i="1"/>
  <c r="LA6" i="1"/>
  <c r="LB6" i="1"/>
  <c r="LC6" i="1"/>
  <c r="LD6" i="1"/>
  <c r="LE6" i="1"/>
  <c r="LF6" i="1"/>
  <c r="LG6" i="1"/>
  <c r="LH6" i="1"/>
  <c r="LI6" i="1"/>
  <c r="LJ6" i="1"/>
  <c r="LK6" i="1"/>
  <c r="LL6" i="1"/>
  <c r="LM6" i="1"/>
  <c r="LN6" i="1"/>
  <c r="LO6" i="1"/>
  <c r="LP6" i="1"/>
  <c r="LQ6" i="1"/>
  <c r="LR6" i="1"/>
  <c r="LS6" i="1"/>
  <c r="LT6" i="1"/>
  <c r="LU6" i="1"/>
  <c r="LV6" i="1"/>
  <c r="LW6" i="1"/>
  <c r="LX6" i="1"/>
  <c r="LY6" i="1"/>
  <c r="LZ6" i="1"/>
  <c r="MA6" i="1"/>
  <c r="MB6" i="1"/>
  <c r="KZ7" i="1"/>
  <c r="LA7" i="1"/>
  <c r="LB7" i="1"/>
  <c r="LC7" i="1"/>
  <c r="LD7" i="1"/>
  <c r="LE7" i="1"/>
  <c r="LF7" i="1"/>
  <c r="LG7" i="1"/>
  <c r="LH7" i="1"/>
  <c r="LI7" i="1"/>
  <c r="LJ7" i="1"/>
  <c r="LK7" i="1"/>
  <c r="LL7" i="1"/>
  <c r="LM7" i="1"/>
  <c r="LN7" i="1"/>
  <c r="LO7" i="1"/>
  <c r="LP7" i="1"/>
  <c r="LQ7" i="1"/>
  <c r="LR7" i="1"/>
  <c r="LS7" i="1"/>
  <c r="LT7" i="1"/>
  <c r="LU7" i="1"/>
  <c r="LV7" i="1"/>
  <c r="LW7" i="1"/>
  <c r="LX7" i="1"/>
  <c r="LY7" i="1"/>
  <c r="LZ7" i="1"/>
  <c r="MA7" i="1"/>
  <c r="MB7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MA16" i="1"/>
  <c r="MB16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MA17" i="1"/>
  <c r="MB17" i="1"/>
  <c r="KY16" i="1"/>
  <c r="KY17" i="1"/>
  <c r="KY2" i="1"/>
  <c r="KY3" i="1"/>
  <c r="KY6" i="1"/>
  <c r="KY7" i="1"/>
  <c r="F872" i="7" a="1"/>
  <c r="F872" i="7" s="1"/>
  <c r="F866" i="7" a="1"/>
  <c r="F866" i="7" s="1"/>
  <c r="F864" i="7" a="1"/>
  <c r="F864" i="7" s="1"/>
  <c r="F858" i="7" a="1"/>
  <c r="F858" i="7" s="1"/>
  <c r="F856" i="7" a="1"/>
  <c r="F856" i="7" s="1"/>
  <c r="F850" i="7" a="1"/>
  <c r="F850" i="7" s="1"/>
  <c r="F848" i="7" a="1"/>
  <c r="F848" i="7" s="1"/>
  <c r="F842" i="7" a="1"/>
  <c r="F842" i="7" s="1"/>
  <c r="F840" i="7" a="1"/>
  <c r="F840" i="7" s="1"/>
  <c r="F834" i="7" a="1"/>
  <c r="F834" i="7" s="1"/>
  <c r="F832" i="7" a="1"/>
  <c r="F832" i="7" s="1"/>
  <c r="F826" i="7" a="1"/>
  <c r="F826" i="7" s="1"/>
  <c r="F824" i="7" a="1"/>
  <c r="F824" i="7" s="1"/>
  <c r="F818" i="7" a="1"/>
  <c r="F818" i="7" s="1"/>
  <c r="F816" i="7" a="1"/>
  <c r="F816" i="7" s="1"/>
  <c r="F810" i="7" a="1"/>
  <c r="F810" i="7" s="1"/>
  <c r="F808" i="7" a="1"/>
  <c r="F808" i="7" s="1"/>
  <c r="F802" i="7" a="1"/>
  <c r="F802" i="7" s="1"/>
  <c r="F800" i="7" a="1"/>
  <c r="F800" i="7" s="1"/>
  <c r="F794" i="7" a="1"/>
  <c r="F794" i="7" s="1"/>
  <c r="F792" i="7" a="1"/>
  <c r="F792" i="7" s="1"/>
  <c r="F786" i="7" a="1"/>
  <c r="F786" i="7" s="1"/>
  <c r="F784" i="7" a="1"/>
  <c r="F784" i="7" s="1"/>
  <c r="F778" i="7" a="1"/>
  <c r="F778" i="7" s="1"/>
  <c r="F776" i="7" a="1"/>
  <c r="F776" i="7" s="1"/>
  <c r="F770" i="7" a="1"/>
  <c r="F770" i="7" s="1"/>
  <c r="F768" i="7" a="1"/>
  <c r="F768" i="7" s="1"/>
  <c r="F762" i="7" a="1"/>
  <c r="F762" i="7" s="1"/>
  <c r="F760" i="7" a="1"/>
  <c r="F760" i="7" s="1"/>
  <c r="F754" i="7" a="1"/>
  <c r="F754" i="7" s="1"/>
  <c r="F752" i="7" a="1"/>
  <c r="F752" i="7" s="1"/>
  <c r="F746" i="7" a="1"/>
  <c r="F746" i="7" s="1"/>
  <c r="F744" i="7" a="1"/>
  <c r="F744" i="7" s="1"/>
  <c r="F738" i="7" a="1"/>
  <c r="F738" i="7" s="1"/>
  <c r="F736" i="7" a="1"/>
  <c r="F736" i="7" s="1"/>
  <c r="F730" i="7" a="1"/>
  <c r="F730" i="7" s="1"/>
  <c r="F728" i="7" a="1"/>
  <c r="F728" i="7" s="1"/>
  <c r="F722" i="7" a="1"/>
  <c r="F722" i="7" s="1"/>
  <c r="F720" i="7" a="1"/>
  <c r="F720" i="7" s="1"/>
  <c r="F714" i="7" a="1"/>
  <c r="F714" i="7" s="1"/>
  <c r="F712" i="7" a="1"/>
  <c r="F712" i="7" s="1"/>
  <c r="F706" i="7" a="1"/>
  <c r="F706" i="7" s="1"/>
  <c r="F704" i="7" a="1"/>
  <c r="F704" i="7" s="1"/>
  <c r="F698" i="7" a="1"/>
  <c r="F698" i="7" s="1"/>
  <c r="F696" i="7" a="1"/>
  <c r="F696" i="7" s="1"/>
  <c r="F690" i="7" a="1"/>
  <c r="F690" i="7" s="1"/>
  <c r="F688" i="7" a="1"/>
  <c r="F688" i="7" s="1"/>
  <c r="F682" i="7" a="1"/>
  <c r="F682" i="7" s="1"/>
  <c r="F680" i="7" a="1"/>
  <c r="F680" i="7" s="1"/>
  <c r="F674" i="7" a="1"/>
  <c r="F674" i="7" s="1"/>
  <c r="F672" i="7" a="1"/>
  <c r="F672" i="7" s="1"/>
  <c r="F666" i="7" a="1"/>
  <c r="F666" i="7" s="1"/>
  <c r="F664" i="7" a="1"/>
  <c r="F664" i="7" s="1"/>
  <c r="F658" i="7" a="1"/>
  <c r="F658" i="7" s="1"/>
  <c r="LU12" i="1" l="1"/>
  <c r="LM12" i="1"/>
  <c r="LE12" i="1"/>
  <c r="MB12" i="1"/>
  <c r="LT12" i="1"/>
  <c r="LL12" i="1"/>
  <c r="LD12" i="1"/>
  <c r="LY12" i="1"/>
  <c r="LQ12" i="1"/>
  <c r="LI12" i="1"/>
  <c r="LA12" i="1"/>
  <c r="MA12" i="1"/>
  <c r="LS12" i="1"/>
  <c r="LK12" i="1"/>
  <c r="LC12" i="1"/>
  <c r="LX12" i="1"/>
  <c r="LP12" i="1"/>
  <c r="LH12" i="1"/>
  <c r="KZ12" i="1"/>
  <c r="KY12" i="1"/>
  <c r="LW12" i="1"/>
  <c r="LO12" i="1"/>
  <c r="LG12" i="1"/>
  <c r="LZ12" i="1"/>
  <c r="LR12" i="1"/>
  <c r="LJ12" i="1"/>
  <c r="LB12" i="1"/>
  <c r="LV12" i="1"/>
  <c r="LN12" i="1"/>
  <c r="LF12" i="1"/>
  <c r="KY4" i="1"/>
  <c r="KY9" i="1" s="1"/>
  <c r="LY4" i="1"/>
  <c r="LY9" i="1" s="1"/>
  <c r="LX4" i="1"/>
  <c r="LX9" i="1" s="1"/>
  <c r="LW4" i="1"/>
  <c r="LW9" i="1" s="1"/>
  <c r="LV4" i="1"/>
  <c r="LV9" i="1" s="1"/>
  <c r="LU4" i="1"/>
  <c r="LU9" i="1" s="1"/>
  <c r="LP4" i="1"/>
  <c r="LP9" i="1" s="1"/>
  <c r="LO4" i="1"/>
  <c r="LO9" i="1" s="1"/>
  <c r="LN4" i="1"/>
  <c r="LN9" i="1" s="1"/>
  <c r="LH4" i="1"/>
  <c r="LH9" i="1" s="1"/>
  <c r="LM4" i="1"/>
  <c r="LM9" i="1" s="1"/>
  <c r="LE4" i="1"/>
  <c r="LE9" i="1" s="1"/>
  <c r="MB4" i="1"/>
  <c r="MB9" i="1" s="1"/>
  <c r="MA4" i="1"/>
  <c r="MA9" i="1" s="1"/>
  <c r="LZ4" i="1"/>
  <c r="LZ9" i="1" s="1"/>
  <c r="LR4" i="1"/>
  <c r="LR9" i="1" s="1"/>
  <c r="LJ4" i="1"/>
  <c r="LJ9" i="1" s="1"/>
  <c r="LQ4" i="1"/>
  <c r="LQ9" i="1" s="1"/>
  <c r="LI4" i="1"/>
  <c r="LI9" i="1" s="1"/>
  <c r="LA4" i="1"/>
  <c r="LA9" i="1" s="1"/>
  <c r="KZ4" i="1"/>
  <c r="KZ9" i="1" s="1"/>
  <c r="LG4" i="1"/>
  <c r="LG9" i="1" s="1"/>
  <c r="LF4" i="1"/>
  <c r="LF9" i="1" s="1"/>
  <c r="LS4" i="1"/>
  <c r="LS9" i="1" s="1"/>
  <c r="LK4" i="1"/>
  <c r="LK9" i="1" s="1"/>
  <c r="LB4" i="1"/>
  <c r="LB9" i="1" s="1"/>
  <c r="LC4" i="1"/>
  <c r="LC9" i="1" s="1"/>
  <c r="LT4" i="1"/>
  <c r="LT9" i="1" s="1"/>
  <c r="LL4" i="1"/>
  <c r="LL9" i="1" s="1"/>
  <c r="LD4" i="1"/>
  <c r="LD9" i="1" s="1"/>
  <c r="A16" i="1"/>
  <c r="IF2" i="1"/>
  <c r="JT8" i="1" a="1"/>
  <c r="JT8" i="1" s="1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S278" i="4"/>
  <c r="T278" i="4"/>
  <c r="S279" i="4"/>
  <c r="T279" i="4"/>
  <c r="S280" i="4"/>
  <c r="T280" i="4"/>
  <c r="S281" i="4"/>
  <c r="T281" i="4"/>
  <c r="S282" i="4"/>
  <c r="T282" i="4"/>
  <c r="S283" i="4"/>
  <c r="T283" i="4"/>
  <c r="S284" i="4"/>
  <c r="T284" i="4"/>
  <c r="S285" i="4"/>
  <c r="T285" i="4"/>
  <c r="S286" i="4"/>
  <c r="T286" i="4"/>
  <c r="S287" i="4"/>
  <c r="T287" i="4"/>
  <c r="S288" i="4"/>
  <c r="T288" i="4"/>
  <c r="S289" i="4"/>
  <c r="T289" i="4"/>
  <c r="S290" i="4"/>
  <c r="T290" i="4"/>
  <c r="S291" i="4"/>
  <c r="T291" i="4"/>
  <c r="S292" i="4"/>
  <c r="T292" i="4"/>
  <c r="S293" i="4"/>
  <c r="T293" i="4"/>
  <c r="S294" i="4"/>
  <c r="T294" i="4"/>
  <c r="S295" i="4"/>
  <c r="T295" i="4"/>
  <c r="S296" i="4"/>
  <c r="T296" i="4"/>
  <c r="S297" i="4"/>
  <c r="T297" i="4"/>
  <c r="S298" i="4"/>
  <c r="T298" i="4"/>
  <c r="S299" i="4"/>
  <c r="T299" i="4"/>
  <c r="S300" i="4"/>
  <c r="T300" i="4"/>
  <c r="S301" i="4"/>
  <c r="T301" i="4"/>
  <c r="S302" i="4"/>
  <c r="T302" i="4"/>
  <c r="S303" i="4"/>
  <c r="T303" i="4"/>
  <c r="S304" i="4"/>
  <c r="T304" i="4"/>
  <c r="S305" i="4"/>
  <c r="T305" i="4"/>
  <c r="S306" i="4"/>
  <c r="T306" i="4"/>
  <c r="S307" i="4"/>
  <c r="T307" i="4"/>
  <c r="S308" i="4"/>
  <c r="T308" i="4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JU3" i="1"/>
  <c r="JV3" i="1"/>
  <c r="JW3" i="1"/>
  <c r="JX3" i="1"/>
  <c r="JY3" i="1"/>
  <c r="JZ3" i="1"/>
  <c r="KA3" i="1"/>
  <c r="KB3" i="1"/>
  <c r="KC3" i="1"/>
  <c r="KD3" i="1"/>
  <c r="KE3" i="1"/>
  <c r="KF3" i="1"/>
  <c r="KG3" i="1"/>
  <c r="KH3" i="1"/>
  <c r="KI3" i="1"/>
  <c r="KJ3" i="1"/>
  <c r="KK3" i="1"/>
  <c r="KL3" i="1"/>
  <c r="KM3" i="1"/>
  <c r="KN3" i="1"/>
  <c r="KO3" i="1"/>
  <c r="KP3" i="1"/>
  <c r="KQ3" i="1"/>
  <c r="KR3" i="1"/>
  <c r="KS3" i="1"/>
  <c r="KT3" i="1"/>
  <c r="KU3" i="1"/>
  <c r="KV3" i="1"/>
  <c r="KW3" i="1"/>
  <c r="KX3" i="1"/>
  <c r="JU6" i="1"/>
  <c r="JV6" i="1"/>
  <c r="JW6" i="1"/>
  <c r="JX6" i="1"/>
  <c r="JY6" i="1"/>
  <c r="JZ6" i="1"/>
  <c r="KA6" i="1"/>
  <c r="KB6" i="1"/>
  <c r="KC6" i="1"/>
  <c r="KD6" i="1"/>
  <c r="KE6" i="1"/>
  <c r="KF6" i="1"/>
  <c r="KG6" i="1"/>
  <c r="KH6" i="1"/>
  <c r="KI6" i="1"/>
  <c r="KJ6" i="1"/>
  <c r="KK6" i="1"/>
  <c r="KL6" i="1"/>
  <c r="KM6" i="1"/>
  <c r="KN6" i="1"/>
  <c r="KO6" i="1"/>
  <c r="KP6" i="1"/>
  <c r="KQ6" i="1"/>
  <c r="KR6" i="1"/>
  <c r="KS6" i="1"/>
  <c r="KT6" i="1"/>
  <c r="KU6" i="1"/>
  <c r="KV6" i="1"/>
  <c r="KW6" i="1"/>
  <c r="KX6" i="1"/>
  <c r="JU7" i="1"/>
  <c r="JV7" i="1"/>
  <c r="JW7" i="1"/>
  <c r="JX7" i="1"/>
  <c r="JY7" i="1"/>
  <c r="JZ7" i="1"/>
  <c r="KA7" i="1"/>
  <c r="KB7" i="1"/>
  <c r="KC7" i="1"/>
  <c r="KD7" i="1"/>
  <c r="KE7" i="1"/>
  <c r="KF7" i="1"/>
  <c r="KG7" i="1"/>
  <c r="KH7" i="1"/>
  <c r="KI7" i="1"/>
  <c r="KJ7" i="1"/>
  <c r="KK7" i="1"/>
  <c r="KL7" i="1"/>
  <c r="KM7" i="1"/>
  <c r="KN7" i="1"/>
  <c r="KO7" i="1"/>
  <c r="KP7" i="1"/>
  <c r="KQ7" i="1"/>
  <c r="KR7" i="1"/>
  <c r="KS7" i="1"/>
  <c r="KT7" i="1"/>
  <c r="KU7" i="1"/>
  <c r="KV7" i="1"/>
  <c r="KW7" i="1"/>
  <c r="KX7" i="1"/>
  <c r="JU12" i="1"/>
  <c r="JV12" i="1"/>
  <c r="JW12" i="1"/>
  <c r="JX12" i="1"/>
  <c r="JY12" i="1"/>
  <c r="JZ12" i="1"/>
  <c r="KA12" i="1"/>
  <c r="KB12" i="1"/>
  <c r="KC12" i="1"/>
  <c r="KD12" i="1"/>
  <c r="KE12" i="1"/>
  <c r="KF12" i="1"/>
  <c r="KG12" i="1"/>
  <c r="KH12" i="1"/>
  <c r="KI12" i="1"/>
  <c r="KJ12" i="1"/>
  <c r="KK12" i="1"/>
  <c r="KL12" i="1"/>
  <c r="KM12" i="1"/>
  <c r="KN12" i="1"/>
  <c r="KO12" i="1"/>
  <c r="KP12" i="1"/>
  <c r="KQ12" i="1"/>
  <c r="KR12" i="1"/>
  <c r="KS12" i="1"/>
  <c r="KT12" i="1"/>
  <c r="KU12" i="1"/>
  <c r="KV12" i="1"/>
  <c r="KW12" i="1"/>
  <c r="KX12" i="1"/>
  <c r="JU16" i="1"/>
  <c r="JV16" i="1"/>
  <c r="JW16" i="1"/>
  <c r="JX16" i="1"/>
  <c r="JY16" i="1"/>
  <c r="JZ16" i="1"/>
  <c r="KA16" i="1"/>
  <c r="KB16" i="1"/>
  <c r="KC16" i="1"/>
  <c r="KD16" i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JU17" i="1"/>
  <c r="JV17" i="1"/>
  <c r="JW17" i="1"/>
  <c r="JX17" i="1"/>
  <c r="JY17" i="1"/>
  <c r="JZ17" i="1"/>
  <c r="KA17" i="1"/>
  <c r="KB17" i="1"/>
  <c r="KC17" i="1"/>
  <c r="KD17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JT2" i="1"/>
  <c r="JT3" i="1"/>
  <c r="JT6" i="1"/>
  <c r="JT7" i="1"/>
  <c r="JT12" i="1"/>
  <c r="JT16" i="1"/>
  <c r="JT17" i="1"/>
  <c r="D59" i="9"/>
  <c r="D58" i="9"/>
  <c r="D57" i="9"/>
  <c r="D56" i="9"/>
  <c r="D55" i="9"/>
  <c r="D54" i="9"/>
  <c r="D53" i="9"/>
  <c r="D52" i="9"/>
  <c r="D51" i="9"/>
  <c r="D50" i="9"/>
  <c r="D49" i="9"/>
  <c r="D48" i="9"/>
  <c r="N371" i="3"/>
  <c r="N372" i="3"/>
  <c r="N373" i="3"/>
  <c r="N374" i="3"/>
  <c r="N375" i="3"/>
  <c r="N376" i="3"/>
  <c r="N377" i="3"/>
  <c r="D47" i="9" s="1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F656" i="7" a="1"/>
  <c r="F656" i="7" s="1"/>
  <c r="F650" i="7" a="1"/>
  <c r="F650" i="7"/>
  <c r="F648" i="7" a="1"/>
  <c r="F648" i="7" s="1"/>
  <c r="F642" i="7" a="1"/>
  <c r="F642" i="7"/>
  <c r="F640" i="7" a="1"/>
  <c r="F640" i="7"/>
  <c r="F634" i="7" a="1"/>
  <c r="F634" i="7"/>
  <c r="F632" i="7" a="1"/>
  <c r="F632" i="7"/>
  <c r="F626" i="7" a="1"/>
  <c r="F626" i="7"/>
  <c r="F874" i="7" a="1"/>
  <c r="F874" i="7" s="1"/>
  <c r="F880" i="7" a="1"/>
  <c r="F880" i="7" s="1"/>
  <c r="F882" i="7" a="1"/>
  <c r="F882" i="7"/>
  <c r="F888" i="7" a="1"/>
  <c r="F888" i="7" s="1"/>
  <c r="F890" i="7" a="1"/>
  <c r="F890" i="7" s="1"/>
  <c r="F896" i="7" a="1"/>
  <c r="F896" i="7" s="1"/>
  <c r="F898" i="7" a="1"/>
  <c r="F898" i="7" s="1"/>
  <c r="F904" i="7" a="1"/>
  <c r="F904" i="7" s="1"/>
  <c r="F906" i="7" a="1"/>
  <c r="F906" i="7" s="1"/>
  <c r="F912" i="7" a="1"/>
  <c r="F912" i="7" s="1"/>
  <c r="F914" i="7" a="1"/>
  <c r="F914" i="7"/>
  <c r="F920" i="7" a="1"/>
  <c r="F920" i="7" s="1"/>
  <c r="F922" i="7" a="1"/>
  <c r="F922" i="7" s="1"/>
  <c r="F928" i="7" a="1"/>
  <c r="F928" i="7" s="1"/>
  <c r="F930" i="7" a="1"/>
  <c r="F930" i="7" s="1"/>
  <c r="F936" i="7" a="1"/>
  <c r="F936" i="7" s="1"/>
  <c r="F938" i="7" a="1"/>
  <c r="F938" i="7" s="1"/>
  <c r="F944" i="7" a="1"/>
  <c r="F944" i="7" s="1"/>
  <c r="F946" i="7" a="1"/>
  <c r="F946" i="7"/>
  <c r="F952" i="7" a="1"/>
  <c r="F952" i="7" s="1"/>
  <c r="F954" i="7" a="1"/>
  <c r="F954" i="7" s="1"/>
  <c r="F960" i="7" a="1"/>
  <c r="F960" i="7" s="1"/>
  <c r="F962" i="7" a="1"/>
  <c r="F962" i="7" s="1"/>
  <c r="F968" i="7" a="1"/>
  <c r="F968" i="7" s="1"/>
  <c r="F970" i="7" a="1"/>
  <c r="F970" i="7" s="1"/>
  <c r="F976" i="7" a="1"/>
  <c r="F976" i="7" s="1"/>
  <c r="F978" i="7" a="1"/>
  <c r="F978" i="7"/>
  <c r="F984" i="7" a="1"/>
  <c r="F984" i="7" s="1"/>
  <c r="F986" i="7" a="1"/>
  <c r="F986" i="7" s="1"/>
  <c r="F992" i="7" a="1"/>
  <c r="F992" i="7" s="1"/>
  <c r="F994" i="7" a="1"/>
  <c r="F994" i="7" s="1"/>
  <c r="F1000" i="7" a="1"/>
  <c r="F1000" i="7" s="1"/>
  <c r="F1002" i="7" a="1"/>
  <c r="F1002" i="7" s="1"/>
  <c r="F1008" i="7" a="1"/>
  <c r="F1008" i="7" s="1"/>
  <c r="F1010" i="7" a="1"/>
  <c r="F1010" i="7"/>
  <c r="F1016" i="7" a="1"/>
  <c r="F1016" i="7" s="1"/>
  <c r="F1018" i="7" a="1"/>
  <c r="F1018" i="7" s="1"/>
  <c r="F1024" i="7" a="1"/>
  <c r="F1024" i="7" s="1"/>
  <c r="F1026" i="7" a="1"/>
  <c r="F1026" i="7" s="1"/>
  <c r="F1032" i="7" a="1"/>
  <c r="F1032" i="7" s="1"/>
  <c r="F1034" i="7" a="1"/>
  <c r="F1034" i="7" s="1"/>
  <c r="F1040" i="7" a="1"/>
  <c r="F1040" i="7" s="1"/>
  <c r="F1042" i="7" a="1"/>
  <c r="F1042" i="7"/>
  <c r="F1048" i="7" a="1"/>
  <c r="F1048" i="7" s="1"/>
  <c r="F1050" i="7" a="1"/>
  <c r="F1050" i="7" s="1"/>
  <c r="F1056" i="7" a="1"/>
  <c r="F1056" i="7" s="1"/>
  <c r="F1058" i="7" a="1"/>
  <c r="F1058" i="7" s="1"/>
  <c r="F1064" i="7" a="1"/>
  <c r="F1064" i="7" s="1"/>
  <c r="F1066" i="7" a="1"/>
  <c r="F1066" i="7" s="1"/>
  <c r="F1072" i="7" a="1"/>
  <c r="F1072" i="7" s="1"/>
  <c r="F1074" i="7" a="1"/>
  <c r="F1074" i="7" s="1"/>
  <c r="F1080" i="7" a="1"/>
  <c r="F1080" i="7" s="1"/>
  <c r="F1082" i="7" a="1"/>
  <c r="F1082" i="7" s="1"/>
  <c r="F1088" i="7" a="1"/>
  <c r="F1088" i="7" s="1"/>
  <c r="F1090" i="7" a="1"/>
  <c r="F1090" i="7" s="1"/>
  <c r="F1096" i="7" a="1"/>
  <c r="F1096" i="7" s="1"/>
  <c r="F1098" i="7" a="1"/>
  <c r="F1098" i="7" s="1"/>
  <c r="F1104" i="7" a="1"/>
  <c r="F1104" i="7" s="1"/>
  <c r="F1106" i="7" a="1"/>
  <c r="F1106" i="7"/>
  <c r="F1112" i="7" a="1"/>
  <c r="F1112" i="7" s="1"/>
  <c r="F1114" i="7" a="1"/>
  <c r="F1114" i="7" s="1"/>
  <c r="F1120" i="7" a="1"/>
  <c r="F1120" i="7" s="1"/>
  <c r="F1122" i="7" a="1"/>
  <c r="F1122" i="7"/>
  <c r="F1128" i="7" a="1"/>
  <c r="F1128" i="7" s="1"/>
  <c r="F1130" i="7" a="1"/>
  <c r="F1130" i="7" s="1"/>
  <c r="F1136" i="7" a="1"/>
  <c r="F1136" i="7" s="1"/>
  <c r="F1138" i="7" a="1"/>
  <c r="F1138" i="7"/>
  <c r="F1144" i="7" a="1"/>
  <c r="F1144" i="7" s="1"/>
  <c r="F1146" i="7" a="1"/>
  <c r="F1146" i="7" s="1"/>
  <c r="F1152" i="7" a="1"/>
  <c r="F1152" i="7" s="1"/>
  <c r="F1154" i="7" a="1"/>
  <c r="F1154" i="7" s="1"/>
  <c r="F1160" i="7" a="1"/>
  <c r="F1160" i="7" s="1"/>
  <c r="F1162" i="7" a="1"/>
  <c r="F1162" i="7" s="1"/>
  <c r="F1168" i="7" a="1"/>
  <c r="F1168" i="7" s="1"/>
  <c r="F1170" i="7" a="1"/>
  <c r="F1170" i="7"/>
  <c r="F1176" i="7" a="1"/>
  <c r="F1176" i="7" s="1"/>
  <c r="F1178" i="7" a="1"/>
  <c r="F1178" i="7" s="1"/>
  <c r="F1184" i="7" a="1"/>
  <c r="F1184" i="7" s="1"/>
  <c r="F1186" i="7" a="1"/>
  <c r="F1186" i="7" s="1"/>
  <c r="F1192" i="7" a="1"/>
  <c r="F1192" i="7" s="1"/>
  <c r="F1194" i="7" a="1"/>
  <c r="F1194" i="7" s="1"/>
  <c r="F1200" i="7" a="1"/>
  <c r="F1200" i="7" s="1"/>
  <c r="F1202" i="7" a="1"/>
  <c r="F1202" i="7" s="1"/>
  <c r="F1208" i="7" a="1"/>
  <c r="F1208" i="7" s="1"/>
  <c r="F1210" i="7" a="1"/>
  <c r="F1210" i="7" s="1"/>
  <c r="F1216" i="7" a="1"/>
  <c r="F1216" i="7" s="1"/>
  <c r="F1218" i="7" a="1"/>
  <c r="F1218" i="7" s="1"/>
  <c r="F1224" i="7" a="1"/>
  <c r="F1224" i="7" s="1"/>
  <c r="F1226" i="7" a="1"/>
  <c r="F1226" i="7" s="1"/>
  <c r="F1232" i="7" a="1"/>
  <c r="F1232" i="7" s="1"/>
  <c r="F1234" i="7" a="1"/>
  <c r="F1234" i="7"/>
  <c r="F1240" i="7" a="1"/>
  <c r="F1240" i="7" s="1"/>
  <c r="F1242" i="7" a="1"/>
  <c r="F1242" i="7" s="1"/>
  <c r="F1248" i="7" a="1"/>
  <c r="F1248" i="7" s="1"/>
  <c r="F1250" i="7" a="1"/>
  <c r="F1250" i="7"/>
  <c r="F1256" i="7" a="1"/>
  <c r="F1256" i="7" s="1"/>
  <c r="F1258" i="7" a="1"/>
  <c r="F1258" i="7" s="1"/>
  <c r="F1264" i="7" a="1"/>
  <c r="F1264" i="7" s="1"/>
  <c r="F1266" i="7" a="1"/>
  <c r="F1266" i="7"/>
  <c r="F1272" i="7" a="1"/>
  <c r="F1272" i="7" s="1"/>
  <c r="F1274" i="7" a="1"/>
  <c r="F1274" i="7" s="1"/>
  <c r="F1280" i="7" a="1"/>
  <c r="F1280" i="7" s="1"/>
  <c r="F1282" i="7" a="1"/>
  <c r="F1282" i="7" s="1"/>
  <c r="F1288" i="7" a="1"/>
  <c r="F1288" i="7" s="1"/>
  <c r="F1290" i="7" a="1"/>
  <c r="F1290" i="7" s="1"/>
  <c r="F1296" i="7" a="1"/>
  <c r="F1296" i="7" s="1"/>
  <c r="F1298" i="7" a="1"/>
  <c r="F1298" i="7"/>
  <c r="F1304" i="7" a="1"/>
  <c r="F1304" i="7" s="1"/>
  <c r="F1306" i="7" a="1"/>
  <c r="F1306" i="7" s="1"/>
  <c r="F1312" i="7" a="1"/>
  <c r="F1312" i="7" s="1"/>
  <c r="F1314" i="7" a="1"/>
  <c r="F1314" i="7" s="1"/>
  <c r="F1320" i="7" a="1"/>
  <c r="F1320" i="7" s="1"/>
  <c r="F1322" i="7" a="1"/>
  <c r="F1322" i="7" s="1"/>
  <c r="F1328" i="7" a="1"/>
  <c r="F1328" i="7" s="1"/>
  <c r="F1330" i="7" a="1"/>
  <c r="F1330" i="7" s="1"/>
  <c r="F1336" i="7" a="1"/>
  <c r="F1336" i="7" s="1"/>
  <c r="F1338" i="7" a="1"/>
  <c r="F1338" i="7" s="1"/>
  <c r="F1344" i="7" a="1"/>
  <c r="F1344" i="7" s="1"/>
  <c r="F1346" i="7" a="1"/>
  <c r="F1346" i="7" s="1"/>
  <c r="F1352" i="7" a="1"/>
  <c r="F1352" i="7" s="1"/>
  <c r="F1354" i="7" a="1"/>
  <c r="F1354" i="7" s="1"/>
  <c r="F1360" i="7" a="1"/>
  <c r="F1360" i="7" s="1"/>
  <c r="F624" i="7" a="1"/>
  <c r="F624" i="7" s="1"/>
  <c r="F618" i="7" a="1"/>
  <c r="F618" i="7" s="1"/>
  <c r="F616" i="7" a="1"/>
  <c r="F616" i="7" s="1"/>
  <c r="F610" i="7" a="1"/>
  <c r="F610" i="7" s="1"/>
  <c r="F608" i="7" a="1"/>
  <c r="F608" i="7" s="1"/>
  <c r="F602" i="7" a="1"/>
  <c r="F602" i="7" s="1"/>
  <c r="F600" i="7" a="1"/>
  <c r="F600" i="7" s="1"/>
  <c r="F594" i="7" a="1"/>
  <c r="F594" i="7" s="1"/>
  <c r="F592" i="7" a="1"/>
  <c r="F592" i="7" s="1"/>
  <c r="F586" i="7" a="1"/>
  <c r="F586" i="7" s="1"/>
  <c r="F584" i="7" a="1"/>
  <c r="F584" i="7" s="1"/>
  <c r="F578" i="7" a="1"/>
  <c r="F578" i="7" s="1"/>
  <c r="F576" i="7" a="1"/>
  <c r="F576" i="7" s="1"/>
  <c r="F570" i="7" a="1"/>
  <c r="F570" i="7" s="1"/>
  <c r="F568" i="7" a="1"/>
  <c r="F568" i="7" s="1"/>
  <c r="F562" i="7" a="1"/>
  <c r="F562" i="7" s="1"/>
  <c r="F560" i="7" a="1"/>
  <c r="F560" i="7" s="1"/>
  <c r="F554" i="7" a="1"/>
  <c r="F554" i="7" s="1"/>
  <c r="F552" i="7" a="1"/>
  <c r="F552" i="7" s="1"/>
  <c r="F546" i="7" a="1"/>
  <c r="F546" i="7" s="1"/>
  <c r="F544" i="7" a="1"/>
  <c r="F544" i="7" s="1"/>
  <c r="F538" i="7" a="1"/>
  <c r="F538" i="7" s="1"/>
  <c r="F536" i="7" a="1"/>
  <c r="F536" i="7" s="1"/>
  <c r="F530" i="7" a="1"/>
  <c r="F530" i="7" s="1"/>
  <c r="F528" i="7" a="1"/>
  <c r="F528" i="7" s="1"/>
  <c r="F522" i="7" a="1"/>
  <c r="F522" i="7" s="1"/>
  <c r="F520" i="7" a="1"/>
  <c r="F520" i="7" s="1"/>
  <c r="F514" i="7" a="1"/>
  <c r="F514" i="7" s="1"/>
  <c r="F512" i="7" a="1"/>
  <c r="F512" i="7" s="1"/>
  <c r="F506" i="7" a="1"/>
  <c r="F506" i="7" s="1"/>
  <c r="F504" i="7" a="1"/>
  <c r="F504" i="7" s="1"/>
  <c r="F498" i="7" a="1"/>
  <c r="F498" i="7" s="1"/>
  <c r="F496" i="7" a="1"/>
  <c r="F496" i="7" s="1"/>
  <c r="F490" i="7" a="1"/>
  <c r="F490" i="7" s="1"/>
  <c r="F488" i="7" a="1"/>
  <c r="F488" i="7" s="1"/>
  <c r="F482" i="7" a="1"/>
  <c r="F482" i="7" s="1"/>
  <c r="F480" i="7" a="1"/>
  <c r="F480" i="7" s="1"/>
  <c r="F474" i="7" a="1"/>
  <c r="F474" i="7" s="1"/>
  <c r="F472" i="7" a="1"/>
  <c r="F472" i="7" s="1"/>
  <c r="F466" i="7" a="1"/>
  <c r="F466" i="7" s="1"/>
  <c r="F464" i="7" a="1"/>
  <c r="F464" i="7" s="1"/>
  <c r="F458" i="7" a="1"/>
  <c r="F458" i="7" s="1"/>
  <c r="F456" i="7" a="1"/>
  <c r="F456" i="7" s="1"/>
  <c r="F450" i="7" a="1"/>
  <c r="F450" i="7" s="1"/>
  <c r="F448" i="7" a="1"/>
  <c r="F448" i="7" s="1"/>
  <c r="F442" i="7" a="1"/>
  <c r="F442" i="7" s="1"/>
  <c r="F440" i="7" a="1"/>
  <c r="F440" i="7" s="1"/>
  <c r="F434" i="7" a="1"/>
  <c r="F434" i="7" s="1"/>
  <c r="F432" i="7" a="1"/>
  <c r="F432" i="7" s="1"/>
  <c r="F426" i="7" a="1"/>
  <c r="F426" i="7" s="1"/>
  <c r="F424" i="7" a="1"/>
  <c r="F424" i="7" s="1"/>
  <c r="F418" i="7" a="1"/>
  <c r="F418" i="7" s="1"/>
  <c r="F416" i="7" a="1"/>
  <c r="F416" i="7" s="1"/>
  <c r="F410" i="7" a="1"/>
  <c r="F410" i="7" s="1"/>
  <c r="F408" i="7" a="1"/>
  <c r="F408" i="7" s="1"/>
  <c r="F402" i="7" a="1"/>
  <c r="F402" i="7" s="1"/>
  <c r="F400" i="7" a="1"/>
  <c r="F400" i="7" s="1"/>
  <c r="F394" i="7" a="1"/>
  <c r="F394" i="7" s="1"/>
  <c r="F392" i="7" a="1"/>
  <c r="F392" i="7" s="1"/>
  <c r="F386" i="7" a="1"/>
  <c r="F386" i="7" s="1"/>
  <c r="F384" i="7" a="1"/>
  <c r="F384" i="7" s="1"/>
  <c r="F378" i="7" a="1"/>
  <c r="F378" i="7" s="1"/>
  <c r="F376" i="7" a="1"/>
  <c r="F376" i="7" s="1"/>
  <c r="F370" i="7" a="1"/>
  <c r="F370" i="7" s="1"/>
  <c r="F368" i="7" a="1"/>
  <c r="F368" i="7" s="1"/>
  <c r="F362" i="7" a="1"/>
  <c r="F362" i="7" s="1"/>
  <c r="F360" i="7" a="1"/>
  <c r="F360" i="7" s="1"/>
  <c r="F354" i="7" a="1"/>
  <c r="F354" i="7" s="1"/>
  <c r="F352" i="7" a="1"/>
  <c r="F352" i="7" s="1"/>
  <c r="F346" i="7" a="1"/>
  <c r="F346" i="7" s="1"/>
  <c r="F344" i="7" a="1"/>
  <c r="F344" i="7" s="1"/>
  <c r="F338" i="7" a="1"/>
  <c r="F338" i="7" s="1"/>
  <c r="F336" i="7" a="1"/>
  <c r="F336" i="7" s="1"/>
  <c r="F330" i="7" a="1"/>
  <c r="F330" i="7" s="1"/>
  <c r="F328" i="7" a="1"/>
  <c r="F328" i="7" s="1"/>
  <c r="F322" i="7" a="1"/>
  <c r="F322" i="7" s="1"/>
  <c r="F320" i="7" a="1"/>
  <c r="F320" i="7" s="1"/>
  <c r="F314" i="7" a="1"/>
  <c r="F314" i="7" s="1"/>
  <c r="F312" i="7" a="1"/>
  <c r="F312" i="7" s="1"/>
  <c r="F306" i="7" a="1"/>
  <c r="F306" i="7" s="1"/>
  <c r="F304" i="7" a="1"/>
  <c r="F304" i="7" s="1"/>
  <c r="F298" i="7" a="1"/>
  <c r="F298" i="7" s="1"/>
  <c r="F296" i="7" a="1"/>
  <c r="F296" i="7" s="1"/>
  <c r="F290" i="7" a="1"/>
  <c r="F290" i="7" s="1"/>
  <c r="F288" i="7" a="1"/>
  <c r="F288" i="7" s="1"/>
  <c r="F282" i="7" a="1"/>
  <c r="F282" i="7" s="1"/>
  <c r="F280" i="7" a="1"/>
  <c r="F280" i="7" s="1"/>
  <c r="F274" i="7" a="1"/>
  <c r="F274" i="7" s="1"/>
  <c r="F272" i="7" a="1"/>
  <c r="F272" i="7" s="1"/>
  <c r="F266" i="7" a="1"/>
  <c r="F266" i="7" s="1"/>
  <c r="F264" i="7" a="1"/>
  <c r="F264" i="7" s="1"/>
  <c r="F258" i="7" a="1"/>
  <c r="F258" i="7" s="1"/>
  <c r="F256" i="7" a="1"/>
  <c r="F256" i="7" s="1"/>
  <c r="F250" i="7" a="1"/>
  <c r="F250" i="7" s="1"/>
  <c r="F248" i="7" a="1"/>
  <c r="F248" i="7" s="1"/>
  <c r="F242" i="7" a="1"/>
  <c r="F242" i="7" s="1"/>
  <c r="F240" i="7" a="1"/>
  <c r="F240" i="7" s="1"/>
  <c r="F234" i="7" a="1"/>
  <c r="F234" i="7" s="1"/>
  <c r="F232" i="7" a="1"/>
  <c r="F232" i="7" s="1"/>
  <c r="F226" i="7" a="1"/>
  <c r="F226" i="7" s="1"/>
  <c r="F224" i="7" a="1"/>
  <c r="F224" i="7" s="1"/>
  <c r="F218" i="7" a="1"/>
  <c r="F218" i="7" s="1"/>
  <c r="F216" i="7" a="1"/>
  <c r="F216" i="7" s="1"/>
  <c r="F210" i="7" a="1"/>
  <c r="F210" i="7" s="1"/>
  <c r="F208" i="7" a="1"/>
  <c r="F208" i="7" s="1"/>
  <c r="F202" i="7" a="1"/>
  <c r="F202" i="7" s="1"/>
  <c r="F200" i="7" a="1"/>
  <c r="F200" i="7" s="1"/>
  <c r="F194" i="7" a="1"/>
  <c r="F194" i="7" s="1"/>
  <c r="F192" i="7" a="1"/>
  <c r="F192" i="7" s="1"/>
  <c r="F186" i="7" a="1"/>
  <c r="F186" i="7" s="1"/>
  <c r="F184" i="7" a="1"/>
  <c r="F184" i="7" s="1"/>
  <c r="F178" i="7" a="1"/>
  <c r="F178" i="7" s="1"/>
  <c r="F176" i="7" a="1"/>
  <c r="F176" i="7" s="1"/>
  <c r="F170" i="7" a="1"/>
  <c r="F170" i="7" s="1"/>
  <c r="F168" i="7" a="1"/>
  <c r="F168" i="7" s="1"/>
  <c r="F162" i="7" a="1"/>
  <c r="F162" i="7" s="1"/>
  <c r="F160" i="7" a="1"/>
  <c r="F160" i="7" s="1"/>
  <c r="F154" i="7" a="1"/>
  <c r="F154" i="7" s="1"/>
  <c r="F152" i="7" a="1"/>
  <c r="F152" i="7" s="1"/>
  <c r="F146" i="7" a="1"/>
  <c r="F146" i="7" s="1"/>
  <c r="F144" i="7" a="1"/>
  <c r="F144" i="7" s="1"/>
  <c r="F138" i="7" a="1"/>
  <c r="F138" i="7" s="1"/>
  <c r="F136" i="7" a="1"/>
  <c r="F136" i="7" s="1"/>
  <c r="F130" i="7" a="1"/>
  <c r="F130" i="7" s="1"/>
  <c r="F128" i="7" a="1"/>
  <c r="F128" i="7" s="1"/>
  <c r="F122" i="7" a="1"/>
  <c r="F122" i="7" s="1"/>
  <c r="F120" i="7" a="1"/>
  <c r="F120" i="7" s="1"/>
  <c r="F114" i="7" a="1"/>
  <c r="F114" i="7" s="1"/>
  <c r="F112" i="7" a="1"/>
  <c r="F112" i="7" s="1"/>
  <c r="F106" i="7" a="1"/>
  <c r="F106" i="7" s="1"/>
  <c r="GX6" i="1"/>
  <c r="F104" i="7" a="1"/>
  <c r="F104" i="7" s="1"/>
  <c r="F98" i="7" a="1"/>
  <c r="F98" i="7" s="1"/>
  <c r="F96" i="7" a="1"/>
  <c r="F96" i="7" s="1"/>
  <c r="F90" i="7" a="1"/>
  <c r="F90" i="7" s="1"/>
  <c r="F88" i="7" a="1"/>
  <c r="F88" i="7" s="1"/>
  <c r="F82" i="7" a="1"/>
  <c r="F82" i="7" s="1"/>
  <c r="F80" i="7" a="1"/>
  <c r="F80" i="7" s="1"/>
  <c r="F74" i="7" a="1"/>
  <c r="F74" i="7" s="1"/>
  <c r="F72" i="7" a="1"/>
  <c r="F72" i="7" s="1"/>
  <c r="F66" i="7" a="1"/>
  <c r="F66" i="7" s="1"/>
  <c r="F64" i="7" a="1"/>
  <c r="F64" i="7" s="1"/>
  <c r="F56" i="7" a="1"/>
  <c r="F56" i="7" s="1"/>
  <c r="F58" i="7" a="1"/>
  <c r="F58" i="7" s="1"/>
  <c r="F48" i="7" a="1"/>
  <c r="F48" i="7" s="1"/>
  <c r="F50" i="7" a="1"/>
  <c r="F50" i="7" s="1"/>
  <c r="F42" i="7" a="1"/>
  <c r="F42" i="7" s="1"/>
  <c r="F40" i="7" a="1"/>
  <c r="F40" i="7" s="1"/>
  <c r="F34" i="7" a="1"/>
  <c r="F34" i="7" s="1"/>
  <c r="F32" i="7" a="1"/>
  <c r="F32" i="7" s="1"/>
  <c r="F26" i="7" a="1"/>
  <c r="F26" i="7" s="1"/>
  <c r="F24" i="7" a="1"/>
  <c r="F24" i="7" s="1"/>
  <c r="F18" i="7" a="1"/>
  <c r="F18" i="7" s="1"/>
  <c r="F16" i="7" a="1"/>
  <c r="F16" i="7" s="1"/>
  <c r="F10" i="7" a="1"/>
  <c r="F10" i="7" s="1"/>
  <c r="F8" i="7" a="1"/>
  <c r="F8" i="7" s="1"/>
  <c r="F2" i="7" a="1"/>
  <c r="F2" i="7" s="1"/>
  <c r="L207" i="3"/>
  <c r="N207" i="3" s="1"/>
  <c r="M207" i="3"/>
  <c r="L208" i="3"/>
  <c r="N208" i="3" s="1"/>
  <c r="M208" i="3"/>
  <c r="L209" i="3"/>
  <c r="M209" i="3"/>
  <c r="L210" i="3"/>
  <c r="N210" i="3" s="1"/>
  <c r="M210" i="3"/>
  <c r="L211" i="3"/>
  <c r="N211" i="3" s="1"/>
  <c r="M211" i="3"/>
  <c r="L212" i="3"/>
  <c r="N212" i="3" s="1"/>
  <c r="M212" i="3"/>
  <c r="N209" i="3" l="1"/>
  <c r="JX4" i="1"/>
  <c r="JX9" i="1" s="1"/>
  <c r="KM4" i="1"/>
  <c r="KM9" i="1" s="1"/>
  <c r="JW4" i="1"/>
  <c r="JW9" i="1" s="1"/>
  <c r="KF4" i="1"/>
  <c r="KF9" i="1" s="1"/>
  <c r="KE4" i="1"/>
  <c r="KE9" i="1" s="1"/>
  <c r="KV4" i="1"/>
  <c r="KV9" i="1" s="1"/>
  <c r="JT4" i="1"/>
  <c r="JT9" i="1" s="1"/>
  <c r="KK4" i="1"/>
  <c r="KK9" i="1" s="1"/>
  <c r="KC4" i="1"/>
  <c r="KC9" i="1" s="1"/>
  <c r="JU4" i="1"/>
  <c r="JU9" i="1" s="1"/>
  <c r="KD4" i="1"/>
  <c r="KD9" i="1" s="1"/>
  <c r="JV4" i="1"/>
  <c r="JV9" i="1" s="1"/>
  <c r="KL4" i="1"/>
  <c r="KL9" i="1" s="1"/>
  <c r="KQ4" i="1"/>
  <c r="KQ9" i="1" s="1"/>
  <c r="KI4" i="1"/>
  <c r="KI9" i="1" s="1"/>
  <c r="KA4" i="1"/>
  <c r="KA9" i="1" s="1"/>
  <c r="KX4" i="1"/>
  <c r="KX9" i="1" s="1"/>
  <c r="KP4" i="1"/>
  <c r="KP9" i="1" s="1"/>
  <c r="KH4" i="1"/>
  <c r="KH9" i="1" s="1"/>
  <c r="JZ4" i="1"/>
  <c r="JZ9" i="1" s="1"/>
  <c r="KS4" i="1"/>
  <c r="KS9" i="1" s="1"/>
  <c r="KR4" i="1"/>
  <c r="KR9" i="1" s="1"/>
  <c r="KJ4" i="1"/>
  <c r="KJ9" i="1" s="1"/>
  <c r="KB4" i="1"/>
  <c r="KB9" i="1" s="1"/>
  <c r="KW4" i="1"/>
  <c r="KW9" i="1" s="1"/>
  <c r="KO4" i="1"/>
  <c r="KO9" i="1" s="1"/>
  <c r="KG4" i="1"/>
  <c r="KG9" i="1" s="1"/>
  <c r="JY4" i="1"/>
  <c r="JY9" i="1" s="1"/>
  <c r="KN4" i="1"/>
  <c r="KN9" i="1" s="1"/>
  <c r="KU4" i="1"/>
  <c r="KU9" i="1" s="1"/>
  <c r="KT4" i="1"/>
  <c r="KT9" i="1" s="1"/>
  <c r="GB17" i="1"/>
  <c r="GB16" i="1"/>
  <c r="IP8" i="1" l="1" a="1"/>
  <c r="IP8" i="1" s="1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S248" i="4"/>
  <c r="T248" i="4"/>
  <c r="S249" i="4"/>
  <c r="T249" i="4"/>
  <c r="S250" i="4"/>
  <c r="T250" i="4"/>
  <c r="S251" i="4"/>
  <c r="T251" i="4"/>
  <c r="S252" i="4"/>
  <c r="T252" i="4"/>
  <c r="S253" i="4"/>
  <c r="T253" i="4"/>
  <c r="S254" i="4"/>
  <c r="T254" i="4"/>
  <c r="S255" i="4"/>
  <c r="T255" i="4"/>
  <c r="S256" i="4"/>
  <c r="T256" i="4"/>
  <c r="S257" i="4"/>
  <c r="T257" i="4"/>
  <c r="S258" i="4"/>
  <c r="T258" i="4"/>
  <c r="S259" i="4"/>
  <c r="T259" i="4"/>
  <c r="S260" i="4"/>
  <c r="T260" i="4"/>
  <c r="S261" i="4"/>
  <c r="T261" i="4"/>
  <c r="S262" i="4"/>
  <c r="T262" i="4"/>
  <c r="S263" i="4"/>
  <c r="T263" i="4"/>
  <c r="S264" i="4"/>
  <c r="T264" i="4"/>
  <c r="S265" i="4"/>
  <c r="T265" i="4"/>
  <c r="S266" i="4"/>
  <c r="T266" i="4"/>
  <c r="S267" i="4"/>
  <c r="T267" i="4"/>
  <c r="S268" i="4"/>
  <c r="T268" i="4"/>
  <c r="S269" i="4"/>
  <c r="T269" i="4"/>
  <c r="S270" i="4"/>
  <c r="T270" i="4"/>
  <c r="S271" i="4"/>
  <c r="T271" i="4"/>
  <c r="S272" i="4"/>
  <c r="T272" i="4"/>
  <c r="S273" i="4"/>
  <c r="T273" i="4"/>
  <c r="S274" i="4"/>
  <c r="T274" i="4"/>
  <c r="S275" i="4"/>
  <c r="T275" i="4"/>
  <c r="S276" i="4"/>
  <c r="T276" i="4"/>
  <c r="S277" i="4"/>
  <c r="T277" i="4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JL3" i="1"/>
  <c r="JM3" i="1"/>
  <c r="JN3" i="1"/>
  <c r="JO3" i="1"/>
  <c r="JP3" i="1"/>
  <c r="JQ3" i="1"/>
  <c r="JR3" i="1"/>
  <c r="JS3" i="1"/>
  <c r="IQ6" i="1"/>
  <c r="IR6" i="1"/>
  <c r="IS6" i="1"/>
  <c r="IT6" i="1"/>
  <c r="IU6" i="1"/>
  <c r="IV6" i="1"/>
  <c r="IW6" i="1"/>
  <c r="IX6" i="1"/>
  <c r="IY6" i="1"/>
  <c r="IZ6" i="1"/>
  <c r="JA6" i="1"/>
  <c r="JB6" i="1"/>
  <c r="JC6" i="1"/>
  <c r="JD6" i="1"/>
  <c r="JE6" i="1"/>
  <c r="JF6" i="1"/>
  <c r="JG6" i="1"/>
  <c r="JH6" i="1"/>
  <c r="JI6" i="1"/>
  <c r="JJ6" i="1"/>
  <c r="JK6" i="1"/>
  <c r="JL6" i="1"/>
  <c r="JM6" i="1"/>
  <c r="JN6" i="1"/>
  <c r="JO6" i="1"/>
  <c r="JP6" i="1"/>
  <c r="JQ6" i="1"/>
  <c r="JR6" i="1"/>
  <c r="JS6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JL7" i="1"/>
  <c r="JM7" i="1"/>
  <c r="JN7" i="1"/>
  <c r="JO7" i="1"/>
  <c r="JP7" i="1"/>
  <c r="JQ7" i="1"/>
  <c r="JR7" i="1"/>
  <c r="JS7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IP2" i="1"/>
  <c r="IP3" i="1"/>
  <c r="IP6" i="1"/>
  <c r="IP7" i="1"/>
  <c r="IP16" i="1"/>
  <c r="IP17" i="1"/>
  <c r="FD6" i="1"/>
  <c r="FK6" i="1"/>
  <c r="L158" i="3"/>
  <c r="M158" i="3"/>
  <c r="L159" i="3"/>
  <c r="M159" i="3"/>
  <c r="L160" i="3"/>
  <c r="M160" i="3"/>
  <c r="L161" i="3"/>
  <c r="M161" i="3"/>
  <c r="L162" i="3"/>
  <c r="M162" i="3"/>
  <c r="L163" i="3"/>
  <c r="M163" i="3"/>
  <c r="JQ4" i="1" l="1"/>
  <c r="JQ9" i="1" s="1"/>
  <c r="IP4" i="1"/>
  <c r="JM4" i="1"/>
  <c r="JM9" i="1" s="1"/>
  <c r="JE4" i="1"/>
  <c r="JE9" i="1" s="1"/>
  <c r="JO4" i="1"/>
  <c r="JO9" i="1" s="1"/>
  <c r="IW4" i="1"/>
  <c r="JL4" i="1"/>
  <c r="JL9" i="1" s="1"/>
  <c r="JD4" i="1"/>
  <c r="JD9" i="1" s="1"/>
  <c r="IV4" i="1"/>
  <c r="JS4" i="1"/>
  <c r="JS9" i="1" s="1"/>
  <c r="JR4" i="1"/>
  <c r="JR9" i="1" s="1"/>
  <c r="JP4" i="1"/>
  <c r="JP9" i="1" s="1"/>
  <c r="JH4" i="1"/>
  <c r="JH9" i="1" s="1"/>
  <c r="IZ4" i="1"/>
  <c r="IR4" i="1"/>
  <c r="JG4" i="1"/>
  <c r="JG9" i="1" s="1"/>
  <c r="IY4" i="1"/>
  <c r="IQ4" i="1"/>
  <c r="JN4" i="1"/>
  <c r="JN9" i="1" s="1"/>
  <c r="JF4" i="1"/>
  <c r="JF9" i="1" s="1"/>
  <c r="IX4" i="1"/>
  <c r="JJ4" i="1"/>
  <c r="JJ9" i="1" s="1"/>
  <c r="JB4" i="1"/>
  <c r="IT4" i="1"/>
  <c r="JA4" i="1"/>
  <c r="IS4" i="1"/>
  <c r="JK4" i="1"/>
  <c r="JK9" i="1" s="1"/>
  <c r="JC4" i="1"/>
  <c r="JC9" i="1" s="1"/>
  <c r="IU4" i="1"/>
  <c r="JI4" i="1"/>
  <c r="JI9" i="1" s="1"/>
  <c r="EU6" i="1"/>
  <c r="EV6" i="1"/>
  <c r="EW6" i="1"/>
  <c r="EX6" i="1"/>
  <c r="EY6" i="1"/>
  <c r="EZ6" i="1"/>
  <c r="FA6" i="1"/>
  <c r="GF8" i="1" a="1"/>
  <c r="GF8" i="1" s="1"/>
  <c r="IK8" i="6"/>
  <c r="IL8" i="6"/>
  <c r="IM8" i="6"/>
  <c r="IN8" i="6"/>
  <c r="IO8" i="6"/>
  <c r="IP8" i="6"/>
  <c r="IQ8" i="6"/>
  <c r="IR8" i="6"/>
  <c r="IS8" i="6"/>
  <c r="IT8" i="6"/>
  <c r="IU8" i="6"/>
  <c r="IV8" i="6"/>
  <c r="IW8" i="6"/>
  <c r="IX8" i="6"/>
  <c r="IY8" i="6"/>
  <c r="IZ8" i="6"/>
  <c r="JA8" i="6"/>
  <c r="JB8" i="6"/>
  <c r="JC8" i="6"/>
  <c r="JD8" i="6"/>
  <c r="JE8" i="6"/>
  <c r="JF8" i="6"/>
  <c r="JG8" i="6"/>
  <c r="JH8" i="6"/>
  <c r="JI8" i="6"/>
  <c r="JJ8" i="6"/>
  <c r="JK8" i="6"/>
  <c r="JL8" i="6"/>
  <c r="JM8" i="6"/>
  <c r="JN8" i="6"/>
  <c r="JO8" i="6"/>
  <c r="JP8" i="6"/>
  <c r="JQ8" i="6"/>
  <c r="JR8" i="6"/>
  <c r="JS8" i="6"/>
  <c r="JT8" i="6"/>
  <c r="JU8" i="6"/>
  <c r="JV8" i="6"/>
  <c r="JW8" i="6"/>
  <c r="JX8" i="6"/>
  <c r="JY8" i="6"/>
  <c r="JZ8" i="6"/>
  <c r="KA8" i="6"/>
  <c r="KB8" i="6"/>
  <c r="KC8" i="6"/>
  <c r="KD8" i="6"/>
  <c r="KE8" i="6"/>
  <c r="KF8" i="6"/>
  <c r="KG8" i="6"/>
  <c r="KH8" i="6"/>
  <c r="KI8" i="6"/>
  <c r="KJ8" i="6"/>
  <c r="KK8" i="6"/>
  <c r="KL8" i="6"/>
  <c r="KM8" i="6"/>
  <c r="KN8" i="6"/>
  <c r="KO8" i="6"/>
  <c r="KP8" i="6"/>
  <c r="KQ8" i="6"/>
  <c r="KR8" i="6"/>
  <c r="KS8" i="6"/>
  <c r="KT8" i="6"/>
  <c r="KU8" i="6"/>
  <c r="KV8" i="6"/>
  <c r="KW8" i="6"/>
  <c r="KX8" i="6"/>
  <c r="KY8" i="6"/>
  <c r="KZ8" i="6"/>
  <c r="LA8" i="6"/>
  <c r="LB8" i="6"/>
  <c r="LC8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S8" i="6"/>
  <c r="LT8" i="6"/>
  <c r="LU8" i="6"/>
  <c r="LV8" i="6"/>
  <c r="LW8" i="6"/>
  <c r="LX8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MO8" i="6"/>
  <c r="MP8" i="6"/>
  <c r="MQ8" i="6"/>
  <c r="MR8" i="6"/>
  <c r="MS8" i="6"/>
  <c r="MT8" i="6"/>
  <c r="MU8" i="6"/>
  <c r="MV8" i="6"/>
  <c r="MW8" i="6"/>
  <c r="MX8" i="6"/>
  <c r="MY8" i="6"/>
  <c r="MZ8" i="6"/>
  <c r="NA8" i="6"/>
  <c r="NB8" i="6"/>
  <c r="IK9" i="6"/>
  <c r="IL9" i="6"/>
  <c r="IM9" i="6"/>
  <c r="IN9" i="6"/>
  <c r="IO9" i="6"/>
  <c r="IP9" i="6"/>
  <c r="IQ9" i="6"/>
  <c r="IR9" i="6"/>
  <c r="IS9" i="6"/>
  <c r="IT9" i="6"/>
  <c r="IU9" i="6"/>
  <c r="IV9" i="6"/>
  <c r="IW9" i="6"/>
  <c r="IX9" i="6"/>
  <c r="IY9" i="6"/>
  <c r="IZ9" i="6"/>
  <c r="JA9" i="6"/>
  <c r="JB9" i="6"/>
  <c r="JC9" i="6"/>
  <c r="JD9" i="6"/>
  <c r="JE9" i="6"/>
  <c r="JF9" i="6"/>
  <c r="JG9" i="6"/>
  <c r="JH9" i="6"/>
  <c r="JI9" i="6"/>
  <c r="JJ9" i="6"/>
  <c r="JK9" i="6"/>
  <c r="JL9" i="6"/>
  <c r="JM9" i="6"/>
  <c r="JN9" i="6"/>
  <c r="JO9" i="6"/>
  <c r="JP9" i="6"/>
  <c r="JQ9" i="6"/>
  <c r="JR9" i="6"/>
  <c r="JS9" i="6"/>
  <c r="JT9" i="6"/>
  <c r="JU9" i="6"/>
  <c r="JV9" i="6"/>
  <c r="JW9" i="6"/>
  <c r="JX9" i="6"/>
  <c r="JY9" i="6"/>
  <c r="JZ9" i="6"/>
  <c r="KA9" i="6"/>
  <c r="KB9" i="6"/>
  <c r="KC9" i="6"/>
  <c r="KD9" i="6"/>
  <c r="KE9" i="6"/>
  <c r="KF9" i="6"/>
  <c r="KG9" i="6"/>
  <c r="KH9" i="6"/>
  <c r="KI9" i="6"/>
  <c r="KJ9" i="6"/>
  <c r="KK9" i="6"/>
  <c r="KL9" i="6"/>
  <c r="KM9" i="6"/>
  <c r="KN9" i="6"/>
  <c r="KO9" i="6"/>
  <c r="KP9" i="6"/>
  <c r="KQ9" i="6"/>
  <c r="KR9" i="6"/>
  <c r="KS9" i="6"/>
  <c r="KT9" i="6"/>
  <c r="KU9" i="6"/>
  <c r="KV9" i="6"/>
  <c r="KW9" i="6"/>
  <c r="KX9" i="6"/>
  <c r="KY9" i="6"/>
  <c r="KZ9" i="6"/>
  <c r="LA9" i="6"/>
  <c r="LB9" i="6"/>
  <c r="LC9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S9" i="6"/>
  <c r="LT9" i="6"/>
  <c r="LU9" i="6"/>
  <c r="LV9" i="6"/>
  <c r="LW9" i="6"/>
  <c r="LX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MO9" i="6"/>
  <c r="MP9" i="6"/>
  <c r="MQ9" i="6"/>
  <c r="MR9" i="6"/>
  <c r="MS9" i="6"/>
  <c r="MT9" i="6"/>
  <c r="MU9" i="6"/>
  <c r="MV9" i="6"/>
  <c r="MW9" i="6"/>
  <c r="MX9" i="6"/>
  <c r="MY9" i="6"/>
  <c r="MZ9" i="6"/>
  <c r="NA9" i="6"/>
  <c r="NB9" i="6"/>
  <c r="IK10" i="6"/>
  <c r="IL10" i="6"/>
  <c r="IM10" i="6"/>
  <c r="IN10" i="6"/>
  <c r="IO10" i="6"/>
  <c r="IP10" i="6"/>
  <c r="IQ10" i="6"/>
  <c r="IR10" i="6"/>
  <c r="IS10" i="6"/>
  <c r="IT10" i="6"/>
  <c r="IU10" i="6"/>
  <c r="IV10" i="6"/>
  <c r="IW10" i="6"/>
  <c r="IX10" i="6"/>
  <c r="IY10" i="6"/>
  <c r="IZ10" i="6"/>
  <c r="JA10" i="6"/>
  <c r="JB10" i="6"/>
  <c r="JC10" i="6"/>
  <c r="JD10" i="6"/>
  <c r="JE10" i="6"/>
  <c r="JF10" i="6"/>
  <c r="JG10" i="6"/>
  <c r="JH10" i="6"/>
  <c r="JI10" i="6"/>
  <c r="JJ10" i="6"/>
  <c r="JK10" i="6"/>
  <c r="JL10" i="6"/>
  <c r="JM10" i="6"/>
  <c r="JN10" i="6"/>
  <c r="JO10" i="6"/>
  <c r="JP10" i="6"/>
  <c r="JQ10" i="6"/>
  <c r="JR10" i="6"/>
  <c r="JS10" i="6"/>
  <c r="JT10" i="6"/>
  <c r="JU10" i="6"/>
  <c r="JV10" i="6"/>
  <c r="JW10" i="6"/>
  <c r="JX10" i="6"/>
  <c r="JY10" i="6"/>
  <c r="JZ10" i="6"/>
  <c r="KA10" i="6"/>
  <c r="KB10" i="6"/>
  <c r="KC10" i="6"/>
  <c r="KD10" i="6"/>
  <c r="KE10" i="6"/>
  <c r="KF10" i="6"/>
  <c r="KG10" i="6"/>
  <c r="KH10" i="6"/>
  <c r="KI10" i="6"/>
  <c r="KJ10" i="6"/>
  <c r="KK10" i="6"/>
  <c r="KL10" i="6"/>
  <c r="KM10" i="6"/>
  <c r="KN10" i="6"/>
  <c r="KO10" i="6"/>
  <c r="KP10" i="6"/>
  <c r="KQ10" i="6"/>
  <c r="KR10" i="6"/>
  <c r="KS10" i="6"/>
  <c r="KT10" i="6"/>
  <c r="KU10" i="6"/>
  <c r="KV10" i="6"/>
  <c r="KW10" i="6"/>
  <c r="KX10" i="6"/>
  <c r="KY10" i="6"/>
  <c r="KZ10" i="6"/>
  <c r="LA10" i="6"/>
  <c r="LB10" i="6"/>
  <c r="LC10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S10" i="6"/>
  <c r="LT10" i="6"/>
  <c r="LU10" i="6"/>
  <c r="LV10" i="6"/>
  <c r="LW10" i="6"/>
  <c r="LX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MO10" i="6"/>
  <c r="MP10" i="6"/>
  <c r="MQ10" i="6"/>
  <c r="MR10" i="6"/>
  <c r="MS10" i="6"/>
  <c r="MT10" i="6"/>
  <c r="MU10" i="6"/>
  <c r="MV10" i="6"/>
  <c r="MW10" i="6"/>
  <c r="MX10" i="6"/>
  <c r="MY10" i="6"/>
  <c r="MZ10" i="6"/>
  <c r="NA10" i="6"/>
  <c r="NB10" i="6"/>
  <c r="IK11" i="6"/>
  <c r="IL11" i="6"/>
  <c r="IM11" i="6"/>
  <c r="IN11" i="6"/>
  <c r="IO11" i="6"/>
  <c r="IP11" i="6"/>
  <c r="IQ11" i="6"/>
  <c r="IR11" i="6"/>
  <c r="IS11" i="6"/>
  <c r="IT11" i="6"/>
  <c r="IU11" i="6"/>
  <c r="IV11" i="6"/>
  <c r="IW11" i="6"/>
  <c r="IX11" i="6"/>
  <c r="IY11" i="6"/>
  <c r="IZ11" i="6"/>
  <c r="JA11" i="6"/>
  <c r="JB11" i="6"/>
  <c r="JC11" i="6"/>
  <c r="JD11" i="6"/>
  <c r="JE11" i="6"/>
  <c r="JF11" i="6"/>
  <c r="JG11" i="6"/>
  <c r="JH11" i="6"/>
  <c r="JI11" i="6"/>
  <c r="JJ11" i="6"/>
  <c r="JK11" i="6"/>
  <c r="JL11" i="6"/>
  <c r="JM11" i="6"/>
  <c r="JN11" i="6"/>
  <c r="JO11" i="6"/>
  <c r="JP11" i="6"/>
  <c r="JQ11" i="6"/>
  <c r="JR11" i="6"/>
  <c r="JS11" i="6"/>
  <c r="JT11" i="6"/>
  <c r="JU11" i="6"/>
  <c r="JV11" i="6"/>
  <c r="JW11" i="6"/>
  <c r="JX11" i="6"/>
  <c r="JY11" i="6"/>
  <c r="JZ11" i="6"/>
  <c r="KA11" i="6"/>
  <c r="KB11" i="6"/>
  <c r="KC11" i="6"/>
  <c r="KD11" i="6"/>
  <c r="KE11" i="6"/>
  <c r="KF11" i="6"/>
  <c r="KG11" i="6"/>
  <c r="KH11" i="6"/>
  <c r="KI11" i="6"/>
  <c r="KJ11" i="6"/>
  <c r="KK11" i="6"/>
  <c r="KL11" i="6"/>
  <c r="KM11" i="6"/>
  <c r="KN11" i="6"/>
  <c r="KO11" i="6"/>
  <c r="KP11" i="6"/>
  <c r="KQ11" i="6"/>
  <c r="KR11" i="6"/>
  <c r="KS11" i="6"/>
  <c r="KT11" i="6"/>
  <c r="KU11" i="6"/>
  <c r="KV11" i="6"/>
  <c r="KW11" i="6"/>
  <c r="KX11" i="6"/>
  <c r="KY11" i="6"/>
  <c r="KZ11" i="6"/>
  <c r="LA11" i="6"/>
  <c r="LB11" i="6"/>
  <c r="LC11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S11" i="6"/>
  <c r="LT11" i="6"/>
  <c r="LU11" i="6"/>
  <c r="LV11" i="6"/>
  <c r="LW11" i="6"/>
  <c r="LX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MO11" i="6"/>
  <c r="MP11" i="6"/>
  <c r="MQ11" i="6"/>
  <c r="MR11" i="6"/>
  <c r="MS11" i="6"/>
  <c r="MT11" i="6"/>
  <c r="MU11" i="6"/>
  <c r="MV11" i="6"/>
  <c r="MW11" i="6"/>
  <c r="MX11" i="6"/>
  <c r="MY11" i="6"/>
  <c r="MZ11" i="6"/>
  <c r="NA11" i="6"/>
  <c r="NB11" i="6"/>
  <c r="IK12" i="6"/>
  <c r="IL12" i="6"/>
  <c r="IM12" i="6"/>
  <c r="IN12" i="6"/>
  <c r="IO12" i="6"/>
  <c r="IP12" i="6"/>
  <c r="IQ12" i="6"/>
  <c r="IR12" i="6"/>
  <c r="IS12" i="6"/>
  <c r="IT12" i="6"/>
  <c r="IU12" i="6"/>
  <c r="IV12" i="6"/>
  <c r="IW12" i="6"/>
  <c r="IX12" i="6"/>
  <c r="IY12" i="6"/>
  <c r="IZ12" i="6"/>
  <c r="JA12" i="6"/>
  <c r="JB12" i="6"/>
  <c r="JC12" i="6"/>
  <c r="JD12" i="6"/>
  <c r="JE12" i="6"/>
  <c r="JF12" i="6"/>
  <c r="JG12" i="6"/>
  <c r="JH12" i="6"/>
  <c r="JI12" i="6"/>
  <c r="JJ12" i="6"/>
  <c r="JK12" i="6"/>
  <c r="JL12" i="6"/>
  <c r="JM12" i="6"/>
  <c r="JN12" i="6"/>
  <c r="JO12" i="6"/>
  <c r="JP12" i="6"/>
  <c r="JQ12" i="6"/>
  <c r="JR12" i="6"/>
  <c r="JS12" i="6"/>
  <c r="JT12" i="6"/>
  <c r="JU12" i="6"/>
  <c r="JV12" i="6"/>
  <c r="JW12" i="6"/>
  <c r="JX12" i="6"/>
  <c r="JY12" i="6"/>
  <c r="JZ12" i="6"/>
  <c r="KA12" i="6"/>
  <c r="KB12" i="6"/>
  <c r="KC12" i="6"/>
  <c r="KD12" i="6"/>
  <c r="KE12" i="6"/>
  <c r="KF12" i="6"/>
  <c r="KG12" i="6"/>
  <c r="KH12" i="6"/>
  <c r="KI12" i="6"/>
  <c r="KJ12" i="6"/>
  <c r="KK12" i="6"/>
  <c r="KL12" i="6"/>
  <c r="KM12" i="6"/>
  <c r="KN12" i="6"/>
  <c r="KO12" i="6"/>
  <c r="KP12" i="6"/>
  <c r="KQ12" i="6"/>
  <c r="KR12" i="6"/>
  <c r="KS12" i="6"/>
  <c r="KT12" i="6"/>
  <c r="KU12" i="6"/>
  <c r="KV12" i="6"/>
  <c r="KW12" i="6"/>
  <c r="KX12" i="6"/>
  <c r="KY12" i="6"/>
  <c r="KZ12" i="6"/>
  <c r="LA12" i="6"/>
  <c r="LB12" i="6"/>
  <c r="LC12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S12" i="6"/>
  <c r="LT12" i="6"/>
  <c r="LU12" i="6"/>
  <c r="LV12" i="6"/>
  <c r="LW12" i="6"/>
  <c r="LX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MO12" i="6"/>
  <c r="MP12" i="6"/>
  <c r="MQ12" i="6"/>
  <c r="MR12" i="6"/>
  <c r="MS12" i="6"/>
  <c r="MT12" i="6"/>
  <c r="MU12" i="6"/>
  <c r="MV12" i="6"/>
  <c r="MW12" i="6"/>
  <c r="MX12" i="6"/>
  <c r="MY12" i="6"/>
  <c r="MZ12" i="6"/>
  <c r="NA12" i="6"/>
  <c r="NB12" i="6"/>
  <c r="IK13" i="6"/>
  <c r="IL13" i="6"/>
  <c r="IM13" i="6"/>
  <c r="IN13" i="6"/>
  <c r="IO13" i="6"/>
  <c r="IP13" i="6"/>
  <c r="IQ13" i="6"/>
  <c r="IR13" i="6"/>
  <c r="IS13" i="6"/>
  <c r="IT13" i="6"/>
  <c r="IU13" i="6"/>
  <c r="IV13" i="6"/>
  <c r="IW13" i="6"/>
  <c r="IX13" i="6"/>
  <c r="IY13" i="6"/>
  <c r="IZ13" i="6"/>
  <c r="JA13" i="6"/>
  <c r="JB13" i="6"/>
  <c r="JC13" i="6"/>
  <c r="JD13" i="6"/>
  <c r="JE13" i="6"/>
  <c r="JF13" i="6"/>
  <c r="JG13" i="6"/>
  <c r="JH13" i="6"/>
  <c r="JI13" i="6"/>
  <c r="JJ13" i="6"/>
  <c r="JK13" i="6"/>
  <c r="JL13" i="6"/>
  <c r="JM13" i="6"/>
  <c r="JN13" i="6"/>
  <c r="JO13" i="6"/>
  <c r="JP13" i="6"/>
  <c r="JQ13" i="6"/>
  <c r="JR13" i="6"/>
  <c r="JS13" i="6"/>
  <c r="JT13" i="6"/>
  <c r="JU13" i="6"/>
  <c r="JV13" i="6"/>
  <c r="JW13" i="6"/>
  <c r="JX13" i="6"/>
  <c r="JY13" i="6"/>
  <c r="JZ13" i="6"/>
  <c r="KA13" i="6"/>
  <c r="KB13" i="6"/>
  <c r="KC13" i="6"/>
  <c r="KD13" i="6"/>
  <c r="KE13" i="6"/>
  <c r="KF13" i="6"/>
  <c r="KG13" i="6"/>
  <c r="KH13" i="6"/>
  <c r="KI13" i="6"/>
  <c r="KJ13" i="6"/>
  <c r="KK13" i="6"/>
  <c r="KL13" i="6"/>
  <c r="KM13" i="6"/>
  <c r="KN13" i="6"/>
  <c r="KO13" i="6"/>
  <c r="KP13" i="6"/>
  <c r="KQ13" i="6"/>
  <c r="KR13" i="6"/>
  <c r="KS13" i="6"/>
  <c r="KT13" i="6"/>
  <c r="KU13" i="6"/>
  <c r="KV13" i="6"/>
  <c r="KW13" i="6"/>
  <c r="KX13" i="6"/>
  <c r="KY13" i="6"/>
  <c r="KZ13" i="6"/>
  <c r="LA13" i="6"/>
  <c r="LB13" i="6"/>
  <c r="LC13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S13" i="6"/>
  <c r="LT13" i="6"/>
  <c r="LU13" i="6"/>
  <c r="LV13" i="6"/>
  <c r="LW13" i="6"/>
  <c r="LX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MO13" i="6"/>
  <c r="MP13" i="6"/>
  <c r="MQ13" i="6"/>
  <c r="MR13" i="6"/>
  <c r="MS13" i="6"/>
  <c r="MT13" i="6"/>
  <c r="MU13" i="6"/>
  <c r="MV13" i="6"/>
  <c r="MW13" i="6"/>
  <c r="MX13" i="6"/>
  <c r="MY13" i="6"/>
  <c r="MZ13" i="6"/>
  <c r="NA13" i="6"/>
  <c r="NB13" i="6"/>
  <c r="IK14" i="6"/>
  <c r="IL14" i="6"/>
  <c r="IM14" i="6"/>
  <c r="IN14" i="6"/>
  <c r="IO14" i="6"/>
  <c r="IP14" i="6"/>
  <c r="IQ14" i="6"/>
  <c r="IR14" i="6"/>
  <c r="IS14" i="6"/>
  <c r="IT14" i="6"/>
  <c r="IU14" i="6"/>
  <c r="IV14" i="6"/>
  <c r="IW14" i="6"/>
  <c r="IX14" i="6"/>
  <c r="IY14" i="6"/>
  <c r="IZ14" i="6"/>
  <c r="JA14" i="6"/>
  <c r="JB14" i="6"/>
  <c r="JC14" i="6"/>
  <c r="JD14" i="6"/>
  <c r="JE14" i="6"/>
  <c r="JF14" i="6"/>
  <c r="JG14" i="6"/>
  <c r="JH14" i="6"/>
  <c r="JI14" i="6"/>
  <c r="JJ14" i="6"/>
  <c r="JK14" i="6"/>
  <c r="JL14" i="6"/>
  <c r="JM14" i="6"/>
  <c r="JN14" i="6"/>
  <c r="JO14" i="6"/>
  <c r="JP14" i="6"/>
  <c r="JQ14" i="6"/>
  <c r="JR14" i="6"/>
  <c r="JS14" i="6"/>
  <c r="JT14" i="6"/>
  <c r="JU14" i="6"/>
  <c r="JV14" i="6"/>
  <c r="JW14" i="6"/>
  <c r="JX14" i="6"/>
  <c r="JY14" i="6"/>
  <c r="JZ14" i="6"/>
  <c r="KA14" i="6"/>
  <c r="KB14" i="6"/>
  <c r="KC14" i="6"/>
  <c r="KD14" i="6"/>
  <c r="KE14" i="6"/>
  <c r="KF14" i="6"/>
  <c r="KG14" i="6"/>
  <c r="KH14" i="6"/>
  <c r="KI14" i="6"/>
  <c r="KJ14" i="6"/>
  <c r="KK14" i="6"/>
  <c r="KL14" i="6"/>
  <c r="KM14" i="6"/>
  <c r="KN14" i="6"/>
  <c r="KO14" i="6"/>
  <c r="KP14" i="6"/>
  <c r="KQ14" i="6"/>
  <c r="KR14" i="6"/>
  <c r="KS14" i="6"/>
  <c r="KT14" i="6"/>
  <c r="KU14" i="6"/>
  <c r="KV14" i="6"/>
  <c r="KW14" i="6"/>
  <c r="KX14" i="6"/>
  <c r="KY14" i="6"/>
  <c r="KZ14" i="6"/>
  <c r="LA14" i="6"/>
  <c r="LB14" i="6"/>
  <c r="LC14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S14" i="6"/>
  <c r="LT14" i="6"/>
  <c r="LU14" i="6"/>
  <c r="LV14" i="6"/>
  <c r="LW14" i="6"/>
  <c r="LX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MO14" i="6"/>
  <c r="MP14" i="6"/>
  <c r="MQ14" i="6"/>
  <c r="MR14" i="6"/>
  <c r="MS14" i="6"/>
  <c r="MT14" i="6"/>
  <c r="MU14" i="6"/>
  <c r="MV14" i="6"/>
  <c r="MW14" i="6"/>
  <c r="MX14" i="6"/>
  <c r="MY14" i="6"/>
  <c r="MZ14" i="6"/>
  <c r="NA14" i="6"/>
  <c r="NB14" i="6"/>
  <c r="IK15" i="6"/>
  <c r="IL15" i="6"/>
  <c r="IM15" i="6"/>
  <c r="IN15" i="6"/>
  <c r="IO15" i="6"/>
  <c r="IP15" i="6"/>
  <c r="IQ15" i="6"/>
  <c r="IR15" i="6"/>
  <c r="IS15" i="6"/>
  <c r="IT15" i="6"/>
  <c r="IU15" i="6"/>
  <c r="IV15" i="6"/>
  <c r="IW15" i="6"/>
  <c r="IX15" i="6"/>
  <c r="IY15" i="6"/>
  <c r="IZ15" i="6"/>
  <c r="JA15" i="6"/>
  <c r="JB15" i="6"/>
  <c r="JC15" i="6"/>
  <c r="JD15" i="6"/>
  <c r="JE15" i="6"/>
  <c r="JF15" i="6"/>
  <c r="JG15" i="6"/>
  <c r="JH15" i="6"/>
  <c r="JI15" i="6"/>
  <c r="JJ15" i="6"/>
  <c r="JK15" i="6"/>
  <c r="JL15" i="6"/>
  <c r="JM15" i="6"/>
  <c r="JN15" i="6"/>
  <c r="JO15" i="6"/>
  <c r="JP15" i="6"/>
  <c r="JQ15" i="6"/>
  <c r="JR15" i="6"/>
  <c r="JS15" i="6"/>
  <c r="JT15" i="6"/>
  <c r="JU15" i="6"/>
  <c r="JV15" i="6"/>
  <c r="JW15" i="6"/>
  <c r="JX15" i="6"/>
  <c r="JY15" i="6"/>
  <c r="JZ15" i="6"/>
  <c r="KA15" i="6"/>
  <c r="KB15" i="6"/>
  <c r="KC15" i="6"/>
  <c r="KD15" i="6"/>
  <c r="KE15" i="6"/>
  <c r="KF15" i="6"/>
  <c r="KG15" i="6"/>
  <c r="KH15" i="6"/>
  <c r="KI15" i="6"/>
  <c r="KJ15" i="6"/>
  <c r="KK15" i="6"/>
  <c r="KL15" i="6"/>
  <c r="KM15" i="6"/>
  <c r="KN15" i="6"/>
  <c r="KO15" i="6"/>
  <c r="KP15" i="6"/>
  <c r="KQ15" i="6"/>
  <c r="KR15" i="6"/>
  <c r="KS15" i="6"/>
  <c r="KT15" i="6"/>
  <c r="KU15" i="6"/>
  <c r="KV15" i="6"/>
  <c r="KW15" i="6"/>
  <c r="KX15" i="6"/>
  <c r="KY15" i="6"/>
  <c r="KZ15" i="6"/>
  <c r="LA15" i="6"/>
  <c r="LB15" i="6"/>
  <c r="LC15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LS15" i="6"/>
  <c r="LT15" i="6"/>
  <c r="LU15" i="6"/>
  <c r="LV15" i="6"/>
  <c r="LW15" i="6"/>
  <c r="LX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MO15" i="6"/>
  <c r="MP15" i="6"/>
  <c r="MQ15" i="6"/>
  <c r="MR15" i="6"/>
  <c r="MS15" i="6"/>
  <c r="MT15" i="6"/>
  <c r="MU15" i="6"/>
  <c r="MV15" i="6"/>
  <c r="MW15" i="6"/>
  <c r="MX15" i="6"/>
  <c r="MY15" i="6"/>
  <c r="MZ15" i="6"/>
  <c r="NA15" i="6"/>
  <c r="NB15" i="6"/>
  <c r="IK2" i="6"/>
  <c r="IL2" i="6"/>
  <c r="IM2" i="6"/>
  <c r="IN2" i="6"/>
  <c r="IO2" i="6"/>
  <c r="IP2" i="6"/>
  <c r="IQ2" i="6"/>
  <c r="IR2" i="6"/>
  <c r="IS2" i="6"/>
  <c r="IT2" i="6"/>
  <c r="IU2" i="6"/>
  <c r="IV2" i="6"/>
  <c r="IW2" i="6"/>
  <c r="IX2" i="6"/>
  <c r="IY2" i="6"/>
  <c r="IZ2" i="6"/>
  <c r="JA2" i="6"/>
  <c r="JB2" i="6"/>
  <c r="JC2" i="6"/>
  <c r="JD2" i="6"/>
  <c r="JE2" i="6"/>
  <c r="JF2" i="6"/>
  <c r="JG2" i="6"/>
  <c r="JH2" i="6"/>
  <c r="JI2" i="6"/>
  <c r="JJ2" i="6"/>
  <c r="JK2" i="6"/>
  <c r="JL2" i="6"/>
  <c r="JM2" i="6"/>
  <c r="JN2" i="6"/>
  <c r="JO2" i="6"/>
  <c r="JP2" i="6"/>
  <c r="JQ2" i="6"/>
  <c r="JR2" i="6"/>
  <c r="JS2" i="6"/>
  <c r="JT2" i="6"/>
  <c r="JU2" i="6"/>
  <c r="JV2" i="6"/>
  <c r="JW2" i="6"/>
  <c r="JX2" i="6"/>
  <c r="JY2" i="6"/>
  <c r="JZ2" i="6"/>
  <c r="KA2" i="6"/>
  <c r="KB2" i="6"/>
  <c r="KC2" i="6"/>
  <c r="KD2" i="6"/>
  <c r="KE2" i="6"/>
  <c r="KF2" i="6"/>
  <c r="KG2" i="6"/>
  <c r="KH2" i="6"/>
  <c r="KI2" i="6"/>
  <c r="KJ2" i="6"/>
  <c r="KK2" i="6"/>
  <c r="KL2" i="6"/>
  <c r="KM2" i="6"/>
  <c r="KN2" i="6"/>
  <c r="KO2" i="6"/>
  <c r="KP2" i="6"/>
  <c r="KQ2" i="6"/>
  <c r="KR2" i="6"/>
  <c r="KS2" i="6"/>
  <c r="KT2" i="6"/>
  <c r="KU2" i="6"/>
  <c r="KV2" i="6"/>
  <c r="KW2" i="6"/>
  <c r="KX2" i="6"/>
  <c r="KY2" i="6"/>
  <c r="KZ2" i="6"/>
  <c r="LA2" i="6"/>
  <c r="LB2" i="6"/>
  <c r="LC2" i="6"/>
  <c r="LD2" i="6"/>
  <c r="LE2" i="6"/>
  <c r="LF2" i="6"/>
  <c r="LG2" i="6"/>
  <c r="LH2" i="6"/>
  <c r="LI2" i="6"/>
  <c r="LJ2" i="6"/>
  <c r="LK2" i="6"/>
  <c r="LL2" i="6"/>
  <c r="LM2" i="6"/>
  <c r="LN2" i="6"/>
  <c r="LO2" i="6"/>
  <c r="LP2" i="6"/>
  <c r="LQ2" i="6"/>
  <c r="LR2" i="6"/>
  <c r="LS2" i="6"/>
  <c r="LT2" i="6"/>
  <c r="LU2" i="6"/>
  <c r="LV2" i="6"/>
  <c r="LW2" i="6"/>
  <c r="LX2" i="6"/>
  <c r="LY2" i="6"/>
  <c r="LZ2" i="6"/>
  <c r="MA2" i="6"/>
  <c r="MB2" i="6"/>
  <c r="MC2" i="6"/>
  <c r="MD2" i="6"/>
  <c r="ME2" i="6"/>
  <c r="MF2" i="6"/>
  <c r="MG2" i="6"/>
  <c r="MH2" i="6"/>
  <c r="MI2" i="6"/>
  <c r="MJ2" i="6"/>
  <c r="MK2" i="6"/>
  <c r="ML2" i="6"/>
  <c r="MM2" i="6"/>
  <c r="MN2" i="6"/>
  <c r="MO2" i="6"/>
  <c r="MP2" i="6"/>
  <c r="MQ2" i="6"/>
  <c r="MR2" i="6"/>
  <c r="MS2" i="6"/>
  <c r="MT2" i="6"/>
  <c r="MU2" i="6"/>
  <c r="MV2" i="6"/>
  <c r="MW2" i="6"/>
  <c r="MX2" i="6"/>
  <c r="MY2" i="6"/>
  <c r="MZ2" i="6"/>
  <c r="NA2" i="6"/>
  <c r="NB2" i="6"/>
  <c r="IK3" i="6"/>
  <c r="IL3" i="6"/>
  <c r="IM3" i="6"/>
  <c r="IN3" i="6"/>
  <c r="IO3" i="6"/>
  <c r="IP3" i="6"/>
  <c r="IQ3" i="6"/>
  <c r="IR3" i="6"/>
  <c r="IS3" i="6"/>
  <c r="IT3" i="6"/>
  <c r="IU3" i="6"/>
  <c r="IV3" i="6"/>
  <c r="IW3" i="6"/>
  <c r="IX3" i="6"/>
  <c r="IY3" i="6"/>
  <c r="IZ3" i="6"/>
  <c r="JA3" i="6"/>
  <c r="JB3" i="6"/>
  <c r="JC3" i="6"/>
  <c r="JD3" i="6"/>
  <c r="JE3" i="6"/>
  <c r="JF3" i="6"/>
  <c r="JG3" i="6"/>
  <c r="JH3" i="6"/>
  <c r="JI3" i="6"/>
  <c r="JJ3" i="6"/>
  <c r="JK3" i="6"/>
  <c r="JL3" i="6"/>
  <c r="JM3" i="6"/>
  <c r="JN3" i="6"/>
  <c r="JO3" i="6"/>
  <c r="JP3" i="6"/>
  <c r="JQ3" i="6"/>
  <c r="JR3" i="6"/>
  <c r="JS3" i="6"/>
  <c r="JT3" i="6"/>
  <c r="JU3" i="6"/>
  <c r="JV3" i="6"/>
  <c r="JW3" i="6"/>
  <c r="JX3" i="6"/>
  <c r="JY3" i="6"/>
  <c r="JZ3" i="6"/>
  <c r="KA3" i="6"/>
  <c r="KB3" i="6"/>
  <c r="KC3" i="6"/>
  <c r="KD3" i="6"/>
  <c r="KE3" i="6"/>
  <c r="KF3" i="6"/>
  <c r="KG3" i="6"/>
  <c r="KH3" i="6"/>
  <c r="KI3" i="6"/>
  <c r="KJ3" i="6"/>
  <c r="KK3" i="6"/>
  <c r="KL3" i="6"/>
  <c r="KM3" i="6"/>
  <c r="KN3" i="6"/>
  <c r="KO3" i="6"/>
  <c r="KP3" i="6"/>
  <c r="KQ3" i="6"/>
  <c r="KR3" i="6"/>
  <c r="KS3" i="6"/>
  <c r="KT3" i="6"/>
  <c r="KU3" i="6"/>
  <c r="KV3" i="6"/>
  <c r="KW3" i="6"/>
  <c r="KX3" i="6"/>
  <c r="KY3" i="6"/>
  <c r="KZ3" i="6"/>
  <c r="LA3" i="6"/>
  <c r="LB3" i="6"/>
  <c r="LC3" i="6"/>
  <c r="LD3" i="6"/>
  <c r="LE3" i="6"/>
  <c r="LF3" i="6"/>
  <c r="LG3" i="6"/>
  <c r="LH3" i="6"/>
  <c r="LI3" i="6"/>
  <c r="LJ3" i="6"/>
  <c r="LK3" i="6"/>
  <c r="LL3" i="6"/>
  <c r="LM3" i="6"/>
  <c r="LN3" i="6"/>
  <c r="LO3" i="6"/>
  <c r="LP3" i="6"/>
  <c r="LQ3" i="6"/>
  <c r="LR3" i="6"/>
  <c r="LS3" i="6"/>
  <c r="LT3" i="6"/>
  <c r="LU3" i="6"/>
  <c r="LV3" i="6"/>
  <c r="LW3" i="6"/>
  <c r="LX3" i="6"/>
  <c r="LY3" i="6"/>
  <c r="LZ3" i="6"/>
  <c r="MA3" i="6"/>
  <c r="MB3" i="6"/>
  <c r="MC3" i="6"/>
  <c r="MD3" i="6"/>
  <c r="ME3" i="6"/>
  <c r="MF3" i="6"/>
  <c r="MG3" i="6"/>
  <c r="MH3" i="6"/>
  <c r="MI3" i="6"/>
  <c r="MJ3" i="6"/>
  <c r="MK3" i="6"/>
  <c r="ML3" i="6"/>
  <c r="MM3" i="6"/>
  <c r="MN3" i="6"/>
  <c r="MO3" i="6"/>
  <c r="MP3" i="6"/>
  <c r="MQ3" i="6"/>
  <c r="MR3" i="6"/>
  <c r="MS3" i="6"/>
  <c r="MT3" i="6"/>
  <c r="MU3" i="6"/>
  <c r="MV3" i="6"/>
  <c r="MW3" i="6"/>
  <c r="MX3" i="6"/>
  <c r="MY3" i="6"/>
  <c r="MZ3" i="6"/>
  <c r="NA3" i="6"/>
  <c r="NB3" i="6"/>
  <c r="JO4" i="6"/>
  <c r="JP4" i="6"/>
  <c r="JQ4" i="6"/>
  <c r="JR4" i="6"/>
  <c r="JS4" i="6"/>
  <c r="JT4" i="6"/>
  <c r="JU4" i="6"/>
  <c r="JV4" i="6"/>
  <c r="JW4" i="6"/>
  <c r="JX4" i="6"/>
  <c r="JY4" i="6"/>
  <c r="JZ4" i="6"/>
  <c r="KA4" i="6"/>
  <c r="KB4" i="6"/>
  <c r="KC4" i="6"/>
  <c r="KD4" i="6"/>
  <c r="KE4" i="6"/>
  <c r="KF4" i="6"/>
  <c r="KG4" i="6"/>
  <c r="KH4" i="6"/>
  <c r="KI4" i="6"/>
  <c r="KJ4" i="6"/>
  <c r="KK4" i="6"/>
  <c r="KL4" i="6"/>
  <c r="KM4" i="6"/>
  <c r="KN4" i="6"/>
  <c r="KO4" i="6"/>
  <c r="KP4" i="6"/>
  <c r="KQ4" i="6"/>
  <c r="KR4" i="6"/>
  <c r="KS4" i="6"/>
  <c r="KT4" i="6"/>
  <c r="KU4" i="6"/>
  <c r="KV4" i="6"/>
  <c r="KW4" i="6"/>
  <c r="KX4" i="6"/>
  <c r="KY4" i="6"/>
  <c r="KZ4" i="6"/>
  <c r="LA4" i="6"/>
  <c r="LB4" i="6"/>
  <c r="LC4" i="6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S4" i="6"/>
  <c r="LT4" i="6"/>
  <c r="LU4" i="6"/>
  <c r="LV4" i="6"/>
  <c r="LW4" i="6"/>
  <c r="LX4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MO4" i="6"/>
  <c r="MP4" i="6"/>
  <c r="MQ4" i="6"/>
  <c r="MR4" i="6"/>
  <c r="MS4" i="6"/>
  <c r="MT4" i="6"/>
  <c r="MU4" i="6"/>
  <c r="MV4" i="6"/>
  <c r="MW4" i="6"/>
  <c r="MX4" i="6"/>
  <c r="MY4" i="6"/>
  <c r="MZ4" i="6"/>
  <c r="NA4" i="6"/>
  <c r="NB4" i="6"/>
  <c r="IK5" i="6"/>
  <c r="IL5" i="6"/>
  <c r="IM5" i="6"/>
  <c r="IN5" i="6"/>
  <c r="IO5" i="6"/>
  <c r="IP5" i="6"/>
  <c r="IQ5" i="6"/>
  <c r="IR5" i="6"/>
  <c r="IS5" i="6"/>
  <c r="IT5" i="6"/>
  <c r="IU5" i="6"/>
  <c r="IV5" i="6"/>
  <c r="IW5" i="6"/>
  <c r="IX5" i="6"/>
  <c r="IY5" i="6"/>
  <c r="IZ5" i="6"/>
  <c r="JA5" i="6"/>
  <c r="JB5" i="6"/>
  <c r="JC5" i="6"/>
  <c r="JD5" i="6"/>
  <c r="JE5" i="6"/>
  <c r="JF5" i="6"/>
  <c r="JG5" i="6"/>
  <c r="JH5" i="6"/>
  <c r="JI5" i="6"/>
  <c r="JJ5" i="6"/>
  <c r="JK5" i="6"/>
  <c r="JL5" i="6"/>
  <c r="JM5" i="6"/>
  <c r="JN5" i="6"/>
  <c r="JO5" i="6"/>
  <c r="JP5" i="6"/>
  <c r="JQ5" i="6"/>
  <c r="JR5" i="6"/>
  <c r="JS5" i="6"/>
  <c r="JT5" i="6"/>
  <c r="JU5" i="6"/>
  <c r="JV5" i="6"/>
  <c r="JW5" i="6"/>
  <c r="JX5" i="6"/>
  <c r="JY5" i="6"/>
  <c r="JZ5" i="6"/>
  <c r="KA5" i="6"/>
  <c r="KB5" i="6"/>
  <c r="KC5" i="6"/>
  <c r="KD5" i="6"/>
  <c r="KE5" i="6"/>
  <c r="KF5" i="6"/>
  <c r="KG5" i="6"/>
  <c r="KH5" i="6"/>
  <c r="KI5" i="6"/>
  <c r="KJ5" i="6"/>
  <c r="KK5" i="6"/>
  <c r="KL5" i="6"/>
  <c r="KM5" i="6"/>
  <c r="KN5" i="6"/>
  <c r="KO5" i="6"/>
  <c r="KP5" i="6"/>
  <c r="KQ5" i="6"/>
  <c r="KR5" i="6"/>
  <c r="KS5" i="6"/>
  <c r="KT5" i="6"/>
  <c r="KU5" i="6"/>
  <c r="KV5" i="6"/>
  <c r="KW5" i="6"/>
  <c r="KX5" i="6"/>
  <c r="KY5" i="6"/>
  <c r="KZ5" i="6"/>
  <c r="LA5" i="6"/>
  <c r="LB5" i="6"/>
  <c r="LC5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S5" i="6"/>
  <c r="LT5" i="6"/>
  <c r="LU5" i="6"/>
  <c r="LV5" i="6"/>
  <c r="LW5" i="6"/>
  <c r="LX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MO5" i="6"/>
  <c r="MP5" i="6"/>
  <c r="MQ5" i="6"/>
  <c r="MR5" i="6"/>
  <c r="MS5" i="6"/>
  <c r="MT5" i="6"/>
  <c r="MU5" i="6"/>
  <c r="MV5" i="6"/>
  <c r="MW5" i="6"/>
  <c r="MX5" i="6"/>
  <c r="MY5" i="6"/>
  <c r="MZ5" i="6"/>
  <c r="NA5" i="6"/>
  <c r="NB5" i="6"/>
  <c r="IK6" i="6"/>
  <c r="IL6" i="6"/>
  <c r="IM6" i="6"/>
  <c r="IN6" i="6"/>
  <c r="IO6" i="6"/>
  <c r="IP6" i="6"/>
  <c r="IQ6" i="6"/>
  <c r="IR6" i="6"/>
  <c r="IS6" i="6"/>
  <c r="IT6" i="6"/>
  <c r="IU6" i="6"/>
  <c r="IV6" i="6"/>
  <c r="IW6" i="6"/>
  <c r="IX6" i="6"/>
  <c r="IY6" i="6"/>
  <c r="IZ6" i="6"/>
  <c r="JA6" i="6"/>
  <c r="JB6" i="6"/>
  <c r="JC6" i="6"/>
  <c r="JD6" i="6"/>
  <c r="JE6" i="6"/>
  <c r="JF6" i="6"/>
  <c r="JG6" i="6"/>
  <c r="JH6" i="6"/>
  <c r="JI6" i="6"/>
  <c r="JJ6" i="6"/>
  <c r="JK6" i="6"/>
  <c r="JL6" i="6"/>
  <c r="JM6" i="6"/>
  <c r="JN6" i="6"/>
  <c r="JO6" i="6"/>
  <c r="JP6" i="6"/>
  <c r="JQ6" i="6"/>
  <c r="JR6" i="6"/>
  <c r="JS6" i="6"/>
  <c r="JT6" i="6"/>
  <c r="JU6" i="6"/>
  <c r="JV6" i="6"/>
  <c r="JW6" i="6"/>
  <c r="JX6" i="6"/>
  <c r="JY6" i="6"/>
  <c r="JZ6" i="6"/>
  <c r="KA6" i="6"/>
  <c r="KB6" i="6"/>
  <c r="KC6" i="6"/>
  <c r="KD6" i="6"/>
  <c r="KE6" i="6"/>
  <c r="KF6" i="6"/>
  <c r="KG6" i="6"/>
  <c r="KH6" i="6"/>
  <c r="KI6" i="6"/>
  <c r="KJ6" i="6"/>
  <c r="KK6" i="6"/>
  <c r="KL6" i="6"/>
  <c r="KM6" i="6"/>
  <c r="KN6" i="6"/>
  <c r="KO6" i="6"/>
  <c r="KP6" i="6"/>
  <c r="KQ6" i="6"/>
  <c r="KR6" i="6"/>
  <c r="KS6" i="6"/>
  <c r="KT6" i="6"/>
  <c r="KU6" i="6"/>
  <c r="KV6" i="6"/>
  <c r="KW6" i="6"/>
  <c r="KX6" i="6"/>
  <c r="KY6" i="6"/>
  <c r="KZ6" i="6"/>
  <c r="LA6" i="6"/>
  <c r="LB6" i="6"/>
  <c r="LC6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S6" i="6"/>
  <c r="LT6" i="6"/>
  <c r="LU6" i="6"/>
  <c r="LV6" i="6"/>
  <c r="LW6" i="6"/>
  <c r="LX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MO6" i="6"/>
  <c r="MP6" i="6"/>
  <c r="MQ6" i="6"/>
  <c r="MR6" i="6"/>
  <c r="MS6" i="6"/>
  <c r="MT6" i="6"/>
  <c r="MU6" i="6"/>
  <c r="MV6" i="6"/>
  <c r="MW6" i="6"/>
  <c r="MX6" i="6"/>
  <c r="MY6" i="6"/>
  <c r="MZ6" i="6"/>
  <c r="NA6" i="6"/>
  <c r="NB6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EA8" i="6"/>
  <c r="EB8" i="6"/>
  <c r="EC8" i="6"/>
  <c r="ED8" i="6"/>
  <c r="EE8" i="6"/>
  <c r="EF8" i="6"/>
  <c r="EG8" i="6"/>
  <c r="EH8" i="6"/>
  <c r="EI8" i="6"/>
  <c r="EJ8" i="6"/>
  <c r="EK8" i="6"/>
  <c r="EL8" i="6"/>
  <c r="EM8" i="6"/>
  <c r="EN8" i="6"/>
  <c r="EO8" i="6"/>
  <c r="EP8" i="6"/>
  <c r="EQ8" i="6"/>
  <c r="ER8" i="6"/>
  <c r="ES8" i="6"/>
  <c r="ET8" i="6"/>
  <c r="EU8" i="6"/>
  <c r="EV8" i="6"/>
  <c r="EW8" i="6"/>
  <c r="EX8" i="6"/>
  <c r="EY8" i="6"/>
  <c r="EZ8" i="6"/>
  <c r="FA8" i="6"/>
  <c r="FB8" i="6"/>
  <c r="FC8" i="6"/>
  <c r="FD8" i="6"/>
  <c r="FE8" i="6"/>
  <c r="FF8" i="6"/>
  <c r="FG8" i="6"/>
  <c r="FH8" i="6"/>
  <c r="FI8" i="6"/>
  <c r="FJ8" i="6"/>
  <c r="FK8" i="6"/>
  <c r="FL8" i="6"/>
  <c r="FM8" i="6"/>
  <c r="FN8" i="6"/>
  <c r="FO8" i="6"/>
  <c r="FP8" i="6"/>
  <c r="FQ8" i="6"/>
  <c r="FR8" i="6"/>
  <c r="FS8" i="6"/>
  <c r="FT8" i="6"/>
  <c r="FU8" i="6"/>
  <c r="FV8" i="6"/>
  <c r="FW8" i="6"/>
  <c r="FX8" i="6"/>
  <c r="FY8" i="6"/>
  <c r="FZ8" i="6"/>
  <c r="GA8" i="6"/>
  <c r="GB8" i="6"/>
  <c r="GC8" i="6"/>
  <c r="GD8" i="6"/>
  <c r="GE8" i="6"/>
  <c r="GF8" i="6"/>
  <c r="GG8" i="6"/>
  <c r="GH8" i="6"/>
  <c r="GI8" i="6"/>
  <c r="GJ8" i="6"/>
  <c r="GK8" i="6"/>
  <c r="GL8" i="6"/>
  <c r="GM8" i="6"/>
  <c r="GN8" i="6"/>
  <c r="GO8" i="6"/>
  <c r="GP8" i="6"/>
  <c r="GQ8" i="6"/>
  <c r="GR8" i="6"/>
  <c r="GS8" i="6"/>
  <c r="GT8" i="6"/>
  <c r="GU8" i="6"/>
  <c r="GV8" i="6"/>
  <c r="GW8" i="6"/>
  <c r="GX8" i="6"/>
  <c r="GY8" i="6"/>
  <c r="GZ8" i="6"/>
  <c r="HA8" i="6"/>
  <c r="HB8" i="6"/>
  <c r="HC8" i="6"/>
  <c r="HD8" i="6"/>
  <c r="HE8" i="6"/>
  <c r="HF8" i="6"/>
  <c r="HG8" i="6"/>
  <c r="HH8" i="6"/>
  <c r="HI8" i="6"/>
  <c r="HJ8" i="6"/>
  <c r="HK8" i="6"/>
  <c r="HL8" i="6"/>
  <c r="HM8" i="6"/>
  <c r="HN8" i="6"/>
  <c r="HO8" i="6"/>
  <c r="HP8" i="6"/>
  <c r="HQ8" i="6"/>
  <c r="HR8" i="6"/>
  <c r="HS8" i="6"/>
  <c r="HT8" i="6"/>
  <c r="HU8" i="6"/>
  <c r="HV8" i="6"/>
  <c r="HW8" i="6"/>
  <c r="HX8" i="6"/>
  <c r="HY8" i="6"/>
  <c r="HZ8" i="6"/>
  <c r="IA8" i="6"/>
  <c r="IB8" i="6"/>
  <c r="IC8" i="6"/>
  <c r="ID8" i="6"/>
  <c r="IE8" i="6"/>
  <c r="IF8" i="6"/>
  <c r="IG8" i="6"/>
  <c r="IH8" i="6"/>
  <c r="II8" i="6"/>
  <c r="IJ8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DX9" i="6"/>
  <c r="DY9" i="6"/>
  <c r="DZ9" i="6"/>
  <c r="EA9" i="6"/>
  <c r="EB9" i="6"/>
  <c r="EC9" i="6"/>
  <c r="ED9" i="6"/>
  <c r="EE9" i="6"/>
  <c r="EF9" i="6"/>
  <c r="EG9" i="6"/>
  <c r="EH9" i="6"/>
  <c r="EI9" i="6"/>
  <c r="EJ9" i="6"/>
  <c r="EK9" i="6"/>
  <c r="EL9" i="6"/>
  <c r="EM9" i="6"/>
  <c r="EN9" i="6"/>
  <c r="EO9" i="6"/>
  <c r="EP9" i="6"/>
  <c r="EQ9" i="6"/>
  <c r="ER9" i="6"/>
  <c r="ES9" i="6"/>
  <c r="ET9" i="6"/>
  <c r="EU9" i="6"/>
  <c r="EV9" i="6"/>
  <c r="EW9" i="6"/>
  <c r="EX9" i="6"/>
  <c r="EY9" i="6"/>
  <c r="EZ9" i="6"/>
  <c r="FA9" i="6"/>
  <c r="FB9" i="6"/>
  <c r="FC9" i="6"/>
  <c r="FD9" i="6"/>
  <c r="FE9" i="6"/>
  <c r="FF9" i="6"/>
  <c r="FG9" i="6"/>
  <c r="FH9" i="6"/>
  <c r="FI9" i="6"/>
  <c r="FJ9" i="6"/>
  <c r="FK9" i="6"/>
  <c r="FL9" i="6"/>
  <c r="FM9" i="6"/>
  <c r="FN9" i="6"/>
  <c r="FO9" i="6"/>
  <c r="FP9" i="6"/>
  <c r="FQ9" i="6"/>
  <c r="FR9" i="6"/>
  <c r="FS9" i="6"/>
  <c r="FT9" i="6"/>
  <c r="FU9" i="6"/>
  <c r="FV9" i="6"/>
  <c r="FW9" i="6"/>
  <c r="FX9" i="6"/>
  <c r="FY9" i="6"/>
  <c r="FZ9" i="6"/>
  <c r="GA9" i="6"/>
  <c r="GB9" i="6"/>
  <c r="GC9" i="6"/>
  <c r="GD9" i="6"/>
  <c r="GE9" i="6"/>
  <c r="GF9" i="6"/>
  <c r="GG9" i="6"/>
  <c r="GH9" i="6"/>
  <c r="GI9" i="6"/>
  <c r="GJ9" i="6"/>
  <c r="GK9" i="6"/>
  <c r="GL9" i="6"/>
  <c r="GM9" i="6"/>
  <c r="GN9" i="6"/>
  <c r="GO9" i="6"/>
  <c r="GP9" i="6"/>
  <c r="GQ9" i="6"/>
  <c r="GR9" i="6"/>
  <c r="GS9" i="6"/>
  <c r="GT9" i="6"/>
  <c r="GU9" i="6"/>
  <c r="GV9" i="6"/>
  <c r="GW9" i="6"/>
  <c r="GX9" i="6"/>
  <c r="GY9" i="6"/>
  <c r="GZ9" i="6"/>
  <c r="HA9" i="6"/>
  <c r="HB9" i="6"/>
  <c r="HC9" i="6"/>
  <c r="HD9" i="6"/>
  <c r="HE9" i="6"/>
  <c r="HF9" i="6"/>
  <c r="HG9" i="6"/>
  <c r="HH9" i="6"/>
  <c r="HI9" i="6"/>
  <c r="HJ9" i="6"/>
  <c r="HK9" i="6"/>
  <c r="HL9" i="6"/>
  <c r="HM9" i="6"/>
  <c r="HN9" i="6"/>
  <c r="HO9" i="6"/>
  <c r="HP9" i="6"/>
  <c r="HQ9" i="6"/>
  <c r="HR9" i="6"/>
  <c r="HS9" i="6"/>
  <c r="HT9" i="6"/>
  <c r="HU9" i="6"/>
  <c r="HV9" i="6"/>
  <c r="HW9" i="6"/>
  <c r="HX9" i="6"/>
  <c r="HY9" i="6"/>
  <c r="HZ9" i="6"/>
  <c r="IA9" i="6"/>
  <c r="IB9" i="6"/>
  <c r="IC9" i="6"/>
  <c r="ID9" i="6"/>
  <c r="IE9" i="6"/>
  <c r="IF9" i="6"/>
  <c r="IG9" i="6"/>
  <c r="IH9" i="6"/>
  <c r="II9" i="6"/>
  <c r="IJ9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DX10" i="6"/>
  <c r="DY10" i="6"/>
  <c r="DZ10" i="6"/>
  <c r="EA10" i="6"/>
  <c r="EB10" i="6"/>
  <c r="EC10" i="6"/>
  <c r="ED10" i="6"/>
  <c r="EE10" i="6"/>
  <c r="EF10" i="6"/>
  <c r="EG10" i="6"/>
  <c r="EH10" i="6"/>
  <c r="EI10" i="6"/>
  <c r="EJ10" i="6"/>
  <c r="EK10" i="6"/>
  <c r="EL10" i="6"/>
  <c r="EM10" i="6"/>
  <c r="EN10" i="6"/>
  <c r="EO10" i="6"/>
  <c r="EP10" i="6"/>
  <c r="EQ10" i="6"/>
  <c r="ER10" i="6"/>
  <c r="ES10" i="6"/>
  <c r="ET10" i="6"/>
  <c r="EU10" i="6"/>
  <c r="EV10" i="6"/>
  <c r="EW10" i="6"/>
  <c r="EX10" i="6"/>
  <c r="EY10" i="6"/>
  <c r="EZ10" i="6"/>
  <c r="FA10" i="6"/>
  <c r="FB10" i="6"/>
  <c r="FC10" i="6"/>
  <c r="FD10" i="6"/>
  <c r="FE10" i="6"/>
  <c r="FF10" i="6"/>
  <c r="FG10" i="6"/>
  <c r="FH10" i="6"/>
  <c r="FI10" i="6"/>
  <c r="FJ10" i="6"/>
  <c r="FK10" i="6"/>
  <c r="FL10" i="6"/>
  <c r="FM10" i="6"/>
  <c r="FN10" i="6"/>
  <c r="FO10" i="6"/>
  <c r="FP10" i="6"/>
  <c r="FQ10" i="6"/>
  <c r="FR10" i="6"/>
  <c r="FS10" i="6"/>
  <c r="FT10" i="6"/>
  <c r="FU10" i="6"/>
  <c r="FV10" i="6"/>
  <c r="FW10" i="6"/>
  <c r="FX10" i="6"/>
  <c r="FY10" i="6"/>
  <c r="FZ10" i="6"/>
  <c r="GA10" i="6"/>
  <c r="GB10" i="6"/>
  <c r="GC10" i="6"/>
  <c r="GD10" i="6"/>
  <c r="GE10" i="6"/>
  <c r="GF10" i="6"/>
  <c r="GG10" i="6"/>
  <c r="GH10" i="6"/>
  <c r="GI10" i="6"/>
  <c r="GJ10" i="6"/>
  <c r="GK10" i="6"/>
  <c r="GL10" i="6"/>
  <c r="GM10" i="6"/>
  <c r="GN10" i="6"/>
  <c r="GO10" i="6"/>
  <c r="GP10" i="6"/>
  <c r="GQ10" i="6"/>
  <c r="GR10" i="6"/>
  <c r="GS10" i="6"/>
  <c r="GT10" i="6"/>
  <c r="GU10" i="6"/>
  <c r="GV10" i="6"/>
  <c r="GW10" i="6"/>
  <c r="GX10" i="6"/>
  <c r="GY10" i="6"/>
  <c r="GZ10" i="6"/>
  <c r="HA10" i="6"/>
  <c r="HB10" i="6"/>
  <c r="HC10" i="6"/>
  <c r="HD10" i="6"/>
  <c r="HE10" i="6"/>
  <c r="HF10" i="6"/>
  <c r="HG10" i="6"/>
  <c r="HH10" i="6"/>
  <c r="HI10" i="6"/>
  <c r="HJ10" i="6"/>
  <c r="HK10" i="6"/>
  <c r="HL10" i="6"/>
  <c r="HM10" i="6"/>
  <c r="HN10" i="6"/>
  <c r="HO10" i="6"/>
  <c r="HP10" i="6"/>
  <c r="HQ10" i="6"/>
  <c r="HR10" i="6"/>
  <c r="HS10" i="6"/>
  <c r="HT10" i="6"/>
  <c r="HU10" i="6"/>
  <c r="HV10" i="6"/>
  <c r="HW10" i="6"/>
  <c r="HX10" i="6"/>
  <c r="HY10" i="6"/>
  <c r="HZ10" i="6"/>
  <c r="IA10" i="6"/>
  <c r="IB10" i="6"/>
  <c r="IC10" i="6"/>
  <c r="ID10" i="6"/>
  <c r="IE10" i="6"/>
  <c r="IF10" i="6"/>
  <c r="IG10" i="6"/>
  <c r="IH10" i="6"/>
  <c r="II10" i="6"/>
  <c r="IJ10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DX11" i="6"/>
  <c r="DY11" i="6"/>
  <c r="DZ11" i="6"/>
  <c r="EA11" i="6"/>
  <c r="EB11" i="6"/>
  <c r="EC11" i="6"/>
  <c r="ED11" i="6"/>
  <c r="EE11" i="6"/>
  <c r="EF11" i="6"/>
  <c r="EG11" i="6"/>
  <c r="EH11" i="6"/>
  <c r="EI11" i="6"/>
  <c r="EJ11" i="6"/>
  <c r="EK11" i="6"/>
  <c r="EL11" i="6"/>
  <c r="EM11" i="6"/>
  <c r="EN11" i="6"/>
  <c r="EO11" i="6"/>
  <c r="EP11" i="6"/>
  <c r="EQ11" i="6"/>
  <c r="ER11" i="6"/>
  <c r="ES11" i="6"/>
  <c r="ET11" i="6"/>
  <c r="EU11" i="6"/>
  <c r="EV11" i="6"/>
  <c r="EW11" i="6"/>
  <c r="EX11" i="6"/>
  <c r="EY11" i="6"/>
  <c r="EZ11" i="6"/>
  <c r="FA11" i="6"/>
  <c r="FB11" i="6"/>
  <c r="FC11" i="6"/>
  <c r="FD11" i="6"/>
  <c r="FE11" i="6"/>
  <c r="FF11" i="6"/>
  <c r="FG11" i="6"/>
  <c r="FH11" i="6"/>
  <c r="FI11" i="6"/>
  <c r="FJ11" i="6"/>
  <c r="FK11" i="6"/>
  <c r="FL11" i="6"/>
  <c r="FM11" i="6"/>
  <c r="FN11" i="6"/>
  <c r="FO11" i="6"/>
  <c r="FP11" i="6"/>
  <c r="FQ11" i="6"/>
  <c r="FR11" i="6"/>
  <c r="FS11" i="6"/>
  <c r="FT11" i="6"/>
  <c r="FU11" i="6"/>
  <c r="FV11" i="6"/>
  <c r="FW11" i="6"/>
  <c r="FX11" i="6"/>
  <c r="FY11" i="6"/>
  <c r="FZ11" i="6"/>
  <c r="GA11" i="6"/>
  <c r="GB11" i="6"/>
  <c r="GC11" i="6"/>
  <c r="GD11" i="6"/>
  <c r="GE11" i="6"/>
  <c r="GF11" i="6"/>
  <c r="GG11" i="6"/>
  <c r="GH11" i="6"/>
  <c r="GI11" i="6"/>
  <c r="GJ11" i="6"/>
  <c r="GK11" i="6"/>
  <c r="GL11" i="6"/>
  <c r="GM11" i="6"/>
  <c r="GN11" i="6"/>
  <c r="GO11" i="6"/>
  <c r="GP11" i="6"/>
  <c r="GQ11" i="6"/>
  <c r="GR11" i="6"/>
  <c r="GS11" i="6"/>
  <c r="GT11" i="6"/>
  <c r="GU11" i="6"/>
  <c r="GV11" i="6"/>
  <c r="GW11" i="6"/>
  <c r="GX11" i="6"/>
  <c r="GY11" i="6"/>
  <c r="GZ11" i="6"/>
  <c r="HA11" i="6"/>
  <c r="HB11" i="6"/>
  <c r="HC11" i="6"/>
  <c r="HD11" i="6"/>
  <c r="HE11" i="6"/>
  <c r="HF11" i="6"/>
  <c r="HG11" i="6"/>
  <c r="HH11" i="6"/>
  <c r="HI11" i="6"/>
  <c r="HJ11" i="6"/>
  <c r="HK11" i="6"/>
  <c r="HL11" i="6"/>
  <c r="HM11" i="6"/>
  <c r="HN11" i="6"/>
  <c r="HO11" i="6"/>
  <c r="HP11" i="6"/>
  <c r="HQ11" i="6"/>
  <c r="HR11" i="6"/>
  <c r="HS11" i="6"/>
  <c r="HT11" i="6"/>
  <c r="HU11" i="6"/>
  <c r="HV11" i="6"/>
  <c r="HW11" i="6"/>
  <c r="HX11" i="6"/>
  <c r="HY11" i="6"/>
  <c r="HZ11" i="6"/>
  <c r="IA11" i="6"/>
  <c r="IB11" i="6"/>
  <c r="IC11" i="6"/>
  <c r="ID11" i="6"/>
  <c r="IE11" i="6"/>
  <c r="IF11" i="6"/>
  <c r="IG11" i="6"/>
  <c r="IH11" i="6"/>
  <c r="II11" i="6"/>
  <c r="IJ11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DX12" i="6"/>
  <c r="DY12" i="6"/>
  <c r="DZ12" i="6"/>
  <c r="EA12" i="6"/>
  <c r="EB12" i="6"/>
  <c r="EC12" i="6"/>
  <c r="ED12" i="6"/>
  <c r="EE12" i="6"/>
  <c r="EF12" i="6"/>
  <c r="EG12" i="6"/>
  <c r="EH12" i="6"/>
  <c r="EI12" i="6"/>
  <c r="EJ12" i="6"/>
  <c r="EK12" i="6"/>
  <c r="EL12" i="6"/>
  <c r="EM12" i="6"/>
  <c r="EN12" i="6"/>
  <c r="EO12" i="6"/>
  <c r="EP12" i="6"/>
  <c r="EQ12" i="6"/>
  <c r="ER12" i="6"/>
  <c r="ES12" i="6"/>
  <c r="ET12" i="6"/>
  <c r="EU12" i="6"/>
  <c r="EV12" i="6"/>
  <c r="EW12" i="6"/>
  <c r="EX12" i="6"/>
  <c r="EY12" i="6"/>
  <c r="EZ12" i="6"/>
  <c r="FA12" i="6"/>
  <c r="FB12" i="6"/>
  <c r="FC12" i="6"/>
  <c r="FD12" i="6"/>
  <c r="FE12" i="6"/>
  <c r="FF12" i="6"/>
  <c r="FG12" i="6"/>
  <c r="FH12" i="6"/>
  <c r="FI12" i="6"/>
  <c r="FJ12" i="6"/>
  <c r="FK12" i="6"/>
  <c r="FL12" i="6"/>
  <c r="FM12" i="6"/>
  <c r="FN12" i="6"/>
  <c r="FO12" i="6"/>
  <c r="FP12" i="6"/>
  <c r="FQ12" i="6"/>
  <c r="FR12" i="6"/>
  <c r="FS12" i="6"/>
  <c r="FT12" i="6"/>
  <c r="FU12" i="6"/>
  <c r="FV12" i="6"/>
  <c r="FW12" i="6"/>
  <c r="FX12" i="6"/>
  <c r="FY12" i="6"/>
  <c r="FZ12" i="6"/>
  <c r="GA12" i="6"/>
  <c r="GB12" i="6"/>
  <c r="GC12" i="6"/>
  <c r="GD12" i="6"/>
  <c r="GE12" i="6"/>
  <c r="GF12" i="6"/>
  <c r="GG12" i="6"/>
  <c r="GH12" i="6"/>
  <c r="GI12" i="6"/>
  <c r="GJ12" i="6"/>
  <c r="GK12" i="6"/>
  <c r="GL12" i="6"/>
  <c r="GM12" i="6"/>
  <c r="GN12" i="6"/>
  <c r="GO12" i="6"/>
  <c r="GP12" i="6"/>
  <c r="GQ12" i="6"/>
  <c r="GR12" i="6"/>
  <c r="GS12" i="6"/>
  <c r="GT12" i="6"/>
  <c r="GU12" i="6"/>
  <c r="GV12" i="6"/>
  <c r="GW12" i="6"/>
  <c r="GX12" i="6"/>
  <c r="GY12" i="6"/>
  <c r="GZ12" i="6"/>
  <c r="HA12" i="6"/>
  <c r="HB12" i="6"/>
  <c r="HC12" i="6"/>
  <c r="HD12" i="6"/>
  <c r="HE12" i="6"/>
  <c r="HF12" i="6"/>
  <c r="HG12" i="6"/>
  <c r="HH12" i="6"/>
  <c r="HI12" i="6"/>
  <c r="HJ12" i="6"/>
  <c r="HK12" i="6"/>
  <c r="HL12" i="6"/>
  <c r="HM12" i="6"/>
  <c r="HN12" i="6"/>
  <c r="HO12" i="6"/>
  <c r="HP12" i="6"/>
  <c r="HQ12" i="6"/>
  <c r="HR12" i="6"/>
  <c r="HS12" i="6"/>
  <c r="HT12" i="6"/>
  <c r="HU12" i="6"/>
  <c r="HV12" i="6"/>
  <c r="HW12" i="6"/>
  <c r="HX12" i="6"/>
  <c r="HY12" i="6"/>
  <c r="HZ12" i="6"/>
  <c r="IA12" i="6"/>
  <c r="IB12" i="6"/>
  <c r="IC12" i="6"/>
  <c r="ID12" i="6"/>
  <c r="IE12" i="6"/>
  <c r="IF12" i="6"/>
  <c r="IG12" i="6"/>
  <c r="IH12" i="6"/>
  <c r="II12" i="6"/>
  <c r="IJ12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DX13" i="6"/>
  <c r="DY13" i="6"/>
  <c r="DZ13" i="6"/>
  <c r="EA13" i="6"/>
  <c r="EB13" i="6"/>
  <c r="EC13" i="6"/>
  <c r="ED13" i="6"/>
  <c r="EE13" i="6"/>
  <c r="EF13" i="6"/>
  <c r="EG13" i="6"/>
  <c r="EH13" i="6"/>
  <c r="EI13" i="6"/>
  <c r="EJ13" i="6"/>
  <c r="EK13" i="6"/>
  <c r="EL13" i="6"/>
  <c r="EM13" i="6"/>
  <c r="EN13" i="6"/>
  <c r="EO13" i="6"/>
  <c r="EP13" i="6"/>
  <c r="EQ13" i="6"/>
  <c r="ER13" i="6"/>
  <c r="ES13" i="6"/>
  <c r="ET13" i="6"/>
  <c r="EU13" i="6"/>
  <c r="EV13" i="6"/>
  <c r="EW13" i="6"/>
  <c r="EX13" i="6"/>
  <c r="EY13" i="6"/>
  <c r="EZ13" i="6"/>
  <c r="FA13" i="6"/>
  <c r="FB13" i="6"/>
  <c r="FC13" i="6"/>
  <c r="FD13" i="6"/>
  <c r="FE13" i="6"/>
  <c r="FF13" i="6"/>
  <c r="FG13" i="6"/>
  <c r="FH13" i="6"/>
  <c r="FI13" i="6"/>
  <c r="FJ13" i="6"/>
  <c r="FK13" i="6"/>
  <c r="FL13" i="6"/>
  <c r="FM13" i="6"/>
  <c r="FN13" i="6"/>
  <c r="FO13" i="6"/>
  <c r="FP13" i="6"/>
  <c r="FQ13" i="6"/>
  <c r="FR13" i="6"/>
  <c r="FS13" i="6"/>
  <c r="FT13" i="6"/>
  <c r="FU13" i="6"/>
  <c r="FV13" i="6"/>
  <c r="FW13" i="6"/>
  <c r="FX13" i="6"/>
  <c r="FY13" i="6"/>
  <c r="FZ13" i="6"/>
  <c r="GA13" i="6"/>
  <c r="GB13" i="6"/>
  <c r="GC13" i="6"/>
  <c r="GD13" i="6"/>
  <c r="GE13" i="6"/>
  <c r="GF13" i="6"/>
  <c r="GG13" i="6"/>
  <c r="GH13" i="6"/>
  <c r="GI13" i="6"/>
  <c r="GJ13" i="6"/>
  <c r="GK13" i="6"/>
  <c r="GL13" i="6"/>
  <c r="GM13" i="6"/>
  <c r="GN13" i="6"/>
  <c r="GO13" i="6"/>
  <c r="GP13" i="6"/>
  <c r="GQ13" i="6"/>
  <c r="GR13" i="6"/>
  <c r="GS13" i="6"/>
  <c r="GT13" i="6"/>
  <c r="GU13" i="6"/>
  <c r="GV13" i="6"/>
  <c r="GW13" i="6"/>
  <c r="GX13" i="6"/>
  <c r="GY13" i="6"/>
  <c r="GZ13" i="6"/>
  <c r="HA13" i="6"/>
  <c r="HB13" i="6"/>
  <c r="HC13" i="6"/>
  <c r="HD13" i="6"/>
  <c r="HE13" i="6"/>
  <c r="HF13" i="6"/>
  <c r="HG13" i="6"/>
  <c r="HH13" i="6"/>
  <c r="HI13" i="6"/>
  <c r="HJ13" i="6"/>
  <c r="HK13" i="6"/>
  <c r="HL13" i="6"/>
  <c r="HM13" i="6"/>
  <c r="HN13" i="6"/>
  <c r="HO13" i="6"/>
  <c r="HP13" i="6"/>
  <c r="HQ13" i="6"/>
  <c r="HR13" i="6"/>
  <c r="HS13" i="6"/>
  <c r="HT13" i="6"/>
  <c r="HU13" i="6"/>
  <c r="HV13" i="6"/>
  <c r="HW13" i="6"/>
  <c r="HX13" i="6"/>
  <c r="HY13" i="6"/>
  <c r="HZ13" i="6"/>
  <c r="IA13" i="6"/>
  <c r="IB13" i="6"/>
  <c r="IC13" i="6"/>
  <c r="ID13" i="6"/>
  <c r="IE13" i="6"/>
  <c r="IF13" i="6"/>
  <c r="IG13" i="6"/>
  <c r="IH13" i="6"/>
  <c r="II13" i="6"/>
  <c r="IJ13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DX14" i="6"/>
  <c r="DY14" i="6"/>
  <c r="DZ14" i="6"/>
  <c r="EA14" i="6"/>
  <c r="EB14" i="6"/>
  <c r="EC14" i="6"/>
  <c r="ED14" i="6"/>
  <c r="EE14" i="6"/>
  <c r="EF14" i="6"/>
  <c r="EG14" i="6"/>
  <c r="EH14" i="6"/>
  <c r="EI14" i="6"/>
  <c r="EJ14" i="6"/>
  <c r="EK14" i="6"/>
  <c r="EL14" i="6"/>
  <c r="EM14" i="6"/>
  <c r="EN14" i="6"/>
  <c r="EO14" i="6"/>
  <c r="EP14" i="6"/>
  <c r="EQ14" i="6"/>
  <c r="ER14" i="6"/>
  <c r="ES14" i="6"/>
  <c r="ET14" i="6"/>
  <c r="EU14" i="6"/>
  <c r="EV14" i="6"/>
  <c r="EW14" i="6"/>
  <c r="EX14" i="6"/>
  <c r="EY14" i="6"/>
  <c r="EZ14" i="6"/>
  <c r="FA14" i="6"/>
  <c r="FB14" i="6"/>
  <c r="FC14" i="6"/>
  <c r="FD14" i="6"/>
  <c r="FE14" i="6"/>
  <c r="FF14" i="6"/>
  <c r="FG14" i="6"/>
  <c r="FH14" i="6"/>
  <c r="FI14" i="6"/>
  <c r="FJ14" i="6"/>
  <c r="FK14" i="6"/>
  <c r="FL14" i="6"/>
  <c r="FM14" i="6"/>
  <c r="FN14" i="6"/>
  <c r="FO14" i="6"/>
  <c r="FP14" i="6"/>
  <c r="FQ14" i="6"/>
  <c r="FR14" i="6"/>
  <c r="FS14" i="6"/>
  <c r="FT14" i="6"/>
  <c r="FU14" i="6"/>
  <c r="FV14" i="6"/>
  <c r="FW14" i="6"/>
  <c r="FX14" i="6"/>
  <c r="FY14" i="6"/>
  <c r="FZ14" i="6"/>
  <c r="GA14" i="6"/>
  <c r="GB14" i="6"/>
  <c r="GC14" i="6"/>
  <c r="GD14" i="6"/>
  <c r="GE14" i="6"/>
  <c r="GF14" i="6"/>
  <c r="GG14" i="6"/>
  <c r="GH14" i="6"/>
  <c r="GI14" i="6"/>
  <c r="GJ14" i="6"/>
  <c r="GK14" i="6"/>
  <c r="GL14" i="6"/>
  <c r="GM14" i="6"/>
  <c r="GN14" i="6"/>
  <c r="GO14" i="6"/>
  <c r="GP14" i="6"/>
  <c r="GQ14" i="6"/>
  <c r="GR14" i="6"/>
  <c r="GS14" i="6"/>
  <c r="GT14" i="6"/>
  <c r="GU14" i="6"/>
  <c r="GV14" i="6"/>
  <c r="GW14" i="6"/>
  <c r="GX14" i="6"/>
  <c r="GY14" i="6"/>
  <c r="GZ14" i="6"/>
  <c r="HA14" i="6"/>
  <c r="HB14" i="6"/>
  <c r="HC14" i="6"/>
  <c r="HD14" i="6"/>
  <c r="HE14" i="6"/>
  <c r="HF14" i="6"/>
  <c r="HG14" i="6"/>
  <c r="HH14" i="6"/>
  <c r="HI14" i="6"/>
  <c r="HJ14" i="6"/>
  <c r="HK14" i="6"/>
  <c r="HL14" i="6"/>
  <c r="HM14" i="6"/>
  <c r="HN14" i="6"/>
  <c r="HO14" i="6"/>
  <c r="HP14" i="6"/>
  <c r="HQ14" i="6"/>
  <c r="HR14" i="6"/>
  <c r="HS14" i="6"/>
  <c r="HT14" i="6"/>
  <c r="HU14" i="6"/>
  <c r="HV14" i="6"/>
  <c r="HW14" i="6"/>
  <c r="HX14" i="6"/>
  <c r="HY14" i="6"/>
  <c r="HZ14" i="6"/>
  <c r="IA14" i="6"/>
  <c r="IB14" i="6"/>
  <c r="IC14" i="6"/>
  <c r="ID14" i="6"/>
  <c r="IE14" i="6"/>
  <c r="IF14" i="6"/>
  <c r="IG14" i="6"/>
  <c r="IH14" i="6"/>
  <c r="II14" i="6"/>
  <c r="IJ14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DX15" i="6"/>
  <c r="DY15" i="6"/>
  <c r="DZ15" i="6"/>
  <c r="EA15" i="6"/>
  <c r="EB15" i="6"/>
  <c r="EC15" i="6"/>
  <c r="ED15" i="6"/>
  <c r="EE15" i="6"/>
  <c r="EF15" i="6"/>
  <c r="EG15" i="6"/>
  <c r="EH15" i="6"/>
  <c r="EI15" i="6"/>
  <c r="EJ15" i="6"/>
  <c r="EK15" i="6"/>
  <c r="EL15" i="6"/>
  <c r="EM15" i="6"/>
  <c r="EN15" i="6"/>
  <c r="EO15" i="6"/>
  <c r="EP15" i="6"/>
  <c r="EQ15" i="6"/>
  <c r="ER15" i="6"/>
  <c r="ES15" i="6"/>
  <c r="ET15" i="6"/>
  <c r="EU15" i="6"/>
  <c r="EV15" i="6"/>
  <c r="EW15" i="6"/>
  <c r="EX15" i="6"/>
  <c r="EY15" i="6"/>
  <c r="EZ15" i="6"/>
  <c r="FA15" i="6"/>
  <c r="FB15" i="6"/>
  <c r="FC15" i="6"/>
  <c r="FD15" i="6"/>
  <c r="FE15" i="6"/>
  <c r="FF15" i="6"/>
  <c r="FG15" i="6"/>
  <c r="FH15" i="6"/>
  <c r="FI15" i="6"/>
  <c r="FJ15" i="6"/>
  <c r="FK15" i="6"/>
  <c r="FL15" i="6"/>
  <c r="FM15" i="6"/>
  <c r="FN15" i="6"/>
  <c r="FO15" i="6"/>
  <c r="FP15" i="6"/>
  <c r="FQ15" i="6"/>
  <c r="FR15" i="6"/>
  <c r="FS15" i="6"/>
  <c r="FT15" i="6"/>
  <c r="FU15" i="6"/>
  <c r="FV15" i="6"/>
  <c r="FW15" i="6"/>
  <c r="FX15" i="6"/>
  <c r="FY15" i="6"/>
  <c r="FZ15" i="6"/>
  <c r="GA15" i="6"/>
  <c r="GB15" i="6"/>
  <c r="GC15" i="6"/>
  <c r="GD15" i="6"/>
  <c r="GE15" i="6"/>
  <c r="GF15" i="6"/>
  <c r="GG15" i="6"/>
  <c r="GH15" i="6"/>
  <c r="GI15" i="6"/>
  <c r="GJ15" i="6"/>
  <c r="GK15" i="6"/>
  <c r="GL15" i="6"/>
  <c r="GM15" i="6"/>
  <c r="GN15" i="6"/>
  <c r="GO15" i="6"/>
  <c r="GP15" i="6"/>
  <c r="GQ15" i="6"/>
  <c r="GR15" i="6"/>
  <c r="GS15" i="6"/>
  <c r="GT15" i="6"/>
  <c r="GU15" i="6"/>
  <c r="GV15" i="6"/>
  <c r="GW15" i="6"/>
  <c r="GX15" i="6"/>
  <c r="GY15" i="6"/>
  <c r="GZ15" i="6"/>
  <c r="HA15" i="6"/>
  <c r="HB15" i="6"/>
  <c r="HC15" i="6"/>
  <c r="HD15" i="6"/>
  <c r="HE15" i="6"/>
  <c r="HF15" i="6"/>
  <c r="HG15" i="6"/>
  <c r="HH15" i="6"/>
  <c r="HI15" i="6"/>
  <c r="HJ15" i="6"/>
  <c r="HK15" i="6"/>
  <c r="HL15" i="6"/>
  <c r="HM15" i="6"/>
  <c r="HN15" i="6"/>
  <c r="HO15" i="6"/>
  <c r="HP15" i="6"/>
  <c r="HQ15" i="6"/>
  <c r="HR15" i="6"/>
  <c r="HS15" i="6"/>
  <c r="HT15" i="6"/>
  <c r="HU15" i="6"/>
  <c r="HV15" i="6"/>
  <c r="HW15" i="6"/>
  <c r="HX15" i="6"/>
  <c r="HY15" i="6"/>
  <c r="HZ15" i="6"/>
  <c r="IA15" i="6"/>
  <c r="IB15" i="6"/>
  <c r="IC15" i="6"/>
  <c r="ID15" i="6"/>
  <c r="IE15" i="6"/>
  <c r="IF15" i="6"/>
  <c r="IG15" i="6"/>
  <c r="IH15" i="6"/>
  <c r="II15" i="6"/>
  <c r="IJ15" i="6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S247" i="4"/>
  <c r="T247" i="4"/>
  <c r="S186" i="4"/>
  <c r="T186" i="4"/>
  <c r="S187" i="4"/>
  <c r="T187" i="4"/>
  <c r="S188" i="4"/>
  <c r="T188" i="4"/>
  <c r="S189" i="4"/>
  <c r="T189" i="4"/>
  <c r="S190" i="4"/>
  <c r="T190" i="4"/>
  <c r="S191" i="4"/>
  <c r="T191" i="4"/>
  <c r="S192" i="4"/>
  <c r="T192" i="4"/>
  <c r="S193" i="4"/>
  <c r="T193" i="4"/>
  <c r="S194" i="4"/>
  <c r="T194" i="4"/>
  <c r="S195" i="4"/>
  <c r="T195" i="4"/>
  <c r="S196" i="4"/>
  <c r="T196" i="4"/>
  <c r="S197" i="4"/>
  <c r="T197" i="4"/>
  <c r="S198" i="4"/>
  <c r="T198" i="4"/>
  <c r="S199" i="4"/>
  <c r="T199" i="4"/>
  <c r="S200" i="4"/>
  <c r="T200" i="4"/>
  <c r="S201" i="4"/>
  <c r="T201" i="4"/>
  <c r="S202" i="4"/>
  <c r="T202" i="4"/>
  <c r="S203" i="4"/>
  <c r="T203" i="4"/>
  <c r="S204" i="4"/>
  <c r="T204" i="4"/>
  <c r="S205" i="4"/>
  <c r="T205" i="4"/>
  <c r="S206" i="4"/>
  <c r="T206" i="4"/>
  <c r="S207" i="4"/>
  <c r="T207" i="4"/>
  <c r="S208" i="4"/>
  <c r="T208" i="4"/>
  <c r="S209" i="4"/>
  <c r="T209" i="4"/>
  <c r="S210" i="4"/>
  <c r="T210" i="4"/>
  <c r="S211" i="4"/>
  <c r="T211" i="4"/>
  <c r="S212" i="4"/>
  <c r="T212" i="4"/>
  <c r="S213" i="4"/>
  <c r="T213" i="4"/>
  <c r="S214" i="4"/>
  <c r="T214" i="4"/>
  <c r="S215" i="4"/>
  <c r="T215" i="4"/>
  <c r="S216" i="4"/>
  <c r="T216" i="4"/>
  <c r="S217" i="4"/>
  <c r="T217" i="4"/>
  <c r="S218" i="4"/>
  <c r="T218" i="4"/>
  <c r="S219" i="4"/>
  <c r="T219" i="4"/>
  <c r="S220" i="4"/>
  <c r="T220" i="4"/>
  <c r="S221" i="4"/>
  <c r="T221" i="4"/>
  <c r="S222" i="4"/>
  <c r="T222" i="4"/>
  <c r="S223" i="4"/>
  <c r="T223" i="4"/>
  <c r="S224" i="4"/>
  <c r="T224" i="4"/>
  <c r="S225" i="4"/>
  <c r="T225" i="4"/>
  <c r="S226" i="4"/>
  <c r="T226" i="4"/>
  <c r="S227" i="4"/>
  <c r="T227" i="4"/>
  <c r="S228" i="4"/>
  <c r="T228" i="4"/>
  <c r="S229" i="4"/>
  <c r="T229" i="4"/>
  <c r="S230" i="4"/>
  <c r="T230" i="4"/>
  <c r="S231" i="4"/>
  <c r="T231" i="4"/>
  <c r="S232" i="4"/>
  <c r="T232" i="4"/>
  <c r="S233" i="4"/>
  <c r="T233" i="4"/>
  <c r="S234" i="4"/>
  <c r="T234" i="4"/>
  <c r="S235" i="4"/>
  <c r="T235" i="4"/>
  <c r="S236" i="4"/>
  <c r="T236" i="4"/>
  <c r="S237" i="4"/>
  <c r="T237" i="4"/>
  <c r="S238" i="4"/>
  <c r="T238" i="4"/>
  <c r="S239" i="4"/>
  <c r="T239" i="4"/>
  <c r="S240" i="4"/>
  <c r="T240" i="4"/>
  <c r="S241" i="4"/>
  <c r="T241" i="4"/>
  <c r="S242" i="4"/>
  <c r="T242" i="4"/>
  <c r="S243" i="4"/>
  <c r="T243" i="4"/>
  <c r="S244" i="4"/>
  <c r="T244" i="4"/>
  <c r="S245" i="4"/>
  <c r="T245" i="4"/>
  <c r="S246" i="4"/>
  <c r="T246" i="4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GG6" i="1"/>
  <c r="GB5" i="6" s="1"/>
  <c r="GH6" i="1"/>
  <c r="GC5" i="6" s="1"/>
  <c r="GI6" i="1"/>
  <c r="GD5" i="6" s="1"/>
  <c r="GJ6" i="1"/>
  <c r="GE5" i="6" s="1"/>
  <c r="GK6" i="1"/>
  <c r="GF5" i="6" s="1"/>
  <c r="GL6" i="1"/>
  <c r="GG5" i="6" s="1"/>
  <c r="GM6" i="1"/>
  <c r="GH5" i="6" s="1"/>
  <c r="GN6" i="1"/>
  <c r="GI5" i="6" s="1"/>
  <c r="GO6" i="1"/>
  <c r="GJ5" i="6" s="1"/>
  <c r="GP6" i="1"/>
  <c r="GK5" i="6" s="1"/>
  <c r="GQ6" i="1"/>
  <c r="GL5" i="6" s="1"/>
  <c r="GR6" i="1"/>
  <c r="GM5" i="6" s="1"/>
  <c r="GS6" i="1"/>
  <c r="GN5" i="6" s="1"/>
  <c r="GT6" i="1"/>
  <c r="GO5" i="6" s="1"/>
  <c r="GU6" i="1"/>
  <c r="GP5" i="6" s="1"/>
  <c r="GV6" i="1"/>
  <c r="GQ5" i="6" s="1"/>
  <c r="GW6" i="1"/>
  <c r="GR5" i="6" s="1"/>
  <c r="GS5" i="6"/>
  <c r="GY6" i="1"/>
  <c r="GT5" i="6" s="1"/>
  <c r="GZ6" i="1"/>
  <c r="GU5" i="6" s="1"/>
  <c r="HA6" i="1"/>
  <c r="GV5" i="6" s="1"/>
  <c r="HB6" i="1"/>
  <c r="GW5" i="6" s="1"/>
  <c r="HC6" i="1"/>
  <c r="GX5" i="6" s="1"/>
  <c r="HD6" i="1"/>
  <c r="GY5" i="6" s="1"/>
  <c r="HE6" i="1"/>
  <c r="GZ5" i="6" s="1"/>
  <c r="HF6" i="1"/>
  <c r="HA5" i="6" s="1"/>
  <c r="HG6" i="1"/>
  <c r="HB5" i="6" s="1"/>
  <c r="HH6" i="1"/>
  <c r="HC5" i="6" s="1"/>
  <c r="HI6" i="1"/>
  <c r="HD5" i="6" s="1"/>
  <c r="HJ6" i="1"/>
  <c r="HE5" i="6" s="1"/>
  <c r="HF5" i="6"/>
  <c r="HL6" i="1"/>
  <c r="HG5" i="6" s="1"/>
  <c r="HM6" i="1"/>
  <c r="HH5" i="6" s="1"/>
  <c r="HN6" i="1"/>
  <c r="HI5" i="6" s="1"/>
  <c r="HO6" i="1"/>
  <c r="HJ5" i="6" s="1"/>
  <c r="HP6" i="1"/>
  <c r="HK5" i="6" s="1"/>
  <c r="HQ6" i="1"/>
  <c r="HL5" i="6" s="1"/>
  <c r="HR6" i="1"/>
  <c r="HM5" i="6" s="1"/>
  <c r="HS6" i="1"/>
  <c r="HN5" i="6" s="1"/>
  <c r="HT6" i="1"/>
  <c r="HO5" i="6" s="1"/>
  <c r="HU6" i="1"/>
  <c r="HP5" i="6" s="1"/>
  <c r="HV6" i="1"/>
  <c r="HQ5" i="6" s="1"/>
  <c r="HW6" i="1"/>
  <c r="HR5" i="6" s="1"/>
  <c r="HX6" i="1"/>
  <c r="HS5" i="6" s="1"/>
  <c r="HY6" i="1"/>
  <c r="HT5" i="6" s="1"/>
  <c r="HZ6" i="1"/>
  <c r="HU5" i="6" s="1"/>
  <c r="IA6" i="1"/>
  <c r="HV5" i="6" s="1"/>
  <c r="IB6" i="1"/>
  <c r="HW5" i="6" s="1"/>
  <c r="IC6" i="1"/>
  <c r="HX5" i="6" s="1"/>
  <c r="ID6" i="1"/>
  <c r="HY5" i="6" s="1"/>
  <c r="IE6" i="1"/>
  <c r="HZ5" i="6" s="1"/>
  <c r="IF6" i="1"/>
  <c r="IA5" i="6" s="1"/>
  <c r="IG6" i="1"/>
  <c r="IB5" i="6" s="1"/>
  <c r="IH6" i="1"/>
  <c r="IC5" i="6" s="1"/>
  <c r="II6" i="1"/>
  <c r="ID5" i="6" s="1"/>
  <c r="IJ6" i="1"/>
  <c r="IE5" i="6" s="1"/>
  <c r="IK6" i="1"/>
  <c r="IF5" i="6" s="1"/>
  <c r="IL6" i="1"/>
  <c r="IG5" i="6" s="1"/>
  <c r="IM6" i="1"/>
  <c r="IH5" i="6" s="1"/>
  <c r="IN6" i="1"/>
  <c r="II5" i="6" s="1"/>
  <c r="IO6" i="1"/>
  <c r="IJ5" i="6" s="1"/>
  <c r="GG7" i="1"/>
  <c r="GB6" i="6" s="1"/>
  <c r="GH7" i="1"/>
  <c r="GC6" i="6" s="1"/>
  <c r="GI7" i="1"/>
  <c r="GD6" i="6" s="1"/>
  <c r="GJ7" i="1"/>
  <c r="GE6" i="6" s="1"/>
  <c r="GK7" i="1"/>
  <c r="GF6" i="6" s="1"/>
  <c r="GL7" i="1"/>
  <c r="GG6" i="6" s="1"/>
  <c r="GM7" i="1"/>
  <c r="GH6" i="6" s="1"/>
  <c r="GN7" i="1"/>
  <c r="GI6" i="6" s="1"/>
  <c r="GO7" i="1"/>
  <c r="GJ6" i="6" s="1"/>
  <c r="GP7" i="1"/>
  <c r="GK6" i="6" s="1"/>
  <c r="GQ7" i="1"/>
  <c r="GL6" i="6" s="1"/>
  <c r="GR7" i="1"/>
  <c r="GM6" i="6" s="1"/>
  <c r="GS7" i="1"/>
  <c r="GN6" i="6" s="1"/>
  <c r="GT7" i="1"/>
  <c r="GO6" i="6" s="1"/>
  <c r="GU7" i="1"/>
  <c r="GP6" i="6" s="1"/>
  <c r="GV7" i="1"/>
  <c r="GQ6" i="6" s="1"/>
  <c r="GW7" i="1"/>
  <c r="GR6" i="6" s="1"/>
  <c r="GX7" i="1"/>
  <c r="GS6" i="6" s="1"/>
  <c r="GY7" i="1"/>
  <c r="GT6" i="6" s="1"/>
  <c r="GZ7" i="1"/>
  <c r="GU6" i="6" s="1"/>
  <c r="HA7" i="1"/>
  <c r="GV6" i="6" s="1"/>
  <c r="HB7" i="1"/>
  <c r="GW6" i="6" s="1"/>
  <c r="HC7" i="1"/>
  <c r="GX6" i="6" s="1"/>
  <c r="HD7" i="1"/>
  <c r="GY6" i="6" s="1"/>
  <c r="HE7" i="1"/>
  <c r="GZ6" i="6" s="1"/>
  <c r="HF7" i="1"/>
  <c r="HA6" i="6" s="1"/>
  <c r="HG7" i="1"/>
  <c r="HB6" i="6" s="1"/>
  <c r="HH7" i="1"/>
  <c r="HC6" i="6" s="1"/>
  <c r="HI7" i="1"/>
  <c r="HD6" i="6" s="1"/>
  <c r="HJ7" i="1"/>
  <c r="HE6" i="6" s="1"/>
  <c r="HK7" i="1"/>
  <c r="HL7" i="1"/>
  <c r="HG6" i="6" s="1"/>
  <c r="HM7" i="1"/>
  <c r="HH6" i="6" s="1"/>
  <c r="HN7" i="1"/>
  <c r="HI6" i="6" s="1"/>
  <c r="HO7" i="1"/>
  <c r="HJ6" i="6" s="1"/>
  <c r="HP7" i="1"/>
  <c r="HK6" i="6" s="1"/>
  <c r="HQ7" i="1"/>
  <c r="HL6" i="6" s="1"/>
  <c r="HR7" i="1"/>
  <c r="HM6" i="6" s="1"/>
  <c r="HS7" i="1"/>
  <c r="HN6" i="6" s="1"/>
  <c r="HT7" i="1"/>
  <c r="HO6" i="6" s="1"/>
  <c r="HU7" i="1"/>
  <c r="HP6" i="6" s="1"/>
  <c r="HV7" i="1"/>
  <c r="HQ6" i="6" s="1"/>
  <c r="HW7" i="1"/>
  <c r="HR6" i="6" s="1"/>
  <c r="HX7" i="1"/>
  <c r="HS6" i="6" s="1"/>
  <c r="HY7" i="1"/>
  <c r="HT6" i="6" s="1"/>
  <c r="HZ7" i="1"/>
  <c r="HU6" i="6" s="1"/>
  <c r="IA7" i="1"/>
  <c r="HV6" i="6" s="1"/>
  <c r="IB7" i="1"/>
  <c r="HW6" i="6" s="1"/>
  <c r="IC7" i="1"/>
  <c r="HX6" i="6" s="1"/>
  <c r="ID7" i="1"/>
  <c r="HY6" i="6" s="1"/>
  <c r="IE7" i="1"/>
  <c r="HZ6" i="6" s="1"/>
  <c r="IF7" i="1"/>
  <c r="IA6" i="6" s="1"/>
  <c r="IG7" i="1"/>
  <c r="IB6" i="6" s="1"/>
  <c r="IH7" i="1"/>
  <c r="IC6" i="6" s="1"/>
  <c r="II7" i="1"/>
  <c r="ID6" i="6" s="1"/>
  <c r="IJ7" i="1"/>
  <c r="IE6" i="6" s="1"/>
  <c r="IK7" i="1"/>
  <c r="IF6" i="6" s="1"/>
  <c r="IL7" i="1"/>
  <c r="IG6" i="6" s="1"/>
  <c r="IM7" i="1"/>
  <c r="IH6" i="6" s="1"/>
  <c r="IN7" i="1"/>
  <c r="II6" i="6" s="1"/>
  <c r="IO7" i="1"/>
  <c r="IJ6" i="6" s="1"/>
  <c r="GG2" i="1"/>
  <c r="GB2" i="6" s="1"/>
  <c r="GH2" i="1"/>
  <c r="GC2" i="6" s="1"/>
  <c r="GI2" i="1"/>
  <c r="GD2" i="6" s="1"/>
  <c r="GJ2" i="1"/>
  <c r="GE2" i="6" s="1"/>
  <c r="GK2" i="1"/>
  <c r="GF2" i="6" s="1"/>
  <c r="GL2" i="1"/>
  <c r="GG2" i="6" s="1"/>
  <c r="GM2" i="1"/>
  <c r="GH2" i="6" s="1"/>
  <c r="GN2" i="1"/>
  <c r="GI2" i="6" s="1"/>
  <c r="GO2" i="1"/>
  <c r="GJ2" i="6" s="1"/>
  <c r="GP2" i="1"/>
  <c r="GK2" i="6" s="1"/>
  <c r="GQ2" i="1"/>
  <c r="GL2" i="6" s="1"/>
  <c r="GR2" i="1"/>
  <c r="GM2" i="6" s="1"/>
  <c r="GS2" i="1"/>
  <c r="GN2" i="6" s="1"/>
  <c r="GT2" i="1"/>
  <c r="GO2" i="6" s="1"/>
  <c r="GU2" i="1"/>
  <c r="GP2" i="6" s="1"/>
  <c r="GV2" i="1"/>
  <c r="GQ2" i="6" s="1"/>
  <c r="GW2" i="1"/>
  <c r="GR2" i="6" s="1"/>
  <c r="GX2" i="1"/>
  <c r="GS2" i="6" s="1"/>
  <c r="GY2" i="1"/>
  <c r="GT2" i="6" s="1"/>
  <c r="GZ2" i="1"/>
  <c r="GU2" i="6" s="1"/>
  <c r="HA2" i="1"/>
  <c r="GV2" i="6" s="1"/>
  <c r="HB2" i="1"/>
  <c r="GW2" i="6" s="1"/>
  <c r="HC2" i="1"/>
  <c r="GX2" i="6" s="1"/>
  <c r="HD2" i="1"/>
  <c r="GY2" i="6" s="1"/>
  <c r="HE2" i="1"/>
  <c r="GZ2" i="6" s="1"/>
  <c r="HF2" i="1"/>
  <c r="HA2" i="6" s="1"/>
  <c r="HG2" i="1"/>
  <c r="HH2" i="1"/>
  <c r="HC2" i="6" s="1"/>
  <c r="HI2" i="1"/>
  <c r="HD2" i="6" s="1"/>
  <c r="HJ2" i="1"/>
  <c r="HE2" i="6" s="1"/>
  <c r="HK2" i="1"/>
  <c r="HF2" i="6" s="1"/>
  <c r="HL2" i="1"/>
  <c r="HG2" i="6" s="1"/>
  <c r="HM2" i="1"/>
  <c r="HH2" i="6" s="1"/>
  <c r="HN2" i="1"/>
  <c r="HI2" i="6" s="1"/>
  <c r="HO2" i="1"/>
  <c r="HJ2" i="6" s="1"/>
  <c r="HP2" i="1"/>
  <c r="HK2" i="6" s="1"/>
  <c r="HQ2" i="1"/>
  <c r="HL2" i="6" s="1"/>
  <c r="HR2" i="1"/>
  <c r="HM2" i="6" s="1"/>
  <c r="HS2" i="1"/>
  <c r="HN2" i="6" s="1"/>
  <c r="HT2" i="1"/>
  <c r="HO2" i="6" s="1"/>
  <c r="HU2" i="1"/>
  <c r="HP2" i="6" s="1"/>
  <c r="HV2" i="1"/>
  <c r="HQ2" i="6" s="1"/>
  <c r="HW2" i="1"/>
  <c r="HR2" i="6" s="1"/>
  <c r="HX2" i="1"/>
  <c r="HS2" i="6" s="1"/>
  <c r="HY2" i="1"/>
  <c r="HT2" i="6" s="1"/>
  <c r="HZ2" i="1"/>
  <c r="HU2" i="6" s="1"/>
  <c r="IA2" i="1"/>
  <c r="HV2" i="6" s="1"/>
  <c r="IB2" i="1"/>
  <c r="HW2" i="6" s="1"/>
  <c r="IC2" i="1"/>
  <c r="HX2" i="6" s="1"/>
  <c r="ID2" i="1"/>
  <c r="HY2" i="6" s="1"/>
  <c r="IE2" i="1"/>
  <c r="HZ2" i="6" s="1"/>
  <c r="IA2" i="6"/>
  <c r="IG2" i="1"/>
  <c r="IB2" i="6" s="1"/>
  <c r="IH2" i="1"/>
  <c r="IC2" i="6" s="1"/>
  <c r="II2" i="1"/>
  <c r="ID2" i="6" s="1"/>
  <c r="IJ2" i="1"/>
  <c r="IK2" i="1"/>
  <c r="IF2" i="6" s="1"/>
  <c r="IL2" i="1"/>
  <c r="IG2" i="6" s="1"/>
  <c r="IM2" i="1"/>
  <c r="IH2" i="6" s="1"/>
  <c r="IN2" i="1"/>
  <c r="II2" i="6" s="1"/>
  <c r="IO2" i="1"/>
  <c r="IJ2" i="6" s="1"/>
  <c r="GG3" i="1"/>
  <c r="GB3" i="6" s="1"/>
  <c r="GH3" i="1"/>
  <c r="GC3" i="6" s="1"/>
  <c r="GI3" i="1"/>
  <c r="GD3" i="6" s="1"/>
  <c r="GJ3" i="1"/>
  <c r="GK3" i="1"/>
  <c r="GF3" i="6" s="1"/>
  <c r="GL3" i="1"/>
  <c r="GG3" i="6" s="1"/>
  <c r="GM3" i="1"/>
  <c r="GH3" i="6" s="1"/>
  <c r="GN3" i="1"/>
  <c r="GI3" i="6" s="1"/>
  <c r="GO3" i="1"/>
  <c r="GJ3" i="6" s="1"/>
  <c r="GP3" i="1"/>
  <c r="GK3" i="6" s="1"/>
  <c r="GQ3" i="1"/>
  <c r="GL3" i="6" s="1"/>
  <c r="GR3" i="1"/>
  <c r="GS3" i="1"/>
  <c r="GN3" i="6" s="1"/>
  <c r="GT3" i="1"/>
  <c r="GO3" i="6" s="1"/>
  <c r="GU3" i="1"/>
  <c r="GP3" i="6" s="1"/>
  <c r="GV3" i="1"/>
  <c r="GQ3" i="6" s="1"/>
  <c r="GW3" i="1"/>
  <c r="GR3" i="6" s="1"/>
  <c r="GX3" i="1"/>
  <c r="GS3" i="6" s="1"/>
  <c r="GY3" i="1"/>
  <c r="GT3" i="6" s="1"/>
  <c r="GZ3" i="1"/>
  <c r="GU3" i="6" s="1"/>
  <c r="HA3" i="1"/>
  <c r="GV3" i="6" s="1"/>
  <c r="HB3" i="1"/>
  <c r="GW3" i="6" s="1"/>
  <c r="HC3" i="1"/>
  <c r="GX3" i="6" s="1"/>
  <c r="HD3" i="1"/>
  <c r="GY3" i="6" s="1"/>
  <c r="HE3" i="1"/>
  <c r="GZ3" i="6" s="1"/>
  <c r="HF3" i="1"/>
  <c r="HA3" i="6" s="1"/>
  <c r="HG3" i="1"/>
  <c r="HB3" i="6" s="1"/>
  <c r="HH3" i="1"/>
  <c r="HC3" i="6" s="1"/>
  <c r="HI3" i="1"/>
  <c r="HD3" i="6" s="1"/>
  <c r="HJ3" i="1"/>
  <c r="HE3" i="6" s="1"/>
  <c r="HK3" i="1"/>
  <c r="HL3" i="1"/>
  <c r="HG3" i="6" s="1"/>
  <c r="HM3" i="1"/>
  <c r="HH3" i="6" s="1"/>
  <c r="HN3" i="1"/>
  <c r="HI3" i="6" s="1"/>
  <c r="HO3" i="1"/>
  <c r="HJ3" i="6" s="1"/>
  <c r="HP3" i="1"/>
  <c r="HK3" i="6" s="1"/>
  <c r="HQ3" i="1"/>
  <c r="HL3" i="6" s="1"/>
  <c r="HR3" i="1"/>
  <c r="HM3" i="6" s="1"/>
  <c r="HS3" i="1"/>
  <c r="HT3" i="1"/>
  <c r="HO3" i="6" s="1"/>
  <c r="HU3" i="1"/>
  <c r="HP3" i="6" s="1"/>
  <c r="HV3" i="1"/>
  <c r="HQ3" i="6" s="1"/>
  <c r="HW3" i="1"/>
  <c r="HR3" i="6" s="1"/>
  <c r="HX3" i="1"/>
  <c r="HS3" i="6" s="1"/>
  <c r="HY3" i="1"/>
  <c r="HT3" i="6" s="1"/>
  <c r="HZ3" i="1"/>
  <c r="HU3" i="6" s="1"/>
  <c r="IA3" i="1"/>
  <c r="HV3" i="6" s="1"/>
  <c r="IB3" i="1"/>
  <c r="HW3" i="6" s="1"/>
  <c r="IC3" i="1"/>
  <c r="HX3" i="6" s="1"/>
  <c r="ID3" i="1"/>
  <c r="HY3" i="6" s="1"/>
  <c r="IE3" i="1"/>
  <c r="HZ3" i="6" s="1"/>
  <c r="IF3" i="1"/>
  <c r="IA3" i="6" s="1"/>
  <c r="IG3" i="1"/>
  <c r="IB3" i="6" s="1"/>
  <c r="IH3" i="1"/>
  <c r="IC3" i="6" s="1"/>
  <c r="II3" i="1"/>
  <c r="ID3" i="6" s="1"/>
  <c r="IJ3" i="1"/>
  <c r="IE3" i="6" s="1"/>
  <c r="IK3" i="1"/>
  <c r="IF3" i="6" s="1"/>
  <c r="IL3" i="1"/>
  <c r="IG3" i="6" s="1"/>
  <c r="IM3" i="1"/>
  <c r="IH3" i="6" s="1"/>
  <c r="IN3" i="1"/>
  <c r="II3" i="6" s="1"/>
  <c r="IO3" i="1"/>
  <c r="IJ3" i="6" s="1"/>
  <c r="GF16" i="1"/>
  <c r="GF17" i="1"/>
  <c r="GF6" i="1"/>
  <c r="GA5" i="6" s="1"/>
  <c r="GF7" i="1"/>
  <c r="GA6" i="6" s="1"/>
  <c r="GF2" i="1"/>
  <c r="GA2" i="6" s="1"/>
  <c r="GF3" i="1"/>
  <c r="GA3" i="6" s="1"/>
  <c r="U125" i="4"/>
  <c r="DW8" i="1" s="1" a="1"/>
  <c r="DW8" i="1" s="1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S125" i="4"/>
  <c r="T125" i="4"/>
  <c r="S126" i="4"/>
  <c r="T126" i="4"/>
  <c r="S127" i="4"/>
  <c r="T127" i="4"/>
  <c r="S128" i="4"/>
  <c r="T128" i="4"/>
  <c r="S129" i="4"/>
  <c r="T129" i="4"/>
  <c r="S130" i="4"/>
  <c r="T130" i="4"/>
  <c r="S131" i="4"/>
  <c r="T131" i="4"/>
  <c r="S132" i="4"/>
  <c r="T132" i="4"/>
  <c r="S133" i="4"/>
  <c r="T133" i="4"/>
  <c r="S134" i="4"/>
  <c r="T134" i="4"/>
  <c r="S135" i="4"/>
  <c r="T135" i="4"/>
  <c r="S136" i="4"/>
  <c r="T136" i="4"/>
  <c r="S137" i="4"/>
  <c r="T137" i="4"/>
  <c r="S138" i="4"/>
  <c r="T138" i="4"/>
  <c r="S139" i="4"/>
  <c r="T139" i="4"/>
  <c r="S140" i="4"/>
  <c r="T140" i="4"/>
  <c r="S141" i="4"/>
  <c r="T141" i="4"/>
  <c r="S142" i="4"/>
  <c r="T142" i="4"/>
  <c r="S143" i="4"/>
  <c r="T143" i="4"/>
  <c r="S144" i="4"/>
  <c r="T144" i="4"/>
  <c r="S145" i="4"/>
  <c r="T145" i="4"/>
  <c r="S146" i="4"/>
  <c r="T146" i="4"/>
  <c r="S147" i="4"/>
  <c r="T147" i="4"/>
  <c r="S148" i="4"/>
  <c r="T148" i="4"/>
  <c r="S149" i="4"/>
  <c r="T149" i="4"/>
  <c r="S150" i="4"/>
  <c r="T150" i="4"/>
  <c r="S151" i="4"/>
  <c r="T151" i="4"/>
  <c r="S152" i="4"/>
  <c r="T152" i="4"/>
  <c r="S153" i="4"/>
  <c r="T153" i="4"/>
  <c r="S154" i="4"/>
  <c r="T154" i="4"/>
  <c r="S155" i="4"/>
  <c r="T155" i="4"/>
  <c r="S156" i="4"/>
  <c r="T156" i="4"/>
  <c r="S157" i="4"/>
  <c r="T157" i="4"/>
  <c r="S158" i="4"/>
  <c r="T158" i="4"/>
  <c r="S159" i="4"/>
  <c r="T159" i="4"/>
  <c r="S160" i="4"/>
  <c r="T160" i="4"/>
  <c r="S161" i="4"/>
  <c r="T161" i="4"/>
  <c r="S162" i="4"/>
  <c r="T162" i="4"/>
  <c r="S163" i="4"/>
  <c r="T163" i="4"/>
  <c r="S164" i="4"/>
  <c r="T164" i="4"/>
  <c r="S165" i="4"/>
  <c r="T165" i="4"/>
  <c r="S166" i="4"/>
  <c r="T166" i="4"/>
  <c r="S167" i="4"/>
  <c r="T167" i="4"/>
  <c r="S168" i="4"/>
  <c r="T168" i="4"/>
  <c r="S169" i="4"/>
  <c r="T169" i="4"/>
  <c r="S170" i="4"/>
  <c r="T170" i="4"/>
  <c r="S171" i="4"/>
  <c r="T171" i="4"/>
  <c r="S172" i="4"/>
  <c r="T172" i="4"/>
  <c r="S173" i="4"/>
  <c r="T173" i="4"/>
  <c r="S174" i="4"/>
  <c r="T174" i="4"/>
  <c r="S175" i="4"/>
  <c r="T175" i="4"/>
  <c r="S176" i="4"/>
  <c r="T176" i="4"/>
  <c r="S177" i="4"/>
  <c r="T177" i="4"/>
  <c r="S178" i="4"/>
  <c r="T178" i="4"/>
  <c r="S179" i="4"/>
  <c r="T179" i="4"/>
  <c r="S180" i="4"/>
  <c r="T180" i="4"/>
  <c r="S181" i="4"/>
  <c r="T181" i="4"/>
  <c r="S182" i="4"/>
  <c r="T182" i="4"/>
  <c r="S183" i="4"/>
  <c r="T183" i="4"/>
  <c r="S184" i="4"/>
  <c r="T184" i="4"/>
  <c r="S185" i="4"/>
  <c r="T185" i="4"/>
  <c r="JB9" i="1" l="1"/>
  <c r="IZ9" i="1"/>
  <c r="IR4" i="6"/>
  <c r="IX9" i="1"/>
  <c r="JA9" i="1"/>
  <c r="IY9" i="1"/>
  <c r="IV9" i="1"/>
  <c r="HF6" i="6"/>
  <c r="IT9" i="1"/>
  <c r="IR9" i="1"/>
  <c r="IU9" i="1"/>
  <c r="IS9" i="1"/>
  <c r="IQ9" i="1"/>
  <c r="IP9" i="1"/>
  <c r="IK4" i="6"/>
  <c r="JG4" i="6"/>
  <c r="JB4" i="6"/>
  <c r="JL4" i="6"/>
  <c r="JI4" i="6"/>
  <c r="JH4" i="6"/>
  <c r="IZ4" i="6"/>
  <c r="IM4" i="6"/>
  <c r="JJ4" i="6"/>
  <c r="IW9" i="1"/>
  <c r="JM4" i="6"/>
  <c r="JK4" i="6"/>
  <c r="IT4" i="6"/>
  <c r="IS4" i="6"/>
  <c r="JF4" i="6"/>
  <c r="JN4" i="6"/>
  <c r="IY4" i="6"/>
  <c r="IQ4" i="6"/>
  <c r="JA4" i="6"/>
  <c r="JC4" i="6"/>
  <c r="IL4" i="6"/>
  <c r="IU4" i="6"/>
  <c r="JE4" i="6"/>
  <c r="IV4" i="6"/>
  <c r="IW4" i="6"/>
  <c r="IO4" i="6"/>
  <c r="JD4" i="6"/>
  <c r="IX4" i="6"/>
  <c r="IN4" i="6"/>
  <c r="IP4" i="6"/>
  <c r="HK4" i="1"/>
  <c r="GQ4" i="1"/>
  <c r="GQ9" i="1" s="1"/>
  <c r="IJ4" i="1"/>
  <c r="IG4" i="1"/>
  <c r="HA4" i="1"/>
  <c r="GW4" i="1"/>
  <c r="GW9" i="1" s="1"/>
  <c r="GO4" i="1"/>
  <c r="GO9" i="1" s="1"/>
  <c r="GH4" i="1"/>
  <c r="GH9" i="1" s="1"/>
  <c r="HS4" i="1"/>
  <c r="GG4" i="1"/>
  <c r="GG9" i="1" s="1"/>
  <c r="GX4" i="1"/>
  <c r="HP4" i="1"/>
  <c r="GP4" i="1"/>
  <c r="GK4" i="6" s="1"/>
  <c r="HI4" i="1"/>
  <c r="HQ4" i="1"/>
  <c r="HH4" i="1"/>
  <c r="GN4" i="1"/>
  <c r="GI4" i="6" s="1"/>
  <c r="GF4" i="1"/>
  <c r="GF9" i="1" s="1"/>
  <c r="IO4" i="1"/>
  <c r="GY4" i="1"/>
  <c r="HG4" i="1"/>
  <c r="HY4" i="1"/>
  <c r="HY9" i="1" s="1"/>
  <c r="GZ4" i="1"/>
  <c r="GR4" i="1"/>
  <c r="GR9" i="1" s="1"/>
  <c r="HB2" i="6"/>
  <c r="GM3" i="6"/>
  <c r="IE2" i="6"/>
  <c r="IN4" i="1"/>
  <c r="IF4" i="1"/>
  <c r="IM4" i="1"/>
  <c r="HO4" i="1"/>
  <c r="IK4" i="1"/>
  <c r="HE4" i="1"/>
  <c r="HN3" i="6"/>
  <c r="ID4" i="1"/>
  <c r="HV4" i="1"/>
  <c r="HF4" i="1"/>
  <c r="IB4" i="1"/>
  <c r="HT4" i="1"/>
  <c r="HL4" i="1"/>
  <c r="HD4" i="1"/>
  <c r="GU4" i="1"/>
  <c r="GL4" i="1"/>
  <c r="HF3" i="6"/>
  <c r="HW4" i="1"/>
  <c r="IC4" i="1"/>
  <c r="HU4" i="1"/>
  <c r="HM4" i="1"/>
  <c r="GV4" i="1"/>
  <c r="GM4" i="1"/>
  <c r="II4" i="1"/>
  <c r="IA4" i="1"/>
  <c r="HC4" i="1"/>
  <c r="GT4" i="1"/>
  <c r="GK4" i="1"/>
  <c r="HX4" i="1"/>
  <c r="IE4" i="1"/>
  <c r="IL4" i="1"/>
  <c r="HN4" i="1"/>
  <c r="GE3" i="6"/>
  <c r="GJ4" i="1"/>
  <c r="IH4" i="1"/>
  <c r="HZ4" i="1"/>
  <c r="HR4" i="1"/>
  <c r="HJ4" i="1"/>
  <c r="HB4" i="1"/>
  <c r="GS4" i="1"/>
  <c r="GI4" i="1"/>
  <c r="CN2" i="1"/>
  <c r="CO2" i="1"/>
  <c r="CP2" i="1"/>
  <c r="CQ2" i="1"/>
  <c r="CR2" i="1"/>
  <c r="CS2" i="1"/>
  <c r="CN2" i="6" s="1"/>
  <c r="CT2" i="1"/>
  <c r="CO2" i="6" s="1"/>
  <c r="CU2" i="1"/>
  <c r="CP2" i="6" s="1"/>
  <c r="CV2" i="1"/>
  <c r="CQ2" i="6" s="1"/>
  <c r="CW2" i="1"/>
  <c r="CR2" i="6" s="1"/>
  <c r="CX2" i="1"/>
  <c r="CS2" i="6" s="1"/>
  <c r="CY2" i="1"/>
  <c r="CT2" i="6" s="1"/>
  <c r="CZ2" i="1"/>
  <c r="CU2" i="6" s="1"/>
  <c r="DA2" i="1"/>
  <c r="CV2" i="6" s="1"/>
  <c r="DB2" i="1"/>
  <c r="CW2" i="6" s="1"/>
  <c r="DC2" i="1"/>
  <c r="CX2" i="6" s="1"/>
  <c r="DD2" i="1"/>
  <c r="CY2" i="6" s="1"/>
  <c r="DE2" i="1"/>
  <c r="CZ2" i="6" s="1"/>
  <c r="DF2" i="1"/>
  <c r="DA2" i="6" s="1"/>
  <c r="DG2" i="1"/>
  <c r="DB2" i="6" s="1"/>
  <c r="DH2" i="1"/>
  <c r="DC2" i="6" s="1"/>
  <c r="DI2" i="1"/>
  <c r="DD2" i="6" s="1"/>
  <c r="DJ2" i="1"/>
  <c r="DE2" i="6" s="1"/>
  <c r="DK2" i="1"/>
  <c r="DF2" i="6" s="1"/>
  <c r="DL2" i="1"/>
  <c r="DG2" i="6" s="1"/>
  <c r="DM2" i="1"/>
  <c r="DH2" i="6" s="1"/>
  <c r="DN2" i="1"/>
  <c r="DI2" i="6" s="1"/>
  <c r="DO2" i="1"/>
  <c r="DJ2" i="6" s="1"/>
  <c r="DP2" i="1"/>
  <c r="DK2" i="6" s="1"/>
  <c r="DQ2" i="1"/>
  <c r="DL2" i="6" s="1"/>
  <c r="DR2" i="1"/>
  <c r="DM2" i="6" s="1"/>
  <c r="DS2" i="1"/>
  <c r="DN2" i="6" s="1"/>
  <c r="DT2" i="1"/>
  <c r="DO2" i="6" s="1"/>
  <c r="DU2" i="1"/>
  <c r="DP2" i="6" s="1"/>
  <c r="DV2" i="1"/>
  <c r="DQ2" i="6" s="1"/>
  <c r="DW2" i="1"/>
  <c r="DR2" i="6" s="1"/>
  <c r="DX2" i="1"/>
  <c r="DS2" i="6" s="1"/>
  <c r="DY2" i="1"/>
  <c r="DT2" i="6" s="1"/>
  <c r="DZ2" i="1"/>
  <c r="DU2" i="6" s="1"/>
  <c r="EA2" i="1"/>
  <c r="DV2" i="6" s="1"/>
  <c r="EB2" i="1"/>
  <c r="DW2" i="6" s="1"/>
  <c r="EC2" i="1"/>
  <c r="DX2" i="6" s="1"/>
  <c r="ED2" i="1"/>
  <c r="DY2" i="6" s="1"/>
  <c r="EE2" i="1"/>
  <c r="DZ2" i="6" s="1"/>
  <c r="EF2" i="1"/>
  <c r="EA2" i="6" s="1"/>
  <c r="EG2" i="1"/>
  <c r="EB2" i="6" s="1"/>
  <c r="EH2" i="1"/>
  <c r="EC2" i="6" s="1"/>
  <c r="EI2" i="1"/>
  <c r="ED2" i="6" s="1"/>
  <c r="EJ2" i="1"/>
  <c r="EE2" i="6" s="1"/>
  <c r="EK2" i="1"/>
  <c r="EF2" i="6" s="1"/>
  <c r="EL2" i="1"/>
  <c r="EG2" i="6" s="1"/>
  <c r="EM2" i="1"/>
  <c r="EH2" i="6" s="1"/>
  <c r="EN2" i="1"/>
  <c r="EI2" i="6" s="1"/>
  <c r="EO2" i="1"/>
  <c r="EJ2" i="6" s="1"/>
  <c r="EP2" i="1"/>
  <c r="EK2" i="6" s="1"/>
  <c r="EQ2" i="1"/>
  <c r="EL2" i="6" s="1"/>
  <c r="ER2" i="1"/>
  <c r="EM2" i="6" s="1"/>
  <c r="ES2" i="1"/>
  <c r="EN2" i="6" s="1"/>
  <c r="ET2" i="1"/>
  <c r="EO2" i="6" s="1"/>
  <c r="EU2" i="1"/>
  <c r="EP2" i="6" s="1"/>
  <c r="EV2" i="1"/>
  <c r="EQ2" i="6" s="1"/>
  <c r="EW2" i="1"/>
  <c r="ER2" i="6" s="1"/>
  <c r="EX2" i="1"/>
  <c r="ES2" i="6" s="1"/>
  <c r="EY2" i="1"/>
  <c r="ET2" i="6" s="1"/>
  <c r="EZ2" i="1"/>
  <c r="EU2" i="6" s="1"/>
  <c r="FA2" i="1"/>
  <c r="EV2" i="6" s="1"/>
  <c r="FB2" i="1"/>
  <c r="EW2" i="6" s="1"/>
  <c r="FC2" i="1"/>
  <c r="EX2" i="6" s="1"/>
  <c r="FD2" i="1"/>
  <c r="EY2" i="6" s="1"/>
  <c r="FE2" i="1"/>
  <c r="EZ2" i="6" s="1"/>
  <c r="FF2" i="1"/>
  <c r="FA2" i="6" s="1"/>
  <c r="FG2" i="1"/>
  <c r="FB2" i="6" s="1"/>
  <c r="FH2" i="1"/>
  <c r="FC2" i="6" s="1"/>
  <c r="FI2" i="1"/>
  <c r="FD2" i="6" s="1"/>
  <c r="FJ2" i="1"/>
  <c r="FE2" i="6" s="1"/>
  <c r="FK2" i="1"/>
  <c r="FF2" i="6" s="1"/>
  <c r="FL2" i="1"/>
  <c r="FG2" i="6" s="1"/>
  <c r="FM2" i="1"/>
  <c r="FH2" i="6" s="1"/>
  <c r="FN2" i="1"/>
  <c r="FI2" i="6" s="1"/>
  <c r="FO2" i="1"/>
  <c r="FJ2" i="6" s="1"/>
  <c r="FP2" i="1"/>
  <c r="FK2" i="6" s="1"/>
  <c r="FQ2" i="1"/>
  <c r="FL2" i="6" s="1"/>
  <c r="FR2" i="1"/>
  <c r="FM2" i="6" s="1"/>
  <c r="FS2" i="1"/>
  <c r="FN2" i="6" s="1"/>
  <c r="FT2" i="1"/>
  <c r="FO2" i="6" s="1"/>
  <c r="FU2" i="1"/>
  <c r="FP2" i="6" s="1"/>
  <c r="FV2" i="1"/>
  <c r="FQ2" i="6" s="1"/>
  <c r="FW2" i="1"/>
  <c r="FR2" i="6" s="1"/>
  <c r="FX2" i="1"/>
  <c r="FS2" i="6" s="1"/>
  <c r="FY2" i="1"/>
  <c r="FT2" i="6" s="1"/>
  <c r="FZ2" i="1"/>
  <c r="FU2" i="6" s="1"/>
  <c r="GA2" i="1"/>
  <c r="FV2" i="6" s="1"/>
  <c r="GB2" i="1"/>
  <c r="FW2" i="6" s="1"/>
  <c r="GC2" i="1"/>
  <c r="FX2" i="6" s="1"/>
  <c r="GD2" i="1"/>
  <c r="FY2" i="6" s="1"/>
  <c r="GE2" i="1"/>
  <c r="FZ2" i="6" s="1"/>
  <c r="FC3" i="1"/>
  <c r="EX3" i="6" s="1"/>
  <c r="FD3" i="1"/>
  <c r="EY3" i="6" s="1"/>
  <c r="FE3" i="1"/>
  <c r="EZ3" i="6" s="1"/>
  <c r="FF3" i="1"/>
  <c r="FA3" i="6" s="1"/>
  <c r="FG3" i="1"/>
  <c r="FB3" i="6" s="1"/>
  <c r="FH3" i="1"/>
  <c r="FC3" i="6" s="1"/>
  <c r="FI3" i="1"/>
  <c r="FD3" i="6" s="1"/>
  <c r="FJ3" i="1"/>
  <c r="FE3" i="6" s="1"/>
  <c r="FK3" i="1"/>
  <c r="FF3" i="6" s="1"/>
  <c r="FL3" i="1"/>
  <c r="FG3" i="6" s="1"/>
  <c r="FM3" i="1"/>
  <c r="FH3" i="6" s="1"/>
  <c r="FN3" i="1"/>
  <c r="FI3" i="6" s="1"/>
  <c r="FO3" i="1"/>
  <c r="FJ3" i="6" s="1"/>
  <c r="FP3" i="1"/>
  <c r="FK3" i="6" s="1"/>
  <c r="FQ3" i="1"/>
  <c r="FL3" i="6" s="1"/>
  <c r="FR3" i="1"/>
  <c r="FM3" i="6" s="1"/>
  <c r="FS3" i="1"/>
  <c r="FN3" i="6" s="1"/>
  <c r="FT3" i="1"/>
  <c r="FO3" i="6" s="1"/>
  <c r="FU3" i="1"/>
  <c r="FP3" i="6" s="1"/>
  <c r="FV3" i="1"/>
  <c r="FQ3" i="6" s="1"/>
  <c r="FW3" i="1"/>
  <c r="FR3" i="6" s="1"/>
  <c r="FX3" i="1"/>
  <c r="FS3" i="6" s="1"/>
  <c r="FY3" i="1"/>
  <c r="FT3" i="6" s="1"/>
  <c r="FZ3" i="1"/>
  <c r="FU3" i="6" s="1"/>
  <c r="GA3" i="1"/>
  <c r="FV3" i="6" s="1"/>
  <c r="GB3" i="1"/>
  <c r="FW3" i="6" s="1"/>
  <c r="GC3" i="1"/>
  <c r="FX3" i="6" s="1"/>
  <c r="GD3" i="1"/>
  <c r="FY3" i="6" s="1"/>
  <c r="GE3" i="1"/>
  <c r="FZ3" i="6" s="1"/>
  <c r="FC6" i="1"/>
  <c r="EX5" i="6" s="1"/>
  <c r="EY5" i="6"/>
  <c r="FE6" i="1"/>
  <c r="EZ5" i="6" s="1"/>
  <c r="FF6" i="1"/>
  <c r="FA5" i="6" s="1"/>
  <c r="FG6" i="1"/>
  <c r="FB5" i="6" s="1"/>
  <c r="FH6" i="1"/>
  <c r="FC5" i="6" s="1"/>
  <c r="FI6" i="1"/>
  <c r="FD5" i="6" s="1"/>
  <c r="FJ6" i="1"/>
  <c r="FE5" i="6" s="1"/>
  <c r="FF5" i="6"/>
  <c r="FL6" i="1"/>
  <c r="FG5" i="6" s="1"/>
  <c r="FM6" i="1"/>
  <c r="FH5" i="6" s="1"/>
  <c r="FN6" i="1"/>
  <c r="FI5" i="6" s="1"/>
  <c r="FO6" i="1"/>
  <c r="FJ5" i="6" s="1"/>
  <c r="FP6" i="1"/>
  <c r="FK5" i="6" s="1"/>
  <c r="FQ6" i="1"/>
  <c r="FL5" i="6" s="1"/>
  <c r="FR6" i="1"/>
  <c r="FM5" i="6" s="1"/>
  <c r="FS6" i="1"/>
  <c r="FN5" i="6" s="1"/>
  <c r="FT6" i="1"/>
  <c r="FO5" i="6" s="1"/>
  <c r="FU6" i="1"/>
  <c r="FP5" i="6" s="1"/>
  <c r="FV6" i="1"/>
  <c r="FQ5" i="6" s="1"/>
  <c r="FW6" i="1"/>
  <c r="FR5" i="6" s="1"/>
  <c r="FX6" i="1"/>
  <c r="FS5" i="6" s="1"/>
  <c r="FY6" i="1"/>
  <c r="FT5" i="6" s="1"/>
  <c r="FZ6" i="1"/>
  <c r="FU5" i="6" s="1"/>
  <c r="GA6" i="1"/>
  <c r="FV5" i="6" s="1"/>
  <c r="GB6" i="1"/>
  <c r="FW5" i="6" s="1"/>
  <c r="GC6" i="1"/>
  <c r="FX5" i="6" s="1"/>
  <c r="GD6" i="1"/>
  <c r="FY5" i="6" s="1"/>
  <c r="GE6" i="1"/>
  <c r="FZ5" i="6" s="1"/>
  <c r="FC7" i="1"/>
  <c r="EX6" i="6" s="1"/>
  <c r="FD7" i="1"/>
  <c r="EY6" i="6" s="1"/>
  <c r="FE7" i="1"/>
  <c r="EZ6" i="6" s="1"/>
  <c r="FF7" i="1"/>
  <c r="FA6" i="6" s="1"/>
  <c r="FG7" i="1"/>
  <c r="FB6" i="6" s="1"/>
  <c r="FH7" i="1"/>
  <c r="FC6" i="6" s="1"/>
  <c r="FI7" i="1"/>
  <c r="FD6" i="6" s="1"/>
  <c r="FJ7" i="1"/>
  <c r="FE6" i="6" s="1"/>
  <c r="FK7" i="1"/>
  <c r="FF6" i="6" s="1"/>
  <c r="FL7" i="1"/>
  <c r="FG6" i="6" s="1"/>
  <c r="FM7" i="1"/>
  <c r="FH6" i="6" s="1"/>
  <c r="FN7" i="1"/>
  <c r="FI6" i="6" s="1"/>
  <c r="FO7" i="1"/>
  <c r="FJ6" i="6" s="1"/>
  <c r="FP7" i="1"/>
  <c r="FK6" i="6" s="1"/>
  <c r="FQ7" i="1"/>
  <c r="FL6" i="6" s="1"/>
  <c r="FR7" i="1"/>
  <c r="FM6" i="6" s="1"/>
  <c r="FS7" i="1"/>
  <c r="FN6" i="6" s="1"/>
  <c r="FT7" i="1"/>
  <c r="FO6" i="6" s="1"/>
  <c r="FU7" i="1"/>
  <c r="FP6" i="6" s="1"/>
  <c r="FV7" i="1"/>
  <c r="FQ6" i="6" s="1"/>
  <c r="FW7" i="1"/>
  <c r="FR6" i="6" s="1"/>
  <c r="FX7" i="1"/>
  <c r="FS6" i="6" s="1"/>
  <c r="FY7" i="1"/>
  <c r="FT6" i="6" s="1"/>
  <c r="FZ7" i="1"/>
  <c r="FU6" i="6" s="1"/>
  <c r="GA7" i="1"/>
  <c r="FV6" i="6" s="1"/>
  <c r="GB7" i="1"/>
  <c r="FW6" i="6" s="1"/>
  <c r="GC7" i="1"/>
  <c r="FX6" i="6" s="1"/>
  <c r="GD7" i="1"/>
  <c r="FY6" i="6" s="1"/>
  <c r="GE7" i="1"/>
  <c r="FZ6" i="6" s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C16" i="1"/>
  <c r="GD16" i="1"/>
  <c r="GE16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C17" i="1"/>
  <c r="GD17" i="1"/>
  <c r="GE17" i="1"/>
  <c r="FB3" i="1"/>
  <c r="EW3" i="6" s="1"/>
  <c r="FB6" i="1"/>
  <c r="EW5" i="6" s="1"/>
  <c r="FB7" i="1"/>
  <c r="EW6" i="6" s="1"/>
  <c r="FB16" i="1"/>
  <c r="FB17" i="1"/>
  <c r="HK9" i="1" l="1"/>
  <c r="IJ9" i="1"/>
  <c r="IO9" i="1"/>
  <c r="IG9" i="1"/>
  <c r="HS9" i="1"/>
  <c r="HQ9" i="1"/>
  <c r="HP9" i="1"/>
  <c r="HB4" i="6"/>
  <c r="HF4" i="6"/>
  <c r="HH9" i="1"/>
  <c r="HI9" i="1"/>
  <c r="GX9" i="1"/>
  <c r="GU4" i="6"/>
  <c r="HA9" i="1"/>
  <c r="GT4" i="6"/>
  <c r="GL4" i="6"/>
  <c r="GJ4" i="6"/>
  <c r="GV4" i="6"/>
  <c r="GN9" i="1"/>
  <c r="HC4" i="6"/>
  <c r="GR4" i="6"/>
  <c r="GZ9" i="1"/>
  <c r="GP9" i="1"/>
  <c r="HL4" i="6"/>
  <c r="HN4" i="6"/>
  <c r="HT4" i="6"/>
  <c r="IB4" i="6"/>
  <c r="GM4" i="6"/>
  <c r="GC4" i="6"/>
  <c r="IE4" i="6"/>
  <c r="GS4" i="6"/>
  <c r="HK4" i="6"/>
  <c r="GB4" i="6"/>
  <c r="IJ4" i="6"/>
  <c r="HD4" i="6"/>
  <c r="HG9" i="1"/>
  <c r="GY9" i="1"/>
  <c r="GA4" i="6"/>
  <c r="HB9" i="1"/>
  <c r="GW4" i="6"/>
  <c r="HX9" i="1"/>
  <c r="HS4" i="6"/>
  <c r="GM9" i="1"/>
  <c r="GH4" i="6"/>
  <c r="GU9" i="1"/>
  <c r="GP4" i="6"/>
  <c r="IM9" i="1"/>
  <c r="IH4" i="6"/>
  <c r="HJ9" i="1"/>
  <c r="HE4" i="6"/>
  <c r="GV9" i="1"/>
  <c r="GQ4" i="6"/>
  <c r="HD9" i="1"/>
  <c r="GY4" i="6"/>
  <c r="HF9" i="1"/>
  <c r="HA4" i="6"/>
  <c r="GS9" i="1"/>
  <c r="GN4" i="6"/>
  <c r="GL9" i="1"/>
  <c r="GG4" i="6"/>
  <c r="HO9" i="1"/>
  <c r="HJ4" i="6"/>
  <c r="HR9" i="1"/>
  <c r="HM4" i="6"/>
  <c r="HM9" i="1"/>
  <c r="HH4" i="6"/>
  <c r="HL9" i="1"/>
  <c r="HG4" i="6"/>
  <c r="HV9" i="1"/>
  <c r="HQ4" i="6"/>
  <c r="IE9" i="1"/>
  <c r="HZ4" i="6"/>
  <c r="HZ9" i="1"/>
  <c r="HU4" i="6"/>
  <c r="HN9" i="1"/>
  <c r="HI4" i="6"/>
  <c r="GK9" i="1"/>
  <c r="GF4" i="6"/>
  <c r="HU9" i="1"/>
  <c r="HP4" i="6"/>
  <c r="HT9" i="1"/>
  <c r="HO4" i="6"/>
  <c r="ID9" i="1"/>
  <c r="HY4" i="6"/>
  <c r="HE9" i="1"/>
  <c r="GZ4" i="6"/>
  <c r="IF9" i="1"/>
  <c r="IA4" i="6"/>
  <c r="II9" i="1"/>
  <c r="ID4" i="6"/>
  <c r="IH9" i="1"/>
  <c r="IC4" i="6"/>
  <c r="IL9" i="1"/>
  <c r="IG4" i="6"/>
  <c r="GT9" i="1"/>
  <c r="GO4" i="6"/>
  <c r="IC9" i="1"/>
  <c r="HX4" i="6"/>
  <c r="IB9" i="1"/>
  <c r="HW4" i="6"/>
  <c r="IK9" i="1"/>
  <c r="IF4" i="6"/>
  <c r="IN9" i="1"/>
  <c r="II4" i="6"/>
  <c r="GJ9" i="1"/>
  <c r="GE4" i="6"/>
  <c r="HC9" i="1"/>
  <c r="GX4" i="6"/>
  <c r="HW9" i="1"/>
  <c r="HR4" i="6"/>
  <c r="GI9" i="1"/>
  <c r="GD4" i="6"/>
  <c r="IA9" i="1"/>
  <c r="HV4" i="6"/>
  <c r="FJ4" i="1"/>
  <c r="FB4" i="1"/>
  <c r="FR4" i="1"/>
  <c r="FL4" i="1"/>
  <c r="FD4" i="1"/>
  <c r="GA4" i="1"/>
  <c r="FX4" i="1"/>
  <c r="GD4" i="1"/>
  <c r="GC4" i="1"/>
  <c r="FU4" i="1"/>
  <c r="FS4" i="1"/>
  <c r="FK4" i="1"/>
  <c r="FC4" i="1"/>
  <c r="FZ4" i="1"/>
  <c r="FY4" i="1"/>
  <c r="FQ4" i="1"/>
  <c r="FP4" i="1"/>
  <c r="FH4" i="1"/>
  <c r="FT4" i="1"/>
  <c r="GB4" i="1"/>
  <c r="GE4" i="1"/>
  <c r="FM4" i="1"/>
  <c r="FE4" i="1"/>
  <c r="FV4" i="1"/>
  <c r="FN4" i="1"/>
  <c r="FF4" i="1"/>
  <c r="FW4" i="1"/>
  <c r="FO4" i="1"/>
  <c r="FG4" i="1"/>
  <c r="FI4" i="1"/>
  <c r="CN6" i="1"/>
  <c r="CD6" i="1"/>
  <c r="CE6" i="1"/>
  <c r="CF6" i="1"/>
  <c r="CB6" i="1"/>
  <c r="CC6" i="1"/>
  <c r="FT9" i="1" l="1"/>
  <c r="FO4" i="6"/>
  <c r="FF9" i="1"/>
  <c r="FA4" i="6"/>
  <c r="FU9" i="1"/>
  <c r="FP4" i="6"/>
  <c r="FO9" i="1"/>
  <c r="FJ4" i="6"/>
  <c r="GB9" i="1"/>
  <c r="FW4" i="6"/>
  <c r="FK9" i="1"/>
  <c r="FF4" i="6"/>
  <c r="FL9" i="1"/>
  <c r="FG4" i="6"/>
  <c r="FB9" i="1"/>
  <c r="EW4" i="6"/>
  <c r="FN9" i="1"/>
  <c r="FI4" i="6"/>
  <c r="FP9" i="1"/>
  <c r="FK4" i="6"/>
  <c r="GC9" i="1"/>
  <c r="FX4" i="6"/>
  <c r="FJ9" i="1"/>
  <c r="FE4" i="6"/>
  <c r="FW9" i="1"/>
  <c r="FR4" i="6"/>
  <c r="FS9" i="1"/>
  <c r="FN4" i="6"/>
  <c r="FH9" i="1"/>
  <c r="FC4" i="6"/>
  <c r="FV9" i="1"/>
  <c r="FQ4" i="6"/>
  <c r="FQ9" i="1"/>
  <c r="FL4" i="6"/>
  <c r="GD9" i="1"/>
  <c r="FY4" i="6"/>
  <c r="FR9" i="1"/>
  <c r="FM4" i="6"/>
  <c r="FE9" i="1"/>
  <c r="EZ4" i="6"/>
  <c r="FY9" i="1"/>
  <c r="FT4" i="6"/>
  <c r="FX9" i="1"/>
  <c r="FS4" i="6"/>
  <c r="FI9" i="1"/>
  <c r="FD4" i="6"/>
  <c r="FM9" i="1"/>
  <c r="FH4" i="6"/>
  <c r="FZ9" i="1"/>
  <c r="FU4" i="6"/>
  <c r="GA9" i="1"/>
  <c r="FV4" i="6"/>
  <c r="FG9" i="1"/>
  <c r="FB4" i="6"/>
  <c r="GE9" i="1"/>
  <c r="FZ4" i="6"/>
  <c r="FC9" i="1"/>
  <c r="EX4" i="6"/>
  <c r="FD9" i="1"/>
  <c r="EY4" i="6"/>
  <c r="BX6" i="1"/>
  <c r="BW6" i="1"/>
  <c r="BY2" i="1" l="1"/>
  <c r="BY3" i="1"/>
  <c r="BY6" i="1"/>
  <c r="BY7" i="1"/>
  <c r="BY16" i="1"/>
  <c r="BY17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AL2" i="1"/>
  <c r="BY4" i="1" l="1"/>
  <c r="BU6" i="1"/>
  <c r="BV6" i="1"/>
  <c r="BZ6" i="1"/>
  <c r="CA6" i="1"/>
  <c r="CG6" i="1"/>
  <c r="CH6" i="1"/>
  <c r="CI6" i="1"/>
  <c r="CJ6" i="1"/>
  <c r="CK6" i="1"/>
  <c r="CL6" i="1"/>
  <c r="CM6" i="1"/>
  <c r="CO6" i="1"/>
  <c r="CP6" i="1"/>
  <c r="CQ6" i="1"/>
  <c r="CR6" i="1"/>
  <c r="CS6" i="1"/>
  <c r="CN5" i="6" s="1"/>
  <c r="CT6" i="1"/>
  <c r="CO5" i="6" s="1"/>
  <c r="CU6" i="1"/>
  <c r="CP5" i="6" s="1"/>
  <c r="CV6" i="1"/>
  <c r="CQ5" i="6" s="1"/>
  <c r="CW6" i="1"/>
  <c r="CR5" i="6" s="1"/>
  <c r="CX6" i="1"/>
  <c r="CS5" i="6" s="1"/>
  <c r="CY6" i="1"/>
  <c r="CT5" i="6" s="1"/>
  <c r="CZ6" i="1"/>
  <c r="CU5" i="6" s="1"/>
  <c r="DA6" i="1"/>
  <c r="CV5" i="6" s="1"/>
  <c r="DB6" i="1"/>
  <c r="CW5" i="6" s="1"/>
  <c r="DC6" i="1"/>
  <c r="CX5" i="6" s="1"/>
  <c r="DD6" i="1"/>
  <c r="CY5" i="6" s="1"/>
  <c r="DE6" i="1"/>
  <c r="CZ5" i="6" s="1"/>
  <c r="DF6" i="1"/>
  <c r="DA5" i="6" s="1"/>
  <c r="DG6" i="1"/>
  <c r="DB5" i="6" s="1"/>
  <c r="DH6" i="1"/>
  <c r="DC5" i="6" s="1"/>
  <c r="DI6" i="1"/>
  <c r="DD5" i="6" s="1"/>
  <c r="DJ6" i="1"/>
  <c r="DE5" i="6" s="1"/>
  <c r="DK6" i="1"/>
  <c r="DF5" i="6" s="1"/>
  <c r="DL6" i="1"/>
  <c r="DG5" i="6" s="1"/>
  <c r="DM6" i="1"/>
  <c r="DH5" i="6" s="1"/>
  <c r="DN6" i="1"/>
  <c r="DI5" i="6" s="1"/>
  <c r="DO6" i="1"/>
  <c r="DJ5" i="6" s="1"/>
  <c r="DP6" i="1"/>
  <c r="DK5" i="6" s="1"/>
  <c r="DQ6" i="1"/>
  <c r="DL5" i="6" s="1"/>
  <c r="DR6" i="1"/>
  <c r="DM5" i="6" s="1"/>
  <c r="DS6" i="1"/>
  <c r="DN5" i="6" s="1"/>
  <c r="DT6" i="1"/>
  <c r="DO5" i="6" s="1"/>
  <c r="DU6" i="1"/>
  <c r="DP5" i="6" s="1"/>
  <c r="DV6" i="1"/>
  <c r="DQ5" i="6" s="1"/>
  <c r="DW6" i="1"/>
  <c r="DR5" i="6" s="1"/>
  <c r="DX6" i="1"/>
  <c r="DS5" i="6" s="1"/>
  <c r="DY6" i="1"/>
  <c r="DT5" i="6" s="1"/>
  <c r="DZ6" i="1"/>
  <c r="DU5" i="6" s="1"/>
  <c r="EA6" i="1"/>
  <c r="DV5" i="6" s="1"/>
  <c r="EB6" i="1"/>
  <c r="DW5" i="6" s="1"/>
  <c r="EC6" i="1"/>
  <c r="DX5" i="6" s="1"/>
  <c r="ED6" i="1"/>
  <c r="DY5" i="6" s="1"/>
  <c r="EE6" i="1"/>
  <c r="DZ5" i="6" s="1"/>
  <c r="EF6" i="1"/>
  <c r="EA5" i="6" s="1"/>
  <c r="EG6" i="1"/>
  <c r="EB5" i="6" s="1"/>
  <c r="EH6" i="1"/>
  <c r="EC5" i="6" s="1"/>
  <c r="EI6" i="1"/>
  <c r="ED5" i="6" s="1"/>
  <c r="EJ6" i="1"/>
  <c r="EE5" i="6" s="1"/>
  <c r="EK6" i="1"/>
  <c r="EF5" i="6" s="1"/>
  <c r="EL6" i="1"/>
  <c r="EG5" i="6" s="1"/>
  <c r="EM6" i="1"/>
  <c r="EH5" i="6" s="1"/>
  <c r="EN6" i="1"/>
  <c r="EI5" i="6" s="1"/>
  <c r="EO6" i="1"/>
  <c r="EJ5" i="6" s="1"/>
  <c r="EP6" i="1"/>
  <c r="EK5" i="6" s="1"/>
  <c r="EQ6" i="1"/>
  <c r="EL5" i="6" s="1"/>
  <c r="ER6" i="1"/>
  <c r="EM5" i="6" s="1"/>
  <c r="ES6" i="1"/>
  <c r="EN5" i="6" s="1"/>
  <c r="ET6" i="1"/>
  <c r="EO5" i="6" s="1"/>
  <c r="EP5" i="6"/>
  <c r="EQ5" i="6"/>
  <c r="ER5" i="6"/>
  <c r="ES5" i="6"/>
  <c r="ET5" i="6"/>
  <c r="EU5" i="6"/>
  <c r="EV5" i="6"/>
  <c r="BK6" i="1"/>
  <c r="BL6" i="1"/>
  <c r="BM6" i="1"/>
  <c r="BN6" i="1"/>
  <c r="BO6" i="1"/>
  <c r="BP6" i="1"/>
  <c r="BQ6" i="1"/>
  <c r="BR6" i="1"/>
  <c r="BS6" i="1"/>
  <c r="BT6" i="1"/>
  <c r="BJ6" i="1"/>
  <c r="BJ3" i="1"/>
  <c r="DX3" i="1"/>
  <c r="DS3" i="6" s="1"/>
  <c r="DY3" i="1"/>
  <c r="DT3" i="6" s="1"/>
  <c r="DZ3" i="1"/>
  <c r="DU3" i="6" s="1"/>
  <c r="EA3" i="1"/>
  <c r="DV3" i="6" s="1"/>
  <c r="EB3" i="1"/>
  <c r="DW3" i="6" s="1"/>
  <c r="EC3" i="1"/>
  <c r="DX3" i="6" s="1"/>
  <c r="ED3" i="1"/>
  <c r="DY3" i="6" s="1"/>
  <c r="EE3" i="1"/>
  <c r="DZ3" i="6" s="1"/>
  <c r="EF3" i="1"/>
  <c r="EA3" i="6" s="1"/>
  <c r="EG3" i="1"/>
  <c r="EB3" i="6" s="1"/>
  <c r="EH3" i="1"/>
  <c r="EC3" i="6" s="1"/>
  <c r="EI3" i="1"/>
  <c r="ED3" i="6" s="1"/>
  <c r="EJ3" i="1"/>
  <c r="EE3" i="6" s="1"/>
  <c r="EK3" i="1"/>
  <c r="EF3" i="6" s="1"/>
  <c r="EL3" i="1"/>
  <c r="EG3" i="6" s="1"/>
  <c r="EM3" i="1"/>
  <c r="EH3" i="6" s="1"/>
  <c r="EN3" i="1"/>
  <c r="EI3" i="6" s="1"/>
  <c r="EO3" i="1"/>
  <c r="EJ3" i="6" s="1"/>
  <c r="EP3" i="1"/>
  <c r="EK3" i="6" s="1"/>
  <c r="EQ3" i="1"/>
  <c r="EL3" i="6" s="1"/>
  <c r="ER3" i="1"/>
  <c r="EM3" i="6" s="1"/>
  <c r="ES3" i="1"/>
  <c r="EN3" i="6" s="1"/>
  <c r="ET3" i="1"/>
  <c r="EO3" i="6" s="1"/>
  <c r="EU3" i="1"/>
  <c r="EP3" i="6" s="1"/>
  <c r="EV3" i="1"/>
  <c r="EQ3" i="6" s="1"/>
  <c r="EW3" i="1"/>
  <c r="ER3" i="6" s="1"/>
  <c r="EX3" i="1"/>
  <c r="ES3" i="6" s="1"/>
  <c r="EY3" i="1"/>
  <c r="ET3" i="6" s="1"/>
  <c r="EZ3" i="1"/>
  <c r="EU3" i="6" s="1"/>
  <c r="FA3" i="1"/>
  <c r="EV3" i="6" s="1"/>
  <c r="DX7" i="1"/>
  <c r="DS6" i="6" s="1"/>
  <c r="DY7" i="1"/>
  <c r="DT6" i="6" s="1"/>
  <c r="DZ7" i="1"/>
  <c r="DU6" i="6" s="1"/>
  <c r="EA7" i="1"/>
  <c r="DV6" i="6" s="1"/>
  <c r="EB7" i="1"/>
  <c r="DW6" i="6" s="1"/>
  <c r="EC7" i="1"/>
  <c r="DX6" i="6" s="1"/>
  <c r="ED7" i="1"/>
  <c r="DY6" i="6" s="1"/>
  <c r="EE7" i="1"/>
  <c r="DZ6" i="6" s="1"/>
  <c r="EF7" i="1"/>
  <c r="EA6" i="6" s="1"/>
  <c r="EG7" i="1"/>
  <c r="EB6" i="6" s="1"/>
  <c r="EH7" i="1"/>
  <c r="EC6" i="6" s="1"/>
  <c r="EI7" i="1"/>
  <c r="ED6" i="6" s="1"/>
  <c r="EJ7" i="1"/>
  <c r="EE6" i="6" s="1"/>
  <c r="EK7" i="1"/>
  <c r="EF6" i="6" s="1"/>
  <c r="EL7" i="1"/>
  <c r="EG6" i="6" s="1"/>
  <c r="EM7" i="1"/>
  <c r="EH6" i="6" s="1"/>
  <c r="EN7" i="1"/>
  <c r="EI6" i="6" s="1"/>
  <c r="EO7" i="1"/>
  <c r="EJ6" i="6" s="1"/>
  <c r="EP7" i="1"/>
  <c r="EK6" i="6" s="1"/>
  <c r="EQ7" i="1"/>
  <c r="EL6" i="6" s="1"/>
  <c r="ER7" i="1"/>
  <c r="EM6" i="6" s="1"/>
  <c r="ES7" i="1"/>
  <c r="EN6" i="6" s="1"/>
  <c r="ET7" i="1"/>
  <c r="EO6" i="6" s="1"/>
  <c r="EU7" i="1"/>
  <c r="EP6" i="6" s="1"/>
  <c r="EV7" i="1"/>
  <c r="EQ6" i="6" s="1"/>
  <c r="EW7" i="1"/>
  <c r="ER6" i="6" s="1"/>
  <c r="EX7" i="1"/>
  <c r="ES6" i="6" s="1"/>
  <c r="EY7" i="1"/>
  <c r="ET6" i="6" s="1"/>
  <c r="EZ7" i="1"/>
  <c r="EU6" i="6" s="1"/>
  <c r="FA7" i="1"/>
  <c r="EV6" i="6" s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DW3" i="1"/>
  <c r="DR3" i="6" s="1"/>
  <c r="DW7" i="1"/>
  <c r="DR6" i="6" s="1"/>
  <c r="DW16" i="1"/>
  <c r="DW17" i="1"/>
  <c r="CS8" i="1" a="1"/>
  <c r="CS8" i="1" s="1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S95" i="4"/>
  <c r="T95" i="4"/>
  <c r="S96" i="4"/>
  <c r="T96" i="4"/>
  <c r="S97" i="4"/>
  <c r="T97" i="4"/>
  <c r="S98" i="4"/>
  <c r="T98" i="4"/>
  <c r="S99" i="4"/>
  <c r="T99" i="4"/>
  <c r="S100" i="4"/>
  <c r="T100" i="4"/>
  <c r="S101" i="4"/>
  <c r="T101" i="4"/>
  <c r="S102" i="4"/>
  <c r="T102" i="4"/>
  <c r="S103" i="4"/>
  <c r="T103" i="4"/>
  <c r="S104" i="4"/>
  <c r="T104" i="4"/>
  <c r="S105" i="4"/>
  <c r="T105" i="4"/>
  <c r="S106" i="4"/>
  <c r="T106" i="4"/>
  <c r="S107" i="4"/>
  <c r="T107" i="4"/>
  <c r="S108" i="4"/>
  <c r="T108" i="4"/>
  <c r="S109" i="4"/>
  <c r="T109" i="4"/>
  <c r="S110" i="4"/>
  <c r="T110" i="4"/>
  <c r="S111" i="4"/>
  <c r="T111" i="4"/>
  <c r="S112" i="4"/>
  <c r="T112" i="4"/>
  <c r="S113" i="4"/>
  <c r="T113" i="4"/>
  <c r="S114" i="4"/>
  <c r="T114" i="4"/>
  <c r="S115" i="4"/>
  <c r="T115" i="4"/>
  <c r="S116" i="4"/>
  <c r="T116" i="4"/>
  <c r="S117" i="4"/>
  <c r="T117" i="4"/>
  <c r="S118" i="4"/>
  <c r="T118" i="4"/>
  <c r="S119" i="4"/>
  <c r="T119" i="4"/>
  <c r="S120" i="4"/>
  <c r="T120" i="4"/>
  <c r="S121" i="4"/>
  <c r="T121" i="4"/>
  <c r="S122" i="4"/>
  <c r="T122" i="4"/>
  <c r="S123" i="4"/>
  <c r="T123" i="4"/>
  <c r="S124" i="4"/>
  <c r="T124" i="4"/>
  <c r="S94" i="4"/>
  <c r="CV3" i="1"/>
  <c r="CQ3" i="6" s="1"/>
  <c r="CW3" i="1"/>
  <c r="CR3" i="6" s="1"/>
  <c r="CX3" i="1"/>
  <c r="CS3" i="6" s="1"/>
  <c r="CY3" i="1"/>
  <c r="CT3" i="6" s="1"/>
  <c r="CZ3" i="1"/>
  <c r="CU3" i="6" s="1"/>
  <c r="DA3" i="1"/>
  <c r="CV3" i="6" s="1"/>
  <c r="DB3" i="1"/>
  <c r="CW3" i="6" s="1"/>
  <c r="DC3" i="1"/>
  <c r="CX3" i="6" s="1"/>
  <c r="DD3" i="1"/>
  <c r="CY3" i="6" s="1"/>
  <c r="DE3" i="1"/>
  <c r="CZ3" i="6" s="1"/>
  <c r="DF3" i="1"/>
  <c r="DA3" i="6" s="1"/>
  <c r="DG3" i="1"/>
  <c r="DB3" i="6" s="1"/>
  <c r="DH3" i="1"/>
  <c r="DC3" i="6" s="1"/>
  <c r="DI3" i="1"/>
  <c r="DD3" i="6" s="1"/>
  <c r="DJ3" i="1"/>
  <c r="DE3" i="6" s="1"/>
  <c r="DK3" i="1"/>
  <c r="DF3" i="6" s="1"/>
  <c r="DL3" i="1"/>
  <c r="DG3" i="6" s="1"/>
  <c r="DM3" i="1"/>
  <c r="DH3" i="6" s="1"/>
  <c r="DN3" i="1"/>
  <c r="DI3" i="6" s="1"/>
  <c r="DO3" i="1"/>
  <c r="DJ3" i="6" s="1"/>
  <c r="DP3" i="1"/>
  <c r="DK3" i="6" s="1"/>
  <c r="DQ3" i="1"/>
  <c r="DL3" i="6" s="1"/>
  <c r="DR3" i="1"/>
  <c r="DM3" i="6" s="1"/>
  <c r="DS3" i="1"/>
  <c r="DN3" i="6" s="1"/>
  <c r="DT3" i="1"/>
  <c r="DO3" i="6" s="1"/>
  <c r="DU3" i="1"/>
  <c r="DP3" i="6" s="1"/>
  <c r="DV3" i="1"/>
  <c r="DQ3" i="6" s="1"/>
  <c r="CV7" i="1"/>
  <c r="CQ6" i="6" s="1"/>
  <c r="CW7" i="1"/>
  <c r="CR6" i="6" s="1"/>
  <c r="CX7" i="1"/>
  <c r="CS6" i="6" s="1"/>
  <c r="CY7" i="1"/>
  <c r="CT6" i="6" s="1"/>
  <c r="CZ7" i="1"/>
  <c r="CU6" i="6" s="1"/>
  <c r="DA7" i="1"/>
  <c r="CV6" i="6" s="1"/>
  <c r="DB7" i="1"/>
  <c r="CW6" i="6" s="1"/>
  <c r="DC7" i="1"/>
  <c r="CX6" i="6" s="1"/>
  <c r="DD7" i="1"/>
  <c r="CY6" i="6" s="1"/>
  <c r="DE7" i="1"/>
  <c r="CZ6" i="6" s="1"/>
  <c r="DF7" i="1"/>
  <c r="DA6" i="6" s="1"/>
  <c r="DG7" i="1"/>
  <c r="DB6" i="6" s="1"/>
  <c r="DH7" i="1"/>
  <c r="DC6" i="6" s="1"/>
  <c r="DI7" i="1"/>
  <c r="DD6" i="6" s="1"/>
  <c r="DJ7" i="1"/>
  <c r="DE6" i="6" s="1"/>
  <c r="DK7" i="1"/>
  <c r="DF6" i="6" s="1"/>
  <c r="DL7" i="1"/>
  <c r="DG6" i="6" s="1"/>
  <c r="DM7" i="1"/>
  <c r="DH6" i="6" s="1"/>
  <c r="DN7" i="1"/>
  <c r="DI6" i="6" s="1"/>
  <c r="DO7" i="1"/>
  <c r="DJ6" i="6" s="1"/>
  <c r="DP7" i="1"/>
  <c r="DK6" i="6" s="1"/>
  <c r="DQ7" i="1"/>
  <c r="DL6" i="6" s="1"/>
  <c r="DR7" i="1"/>
  <c r="DM6" i="6" s="1"/>
  <c r="DS7" i="1"/>
  <c r="DN6" i="6" s="1"/>
  <c r="DT7" i="1"/>
  <c r="DO6" i="6" s="1"/>
  <c r="DU7" i="1"/>
  <c r="DP6" i="6" s="1"/>
  <c r="DV7" i="1"/>
  <c r="DQ6" i="6" s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CU3" i="1"/>
  <c r="CP3" i="6" s="1"/>
  <c r="CU7" i="1"/>
  <c r="CP6" i="6" s="1"/>
  <c r="CU16" i="1"/>
  <c r="CU17" i="1"/>
  <c r="CT3" i="1"/>
  <c r="CO3" i="6" s="1"/>
  <c r="CT7" i="1"/>
  <c r="CO6" i="6" s="1"/>
  <c r="CT16" i="1"/>
  <c r="CT17" i="1"/>
  <c r="W2" i="1"/>
  <c r="G6" i="1"/>
  <c r="H6" i="1"/>
  <c r="I6" i="1"/>
  <c r="J6" i="1"/>
  <c r="K6" i="1"/>
  <c r="L6" i="1"/>
  <c r="M6" i="1"/>
  <c r="N6" i="1"/>
  <c r="O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P6" i="1"/>
  <c r="CS3" i="1"/>
  <c r="CN3" i="6" s="1"/>
  <c r="CS7" i="1"/>
  <c r="CN6" i="6" s="1"/>
  <c r="CS16" i="1"/>
  <c r="CS17" i="1"/>
  <c r="DW4" i="1" l="1"/>
  <c r="DR4" i="6" s="1"/>
  <c r="EX4" i="1"/>
  <c r="EW4" i="1"/>
  <c r="EO4" i="1"/>
  <c r="EG4" i="1"/>
  <c r="DY4" i="1"/>
  <c r="DT4" i="6" s="1"/>
  <c r="EU4" i="1"/>
  <c r="EM4" i="1"/>
  <c r="EE4" i="1"/>
  <c r="ET4" i="1"/>
  <c r="EL4" i="1"/>
  <c r="ED4" i="1"/>
  <c r="FA4" i="1"/>
  <c r="ES4" i="1"/>
  <c r="EK4" i="1"/>
  <c r="EC4" i="1"/>
  <c r="EY4" i="1"/>
  <c r="EP4" i="1"/>
  <c r="EH4" i="1"/>
  <c r="DZ4" i="1"/>
  <c r="EV4" i="1"/>
  <c r="ER4" i="1"/>
  <c r="EQ4" i="1"/>
  <c r="EI4" i="1"/>
  <c r="EF4" i="1"/>
  <c r="EA4" i="1"/>
  <c r="DX4" i="1"/>
  <c r="DS4" i="6" s="1"/>
  <c r="EN4" i="1"/>
  <c r="EJ4" i="1"/>
  <c r="EZ4" i="1"/>
  <c r="EB4" i="1"/>
  <c r="CT4" i="1"/>
  <c r="CO4" i="6" s="1"/>
  <c r="CU4" i="1"/>
  <c r="CP4" i="6" s="1"/>
  <c r="DV4" i="1"/>
  <c r="DQ4" i="6" s="1"/>
  <c r="DT4" i="1"/>
  <c r="DO4" i="6" s="1"/>
  <c r="DP4" i="1"/>
  <c r="DK4" i="6" s="1"/>
  <c r="DN4" i="1"/>
  <c r="DI4" i="6" s="1"/>
  <c r="DL4" i="1"/>
  <c r="DG4" i="6" s="1"/>
  <c r="DH4" i="1"/>
  <c r="DC4" i="6" s="1"/>
  <c r="DF4" i="1"/>
  <c r="DA4" i="6" s="1"/>
  <c r="CX4" i="1"/>
  <c r="DU4" i="1"/>
  <c r="DP4" i="6" s="1"/>
  <c r="DD4" i="1"/>
  <c r="CV4" i="1"/>
  <c r="CQ4" i="6" s="1"/>
  <c r="DR4" i="1"/>
  <c r="DM4" i="6" s="1"/>
  <c r="DJ4" i="1"/>
  <c r="DE4" i="6" s="1"/>
  <c r="DB4" i="1"/>
  <c r="CZ4" i="1"/>
  <c r="DC4" i="1"/>
  <c r="DA4" i="1"/>
  <c r="DS4" i="1"/>
  <c r="DN4" i="6" s="1"/>
  <c r="DK4" i="1"/>
  <c r="DF4" i="6" s="1"/>
  <c r="DI4" i="1"/>
  <c r="DD4" i="6" s="1"/>
  <c r="DE4" i="1"/>
  <c r="CZ4" i="6" s="1"/>
  <c r="DM4" i="1"/>
  <c r="DH4" i="6" s="1"/>
  <c r="DQ4" i="1"/>
  <c r="DL4" i="6" s="1"/>
  <c r="DO4" i="1"/>
  <c r="DJ4" i="6" s="1"/>
  <c r="DG4" i="1"/>
  <c r="DB4" i="6" s="1"/>
  <c r="CY4" i="1"/>
  <c r="CW4" i="1"/>
  <c r="CR4" i="6" s="1"/>
  <c r="CS4" i="1"/>
  <c r="CN4" i="6" s="1"/>
  <c r="EQ9" i="1" l="1"/>
  <c r="EL4" i="6"/>
  <c r="EK9" i="1"/>
  <c r="EF4" i="6"/>
  <c r="EU9" i="1"/>
  <c r="EP4" i="6"/>
  <c r="EZ9" i="1"/>
  <c r="EU4" i="6"/>
  <c r="ER9" i="1"/>
  <c r="EM4" i="6"/>
  <c r="ES9" i="1"/>
  <c r="EN4" i="6"/>
  <c r="EI9" i="1"/>
  <c r="ED4" i="6"/>
  <c r="DZ9" i="1"/>
  <c r="DU4" i="6"/>
  <c r="EO9" i="1"/>
  <c r="EJ4" i="6"/>
  <c r="EG9" i="1"/>
  <c r="EB4" i="6"/>
  <c r="DD9" i="1"/>
  <c r="CY4" i="6"/>
  <c r="EL9" i="1"/>
  <c r="EG4" i="6"/>
  <c r="EW9" i="1"/>
  <c r="ER4" i="6"/>
  <c r="CZ9" i="1"/>
  <c r="CU4" i="6"/>
  <c r="EC9" i="1"/>
  <c r="DX4" i="6"/>
  <c r="EV9" i="1"/>
  <c r="EQ4" i="6"/>
  <c r="EN9" i="1"/>
  <c r="EI4" i="6"/>
  <c r="CY9" i="1"/>
  <c r="CT4" i="6"/>
  <c r="DA9" i="1"/>
  <c r="CV4" i="6"/>
  <c r="EA9" i="1"/>
  <c r="DV4" i="6"/>
  <c r="EP9" i="1"/>
  <c r="EK4" i="6"/>
  <c r="ET9" i="1"/>
  <c r="EO4" i="6"/>
  <c r="EX9" i="1"/>
  <c r="ES4" i="6"/>
  <c r="EM9" i="1"/>
  <c r="EH4" i="6"/>
  <c r="DB9" i="1"/>
  <c r="CW4" i="6"/>
  <c r="EJ9" i="1"/>
  <c r="EE4" i="6"/>
  <c r="FA9" i="1"/>
  <c r="EV4" i="6"/>
  <c r="DC9" i="1"/>
  <c r="CX4" i="6"/>
  <c r="CX9" i="1"/>
  <c r="CS4" i="6"/>
  <c r="EY9" i="1"/>
  <c r="ET4" i="6"/>
  <c r="EE9" i="1"/>
  <c r="DZ4" i="6"/>
  <c r="EH9" i="1"/>
  <c r="EC4" i="6"/>
  <c r="EB9" i="1"/>
  <c r="DW4" i="6"/>
  <c r="ED9" i="1"/>
  <c r="DY4" i="6"/>
  <c r="EF9" i="1"/>
  <c r="EA4" i="6"/>
  <c r="DT9" i="1"/>
  <c r="DX9" i="1"/>
  <c r="DY9" i="1"/>
  <c r="DW9" i="1"/>
  <c r="DS9" i="1"/>
  <c r="DV9" i="1"/>
  <c r="DU9" i="1"/>
  <c r="DR9" i="1"/>
  <c r="DM9" i="1"/>
  <c r="DP9" i="1"/>
  <c r="DO9" i="1"/>
  <c r="DQ9" i="1"/>
  <c r="DN9" i="1"/>
  <c r="DL9" i="1"/>
  <c r="DH9" i="1"/>
  <c r="DE9" i="1"/>
  <c r="DJ9" i="1"/>
  <c r="DF9" i="1"/>
  <c r="DK9" i="1"/>
  <c r="DI9" i="1"/>
  <c r="DG9" i="1"/>
  <c r="CW9" i="1"/>
  <c r="CV9" i="1"/>
  <c r="CU9" i="1"/>
  <c r="CS9" i="1"/>
  <c r="CT9" i="1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L7" i="3"/>
  <c r="M7" i="3"/>
  <c r="L8" i="3"/>
  <c r="N8" i="3" s="1"/>
  <c r="M8" i="3"/>
  <c r="L9" i="3"/>
  <c r="M9" i="3"/>
  <c r="L10" i="3"/>
  <c r="N10" i="3" s="1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N32" i="3" s="1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L40" i="3"/>
  <c r="M4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L51" i="3"/>
  <c r="M51" i="3"/>
  <c r="L52" i="3"/>
  <c r="M52" i="3"/>
  <c r="L53" i="3"/>
  <c r="M53" i="3"/>
  <c r="L54" i="3"/>
  <c r="M54" i="3"/>
  <c r="L55" i="3"/>
  <c r="M55" i="3"/>
  <c r="L56" i="3"/>
  <c r="M56" i="3"/>
  <c r="L57" i="3"/>
  <c r="M57" i="3"/>
  <c r="L58" i="3"/>
  <c r="M58" i="3"/>
  <c r="L59" i="3"/>
  <c r="M59" i="3"/>
  <c r="L60" i="3"/>
  <c r="M60" i="3"/>
  <c r="L61" i="3"/>
  <c r="M61" i="3"/>
  <c r="L62" i="3"/>
  <c r="M62" i="3"/>
  <c r="L63" i="3"/>
  <c r="M63" i="3"/>
  <c r="L64" i="3"/>
  <c r="M64" i="3"/>
  <c r="L65" i="3"/>
  <c r="N65" i="3" s="1"/>
  <c r="M65" i="3"/>
  <c r="L66" i="3"/>
  <c r="M66" i="3"/>
  <c r="L67" i="3"/>
  <c r="M67" i="3"/>
  <c r="L68" i="3"/>
  <c r="N68" i="3" s="1"/>
  <c r="M68" i="3"/>
  <c r="L69" i="3"/>
  <c r="M69" i="3"/>
  <c r="L70" i="3"/>
  <c r="M70" i="3"/>
  <c r="L71" i="3"/>
  <c r="M71" i="3"/>
  <c r="L72" i="3"/>
  <c r="M72" i="3"/>
  <c r="L73" i="3"/>
  <c r="M73" i="3"/>
  <c r="L74" i="3"/>
  <c r="M74" i="3"/>
  <c r="L75" i="3"/>
  <c r="M75" i="3"/>
  <c r="L76" i="3"/>
  <c r="N76" i="3" s="1"/>
  <c r="M76" i="3"/>
  <c r="L77" i="3"/>
  <c r="M77" i="3"/>
  <c r="L78" i="3"/>
  <c r="M78" i="3"/>
  <c r="L79" i="3"/>
  <c r="M79" i="3"/>
  <c r="L80" i="3"/>
  <c r="N80" i="3" s="1"/>
  <c r="M80" i="3"/>
  <c r="L81" i="3"/>
  <c r="M81" i="3"/>
  <c r="L82" i="3"/>
  <c r="M82" i="3"/>
  <c r="L83" i="3"/>
  <c r="M83" i="3"/>
  <c r="L84" i="3"/>
  <c r="M84" i="3"/>
  <c r="L85" i="3"/>
  <c r="M85" i="3"/>
  <c r="L86" i="3"/>
  <c r="M86" i="3"/>
  <c r="L87" i="3"/>
  <c r="M87" i="3"/>
  <c r="L88" i="3"/>
  <c r="M88" i="3"/>
  <c r="L89" i="3"/>
  <c r="M89" i="3"/>
  <c r="L90" i="3"/>
  <c r="M90" i="3"/>
  <c r="L91" i="3"/>
  <c r="M91" i="3"/>
  <c r="L92" i="3"/>
  <c r="M92" i="3"/>
  <c r="L93" i="3"/>
  <c r="M93" i="3"/>
  <c r="L94" i="3"/>
  <c r="M94" i="3"/>
  <c r="L95" i="3"/>
  <c r="M95" i="3"/>
  <c r="L96" i="3"/>
  <c r="M96" i="3"/>
  <c r="L97" i="3"/>
  <c r="M97" i="3"/>
  <c r="L98" i="3"/>
  <c r="M98" i="3"/>
  <c r="L99" i="3"/>
  <c r="M99" i="3"/>
  <c r="L100" i="3"/>
  <c r="M100" i="3"/>
  <c r="L101" i="3"/>
  <c r="M101" i="3"/>
  <c r="L102" i="3"/>
  <c r="M102" i="3"/>
  <c r="L103" i="3"/>
  <c r="M103" i="3"/>
  <c r="L104" i="3"/>
  <c r="M104" i="3"/>
  <c r="L105" i="3"/>
  <c r="M105" i="3"/>
  <c r="L106" i="3"/>
  <c r="M106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N127" i="3" s="1"/>
  <c r="L128" i="3"/>
  <c r="N128" i="3" s="1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N134" i="3" s="1"/>
  <c r="L135" i="3"/>
  <c r="M135" i="3"/>
  <c r="N135" i="3" s="1"/>
  <c r="L136" i="3"/>
  <c r="M136" i="3"/>
  <c r="L137" i="3"/>
  <c r="M137" i="3"/>
  <c r="L138" i="3"/>
  <c r="M138" i="3"/>
  <c r="L139" i="3"/>
  <c r="M139" i="3"/>
  <c r="L140" i="3"/>
  <c r="M140" i="3"/>
  <c r="L141" i="3"/>
  <c r="M141" i="3"/>
  <c r="L142" i="3"/>
  <c r="M142" i="3"/>
  <c r="L143" i="3"/>
  <c r="M143" i="3"/>
  <c r="L144" i="3"/>
  <c r="M144" i="3"/>
  <c r="L145" i="3"/>
  <c r="M145" i="3"/>
  <c r="L146" i="3"/>
  <c r="M146" i="3"/>
  <c r="L147" i="3"/>
  <c r="M147" i="3"/>
  <c r="L148" i="3"/>
  <c r="M148" i="3"/>
  <c r="L149" i="3"/>
  <c r="M149" i="3"/>
  <c r="L150" i="3"/>
  <c r="M150" i="3"/>
  <c r="L151" i="3"/>
  <c r="M151" i="3"/>
  <c r="L152" i="3"/>
  <c r="M152" i="3"/>
  <c r="L153" i="3"/>
  <c r="M153" i="3"/>
  <c r="L154" i="3"/>
  <c r="M154" i="3"/>
  <c r="L155" i="3"/>
  <c r="M155" i="3"/>
  <c r="L156" i="3"/>
  <c r="M156" i="3"/>
  <c r="L157" i="3"/>
  <c r="M157" i="3"/>
  <c r="N158" i="3"/>
  <c r="N159" i="3"/>
  <c r="L164" i="3"/>
  <c r="M164" i="3"/>
  <c r="L165" i="3"/>
  <c r="M165" i="3"/>
  <c r="L166" i="3"/>
  <c r="M166" i="3"/>
  <c r="L167" i="3"/>
  <c r="M167" i="3"/>
  <c r="L168" i="3"/>
  <c r="M168" i="3"/>
  <c r="L169" i="3"/>
  <c r="M169" i="3"/>
  <c r="N169" i="3" s="1"/>
  <c r="L170" i="3"/>
  <c r="M170" i="3"/>
  <c r="L171" i="3"/>
  <c r="M171" i="3"/>
  <c r="L172" i="3"/>
  <c r="M172" i="3"/>
  <c r="L173" i="3"/>
  <c r="M173" i="3"/>
  <c r="L174" i="3"/>
  <c r="M174" i="3"/>
  <c r="L175" i="3"/>
  <c r="M175" i="3"/>
  <c r="L176" i="3"/>
  <c r="M176" i="3"/>
  <c r="L177" i="3"/>
  <c r="M177" i="3"/>
  <c r="L178" i="3"/>
  <c r="M178" i="3"/>
  <c r="L179" i="3"/>
  <c r="M179" i="3"/>
  <c r="L180" i="3"/>
  <c r="M180" i="3"/>
  <c r="L181" i="3"/>
  <c r="M181" i="3"/>
  <c r="L182" i="3"/>
  <c r="M182" i="3"/>
  <c r="L183" i="3"/>
  <c r="M183" i="3"/>
  <c r="L184" i="3"/>
  <c r="M184" i="3"/>
  <c r="L185" i="3"/>
  <c r="M185" i="3"/>
  <c r="L186" i="3"/>
  <c r="M186" i="3"/>
  <c r="L187" i="3"/>
  <c r="M187" i="3"/>
  <c r="L188" i="3"/>
  <c r="M188" i="3"/>
  <c r="L189" i="3"/>
  <c r="M189" i="3"/>
  <c r="L190" i="3"/>
  <c r="M190" i="3"/>
  <c r="L191" i="3"/>
  <c r="M191" i="3"/>
  <c r="L192" i="3"/>
  <c r="M192" i="3"/>
  <c r="L193" i="3"/>
  <c r="M193" i="3"/>
  <c r="L194" i="3"/>
  <c r="M194" i="3"/>
  <c r="L195" i="3"/>
  <c r="M195" i="3"/>
  <c r="L196" i="3"/>
  <c r="M196" i="3"/>
  <c r="L197" i="3"/>
  <c r="M197" i="3"/>
  <c r="L198" i="3"/>
  <c r="M198" i="3"/>
  <c r="L199" i="3"/>
  <c r="M199" i="3"/>
  <c r="L200" i="3"/>
  <c r="M200" i="3"/>
  <c r="L201" i="3"/>
  <c r="M201" i="3"/>
  <c r="L202" i="3"/>
  <c r="M202" i="3"/>
  <c r="L203" i="3"/>
  <c r="M203" i="3"/>
  <c r="L204" i="3"/>
  <c r="M204" i="3"/>
  <c r="L205" i="3"/>
  <c r="M205" i="3"/>
  <c r="L206" i="3"/>
  <c r="M206" i="3"/>
  <c r="L213" i="3"/>
  <c r="M213" i="3"/>
  <c r="L214" i="3"/>
  <c r="M214" i="3"/>
  <c r="L215" i="3"/>
  <c r="M215" i="3"/>
  <c r="L216" i="3"/>
  <c r="M216" i="3"/>
  <c r="L217" i="3"/>
  <c r="M217" i="3"/>
  <c r="L218" i="3"/>
  <c r="M218" i="3"/>
  <c r="L219" i="3"/>
  <c r="M219" i="3"/>
  <c r="L220" i="3"/>
  <c r="M220" i="3"/>
  <c r="L221" i="3"/>
  <c r="M221" i="3"/>
  <c r="L222" i="3"/>
  <c r="M222" i="3"/>
  <c r="L223" i="3"/>
  <c r="M223" i="3"/>
  <c r="L224" i="3"/>
  <c r="M224" i="3"/>
  <c r="L225" i="3"/>
  <c r="M225" i="3"/>
  <c r="L226" i="3"/>
  <c r="M226" i="3"/>
  <c r="L227" i="3"/>
  <c r="M227" i="3"/>
  <c r="L228" i="3"/>
  <c r="M228" i="3"/>
  <c r="L229" i="3"/>
  <c r="M229" i="3"/>
  <c r="L230" i="3"/>
  <c r="M230" i="3"/>
  <c r="L231" i="3"/>
  <c r="M231" i="3"/>
  <c r="L232" i="3"/>
  <c r="M232" i="3"/>
  <c r="L233" i="3"/>
  <c r="M233" i="3"/>
  <c r="L234" i="3"/>
  <c r="M234" i="3"/>
  <c r="L235" i="3"/>
  <c r="M235" i="3"/>
  <c r="L236" i="3"/>
  <c r="M236" i="3"/>
  <c r="L237" i="3"/>
  <c r="M237" i="3"/>
  <c r="L238" i="3"/>
  <c r="M238" i="3"/>
  <c r="L239" i="3"/>
  <c r="M239" i="3"/>
  <c r="L240" i="3"/>
  <c r="M240" i="3"/>
  <c r="L241" i="3"/>
  <c r="M241" i="3"/>
  <c r="L242" i="3"/>
  <c r="M242" i="3"/>
  <c r="L243" i="3"/>
  <c r="M243" i="3"/>
  <c r="L244" i="3"/>
  <c r="M244" i="3"/>
  <c r="L245" i="3"/>
  <c r="M245" i="3"/>
  <c r="L246" i="3"/>
  <c r="M246" i="3"/>
  <c r="L247" i="3"/>
  <c r="M247" i="3"/>
  <c r="L248" i="3"/>
  <c r="M248" i="3"/>
  <c r="L249" i="3"/>
  <c r="M249" i="3"/>
  <c r="L250" i="3"/>
  <c r="M250" i="3"/>
  <c r="L251" i="3"/>
  <c r="M251" i="3"/>
  <c r="L252" i="3"/>
  <c r="M252" i="3"/>
  <c r="L253" i="3"/>
  <c r="M253" i="3"/>
  <c r="L254" i="3"/>
  <c r="M254" i="3"/>
  <c r="L255" i="3"/>
  <c r="M255" i="3"/>
  <c r="L256" i="3"/>
  <c r="M256" i="3"/>
  <c r="L257" i="3"/>
  <c r="M257" i="3"/>
  <c r="L258" i="3"/>
  <c r="M258" i="3"/>
  <c r="L259" i="3"/>
  <c r="M259" i="3"/>
  <c r="L260" i="3"/>
  <c r="M260" i="3"/>
  <c r="L261" i="3"/>
  <c r="M261" i="3"/>
  <c r="L262" i="3"/>
  <c r="M262" i="3"/>
  <c r="L263" i="3"/>
  <c r="M263" i="3"/>
  <c r="L264" i="3"/>
  <c r="M264" i="3"/>
  <c r="L265" i="3"/>
  <c r="M265" i="3"/>
  <c r="L266" i="3"/>
  <c r="M266" i="3"/>
  <c r="L267" i="3"/>
  <c r="M267" i="3"/>
  <c r="L268" i="3"/>
  <c r="M268" i="3"/>
  <c r="L269" i="3"/>
  <c r="M269" i="3"/>
  <c r="L270" i="3"/>
  <c r="M270" i="3"/>
  <c r="L271" i="3"/>
  <c r="M271" i="3"/>
  <c r="L272" i="3"/>
  <c r="M272" i="3"/>
  <c r="L273" i="3"/>
  <c r="M273" i="3"/>
  <c r="L274" i="3"/>
  <c r="M274" i="3"/>
  <c r="L275" i="3"/>
  <c r="M275" i="3"/>
  <c r="L276" i="3"/>
  <c r="M276" i="3"/>
  <c r="L277" i="3"/>
  <c r="M277" i="3"/>
  <c r="L278" i="3"/>
  <c r="M278" i="3"/>
  <c r="L279" i="3"/>
  <c r="M279" i="3"/>
  <c r="L280" i="3"/>
  <c r="M280" i="3"/>
  <c r="L281" i="3"/>
  <c r="M281" i="3"/>
  <c r="L282" i="3"/>
  <c r="M282" i="3"/>
  <c r="L283" i="3"/>
  <c r="M283" i="3"/>
  <c r="L284" i="3"/>
  <c r="M284" i="3"/>
  <c r="L285" i="3"/>
  <c r="M285" i="3"/>
  <c r="L286" i="3"/>
  <c r="M286" i="3"/>
  <c r="L287" i="3"/>
  <c r="M287" i="3"/>
  <c r="L288" i="3"/>
  <c r="M288" i="3"/>
  <c r="L289" i="3"/>
  <c r="M289" i="3"/>
  <c r="L290" i="3"/>
  <c r="M290" i="3"/>
  <c r="L291" i="3"/>
  <c r="M291" i="3"/>
  <c r="L292" i="3"/>
  <c r="M292" i="3"/>
  <c r="L293" i="3"/>
  <c r="M293" i="3"/>
  <c r="L294" i="3"/>
  <c r="M294" i="3"/>
  <c r="L295" i="3"/>
  <c r="M295" i="3"/>
  <c r="L296" i="3"/>
  <c r="M296" i="3"/>
  <c r="L297" i="3"/>
  <c r="M297" i="3"/>
  <c r="N297" i="3" s="1"/>
  <c r="L298" i="3"/>
  <c r="M298" i="3"/>
  <c r="L299" i="3"/>
  <c r="M299" i="3"/>
  <c r="L300" i="3"/>
  <c r="M300" i="3"/>
  <c r="L301" i="3"/>
  <c r="M301" i="3"/>
  <c r="L302" i="3"/>
  <c r="M302" i="3"/>
  <c r="L303" i="3"/>
  <c r="N303" i="3" s="1"/>
  <c r="M303" i="3"/>
  <c r="L304" i="3"/>
  <c r="M304" i="3"/>
  <c r="N304" i="3" s="1"/>
  <c r="L305" i="3"/>
  <c r="M305" i="3"/>
  <c r="N305" i="3" s="1"/>
  <c r="L306" i="3"/>
  <c r="M306" i="3"/>
  <c r="L307" i="3"/>
  <c r="M307" i="3"/>
  <c r="L308" i="3"/>
  <c r="M308" i="3"/>
  <c r="L309" i="3"/>
  <c r="M309" i="3"/>
  <c r="L310" i="3"/>
  <c r="N310" i="3" s="1"/>
  <c r="M310" i="3"/>
  <c r="L311" i="3"/>
  <c r="M311" i="3"/>
  <c r="N311" i="3"/>
  <c r="L312" i="3"/>
  <c r="M312" i="3"/>
  <c r="L313" i="3"/>
  <c r="M313" i="3"/>
  <c r="N313" i="3" s="1"/>
  <c r="L314" i="3"/>
  <c r="M314" i="3"/>
  <c r="L315" i="3"/>
  <c r="M315" i="3"/>
  <c r="L316" i="3"/>
  <c r="M316" i="3"/>
  <c r="L317" i="3"/>
  <c r="M317" i="3"/>
  <c r="L318" i="3"/>
  <c r="N318" i="3" s="1"/>
  <c r="M318" i="3"/>
  <c r="L319" i="3"/>
  <c r="M319" i="3"/>
  <c r="L320" i="3"/>
  <c r="M320" i="3"/>
  <c r="N320" i="3" s="1"/>
  <c r="L321" i="3"/>
  <c r="M321" i="3"/>
  <c r="L322" i="3"/>
  <c r="M322" i="3"/>
  <c r="L323" i="3"/>
  <c r="M323" i="3"/>
  <c r="L324" i="3"/>
  <c r="M324" i="3"/>
  <c r="L325" i="3"/>
  <c r="M325" i="3"/>
  <c r="L326" i="3"/>
  <c r="N326" i="3" s="1"/>
  <c r="M326" i="3"/>
  <c r="L327" i="3"/>
  <c r="M327" i="3"/>
  <c r="N327" i="3" s="1"/>
  <c r="L328" i="3"/>
  <c r="M328" i="3"/>
  <c r="L329" i="3"/>
  <c r="M329" i="3"/>
  <c r="L330" i="3"/>
  <c r="M330" i="3"/>
  <c r="L331" i="3"/>
  <c r="M331" i="3"/>
  <c r="L332" i="3"/>
  <c r="M332" i="3"/>
  <c r="L333" i="3"/>
  <c r="M333" i="3"/>
  <c r="L334" i="3"/>
  <c r="M334" i="3"/>
  <c r="L335" i="3"/>
  <c r="M335" i="3"/>
  <c r="L336" i="3"/>
  <c r="M336" i="3"/>
  <c r="L337" i="3"/>
  <c r="M337" i="3"/>
  <c r="L338" i="3"/>
  <c r="N338" i="3" s="1"/>
  <c r="M338" i="3"/>
  <c r="L339" i="3"/>
  <c r="M339" i="3"/>
  <c r="L340" i="3"/>
  <c r="M340" i="3"/>
  <c r="L341" i="3"/>
  <c r="M341" i="3"/>
  <c r="L342" i="3"/>
  <c r="N342" i="3" s="1"/>
  <c r="M342" i="3"/>
  <c r="L343" i="3"/>
  <c r="M343" i="3"/>
  <c r="L344" i="3"/>
  <c r="M344" i="3"/>
  <c r="L345" i="3"/>
  <c r="M345" i="3"/>
  <c r="L346" i="3"/>
  <c r="N346" i="3" s="1"/>
  <c r="M346" i="3"/>
  <c r="L347" i="3"/>
  <c r="M347" i="3"/>
  <c r="L348" i="3"/>
  <c r="M348" i="3"/>
  <c r="L349" i="3"/>
  <c r="N349" i="3" s="1"/>
  <c r="M349" i="3"/>
  <c r="L350" i="3"/>
  <c r="N350" i="3" s="1"/>
  <c r="M350" i="3"/>
  <c r="L351" i="3"/>
  <c r="M351" i="3"/>
  <c r="L352" i="3"/>
  <c r="M352" i="3"/>
  <c r="L353" i="3"/>
  <c r="M353" i="3"/>
  <c r="L354" i="3"/>
  <c r="M354" i="3"/>
  <c r="L355" i="3"/>
  <c r="M355" i="3"/>
  <c r="L356" i="3"/>
  <c r="M356" i="3"/>
  <c r="L357" i="3"/>
  <c r="M357" i="3"/>
  <c r="L358" i="3"/>
  <c r="N358" i="3" s="1"/>
  <c r="M358" i="3"/>
  <c r="L359" i="3"/>
  <c r="M359" i="3"/>
  <c r="L360" i="3"/>
  <c r="M360" i="3"/>
  <c r="L361" i="3"/>
  <c r="M361" i="3"/>
  <c r="L362" i="3"/>
  <c r="M362" i="3"/>
  <c r="L363" i="3"/>
  <c r="M363" i="3"/>
  <c r="L364" i="3"/>
  <c r="M364" i="3"/>
  <c r="L365" i="3"/>
  <c r="M365" i="3"/>
  <c r="L366" i="3"/>
  <c r="M366" i="3"/>
  <c r="L367" i="3"/>
  <c r="N367" i="3" s="1"/>
  <c r="M367" i="3"/>
  <c r="L368" i="3"/>
  <c r="M368" i="3"/>
  <c r="L369" i="3"/>
  <c r="M369" i="3"/>
  <c r="L370" i="3"/>
  <c r="M370" i="3"/>
  <c r="N255" i="3" l="1"/>
  <c r="IP11" i="1" a="1"/>
  <c r="IP11" i="1" s="1"/>
  <c r="IP10" i="1" a="1"/>
  <c r="N246" i="3"/>
  <c r="N243" i="3"/>
  <c r="N237" i="3"/>
  <c r="N229" i="3"/>
  <c r="N95" i="3"/>
  <c r="N75" i="3"/>
  <c r="N195" i="3"/>
  <c r="N221" i="3"/>
  <c r="N215" i="3"/>
  <c r="N213" i="3"/>
  <c r="N205" i="3"/>
  <c r="N192" i="3"/>
  <c r="N197" i="3"/>
  <c r="GF10" i="1" a="1"/>
  <c r="GF11" i="1" a="1"/>
  <c r="GF11" i="1" s="1"/>
  <c r="N185" i="3"/>
  <c r="N176" i="3"/>
  <c r="N157" i="3"/>
  <c r="N152" i="3"/>
  <c r="N131" i="3"/>
  <c r="DW11" i="1" a="1"/>
  <c r="DW11" i="1" s="1"/>
  <c r="DW10" i="1" a="1"/>
  <c r="N121" i="3"/>
  <c r="N113" i="3"/>
  <c r="CS11" i="1" a="1"/>
  <c r="CS11" i="1" s="1"/>
  <c r="CS10" i="1" a="1"/>
  <c r="N96" i="3"/>
  <c r="N84" i="3"/>
  <c r="N88" i="3"/>
  <c r="N87" i="3"/>
  <c r="N79" i="3"/>
  <c r="N72" i="3"/>
  <c r="N71" i="3"/>
  <c r="N67" i="3"/>
  <c r="N64" i="3"/>
  <c r="N46" i="3"/>
  <c r="N334" i="3"/>
  <c r="N319" i="3"/>
  <c r="N296" i="3"/>
  <c r="N288" i="3"/>
  <c r="N284" i="3"/>
  <c r="N280" i="3"/>
  <c r="N272" i="3"/>
  <c r="N268" i="3"/>
  <c r="N264" i="3"/>
  <c r="N260" i="3"/>
  <c r="N256" i="3"/>
  <c r="N248" i="3"/>
  <c r="N224" i="3"/>
  <c r="N165" i="3"/>
  <c r="N137" i="3"/>
  <c r="N123" i="3"/>
  <c r="N188" i="3"/>
  <c r="N184" i="3"/>
  <c r="N180" i="3"/>
  <c r="N160" i="3"/>
  <c r="N144" i="3"/>
  <c r="N133" i="3"/>
  <c r="D13" i="9" s="1"/>
  <c r="N126" i="3"/>
  <c r="N122" i="3"/>
  <c r="N105" i="3"/>
  <c r="N294" i="3"/>
  <c r="N290" i="3"/>
  <c r="N286" i="3"/>
  <c r="N282" i="3"/>
  <c r="N278" i="3"/>
  <c r="N262" i="3"/>
  <c r="N258" i="3"/>
  <c r="N254" i="3"/>
  <c r="N250" i="3"/>
  <c r="N187" i="3"/>
  <c r="N167" i="3"/>
  <c r="N163" i="3"/>
  <c r="N368" i="3"/>
  <c r="N344" i="3"/>
  <c r="N336" i="3"/>
  <c r="N230" i="3"/>
  <c r="N226" i="3"/>
  <c r="N222" i="3"/>
  <c r="N218" i="3"/>
  <c r="N214" i="3"/>
  <c r="N206" i="3"/>
  <c r="D23" i="9" s="1"/>
  <c r="N202" i="3"/>
  <c r="N198" i="3"/>
  <c r="N194" i="3"/>
  <c r="N120" i="3"/>
  <c r="N93" i="3"/>
  <c r="N85" i="3"/>
  <c r="N69" i="3"/>
  <c r="N360" i="3"/>
  <c r="N352" i="3"/>
  <c r="N348" i="3"/>
  <c r="N285" i="3"/>
  <c r="N277" i="3"/>
  <c r="N269" i="3"/>
  <c r="N261" i="3"/>
  <c r="N190" i="3"/>
  <c r="N182" i="3"/>
  <c r="N49" i="3"/>
  <c r="N45" i="3"/>
  <c r="N40" i="3"/>
  <c r="N170" i="3"/>
  <c r="N110" i="3"/>
  <c r="N267" i="3"/>
  <c r="N244" i="3"/>
  <c r="N200" i="3"/>
  <c r="N94" i="3"/>
  <c r="N86" i="3"/>
  <c r="N78" i="3"/>
  <c r="N70" i="3"/>
  <c r="N39" i="3"/>
  <c r="N299" i="3"/>
  <c r="N351" i="3"/>
  <c r="N181" i="3"/>
  <c r="N132" i="3"/>
  <c r="N82" i="3"/>
  <c r="N74" i="3"/>
  <c r="N66" i="3"/>
  <c r="AB69" i="3" s="1"/>
  <c r="N369" i="3"/>
  <c r="N366" i="3"/>
  <c r="N362" i="3"/>
  <c r="N331" i="3"/>
  <c r="N316" i="3"/>
  <c r="N312" i="3"/>
  <c r="N302" i="3"/>
  <c r="N298" i="3"/>
  <c r="N270" i="3"/>
  <c r="N231" i="3"/>
  <c r="N199" i="3"/>
  <c r="N151" i="3"/>
  <c r="N143" i="3"/>
  <c r="N101" i="3"/>
  <c r="N81" i="3"/>
  <c r="N73" i="3"/>
  <c r="N62" i="3"/>
  <c r="N58" i="3"/>
  <c r="N54" i="3"/>
  <c r="N50" i="3"/>
  <c r="N363" i="3"/>
  <c r="N332" i="3"/>
  <c r="N136" i="3"/>
  <c r="N102" i="3"/>
  <c r="N55" i="3"/>
  <c r="N343" i="3"/>
  <c r="N279" i="3"/>
  <c r="N232" i="3"/>
  <c r="N204" i="3"/>
  <c r="N106" i="3"/>
  <c r="N63" i="3"/>
  <c r="N335" i="3"/>
  <c r="N287" i="3"/>
  <c r="N216" i="3"/>
  <c r="N162" i="3"/>
  <c r="N365" i="3"/>
  <c r="N353" i="3"/>
  <c r="N337" i="3"/>
  <c r="N315" i="3"/>
  <c r="N301" i="3"/>
  <c r="N289" i="3"/>
  <c r="N249" i="3"/>
  <c r="N238" i="3"/>
  <c r="N183" i="3"/>
  <c r="N168" i="3"/>
  <c r="N150" i="3"/>
  <c r="N146" i="3"/>
  <c r="N142" i="3"/>
  <c r="N116" i="3"/>
  <c r="N112" i="3"/>
  <c r="N104" i="3"/>
  <c r="N53" i="3"/>
  <c r="N174" i="3"/>
  <c r="N148" i="3"/>
  <c r="N114" i="3"/>
  <c r="N47" i="3"/>
  <c r="N359" i="3"/>
  <c r="N271" i="3"/>
  <c r="N240" i="3"/>
  <c r="N328" i="3"/>
  <c r="N140" i="3"/>
  <c r="N118" i="3"/>
  <c r="N98" i="3"/>
  <c r="N51" i="3"/>
  <c r="N295" i="3"/>
  <c r="N251" i="3"/>
  <c r="N228" i="3"/>
  <c r="N166" i="3"/>
  <c r="N333" i="3"/>
  <c r="N321" i="3"/>
  <c r="N314" i="3"/>
  <c r="N307" i="3"/>
  <c r="N241" i="3"/>
  <c r="N193" i="3"/>
  <c r="N149" i="3"/>
  <c r="N119" i="3"/>
  <c r="D11" i="9" s="1"/>
  <c r="N115" i="3"/>
  <c r="N111" i="3"/>
  <c r="N103" i="3"/>
  <c r="N99" i="3"/>
  <c r="N56" i="3"/>
  <c r="N52" i="3"/>
  <c r="N48" i="3"/>
  <c r="N57" i="3"/>
  <c r="N38" i="3"/>
  <c r="N35" i="3"/>
  <c r="N34" i="3"/>
  <c r="N31" i="3"/>
  <c r="N37" i="3"/>
  <c r="N30" i="3"/>
  <c r="N28" i="3"/>
  <c r="N24" i="3"/>
  <c r="N27" i="3"/>
  <c r="N25" i="3"/>
  <c r="N23" i="3"/>
  <c r="N22" i="3"/>
  <c r="N20" i="3"/>
  <c r="N18" i="3"/>
  <c r="N364" i="3"/>
  <c r="N347" i="3"/>
  <c r="N330" i="3"/>
  <c r="N317" i="3"/>
  <c r="N300" i="3"/>
  <c r="N283" i="3"/>
  <c r="N266" i="3"/>
  <c r="N259" i="3"/>
  <c r="N252" i="3"/>
  <c r="N245" i="3"/>
  <c r="N234" i="3"/>
  <c r="N203" i="3"/>
  <c r="N196" i="3"/>
  <c r="N189" i="3"/>
  <c r="D21" i="9" s="1"/>
  <c r="N178" i="3"/>
  <c r="N171" i="3"/>
  <c r="N154" i="3"/>
  <c r="N141" i="3"/>
  <c r="N124" i="3"/>
  <c r="N107" i="3"/>
  <c r="N90" i="3"/>
  <c r="N77" i="3"/>
  <c r="D5" i="9" s="1"/>
  <c r="N60" i="3"/>
  <c r="N43" i="3"/>
  <c r="N26" i="3"/>
  <c r="N19" i="3"/>
  <c r="N370" i="3"/>
  <c r="N357" i="3"/>
  <c r="N340" i="3"/>
  <c r="N329" i="3"/>
  <c r="N323" i="3"/>
  <c r="N306" i="3"/>
  <c r="N293" i="3"/>
  <c r="N276" i="3"/>
  <c r="N265" i="3"/>
  <c r="N233" i="3"/>
  <c r="N227" i="3"/>
  <c r="N223" i="3"/>
  <c r="N220" i="3"/>
  <c r="N177" i="3"/>
  <c r="N164" i="3"/>
  <c r="N153" i="3"/>
  <c r="N147" i="3"/>
  <c r="N130" i="3"/>
  <c r="N117" i="3"/>
  <c r="N100" i="3"/>
  <c r="N89" i="3"/>
  <c r="N83" i="3"/>
  <c r="N36" i="3"/>
  <c r="N341" i="3"/>
  <c r="N247" i="3"/>
  <c r="N191" i="3"/>
  <c r="N129" i="3"/>
  <c r="N59" i="3"/>
  <c r="N42" i="3"/>
  <c r="N29" i="3"/>
  <c r="N356" i="3"/>
  <c r="N345" i="3"/>
  <c r="N339" i="3"/>
  <c r="N322" i="3"/>
  <c r="N309" i="3"/>
  <c r="N292" i="3"/>
  <c r="N281" i="3"/>
  <c r="N275" i="3"/>
  <c r="N257" i="3"/>
  <c r="N219" i="3"/>
  <c r="N201" i="3"/>
  <c r="N41" i="3"/>
  <c r="N354" i="3"/>
  <c r="N239" i="3"/>
  <c r="N236" i="3"/>
  <c r="N225" i="3"/>
  <c r="N173" i="3"/>
  <c r="N156" i="3"/>
  <c r="N145" i="3"/>
  <c r="N139" i="3"/>
  <c r="N109" i="3"/>
  <c r="N92" i="3"/>
  <c r="N17" i="3"/>
  <c r="N324" i="3"/>
  <c r="N361" i="3"/>
  <c r="N355" i="3"/>
  <c r="N325" i="3"/>
  <c r="N308" i="3"/>
  <c r="N291" i="3"/>
  <c r="N274" i="3"/>
  <c r="N21" i="3"/>
  <c r="N273" i="3"/>
  <c r="N263" i="3"/>
  <c r="N253" i="3"/>
  <c r="N242" i="3"/>
  <c r="N235" i="3"/>
  <c r="N217" i="3"/>
  <c r="N186" i="3"/>
  <c r="N179" i="3"/>
  <c r="N175" i="3"/>
  <c r="N172" i="3"/>
  <c r="N161" i="3"/>
  <c r="D17" i="9" s="1"/>
  <c r="N155" i="3"/>
  <c r="N138" i="3"/>
  <c r="N125" i="3"/>
  <c r="N108" i="3"/>
  <c r="N97" i="3"/>
  <c r="N91" i="3"/>
  <c r="N61" i="3"/>
  <c r="N44" i="3"/>
  <c r="N33" i="3"/>
  <c r="N15" i="3"/>
  <c r="N14" i="3"/>
  <c r="N13" i="3"/>
  <c r="N16" i="3"/>
  <c r="N12" i="3"/>
  <c r="N11" i="3"/>
  <c r="N7" i="3"/>
  <c r="N9" i="3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31" i="9" l="1"/>
  <c r="IP10" i="1"/>
  <c r="IP12" i="1" s="1"/>
  <c r="IP13" i="1" s="1"/>
  <c r="JF12" i="1"/>
  <c r="JR12" i="1"/>
  <c r="JQ12" i="1"/>
  <c r="JH12" i="1"/>
  <c r="IY12" i="1"/>
  <c r="IY13" i="1" s="1"/>
  <c r="IX12" i="1"/>
  <c r="IX13" i="1" s="1"/>
  <c r="JL12" i="1"/>
  <c r="JJ12" i="1"/>
  <c r="JI12" i="1"/>
  <c r="IZ12" i="1"/>
  <c r="IZ13" i="1" s="1"/>
  <c r="IQ12" i="1"/>
  <c r="IQ13" i="1" s="1"/>
  <c r="JD12" i="1"/>
  <c r="JB12" i="1"/>
  <c r="JB13" i="1" s="1"/>
  <c r="JA12" i="1"/>
  <c r="JA13" i="1" s="1"/>
  <c r="IR12" i="1"/>
  <c r="IR13" i="1" s="1"/>
  <c r="JS12" i="1"/>
  <c r="IV12" i="1"/>
  <c r="IV13" i="1" s="1"/>
  <c r="IT12" i="1"/>
  <c r="IT13" i="1" s="1"/>
  <c r="IS12" i="1"/>
  <c r="IS13" i="1" s="1"/>
  <c r="JM12" i="1"/>
  <c r="JK12" i="1"/>
  <c r="JE12" i="1"/>
  <c r="JC12" i="1"/>
  <c r="JO12" i="1"/>
  <c r="JN12" i="1"/>
  <c r="IW12" i="1"/>
  <c r="IW13" i="1" s="1"/>
  <c r="IU12" i="1"/>
  <c r="IU13" i="1" s="1"/>
  <c r="JP12" i="1"/>
  <c r="JG12" i="1"/>
  <c r="D30" i="9"/>
  <c r="D29" i="9"/>
  <c r="D28" i="9"/>
  <c r="D27" i="9"/>
  <c r="D7" i="9"/>
  <c r="D19" i="9"/>
  <c r="D10" i="9"/>
  <c r="D20" i="9"/>
  <c r="D16" i="9"/>
  <c r="D3" i="9"/>
  <c r="D22" i="9"/>
  <c r="D9" i="9"/>
  <c r="D6" i="9"/>
  <c r="D4" i="9"/>
  <c r="D8" i="9"/>
  <c r="D15" i="9"/>
  <c r="D14" i="9"/>
  <c r="D18" i="9"/>
  <c r="D12" i="9"/>
  <c r="D26" i="9"/>
  <c r="D24" i="9"/>
  <c r="D25" i="9"/>
  <c r="GN12" i="1"/>
  <c r="GN13" i="1" s="1"/>
  <c r="GO12" i="1"/>
  <c r="GO13" i="1" s="1"/>
  <c r="GP12" i="1"/>
  <c r="GP13" i="1" s="1"/>
  <c r="GQ12" i="1"/>
  <c r="GQ13" i="1" s="1"/>
  <c r="GR12" i="1"/>
  <c r="GR13" i="1" s="1"/>
  <c r="GS12" i="1"/>
  <c r="GS13" i="1" s="1"/>
  <c r="GT12" i="1"/>
  <c r="GT13" i="1" s="1"/>
  <c r="GM13" i="1"/>
  <c r="GV12" i="1"/>
  <c r="GV13" i="1" s="1"/>
  <c r="GW12" i="1"/>
  <c r="GW13" i="1" s="1"/>
  <c r="GX12" i="1"/>
  <c r="GX13" i="1" s="1"/>
  <c r="GY12" i="1"/>
  <c r="GY13" i="1" s="1"/>
  <c r="GZ12" i="1"/>
  <c r="GZ13" i="1" s="1"/>
  <c r="HA12" i="1"/>
  <c r="HA13" i="1" s="1"/>
  <c r="HB12" i="1"/>
  <c r="HB13" i="1" s="1"/>
  <c r="IM12" i="1"/>
  <c r="IM13" i="1" s="1"/>
  <c r="II12" i="1"/>
  <c r="II13" i="1" s="1"/>
  <c r="GI12" i="1"/>
  <c r="GI13" i="1" s="1"/>
  <c r="GL13" i="1"/>
  <c r="GU12" i="1"/>
  <c r="GU13" i="1" s="1"/>
  <c r="HD12" i="1"/>
  <c r="HD13" i="1" s="1"/>
  <c r="HE12" i="1"/>
  <c r="HE13" i="1" s="1"/>
  <c r="HF12" i="1"/>
  <c r="HF13" i="1" s="1"/>
  <c r="HG12" i="1"/>
  <c r="HG13" i="1" s="1"/>
  <c r="HH12" i="1"/>
  <c r="HH13" i="1" s="1"/>
  <c r="HI12" i="1"/>
  <c r="HI13" i="1" s="1"/>
  <c r="HJ12" i="1"/>
  <c r="HJ13" i="1" s="1"/>
  <c r="HK12" i="1"/>
  <c r="HK13" i="1" s="1"/>
  <c r="HU12" i="1"/>
  <c r="HU13" i="1" s="1"/>
  <c r="HW12" i="1"/>
  <c r="HW13" i="1" s="1"/>
  <c r="HY12" i="1"/>
  <c r="HY13" i="1" s="1"/>
  <c r="IB12" i="1"/>
  <c r="IB13" i="1" s="1"/>
  <c r="ID12" i="1"/>
  <c r="ID13" i="1" s="1"/>
  <c r="IF12" i="1"/>
  <c r="IF13" i="1" s="1"/>
  <c r="IH12" i="1"/>
  <c r="IH13" i="1" s="1"/>
  <c r="IA12" i="1"/>
  <c r="IA13" i="1" s="1"/>
  <c r="IK12" i="1"/>
  <c r="IK13" i="1" s="1"/>
  <c r="IN12" i="1"/>
  <c r="IN13" i="1" s="1"/>
  <c r="GH12" i="1"/>
  <c r="GH13" i="1" s="1"/>
  <c r="GJ12" i="1"/>
  <c r="GJ13" i="1" s="1"/>
  <c r="HC12" i="1"/>
  <c r="HC13" i="1" s="1"/>
  <c r="HL12" i="1"/>
  <c r="HL13" i="1" s="1"/>
  <c r="HM12" i="1"/>
  <c r="HM13" i="1" s="1"/>
  <c r="HN12" i="1"/>
  <c r="HN13" i="1" s="1"/>
  <c r="HO12" i="1"/>
  <c r="HO13" i="1" s="1"/>
  <c r="HP12" i="1"/>
  <c r="HP13" i="1" s="1"/>
  <c r="HQ12" i="1"/>
  <c r="HQ13" i="1" s="1"/>
  <c r="HR12" i="1"/>
  <c r="HR13" i="1" s="1"/>
  <c r="GF10" i="1"/>
  <c r="GF12" i="1" s="1"/>
  <c r="GF13" i="1" s="1"/>
  <c r="HT12" i="1"/>
  <c r="HT13" i="1" s="1"/>
  <c r="HV12" i="1"/>
  <c r="HV13" i="1" s="1"/>
  <c r="HX12" i="1"/>
  <c r="HX13" i="1" s="1"/>
  <c r="HZ12" i="1"/>
  <c r="HZ13" i="1" s="1"/>
  <c r="HS12" i="1"/>
  <c r="HS13" i="1" s="1"/>
  <c r="IC12" i="1"/>
  <c r="IC13" i="1" s="1"/>
  <c r="IE12" i="1"/>
  <c r="IE13" i="1" s="1"/>
  <c r="IG12" i="1"/>
  <c r="IG13" i="1" s="1"/>
  <c r="IJ12" i="1"/>
  <c r="IJ13" i="1" s="1"/>
  <c r="IL12" i="1"/>
  <c r="IL13" i="1" s="1"/>
  <c r="IO12" i="1"/>
  <c r="IO13" i="1" s="1"/>
  <c r="GG12" i="1"/>
  <c r="GG13" i="1" s="1"/>
  <c r="GK12" i="1"/>
  <c r="GK13" i="1" s="1"/>
  <c r="FW12" i="1"/>
  <c r="FW13" i="1" s="1"/>
  <c r="DW10" i="1"/>
  <c r="DW12" i="1" s="1"/>
  <c r="DW13" i="1" s="1"/>
  <c r="FX12" i="1"/>
  <c r="FX13" i="1" s="1"/>
  <c r="FY12" i="1"/>
  <c r="FY13" i="1" s="1"/>
  <c r="FZ12" i="1"/>
  <c r="FZ13" i="1" s="1"/>
  <c r="GA12" i="1"/>
  <c r="GA13" i="1" s="1"/>
  <c r="GB12" i="1"/>
  <c r="GB13" i="1" s="1"/>
  <c r="GE12" i="1"/>
  <c r="GE13" i="1" s="1"/>
  <c r="GC12" i="1"/>
  <c r="GC13" i="1" s="1"/>
  <c r="GD12" i="1"/>
  <c r="GD13" i="1" s="1"/>
  <c r="EN12" i="1"/>
  <c r="EN13" i="1" s="1"/>
  <c r="EF12" i="1"/>
  <c r="EF13" i="1" s="1"/>
  <c r="FA12" i="1"/>
  <c r="FA13" i="1" s="1"/>
  <c r="FU12" i="1"/>
  <c r="FU13" i="1" s="1"/>
  <c r="ER12" i="1"/>
  <c r="ER13" i="1" s="1"/>
  <c r="EJ12" i="1"/>
  <c r="EJ13" i="1" s="1"/>
  <c r="FV12" i="1"/>
  <c r="FV13" i="1" s="1"/>
  <c r="EZ12" i="1"/>
  <c r="EZ13" i="1" s="1"/>
  <c r="EC12" i="1"/>
  <c r="EC13" i="1" s="1"/>
  <c r="FQ12" i="1"/>
  <c r="FQ13" i="1" s="1"/>
  <c r="EV12" i="1"/>
  <c r="EV13" i="1" s="1"/>
  <c r="EB12" i="1"/>
  <c r="EB13" i="1" s="1"/>
  <c r="FN12" i="1"/>
  <c r="FN13" i="1" s="1"/>
  <c r="ES12" i="1"/>
  <c r="ES13" i="1" s="1"/>
  <c r="DX12" i="1"/>
  <c r="DX13" i="1" s="1"/>
  <c r="FM12" i="1"/>
  <c r="FM13" i="1" s="1"/>
  <c r="EK12" i="1"/>
  <c r="EK13" i="1" s="1"/>
  <c r="ET12" i="1"/>
  <c r="ET13" i="1" s="1"/>
  <c r="EL12" i="1"/>
  <c r="EL13" i="1" s="1"/>
  <c r="ED12" i="1"/>
  <c r="ED13" i="1" s="1"/>
  <c r="FO12" i="1"/>
  <c r="FO13" i="1" s="1"/>
  <c r="EY12" i="1"/>
  <c r="EY13" i="1" s="1"/>
  <c r="EQ12" i="1"/>
  <c r="EQ13" i="1" s="1"/>
  <c r="EI12" i="1"/>
  <c r="EI13" i="1" s="1"/>
  <c r="EA12" i="1"/>
  <c r="EA13" i="1" s="1"/>
  <c r="FT12" i="1"/>
  <c r="FT13" i="1" s="1"/>
  <c r="FL12" i="1"/>
  <c r="FL13" i="1" s="1"/>
  <c r="EX12" i="1"/>
  <c r="EX13" i="1" s="1"/>
  <c r="EP12" i="1"/>
  <c r="EP13" i="1" s="1"/>
  <c r="EH12" i="1"/>
  <c r="EH13" i="1" s="1"/>
  <c r="DZ12" i="1"/>
  <c r="DZ13" i="1" s="1"/>
  <c r="FS12" i="1"/>
  <c r="FS13" i="1" s="1"/>
  <c r="FH12" i="1"/>
  <c r="FH13" i="1" s="1"/>
  <c r="EW12" i="1"/>
  <c r="EW13" i="1" s="1"/>
  <c r="EO12" i="1"/>
  <c r="EO13" i="1" s="1"/>
  <c r="EG12" i="1"/>
  <c r="EG13" i="1" s="1"/>
  <c r="DY12" i="1"/>
  <c r="DY13" i="1" s="1"/>
  <c r="FR12" i="1"/>
  <c r="FR13" i="1" s="1"/>
  <c r="EU12" i="1"/>
  <c r="EU13" i="1" s="1"/>
  <c r="EM12" i="1"/>
  <c r="EM13" i="1" s="1"/>
  <c r="EE12" i="1"/>
  <c r="EE13" i="1" s="1"/>
  <c r="FB12" i="1"/>
  <c r="FB13" i="1" s="1"/>
  <c r="FP12" i="1"/>
  <c r="FP13" i="1" s="1"/>
  <c r="FI12" i="1"/>
  <c r="FI13" i="1" s="1"/>
  <c r="FG12" i="1"/>
  <c r="FG13" i="1" s="1"/>
  <c r="FD12" i="1"/>
  <c r="FD13" i="1" s="1"/>
  <c r="FC12" i="1"/>
  <c r="FC13" i="1" s="1"/>
  <c r="FK12" i="1"/>
  <c r="FK13" i="1" s="1"/>
  <c r="FF12" i="1"/>
  <c r="FF13" i="1" s="1"/>
  <c r="FE12" i="1"/>
  <c r="FE13" i="1" s="1"/>
  <c r="FJ12" i="1"/>
  <c r="FJ13" i="1" s="1"/>
  <c r="CS10" i="1"/>
  <c r="CS12" i="1" s="1"/>
  <c r="CS13" i="1" s="1"/>
  <c r="CV12" i="1"/>
  <c r="CV13" i="1" s="1"/>
  <c r="CW12" i="1"/>
  <c r="CW13" i="1" s="1"/>
  <c r="CX12" i="1"/>
  <c r="CX13" i="1" s="1"/>
  <c r="CY12" i="1"/>
  <c r="CY13" i="1" s="1"/>
  <c r="CZ12" i="1"/>
  <c r="CZ13" i="1" s="1"/>
  <c r="DA12" i="1"/>
  <c r="DA13" i="1" s="1"/>
  <c r="DB12" i="1"/>
  <c r="DB13" i="1" s="1"/>
  <c r="DC12" i="1"/>
  <c r="DC13" i="1" s="1"/>
  <c r="DD12" i="1"/>
  <c r="DD13" i="1" s="1"/>
  <c r="DE12" i="1"/>
  <c r="DE13" i="1" s="1"/>
  <c r="DF12" i="1"/>
  <c r="DF13" i="1" s="1"/>
  <c r="DG12" i="1"/>
  <c r="DG13" i="1" s="1"/>
  <c r="DH12" i="1"/>
  <c r="DH13" i="1" s="1"/>
  <c r="DI12" i="1"/>
  <c r="DI13" i="1" s="1"/>
  <c r="DJ12" i="1"/>
  <c r="DJ13" i="1" s="1"/>
  <c r="DK12" i="1"/>
  <c r="DK13" i="1" s="1"/>
  <c r="DL12" i="1"/>
  <c r="DL13" i="1" s="1"/>
  <c r="DM12" i="1"/>
  <c r="DM13" i="1" s="1"/>
  <c r="DN12" i="1"/>
  <c r="DN13" i="1" s="1"/>
  <c r="DO12" i="1"/>
  <c r="DO13" i="1" s="1"/>
  <c r="DP12" i="1"/>
  <c r="DP13" i="1" s="1"/>
  <c r="DQ12" i="1"/>
  <c r="DQ13" i="1" s="1"/>
  <c r="DR12" i="1"/>
  <c r="DR13" i="1" s="1"/>
  <c r="DS12" i="1"/>
  <c r="DS13" i="1" s="1"/>
  <c r="DT12" i="1"/>
  <c r="DT13" i="1" s="1"/>
  <c r="DU12" i="1"/>
  <c r="DU13" i="1" s="1"/>
  <c r="DV12" i="1"/>
  <c r="DV13" i="1" s="1"/>
  <c r="CU12" i="1"/>
  <c r="CU13" i="1" s="1"/>
  <c r="CT12" i="1"/>
  <c r="CT13" i="1" s="1"/>
  <c r="S6" i="4"/>
  <c r="U6" i="4" s="1"/>
  <c r="T6" i="4"/>
  <c r="S7" i="4"/>
  <c r="T7" i="4"/>
  <c r="U7" i="4"/>
  <c r="S8" i="4"/>
  <c r="U8" i="4" s="1"/>
  <c r="T8" i="4"/>
  <c r="S9" i="4"/>
  <c r="T9" i="4"/>
  <c r="S10" i="4"/>
  <c r="U10" i="4" s="1"/>
  <c r="T10" i="4"/>
  <c r="S11" i="4"/>
  <c r="T11" i="4"/>
  <c r="S12" i="4"/>
  <c r="U12" i="4" s="1"/>
  <c r="T12" i="4"/>
  <c r="S13" i="4"/>
  <c r="U13" i="4" s="1"/>
  <c r="T13" i="4"/>
  <c r="S14" i="4"/>
  <c r="T14" i="4"/>
  <c r="U14" i="4"/>
  <c r="S15" i="4"/>
  <c r="U15" i="4" s="1"/>
  <c r="T15" i="4"/>
  <c r="S16" i="4"/>
  <c r="U16" i="4" s="1"/>
  <c r="T16" i="4"/>
  <c r="S17" i="4"/>
  <c r="T17" i="4"/>
  <c r="U17" i="4" s="1"/>
  <c r="S18" i="4"/>
  <c r="T18" i="4"/>
  <c r="S19" i="4"/>
  <c r="T19" i="4"/>
  <c r="S20" i="4"/>
  <c r="U20" i="4" s="1"/>
  <c r="T20" i="4"/>
  <c r="S21" i="4"/>
  <c r="T21" i="4"/>
  <c r="S22" i="4"/>
  <c r="U22" i="4" s="1"/>
  <c r="T22" i="4"/>
  <c r="S23" i="4"/>
  <c r="U23" i="4" s="1"/>
  <c r="T23" i="4"/>
  <c r="S24" i="4"/>
  <c r="T24" i="4"/>
  <c r="S25" i="4"/>
  <c r="T25" i="4"/>
  <c r="S26" i="4"/>
  <c r="T26" i="4"/>
  <c r="S27" i="4"/>
  <c r="U27" i="4" s="1"/>
  <c r="T27" i="4"/>
  <c r="S28" i="4"/>
  <c r="T28" i="4"/>
  <c r="U28" i="4"/>
  <c r="S29" i="4"/>
  <c r="T29" i="4"/>
  <c r="S30" i="4"/>
  <c r="U30" i="4" s="1"/>
  <c r="T30" i="4"/>
  <c r="S31" i="4"/>
  <c r="T31" i="4"/>
  <c r="U31" i="4"/>
  <c r="S32" i="4"/>
  <c r="T32" i="4"/>
  <c r="S33" i="4"/>
  <c r="T33" i="4"/>
  <c r="U33" i="4" s="1"/>
  <c r="S34" i="4"/>
  <c r="T34" i="4"/>
  <c r="S35" i="4"/>
  <c r="T35" i="4"/>
  <c r="S36" i="4"/>
  <c r="T36" i="4"/>
  <c r="U36" i="4"/>
  <c r="S37" i="4"/>
  <c r="U37" i="4" s="1"/>
  <c r="T37" i="4"/>
  <c r="S38" i="4"/>
  <c r="T38" i="4"/>
  <c r="U38" i="4"/>
  <c r="S39" i="4"/>
  <c r="T39" i="4"/>
  <c r="U39" i="4"/>
  <c r="S40" i="4"/>
  <c r="U40" i="4" s="1"/>
  <c r="T40" i="4"/>
  <c r="S41" i="4"/>
  <c r="T41" i="4"/>
  <c r="U41" i="4" s="1"/>
  <c r="S42" i="4"/>
  <c r="U42" i="4" s="1"/>
  <c r="T42" i="4"/>
  <c r="S43" i="4"/>
  <c r="T43" i="4"/>
  <c r="S44" i="4"/>
  <c r="U44" i="4" s="1"/>
  <c r="T44" i="4"/>
  <c r="S45" i="4"/>
  <c r="T45" i="4"/>
  <c r="S46" i="4"/>
  <c r="T46" i="4"/>
  <c r="U46" i="4"/>
  <c r="S47" i="4"/>
  <c r="U47" i="4" s="1"/>
  <c r="T47" i="4"/>
  <c r="S48" i="4"/>
  <c r="T48" i="4"/>
  <c r="S49" i="4"/>
  <c r="T49" i="4"/>
  <c r="U49" i="4"/>
  <c r="S50" i="4"/>
  <c r="U50" i="4" s="1"/>
  <c r="T50" i="4"/>
  <c r="S51" i="4"/>
  <c r="T51" i="4"/>
  <c r="S52" i="4"/>
  <c r="U52" i="4" s="1"/>
  <c r="T52" i="4"/>
  <c r="S53" i="4"/>
  <c r="T53" i="4"/>
  <c r="S54" i="4"/>
  <c r="T54" i="4"/>
  <c r="U54" i="4" s="1"/>
  <c r="S55" i="4"/>
  <c r="U55" i="4" s="1"/>
  <c r="T55" i="4"/>
  <c r="S56" i="4"/>
  <c r="T56" i="4"/>
  <c r="S57" i="4"/>
  <c r="U57" i="4" s="1"/>
  <c r="T57" i="4"/>
  <c r="S58" i="4"/>
  <c r="T58" i="4"/>
  <c r="S59" i="4"/>
  <c r="T59" i="4"/>
  <c r="S60" i="4"/>
  <c r="U60" i="4" s="1"/>
  <c r="T60" i="4"/>
  <c r="S61" i="4"/>
  <c r="T61" i="4"/>
  <c r="S62" i="4"/>
  <c r="T62" i="4"/>
  <c r="S63" i="4"/>
  <c r="T63" i="4"/>
  <c r="U63" i="4"/>
  <c r="S64" i="4"/>
  <c r="T64" i="4"/>
  <c r="S65" i="4"/>
  <c r="U65" i="4" s="1"/>
  <c r="T65" i="4"/>
  <c r="S66" i="4"/>
  <c r="T66" i="4"/>
  <c r="S67" i="4"/>
  <c r="U67" i="4" s="1"/>
  <c r="T67" i="4"/>
  <c r="S68" i="4"/>
  <c r="T68" i="4"/>
  <c r="U68" i="4"/>
  <c r="S69" i="4"/>
  <c r="T69" i="4"/>
  <c r="S70" i="4"/>
  <c r="T70" i="4"/>
  <c r="U70" i="4" s="1"/>
  <c r="S71" i="4"/>
  <c r="T71" i="4"/>
  <c r="U71" i="4"/>
  <c r="S72" i="4"/>
  <c r="U72" i="4" s="1"/>
  <c r="T72" i="4"/>
  <c r="S73" i="4"/>
  <c r="T73" i="4"/>
  <c r="U73" i="4"/>
  <c r="S74" i="4"/>
  <c r="T74" i="4"/>
  <c r="S75" i="4"/>
  <c r="T75" i="4"/>
  <c r="S76" i="4"/>
  <c r="T76" i="4"/>
  <c r="U76" i="4"/>
  <c r="S77" i="4"/>
  <c r="U77" i="4" s="1"/>
  <c r="T77" i="4"/>
  <c r="S78" i="4"/>
  <c r="T78" i="4"/>
  <c r="U78" i="4" s="1"/>
  <c r="S79" i="4"/>
  <c r="U79" i="4" s="1"/>
  <c r="T79" i="4"/>
  <c r="S80" i="4"/>
  <c r="T80" i="4"/>
  <c r="S81" i="4"/>
  <c r="T81" i="4"/>
  <c r="U81" i="4"/>
  <c r="S82" i="4"/>
  <c r="U82" i="4" s="1"/>
  <c r="T82" i="4"/>
  <c r="S83" i="4"/>
  <c r="T83" i="4"/>
  <c r="S84" i="4"/>
  <c r="U84" i="4" s="1"/>
  <c r="T84" i="4"/>
  <c r="S85" i="4"/>
  <c r="T85" i="4"/>
  <c r="S86" i="4"/>
  <c r="T86" i="4"/>
  <c r="S87" i="4"/>
  <c r="U87" i="4" s="1"/>
  <c r="T87" i="4"/>
  <c r="S88" i="4"/>
  <c r="T88" i="4"/>
  <c r="S89" i="4"/>
  <c r="U89" i="4" s="1"/>
  <c r="T89" i="4"/>
  <c r="S90" i="4"/>
  <c r="T90" i="4"/>
  <c r="S91" i="4"/>
  <c r="T91" i="4"/>
  <c r="S92" i="4"/>
  <c r="U92" i="4" s="1"/>
  <c r="T92" i="4"/>
  <c r="S93" i="4"/>
  <c r="T93" i="4"/>
  <c r="U94" i="4"/>
  <c r="T94" i="4"/>
  <c r="U53" i="4" l="1"/>
  <c r="U93" i="4"/>
  <c r="U83" i="4"/>
  <c r="U66" i="4"/>
  <c r="U56" i="4"/>
  <c r="U43" i="4"/>
  <c r="U26" i="4"/>
  <c r="U9" i="4"/>
  <c r="U86" i="4"/>
  <c r="U69" i="4"/>
  <c r="U62" i="4"/>
  <c r="U59" i="4"/>
  <c r="U32" i="4"/>
  <c r="U29" i="4"/>
  <c r="U25" i="4"/>
  <c r="U19" i="4"/>
  <c r="U80" i="4"/>
  <c r="U85" i="4"/>
  <c r="U45" i="4"/>
  <c r="U51" i="4"/>
  <c r="U75" i="4"/>
  <c r="U58" i="4"/>
  <c r="U48" i="4"/>
  <c r="U35" i="4"/>
  <c r="U18" i="4"/>
  <c r="U88" i="4"/>
  <c r="U61" i="4"/>
  <c r="U24" i="4"/>
  <c r="U21" i="4"/>
  <c r="U11" i="4"/>
  <c r="U91" i="4"/>
  <c r="U74" i="4"/>
  <c r="U64" i="4"/>
  <c r="U34" i="4"/>
  <c r="U90" i="4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2" i="6" l="1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H3" i="1"/>
  <c r="C3" i="6" s="1"/>
  <c r="I3" i="1"/>
  <c r="D3" i="6" s="1"/>
  <c r="J3" i="1"/>
  <c r="E3" i="6" s="1"/>
  <c r="K3" i="1"/>
  <c r="F3" i="6" s="1"/>
  <c r="L3" i="1"/>
  <c r="G3" i="6" s="1"/>
  <c r="M3" i="1"/>
  <c r="H3" i="6" s="1"/>
  <c r="N3" i="1"/>
  <c r="I3" i="6" s="1"/>
  <c r="O3" i="1"/>
  <c r="J3" i="6" s="1"/>
  <c r="P3" i="1"/>
  <c r="K3" i="6" s="1"/>
  <c r="Q3" i="1"/>
  <c r="L3" i="6" s="1"/>
  <c r="R3" i="1"/>
  <c r="M3" i="6" s="1"/>
  <c r="S3" i="1"/>
  <c r="N3" i="6" s="1"/>
  <c r="T3" i="1"/>
  <c r="O3" i="6" s="1"/>
  <c r="U3" i="1"/>
  <c r="P3" i="6" s="1"/>
  <c r="V3" i="1"/>
  <c r="Q3" i="6" s="1"/>
  <c r="W3" i="1"/>
  <c r="R3" i="6" s="1"/>
  <c r="X3" i="1"/>
  <c r="S3" i="6" s="1"/>
  <c r="Y3" i="1"/>
  <c r="T3" i="6" s="1"/>
  <c r="Z3" i="1"/>
  <c r="U3" i="6" s="1"/>
  <c r="AA3" i="1"/>
  <c r="V3" i="6" s="1"/>
  <c r="AB3" i="1"/>
  <c r="W3" i="6" s="1"/>
  <c r="AC3" i="1"/>
  <c r="X3" i="6" s="1"/>
  <c r="AD3" i="1"/>
  <c r="Y3" i="6" s="1"/>
  <c r="AE3" i="1"/>
  <c r="Z3" i="6" s="1"/>
  <c r="AF3" i="1"/>
  <c r="AA3" i="6" s="1"/>
  <c r="AG3" i="1"/>
  <c r="AB3" i="6" s="1"/>
  <c r="AH3" i="1"/>
  <c r="AC3" i="6" s="1"/>
  <c r="AI3" i="1"/>
  <c r="AD3" i="6" s="1"/>
  <c r="AJ3" i="1"/>
  <c r="AE3" i="6" s="1"/>
  <c r="AK3" i="1"/>
  <c r="AF3" i="6" s="1"/>
  <c r="AL3" i="1"/>
  <c r="AG3" i="6" s="1"/>
  <c r="AM3" i="1"/>
  <c r="AH3" i="6" s="1"/>
  <c r="AN3" i="1"/>
  <c r="AI3" i="6" s="1"/>
  <c r="AO3" i="1"/>
  <c r="AJ3" i="6" s="1"/>
  <c r="AP3" i="1"/>
  <c r="AK3" i="6" s="1"/>
  <c r="AQ3" i="1"/>
  <c r="AL3" i="6" s="1"/>
  <c r="AR3" i="1"/>
  <c r="AM3" i="6" s="1"/>
  <c r="AS3" i="1"/>
  <c r="AN3" i="6" s="1"/>
  <c r="AT3" i="1"/>
  <c r="AO3" i="6" s="1"/>
  <c r="AU3" i="1"/>
  <c r="AP3" i="6" s="1"/>
  <c r="AV3" i="1"/>
  <c r="AQ3" i="6" s="1"/>
  <c r="AW3" i="1"/>
  <c r="AR3" i="6" s="1"/>
  <c r="AX3" i="1"/>
  <c r="AS3" i="6" s="1"/>
  <c r="AY3" i="1"/>
  <c r="AT3" i="6" s="1"/>
  <c r="AZ3" i="1"/>
  <c r="AU3" i="6" s="1"/>
  <c r="BA3" i="1"/>
  <c r="AV3" i="6" s="1"/>
  <c r="BB3" i="1"/>
  <c r="AW3" i="6" s="1"/>
  <c r="BC3" i="1"/>
  <c r="AX3" i="6" s="1"/>
  <c r="BD3" i="1"/>
  <c r="AY3" i="6" s="1"/>
  <c r="BE3" i="1"/>
  <c r="AZ3" i="6" s="1"/>
  <c r="BF3" i="1"/>
  <c r="BA3" i="6" s="1"/>
  <c r="BG3" i="1"/>
  <c r="BB3" i="6" s="1"/>
  <c r="BH3" i="1"/>
  <c r="BC3" i="6" s="1"/>
  <c r="BI3" i="1"/>
  <c r="BD3" i="6" s="1"/>
  <c r="BE3" i="6"/>
  <c r="BK3" i="1"/>
  <c r="BF3" i="6" s="1"/>
  <c r="BL3" i="1"/>
  <c r="BG3" i="6" s="1"/>
  <c r="BM3" i="1"/>
  <c r="BH3" i="6" s="1"/>
  <c r="BN3" i="1"/>
  <c r="BI3" i="6" s="1"/>
  <c r="BO3" i="1"/>
  <c r="BJ3" i="6" s="1"/>
  <c r="BP3" i="1"/>
  <c r="BK3" i="6" s="1"/>
  <c r="BQ3" i="1"/>
  <c r="BL3" i="6" s="1"/>
  <c r="BR3" i="1"/>
  <c r="BM3" i="6" s="1"/>
  <c r="BS3" i="1"/>
  <c r="BN3" i="6" s="1"/>
  <c r="BT3" i="1"/>
  <c r="BO3" i="6" s="1"/>
  <c r="BU3" i="1"/>
  <c r="BP3" i="6" s="1"/>
  <c r="BV3" i="1"/>
  <c r="BQ3" i="6" s="1"/>
  <c r="BW3" i="1"/>
  <c r="BR3" i="6" s="1"/>
  <c r="BX3" i="1"/>
  <c r="BS3" i="6" s="1"/>
  <c r="BT3" i="6"/>
  <c r="BZ3" i="1"/>
  <c r="BU3" i="6" s="1"/>
  <c r="CA3" i="1"/>
  <c r="BV3" i="6" s="1"/>
  <c r="CB3" i="1"/>
  <c r="BW3" i="6" s="1"/>
  <c r="CC3" i="1"/>
  <c r="BX3" i="6" s="1"/>
  <c r="CD3" i="1"/>
  <c r="BY3" i="6" s="1"/>
  <c r="CE3" i="1"/>
  <c r="BZ3" i="6" s="1"/>
  <c r="CF3" i="1"/>
  <c r="CA3" i="6" s="1"/>
  <c r="CG3" i="1"/>
  <c r="CB3" i="6" s="1"/>
  <c r="CH3" i="1"/>
  <c r="CC3" i="6" s="1"/>
  <c r="CI3" i="1"/>
  <c r="CD3" i="6" s="1"/>
  <c r="CJ3" i="1"/>
  <c r="CE3" i="6" s="1"/>
  <c r="CK3" i="1"/>
  <c r="CF3" i="6" s="1"/>
  <c r="CL3" i="1"/>
  <c r="CG3" i="6" s="1"/>
  <c r="CM3" i="1"/>
  <c r="CH3" i="6" s="1"/>
  <c r="CN3" i="1"/>
  <c r="CI3" i="6" s="1"/>
  <c r="CO3" i="1"/>
  <c r="CJ3" i="6" s="1"/>
  <c r="CP3" i="1"/>
  <c r="CK3" i="6" s="1"/>
  <c r="CQ3" i="1"/>
  <c r="CL3" i="6" s="1"/>
  <c r="CR3" i="1"/>
  <c r="CM3" i="6" s="1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H7" i="1"/>
  <c r="C6" i="6" s="1"/>
  <c r="I7" i="1"/>
  <c r="D6" i="6" s="1"/>
  <c r="J7" i="1"/>
  <c r="E6" i="6" s="1"/>
  <c r="K7" i="1"/>
  <c r="F6" i="6" s="1"/>
  <c r="L7" i="1"/>
  <c r="G6" i="6" s="1"/>
  <c r="M7" i="1"/>
  <c r="H6" i="6" s="1"/>
  <c r="N7" i="1"/>
  <c r="I6" i="6" s="1"/>
  <c r="O7" i="1"/>
  <c r="J6" i="6" s="1"/>
  <c r="P7" i="1"/>
  <c r="K6" i="6" s="1"/>
  <c r="Q7" i="1"/>
  <c r="L6" i="6" s="1"/>
  <c r="R7" i="1"/>
  <c r="M6" i="6" s="1"/>
  <c r="S7" i="1"/>
  <c r="N6" i="6" s="1"/>
  <c r="T7" i="1"/>
  <c r="O6" i="6" s="1"/>
  <c r="U7" i="1"/>
  <c r="P6" i="6" s="1"/>
  <c r="V7" i="1"/>
  <c r="Q6" i="6" s="1"/>
  <c r="W7" i="1"/>
  <c r="R6" i="6" s="1"/>
  <c r="X7" i="1"/>
  <c r="S6" i="6" s="1"/>
  <c r="Y7" i="1"/>
  <c r="T6" i="6" s="1"/>
  <c r="Z7" i="1"/>
  <c r="U6" i="6" s="1"/>
  <c r="AA7" i="1"/>
  <c r="V6" i="6" s="1"/>
  <c r="AB7" i="1"/>
  <c r="W6" i="6" s="1"/>
  <c r="AC7" i="1"/>
  <c r="X6" i="6" s="1"/>
  <c r="AD7" i="1"/>
  <c r="Y6" i="6" s="1"/>
  <c r="AE7" i="1"/>
  <c r="Z6" i="6" s="1"/>
  <c r="AF7" i="1"/>
  <c r="AA6" i="6" s="1"/>
  <c r="AG7" i="1"/>
  <c r="AB6" i="6" s="1"/>
  <c r="AH7" i="1"/>
  <c r="AC6" i="6" s="1"/>
  <c r="AI7" i="1"/>
  <c r="AD6" i="6" s="1"/>
  <c r="AJ7" i="1"/>
  <c r="AE6" i="6" s="1"/>
  <c r="AK7" i="1"/>
  <c r="AF6" i="6" s="1"/>
  <c r="AL7" i="1"/>
  <c r="AG6" i="6" s="1"/>
  <c r="AM7" i="1"/>
  <c r="AH6" i="6" s="1"/>
  <c r="AN7" i="1"/>
  <c r="AI6" i="6" s="1"/>
  <c r="AO7" i="1"/>
  <c r="AJ6" i="6" s="1"/>
  <c r="AP7" i="1"/>
  <c r="AK6" i="6" s="1"/>
  <c r="AQ7" i="1"/>
  <c r="AL6" i="6" s="1"/>
  <c r="AR7" i="1"/>
  <c r="AM6" i="6" s="1"/>
  <c r="AS7" i="1"/>
  <c r="AN6" i="6" s="1"/>
  <c r="AT7" i="1"/>
  <c r="AO6" i="6" s="1"/>
  <c r="AU7" i="1"/>
  <c r="AP6" i="6" s="1"/>
  <c r="AV7" i="1"/>
  <c r="AQ6" i="6" s="1"/>
  <c r="AW7" i="1"/>
  <c r="AR6" i="6" s="1"/>
  <c r="AX7" i="1"/>
  <c r="AS6" i="6" s="1"/>
  <c r="AY7" i="1"/>
  <c r="AT6" i="6" s="1"/>
  <c r="AZ7" i="1"/>
  <c r="AU6" i="6" s="1"/>
  <c r="BA7" i="1"/>
  <c r="AV6" i="6" s="1"/>
  <c r="BB7" i="1"/>
  <c r="AW6" i="6" s="1"/>
  <c r="BC7" i="1"/>
  <c r="AX6" i="6" s="1"/>
  <c r="BD7" i="1"/>
  <c r="AY6" i="6" s="1"/>
  <c r="BE7" i="1"/>
  <c r="AZ6" i="6" s="1"/>
  <c r="BF7" i="1"/>
  <c r="BA6" i="6" s="1"/>
  <c r="BG7" i="1"/>
  <c r="BB6" i="6" s="1"/>
  <c r="BH7" i="1"/>
  <c r="BC6" i="6" s="1"/>
  <c r="BI7" i="1"/>
  <c r="BD6" i="6" s="1"/>
  <c r="BJ7" i="1"/>
  <c r="BE6" i="6" s="1"/>
  <c r="BK7" i="1"/>
  <c r="BF6" i="6" s="1"/>
  <c r="BL7" i="1"/>
  <c r="BG6" i="6" s="1"/>
  <c r="BM7" i="1"/>
  <c r="BH6" i="6" s="1"/>
  <c r="BN7" i="1"/>
  <c r="BI6" i="6" s="1"/>
  <c r="BO7" i="1"/>
  <c r="BJ6" i="6" s="1"/>
  <c r="BP7" i="1"/>
  <c r="BK6" i="6" s="1"/>
  <c r="BQ7" i="1"/>
  <c r="BL6" i="6" s="1"/>
  <c r="BR7" i="1"/>
  <c r="BM6" i="6" s="1"/>
  <c r="BS7" i="1"/>
  <c r="BN6" i="6" s="1"/>
  <c r="BT7" i="1"/>
  <c r="BO6" i="6" s="1"/>
  <c r="BU7" i="1"/>
  <c r="BP6" i="6" s="1"/>
  <c r="BV7" i="1"/>
  <c r="BQ6" i="6" s="1"/>
  <c r="BW7" i="1"/>
  <c r="BR6" i="6" s="1"/>
  <c r="BX7" i="1"/>
  <c r="BS6" i="6" s="1"/>
  <c r="BT6" i="6"/>
  <c r="BZ7" i="1"/>
  <c r="BU6" i="6" s="1"/>
  <c r="CA7" i="1"/>
  <c r="BV6" i="6" s="1"/>
  <c r="CB7" i="1"/>
  <c r="BW6" i="6" s="1"/>
  <c r="CC7" i="1"/>
  <c r="BX6" i="6" s="1"/>
  <c r="CD7" i="1"/>
  <c r="BY6" i="6" s="1"/>
  <c r="CE7" i="1"/>
  <c r="BZ6" i="6" s="1"/>
  <c r="CF7" i="1"/>
  <c r="CA6" i="6" s="1"/>
  <c r="CG7" i="1"/>
  <c r="CB6" i="6" s="1"/>
  <c r="CH7" i="1"/>
  <c r="CC6" i="6" s="1"/>
  <c r="CI7" i="1"/>
  <c r="CD6" i="6" s="1"/>
  <c r="CJ7" i="1"/>
  <c r="CE6" i="6" s="1"/>
  <c r="CK7" i="1"/>
  <c r="CF6" i="6" s="1"/>
  <c r="CL7" i="1"/>
  <c r="CG6" i="6" s="1"/>
  <c r="CM7" i="1"/>
  <c r="CH6" i="6" s="1"/>
  <c r="CN7" i="1"/>
  <c r="CI6" i="6" s="1"/>
  <c r="CO7" i="1"/>
  <c r="CJ6" i="6" s="1"/>
  <c r="CP7" i="1"/>
  <c r="CK6" i="6" s="1"/>
  <c r="CQ7" i="1"/>
  <c r="CL6" i="6" s="1"/>
  <c r="CR7" i="1"/>
  <c r="CM6" i="6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B2" i="6"/>
  <c r="G3" i="1"/>
  <c r="B3" i="6" s="1"/>
  <c r="B5" i="6"/>
  <c r="G7" i="1"/>
  <c r="B6" i="6" s="1"/>
  <c r="G16" i="1"/>
  <c r="G17" i="1"/>
  <c r="AY4" i="1" l="1"/>
  <c r="AQ4" i="1"/>
  <c r="AI4" i="1"/>
  <c r="AA4" i="1"/>
  <c r="AZ4" i="1"/>
  <c r="S4" i="1"/>
  <c r="BL4" i="1"/>
  <c r="BD4" i="1"/>
  <c r="AV4" i="1"/>
  <c r="AN4" i="1"/>
  <c r="CL4" i="1"/>
  <c r="CD4" i="1"/>
  <c r="BV4" i="1"/>
  <c r="BN4" i="1"/>
  <c r="BF4" i="1"/>
  <c r="AX4" i="1"/>
  <c r="AP4" i="1"/>
  <c r="AH4" i="1"/>
  <c r="R4" i="1"/>
  <c r="BO4" i="1"/>
  <c r="BG4" i="1"/>
  <c r="BU4" i="1"/>
  <c r="BM4" i="1"/>
  <c r="BE4" i="1"/>
  <c r="AW4" i="1"/>
  <c r="AO4" i="1"/>
  <c r="AG4" i="1"/>
  <c r="Y4" i="1"/>
  <c r="CB4" i="1"/>
  <c r="BT4" i="1"/>
  <c r="CM4" i="1"/>
  <c r="CE4" i="1"/>
  <c r="BW4" i="1"/>
  <c r="AF4" i="1"/>
  <c r="I4" i="1"/>
  <c r="H4" i="1"/>
  <c r="J4" i="1"/>
  <c r="AB4" i="1"/>
  <c r="CO4" i="1"/>
  <c r="CG4" i="1"/>
  <c r="BQ4" i="1"/>
  <c r="BI4" i="1"/>
  <c r="BA4" i="1"/>
  <c r="AS4" i="1"/>
  <c r="AK4" i="1"/>
  <c r="AC4" i="1"/>
  <c r="U4" i="1"/>
  <c r="M4" i="1"/>
  <c r="CF4" i="1"/>
  <c r="AR4" i="1"/>
  <c r="AJ4" i="1"/>
  <c r="BH4" i="1"/>
  <c r="BP4" i="1"/>
  <c r="BX4" i="1"/>
  <c r="CJ4" i="1"/>
  <c r="CP4" i="1"/>
  <c r="CH4" i="1"/>
  <c r="BZ4" i="1"/>
  <c r="BR4" i="1"/>
  <c r="BJ4" i="1"/>
  <c r="BB4" i="1"/>
  <c r="AT4" i="1"/>
  <c r="AL4" i="1"/>
  <c r="AD4" i="1"/>
  <c r="CQ4" i="1"/>
  <c r="CI4" i="1"/>
  <c r="CA4" i="1"/>
  <c r="BS4" i="1"/>
  <c r="BK4" i="1"/>
  <c r="BC4" i="1"/>
  <c r="AU4" i="1"/>
  <c r="AM4" i="1"/>
  <c r="AE4" i="1"/>
  <c r="W4" i="1"/>
  <c r="O4" i="1"/>
  <c r="CN4" i="1"/>
  <c r="T4" i="1"/>
  <c r="L4" i="1"/>
  <c r="G4" i="1"/>
  <c r="Z4" i="1"/>
  <c r="CK4" i="1"/>
  <c r="CC4" i="1"/>
  <c r="CR4" i="1"/>
  <c r="V4" i="1"/>
  <c r="Q4" i="1"/>
  <c r="N4" i="1"/>
  <c r="X4" i="1"/>
  <c r="P4" i="1"/>
  <c r="K4" i="1"/>
  <c r="S4" i="6" l="1"/>
  <c r="B4" i="6"/>
  <c r="AP4" i="6"/>
  <c r="AG4" i="6"/>
  <c r="CE4" i="6"/>
  <c r="P4" i="6"/>
  <c r="CB4" i="6"/>
  <c r="BZ4" i="6"/>
  <c r="AZ4" i="6"/>
  <c r="AS4" i="6"/>
  <c r="AY4" i="6"/>
  <c r="I4" i="6"/>
  <c r="G4" i="6"/>
  <c r="AX4" i="6"/>
  <c r="AO4" i="6"/>
  <c r="BS4" i="6"/>
  <c r="X4" i="6"/>
  <c r="CJ4" i="6"/>
  <c r="CH4" i="6"/>
  <c r="BH4" i="6"/>
  <c r="BA4" i="6"/>
  <c r="BG4" i="6"/>
  <c r="L4" i="6"/>
  <c r="O4" i="6"/>
  <c r="BF4" i="6"/>
  <c r="AW4" i="6"/>
  <c r="BK4" i="6"/>
  <c r="AF4" i="6"/>
  <c r="W4" i="6"/>
  <c r="BO4" i="6"/>
  <c r="BP4" i="6"/>
  <c r="BI4" i="6"/>
  <c r="N4" i="6"/>
  <c r="Q4" i="6"/>
  <c r="CI4" i="6"/>
  <c r="BN4" i="6"/>
  <c r="BE4" i="6"/>
  <c r="BC4" i="6"/>
  <c r="AN4" i="6"/>
  <c r="E4" i="6"/>
  <c r="BW4" i="6"/>
  <c r="BB4" i="6"/>
  <c r="BQ4" i="6"/>
  <c r="AU4" i="6"/>
  <c r="CM4" i="6"/>
  <c r="J4" i="6"/>
  <c r="BV4" i="6"/>
  <c r="BM4" i="6"/>
  <c r="AE4" i="6"/>
  <c r="AV4" i="6"/>
  <c r="C4" i="6"/>
  <c r="T4" i="6"/>
  <c r="BJ4" i="6"/>
  <c r="BY4" i="6"/>
  <c r="V4" i="6"/>
  <c r="BX4" i="6"/>
  <c r="R4" i="6"/>
  <c r="CD4" i="6"/>
  <c r="BU4" i="6"/>
  <c r="AM4" i="6"/>
  <c r="BD4" i="6"/>
  <c r="D4" i="6"/>
  <c r="AB4" i="6"/>
  <c r="M4" i="6"/>
  <c r="CG4" i="6"/>
  <c r="AD4" i="6"/>
  <c r="F4" i="6"/>
  <c r="CF4" i="6"/>
  <c r="Z4" i="6"/>
  <c r="CL4" i="6"/>
  <c r="CC4" i="6"/>
  <c r="CA4" i="6"/>
  <c r="BL4" i="6"/>
  <c r="AA4" i="6"/>
  <c r="AJ4" i="6"/>
  <c r="AC4" i="6"/>
  <c r="AI4" i="6"/>
  <c r="AL4" i="6"/>
  <c r="K4" i="6"/>
  <c r="U4" i="6"/>
  <c r="AH4" i="6"/>
  <c r="Y4" i="6"/>
  <c r="CK4" i="6"/>
  <c r="H4" i="6"/>
  <c r="BT4" i="6"/>
  <c r="BR4" i="6"/>
  <c r="AR4" i="6"/>
  <c r="AK4" i="6"/>
  <c r="AQ4" i="6"/>
  <c r="AT4" i="6"/>
  <c r="A17" i="1" l="1"/>
  <c r="L6" i="3" l="1"/>
  <c r="G10" i="1" s="1" a="1"/>
  <c r="M6" i="3"/>
  <c r="G11" i="1" s="1" a="1"/>
  <c r="G11" i="1" s="1"/>
  <c r="CF12" i="1" l="1"/>
  <c r="CF13" i="1" s="1"/>
  <c r="BY12" i="1"/>
  <c r="BY13" i="1" s="1"/>
  <c r="G10" i="1"/>
  <c r="G12" i="1" s="1"/>
  <c r="G13" i="1" s="1"/>
  <c r="K12" i="1"/>
  <c r="K13" i="1" s="1"/>
  <c r="J12" i="1"/>
  <c r="J13" i="1" s="1"/>
  <c r="O12" i="1"/>
  <c r="O13" i="1" s="1"/>
  <c r="W12" i="1"/>
  <c r="W13" i="1" s="1"/>
  <c r="AE12" i="1"/>
  <c r="AE13" i="1" s="1"/>
  <c r="AM12" i="1"/>
  <c r="AM13" i="1" s="1"/>
  <c r="AU12" i="1"/>
  <c r="AU13" i="1" s="1"/>
  <c r="BC12" i="1"/>
  <c r="BC13" i="1" s="1"/>
  <c r="BK12" i="1"/>
  <c r="BK13" i="1" s="1"/>
  <c r="BS12" i="1"/>
  <c r="BS13" i="1" s="1"/>
  <c r="CA12" i="1"/>
  <c r="CA13" i="1" s="1"/>
  <c r="CI12" i="1"/>
  <c r="CI13" i="1" s="1"/>
  <c r="CQ12" i="1"/>
  <c r="CQ13" i="1" s="1"/>
  <c r="R12" i="1"/>
  <c r="R13" i="1" s="1"/>
  <c r="AH12" i="1"/>
  <c r="AH13" i="1" s="1"/>
  <c r="BF12" i="1"/>
  <c r="BF13" i="1" s="1"/>
  <c r="CD12" i="1"/>
  <c r="CD13" i="1" s="1"/>
  <c r="AR12" i="1"/>
  <c r="AR13" i="1" s="1"/>
  <c r="BX12" i="1"/>
  <c r="BX13" i="1" s="1"/>
  <c r="U12" i="1"/>
  <c r="U13" i="1" s="1"/>
  <c r="BA12" i="1"/>
  <c r="BA13" i="1" s="1"/>
  <c r="CG12" i="1"/>
  <c r="CG13" i="1" s="1"/>
  <c r="N12" i="1"/>
  <c r="N13" i="1" s="1"/>
  <c r="AL12" i="1"/>
  <c r="AL13" i="1" s="1"/>
  <c r="BR12" i="1"/>
  <c r="BR13" i="1" s="1"/>
  <c r="CP12" i="1"/>
  <c r="CP13" i="1" s="1"/>
  <c r="P12" i="1"/>
  <c r="P13" i="1" s="1"/>
  <c r="X12" i="1"/>
  <c r="X13" i="1" s="1"/>
  <c r="AF12" i="1"/>
  <c r="AF13" i="1" s="1"/>
  <c r="AN12" i="1"/>
  <c r="AN13" i="1" s="1"/>
  <c r="AV12" i="1"/>
  <c r="AV13" i="1" s="1"/>
  <c r="BD12" i="1"/>
  <c r="BD13" i="1" s="1"/>
  <c r="BL12" i="1"/>
  <c r="BL13" i="1" s="1"/>
  <c r="BT12" i="1"/>
  <c r="BT13" i="1" s="1"/>
  <c r="CB12" i="1"/>
  <c r="CB13" i="1" s="1"/>
  <c r="CJ12" i="1"/>
  <c r="CJ13" i="1" s="1"/>
  <c r="CR12" i="1"/>
  <c r="CR13" i="1" s="1"/>
  <c r="H12" i="1"/>
  <c r="H13" i="1" s="1"/>
  <c r="AP12" i="1"/>
  <c r="AP13" i="1" s="1"/>
  <c r="BN12" i="1"/>
  <c r="BN13" i="1" s="1"/>
  <c r="CL12" i="1"/>
  <c r="CL13" i="1" s="1"/>
  <c r="T12" i="1"/>
  <c r="T13" i="1" s="1"/>
  <c r="BP12" i="1"/>
  <c r="BP13" i="1" s="1"/>
  <c r="AK12" i="1"/>
  <c r="AK13" i="1" s="1"/>
  <c r="BQ12" i="1"/>
  <c r="BQ13" i="1" s="1"/>
  <c r="BJ12" i="1"/>
  <c r="BJ13" i="1" s="1"/>
  <c r="Q12" i="1"/>
  <c r="Q13" i="1" s="1"/>
  <c r="Y12" i="1"/>
  <c r="Y13" i="1" s="1"/>
  <c r="AG12" i="1"/>
  <c r="AG13" i="1" s="1"/>
  <c r="AO12" i="1"/>
  <c r="AO13" i="1" s="1"/>
  <c r="AW12" i="1"/>
  <c r="AW13" i="1" s="1"/>
  <c r="BE12" i="1"/>
  <c r="BE13" i="1" s="1"/>
  <c r="BM12" i="1"/>
  <c r="BM13" i="1" s="1"/>
  <c r="BU12" i="1"/>
  <c r="BU13" i="1" s="1"/>
  <c r="CC12" i="1"/>
  <c r="CC13" i="1" s="1"/>
  <c r="CK12" i="1"/>
  <c r="CK13" i="1" s="1"/>
  <c r="Z12" i="1"/>
  <c r="Z13" i="1" s="1"/>
  <c r="AX12" i="1"/>
  <c r="AX13" i="1" s="1"/>
  <c r="BV12" i="1"/>
  <c r="BV13" i="1" s="1"/>
  <c r="AB12" i="1"/>
  <c r="AB13" i="1" s="1"/>
  <c r="BH12" i="1"/>
  <c r="BH13" i="1" s="1"/>
  <c r="CN12" i="1"/>
  <c r="CN13" i="1" s="1"/>
  <c r="AC12" i="1"/>
  <c r="AC13" i="1" s="1"/>
  <c r="BI12" i="1"/>
  <c r="BI13" i="1" s="1"/>
  <c r="CO12" i="1"/>
  <c r="CO13" i="1" s="1"/>
  <c r="V12" i="1"/>
  <c r="V13" i="1" s="1"/>
  <c r="AT12" i="1"/>
  <c r="AT13" i="1" s="1"/>
  <c r="BZ12" i="1"/>
  <c r="BZ13" i="1" s="1"/>
  <c r="I12" i="1"/>
  <c r="I13" i="1" s="1"/>
  <c r="S12" i="1"/>
  <c r="S13" i="1" s="1"/>
  <c r="AA12" i="1"/>
  <c r="AA13" i="1" s="1"/>
  <c r="AI12" i="1"/>
  <c r="AI13" i="1" s="1"/>
  <c r="AQ12" i="1"/>
  <c r="AQ13" i="1" s="1"/>
  <c r="AY12" i="1"/>
  <c r="AY13" i="1" s="1"/>
  <c r="BG12" i="1"/>
  <c r="BG13" i="1" s="1"/>
  <c r="BO12" i="1"/>
  <c r="BO13" i="1" s="1"/>
  <c r="BW12" i="1"/>
  <c r="BW13" i="1" s="1"/>
  <c r="CE12" i="1"/>
  <c r="CE13" i="1" s="1"/>
  <c r="CM12" i="1"/>
  <c r="CM13" i="1" s="1"/>
  <c r="L12" i="1"/>
  <c r="L13" i="1" s="1"/>
  <c r="AJ12" i="1"/>
  <c r="AJ13" i="1" s="1"/>
  <c r="AZ12" i="1"/>
  <c r="AZ13" i="1" s="1"/>
  <c r="M12" i="1"/>
  <c r="M13" i="1" s="1"/>
  <c r="AS12" i="1"/>
  <c r="AS13" i="1" s="1"/>
  <c r="AD12" i="1"/>
  <c r="AD13" i="1" s="1"/>
  <c r="BB12" i="1"/>
  <c r="BB13" i="1" s="1"/>
  <c r="CH12" i="1"/>
  <c r="CH13" i="1" s="1"/>
  <c r="N6" i="3"/>
  <c r="AN5" i="4" l="1"/>
  <c r="AP5" i="4" s="1"/>
  <c r="AO5" i="4"/>
  <c r="S5" i="4"/>
  <c r="T5" i="4"/>
  <c r="U5" i="4" l="1"/>
  <c r="G8" i="1" s="1" a="1"/>
  <c r="BY9" i="1" s="1"/>
  <c r="G8" i="1" l="1"/>
  <c r="G9" i="1" s="1"/>
  <c r="U9" i="1"/>
  <c r="AX9" i="1"/>
  <c r="BC9" i="1"/>
  <c r="CO9" i="1"/>
  <c r="BL9" i="1"/>
  <c r="BB9" i="1"/>
  <c r="BT9" i="1"/>
  <c r="V9" i="1"/>
  <c r="BH9" i="1"/>
  <c r="BG9" i="1"/>
  <c r="O9" i="1"/>
  <c r="BA9" i="1"/>
  <c r="CD9" i="1"/>
  <c r="CI9" i="1"/>
  <c r="I9" i="1"/>
  <c r="AI9" i="1"/>
  <c r="CQ9" i="1"/>
  <c r="AF9" i="1"/>
  <c r="AQ9" i="1"/>
  <c r="AD9" i="1"/>
  <c r="BW9" i="1"/>
  <c r="AY9" i="1"/>
  <c r="AU9" i="1"/>
  <c r="CG9" i="1"/>
  <c r="BD9" i="1"/>
  <c r="AT9" i="1"/>
  <c r="CM9" i="1"/>
  <c r="Q9" i="1"/>
  <c r="BP9" i="1"/>
  <c r="BU9" i="1"/>
  <c r="CN9" i="1"/>
  <c r="AS9" i="1"/>
  <c r="BV9" i="1"/>
  <c r="CA9" i="1"/>
  <c r="H9" i="1"/>
  <c r="AA9" i="1"/>
  <c r="BZ9" i="1"/>
  <c r="AG9" i="1"/>
  <c r="K9" i="1"/>
  <c r="CH9" i="1"/>
  <c r="AO9" i="1"/>
  <c r="P9" i="1"/>
  <c r="CP9" i="1"/>
  <c r="AW9" i="1"/>
  <c r="AL9" i="1"/>
  <c r="CE9" i="1"/>
  <c r="N9" i="1"/>
  <c r="BX9" i="1"/>
  <c r="BM9" i="1"/>
  <c r="T9" i="1"/>
  <c r="AK9" i="1"/>
  <c r="BN9" i="1"/>
  <c r="BS9" i="1"/>
  <c r="J9" i="1"/>
  <c r="AZ9" i="1"/>
  <c r="BR9" i="1"/>
  <c r="Y9" i="1"/>
  <c r="CC9" i="1"/>
  <c r="AR9" i="1"/>
  <c r="R9" i="1"/>
  <c r="CK9" i="1"/>
  <c r="CF9" i="1"/>
  <c r="AH9" i="1"/>
  <c r="Z9" i="1"/>
  <c r="M9" i="1"/>
  <c r="AP9" i="1"/>
  <c r="X9" i="1"/>
  <c r="CJ9" i="1"/>
  <c r="BE9" i="1"/>
  <c r="L9" i="1"/>
  <c r="AC9" i="1"/>
  <c r="BF9" i="1"/>
  <c r="BK9" i="1"/>
  <c r="AB9" i="1"/>
  <c r="S9" i="1"/>
  <c r="BJ9" i="1"/>
  <c r="CB9" i="1"/>
  <c r="CR9" i="1"/>
  <c r="AJ9" i="1"/>
  <c r="BO9" i="1"/>
  <c r="W9" i="1"/>
  <c r="BI9" i="1"/>
  <c r="CL9" i="1"/>
  <c r="AE9" i="1"/>
  <c r="BQ9" i="1"/>
  <c r="AN9" i="1"/>
  <c r="AM9" i="1"/>
  <c r="AV9" i="1"/>
  <c r="H15" i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S15" i="1" s="1"/>
  <c r="BT15" i="1" s="1"/>
  <c r="BU15" i="1" s="1"/>
  <c r="BV15" i="1" s="1"/>
  <c r="BW15" i="1" l="1"/>
  <c r="BX15" i="1" s="1"/>
  <c r="BY15" i="1" l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J15" i="1" s="1"/>
  <c r="CK15" i="1" s="1"/>
  <c r="CL15" i="1" s="1"/>
  <c r="CM15" i="1" s="1"/>
  <c r="CN15" i="1" s="1"/>
  <c r="CO15" i="1" s="1"/>
  <c r="CP15" i="1" s="1"/>
  <c r="CQ15" i="1" s="1"/>
  <c r="CR15" i="1" s="1"/>
  <c r="CT15" i="1" s="1"/>
  <c r="CU15" i="1" s="1"/>
  <c r="CV15" i="1" s="1"/>
  <c r="CW15" i="1" s="1"/>
  <c r="CX15" i="1" s="1"/>
  <c r="CY15" i="1" s="1"/>
  <c r="CZ15" i="1" s="1"/>
  <c r="DA15" i="1" s="1"/>
  <c r="DB15" i="1" s="1"/>
  <c r="DC15" i="1" s="1"/>
  <c r="DD15" i="1" s="1"/>
  <c r="DE15" i="1" s="1"/>
  <c r="DF15" i="1" s="1"/>
  <c r="DG15" i="1" s="1"/>
  <c r="DH15" i="1" s="1"/>
  <c r="DI15" i="1" s="1"/>
  <c r="DJ15" i="1" s="1"/>
  <c r="DK15" i="1" s="1"/>
  <c r="DL15" i="1" s="1"/>
  <c r="DM15" i="1" s="1"/>
  <c r="DN15" i="1" s="1"/>
  <c r="DO15" i="1" s="1"/>
  <c r="DP15" i="1" s="1"/>
  <c r="DQ15" i="1" s="1"/>
  <c r="DR15" i="1" s="1"/>
  <c r="DS15" i="1" s="1"/>
  <c r="DT15" i="1" s="1"/>
  <c r="DU15" i="1" s="1"/>
  <c r="DV15" i="1" s="1"/>
  <c r="DW15" i="1" s="1"/>
  <c r="DX15" i="1" s="1"/>
  <c r="DY15" i="1" s="1"/>
  <c r="DZ15" i="1" s="1"/>
  <c r="EA15" i="1" s="1"/>
  <c r="EB15" i="1" s="1"/>
  <c r="EC15" i="1" s="1"/>
  <c r="ED15" i="1" s="1"/>
  <c r="EE15" i="1" s="1"/>
  <c r="EF15" i="1" s="1"/>
  <c r="EG15" i="1" s="1"/>
  <c r="EH15" i="1" s="1"/>
  <c r="EI15" i="1" s="1"/>
  <c r="EJ15" i="1" s="1"/>
  <c r="EK15" i="1" s="1"/>
  <c r="EL15" i="1" s="1"/>
  <c r="EM15" i="1" s="1"/>
  <c r="EN15" i="1" s="1"/>
  <c r="EO15" i="1" s="1"/>
  <c r="EP15" i="1" s="1"/>
  <c r="EQ15" i="1" s="1"/>
  <c r="ER15" i="1" s="1"/>
  <c r="ES15" i="1" s="1"/>
  <c r="ET15" i="1" s="1"/>
  <c r="EU15" i="1" s="1"/>
  <c r="EV15" i="1" s="1"/>
  <c r="EW15" i="1" s="1"/>
  <c r="EX15" i="1" s="1"/>
  <c r="EY15" i="1" s="1"/>
  <c r="EZ15" i="1" s="1"/>
  <c r="FA15" i="1" s="1"/>
  <c r="FC15" i="1" s="1"/>
  <c r="FD15" i="1" s="1"/>
  <c r="FE15" i="1" s="1"/>
  <c r="FF15" i="1" s="1"/>
  <c r="FG15" i="1" s="1"/>
  <c r="FH15" i="1" s="1"/>
  <c r="FI15" i="1" s="1"/>
  <c r="FJ15" i="1" s="1"/>
  <c r="FK15" i="1" s="1"/>
  <c r="FL15" i="1" s="1"/>
  <c r="FM15" i="1" s="1"/>
  <c r="FN15" i="1" s="1"/>
  <c r="FO15" i="1" s="1"/>
  <c r="FP15" i="1" s="1"/>
  <c r="FQ15" i="1" s="1"/>
  <c r="FR15" i="1" s="1"/>
  <c r="FS15" i="1" s="1"/>
  <c r="FT15" i="1" s="1"/>
  <c r="FU15" i="1" s="1"/>
  <c r="FV15" i="1" s="1"/>
  <c r="FW15" i="1" s="1"/>
  <c r="FX15" i="1" s="1"/>
  <c r="FY15" i="1" s="1"/>
  <c r="FZ15" i="1" s="1"/>
  <c r="GA15" i="1" s="1"/>
  <c r="GB15" i="1" s="1"/>
  <c r="GD15" i="1" s="1"/>
  <c r="GE15" i="1" s="1"/>
  <c r="GF15" i="1" s="1"/>
  <c r="GG15" i="1" s="1"/>
  <c r="GH15" i="1" s="1"/>
  <c r="GI15" i="1" s="1"/>
  <c r="GJ15" i="1" s="1"/>
  <c r="GK15" i="1" s="1"/>
  <c r="GL15" i="1" s="1"/>
  <c r="GM15" i="1" s="1"/>
  <c r="GN15" i="1" s="1"/>
  <c r="GO15" i="1" s="1"/>
  <c r="GP15" i="1" s="1"/>
  <c r="GQ15" i="1" s="1"/>
  <c r="GR15" i="1" s="1"/>
  <c r="GS15" i="1" s="1"/>
  <c r="GT15" i="1" s="1"/>
  <c r="GU15" i="1" s="1"/>
  <c r="GV15" i="1" s="1"/>
  <c r="GW15" i="1" s="1"/>
  <c r="GX15" i="1" s="1"/>
  <c r="GY15" i="1" s="1"/>
  <c r="GZ15" i="1" s="1"/>
  <c r="HA15" i="1" s="1"/>
  <c r="HB15" i="1" s="1"/>
  <c r="HC15" i="1" s="1"/>
  <c r="HD15" i="1" s="1"/>
  <c r="HF15" i="1" s="1"/>
  <c r="HG15" i="1" s="1"/>
  <c r="HH15" i="1" s="1"/>
  <c r="HI15" i="1" s="1"/>
  <c r="HJ15" i="1" s="1"/>
  <c r="HK15" i="1" s="1"/>
  <c r="HL15" i="1" l="1"/>
  <c r="HN15" i="1" s="1"/>
  <c r="HO15" i="1" s="1"/>
  <c r="HP15" i="1" s="1"/>
  <c r="HQ15" i="1" s="1"/>
  <c r="HR15" i="1" s="1"/>
  <c r="HT15" i="1" s="1"/>
  <c r="HU15" i="1" s="1"/>
  <c r="HV15" i="1" s="1"/>
  <c r="HW15" i="1" s="1"/>
  <c r="HX15" i="1" s="1"/>
  <c r="HY15" i="1" s="1"/>
  <c r="HZ15" i="1" s="1"/>
  <c r="IA15" i="1" s="1"/>
  <c r="IB15" i="1" s="1"/>
  <c r="IC15" i="1" s="1"/>
  <c r="ID15" i="1" s="1"/>
  <c r="IE15" i="1" s="1"/>
  <c r="IF15" i="1" s="1"/>
  <c r="IG15" i="1" s="1"/>
  <c r="IH15" i="1" s="1"/>
  <c r="II15" i="1" s="1"/>
  <c r="IJ15" i="1" s="1"/>
  <c r="IK15" i="1" s="1"/>
  <c r="IL15" i="1" s="1"/>
  <c r="IM15" i="1" s="1"/>
  <c r="IN15" i="1" s="1"/>
  <c r="IO15" i="1" s="1"/>
  <c r="IP15" i="1" s="1"/>
  <c r="IQ15" i="1" s="1"/>
  <c r="IR15" i="1" s="1"/>
  <c r="IS15" i="1" s="1"/>
  <c r="IT15" i="1" s="1"/>
  <c r="IU15" i="1" s="1"/>
  <c r="IV15" i="1" s="1"/>
  <c r="IW15" i="1" s="1"/>
  <c r="IX15" i="1" s="1"/>
  <c r="IY15" i="1" s="1"/>
  <c r="IZ15" i="1" s="1"/>
  <c r="JA15" i="1" s="1"/>
  <c r="JB15" i="1" s="1"/>
  <c r="JC15" i="1" s="1"/>
  <c r="JD15" i="1" s="1"/>
  <c r="JE15" i="1" s="1"/>
  <c r="JF15" i="1" s="1"/>
  <c r="JG15" i="1" s="1"/>
  <c r="JH15" i="1" s="1"/>
  <c r="JI15" i="1" s="1"/>
  <c r="JJ15" i="1" s="1"/>
  <c r="JK15" i="1" s="1"/>
  <c r="JL15" i="1" s="1"/>
  <c r="JM15" i="1" s="1"/>
  <c r="JN15" i="1" s="1"/>
  <c r="JO15" i="1" s="1"/>
  <c r="JP15" i="1" s="1"/>
  <c r="JQ15" i="1" s="1"/>
  <c r="JR15" i="1" s="1"/>
  <c r="JS15" i="1" s="1"/>
  <c r="JT15" i="1" s="1"/>
  <c r="JU15" i="1" s="1"/>
  <c r="JV15" i="1" s="1"/>
  <c r="JW15" i="1" s="1"/>
  <c r="JX15" i="1" s="1"/>
  <c r="JY15" i="1" s="1"/>
  <c r="JZ15" i="1" s="1"/>
  <c r="KA15" i="1" s="1"/>
  <c r="KB15" i="1" s="1"/>
  <c r="KC15" i="1" s="1"/>
  <c r="KD15" i="1" s="1"/>
  <c r="KE15" i="1" s="1"/>
  <c r="KF15" i="1" s="1"/>
  <c r="KG15" i="1" s="1"/>
  <c r="KH15" i="1" s="1"/>
  <c r="KI15" i="1" s="1"/>
  <c r="KJ15" i="1" s="1"/>
  <c r="KK15" i="1" s="1"/>
  <c r="KL15" i="1" s="1"/>
  <c r="KM15" i="1" s="1"/>
  <c r="KN15" i="1" s="1"/>
  <c r="KO15" i="1" s="1"/>
  <c r="KP15" i="1" s="1"/>
  <c r="KQ15" i="1" s="1"/>
  <c r="KR15" i="1" s="1"/>
  <c r="KS15" i="1" s="1"/>
  <c r="KT15" i="1" s="1"/>
  <c r="KU15" i="1" s="1"/>
  <c r="KV15" i="1" s="1"/>
  <c r="KW15" i="1" s="1"/>
  <c r="KX15" i="1" s="1"/>
  <c r="KY15" i="1" s="1"/>
  <c r="KZ15" i="1" s="1"/>
  <c r="LA15" i="1" s="1"/>
  <c r="LB15" i="1" s="1"/>
  <c r="LC15" i="1" s="1"/>
  <c r="LD15" i="1" s="1"/>
  <c r="LE15" i="1" s="1"/>
  <c r="LF15" i="1" s="1"/>
  <c r="LG15" i="1" s="1"/>
  <c r="LH15" i="1" s="1"/>
  <c r="LI15" i="1" s="1"/>
  <c r="LJ15" i="1" s="1"/>
  <c r="LK15" i="1" s="1"/>
  <c r="LL15" i="1" s="1"/>
  <c r="LM15" i="1" s="1"/>
  <c r="LN15" i="1" s="1"/>
  <c r="LO15" i="1" s="1"/>
  <c r="LP15" i="1" s="1"/>
  <c r="LQ15" i="1" s="1"/>
  <c r="LR15" i="1" s="1"/>
  <c r="LS15" i="1" s="1"/>
  <c r="LT15" i="1" s="1"/>
  <c r="LU15" i="1" s="1"/>
  <c r="LV15" i="1" s="1"/>
  <c r="LW15" i="1" s="1"/>
  <c r="LX15" i="1" s="1"/>
  <c r="LY15" i="1" s="1"/>
  <c r="LZ15" i="1" s="1"/>
  <c r="MA15" i="1" s="1"/>
  <c r="MB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<sst xmlns="http://schemas.openxmlformats.org/spreadsheetml/2006/main" count="10926" uniqueCount="433">
  <si>
    <t>Company</t>
  </si>
  <si>
    <t>Rig</t>
  </si>
  <si>
    <t>Area</t>
  </si>
  <si>
    <t>District</t>
  </si>
  <si>
    <t>Primary Job Count</t>
  </si>
  <si>
    <t>Remedial/Misc Job Count</t>
  </si>
  <si>
    <t>Total Job Count</t>
  </si>
  <si>
    <t>Additional Pump Demand/Job</t>
  </si>
  <si>
    <t>Units on Standby/Day Rate</t>
  </si>
  <si>
    <t>Active Pump Count</t>
  </si>
  <si>
    <t>Pump Utilization</t>
  </si>
  <si>
    <t xml:space="preserve"> Twin Pumper</t>
  </si>
  <si>
    <t>Single Pumper</t>
  </si>
  <si>
    <t>Total Manned Pump Count</t>
  </si>
  <si>
    <t>Crew Utilization</t>
  </si>
  <si>
    <t>Active Rigs</t>
  </si>
  <si>
    <t>Rig Start</t>
  </si>
  <si>
    <t xml:space="preserve">Rig End </t>
  </si>
  <si>
    <t>PRIMARY</t>
  </si>
  <si>
    <t xml:space="preserve">Pre-Job Testing </t>
  </si>
  <si>
    <t xml:space="preserve">Advantage </t>
  </si>
  <si>
    <t>Horizon 30</t>
  </si>
  <si>
    <t>Northwest</t>
  </si>
  <si>
    <t>GP</t>
  </si>
  <si>
    <t>No</t>
  </si>
  <si>
    <t>Start</t>
  </si>
  <si>
    <t>Surface</t>
  </si>
  <si>
    <t>Production</t>
  </si>
  <si>
    <t>Plugs</t>
  </si>
  <si>
    <t>ARC</t>
  </si>
  <si>
    <t>TBD</t>
  </si>
  <si>
    <t xml:space="preserve">Archer </t>
  </si>
  <si>
    <t>Twilight 4</t>
  </si>
  <si>
    <t>Baccalieu</t>
  </si>
  <si>
    <t>Horizon 4</t>
  </si>
  <si>
    <t xml:space="preserve">Central </t>
  </si>
  <si>
    <t>Edm</t>
  </si>
  <si>
    <t>End</t>
  </si>
  <si>
    <t xml:space="preserve">Baytex </t>
  </si>
  <si>
    <t>Savanna 686</t>
  </si>
  <si>
    <t>RD</t>
  </si>
  <si>
    <t>Intermediate</t>
  </si>
  <si>
    <t>Standby</t>
  </si>
  <si>
    <t>Baytex</t>
  </si>
  <si>
    <t>Savanna 441</t>
  </si>
  <si>
    <t xml:space="preserve">Southeast </t>
  </si>
  <si>
    <t>Swift</t>
  </si>
  <si>
    <t>Savanna 425</t>
  </si>
  <si>
    <t>PD 155</t>
  </si>
  <si>
    <t xml:space="preserve">Northeast </t>
  </si>
  <si>
    <t>LLD</t>
  </si>
  <si>
    <t>Birchcliff</t>
  </si>
  <si>
    <t>Ensign 557</t>
  </si>
  <si>
    <t>Yes</t>
  </si>
  <si>
    <t>DC 2</t>
  </si>
  <si>
    <t xml:space="preserve">Bonavista </t>
  </si>
  <si>
    <t>Savanna 638</t>
  </si>
  <si>
    <t>Liner</t>
  </si>
  <si>
    <t>Bonterra</t>
  </si>
  <si>
    <t>Ironhand 1</t>
  </si>
  <si>
    <t>Burgess Creek</t>
  </si>
  <si>
    <t>Betts 4</t>
  </si>
  <si>
    <t>Est</t>
  </si>
  <si>
    <t xml:space="preserve">Cenovus </t>
  </si>
  <si>
    <t>PD 254</t>
  </si>
  <si>
    <t>PD 198</t>
  </si>
  <si>
    <t>PD 191</t>
  </si>
  <si>
    <t>PD 146</t>
  </si>
  <si>
    <t>Cenovus</t>
  </si>
  <si>
    <t>Ensign 449</t>
  </si>
  <si>
    <t>Akita 6</t>
  </si>
  <si>
    <t>PD 197</t>
  </si>
  <si>
    <t>Ensign 360</t>
  </si>
  <si>
    <t>CNRL</t>
  </si>
  <si>
    <t>Ensign 49</t>
  </si>
  <si>
    <t>Ensign 44</t>
  </si>
  <si>
    <t>FSJ</t>
  </si>
  <si>
    <t>Ensign 854</t>
  </si>
  <si>
    <t>LLB</t>
  </si>
  <si>
    <t>Ensign 143</t>
  </si>
  <si>
    <t>Surface x 2</t>
  </si>
  <si>
    <t>Akita 31</t>
  </si>
  <si>
    <t>Akita 28</t>
  </si>
  <si>
    <t>Corex</t>
  </si>
  <si>
    <t xml:space="preserve">Ensign 14 </t>
  </si>
  <si>
    <t>Prod/Surf</t>
  </si>
  <si>
    <t xml:space="preserve">Crescent Point </t>
  </si>
  <si>
    <t>Savanna 419</t>
  </si>
  <si>
    <t>Savanna 416</t>
  </si>
  <si>
    <t>Deltastream</t>
  </si>
  <si>
    <t>PD 299</t>
  </si>
  <si>
    <t>Horizon 51</t>
  </si>
  <si>
    <t>Horizon 3</t>
  </si>
  <si>
    <t>Inplay</t>
  </si>
  <si>
    <t>Ironhand 6</t>
  </si>
  <si>
    <t>ISH</t>
  </si>
  <si>
    <t>Lasso 6</t>
  </si>
  <si>
    <t>Kaden</t>
  </si>
  <si>
    <t>Kiwetinohk</t>
  </si>
  <si>
    <t>Akita 41</t>
  </si>
  <si>
    <t>Lance Exploration</t>
  </si>
  <si>
    <t>LE 1</t>
  </si>
  <si>
    <t>Longshore</t>
  </si>
  <si>
    <t>Ensign 420</t>
  </si>
  <si>
    <t>Meg</t>
  </si>
  <si>
    <t>PD 151</t>
  </si>
  <si>
    <t>DR - 2 Units</t>
  </si>
  <si>
    <t>North 40</t>
  </si>
  <si>
    <t>Bonanza 7</t>
  </si>
  <si>
    <t xml:space="preserve">Novus </t>
  </si>
  <si>
    <t>Bonanza 1</t>
  </si>
  <si>
    <t>NTE</t>
  </si>
  <si>
    <t>Horizon 5</t>
  </si>
  <si>
    <t xml:space="preserve">NuVista </t>
  </si>
  <si>
    <t>Ensign 547</t>
  </si>
  <si>
    <t>Ovintiv</t>
  </si>
  <si>
    <t>PD 535</t>
  </si>
  <si>
    <t>PD 520</t>
  </si>
  <si>
    <t>production</t>
  </si>
  <si>
    <t>Paramount</t>
  </si>
  <si>
    <t>Fox 7</t>
  </si>
  <si>
    <t>Fox 6</t>
  </si>
  <si>
    <t xml:space="preserve">Paramount </t>
  </si>
  <si>
    <t>Fox 4</t>
  </si>
  <si>
    <t>Fox 3</t>
  </si>
  <si>
    <t xml:space="preserve">Petronas </t>
  </si>
  <si>
    <t>PD 571</t>
  </si>
  <si>
    <t>PD 544</t>
  </si>
  <si>
    <t xml:space="preserve">Petrus </t>
  </si>
  <si>
    <t>Savanna 626</t>
  </si>
  <si>
    <t>Ensign 419</t>
  </si>
  <si>
    <t xml:space="preserve">Peyto </t>
  </si>
  <si>
    <t>Savanna 636</t>
  </si>
  <si>
    <t>Savanna 634</t>
  </si>
  <si>
    <t>Ensign 401</t>
  </si>
  <si>
    <t>Ensign 438</t>
  </si>
  <si>
    <t>Ensign 432</t>
  </si>
  <si>
    <t xml:space="preserve">Pipestone </t>
  </si>
  <si>
    <t>PD 540</t>
  </si>
  <si>
    <t>Ridgeback</t>
  </si>
  <si>
    <t>PD 309</t>
  </si>
  <si>
    <t>Rockeast (BRW)</t>
  </si>
  <si>
    <t>Bonanza 4</t>
  </si>
  <si>
    <t>Rubellite</t>
  </si>
  <si>
    <t>PD 141</t>
  </si>
  <si>
    <t>PD 118</t>
  </si>
  <si>
    <t>PD 116</t>
  </si>
  <si>
    <t>Sinopec</t>
  </si>
  <si>
    <t>Ensign 829</t>
  </si>
  <si>
    <t>Strathcona</t>
  </si>
  <si>
    <t>PD 529</t>
  </si>
  <si>
    <t xml:space="preserve">Surge </t>
  </si>
  <si>
    <t>Savanna 418</t>
  </si>
  <si>
    <t>Tenaz Energy</t>
  </si>
  <si>
    <t>Ensign 434</t>
  </si>
  <si>
    <t>Tourmaline</t>
  </si>
  <si>
    <t>Savanna 656</t>
  </si>
  <si>
    <t xml:space="preserve">Tourmaline </t>
  </si>
  <si>
    <t>PD 546</t>
  </si>
  <si>
    <t>PD 541</t>
  </si>
  <si>
    <t>PD 538</t>
  </si>
  <si>
    <t>PD 533</t>
  </si>
  <si>
    <t>PD 463</t>
  </si>
  <si>
    <t>Ensign 877</t>
  </si>
  <si>
    <t>Ensign 858</t>
  </si>
  <si>
    <t>Ensign 817</t>
  </si>
  <si>
    <t>Ensign 816</t>
  </si>
  <si>
    <t xml:space="preserve">Tundra </t>
  </si>
  <si>
    <t>Stampede 4</t>
  </si>
  <si>
    <t>Ensign 12</t>
  </si>
  <si>
    <t>Ensign 10</t>
  </si>
  <si>
    <t>Ensign 9</t>
  </si>
  <si>
    <t xml:space="preserve">Vermillion </t>
  </si>
  <si>
    <t>Panther 3</t>
  </si>
  <si>
    <t xml:space="preserve">Westlake </t>
  </si>
  <si>
    <t>PD 148</t>
  </si>
  <si>
    <t>Whitecap</t>
  </si>
  <si>
    <t>Stampede 17</t>
  </si>
  <si>
    <t>PD 403</t>
  </si>
  <si>
    <t>PD 275</t>
  </si>
  <si>
    <t>Horizon 43</t>
  </si>
  <si>
    <t>Ensign 423</t>
  </si>
  <si>
    <t>Bonanza 3</t>
  </si>
  <si>
    <t>Bonanza 2</t>
  </si>
  <si>
    <t>Bonanza 10</t>
  </si>
  <si>
    <t>PRIMARY - MULTIPLE PUMPS</t>
  </si>
  <si>
    <t>Athabasca</t>
  </si>
  <si>
    <t>Akita 27</t>
  </si>
  <si>
    <t>Cenovus (FC)</t>
  </si>
  <si>
    <t>PD 199</t>
  </si>
  <si>
    <t xml:space="preserve">surface </t>
  </si>
  <si>
    <t>Cenovus (Sunrise)</t>
  </si>
  <si>
    <t>PD 192</t>
  </si>
  <si>
    <t>Cenovus (CL)</t>
  </si>
  <si>
    <t>Ensign 141</t>
  </si>
  <si>
    <t>Akita 25</t>
  </si>
  <si>
    <t>PRIMARY - VARIABLE PUMPS</t>
  </si>
  <si>
    <t>Imperial Oil</t>
  </si>
  <si>
    <t>PD 189</t>
  </si>
  <si>
    <t>Akita 26</t>
  </si>
  <si>
    <t>Suncor</t>
  </si>
  <si>
    <t>PD 144</t>
  </si>
  <si>
    <t xml:space="preserve">Suncor </t>
  </si>
  <si>
    <t>Ensign 852</t>
  </si>
  <si>
    <t>DR - 1 Unit</t>
  </si>
  <si>
    <t>PRIMARY - PROJECTS</t>
  </si>
  <si>
    <t xml:space="preserve">REMEDIAL / MISC PUMPING </t>
  </si>
  <si>
    <t>Cenovus Cond</t>
  </si>
  <si>
    <t>Imperial SH</t>
  </si>
  <si>
    <t xml:space="preserve">Cenovus Cond </t>
  </si>
  <si>
    <t>Peyto</t>
  </si>
  <si>
    <t>Orlen Squeeze</t>
  </si>
  <si>
    <t xml:space="preserve">Cenovus Aband </t>
  </si>
  <si>
    <t>CNRL RD</t>
  </si>
  <si>
    <t>CNRL FSJ</t>
  </si>
  <si>
    <t>Orlen Top off</t>
  </si>
  <si>
    <t>CNRL Edson</t>
  </si>
  <si>
    <t>Whitecap top off</t>
  </si>
  <si>
    <t xml:space="preserve">Cci Pipeline </t>
  </si>
  <si>
    <t>Enerplus</t>
  </si>
  <si>
    <t xml:space="preserve">New Times </t>
  </si>
  <si>
    <t>Outlier</t>
  </si>
  <si>
    <t>Archer Plug</t>
  </si>
  <si>
    <t>Suncor BM Surfaces</t>
  </si>
  <si>
    <t>Suncor BM Surface</t>
  </si>
  <si>
    <t>Whitecap Barite</t>
  </si>
  <si>
    <t>Syncrude aband</t>
  </si>
  <si>
    <t>syncrude aband</t>
  </si>
  <si>
    <t>CNRL Nano</t>
  </si>
  <si>
    <t>CNRL Sanseal</t>
  </si>
  <si>
    <t>Keyera PL</t>
  </si>
  <si>
    <t>Potts Retainer</t>
  </si>
  <si>
    <t>Birchcliff Cond</t>
  </si>
  <si>
    <t>Persist Cond</t>
  </si>
  <si>
    <t>Imperials NWT</t>
  </si>
  <si>
    <t>Imperial NWT</t>
  </si>
  <si>
    <t>CNOOC</t>
  </si>
  <si>
    <t>Suncor Surf</t>
  </si>
  <si>
    <t>Tourm Cond</t>
  </si>
  <si>
    <t xml:space="preserve">Clarke Lake </t>
  </si>
  <si>
    <t xml:space="preserve">CNOOC </t>
  </si>
  <si>
    <t>CNOOC (top off)</t>
  </si>
  <si>
    <t>Cnooc</t>
  </si>
  <si>
    <t>Cenovus Aband</t>
  </si>
  <si>
    <t>Whitecap Cond</t>
  </si>
  <si>
    <t xml:space="preserve">Cenovus Coil </t>
  </si>
  <si>
    <t xml:space="preserve">Cenvovus Cond </t>
  </si>
  <si>
    <t>Bonterra top off</t>
  </si>
  <si>
    <t>Suncor surf</t>
  </si>
  <si>
    <t xml:space="preserve">Keyera Pipeline </t>
  </si>
  <si>
    <t>Cenovus coil</t>
  </si>
  <si>
    <t>Cronos Ret</t>
  </si>
  <si>
    <t>Baytex Aband</t>
  </si>
  <si>
    <t>Avalon Prod</t>
  </si>
  <si>
    <t xml:space="preserve">Longrun Squeeze </t>
  </si>
  <si>
    <t>Imperial Plug</t>
  </si>
  <si>
    <t>Cenovus Plug</t>
  </si>
  <si>
    <t>Conifer</t>
  </si>
  <si>
    <t>Questerre</t>
  </si>
  <si>
    <t>COMPLETED RIGS</t>
  </si>
  <si>
    <t>Stampede 7</t>
  </si>
  <si>
    <t>Boulder (WL)</t>
  </si>
  <si>
    <t>Ironhand 9</t>
  </si>
  <si>
    <t xml:space="preserve">Rolling Hills </t>
  </si>
  <si>
    <t>PD 530</t>
  </si>
  <si>
    <t xml:space="preserve">Melita </t>
  </si>
  <si>
    <t>Cenovus (Tucker)</t>
  </si>
  <si>
    <t xml:space="preserve">Headwater </t>
  </si>
  <si>
    <t>Ensign 859</t>
  </si>
  <si>
    <t>Sundog</t>
  </si>
  <si>
    <t>Stampede 3</t>
  </si>
  <si>
    <t>Suncor (FH)</t>
  </si>
  <si>
    <t>BCD 6</t>
  </si>
  <si>
    <t xml:space="preserve">Ensign 7 </t>
  </si>
  <si>
    <t xml:space="preserve">McAllister </t>
  </si>
  <si>
    <t>Insignia</t>
  </si>
  <si>
    <t>Horizon 52</t>
  </si>
  <si>
    <t>PD 145</t>
  </si>
  <si>
    <t>Orlen</t>
  </si>
  <si>
    <t>Akita 8</t>
  </si>
  <si>
    <t>Canamax</t>
  </si>
  <si>
    <t>PD 527</t>
  </si>
  <si>
    <t>Predator 1</t>
  </si>
  <si>
    <t>XTO (Kearl)</t>
  </si>
  <si>
    <t>Horizon 61</t>
  </si>
  <si>
    <t>Savanna 655</t>
  </si>
  <si>
    <t>Predator 4</t>
  </si>
  <si>
    <t>Predator 2</t>
  </si>
  <si>
    <t>surface</t>
  </si>
  <si>
    <t xml:space="preserve">Production </t>
  </si>
  <si>
    <t>Ensign T14</t>
  </si>
  <si>
    <t>Harvest</t>
  </si>
  <si>
    <t>JoMax 7</t>
  </si>
  <si>
    <t>SV 102</t>
  </si>
  <si>
    <t>Lasso 5</t>
  </si>
  <si>
    <t>Petrus</t>
  </si>
  <si>
    <t>Ensign 827</t>
  </si>
  <si>
    <t xml:space="preserve">Bonanza 2 </t>
  </si>
  <si>
    <t>Savanna 437</t>
  </si>
  <si>
    <t xml:space="preserve">IH 5 </t>
  </si>
  <si>
    <t xml:space="preserve">IH 7 </t>
  </si>
  <si>
    <t>PD 171</t>
  </si>
  <si>
    <t>Bonanza 9</t>
  </si>
  <si>
    <t>PD 150</t>
  </si>
  <si>
    <t xml:space="preserve">Whitecap </t>
  </si>
  <si>
    <t xml:space="preserve">West Lake </t>
  </si>
  <si>
    <t>Horizon 34</t>
  </si>
  <si>
    <t>Vermillion</t>
  </si>
  <si>
    <t>Savanna 431</t>
  </si>
  <si>
    <t>PROD/SURF</t>
  </si>
  <si>
    <t>Ensign 421</t>
  </si>
  <si>
    <t xml:space="preserve">Rubelitte </t>
  </si>
  <si>
    <t>PD 204</t>
  </si>
  <si>
    <t>Spoke Resources</t>
  </si>
  <si>
    <t>PD 226</t>
  </si>
  <si>
    <t xml:space="preserve">Rubellite </t>
  </si>
  <si>
    <t>PD 534</t>
  </si>
  <si>
    <t>Advantage</t>
  </si>
  <si>
    <t>Ensign 183</t>
  </si>
  <si>
    <t xml:space="preserve">Tetonka </t>
  </si>
  <si>
    <t>Akita 21</t>
  </si>
  <si>
    <t xml:space="preserve">Strathcona </t>
  </si>
  <si>
    <t>Gear Energy</t>
  </si>
  <si>
    <t>Persist</t>
  </si>
  <si>
    <t>IH 5</t>
  </si>
  <si>
    <t xml:space="preserve">Nutrien </t>
  </si>
  <si>
    <t>Savanna 436</t>
  </si>
  <si>
    <t>Mosaic</t>
  </si>
  <si>
    <t>Ensign 616</t>
  </si>
  <si>
    <t>PD 545</t>
  </si>
  <si>
    <t>PD 183</t>
  </si>
  <si>
    <t>Kaden Energy</t>
  </si>
  <si>
    <t>Stampede 18</t>
  </si>
  <si>
    <t>Jomax 7</t>
  </si>
  <si>
    <t>Royal Helium</t>
  </si>
  <si>
    <t>Stampede 8</t>
  </si>
  <si>
    <t>Ensign 39</t>
  </si>
  <si>
    <t>Pinecliff</t>
  </si>
  <si>
    <t>Horizon 19</t>
  </si>
  <si>
    <t>Nutrien</t>
  </si>
  <si>
    <t>Savanna 414</t>
  </si>
  <si>
    <t>Horizon 46</t>
  </si>
  <si>
    <t>Boulder</t>
  </si>
  <si>
    <t>Ironhand 3</t>
  </si>
  <si>
    <t>Conductor</t>
  </si>
  <si>
    <t>DISTRICT DAILY CREW UTILIZATION</t>
  </si>
  <si>
    <t>Date</t>
  </si>
  <si>
    <t>PUMPER</t>
  </si>
  <si>
    <t xml:space="preserve">BULKER </t>
  </si>
  <si>
    <t>Central</t>
  </si>
  <si>
    <t>Northeast</t>
  </si>
  <si>
    <t>Southeast</t>
  </si>
  <si>
    <t>Totals</t>
  </si>
  <si>
    <t xml:space="preserve">GP </t>
  </si>
  <si>
    <t>Lloyd</t>
  </si>
  <si>
    <t>SCMT</t>
  </si>
  <si>
    <t>SCMS</t>
  </si>
  <si>
    <t>Grand</t>
  </si>
  <si>
    <t>ACTIVE  UNIT COUNT</t>
  </si>
  <si>
    <t>Red Deer</t>
  </si>
  <si>
    <t>Edmonton</t>
  </si>
  <si>
    <t>Estevan</t>
  </si>
  <si>
    <t>Tand</t>
  </si>
  <si>
    <t>Tri</t>
  </si>
  <si>
    <t>Crew Count Chart</t>
  </si>
  <si>
    <t> </t>
  </si>
  <si>
    <t>Targets</t>
  </si>
  <si>
    <t>Forecasted</t>
  </si>
  <si>
    <t>Actuals</t>
  </si>
  <si>
    <t>Mar 1-5/22</t>
  </si>
  <si>
    <t>Mar 6-12/22</t>
  </si>
  <si>
    <t>Mar 13-19/22</t>
  </si>
  <si>
    <t>Mar 20-26/22</t>
  </si>
  <si>
    <t>Mar 27-2/22</t>
  </si>
  <si>
    <t>Apr 3-9/22</t>
  </si>
  <si>
    <t>Apr 10-16/22</t>
  </si>
  <si>
    <t>April 17-23/22</t>
  </si>
  <si>
    <t>Apr 24-30/22</t>
  </si>
  <si>
    <t>May 1-7/22</t>
  </si>
  <si>
    <t>May 8-14/22</t>
  </si>
  <si>
    <t>May 15-21/22</t>
  </si>
  <si>
    <t>May 22-28/22</t>
  </si>
  <si>
    <t>May 29-4/22</t>
  </si>
  <si>
    <t>June 5-11/22</t>
  </si>
  <si>
    <t>June 12-18/22</t>
  </si>
  <si>
    <t>Jun 19-25/22</t>
  </si>
  <si>
    <t>Jun 26-2/22</t>
  </si>
  <si>
    <t>July 3-9/22</t>
  </si>
  <si>
    <t>July 10-16/22</t>
  </si>
  <si>
    <t>Jul 17-23/22</t>
  </si>
  <si>
    <t>Jul 24-30/22</t>
  </si>
  <si>
    <t>July 31-6/22</t>
  </si>
  <si>
    <t>Aug 7-13/22</t>
  </si>
  <si>
    <t>Aug 14-20/22</t>
  </si>
  <si>
    <t>Aug 21-27/22</t>
  </si>
  <si>
    <t>Aug 28-3/22</t>
  </si>
  <si>
    <t>Sep 4-10/22</t>
  </si>
  <si>
    <t>Sep 11-17/22</t>
  </si>
  <si>
    <t>Sep 18-24/22</t>
  </si>
  <si>
    <t>Sep 25-1/22</t>
  </si>
  <si>
    <t>Oct 2-8/22</t>
  </si>
  <si>
    <t>Oct 9-15/22</t>
  </si>
  <si>
    <t>Oct 16-22/22</t>
  </si>
  <si>
    <t>Oct 23-29/22</t>
  </si>
  <si>
    <t>Oct 30-5/22</t>
  </si>
  <si>
    <t>Nov 6-12/22</t>
  </si>
  <si>
    <t>Nov 13-19/22</t>
  </si>
  <si>
    <t>Nov 20-26/22</t>
  </si>
  <si>
    <t>Nov 27-3/22</t>
  </si>
  <si>
    <t>Dec 4-10/22</t>
  </si>
  <si>
    <t>Dec 11-17/22</t>
  </si>
  <si>
    <t>Dec 18-24/22</t>
  </si>
  <si>
    <t>Dec 25-31/22</t>
  </si>
  <si>
    <t>Jan 1-7/23</t>
  </si>
  <si>
    <t>Jan 8-14/22</t>
  </si>
  <si>
    <t>Jan 15-21/23</t>
  </si>
  <si>
    <t>Jan 22-28/22</t>
  </si>
  <si>
    <t>Jan 29-4/23</t>
  </si>
  <si>
    <t>Feb 5-11/22</t>
  </si>
  <si>
    <t>Feb 12-18/23</t>
  </si>
  <si>
    <t>Feb 19-25/23</t>
  </si>
  <si>
    <t>Feb 26-4/23</t>
  </si>
  <si>
    <t>Mar 5-11/22</t>
  </si>
  <si>
    <t>Mar 12-18/23</t>
  </si>
  <si>
    <t>Mar 19-25/23</t>
  </si>
  <si>
    <t>Mar 26-1/23</t>
  </si>
  <si>
    <t>Equipment</t>
  </si>
  <si>
    <t>Region</t>
  </si>
  <si>
    <t>Districts</t>
  </si>
  <si>
    <t>Active Count</t>
  </si>
  <si>
    <t>Utilized Count</t>
  </si>
  <si>
    <t>Other fields we need to report on</t>
  </si>
  <si>
    <t>Pumper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</si>
</sst>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&lt;=9999999]###\-####;###\-###\-####"/>
    <numFmt numFmtId="165" formatCode="[$-F800]dddd\,\ mmmm\ dd\,\ yyyy"/>
    <numFmt numFmtId="166" formatCode="&quot;Active Rigs -  &quot;0"/>
    <numFmt numFmtId="167" formatCode="&quot;Inactive Rigs - &quot;0"/>
    <numFmt numFmtId="168" formatCode="0;\-0;;@\,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A6A6A6"/>
        <bgColor indexed="64"/>
      </patternFill>
    </fill>
    <fill>
      <patternFill patternType="solid">
        <fgColor rgb="FFFFC000"/>
        <bgColor indexed="64"/>
      </patternFill>
    </fill>
  </fills>
  <borders count="8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/>
      <diagonal style="thin">
        <color auto="1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medium">
        <color auto="1"/>
      </left>
      <right/>
      <top style="thick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auto="1"/>
      </left>
      <right style="thin">
        <color auto="1"/>
      </right>
      <top/>
      <bottom/>
      <diagonal style="thin">
        <color auto="1"/>
      </diagonal>
    </border>
    <border diagonalUp="1" diagonalDown="1">
      <left style="thin">
        <color auto="1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auto="1"/>
      </left>
      <right/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indexed="64"/>
      </top>
      <bottom style="medium">
        <color indexed="64"/>
      </bottom>
      <diagonal/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7" borderId="19" xfId="0" applyFill="1" applyBorder="1"/>
    <xf numFmtId="0" fontId="0" fillId="3" borderId="0" xfId="0" applyFill="1"/>
    <xf numFmtId="0" fontId="0" fillId="0" borderId="22" xfId="0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165" fontId="0" fillId="0" borderId="9" xfId="0" applyNumberFormat="1" applyBorder="1"/>
    <xf numFmtId="165" fontId="0" fillId="4" borderId="9" xfId="0" applyNumberFormat="1" applyFill="1" applyBorder="1"/>
    <xf numFmtId="165" fontId="2" fillId="0" borderId="9" xfId="0" applyNumberFormat="1" applyFont="1" applyBorder="1"/>
    <xf numFmtId="0" fontId="0" fillId="7" borderId="36" xfId="0" applyFill="1" applyBorder="1"/>
    <xf numFmtId="0" fontId="0" fillId="0" borderId="2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26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2" fillId="0" borderId="49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" fontId="0" fillId="2" borderId="4" xfId="0" applyNumberFormat="1" applyFill="1" applyBorder="1" applyAlignment="1">
      <alignment horizontal="center" vertical="center"/>
    </xf>
    <xf numFmtId="16" fontId="0" fillId="5" borderId="4" xfId="0" applyNumberFormat="1" applyFill="1" applyBorder="1" applyAlignment="1">
      <alignment horizontal="center" vertical="center"/>
    </xf>
    <xf numFmtId="16" fontId="2" fillId="2" borderId="4" xfId="0" applyNumberFormat="1" applyFon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5" borderId="3" xfId="0" applyNumberFormat="1" applyFont="1" applyFill="1" applyBorder="1" applyAlignment="1">
      <alignment horizontal="center" vertical="center"/>
    </xf>
    <xf numFmtId="1" fontId="2" fillId="7" borderId="7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right" vertical="center"/>
    </xf>
    <xf numFmtId="1" fontId="2" fillId="2" borderId="17" xfId="0" applyNumberFormat="1" applyFont="1" applyFill="1" applyBorder="1" applyAlignment="1">
      <alignment horizontal="center" vertical="center"/>
    </xf>
    <xf numFmtId="168" fontId="0" fillId="2" borderId="17" xfId="0" applyNumberFormat="1" applyFill="1" applyBorder="1" applyAlignment="1">
      <alignment horizontal="center" vertical="center"/>
    </xf>
    <xf numFmtId="168" fontId="2" fillId="5" borderId="3" xfId="0" applyNumberFormat="1" applyFont="1" applyFill="1" applyBorder="1" applyAlignment="1">
      <alignment horizontal="center" vertical="center"/>
    </xf>
    <xf numFmtId="9" fontId="2" fillId="2" borderId="18" xfId="0" applyNumberFormat="1" applyFont="1" applyFill="1" applyBorder="1" applyAlignment="1">
      <alignment horizontal="center" vertical="center"/>
    </xf>
    <xf numFmtId="1" fontId="2" fillId="7" borderId="8" xfId="0" applyNumberFormat="1" applyFont="1" applyFill="1" applyBorder="1" applyAlignment="1">
      <alignment horizontal="center" vertical="center"/>
    </xf>
    <xf numFmtId="1" fontId="2" fillId="7" borderId="0" xfId="0" applyNumberFormat="1" applyFont="1" applyFill="1" applyAlignment="1">
      <alignment horizontal="right" vertical="center"/>
    </xf>
    <xf numFmtId="1" fontId="0" fillId="2" borderId="0" xfId="0" applyNumberFormat="1" applyFill="1" applyAlignment="1">
      <alignment horizontal="center" vertical="center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5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7" borderId="15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3" fillId="10" borderId="0" xfId="0" applyFont="1" applyFill="1" applyAlignment="1" applyProtection="1">
      <alignment horizontal="center" vertical="center" wrapText="1"/>
      <protection locked="0"/>
    </xf>
    <xf numFmtId="0" fontId="3" fillId="10" borderId="11" xfId="0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53" xfId="0" applyFont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5" fillId="0" borderId="59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0" xfId="0" applyFont="1" applyAlignment="1">
      <alignment horizontal="center"/>
    </xf>
    <xf numFmtId="168" fontId="0" fillId="2" borderId="60" xfId="0" applyNumberFormat="1" applyFill="1" applyBorder="1" applyAlignment="1">
      <alignment horizontal="center" vertical="center"/>
    </xf>
    <xf numFmtId="0" fontId="0" fillId="4" borderId="55" xfId="0" applyFill="1" applyBorder="1"/>
    <xf numFmtId="0" fontId="0" fillId="4" borderId="0" xfId="0" applyFill="1"/>
    <xf numFmtId="1" fontId="2" fillId="7" borderId="33" xfId="0" applyNumberFormat="1" applyFont="1" applyFill="1" applyBorder="1" applyAlignment="1">
      <alignment horizontal="center" vertical="center"/>
    </xf>
    <xf numFmtId="1" fontId="2" fillId="12" borderId="51" xfId="0" applyNumberFormat="1" applyFont="1" applyFill="1" applyBorder="1" applyAlignment="1">
      <alignment horizontal="center" vertical="center"/>
    </xf>
    <xf numFmtId="168" fontId="2" fillId="13" borderId="4" xfId="0" applyNumberFormat="1" applyFont="1" applyFill="1" applyBorder="1" applyAlignment="1">
      <alignment horizontal="center" vertical="center"/>
    </xf>
    <xf numFmtId="9" fontId="2" fillId="13" borderId="61" xfId="0" applyNumberFormat="1" applyFont="1" applyFill="1" applyBorder="1" applyAlignment="1">
      <alignment horizontal="center" vertical="center"/>
    </xf>
    <xf numFmtId="0" fontId="0" fillId="10" borderId="3" xfId="0" applyFill="1" applyBorder="1" applyAlignment="1" applyProtection="1">
      <alignment horizontal="center" vertical="center"/>
      <protection locked="0"/>
    </xf>
    <xf numFmtId="0" fontId="0" fillId="10" borderId="47" xfId="0" applyFill="1" applyBorder="1" applyAlignment="1" applyProtection="1">
      <alignment horizontal="center" vertical="center"/>
      <protection locked="0"/>
    </xf>
    <xf numFmtId="0" fontId="9" fillId="10" borderId="48" xfId="0" applyFont="1" applyFill="1" applyBorder="1" applyAlignment="1" applyProtection="1">
      <alignment horizontal="center" vertical="center"/>
      <protection locked="0"/>
    </xf>
    <xf numFmtId="0" fontId="0" fillId="10" borderId="10" xfId="0" applyFill="1" applyBorder="1" applyAlignment="1" applyProtection="1">
      <alignment horizontal="center" vertical="center"/>
      <protection locked="0"/>
    </xf>
    <xf numFmtId="0" fontId="0" fillId="8" borderId="3" xfId="0" applyFill="1" applyBorder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8" borderId="47" xfId="0" applyFill="1" applyBorder="1" applyAlignment="1" applyProtection="1">
      <alignment horizontal="center" vertical="center"/>
      <protection locked="0"/>
    </xf>
    <xf numFmtId="0" fontId="9" fillId="8" borderId="48" xfId="0" applyFont="1" applyFill="1" applyBorder="1" applyAlignment="1" applyProtection="1">
      <alignment horizontal="center" vertical="center"/>
      <protection locked="0"/>
    </xf>
    <xf numFmtId="0" fontId="3" fillId="8" borderId="11" xfId="0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62" xfId="0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horizontal="center" vertical="center"/>
      <protection locked="0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9" fillId="0" borderId="48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5" borderId="9" xfId="0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164" fontId="5" fillId="6" borderId="71" xfId="0" applyNumberFormat="1" applyFont="1" applyFill="1" applyBorder="1" applyAlignment="1" applyProtection="1">
      <alignment horizontal="center" vertical="center" wrapText="1"/>
      <protection locked="0"/>
    </xf>
    <xf numFmtId="1" fontId="0" fillId="2" borderId="12" xfId="0" applyNumberFormat="1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9" fillId="0" borderId="45" xfId="0" applyFont="1" applyBorder="1" applyAlignment="1" applyProtection="1">
      <alignment horizontal="center" vertical="center"/>
      <protection locked="0"/>
    </xf>
    <xf numFmtId="0" fontId="9" fillId="8" borderId="47" xfId="0" applyFont="1" applyFill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0" fontId="2" fillId="9" borderId="73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right"/>
    </xf>
    <xf numFmtId="0" fontId="0" fillId="14" borderId="0" xfId="0" applyFill="1"/>
    <xf numFmtId="1" fontId="2" fillId="2" borderId="74" xfId="0" applyNumberFormat="1" applyFont="1" applyFill="1" applyBorder="1" applyAlignment="1">
      <alignment horizontal="center" vertical="center"/>
    </xf>
    <xf numFmtId="1" fontId="2" fillId="2" borderId="75" xfId="0" applyNumberFormat="1" applyFont="1" applyFill="1" applyBorder="1" applyAlignment="1">
      <alignment horizontal="center" vertical="center"/>
    </xf>
    <xf numFmtId="1" fontId="2" fillId="5" borderId="11" xfId="0" applyNumberFormat="1" applyFont="1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7" borderId="76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Alignment="1" applyProtection="1">
      <alignment horizontal="center" vertical="center"/>
      <protection locked="0"/>
    </xf>
    <xf numFmtId="0" fontId="0" fillId="7" borderId="77" xfId="0" applyFill="1" applyBorder="1" applyAlignment="1" applyProtection="1">
      <alignment horizontal="center" vertical="center"/>
      <protection locked="0"/>
    </xf>
    <xf numFmtId="0" fontId="0" fillId="7" borderId="78" xfId="0" applyFill="1" applyBorder="1" applyAlignment="1" applyProtection="1">
      <alignment horizontal="center" vertical="center"/>
      <protection locked="0"/>
    </xf>
    <xf numFmtId="0" fontId="9" fillId="10" borderId="47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3" fillId="3" borderId="11" xfId="0" applyFont="1" applyFill="1" applyBorder="1" applyAlignment="1" applyProtection="1">
      <alignment horizontal="center" vertical="center" wrapText="1"/>
      <protection locked="0"/>
    </xf>
    <xf numFmtId="0" fontId="0" fillId="4" borderId="47" xfId="0" applyFill="1" applyBorder="1" applyAlignment="1" applyProtection="1">
      <alignment horizontal="center" vertical="center"/>
      <protection locked="0"/>
    </xf>
    <xf numFmtId="0" fontId="9" fillId="4" borderId="47" xfId="0" applyFont="1" applyFill="1" applyBorder="1" applyAlignment="1" applyProtection="1">
      <alignment horizontal="center" vertical="center"/>
      <protection locked="0"/>
    </xf>
    <xf numFmtId="0" fontId="9" fillId="4" borderId="48" xfId="0" applyFont="1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3" fillId="10" borderId="2" xfId="0" applyFont="1" applyFill="1" applyBorder="1" applyAlignment="1" applyProtection="1">
      <alignment horizontal="center" vertical="center" wrapText="1"/>
      <protection locked="0"/>
    </xf>
    <xf numFmtId="0" fontId="3" fillId="10" borderId="79" xfId="0" applyFont="1" applyFill="1" applyBorder="1" applyAlignment="1" applyProtection="1">
      <alignment horizontal="center" vertical="center" wrapText="1"/>
      <protection locked="0"/>
    </xf>
    <xf numFmtId="0" fontId="0" fillId="10" borderId="7" xfId="0" applyFill="1" applyBorder="1" applyAlignment="1" applyProtection="1">
      <alignment horizontal="center" vertical="center"/>
      <protection locked="0"/>
    </xf>
    <xf numFmtId="0" fontId="3" fillId="10" borderId="80" xfId="0" applyFont="1" applyFill="1" applyBorder="1" applyAlignment="1" applyProtection="1">
      <alignment horizontal="center" vertical="center" wrapText="1"/>
      <protection locked="0"/>
    </xf>
    <xf numFmtId="0" fontId="3" fillId="15" borderId="11" xfId="0" applyFont="1" applyFill="1" applyBorder="1" applyAlignment="1" applyProtection="1">
      <alignment horizontal="center" vertical="center" wrapText="1"/>
      <protection locked="0"/>
    </xf>
    <xf numFmtId="0" fontId="3" fillId="0" borderId="79" xfId="0" applyFont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3" fillId="4" borderId="79" xfId="0" applyFont="1" applyFill="1" applyBorder="1" applyAlignment="1" applyProtection="1">
      <alignment horizontal="center" vertical="center" wrapText="1"/>
      <protection locked="0"/>
    </xf>
    <xf numFmtId="0" fontId="0" fillId="8" borderId="11" xfId="0" applyFill="1" applyBorder="1" applyAlignment="1" applyProtection="1">
      <alignment horizontal="center" vertical="center"/>
      <protection locked="0"/>
    </xf>
    <xf numFmtId="0" fontId="3" fillId="3" borderId="79" xfId="0" applyFont="1" applyFill="1" applyBorder="1" applyAlignment="1" applyProtection="1">
      <alignment horizontal="center" vertical="center" wrapText="1"/>
      <protection locked="0"/>
    </xf>
    <xf numFmtId="0" fontId="3" fillId="8" borderId="79" xfId="0" applyFont="1" applyFill="1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horizontal="center" vertical="center" wrapText="1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11" fillId="10" borderId="79" xfId="0" applyFont="1" applyFill="1" applyBorder="1" applyAlignment="1" applyProtection="1">
      <alignment horizontal="center" vertical="center" wrapText="1"/>
      <protection locked="0"/>
    </xf>
    <xf numFmtId="0" fontId="11" fillId="10" borderId="11" xfId="0" applyFont="1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4" xfId="0" applyFill="1" applyBorder="1" applyAlignment="1" applyProtection="1">
      <alignment horizontal="center" vertical="center"/>
      <protection locked="0"/>
    </xf>
    <xf numFmtId="0" fontId="0" fillId="10" borderId="45" xfId="0" applyFill="1" applyBorder="1" applyAlignment="1" applyProtection="1">
      <alignment horizontal="center" vertical="center"/>
      <protection locked="0"/>
    </xf>
    <xf numFmtId="0" fontId="9" fillId="10" borderId="45" xfId="0" applyFont="1" applyFill="1" applyBorder="1" applyAlignment="1" applyProtection="1">
      <alignment horizontal="center" vertical="center"/>
      <protection locked="0"/>
    </xf>
    <xf numFmtId="0" fontId="9" fillId="10" borderId="24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3" fillId="10" borderId="81" xfId="0" applyFont="1" applyFill="1" applyBorder="1" applyAlignment="1" applyProtection="1">
      <alignment horizontal="center" vertical="center" wrapText="1"/>
      <protection locked="0"/>
    </xf>
    <xf numFmtId="0" fontId="3" fillId="10" borderId="79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3" borderId="82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10" borderId="63" xfId="0" applyFill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 wrapText="1"/>
      <protection locked="0"/>
    </xf>
    <xf numFmtId="0" fontId="13" fillId="10" borderId="11" xfId="0" applyFont="1" applyFill="1" applyBorder="1" applyAlignment="1" applyProtection="1">
      <alignment horizontal="center" vertical="center" wrapText="1"/>
      <protection locked="0"/>
    </xf>
    <xf numFmtId="0" fontId="3" fillId="4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16" fontId="0" fillId="0" borderId="0" xfId="0" applyNumberFormat="1" applyAlignment="1">
      <alignment horizontal="center" vertical="center"/>
    </xf>
    <xf numFmtId="0" fontId="3" fillId="4" borderId="80" xfId="0" applyFont="1" applyFill="1" applyBorder="1" applyAlignment="1" applyProtection="1">
      <alignment horizontal="center" vertical="center" wrapText="1"/>
      <protection locked="0"/>
    </xf>
    <xf numFmtId="0" fontId="0" fillId="16" borderId="0" xfId="0" applyFill="1"/>
    <xf numFmtId="0" fontId="2" fillId="17" borderId="0" xfId="0" applyFont="1" applyFill="1"/>
    <xf numFmtId="0" fontId="0" fillId="0" borderId="19" xfId="0" applyBorder="1"/>
    <xf numFmtId="0" fontId="15" fillId="18" borderId="0" xfId="0" applyFont="1" applyFill="1"/>
    <xf numFmtId="0" fontId="15" fillId="0" borderId="0" xfId="0" applyFont="1"/>
    <xf numFmtId="16" fontId="15" fillId="0" borderId="0" xfId="0" applyNumberFormat="1" applyFont="1"/>
    <xf numFmtId="168" fontId="0" fillId="0" borderId="0" xfId="0" applyNumberFormat="1"/>
    <xf numFmtId="165" fontId="0" fillId="19" borderId="9" xfId="0" applyNumberFormat="1" applyFill="1" applyBorder="1"/>
    <xf numFmtId="1" fontId="15" fillId="0" borderId="0" xfId="0" applyNumberFormat="1" applyFont="1"/>
    <xf numFmtId="0" fontId="0" fillId="20" borderId="9" xfId="0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3" fillId="0" borderId="80" xfId="0" applyFont="1" applyBorder="1" applyAlignment="1" applyProtection="1">
      <alignment horizontal="center" vertical="center" wrapText="1"/>
      <protection locked="0"/>
    </xf>
    <xf numFmtId="0" fontId="3" fillId="0" borderId="84" xfId="0" applyFont="1" applyBorder="1" applyAlignment="1" applyProtection="1">
      <alignment horizontal="center" vertical="center" wrapText="1"/>
      <protection locked="0"/>
    </xf>
    <xf numFmtId="0" fontId="3" fillId="12" borderId="83" xfId="0" applyFont="1" applyFill="1" applyBorder="1" applyAlignment="1" applyProtection="1">
      <alignment horizontal="center" vertical="center"/>
      <protection locked="0"/>
    </xf>
    <xf numFmtId="1" fontId="2" fillId="2" borderId="0" xfId="0" applyNumberFormat="1" applyFont="1" applyFill="1" applyAlignment="1">
      <alignment horizontal="right" vertical="center"/>
    </xf>
    <xf numFmtId="1" fontId="2" fillId="2" borderId="8" xfId="0" applyNumberFormat="1" applyFont="1" applyFill="1" applyBorder="1" applyAlignment="1">
      <alignment horizontal="right" vertical="center"/>
    </xf>
    <xf numFmtId="1" fontId="2" fillId="2" borderId="1" xfId="0" applyNumberFormat="1" applyFont="1" applyFill="1" applyBorder="1" applyAlignment="1">
      <alignment horizontal="right" vertical="center"/>
    </xf>
    <xf numFmtId="1" fontId="2" fillId="2" borderId="30" xfId="0" applyNumberFormat="1" applyFont="1" applyFill="1" applyBorder="1" applyAlignment="1">
      <alignment horizontal="right" vertical="center"/>
    </xf>
    <xf numFmtId="167" fontId="2" fillId="2" borderId="30" xfId="0" applyNumberFormat="1" applyFont="1" applyFill="1" applyBorder="1" applyAlignment="1">
      <alignment horizontal="right" vertical="center"/>
    </xf>
    <xf numFmtId="166" fontId="2" fillId="2" borderId="0" xfId="0" applyNumberFormat="1" applyFont="1" applyFill="1" applyAlignment="1">
      <alignment horizontal="right" vertical="center"/>
    </xf>
    <xf numFmtId="0" fontId="2" fillId="10" borderId="0" xfId="0" applyFont="1" applyFill="1" applyAlignment="1">
      <alignment horizontal="center" vertical="center"/>
    </xf>
    <xf numFmtId="0" fontId="2" fillId="10" borderId="2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64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1" fontId="2" fillId="2" borderId="44" xfId="0" applyNumberFormat="1" applyFont="1" applyFill="1" applyBorder="1" applyAlignment="1">
      <alignment horizontal="right" vertical="center"/>
    </xf>
    <xf numFmtId="0" fontId="8" fillId="9" borderId="42" xfId="0" applyFont="1" applyFill="1" applyBorder="1" applyAlignment="1">
      <alignment horizontal="center"/>
    </xf>
    <xf numFmtId="0" fontId="8" fillId="9" borderId="39" xfId="0" applyFont="1" applyFill="1" applyBorder="1" applyAlignment="1">
      <alignment horizontal="center"/>
    </xf>
    <xf numFmtId="0" fontId="8" fillId="9" borderId="40" xfId="0" applyFont="1" applyFill="1" applyBorder="1" applyAlignment="1">
      <alignment horizontal="center"/>
    </xf>
    <xf numFmtId="165" fontId="2" fillId="0" borderId="32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7" fillId="11" borderId="30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0" fontId="8" fillId="9" borderId="38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8" fillId="13" borderId="42" xfId="0" applyFont="1" applyFill="1" applyBorder="1" applyAlignment="1">
      <alignment horizontal="center"/>
    </xf>
    <xf numFmtId="0" fontId="8" fillId="13" borderId="39" xfId="0" applyFont="1" applyFill="1" applyBorder="1" applyAlignment="1">
      <alignment horizontal="center"/>
    </xf>
    <xf numFmtId="0" fontId="8" fillId="13" borderId="33" xfId="0" applyFont="1" applyFill="1" applyBorder="1" applyAlignment="1">
      <alignment horizontal="center"/>
    </xf>
    <xf numFmtId="0" fontId="8" fillId="13" borderId="35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6" fillId="12" borderId="29" xfId="0" applyFont="1" applyFill="1" applyBorder="1" applyAlignment="1">
      <alignment horizontal="center" vertical="center"/>
    </xf>
    <xf numFmtId="0" fontId="6" fillId="12" borderId="30" xfId="0" applyFont="1" applyFill="1" applyBorder="1" applyAlignment="1">
      <alignment horizontal="center" vertical="center"/>
    </xf>
    <xf numFmtId="0" fontId="6" fillId="12" borderId="31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8" fillId="13" borderId="42" xfId="0" applyFont="1" applyFill="1" applyBorder="1" applyAlignment="1">
      <alignment horizontal="center" vertical="center"/>
    </xf>
    <xf numFmtId="0" fontId="8" fillId="13" borderId="39" xfId="0" applyFont="1" applyFill="1" applyBorder="1" applyAlignment="1">
      <alignment horizontal="center" vertical="center"/>
    </xf>
    <xf numFmtId="0" fontId="8" fillId="13" borderId="33" xfId="0" applyFont="1" applyFill="1" applyBorder="1" applyAlignment="1">
      <alignment horizontal="center" vertical="center"/>
    </xf>
    <xf numFmtId="0" fontId="8" fillId="13" borderId="35" xfId="0" applyFont="1" applyFill="1" applyBorder="1" applyAlignment="1">
      <alignment horizontal="center" vertic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</cellXfs>
  <cellStyles count="1">
    <cellStyle name="Normal" xfId="0" builtinId="0"/>
  </cellStyles>
  <dxfs count="454">
    <dxf>
      <fill>
        <patternFill patternType="solid">
          <fgColor auto="1"/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fgColor auto="1"/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A46ECC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A46ECC"/>
        </patternFill>
      </fill>
    </dxf>
    <dxf>
      <fill>
        <gradientFill degree="270">
          <stop position="0">
            <color rgb="FFFFC000"/>
          </stop>
          <stop position="1">
            <color rgb="FF00B0F0"/>
          </stop>
        </gradient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 patternType="solid">
          <fgColor auto="1"/>
          <bgColor rgb="FFFFFF00"/>
        </patternFill>
      </fill>
    </dxf>
  </dxfs>
  <tableStyles count="0" defaultTableStyle="TableStyleMedium2" defaultPivotStyle="PivotStyleLight16"/>
  <colors>
    <mruColors>
      <color rgb="FF000000"/>
      <color rgb="FFFFCCFF"/>
      <color rgb="FFFF9999"/>
      <color rgb="FFFF99CC"/>
      <color rgb="FFCC99FF"/>
      <color rgb="FFA46E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'Targets', 'Forecasted', 'Actuals' by 'Date'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Targets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'Crew tracking Data'!$A$3:$A$59</c:f>
              <c:strCache>
                <c:ptCount val="57"/>
                <c:pt idx="0">
                  <c:v>Mar 1-5/22</c:v>
                </c:pt>
                <c:pt idx="1">
                  <c:v>Mar 6-12/22</c:v>
                </c:pt>
                <c:pt idx="2">
                  <c:v>Mar 13-19/22</c:v>
                </c:pt>
                <c:pt idx="3">
                  <c:v>Mar 20-26/22</c:v>
                </c:pt>
                <c:pt idx="4">
                  <c:v>Mar 27-2/22</c:v>
                </c:pt>
                <c:pt idx="5">
                  <c:v>Apr 3-9/22</c:v>
                </c:pt>
                <c:pt idx="6">
                  <c:v>Apr 10-16/22</c:v>
                </c:pt>
                <c:pt idx="7">
                  <c:v>April 17-23/22</c:v>
                </c:pt>
                <c:pt idx="8">
                  <c:v>Apr 24-30/22</c:v>
                </c:pt>
                <c:pt idx="9">
                  <c:v>May 1-7/22</c:v>
                </c:pt>
                <c:pt idx="10">
                  <c:v>May 8-14/22</c:v>
                </c:pt>
                <c:pt idx="11">
                  <c:v>May 15-21/22</c:v>
                </c:pt>
                <c:pt idx="12">
                  <c:v>May 22-28/22</c:v>
                </c:pt>
                <c:pt idx="13">
                  <c:v>May 29-4/22</c:v>
                </c:pt>
                <c:pt idx="14">
                  <c:v>June 5-11/22</c:v>
                </c:pt>
                <c:pt idx="15">
                  <c:v>June 12-18/22</c:v>
                </c:pt>
                <c:pt idx="16">
                  <c:v>Jun 19-25/22</c:v>
                </c:pt>
                <c:pt idx="17">
                  <c:v>Jun 26-2/22</c:v>
                </c:pt>
                <c:pt idx="18">
                  <c:v>July 3-9/22</c:v>
                </c:pt>
                <c:pt idx="19">
                  <c:v>July 10-16/22</c:v>
                </c:pt>
                <c:pt idx="20">
                  <c:v>Jul 17-23/22</c:v>
                </c:pt>
                <c:pt idx="21">
                  <c:v>Jul 24-30/22</c:v>
                </c:pt>
                <c:pt idx="22">
                  <c:v>July 31-6/22</c:v>
                </c:pt>
                <c:pt idx="23">
                  <c:v>Aug 7-13/22</c:v>
                </c:pt>
                <c:pt idx="24">
                  <c:v>Aug 14-20/22</c:v>
                </c:pt>
                <c:pt idx="25">
                  <c:v>Aug 21-27/22</c:v>
                </c:pt>
                <c:pt idx="26">
                  <c:v>Aug 28-3/22</c:v>
                </c:pt>
                <c:pt idx="27">
                  <c:v>Sep 4-10/22</c:v>
                </c:pt>
                <c:pt idx="28">
                  <c:v>Sep 11-17/22</c:v>
                </c:pt>
                <c:pt idx="29">
                  <c:v>Sep 18-24/22</c:v>
                </c:pt>
                <c:pt idx="30">
                  <c:v>Sep 25-1/22</c:v>
                </c:pt>
                <c:pt idx="31">
                  <c:v>Oct 2-8/22</c:v>
                </c:pt>
                <c:pt idx="32">
                  <c:v>Oct 9-15/22</c:v>
                </c:pt>
                <c:pt idx="33">
                  <c:v>Oct 16-22/22</c:v>
                </c:pt>
                <c:pt idx="34">
                  <c:v>Oct 23-29/22</c:v>
                </c:pt>
                <c:pt idx="35">
                  <c:v>Oct 30-5/22</c:v>
                </c:pt>
                <c:pt idx="36">
                  <c:v>Nov 6-12/22</c:v>
                </c:pt>
                <c:pt idx="37">
                  <c:v>Nov 13-19/22</c:v>
                </c:pt>
                <c:pt idx="38">
                  <c:v>Nov 20-26/22</c:v>
                </c:pt>
                <c:pt idx="39">
                  <c:v>Nov 27-3/22</c:v>
                </c:pt>
                <c:pt idx="40">
                  <c:v>Dec 4-10/22</c:v>
                </c:pt>
                <c:pt idx="41">
                  <c:v>Dec 11-17/22</c:v>
                </c:pt>
                <c:pt idx="42">
                  <c:v>Dec 18-24/22</c:v>
                </c:pt>
                <c:pt idx="43">
                  <c:v>Dec 25-31/22</c:v>
                </c:pt>
                <c:pt idx="44">
                  <c:v>Jan 1-7/23</c:v>
                </c:pt>
                <c:pt idx="45">
                  <c:v>Jan 8-14/22</c:v>
                </c:pt>
                <c:pt idx="46">
                  <c:v>Jan 15-21/23</c:v>
                </c:pt>
                <c:pt idx="47">
                  <c:v>Jan 22-28/22</c:v>
                </c:pt>
                <c:pt idx="48">
                  <c:v>Jan 29-4/23</c:v>
                </c:pt>
                <c:pt idx="49">
                  <c:v>Feb 5-11/22</c:v>
                </c:pt>
                <c:pt idx="50">
                  <c:v>Feb 12-18/23</c:v>
                </c:pt>
                <c:pt idx="51">
                  <c:v>Feb 19-25/23</c:v>
                </c:pt>
                <c:pt idx="52">
                  <c:v>Feb 26-4/23</c:v>
                </c:pt>
                <c:pt idx="53">
                  <c:v>Mar 5-11/22</c:v>
                </c:pt>
                <c:pt idx="54">
                  <c:v>Mar 12-18/23</c:v>
                </c:pt>
                <c:pt idx="55">
                  <c:v>Mar 19-25/23</c:v>
                </c:pt>
                <c:pt idx="56">
                  <c:v>Mar 26-1/23</c:v>
                </c:pt>
              </c:strCache>
            </c:strRef>
          </c:cat>
          <c:val>
            <c:numRef>
              <c:f>'Crew tracking Data'!$B$3:$B$59</c:f>
              <c:numCache>
                <c:formatCode>General</c:formatCode>
                <c:ptCount val="5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26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36</c:v>
                </c:pt>
                <c:pt idx="45">
                  <c:v>36</c:v>
                </c:pt>
                <c:pt idx="46">
                  <c:v>36</c:v>
                </c:pt>
                <c:pt idx="47">
                  <c:v>36</c:v>
                </c:pt>
                <c:pt idx="48">
                  <c:v>36</c:v>
                </c:pt>
                <c:pt idx="49">
                  <c:v>36</c:v>
                </c:pt>
                <c:pt idx="50">
                  <c:v>36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</c:v>
                </c:pt>
                <c:pt idx="55">
                  <c:v>36</c:v>
                </c:pt>
                <c:pt idx="5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303-451F-88DC-22FC596F9425}"/>
            </c:ext>
          </c:extLst>
        </c:ser>
        <c:ser>
          <c:idx val="1"/>
          <c:order val="1"/>
          <c:tx>
            <c:v>Forecasted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'Crew tracking Data'!$A$3:$A$59</c:f>
              <c:strCache>
                <c:ptCount val="57"/>
                <c:pt idx="0">
                  <c:v>Mar 1-5/22</c:v>
                </c:pt>
                <c:pt idx="1">
                  <c:v>Mar 6-12/22</c:v>
                </c:pt>
                <c:pt idx="2">
                  <c:v>Mar 13-19/22</c:v>
                </c:pt>
                <c:pt idx="3">
                  <c:v>Mar 20-26/22</c:v>
                </c:pt>
                <c:pt idx="4">
                  <c:v>Mar 27-2/22</c:v>
                </c:pt>
                <c:pt idx="5">
                  <c:v>Apr 3-9/22</c:v>
                </c:pt>
                <c:pt idx="6">
                  <c:v>Apr 10-16/22</c:v>
                </c:pt>
                <c:pt idx="7">
                  <c:v>April 17-23/22</c:v>
                </c:pt>
                <c:pt idx="8">
                  <c:v>Apr 24-30/22</c:v>
                </c:pt>
                <c:pt idx="9">
                  <c:v>May 1-7/22</c:v>
                </c:pt>
                <c:pt idx="10">
                  <c:v>May 8-14/22</c:v>
                </c:pt>
                <c:pt idx="11">
                  <c:v>May 15-21/22</c:v>
                </c:pt>
                <c:pt idx="12">
                  <c:v>May 22-28/22</c:v>
                </c:pt>
                <c:pt idx="13">
                  <c:v>May 29-4/22</c:v>
                </c:pt>
                <c:pt idx="14">
                  <c:v>June 5-11/22</c:v>
                </c:pt>
                <c:pt idx="15">
                  <c:v>June 12-18/22</c:v>
                </c:pt>
                <c:pt idx="16">
                  <c:v>Jun 19-25/22</c:v>
                </c:pt>
                <c:pt idx="17">
                  <c:v>Jun 26-2/22</c:v>
                </c:pt>
                <c:pt idx="18">
                  <c:v>July 3-9/22</c:v>
                </c:pt>
                <c:pt idx="19">
                  <c:v>July 10-16/22</c:v>
                </c:pt>
                <c:pt idx="20">
                  <c:v>Jul 17-23/22</c:v>
                </c:pt>
                <c:pt idx="21">
                  <c:v>Jul 24-30/22</c:v>
                </c:pt>
                <c:pt idx="22">
                  <c:v>July 31-6/22</c:v>
                </c:pt>
                <c:pt idx="23">
                  <c:v>Aug 7-13/22</c:v>
                </c:pt>
                <c:pt idx="24">
                  <c:v>Aug 14-20/22</c:v>
                </c:pt>
                <c:pt idx="25">
                  <c:v>Aug 21-27/22</c:v>
                </c:pt>
                <c:pt idx="26">
                  <c:v>Aug 28-3/22</c:v>
                </c:pt>
                <c:pt idx="27">
                  <c:v>Sep 4-10/22</c:v>
                </c:pt>
                <c:pt idx="28">
                  <c:v>Sep 11-17/22</c:v>
                </c:pt>
                <c:pt idx="29">
                  <c:v>Sep 18-24/22</c:v>
                </c:pt>
                <c:pt idx="30">
                  <c:v>Sep 25-1/22</c:v>
                </c:pt>
                <c:pt idx="31">
                  <c:v>Oct 2-8/22</c:v>
                </c:pt>
                <c:pt idx="32">
                  <c:v>Oct 9-15/22</c:v>
                </c:pt>
                <c:pt idx="33">
                  <c:v>Oct 16-22/22</c:v>
                </c:pt>
                <c:pt idx="34">
                  <c:v>Oct 23-29/22</c:v>
                </c:pt>
                <c:pt idx="35">
                  <c:v>Oct 30-5/22</c:v>
                </c:pt>
                <c:pt idx="36">
                  <c:v>Nov 6-12/22</c:v>
                </c:pt>
                <c:pt idx="37">
                  <c:v>Nov 13-19/22</c:v>
                </c:pt>
                <c:pt idx="38">
                  <c:v>Nov 20-26/22</c:v>
                </c:pt>
                <c:pt idx="39">
                  <c:v>Nov 27-3/22</c:v>
                </c:pt>
                <c:pt idx="40">
                  <c:v>Dec 4-10/22</c:v>
                </c:pt>
                <c:pt idx="41">
                  <c:v>Dec 11-17/22</c:v>
                </c:pt>
                <c:pt idx="42">
                  <c:v>Dec 18-24/22</c:v>
                </c:pt>
                <c:pt idx="43">
                  <c:v>Dec 25-31/22</c:v>
                </c:pt>
                <c:pt idx="44">
                  <c:v>Jan 1-7/23</c:v>
                </c:pt>
                <c:pt idx="45">
                  <c:v>Jan 8-14/22</c:v>
                </c:pt>
                <c:pt idx="46">
                  <c:v>Jan 15-21/23</c:v>
                </c:pt>
                <c:pt idx="47">
                  <c:v>Jan 22-28/22</c:v>
                </c:pt>
                <c:pt idx="48">
                  <c:v>Jan 29-4/23</c:v>
                </c:pt>
                <c:pt idx="49">
                  <c:v>Feb 5-11/22</c:v>
                </c:pt>
                <c:pt idx="50">
                  <c:v>Feb 12-18/23</c:v>
                </c:pt>
                <c:pt idx="51">
                  <c:v>Feb 19-25/23</c:v>
                </c:pt>
                <c:pt idx="52">
                  <c:v>Feb 26-4/23</c:v>
                </c:pt>
                <c:pt idx="53">
                  <c:v>Mar 5-11/22</c:v>
                </c:pt>
                <c:pt idx="54">
                  <c:v>Mar 12-18/23</c:v>
                </c:pt>
                <c:pt idx="55">
                  <c:v>Mar 19-25/23</c:v>
                </c:pt>
                <c:pt idx="56">
                  <c:v>Mar 26-1/23</c:v>
                </c:pt>
              </c:strCache>
            </c:strRef>
          </c:cat>
          <c:val>
            <c:numRef>
              <c:f>'Crew tracking Data'!$C$3:$C$59</c:f>
              <c:numCache>
                <c:formatCode>General</c:formatCode>
                <c:ptCount val="57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36</c:v>
                </c:pt>
                <c:pt idx="53">
                  <c:v>36</c:v>
                </c:pt>
                <c:pt idx="54">
                  <c:v>36</c:v>
                </c:pt>
                <c:pt idx="55">
                  <c:v>36</c:v>
                </c:pt>
                <c:pt idx="5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303-451F-88DC-22FC596F9425}"/>
            </c:ext>
          </c:extLst>
        </c:ser>
        <c:ser>
          <c:idx val="2"/>
          <c:order val="2"/>
          <c:tx>
            <c:v>Actuals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'Crew tracking Data'!$A$3:$A$59</c:f>
              <c:strCache>
                <c:ptCount val="57"/>
                <c:pt idx="0">
                  <c:v>Mar 1-5/22</c:v>
                </c:pt>
                <c:pt idx="1">
                  <c:v>Mar 6-12/22</c:v>
                </c:pt>
                <c:pt idx="2">
                  <c:v>Mar 13-19/22</c:v>
                </c:pt>
                <c:pt idx="3">
                  <c:v>Mar 20-26/22</c:v>
                </c:pt>
                <c:pt idx="4">
                  <c:v>Mar 27-2/22</c:v>
                </c:pt>
                <c:pt idx="5">
                  <c:v>Apr 3-9/22</c:v>
                </c:pt>
                <c:pt idx="6">
                  <c:v>Apr 10-16/22</c:v>
                </c:pt>
                <c:pt idx="7">
                  <c:v>April 17-23/22</c:v>
                </c:pt>
                <c:pt idx="8">
                  <c:v>Apr 24-30/22</c:v>
                </c:pt>
                <c:pt idx="9">
                  <c:v>May 1-7/22</c:v>
                </c:pt>
                <c:pt idx="10">
                  <c:v>May 8-14/22</c:v>
                </c:pt>
                <c:pt idx="11">
                  <c:v>May 15-21/22</c:v>
                </c:pt>
                <c:pt idx="12">
                  <c:v>May 22-28/22</c:v>
                </c:pt>
                <c:pt idx="13">
                  <c:v>May 29-4/22</c:v>
                </c:pt>
                <c:pt idx="14">
                  <c:v>June 5-11/22</c:v>
                </c:pt>
                <c:pt idx="15">
                  <c:v>June 12-18/22</c:v>
                </c:pt>
                <c:pt idx="16">
                  <c:v>Jun 19-25/22</c:v>
                </c:pt>
                <c:pt idx="17">
                  <c:v>Jun 26-2/22</c:v>
                </c:pt>
                <c:pt idx="18">
                  <c:v>July 3-9/22</c:v>
                </c:pt>
                <c:pt idx="19">
                  <c:v>July 10-16/22</c:v>
                </c:pt>
                <c:pt idx="20">
                  <c:v>Jul 17-23/22</c:v>
                </c:pt>
                <c:pt idx="21">
                  <c:v>Jul 24-30/22</c:v>
                </c:pt>
                <c:pt idx="22">
                  <c:v>July 31-6/22</c:v>
                </c:pt>
                <c:pt idx="23">
                  <c:v>Aug 7-13/22</c:v>
                </c:pt>
                <c:pt idx="24">
                  <c:v>Aug 14-20/22</c:v>
                </c:pt>
                <c:pt idx="25">
                  <c:v>Aug 21-27/22</c:v>
                </c:pt>
                <c:pt idx="26">
                  <c:v>Aug 28-3/22</c:v>
                </c:pt>
                <c:pt idx="27">
                  <c:v>Sep 4-10/22</c:v>
                </c:pt>
                <c:pt idx="28">
                  <c:v>Sep 11-17/22</c:v>
                </c:pt>
                <c:pt idx="29">
                  <c:v>Sep 18-24/22</c:v>
                </c:pt>
                <c:pt idx="30">
                  <c:v>Sep 25-1/22</c:v>
                </c:pt>
                <c:pt idx="31">
                  <c:v>Oct 2-8/22</c:v>
                </c:pt>
                <c:pt idx="32">
                  <c:v>Oct 9-15/22</c:v>
                </c:pt>
                <c:pt idx="33">
                  <c:v>Oct 16-22/22</c:v>
                </c:pt>
                <c:pt idx="34">
                  <c:v>Oct 23-29/22</c:v>
                </c:pt>
                <c:pt idx="35">
                  <c:v>Oct 30-5/22</c:v>
                </c:pt>
                <c:pt idx="36">
                  <c:v>Nov 6-12/22</c:v>
                </c:pt>
                <c:pt idx="37">
                  <c:v>Nov 13-19/22</c:v>
                </c:pt>
                <c:pt idx="38">
                  <c:v>Nov 20-26/22</c:v>
                </c:pt>
                <c:pt idx="39">
                  <c:v>Nov 27-3/22</c:v>
                </c:pt>
                <c:pt idx="40">
                  <c:v>Dec 4-10/22</c:v>
                </c:pt>
                <c:pt idx="41">
                  <c:v>Dec 11-17/22</c:v>
                </c:pt>
                <c:pt idx="42">
                  <c:v>Dec 18-24/22</c:v>
                </c:pt>
                <c:pt idx="43">
                  <c:v>Dec 25-31/22</c:v>
                </c:pt>
                <c:pt idx="44">
                  <c:v>Jan 1-7/23</c:v>
                </c:pt>
                <c:pt idx="45">
                  <c:v>Jan 8-14/22</c:v>
                </c:pt>
                <c:pt idx="46">
                  <c:v>Jan 15-21/23</c:v>
                </c:pt>
                <c:pt idx="47">
                  <c:v>Jan 22-28/22</c:v>
                </c:pt>
                <c:pt idx="48">
                  <c:v>Jan 29-4/23</c:v>
                </c:pt>
                <c:pt idx="49">
                  <c:v>Feb 5-11/22</c:v>
                </c:pt>
                <c:pt idx="50">
                  <c:v>Feb 12-18/23</c:v>
                </c:pt>
                <c:pt idx="51">
                  <c:v>Feb 19-25/23</c:v>
                </c:pt>
                <c:pt idx="52">
                  <c:v>Feb 26-4/23</c:v>
                </c:pt>
                <c:pt idx="53">
                  <c:v>Mar 5-11/22</c:v>
                </c:pt>
                <c:pt idx="54">
                  <c:v>Mar 12-18/23</c:v>
                </c:pt>
                <c:pt idx="55">
                  <c:v>Mar 19-25/23</c:v>
                </c:pt>
                <c:pt idx="56">
                  <c:v>Mar 26-1/23</c:v>
                </c:pt>
              </c:strCache>
            </c:strRef>
          </c:cat>
          <c:val>
            <c:numRef>
              <c:f>'Crew tracking Data'!$D$3:$D$59</c:f>
              <c:numCache>
                <c:formatCode>0</c:formatCode>
                <c:ptCount val="57"/>
                <c:pt idx="0">
                  <c:v>25.6</c:v>
                </c:pt>
                <c:pt idx="1">
                  <c:v>25.571428571428573</c:v>
                </c:pt>
                <c:pt idx="2">
                  <c:v>23.571428571428573</c:v>
                </c:pt>
                <c:pt idx="3">
                  <c:v>19.571428571428573</c:v>
                </c:pt>
                <c:pt idx="4">
                  <c:v>19</c:v>
                </c:pt>
                <c:pt idx="5">
                  <c:v>18.428571428571427</c:v>
                </c:pt>
                <c:pt idx="6">
                  <c:v>16.714285714285715</c:v>
                </c:pt>
                <c:pt idx="7">
                  <c:v>17</c:v>
                </c:pt>
                <c:pt idx="8">
                  <c:v>18</c:v>
                </c:pt>
                <c:pt idx="9">
                  <c:v>17.428571428571427</c:v>
                </c:pt>
                <c:pt idx="10">
                  <c:v>17</c:v>
                </c:pt>
                <c:pt idx="11">
                  <c:v>17.571428571428573</c:v>
                </c:pt>
                <c:pt idx="12">
                  <c:v>17.714285714285715</c:v>
                </c:pt>
                <c:pt idx="13">
                  <c:v>18.571428571428573</c:v>
                </c:pt>
                <c:pt idx="14">
                  <c:v>20.714285714285715</c:v>
                </c:pt>
                <c:pt idx="15">
                  <c:v>22</c:v>
                </c:pt>
                <c:pt idx="16">
                  <c:v>21</c:v>
                </c:pt>
                <c:pt idx="17">
                  <c:v>19.285714285714285</c:v>
                </c:pt>
                <c:pt idx="18">
                  <c:v>19.714285714285715</c:v>
                </c:pt>
                <c:pt idx="19">
                  <c:v>19.428571428571427</c:v>
                </c:pt>
                <c:pt idx="20">
                  <c:v>19.285714285714285</c:v>
                </c:pt>
                <c:pt idx="21">
                  <c:v>22</c:v>
                </c:pt>
                <c:pt idx="22">
                  <c:v>22.142857142857142</c:v>
                </c:pt>
                <c:pt idx="23">
                  <c:v>22.142857142857142</c:v>
                </c:pt>
                <c:pt idx="24">
                  <c:v>21.285714285714285</c:v>
                </c:pt>
                <c:pt idx="25">
                  <c:v>21</c:v>
                </c:pt>
                <c:pt idx="26">
                  <c:v>21.142857142857142</c:v>
                </c:pt>
                <c:pt idx="27">
                  <c:v>21.714285714285715</c:v>
                </c:pt>
                <c:pt idx="28">
                  <c:v>9.4285714285714288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303-451F-88DC-22FC596F9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635271"/>
        <c:axId val="1196791880"/>
      </c:lineChart>
      <c:catAx>
        <c:axId val="822635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791880"/>
        <c:crosses val="autoZero"/>
        <c:auto val="1"/>
        <c:lblAlgn val="ctr"/>
        <c:lblOffset val="100"/>
        <c:noMultiLvlLbl val="0"/>
      </c:catAx>
      <c:valAx>
        <c:axId val="119679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6352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Crews Targets Forecasted Actuals by 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Targets</c:v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'Crew tracking Data'!$A$3:$A$59</c:f>
              <c:strCache>
                <c:ptCount val="57"/>
                <c:pt idx="0">
                  <c:v>Mar 1-5/22</c:v>
                </c:pt>
                <c:pt idx="1">
                  <c:v>Mar 6-12/22</c:v>
                </c:pt>
                <c:pt idx="2">
                  <c:v>Mar 13-19/22</c:v>
                </c:pt>
                <c:pt idx="3">
                  <c:v>Mar 20-26/22</c:v>
                </c:pt>
                <c:pt idx="4">
                  <c:v>Mar 27-2/22</c:v>
                </c:pt>
                <c:pt idx="5">
                  <c:v>Apr 3-9/22</c:v>
                </c:pt>
                <c:pt idx="6">
                  <c:v>Apr 10-16/22</c:v>
                </c:pt>
                <c:pt idx="7">
                  <c:v>April 17-23/22</c:v>
                </c:pt>
                <c:pt idx="8">
                  <c:v>Apr 24-30/22</c:v>
                </c:pt>
                <c:pt idx="9">
                  <c:v>May 1-7/22</c:v>
                </c:pt>
                <c:pt idx="10">
                  <c:v>May 8-14/22</c:v>
                </c:pt>
                <c:pt idx="11">
                  <c:v>May 15-21/22</c:v>
                </c:pt>
                <c:pt idx="12">
                  <c:v>May 22-28/22</c:v>
                </c:pt>
                <c:pt idx="13">
                  <c:v>May 29-4/22</c:v>
                </c:pt>
                <c:pt idx="14">
                  <c:v>June 5-11/22</c:v>
                </c:pt>
                <c:pt idx="15">
                  <c:v>June 12-18/22</c:v>
                </c:pt>
                <c:pt idx="16">
                  <c:v>Jun 19-25/22</c:v>
                </c:pt>
                <c:pt idx="17">
                  <c:v>Jun 26-2/22</c:v>
                </c:pt>
                <c:pt idx="18">
                  <c:v>July 3-9/22</c:v>
                </c:pt>
                <c:pt idx="19">
                  <c:v>July 10-16/22</c:v>
                </c:pt>
                <c:pt idx="20">
                  <c:v>Jul 17-23/22</c:v>
                </c:pt>
                <c:pt idx="21">
                  <c:v>Jul 24-30/22</c:v>
                </c:pt>
                <c:pt idx="22">
                  <c:v>July 31-6/22</c:v>
                </c:pt>
                <c:pt idx="23">
                  <c:v>Aug 7-13/22</c:v>
                </c:pt>
                <c:pt idx="24">
                  <c:v>Aug 14-20/22</c:v>
                </c:pt>
                <c:pt idx="25">
                  <c:v>Aug 21-27/22</c:v>
                </c:pt>
                <c:pt idx="26">
                  <c:v>Aug 28-3/22</c:v>
                </c:pt>
                <c:pt idx="27">
                  <c:v>Sep 4-10/22</c:v>
                </c:pt>
                <c:pt idx="28">
                  <c:v>Sep 11-17/22</c:v>
                </c:pt>
                <c:pt idx="29">
                  <c:v>Sep 18-24/22</c:v>
                </c:pt>
                <c:pt idx="30">
                  <c:v>Sep 25-1/22</c:v>
                </c:pt>
                <c:pt idx="31">
                  <c:v>Oct 2-8/22</c:v>
                </c:pt>
                <c:pt idx="32">
                  <c:v>Oct 9-15/22</c:v>
                </c:pt>
                <c:pt idx="33">
                  <c:v>Oct 16-22/22</c:v>
                </c:pt>
                <c:pt idx="34">
                  <c:v>Oct 23-29/22</c:v>
                </c:pt>
                <c:pt idx="35">
                  <c:v>Oct 30-5/22</c:v>
                </c:pt>
                <c:pt idx="36">
                  <c:v>Nov 6-12/22</c:v>
                </c:pt>
                <c:pt idx="37">
                  <c:v>Nov 13-19/22</c:v>
                </c:pt>
                <c:pt idx="38">
                  <c:v>Nov 20-26/22</c:v>
                </c:pt>
                <c:pt idx="39">
                  <c:v>Nov 27-3/22</c:v>
                </c:pt>
                <c:pt idx="40">
                  <c:v>Dec 4-10/22</c:v>
                </c:pt>
                <c:pt idx="41">
                  <c:v>Dec 11-17/22</c:v>
                </c:pt>
                <c:pt idx="42">
                  <c:v>Dec 18-24/22</c:v>
                </c:pt>
                <c:pt idx="43">
                  <c:v>Dec 25-31/22</c:v>
                </c:pt>
                <c:pt idx="44">
                  <c:v>Jan 1-7/23</c:v>
                </c:pt>
                <c:pt idx="45">
                  <c:v>Jan 8-14/22</c:v>
                </c:pt>
                <c:pt idx="46">
                  <c:v>Jan 15-21/23</c:v>
                </c:pt>
                <c:pt idx="47">
                  <c:v>Jan 22-28/22</c:v>
                </c:pt>
                <c:pt idx="48">
                  <c:v>Jan 29-4/23</c:v>
                </c:pt>
                <c:pt idx="49">
                  <c:v>Feb 5-11/22</c:v>
                </c:pt>
                <c:pt idx="50">
                  <c:v>Feb 12-18/23</c:v>
                </c:pt>
                <c:pt idx="51">
                  <c:v>Feb 19-25/23</c:v>
                </c:pt>
                <c:pt idx="52">
                  <c:v>Feb 26-4/23</c:v>
                </c:pt>
                <c:pt idx="53">
                  <c:v>Mar 5-11/22</c:v>
                </c:pt>
                <c:pt idx="54">
                  <c:v>Mar 12-18/23</c:v>
                </c:pt>
                <c:pt idx="55">
                  <c:v>Mar 19-25/23</c:v>
                </c:pt>
                <c:pt idx="56">
                  <c:v>Mar 26-1/23</c:v>
                </c:pt>
              </c:strCache>
            </c:strRef>
          </c:cat>
          <c:val>
            <c:numRef>
              <c:f>'Crew tracking Data'!$B$3:$B$59</c:f>
              <c:numCache>
                <c:formatCode>General</c:formatCode>
                <c:ptCount val="57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26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36</c:v>
                </c:pt>
                <c:pt idx="45">
                  <c:v>36</c:v>
                </c:pt>
                <c:pt idx="46">
                  <c:v>36</c:v>
                </c:pt>
                <c:pt idx="47">
                  <c:v>36</c:v>
                </c:pt>
                <c:pt idx="48">
                  <c:v>36</c:v>
                </c:pt>
                <c:pt idx="49">
                  <c:v>36</c:v>
                </c:pt>
                <c:pt idx="50">
                  <c:v>36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</c:v>
                </c:pt>
                <c:pt idx="55">
                  <c:v>36</c:v>
                </c:pt>
                <c:pt idx="5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4F-4FE6-8756-B3134D4B182D}"/>
            </c:ext>
          </c:extLst>
        </c:ser>
        <c:ser>
          <c:idx val="1"/>
          <c:order val="1"/>
          <c:tx>
            <c:v>Forecasted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'Crew tracking Data'!$A$3:$A$59</c:f>
              <c:strCache>
                <c:ptCount val="57"/>
                <c:pt idx="0">
                  <c:v>Mar 1-5/22</c:v>
                </c:pt>
                <c:pt idx="1">
                  <c:v>Mar 6-12/22</c:v>
                </c:pt>
                <c:pt idx="2">
                  <c:v>Mar 13-19/22</c:v>
                </c:pt>
                <c:pt idx="3">
                  <c:v>Mar 20-26/22</c:v>
                </c:pt>
                <c:pt idx="4">
                  <c:v>Mar 27-2/22</c:v>
                </c:pt>
                <c:pt idx="5">
                  <c:v>Apr 3-9/22</c:v>
                </c:pt>
                <c:pt idx="6">
                  <c:v>Apr 10-16/22</c:v>
                </c:pt>
                <c:pt idx="7">
                  <c:v>April 17-23/22</c:v>
                </c:pt>
                <c:pt idx="8">
                  <c:v>Apr 24-30/22</c:v>
                </c:pt>
                <c:pt idx="9">
                  <c:v>May 1-7/22</c:v>
                </c:pt>
                <c:pt idx="10">
                  <c:v>May 8-14/22</c:v>
                </c:pt>
                <c:pt idx="11">
                  <c:v>May 15-21/22</c:v>
                </c:pt>
                <c:pt idx="12">
                  <c:v>May 22-28/22</c:v>
                </c:pt>
                <c:pt idx="13">
                  <c:v>May 29-4/22</c:v>
                </c:pt>
                <c:pt idx="14">
                  <c:v>June 5-11/22</c:v>
                </c:pt>
                <c:pt idx="15">
                  <c:v>June 12-18/22</c:v>
                </c:pt>
                <c:pt idx="16">
                  <c:v>Jun 19-25/22</c:v>
                </c:pt>
                <c:pt idx="17">
                  <c:v>Jun 26-2/22</c:v>
                </c:pt>
                <c:pt idx="18">
                  <c:v>July 3-9/22</c:v>
                </c:pt>
                <c:pt idx="19">
                  <c:v>July 10-16/22</c:v>
                </c:pt>
                <c:pt idx="20">
                  <c:v>Jul 17-23/22</c:v>
                </c:pt>
                <c:pt idx="21">
                  <c:v>Jul 24-30/22</c:v>
                </c:pt>
                <c:pt idx="22">
                  <c:v>July 31-6/22</c:v>
                </c:pt>
                <c:pt idx="23">
                  <c:v>Aug 7-13/22</c:v>
                </c:pt>
                <c:pt idx="24">
                  <c:v>Aug 14-20/22</c:v>
                </c:pt>
                <c:pt idx="25">
                  <c:v>Aug 21-27/22</c:v>
                </c:pt>
                <c:pt idx="26">
                  <c:v>Aug 28-3/22</c:v>
                </c:pt>
                <c:pt idx="27">
                  <c:v>Sep 4-10/22</c:v>
                </c:pt>
                <c:pt idx="28">
                  <c:v>Sep 11-17/22</c:v>
                </c:pt>
                <c:pt idx="29">
                  <c:v>Sep 18-24/22</c:v>
                </c:pt>
                <c:pt idx="30">
                  <c:v>Sep 25-1/22</c:v>
                </c:pt>
                <c:pt idx="31">
                  <c:v>Oct 2-8/22</c:v>
                </c:pt>
                <c:pt idx="32">
                  <c:v>Oct 9-15/22</c:v>
                </c:pt>
                <c:pt idx="33">
                  <c:v>Oct 16-22/22</c:v>
                </c:pt>
                <c:pt idx="34">
                  <c:v>Oct 23-29/22</c:v>
                </c:pt>
                <c:pt idx="35">
                  <c:v>Oct 30-5/22</c:v>
                </c:pt>
                <c:pt idx="36">
                  <c:v>Nov 6-12/22</c:v>
                </c:pt>
                <c:pt idx="37">
                  <c:v>Nov 13-19/22</c:v>
                </c:pt>
                <c:pt idx="38">
                  <c:v>Nov 20-26/22</c:v>
                </c:pt>
                <c:pt idx="39">
                  <c:v>Nov 27-3/22</c:v>
                </c:pt>
                <c:pt idx="40">
                  <c:v>Dec 4-10/22</c:v>
                </c:pt>
                <c:pt idx="41">
                  <c:v>Dec 11-17/22</c:v>
                </c:pt>
                <c:pt idx="42">
                  <c:v>Dec 18-24/22</c:v>
                </c:pt>
                <c:pt idx="43">
                  <c:v>Dec 25-31/22</c:v>
                </c:pt>
                <c:pt idx="44">
                  <c:v>Jan 1-7/23</c:v>
                </c:pt>
                <c:pt idx="45">
                  <c:v>Jan 8-14/22</c:v>
                </c:pt>
                <c:pt idx="46">
                  <c:v>Jan 15-21/23</c:v>
                </c:pt>
                <c:pt idx="47">
                  <c:v>Jan 22-28/22</c:v>
                </c:pt>
                <c:pt idx="48">
                  <c:v>Jan 29-4/23</c:v>
                </c:pt>
                <c:pt idx="49">
                  <c:v>Feb 5-11/22</c:v>
                </c:pt>
                <c:pt idx="50">
                  <c:v>Feb 12-18/23</c:v>
                </c:pt>
                <c:pt idx="51">
                  <c:v>Feb 19-25/23</c:v>
                </c:pt>
                <c:pt idx="52">
                  <c:v>Feb 26-4/23</c:v>
                </c:pt>
                <c:pt idx="53">
                  <c:v>Mar 5-11/22</c:v>
                </c:pt>
                <c:pt idx="54">
                  <c:v>Mar 12-18/23</c:v>
                </c:pt>
                <c:pt idx="55">
                  <c:v>Mar 19-25/23</c:v>
                </c:pt>
                <c:pt idx="56">
                  <c:v>Mar 26-1/23</c:v>
                </c:pt>
              </c:strCache>
            </c:strRef>
          </c:cat>
          <c:val>
            <c:numRef>
              <c:f>'Crew tracking Data'!$C$3:$C$59</c:f>
              <c:numCache>
                <c:formatCode>General</c:formatCode>
                <c:ptCount val="57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36</c:v>
                </c:pt>
                <c:pt idx="53">
                  <c:v>36</c:v>
                </c:pt>
                <c:pt idx="54">
                  <c:v>36</c:v>
                </c:pt>
                <c:pt idx="55">
                  <c:v>36</c:v>
                </c:pt>
                <c:pt idx="5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4F-4FE6-8756-B3134D4B182D}"/>
            </c:ext>
          </c:extLst>
        </c:ser>
        <c:ser>
          <c:idx val="2"/>
          <c:order val="2"/>
          <c:tx>
            <c:v>Actuals</c:v>
          </c:tx>
          <c:spPr>
            <a:ln w="28575" cap="rnd">
              <a:solidFill>
                <a:srgbClr val="20376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'Crew tracking Data'!$A$3:$A$59</c:f>
              <c:strCache>
                <c:ptCount val="57"/>
                <c:pt idx="0">
                  <c:v>Mar 1-5/22</c:v>
                </c:pt>
                <c:pt idx="1">
                  <c:v>Mar 6-12/22</c:v>
                </c:pt>
                <c:pt idx="2">
                  <c:v>Mar 13-19/22</c:v>
                </c:pt>
                <c:pt idx="3">
                  <c:v>Mar 20-26/22</c:v>
                </c:pt>
                <c:pt idx="4">
                  <c:v>Mar 27-2/22</c:v>
                </c:pt>
                <c:pt idx="5">
                  <c:v>Apr 3-9/22</c:v>
                </c:pt>
                <c:pt idx="6">
                  <c:v>Apr 10-16/22</c:v>
                </c:pt>
                <c:pt idx="7">
                  <c:v>April 17-23/22</c:v>
                </c:pt>
                <c:pt idx="8">
                  <c:v>Apr 24-30/22</c:v>
                </c:pt>
                <c:pt idx="9">
                  <c:v>May 1-7/22</c:v>
                </c:pt>
                <c:pt idx="10">
                  <c:v>May 8-14/22</c:v>
                </c:pt>
                <c:pt idx="11">
                  <c:v>May 15-21/22</c:v>
                </c:pt>
                <c:pt idx="12">
                  <c:v>May 22-28/22</c:v>
                </c:pt>
                <c:pt idx="13">
                  <c:v>May 29-4/22</c:v>
                </c:pt>
                <c:pt idx="14">
                  <c:v>June 5-11/22</c:v>
                </c:pt>
                <c:pt idx="15">
                  <c:v>June 12-18/22</c:v>
                </c:pt>
                <c:pt idx="16">
                  <c:v>Jun 19-25/22</c:v>
                </c:pt>
                <c:pt idx="17">
                  <c:v>Jun 26-2/22</c:v>
                </c:pt>
                <c:pt idx="18">
                  <c:v>July 3-9/22</c:v>
                </c:pt>
                <c:pt idx="19">
                  <c:v>July 10-16/22</c:v>
                </c:pt>
                <c:pt idx="20">
                  <c:v>Jul 17-23/22</c:v>
                </c:pt>
                <c:pt idx="21">
                  <c:v>Jul 24-30/22</c:v>
                </c:pt>
                <c:pt idx="22">
                  <c:v>July 31-6/22</c:v>
                </c:pt>
                <c:pt idx="23">
                  <c:v>Aug 7-13/22</c:v>
                </c:pt>
                <c:pt idx="24">
                  <c:v>Aug 14-20/22</c:v>
                </c:pt>
                <c:pt idx="25">
                  <c:v>Aug 21-27/22</c:v>
                </c:pt>
                <c:pt idx="26">
                  <c:v>Aug 28-3/22</c:v>
                </c:pt>
                <c:pt idx="27">
                  <c:v>Sep 4-10/22</c:v>
                </c:pt>
                <c:pt idx="28">
                  <c:v>Sep 11-17/22</c:v>
                </c:pt>
                <c:pt idx="29">
                  <c:v>Sep 18-24/22</c:v>
                </c:pt>
                <c:pt idx="30">
                  <c:v>Sep 25-1/22</c:v>
                </c:pt>
                <c:pt idx="31">
                  <c:v>Oct 2-8/22</c:v>
                </c:pt>
                <c:pt idx="32">
                  <c:v>Oct 9-15/22</c:v>
                </c:pt>
                <c:pt idx="33">
                  <c:v>Oct 16-22/22</c:v>
                </c:pt>
                <c:pt idx="34">
                  <c:v>Oct 23-29/22</c:v>
                </c:pt>
                <c:pt idx="35">
                  <c:v>Oct 30-5/22</c:v>
                </c:pt>
                <c:pt idx="36">
                  <c:v>Nov 6-12/22</c:v>
                </c:pt>
                <c:pt idx="37">
                  <c:v>Nov 13-19/22</c:v>
                </c:pt>
                <c:pt idx="38">
                  <c:v>Nov 20-26/22</c:v>
                </c:pt>
                <c:pt idx="39">
                  <c:v>Nov 27-3/22</c:v>
                </c:pt>
                <c:pt idx="40">
                  <c:v>Dec 4-10/22</c:v>
                </c:pt>
                <c:pt idx="41">
                  <c:v>Dec 11-17/22</c:v>
                </c:pt>
                <c:pt idx="42">
                  <c:v>Dec 18-24/22</c:v>
                </c:pt>
                <c:pt idx="43">
                  <c:v>Dec 25-31/22</c:v>
                </c:pt>
                <c:pt idx="44">
                  <c:v>Jan 1-7/23</c:v>
                </c:pt>
                <c:pt idx="45">
                  <c:v>Jan 8-14/22</c:v>
                </c:pt>
                <c:pt idx="46">
                  <c:v>Jan 15-21/23</c:v>
                </c:pt>
                <c:pt idx="47">
                  <c:v>Jan 22-28/22</c:v>
                </c:pt>
                <c:pt idx="48">
                  <c:v>Jan 29-4/23</c:v>
                </c:pt>
                <c:pt idx="49">
                  <c:v>Feb 5-11/22</c:v>
                </c:pt>
                <c:pt idx="50">
                  <c:v>Feb 12-18/23</c:v>
                </c:pt>
                <c:pt idx="51">
                  <c:v>Feb 19-25/23</c:v>
                </c:pt>
                <c:pt idx="52">
                  <c:v>Feb 26-4/23</c:v>
                </c:pt>
                <c:pt idx="53">
                  <c:v>Mar 5-11/22</c:v>
                </c:pt>
                <c:pt idx="54">
                  <c:v>Mar 12-18/23</c:v>
                </c:pt>
                <c:pt idx="55">
                  <c:v>Mar 19-25/23</c:v>
                </c:pt>
                <c:pt idx="56">
                  <c:v>Mar 26-1/23</c:v>
                </c:pt>
              </c:strCache>
            </c:strRef>
          </c:cat>
          <c:val>
            <c:numRef>
              <c:f>'Crew tracking Data'!$D$3:$D$59</c:f>
              <c:numCache>
                <c:formatCode>0</c:formatCode>
                <c:ptCount val="57"/>
                <c:pt idx="0">
                  <c:v>25.6</c:v>
                </c:pt>
                <c:pt idx="1">
                  <c:v>25.571428571428573</c:v>
                </c:pt>
                <c:pt idx="2">
                  <c:v>23.571428571428573</c:v>
                </c:pt>
                <c:pt idx="3">
                  <c:v>19.571428571428573</c:v>
                </c:pt>
                <c:pt idx="4">
                  <c:v>19</c:v>
                </c:pt>
                <c:pt idx="5">
                  <c:v>18.428571428571427</c:v>
                </c:pt>
                <c:pt idx="6">
                  <c:v>16.714285714285715</c:v>
                </c:pt>
                <c:pt idx="7">
                  <c:v>17</c:v>
                </c:pt>
                <c:pt idx="8">
                  <c:v>18</c:v>
                </c:pt>
                <c:pt idx="9">
                  <c:v>17.428571428571427</c:v>
                </c:pt>
                <c:pt idx="10">
                  <c:v>17</c:v>
                </c:pt>
                <c:pt idx="11">
                  <c:v>17.571428571428573</c:v>
                </c:pt>
                <c:pt idx="12">
                  <c:v>17.714285714285715</c:v>
                </c:pt>
                <c:pt idx="13">
                  <c:v>18.571428571428573</c:v>
                </c:pt>
                <c:pt idx="14">
                  <c:v>20.714285714285715</c:v>
                </c:pt>
                <c:pt idx="15">
                  <c:v>22</c:v>
                </c:pt>
                <c:pt idx="16">
                  <c:v>21</c:v>
                </c:pt>
                <c:pt idx="17">
                  <c:v>19.285714285714285</c:v>
                </c:pt>
                <c:pt idx="18">
                  <c:v>19.714285714285715</c:v>
                </c:pt>
                <c:pt idx="19">
                  <c:v>19.428571428571427</c:v>
                </c:pt>
                <c:pt idx="20">
                  <c:v>19.285714285714285</c:v>
                </c:pt>
                <c:pt idx="21">
                  <c:v>22</c:v>
                </c:pt>
                <c:pt idx="22">
                  <c:v>22.142857142857142</c:v>
                </c:pt>
                <c:pt idx="23">
                  <c:v>22.142857142857142</c:v>
                </c:pt>
                <c:pt idx="24">
                  <c:v>21.285714285714285</c:v>
                </c:pt>
                <c:pt idx="25">
                  <c:v>21</c:v>
                </c:pt>
                <c:pt idx="26">
                  <c:v>21.142857142857142</c:v>
                </c:pt>
                <c:pt idx="27">
                  <c:v>21.714285714285715</c:v>
                </c:pt>
                <c:pt idx="28">
                  <c:v>9.4285714285714288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4F-4FE6-8756-B3134D4B1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635271"/>
        <c:axId val="1196791880"/>
      </c:lineChart>
      <c:catAx>
        <c:axId val="822635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791880"/>
        <c:crosses val="autoZero"/>
        <c:auto val="1"/>
        <c:lblAlgn val="ctr"/>
        <c:lblOffset val="100"/>
        <c:noMultiLvlLbl val="0"/>
      </c:catAx>
      <c:valAx>
        <c:axId val="119679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Crews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635271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9</xdr:row>
      <xdr:rowOff>9525</xdr:rowOff>
    </xdr:from>
    <xdr:to>
      <xdr:col>13</xdr:col>
      <xdr:colOff>333375</xdr:colOff>
      <xdr:row>24</xdr:row>
      <xdr:rowOff>47625</xdr:rowOff>
    </xdr:to>
    <xdr:graphicFrame macro="">
      <xdr:nvGraphicFramePr>
        <xdr:cNvPr id="4" name="Chart 1" descr="Chart type: Line. 'Targets', 'Forecasted', 'Actuals' by 'Date'&#10;&#10;Description automatically generated">
          <a:extLst>
            <a:ext uri="{FF2B5EF4-FFF2-40B4-BE49-F238E27FC236}">
              <a16:creationId xmlns:a16="http://schemas.microsoft.com/office/drawing/2014/main" id="{88C82B9D-295F-5377-79E1-E38ED6C4D5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0</xdr:colOff>
      <xdr:row>39</xdr:row>
      <xdr:rowOff>0</xdr:rowOff>
    </xdr:to>
    <xdr:graphicFrame macro="">
      <xdr:nvGraphicFramePr>
        <xdr:cNvPr id="3" name="Chart 2" descr="Chart type: Line. 'Targets', 'Forecasted', 'Actuals' by 'Date'&#10;&#10;Description automatically generated">
          <a:extLst>
            <a:ext uri="{FF2B5EF4-FFF2-40B4-BE49-F238E27FC236}">
              <a16:creationId xmlns:a16="http://schemas.microsoft.com/office/drawing/2014/main" id="{2D24B317-9FCF-4447-9A37-CA42DE86F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A4DC-4A1A-4C80-85F7-D58F2FD21D89}">
  <sheetPr codeName="Sheet1" filterMode="1"/>
  <dimension ref="A1:MD301"/>
  <sheetViews>
    <sheetView showGridLines="0" tabSelected="1" zoomScaleNormal="100" workbookViewId="0">
      <pane xSplit="6" ySplit="5" topLeftCell="IO10" activePane="bottomRight" state="frozen"/>
      <selection pane="bottomRight" activeCell="IQ29" sqref="IQ29"/>
      <selection pane="bottomLeft" activeCell="B6" sqref="B6"/>
      <selection pane="topRight" activeCell="F1" sqref="F1"/>
    </sheetView>
  </sheetViews>
  <sheetFormatPr defaultColWidth="9.140625" defaultRowHeight="15"/>
  <cols>
    <col min="1" max="1" width="2" style="27" hidden="1" customWidth="1"/>
    <col min="2" max="2" width="16.85546875" style="27" customWidth="1"/>
    <col min="3" max="3" width="12.5703125" style="27" customWidth="1"/>
    <col min="4" max="4" width="10.42578125" style="27" customWidth="1"/>
    <col min="5" max="5" width="9.42578125" style="27" customWidth="1"/>
    <col min="6" max="6" width="9.140625" style="27" customWidth="1"/>
    <col min="7" max="218" width="9.85546875" style="27" hidden="1" customWidth="1"/>
    <col min="219" max="219" width="9.140625" style="27" customWidth="1"/>
    <col min="220" max="232" width="9.85546875" style="27" customWidth="1"/>
    <col min="233" max="233" width="9.140625" style="27" customWidth="1"/>
    <col min="234" max="621" width="9.85546875" style="27" customWidth="1"/>
    <col min="622" max="16384" width="9.140625" style="27"/>
  </cols>
  <sheetData>
    <row r="1" spans="1:340" ht="51" customHeight="1" thickBot="1">
      <c r="A1" s="24"/>
      <c r="B1" s="25" t="s">
        <v>0</v>
      </c>
      <c r="C1" s="25" t="s">
        <v>1</v>
      </c>
      <c r="D1" s="26" t="s">
        <v>2</v>
      </c>
      <c r="E1" s="25" t="s">
        <v>3</v>
      </c>
      <c r="G1" s="29">
        <v>44562</v>
      </c>
      <c r="H1" s="29">
        <v>44563</v>
      </c>
      <c r="I1" s="28">
        <v>44564</v>
      </c>
      <c r="J1" s="28">
        <v>44565</v>
      </c>
      <c r="K1" s="30">
        <v>44566</v>
      </c>
      <c r="L1" s="28">
        <v>44567</v>
      </c>
      <c r="M1" s="28">
        <v>44568</v>
      </c>
      <c r="N1" s="29">
        <v>44569</v>
      </c>
      <c r="O1" s="29">
        <v>44570</v>
      </c>
      <c r="P1" s="28">
        <v>44571</v>
      </c>
      <c r="Q1" s="28">
        <v>44572</v>
      </c>
      <c r="R1" s="30">
        <v>44573</v>
      </c>
      <c r="S1" s="28">
        <v>44574</v>
      </c>
      <c r="T1" s="28">
        <v>44575</v>
      </c>
      <c r="U1" s="29">
        <v>44576</v>
      </c>
      <c r="V1" s="29">
        <v>44577</v>
      </c>
      <c r="W1" s="28">
        <v>44578</v>
      </c>
      <c r="X1" s="28">
        <v>44579</v>
      </c>
      <c r="Y1" s="30">
        <v>44580</v>
      </c>
      <c r="Z1" s="28">
        <v>44581</v>
      </c>
      <c r="AA1" s="28">
        <v>44582</v>
      </c>
      <c r="AB1" s="29">
        <v>44583</v>
      </c>
      <c r="AC1" s="29">
        <v>44584</v>
      </c>
      <c r="AD1" s="28">
        <v>44585</v>
      </c>
      <c r="AE1" s="28">
        <v>44586</v>
      </c>
      <c r="AF1" s="30">
        <v>44587</v>
      </c>
      <c r="AG1" s="28">
        <v>44588</v>
      </c>
      <c r="AH1" s="28">
        <v>44589</v>
      </c>
      <c r="AI1" s="29">
        <v>44590</v>
      </c>
      <c r="AJ1" s="29">
        <v>44591</v>
      </c>
      <c r="AK1" s="28">
        <v>44592</v>
      </c>
      <c r="AL1" s="28">
        <v>44593</v>
      </c>
      <c r="AM1" s="30">
        <v>44594</v>
      </c>
      <c r="AN1" s="28">
        <v>44595</v>
      </c>
      <c r="AO1" s="28">
        <v>44596</v>
      </c>
      <c r="AP1" s="29">
        <v>44597</v>
      </c>
      <c r="AQ1" s="29">
        <v>44598</v>
      </c>
      <c r="AR1" s="28">
        <v>44599</v>
      </c>
      <c r="AS1" s="28">
        <v>44600</v>
      </c>
      <c r="AT1" s="30">
        <v>44601</v>
      </c>
      <c r="AU1" s="28">
        <v>44602</v>
      </c>
      <c r="AV1" s="28">
        <v>44603</v>
      </c>
      <c r="AW1" s="29">
        <v>44604</v>
      </c>
      <c r="AX1" s="29">
        <v>44605</v>
      </c>
      <c r="AY1" s="28">
        <v>44606</v>
      </c>
      <c r="AZ1" s="28">
        <v>44607</v>
      </c>
      <c r="BA1" s="30">
        <v>44608</v>
      </c>
      <c r="BB1" s="28">
        <v>44609</v>
      </c>
      <c r="BC1" s="28">
        <v>44610</v>
      </c>
      <c r="BD1" s="29">
        <v>44611</v>
      </c>
      <c r="BE1" s="29">
        <v>44612</v>
      </c>
      <c r="BF1" s="28">
        <v>44613</v>
      </c>
      <c r="BG1" s="28">
        <v>44614</v>
      </c>
      <c r="BH1" s="30">
        <v>44615</v>
      </c>
      <c r="BI1" s="28">
        <v>44616</v>
      </c>
      <c r="BJ1" s="28">
        <v>44617</v>
      </c>
      <c r="BK1" s="29">
        <v>44618</v>
      </c>
      <c r="BL1" s="29">
        <v>44619</v>
      </c>
      <c r="BM1" s="28">
        <v>44620</v>
      </c>
      <c r="BN1" s="28">
        <v>44621</v>
      </c>
      <c r="BO1" s="30">
        <v>44622</v>
      </c>
      <c r="BP1" s="28">
        <v>44623</v>
      </c>
      <c r="BQ1" s="28">
        <v>44624</v>
      </c>
      <c r="BR1" s="29">
        <v>44625</v>
      </c>
      <c r="BS1" s="29">
        <v>44626</v>
      </c>
      <c r="BT1" s="28">
        <v>44627</v>
      </c>
      <c r="BU1" s="28">
        <v>44628</v>
      </c>
      <c r="BV1" s="30">
        <v>44629</v>
      </c>
      <c r="BW1" s="28">
        <v>44630</v>
      </c>
      <c r="BX1" s="28">
        <v>44631</v>
      </c>
      <c r="BY1" s="29">
        <v>44632</v>
      </c>
      <c r="BZ1" s="29">
        <v>44633</v>
      </c>
      <c r="CA1" s="28">
        <v>44634</v>
      </c>
      <c r="CB1" s="28">
        <v>44635</v>
      </c>
      <c r="CC1" s="30">
        <v>44636</v>
      </c>
      <c r="CD1" s="28">
        <v>44637</v>
      </c>
      <c r="CE1" s="28">
        <v>44638</v>
      </c>
      <c r="CF1" s="29">
        <v>44639</v>
      </c>
      <c r="CG1" s="29">
        <v>44640</v>
      </c>
      <c r="CH1" s="28">
        <v>44641</v>
      </c>
      <c r="CI1" s="28">
        <v>44642</v>
      </c>
      <c r="CJ1" s="30">
        <v>44643</v>
      </c>
      <c r="CK1" s="28">
        <v>44644</v>
      </c>
      <c r="CL1" s="28">
        <v>44645</v>
      </c>
      <c r="CM1" s="29">
        <v>44646</v>
      </c>
      <c r="CN1" s="29">
        <v>44647</v>
      </c>
      <c r="CO1" s="28">
        <v>44648</v>
      </c>
      <c r="CP1" s="28">
        <v>44649</v>
      </c>
      <c r="CQ1" s="30">
        <v>44650</v>
      </c>
      <c r="CR1" s="28">
        <v>44651</v>
      </c>
      <c r="CS1" s="28">
        <v>44652</v>
      </c>
      <c r="CT1" s="29">
        <v>44653</v>
      </c>
      <c r="CU1" s="29">
        <v>44654</v>
      </c>
      <c r="CV1" s="28">
        <v>44655</v>
      </c>
      <c r="CW1" s="28">
        <v>44656</v>
      </c>
      <c r="CX1" s="30">
        <v>44657</v>
      </c>
      <c r="CY1" s="28">
        <v>44658</v>
      </c>
      <c r="CZ1" s="28">
        <v>44659</v>
      </c>
      <c r="DA1" s="29">
        <v>44660</v>
      </c>
      <c r="DB1" s="29">
        <v>44661</v>
      </c>
      <c r="DC1" s="28">
        <v>44662</v>
      </c>
      <c r="DD1" s="28">
        <v>44663</v>
      </c>
      <c r="DE1" s="30">
        <v>44664</v>
      </c>
      <c r="DF1" s="28">
        <v>44665</v>
      </c>
      <c r="DG1" s="28">
        <v>44666</v>
      </c>
      <c r="DH1" s="29">
        <v>44667</v>
      </c>
      <c r="DI1" s="29">
        <v>44668</v>
      </c>
      <c r="DJ1" s="28">
        <v>44669</v>
      </c>
      <c r="DK1" s="28">
        <v>44670</v>
      </c>
      <c r="DL1" s="30">
        <v>44671</v>
      </c>
      <c r="DM1" s="28">
        <v>44672</v>
      </c>
      <c r="DN1" s="28">
        <v>44673</v>
      </c>
      <c r="DO1" s="29">
        <v>44674</v>
      </c>
      <c r="DP1" s="29">
        <v>44675</v>
      </c>
      <c r="DQ1" s="28">
        <v>44676</v>
      </c>
      <c r="DR1" s="28">
        <v>44677</v>
      </c>
      <c r="DS1" s="30">
        <v>44678</v>
      </c>
      <c r="DT1" s="28">
        <v>44679</v>
      </c>
      <c r="DU1" s="28">
        <v>44680</v>
      </c>
      <c r="DV1" s="29">
        <v>44681</v>
      </c>
      <c r="DW1" s="29">
        <v>44682</v>
      </c>
      <c r="DX1" s="28">
        <v>44683</v>
      </c>
      <c r="DY1" s="28">
        <v>44684</v>
      </c>
      <c r="DZ1" s="30">
        <v>44685</v>
      </c>
      <c r="EA1" s="28">
        <v>44686</v>
      </c>
      <c r="EB1" s="28">
        <v>44687</v>
      </c>
      <c r="EC1" s="29">
        <v>44688</v>
      </c>
      <c r="ED1" s="29">
        <v>44689</v>
      </c>
      <c r="EE1" s="28">
        <v>44690</v>
      </c>
      <c r="EF1" s="28">
        <v>44691</v>
      </c>
      <c r="EG1" s="30">
        <v>44692</v>
      </c>
      <c r="EH1" s="28">
        <v>44693</v>
      </c>
      <c r="EI1" s="28">
        <v>44694</v>
      </c>
      <c r="EJ1" s="29">
        <v>44695</v>
      </c>
      <c r="EK1" s="29">
        <v>44696</v>
      </c>
      <c r="EL1" s="28">
        <v>44697</v>
      </c>
      <c r="EM1" s="28">
        <v>44698</v>
      </c>
      <c r="EN1" s="30">
        <v>44699</v>
      </c>
      <c r="EO1" s="28">
        <v>44700</v>
      </c>
      <c r="EP1" s="28">
        <v>44701</v>
      </c>
      <c r="EQ1" s="29">
        <v>44702</v>
      </c>
      <c r="ER1" s="29">
        <v>44703</v>
      </c>
      <c r="ES1" s="28">
        <v>44704</v>
      </c>
      <c r="ET1" s="28">
        <v>44705</v>
      </c>
      <c r="EU1" s="30">
        <v>44706</v>
      </c>
      <c r="EV1" s="28">
        <v>44707</v>
      </c>
      <c r="EW1" s="28">
        <v>44708</v>
      </c>
      <c r="EX1" s="29">
        <v>44709</v>
      </c>
      <c r="EY1" s="29">
        <v>44710</v>
      </c>
      <c r="EZ1" s="28">
        <v>44711</v>
      </c>
      <c r="FA1" s="28">
        <v>44712</v>
      </c>
      <c r="FB1" s="30">
        <v>44713</v>
      </c>
      <c r="FC1" s="28">
        <v>44714</v>
      </c>
      <c r="FD1" s="28">
        <v>44715</v>
      </c>
      <c r="FE1" s="29">
        <v>44716</v>
      </c>
      <c r="FF1" s="29">
        <v>44717</v>
      </c>
      <c r="FG1" s="28">
        <v>44718</v>
      </c>
      <c r="FH1" s="28">
        <v>44719</v>
      </c>
      <c r="FI1" s="30">
        <v>44720</v>
      </c>
      <c r="FJ1" s="28">
        <v>44721</v>
      </c>
      <c r="FK1" s="28">
        <v>44722</v>
      </c>
      <c r="FL1" s="29">
        <v>44723</v>
      </c>
      <c r="FM1" s="29">
        <v>44724</v>
      </c>
      <c r="FN1" s="28">
        <v>44725</v>
      </c>
      <c r="FO1" s="28">
        <v>44726</v>
      </c>
      <c r="FP1" s="30">
        <v>44727</v>
      </c>
      <c r="FQ1" s="28">
        <v>44728</v>
      </c>
      <c r="FR1" s="28">
        <v>44729</v>
      </c>
      <c r="FS1" s="29">
        <v>44730</v>
      </c>
      <c r="FT1" s="29">
        <v>44731</v>
      </c>
      <c r="FU1" s="28">
        <v>44732</v>
      </c>
      <c r="FV1" s="28">
        <v>44733</v>
      </c>
      <c r="FW1" s="30">
        <v>44734</v>
      </c>
      <c r="FX1" s="28">
        <v>44735</v>
      </c>
      <c r="FY1" s="28">
        <v>44736</v>
      </c>
      <c r="FZ1" s="29">
        <v>44737</v>
      </c>
      <c r="GA1" s="29">
        <v>44738</v>
      </c>
      <c r="GB1" s="28">
        <v>44739</v>
      </c>
      <c r="GC1" s="28">
        <v>44740</v>
      </c>
      <c r="GD1" s="30">
        <v>44741</v>
      </c>
      <c r="GE1" s="28">
        <v>44742</v>
      </c>
      <c r="GF1" s="28">
        <v>44743</v>
      </c>
      <c r="GG1" s="29">
        <v>44744</v>
      </c>
      <c r="GH1" s="29">
        <v>44745</v>
      </c>
      <c r="GI1" s="28">
        <v>44746</v>
      </c>
      <c r="GJ1" s="28">
        <v>44747</v>
      </c>
      <c r="GK1" s="30">
        <v>44748</v>
      </c>
      <c r="GL1" s="28">
        <v>44749</v>
      </c>
      <c r="GM1" s="28">
        <v>44750</v>
      </c>
      <c r="GN1" s="29">
        <v>44751</v>
      </c>
      <c r="GO1" s="29">
        <v>44752</v>
      </c>
      <c r="GP1" s="28">
        <v>44753</v>
      </c>
      <c r="GQ1" s="28">
        <v>44754</v>
      </c>
      <c r="GR1" s="30">
        <v>44755</v>
      </c>
      <c r="GS1" s="28">
        <v>44756</v>
      </c>
      <c r="GT1" s="28">
        <v>44757</v>
      </c>
      <c r="GU1" s="29">
        <v>44758</v>
      </c>
      <c r="GV1" s="29">
        <v>44759</v>
      </c>
      <c r="GW1" s="28">
        <v>44760</v>
      </c>
      <c r="GX1" s="28">
        <v>44761</v>
      </c>
      <c r="GY1" s="30">
        <v>44762</v>
      </c>
      <c r="GZ1" s="28">
        <v>44763</v>
      </c>
      <c r="HA1" s="28">
        <v>44764</v>
      </c>
      <c r="HB1" s="29">
        <v>44765</v>
      </c>
      <c r="HC1" s="29">
        <v>44766</v>
      </c>
      <c r="HD1" s="28">
        <v>44767</v>
      </c>
      <c r="HE1" s="28">
        <v>44768</v>
      </c>
      <c r="HF1" s="30">
        <v>44769</v>
      </c>
      <c r="HG1" s="28">
        <v>44770</v>
      </c>
      <c r="HH1" s="28">
        <v>44771</v>
      </c>
      <c r="HI1" s="29">
        <v>44772</v>
      </c>
      <c r="HJ1" s="29">
        <v>44773</v>
      </c>
      <c r="HK1" s="28">
        <v>44774</v>
      </c>
      <c r="HL1" s="28">
        <v>44775</v>
      </c>
      <c r="HM1" s="30">
        <v>44776</v>
      </c>
      <c r="HN1" s="28">
        <v>44777</v>
      </c>
      <c r="HO1" s="28">
        <v>44778</v>
      </c>
      <c r="HP1" s="29">
        <v>44779</v>
      </c>
      <c r="HQ1" s="29">
        <v>44780</v>
      </c>
      <c r="HR1" s="28">
        <v>44781</v>
      </c>
      <c r="HS1" s="28">
        <v>44782</v>
      </c>
      <c r="HT1" s="30">
        <v>44783</v>
      </c>
      <c r="HU1" s="28">
        <v>44784</v>
      </c>
      <c r="HV1" s="28">
        <v>44785</v>
      </c>
      <c r="HW1" s="29">
        <v>44786</v>
      </c>
      <c r="HX1" s="29">
        <v>44787</v>
      </c>
      <c r="HY1" s="28">
        <v>44788</v>
      </c>
      <c r="HZ1" s="28">
        <v>44789</v>
      </c>
      <c r="IA1" s="30">
        <v>44790</v>
      </c>
      <c r="IB1" s="28">
        <v>44791</v>
      </c>
      <c r="IC1" s="28">
        <v>44792</v>
      </c>
      <c r="ID1" s="29">
        <v>44793</v>
      </c>
      <c r="IE1" s="29">
        <v>44794</v>
      </c>
      <c r="IF1" s="28">
        <v>44795</v>
      </c>
      <c r="IG1" s="28">
        <v>44796</v>
      </c>
      <c r="IH1" s="30">
        <v>44797</v>
      </c>
      <c r="II1" s="28">
        <v>44798</v>
      </c>
      <c r="IJ1" s="28">
        <v>44799</v>
      </c>
      <c r="IK1" s="29">
        <v>44800</v>
      </c>
      <c r="IL1" s="29">
        <v>44801</v>
      </c>
      <c r="IM1" s="28">
        <v>44802</v>
      </c>
      <c r="IN1" s="28">
        <v>44803</v>
      </c>
      <c r="IO1" s="30">
        <v>44804</v>
      </c>
      <c r="IP1" s="28">
        <v>44805</v>
      </c>
      <c r="IQ1" s="28">
        <v>44806</v>
      </c>
      <c r="IR1" s="29">
        <v>44807</v>
      </c>
      <c r="IS1" s="29">
        <v>44808</v>
      </c>
      <c r="IT1" s="28">
        <v>44809</v>
      </c>
      <c r="IU1" s="28">
        <v>44810</v>
      </c>
      <c r="IV1" s="30">
        <v>44811</v>
      </c>
      <c r="IW1" s="28">
        <v>44812</v>
      </c>
      <c r="IX1" s="28">
        <v>44813</v>
      </c>
      <c r="IY1" s="29">
        <v>44814</v>
      </c>
      <c r="IZ1" s="29">
        <v>44815</v>
      </c>
      <c r="JA1" s="28">
        <v>44816</v>
      </c>
      <c r="JB1" s="28">
        <v>44817</v>
      </c>
      <c r="JC1" s="30">
        <v>44818</v>
      </c>
      <c r="JD1" s="28">
        <v>44819</v>
      </c>
      <c r="JE1" s="28">
        <v>44820</v>
      </c>
      <c r="JF1" s="29">
        <v>44821</v>
      </c>
      <c r="JG1" s="29">
        <v>44822</v>
      </c>
      <c r="JH1" s="28">
        <v>44823</v>
      </c>
      <c r="JI1" s="28">
        <v>44824</v>
      </c>
      <c r="JJ1" s="30">
        <v>44825</v>
      </c>
      <c r="JK1" s="28">
        <v>44826</v>
      </c>
      <c r="JL1" s="28">
        <v>44827</v>
      </c>
      <c r="JM1" s="29">
        <v>44828</v>
      </c>
      <c r="JN1" s="29">
        <v>44829</v>
      </c>
      <c r="JO1" s="28">
        <v>44830</v>
      </c>
      <c r="JP1" s="28">
        <v>44831</v>
      </c>
      <c r="JQ1" s="30">
        <v>44832</v>
      </c>
      <c r="JR1" s="28">
        <v>44833</v>
      </c>
      <c r="JS1" s="28">
        <v>44834</v>
      </c>
      <c r="JT1" s="29">
        <v>44835</v>
      </c>
      <c r="JU1" s="29">
        <v>44836</v>
      </c>
      <c r="JV1" s="28">
        <v>44837</v>
      </c>
      <c r="JW1" s="28">
        <v>44838</v>
      </c>
      <c r="JX1" s="30">
        <v>44839</v>
      </c>
      <c r="JY1" s="28">
        <v>44840</v>
      </c>
      <c r="JZ1" s="28">
        <v>44841</v>
      </c>
      <c r="KA1" s="29">
        <v>44842</v>
      </c>
      <c r="KB1" s="29">
        <v>44843</v>
      </c>
      <c r="KC1" s="28">
        <v>44844</v>
      </c>
      <c r="KD1" s="28">
        <v>44845</v>
      </c>
      <c r="KE1" s="30">
        <v>44846</v>
      </c>
      <c r="KF1" s="28">
        <v>44847</v>
      </c>
      <c r="KG1" s="28">
        <v>44848</v>
      </c>
      <c r="KH1" s="29">
        <v>44849</v>
      </c>
      <c r="KI1" s="29">
        <v>44850</v>
      </c>
      <c r="KJ1" s="28">
        <v>44851</v>
      </c>
      <c r="KK1" s="28">
        <v>44852</v>
      </c>
      <c r="KL1" s="30">
        <v>44853</v>
      </c>
      <c r="KM1" s="28">
        <v>44854</v>
      </c>
      <c r="KN1" s="28">
        <v>44855</v>
      </c>
      <c r="KO1" s="29">
        <v>44856</v>
      </c>
      <c r="KP1" s="29">
        <v>44857</v>
      </c>
      <c r="KQ1" s="28">
        <v>44858</v>
      </c>
      <c r="KR1" s="28">
        <v>44859</v>
      </c>
      <c r="KS1" s="30">
        <v>44860</v>
      </c>
      <c r="KT1" s="28">
        <v>44861</v>
      </c>
      <c r="KU1" s="28">
        <v>44862</v>
      </c>
      <c r="KV1" s="29">
        <v>44863</v>
      </c>
      <c r="KW1" s="29">
        <v>44864</v>
      </c>
      <c r="KX1" s="28">
        <v>44865</v>
      </c>
      <c r="KY1" s="28">
        <v>44866</v>
      </c>
      <c r="KZ1" s="28">
        <v>44867</v>
      </c>
      <c r="LA1" s="28">
        <v>44868</v>
      </c>
      <c r="LB1" s="28">
        <v>44869</v>
      </c>
      <c r="LC1" s="28">
        <v>44870</v>
      </c>
      <c r="LD1" s="28">
        <v>44871</v>
      </c>
      <c r="LE1" s="28">
        <v>44872</v>
      </c>
      <c r="LF1" s="28">
        <v>44873</v>
      </c>
      <c r="LG1" s="28">
        <v>44874</v>
      </c>
      <c r="LH1" s="28">
        <v>44875</v>
      </c>
      <c r="LI1" s="28">
        <v>44876</v>
      </c>
      <c r="LJ1" s="28">
        <v>44877</v>
      </c>
      <c r="LK1" s="28">
        <v>44878</v>
      </c>
      <c r="LL1" s="28">
        <v>44879</v>
      </c>
      <c r="LM1" s="28">
        <v>44880</v>
      </c>
      <c r="LN1" s="28">
        <v>44881</v>
      </c>
      <c r="LO1" s="28">
        <v>44882</v>
      </c>
      <c r="LP1" s="28">
        <v>44883</v>
      </c>
      <c r="LQ1" s="28">
        <v>44884</v>
      </c>
      <c r="LR1" s="28">
        <v>44885</v>
      </c>
      <c r="LS1" s="28">
        <v>44886</v>
      </c>
      <c r="LT1" s="28">
        <v>44887</v>
      </c>
      <c r="LU1" s="28">
        <v>44888</v>
      </c>
      <c r="LV1" s="28">
        <v>44889</v>
      </c>
      <c r="LW1" s="28">
        <v>44890</v>
      </c>
      <c r="LX1" s="28">
        <v>44891</v>
      </c>
      <c r="LY1" s="28">
        <v>44892</v>
      </c>
      <c r="LZ1" s="28">
        <v>44893</v>
      </c>
      <c r="MA1" s="28">
        <v>44894</v>
      </c>
      <c r="MB1" s="28">
        <v>44895</v>
      </c>
    </row>
    <row r="2" spans="1:340" s="32" customFormat="1" ht="15.75" thickBot="1">
      <c r="A2" s="201" t="s">
        <v>4</v>
      </c>
      <c r="B2" s="201"/>
      <c r="C2" s="201"/>
      <c r="D2" s="201"/>
      <c r="E2" s="201"/>
      <c r="F2" s="201"/>
      <c r="G2" s="31">
        <f t="shared" ref="G2:AK2" si="0">COUNTIF(G19:G141,"Conductor")+COUNTIF(G19:G141,"Surface")+COUNTIF(G19:G141,"Intermediate")+COUNTIF(G19:G141,"Production")+COUNTIF(G19:G141,"Liner")+COUNTIF(G19:G141,"Plugs")+COUNTIF(G19:G141,"Surface x 2")*2+COUNTIF(G19:G141,"Prod/Surf")*2</f>
        <v>3</v>
      </c>
      <c r="H2" s="31">
        <f t="shared" si="0"/>
        <v>2</v>
      </c>
      <c r="I2" s="31">
        <f t="shared" si="0"/>
        <v>2</v>
      </c>
      <c r="J2" s="31">
        <f t="shared" si="0"/>
        <v>5</v>
      </c>
      <c r="K2" s="31">
        <f t="shared" si="0"/>
        <v>3</v>
      </c>
      <c r="L2" s="31">
        <f t="shared" si="0"/>
        <v>10</v>
      </c>
      <c r="M2" s="31">
        <f t="shared" si="0"/>
        <v>7</v>
      </c>
      <c r="N2" s="31">
        <f t="shared" si="0"/>
        <v>2</v>
      </c>
      <c r="O2" s="31">
        <f t="shared" si="0"/>
        <v>8</v>
      </c>
      <c r="P2" s="31">
        <f t="shared" si="0"/>
        <v>7</v>
      </c>
      <c r="Q2" s="31">
        <f t="shared" si="0"/>
        <v>9</v>
      </c>
      <c r="R2" s="31">
        <f t="shared" si="0"/>
        <v>2</v>
      </c>
      <c r="S2" s="31">
        <f t="shared" si="0"/>
        <v>5</v>
      </c>
      <c r="T2" s="31">
        <f t="shared" si="0"/>
        <v>4</v>
      </c>
      <c r="U2" s="31">
        <f t="shared" si="0"/>
        <v>8</v>
      </c>
      <c r="V2" s="31">
        <f t="shared" si="0"/>
        <v>2</v>
      </c>
      <c r="W2" s="31">
        <f t="shared" si="0"/>
        <v>8</v>
      </c>
      <c r="X2" s="31">
        <f t="shared" si="0"/>
        <v>4</v>
      </c>
      <c r="Y2" s="31">
        <f t="shared" si="0"/>
        <v>5</v>
      </c>
      <c r="Z2" s="31">
        <f t="shared" si="0"/>
        <v>5</v>
      </c>
      <c r="AA2" s="31">
        <f t="shared" si="0"/>
        <v>4</v>
      </c>
      <c r="AB2" s="31">
        <f t="shared" si="0"/>
        <v>5</v>
      </c>
      <c r="AC2" s="31">
        <f t="shared" si="0"/>
        <v>6</v>
      </c>
      <c r="AD2" s="31">
        <f t="shared" si="0"/>
        <v>8</v>
      </c>
      <c r="AE2" s="31">
        <f t="shared" si="0"/>
        <v>9</v>
      </c>
      <c r="AF2" s="31">
        <f t="shared" si="0"/>
        <v>3</v>
      </c>
      <c r="AG2" s="31">
        <f t="shared" si="0"/>
        <v>6</v>
      </c>
      <c r="AH2" s="31">
        <f t="shared" si="0"/>
        <v>3</v>
      </c>
      <c r="AI2" s="31">
        <f t="shared" si="0"/>
        <v>6</v>
      </c>
      <c r="AJ2" s="31">
        <f t="shared" si="0"/>
        <v>5</v>
      </c>
      <c r="AK2" s="31">
        <f t="shared" si="0"/>
        <v>6</v>
      </c>
      <c r="AL2" s="31">
        <f t="shared" ref="AL2:CW2" si="1">COUNTIF(AL19:AL256,"Conductor")+COUNTIF(AL19:AL256,"Surface")+COUNTIF(AL19:AL256,"Intermediate")+COUNTIF(AL19:AL256,"Production")+COUNTIF(AL19:AL256,"Liner")+COUNTIF(AL19:AL256,"Plugs")+COUNTIF(AL19:AL256,"Surface x 2")*2+COUNTIF(AL19:AL256,"Prod/Surf")*2</f>
        <v>20</v>
      </c>
      <c r="AM2" s="31">
        <f t="shared" si="1"/>
        <v>20</v>
      </c>
      <c r="AN2" s="31">
        <f t="shared" si="1"/>
        <v>28</v>
      </c>
      <c r="AO2" s="31">
        <f t="shared" si="1"/>
        <v>24</v>
      </c>
      <c r="AP2" s="31">
        <f t="shared" si="1"/>
        <v>21</v>
      </c>
      <c r="AQ2" s="31">
        <f t="shared" si="1"/>
        <v>26</v>
      </c>
      <c r="AR2" s="31">
        <f t="shared" si="1"/>
        <v>19</v>
      </c>
      <c r="AS2" s="31">
        <f t="shared" si="1"/>
        <v>26</v>
      </c>
      <c r="AT2" s="31">
        <f t="shared" si="1"/>
        <v>20</v>
      </c>
      <c r="AU2" s="31">
        <f t="shared" si="1"/>
        <v>21</v>
      </c>
      <c r="AV2" s="31">
        <f t="shared" si="1"/>
        <v>26</v>
      </c>
      <c r="AW2" s="31">
        <f t="shared" si="1"/>
        <v>23</v>
      </c>
      <c r="AX2" s="31">
        <f t="shared" si="1"/>
        <v>25</v>
      </c>
      <c r="AY2" s="31">
        <f t="shared" si="1"/>
        <v>26</v>
      </c>
      <c r="AZ2" s="31">
        <f t="shared" si="1"/>
        <v>24</v>
      </c>
      <c r="BA2" s="31">
        <f t="shared" si="1"/>
        <v>26</v>
      </c>
      <c r="BB2" s="31">
        <f t="shared" si="1"/>
        <v>19</v>
      </c>
      <c r="BC2" s="31">
        <f t="shared" si="1"/>
        <v>23</v>
      </c>
      <c r="BD2" s="31">
        <f t="shared" si="1"/>
        <v>23</v>
      </c>
      <c r="BE2" s="31">
        <f t="shared" si="1"/>
        <v>26</v>
      </c>
      <c r="BF2" s="31">
        <f t="shared" si="1"/>
        <v>13</v>
      </c>
      <c r="BG2" s="31">
        <f t="shared" si="1"/>
        <v>14</v>
      </c>
      <c r="BH2" s="31">
        <f t="shared" si="1"/>
        <v>17</v>
      </c>
      <c r="BI2" s="31">
        <f t="shared" si="1"/>
        <v>25</v>
      </c>
      <c r="BJ2" s="31">
        <f t="shared" si="1"/>
        <v>19</v>
      </c>
      <c r="BK2" s="31">
        <f t="shared" si="1"/>
        <v>19</v>
      </c>
      <c r="BL2" s="31">
        <f t="shared" si="1"/>
        <v>25</v>
      </c>
      <c r="BM2" s="31">
        <f t="shared" si="1"/>
        <v>26</v>
      </c>
      <c r="BN2" s="31">
        <f t="shared" si="1"/>
        <v>18</v>
      </c>
      <c r="BO2" s="31">
        <f t="shared" si="1"/>
        <v>18</v>
      </c>
      <c r="BP2" s="31">
        <f t="shared" si="1"/>
        <v>22</v>
      </c>
      <c r="BQ2" s="31">
        <f t="shared" si="1"/>
        <v>16</v>
      </c>
      <c r="BR2" s="31">
        <f t="shared" si="1"/>
        <v>20</v>
      </c>
      <c r="BS2" s="31">
        <f t="shared" si="1"/>
        <v>18</v>
      </c>
      <c r="BT2" s="31">
        <f t="shared" si="1"/>
        <v>17</v>
      </c>
      <c r="BU2" s="31">
        <f t="shared" si="1"/>
        <v>19</v>
      </c>
      <c r="BV2" s="31">
        <f t="shared" si="1"/>
        <v>21</v>
      </c>
      <c r="BW2" s="31">
        <f t="shared" si="1"/>
        <v>12</v>
      </c>
      <c r="BX2" s="31">
        <f t="shared" si="1"/>
        <v>14</v>
      </c>
      <c r="BY2" s="31">
        <f t="shared" si="1"/>
        <v>17</v>
      </c>
      <c r="BZ2" s="31">
        <f t="shared" si="1"/>
        <v>16</v>
      </c>
      <c r="CA2" s="31">
        <f t="shared" si="1"/>
        <v>12</v>
      </c>
      <c r="CB2" s="31">
        <f t="shared" si="1"/>
        <v>10</v>
      </c>
      <c r="CC2" s="31">
        <f t="shared" si="1"/>
        <v>12</v>
      </c>
      <c r="CD2" s="31">
        <f t="shared" si="1"/>
        <v>7</v>
      </c>
      <c r="CE2" s="31">
        <f t="shared" si="1"/>
        <v>7</v>
      </c>
      <c r="CF2" s="31">
        <f t="shared" si="1"/>
        <v>8</v>
      </c>
      <c r="CG2" s="31">
        <f t="shared" si="1"/>
        <v>10</v>
      </c>
      <c r="CH2" s="31">
        <f t="shared" si="1"/>
        <v>17</v>
      </c>
      <c r="CI2" s="31">
        <f t="shared" si="1"/>
        <v>7</v>
      </c>
      <c r="CJ2" s="31">
        <f t="shared" si="1"/>
        <v>8</v>
      </c>
      <c r="CK2" s="31">
        <f t="shared" si="1"/>
        <v>10</v>
      </c>
      <c r="CL2" s="31">
        <f t="shared" si="1"/>
        <v>9</v>
      </c>
      <c r="CM2" s="31">
        <f t="shared" si="1"/>
        <v>4</v>
      </c>
      <c r="CN2" s="31">
        <f t="shared" si="1"/>
        <v>9</v>
      </c>
      <c r="CO2" s="31">
        <f t="shared" si="1"/>
        <v>12</v>
      </c>
      <c r="CP2" s="31">
        <f t="shared" si="1"/>
        <v>10</v>
      </c>
      <c r="CQ2" s="31">
        <f t="shared" si="1"/>
        <v>12</v>
      </c>
      <c r="CR2" s="31">
        <f t="shared" si="1"/>
        <v>7</v>
      </c>
      <c r="CS2" s="31">
        <f t="shared" si="1"/>
        <v>7</v>
      </c>
      <c r="CT2" s="31">
        <f t="shared" si="1"/>
        <v>12</v>
      </c>
      <c r="CU2" s="31">
        <f t="shared" si="1"/>
        <v>9</v>
      </c>
      <c r="CV2" s="31">
        <f t="shared" si="1"/>
        <v>12</v>
      </c>
      <c r="CW2" s="31">
        <f t="shared" si="1"/>
        <v>12</v>
      </c>
      <c r="CX2" s="31">
        <f t="shared" ref="CX2:FI2" si="2">COUNTIF(CX19:CX256,"Conductor")+COUNTIF(CX19:CX256,"Surface")+COUNTIF(CX19:CX256,"Intermediate")+COUNTIF(CX19:CX256,"Production")+COUNTIF(CX19:CX256,"Liner")+COUNTIF(CX19:CX256,"Plugs")+COUNTIF(CX19:CX256,"Surface x 2")*2+COUNTIF(CX19:CX256,"Prod/Surf")*2</f>
        <v>13</v>
      </c>
      <c r="CY2" s="31">
        <f t="shared" si="2"/>
        <v>10</v>
      </c>
      <c r="CZ2" s="31">
        <f t="shared" si="2"/>
        <v>11</v>
      </c>
      <c r="DA2" s="31">
        <f t="shared" si="2"/>
        <v>13</v>
      </c>
      <c r="DB2" s="31">
        <f t="shared" si="2"/>
        <v>9</v>
      </c>
      <c r="DC2" s="31">
        <f t="shared" si="2"/>
        <v>8</v>
      </c>
      <c r="DD2" s="31">
        <f t="shared" si="2"/>
        <v>6</v>
      </c>
      <c r="DE2" s="31">
        <f t="shared" si="2"/>
        <v>12</v>
      </c>
      <c r="DF2" s="31">
        <f t="shared" si="2"/>
        <v>10</v>
      </c>
      <c r="DG2" s="31">
        <f t="shared" si="2"/>
        <v>10</v>
      </c>
      <c r="DH2" s="31">
        <f t="shared" si="2"/>
        <v>10</v>
      </c>
      <c r="DI2" s="31">
        <f t="shared" si="2"/>
        <v>8</v>
      </c>
      <c r="DJ2" s="31">
        <f t="shared" si="2"/>
        <v>3</v>
      </c>
      <c r="DK2" s="31">
        <f t="shared" si="2"/>
        <v>12</v>
      </c>
      <c r="DL2" s="31">
        <f t="shared" si="2"/>
        <v>7</v>
      </c>
      <c r="DM2" s="31">
        <f t="shared" si="2"/>
        <v>7</v>
      </c>
      <c r="DN2" s="31">
        <f t="shared" si="2"/>
        <v>7</v>
      </c>
      <c r="DO2" s="31">
        <f t="shared" si="2"/>
        <v>7</v>
      </c>
      <c r="DP2" s="31">
        <f t="shared" si="2"/>
        <v>10</v>
      </c>
      <c r="DQ2" s="31">
        <f t="shared" si="2"/>
        <v>9</v>
      </c>
      <c r="DR2" s="31">
        <f t="shared" si="2"/>
        <v>7</v>
      </c>
      <c r="DS2" s="31">
        <f t="shared" si="2"/>
        <v>6</v>
      </c>
      <c r="DT2" s="31">
        <f t="shared" si="2"/>
        <v>7</v>
      </c>
      <c r="DU2" s="31">
        <f t="shared" si="2"/>
        <v>7</v>
      </c>
      <c r="DV2" s="31">
        <f t="shared" si="2"/>
        <v>8</v>
      </c>
      <c r="DW2" s="31">
        <f t="shared" si="2"/>
        <v>10</v>
      </c>
      <c r="DX2" s="31">
        <f t="shared" si="2"/>
        <v>6</v>
      </c>
      <c r="DY2" s="31">
        <f t="shared" si="2"/>
        <v>9</v>
      </c>
      <c r="DZ2" s="31">
        <f t="shared" si="2"/>
        <v>6</v>
      </c>
      <c r="EA2" s="31">
        <f t="shared" si="2"/>
        <v>8</v>
      </c>
      <c r="EB2" s="31">
        <f t="shared" si="2"/>
        <v>6</v>
      </c>
      <c r="EC2" s="31">
        <f t="shared" si="2"/>
        <v>5</v>
      </c>
      <c r="ED2" s="31">
        <f t="shared" si="2"/>
        <v>9</v>
      </c>
      <c r="EE2" s="31">
        <f t="shared" si="2"/>
        <v>6</v>
      </c>
      <c r="EF2" s="31">
        <f t="shared" si="2"/>
        <v>9</v>
      </c>
      <c r="EG2" s="31">
        <f t="shared" si="2"/>
        <v>4</v>
      </c>
      <c r="EH2" s="31">
        <f t="shared" si="2"/>
        <v>8</v>
      </c>
      <c r="EI2" s="31">
        <f t="shared" si="2"/>
        <v>9</v>
      </c>
      <c r="EJ2" s="31">
        <f t="shared" si="2"/>
        <v>3</v>
      </c>
      <c r="EK2" s="31">
        <f t="shared" si="2"/>
        <v>7</v>
      </c>
      <c r="EL2" s="31">
        <f t="shared" si="2"/>
        <v>6</v>
      </c>
      <c r="EM2" s="31">
        <f t="shared" si="2"/>
        <v>7</v>
      </c>
      <c r="EN2" s="31">
        <f t="shared" si="2"/>
        <v>5</v>
      </c>
      <c r="EO2" s="31">
        <f t="shared" si="2"/>
        <v>1</v>
      </c>
      <c r="EP2" s="31">
        <f t="shared" si="2"/>
        <v>6</v>
      </c>
      <c r="EQ2" s="31">
        <f t="shared" si="2"/>
        <v>5</v>
      </c>
      <c r="ER2" s="31">
        <f t="shared" si="2"/>
        <v>7</v>
      </c>
      <c r="ES2" s="31">
        <f t="shared" si="2"/>
        <v>8</v>
      </c>
      <c r="ET2" s="31">
        <f t="shared" si="2"/>
        <v>5</v>
      </c>
      <c r="EU2" s="31">
        <f t="shared" si="2"/>
        <v>9</v>
      </c>
      <c r="EV2" s="31">
        <f t="shared" si="2"/>
        <v>10</v>
      </c>
      <c r="EW2" s="31">
        <f t="shared" si="2"/>
        <v>6</v>
      </c>
      <c r="EX2" s="31">
        <f t="shared" si="2"/>
        <v>9</v>
      </c>
      <c r="EY2" s="31">
        <f t="shared" si="2"/>
        <v>9</v>
      </c>
      <c r="EZ2" s="31">
        <f t="shared" si="2"/>
        <v>7</v>
      </c>
      <c r="FA2" s="31">
        <f t="shared" si="2"/>
        <v>7</v>
      </c>
      <c r="FB2" s="31">
        <f t="shared" si="2"/>
        <v>8</v>
      </c>
      <c r="FC2" s="31">
        <f t="shared" si="2"/>
        <v>8</v>
      </c>
      <c r="FD2" s="31">
        <f t="shared" si="2"/>
        <v>15</v>
      </c>
      <c r="FE2" s="31">
        <f t="shared" si="2"/>
        <v>13</v>
      </c>
      <c r="FF2" s="31">
        <f t="shared" si="2"/>
        <v>13</v>
      </c>
      <c r="FG2" s="31">
        <f t="shared" si="2"/>
        <v>13</v>
      </c>
      <c r="FH2" s="31">
        <f t="shared" si="2"/>
        <v>11</v>
      </c>
      <c r="FI2" s="31">
        <f t="shared" si="2"/>
        <v>15</v>
      </c>
      <c r="FJ2" s="31">
        <f t="shared" ref="FJ2:HU2" si="3">COUNTIF(FJ19:FJ256,"Conductor")+COUNTIF(FJ19:FJ256,"Surface")+COUNTIF(FJ19:FJ256,"Intermediate")+COUNTIF(FJ19:FJ256,"Production")+COUNTIF(FJ19:FJ256,"Liner")+COUNTIF(FJ19:FJ256,"Plugs")+COUNTIF(FJ19:FJ256,"Surface x 2")*2+COUNTIF(FJ19:FJ256,"Prod/Surf")*2</f>
        <v>13</v>
      </c>
      <c r="FK2" s="31">
        <f t="shared" si="3"/>
        <v>15</v>
      </c>
      <c r="FL2" s="31">
        <f t="shared" si="3"/>
        <v>16</v>
      </c>
      <c r="FM2" s="31">
        <f t="shared" si="3"/>
        <v>13</v>
      </c>
      <c r="FN2" s="31">
        <f t="shared" si="3"/>
        <v>17</v>
      </c>
      <c r="FO2" s="31">
        <f t="shared" si="3"/>
        <v>14</v>
      </c>
      <c r="FP2" s="31">
        <f t="shared" si="3"/>
        <v>15</v>
      </c>
      <c r="FQ2" s="31">
        <f t="shared" si="3"/>
        <v>15</v>
      </c>
      <c r="FR2" s="31">
        <f t="shared" si="3"/>
        <v>16</v>
      </c>
      <c r="FS2" s="31">
        <f t="shared" si="3"/>
        <v>12</v>
      </c>
      <c r="FT2" s="31">
        <f t="shared" si="3"/>
        <v>12</v>
      </c>
      <c r="FU2" s="31">
        <f t="shared" si="3"/>
        <v>19</v>
      </c>
      <c r="FV2" s="31">
        <f t="shared" si="3"/>
        <v>12</v>
      </c>
      <c r="FW2" s="31">
        <f t="shared" si="3"/>
        <v>12</v>
      </c>
      <c r="FX2" s="31">
        <f t="shared" si="3"/>
        <v>16</v>
      </c>
      <c r="FY2" s="31">
        <f t="shared" si="3"/>
        <v>14</v>
      </c>
      <c r="FZ2" s="31">
        <f t="shared" si="3"/>
        <v>7</v>
      </c>
      <c r="GA2" s="31">
        <f t="shared" si="3"/>
        <v>11</v>
      </c>
      <c r="GB2" s="31">
        <f t="shared" si="3"/>
        <v>11</v>
      </c>
      <c r="GC2" s="31">
        <f t="shared" si="3"/>
        <v>12</v>
      </c>
      <c r="GD2" s="31">
        <f t="shared" si="3"/>
        <v>9</v>
      </c>
      <c r="GE2" s="31">
        <f t="shared" si="3"/>
        <v>17</v>
      </c>
      <c r="GF2" s="31">
        <f t="shared" si="3"/>
        <v>14</v>
      </c>
      <c r="GG2" s="31">
        <f t="shared" si="3"/>
        <v>16</v>
      </c>
      <c r="GH2" s="31">
        <f t="shared" si="3"/>
        <v>8</v>
      </c>
      <c r="GI2" s="31">
        <f t="shared" si="3"/>
        <v>9</v>
      </c>
      <c r="GJ2" s="31">
        <f t="shared" si="3"/>
        <v>17</v>
      </c>
      <c r="GK2" s="31">
        <f t="shared" si="3"/>
        <v>15</v>
      </c>
      <c r="GL2" s="31">
        <f t="shared" si="3"/>
        <v>14</v>
      </c>
      <c r="GM2" s="31">
        <f t="shared" si="3"/>
        <v>14</v>
      </c>
      <c r="GN2" s="31">
        <f t="shared" si="3"/>
        <v>11</v>
      </c>
      <c r="GO2" s="31">
        <f t="shared" si="3"/>
        <v>16</v>
      </c>
      <c r="GP2" s="31">
        <f t="shared" si="3"/>
        <v>14</v>
      </c>
      <c r="GQ2" s="31">
        <f t="shared" si="3"/>
        <v>16</v>
      </c>
      <c r="GR2" s="31">
        <f t="shared" si="3"/>
        <v>14</v>
      </c>
      <c r="GS2" s="31">
        <f t="shared" si="3"/>
        <v>17</v>
      </c>
      <c r="GT2" s="31">
        <f t="shared" si="3"/>
        <v>22</v>
      </c>
      <c r="GU2" s="31">
        <f t="shared" si="3"/>
        <v>15</v>
      </c>
      <c r="GV2" s="31">
        <f t="shared" si="3"/>
        <v>15</v>
      </c>
      <c r="GW2" s="31">
        <f t="shared" si="3"/>
        <v>17</v>
      </c>
      <c r="GX2" s="31">
        <f t="shared" si="3"/>
        <v>18</v>
      </c>
      <c r="GY2" s="31">
        <f t="shared" si="3"/>
        <v>22</v>
      </c>
      <c r="GZ2" s="31">
        <f t="shared" si="3"/>
        <v>13</v>
      </c>
      <c r="HA2" s="31">
        <f t="shared" si="3"/>
        <v>15</v>
      </c>
      <c r="HB2" s="31">
        <f t="shared" si="3"/>
        <v>19</v>
      </c>
      <c r="HC2" s="31">
        <f t="shared" si="3"/>
        <v>19</v>
      </c>
      <c r="HD2" s="31">
        <f t="shared" si="3"/>
        <v>12</v>
      </c>
      <c r="HE2" s="31">
        <f t="shared" si="3"/>
        <v>22</v>
      </c>
      <c r="HF2" s="31">
        <f t="shared" si="3"/>
        <v>21</v>
      </c>
      <c r="HG2" s="31">
        <f t="shared" si="3"/>
        <v>14</v>
      </c>
      <c r="HH2" s="31">
        <f t="shared" si="3"/>
        <v>19</v>
      </c>
      <c r="HI2" s="31">
        <f t="shared" si="3"/>
        <v>14</v>
      </c>
      <c r="HJ2" s="31">
        <f t="shared" si="3"/>
        <v>10</v>
      </c>
      <c r="HK2" s="31">
        <f t="shared" si="3"/>
        <v>21</v>
      </c>
      <c r="HL2" s="31">
        <f t="shared" si="3"/>
        <v>18</v>
      </c>
      <c r="HM2" s="31">
        <f t="shared" si="3"/>
        <v>19</v>
      </c>
      <c r="HN2" s="31">
        <f t="shared" si="3"/>
        <v>15</v>
      </c>
      <c r="HO2" s="31">
        <f t="shared" si="3"/>
        <v>16</v>
      </c>
      <c r="HP2" s="31">
        <f t="shared" si="3"/>
        <v>14</v>
      </c>
      <c r="HQ2" s="31">
        <f t="shared" si="3"/>
        <v>18</v>
      </c>
      <c r="HR2" s="31">
        <f t="shared" si="3"/>
        <v>19</v>
      </c>
      <c r="HS2" s="31">
        <f t="shared" si="3"/>
        <v>12</v>
      </c>
      <c r="HT2" s="31">
        <f t="shared" si="3"/>
        <v>18</v>
      </c>
      <c r="HU2" s="31">
        <f t="shared" si="3"/>
        <v>20</v>
      </c>
      <c r="HV2" s="31">
        <f t="shared" ref="HV2:KG2" si="4">COUNTIF(HV19:HV256,"Conductor")+COUNTIF(HV19:HV256,"Surface")+COUNTIF(HV19:HV256,"Intermediate")+COUNTIF(HV19:HV256,"Production")+COUNTIF(HV19:HV256,"Liner")+COUNTIF(HV19:HV256,"Plugs")+COUNTIF(HV19:HV256,"Surface x 2")*2+COUNTIF(HV19:HV256,"Prod/Surf")*2</f>
        <v>21</v>
      </c>
      <c r="HW2" s="31">
        <f t="shared" si="4"/>
        <v>16</v>
      </c>
      <c r="HX2" s="31">
        <f t="shared" si="4"/>
        <v>15</v>
      </c>
      <c r="HY2" s="31">
        <f t="shared" si="4"/>
        <v>25</v>
      </c>
      <c r="HZ2" s="31">
        <f t="shared" si="4"/>
        <v>12</v>
      </c>
      <c r="IA2" s="31">
        <f t="shared" si="4"/>
        <v>24</v>
      </c>
      <c r="IB2" s="31">
        <f t="shared" si="4"/>
        <v>16</v>
      </c>
      <c r="IC2" s="31">
        <f t="shared" si="4"/>
        <v>25</v>
      </c>
      <c r="ID2" s="31">
        <f t="shared" si="4"/>
        <v>17</v>
      </c>
      <c r="IE2" s="31">
        <f t="shared" si="4"/>
        <v>13</v>
      </c>
      <c r="IF2" s="31">
        <f t="shared" si="4"/>
        <v>18</v>
      </c>
      <c r="IG2" s="31">
        <f t="shared" si="4"/>
        <v>13</v>
      </c>
      <c r="IH2" s="31">
        <f t="shared" si="4"/>
        <v>13</v>
      </c>
      <c r="II2" s="31">
        <f t="shared" si="4"/>
        <v>19</v>
      </c>
      <c r="IJ2" s="31">
        <f t="shared" si="4"/>
        <v>19</v>
      </c>
      <c r="IK2" s="31">
        <f t="shared" si="4"/>
        <v>15</v>
      </c>
      <c r="IL2" s="31">
        <f t="shared" si="4"/>
        <v>19</v>
      </c>
      <c r="IM2" s="31">
        <f t="shared" si="4"/>
        <v>16</v>
      </c>
      <c r="IN2" s="31">
        <f t="shared" si="4"/>
        <v>21</v>
      </c>
      <c r="IO2" s="31">
        <f t="shared" si="4"/>
        <v>17</v>
      </c>
      <c r="IP2" s="31">
        <f t="shared" si="4"/>
        <v>19</v>
      </c>
      <c r="IQ2" s="31">
        <f t="shared" si="4"/>
        <v>25</v>
      </c>
      <c r="IR2" s="31">
        <f t="shared" si="4"/>
        <v>25</v>
      </c>
      <c r="IS2" s="31">
        <f t="shared" si="4"/>
        <v>24</v>
      </c>
      <c r="IT2" s="31">
        <f t="shared" si="4"/>
        <v>22</v>
      </c>
      <c r="IU2" s="31">
        <f t="shared" si="4"/>
        <v>26</v>
      </c>
      <c r="IV2" s="31">
        <f t="shared" si="4"/>
        <v>24</v>
      </c>
      <c r="IW2" s="31">
        <f t="shared" si="4"/>
        <v>25</v>
      </c>
      <c r="IX2" s="31">
        <f t="shared" si="4"/>
        <v>22</v>
      </c>
      <c r="IY2" s="31">
        <f t="shared" si="4"/>
        <v>21</v>
      </c>
      <c r="IZ2" s="31">
        <f t="shared" si="4"/>
        <v>20</v>
      </c>
      <c r="JA2" s="31">
        <f t="shared" si="4"/>
        <v>21</v>
      </c>
      <c r="JB2" s="31">
        <f t="shared" si="4"/>
        <v>23</v>
      </c>
      <c r="JC2" s="31">
        <f t="shared" si="4"/>
        <v>25</v>
      </c>
      <c r="JD2" s="31">
        <f t="shared" si="4"/>
        <v>21</v>
      </c>
      <c r="JE2" s="31">
        <f t="shared" si="4"/>
        <v>30</v>
      </c>
      <c r="JF2" s="31">
        <f t="shared" si="4"/>
        <v>21</v>
      </c>
      <c r="JG2" s="31">
        <f t="shared" si="4"/>
        <v>15</v>
      </c>
      <c r="JH2" s="31">
        <f t="shared" si="4"/>
        <v>23</v>
      </c>
      <c r="JI2" s="31">
        <f t="shared" si="4"/>
        <v>24</v>
      </c>
      <c r="JJ2" s="31">
        <f t="shared" si="4"/>
        <v>17</v>
      </c>
      <c r="JK2" s="31">
        <f t="shared" si="4"/>
        <v>24</v>
      </c>
      <c r="JL2" s="31">
        <f t="shared" si="4"/>
        <v>22</v>
      </c>
      <c r="JM2" s="31">
        <f t="shared" si="4"/>
        <v>22</v>
      </c>
      <c r="JN2" s="31">
        <f t="shared" si="4"/>
        <v>21</v>
      </c>
      <c r="JO2" s="31">
        <f t="shared" si="4"/>
        <v>22</v>
      </c>
      <c r="JP2" s="31">
        <f t="shared" si="4"/>
        <v>22</v>
      </c>
      <c r="JQ2" s="31">
        <f t="shared" si="4"/>
        <v>20</v>
      </c>
      <c r="JR2" s="31">
        <f t="shared" si="4"/>
        <v>21</v>
      </c>
      <c r="JS2" s="31">
        <f t="shared" si="4"/>
        <v>18</v>
      </c>
      <c r="JT2" s="31">
        <f t="shared" si="4"/>
        <v>19</v>
      </c>
      <c r="JU2" s="31">
        <f t="shared" si="4"/>
        <v>25</v>
      </c>
      <c r="JV2" s="31">
        <f t="shared" si="4"/>
        <v>10</v>
      </c>
      <c r="JW2" s="31">
        <f t="shared" si="4"/>
        <v>18</v>
      </c>
      <c r="JX2" s="31">
        <f t="shared" si="4"/>
        <v>19</v>
      </c>
      <c r="JY2" s="31">
        <f t="shared" si="4"/>
        <v>21</v>
      </c>
      <c r="JZ2" s="31">
        <f t="shared" si="4"/>
        <v>18</v>
      </c>
      <c r="KA2" s="31">
        <f t="shared" si="4"/>
        <v>19</v>
      </c>
      <c r="KB2" s="31">
        <f t="shared" si="4"/>
        <v>18</v>
      </c>
      <c r="KC2" s="31">
        <f t="shared" si="4"/>
        <v>21</v>
      </c>
      <c r="KD2" s="31">
        <f t="shared" si="4"/>
        <v>13</v>
      </c>
      <c r="KE2" s="31">
        <f t="shared" si="4"/>
        <v>17</v>
      </c>
      <c r="KF2" s="31">
        <f t="shared" si="4"/>
        <v>19</v>
      </c>
      <c r="KG2" s="31">
        <f t="shared" si="4"/>
        <v>17</v>
      </c>
      <c r="KH2" s="31">
        <f t="shared" ref="KH2:MB2" si="5">COUNTIF(KH19:KH256,"Conductor")+COUNTIF(KH19:KH256,"Surface")+COUNTIF(KH19:KH256,"Intermediate")+COUNTIF(KH19:KH256,"Production")+COUNTIF(KH19:KH256,"Liner")+COUNTIF(KH19:KH256,"Plugs")+COUNTIF(KH19:KH256,"Surface x 2")*2+COUNTIF(KH19:KH256,"Prod/Surf")*2</f>
        <v>15</v>
      </c>
      <c r="KI2" s="31">
        <f t="shared" si="5"/>
        <v>20</v>
      </c>
      <c r="KJ2" s="31">
        <f t="shared" si="5"/>
        <v>21</v>
      </c>
      <c r="KK2" s="31">
        <f t="shared" si="5"/>
        <v>21</v>
      </c>
      <c r="KL2" s="31">
        <f t="shared" si="5"/>
        <v>20</v>
      </c>
      <c r="KM2" s="31">
        <f t="shared" si="5"/>
        <v>17</v>
      </c>
      <c r="KN2" s="31">
        <f t="shared" si="5"/>
        <v>18</v>
      </c>
      <c r="KO2" s="31">
        <f t="shared" si="5"/>
        <v>22</v>
      </c>
      <c r="KP2" s="31">
        <f t="shared" si="5"/>
        <v>12</v>
      </c>
      <c r="KQ2" s="31">
        <f t="shared" si="5"/>
        <v>16</v>
      </c>
      <c r="KR2" s="31">
        <f t="shared" si="5"/>
        <v>23</v>
      </c>
      <c r="KS2" s="31">
        <f t="shared" si="5"/>
        <v>16</v>
      </c>
      <c r="KT2" s="31">
        <f t="shared" si="5"/>
        <v>11</v>
      </c>
      <c r="KU2" s="31">
        <f t="shared" si="5"/>
        <v>19</v>
      </c>
      <c r="KV2" s="31">
        <f t="shared" si="5"/>
        <v>16</v>
      </c>
      <c r="KW2" s="31">
        <f t="shared" si="5"/>
        <v>25</v>
      </c>
      <c r="KX2" s="31">
        <f t="shared" si="5"/>
        <v>16</v>
      </c>
      <c r="KY2" s="31">
        <f t="shared" si="5"/>
        <v>16</v>
      </c>
      <c r="KZ2" s="31">
        <f t="shared" si="5"/>
        <v>15</v>
      </c>
      <c r="LA2" s="31">
        <f t="shared" si="5"/>
        <v>15</v>
      </c>
      <c r="LB2" s="31">
        <f t="shared" si="5"/>
        <v>13</v>
      </c>
      <c r="LC2" s="31">
        <f t="shared" si="5"/>
        <v>11</v>
      </c>
      <c r="LD2" s="31">
        <f t="shared" si="5"/>
        <v>17</v>
      </c>
      <c r="LE2" s="31">
        <f t="shared" si="5"/>
        <v>12</v>
      </c>
      <c r="LF2" s="31">
        <f t="shared" si="5"/>
        <v>13</v>
      </c>
      <c r="LG2" s="31">
        <f t="shared" si="5"/>
        <v>18</v>
      </c>
      <c r="LH2" s="31">
        <f t="shared" si="5"/>
        <v>15</v>
      </c>
      <c r="LI2" s="31">
        <f t="shared" si="5"/>
        <v>19</v>
      </c>
      <c r="LJ2" s="31">
        <f t="shared" si="5"/>
        <v>10</v>
      </c>
      <c r="LK2" s="31">
        <f t="shared" si="5"/>
        <v>13</v>
      </c>
      <c r="LL2" s="31">
        <f t="shared" si="5"/>
        <v>12</v>
      </c>
      <c r="LM2" s="31">
        <f t="shared" si="5"/>
        <v>12</v>
      </c>
      <c r="LN2" s="31">
        <f t="shared" si="5"/>
        <v>12</v>
      </c>
      <c r="LO2" s="31">
        <f t="shared" si="5"/>
        <v>12</v>
      </c>
      <c r="LP2" s="31">
        <f t="shared" si="5"/>
        <v>21</v>
      </c>
      <c r="LQ2" s="31">
        <f t="shared" si="5"/>
        <v>15</v>
      </c>
      <c r="LR2" s="31">
        <f t="shared" si="5"/>
        <v>10</v>
      </c>
      <c r="LS2" s="31">
        <f t="shared" si="5"/>
        <v>13</v>
      </c>
      <c r="LT2" s="31">
        <f t="shared" si="5"/>
        <v>10</v>
      </c>
      <c r="LU2" s="31">
        <f t="shared" si="5"/>
        <v>12</v>
      </c>
      <c r="LV2" s="31">
        <f t="shared" si="5"/>
        <v>13</v>
      </c>
      <c r="LW2" s="31">
        <f t="shared" si="5"/>
        <v>15</v>
      </c>
      <c r="LX2" s="31">
        <f t="shared" si="5"/>
        <v>18</v>
      </c>
      <c r="LY2" s="31">
        <f t="shared" si="5"/>
        <v>14</v>
      </c>
      <c r="LZ2" s="31">
        <f t="shared" si="5"/>
        <v>9</v>
      </c>
      <c r="MA2" s="31">
        <f t="shared" si="5"/>
        <v>15</v>
      </c>
      <c r="MB2" s="31">
        <f t="shared" si="5"/>
        <v>13</v>
      </c>
    </row>
    <row r="3" spans="1:340" s="32" customFormat="1" ht="15.75" thickBot="1">
      <c r="A3" s="190" t="s">
        <v>5</v>
      </c>
      <c r="B3" s="190"/>
      <c r="C3" s="190"/>
      <c r="D3" s="190"/>
      <c r="E3" s="190"/>
      <c r="F3" s="190"/>
      <c r="G3" s="31">
        <f t="shared" ref="G3:BR3" si="6">COUNTIF(G133:G139,"*")</f>
        <v>0</v>
      </c>
      <c r="H3" s="31">
        <f t="shared" si="6"/>
        <v>0</v>
      </c>
      <c r="I3" s="31">
        <f t="shared" si="6"/>
        <v>0</v>
      </c>
      <c r="J3" s="31">
        <f t="shared" si="6"/>
        <v>0</v>
      </c>
      <c r="K3" s="31">
        <f t="shared" si="6"/>
        <v>0</v>
      </c>
      <c r="L3" s="31">
        <f t="shared" si="6"/>
        <v>0</v>
      </c>
      <c r="M3" s="31">
        <f t="shared" si="6"/>
        <v>0</v>
      </c>
      <c r="N3" s="31">
        <f t="shared" si="6"/>
        <v>1</v>
      </c>
      <c r="O3" s="31">
        <f t="shared" si="6"/>
        <v>0</v>
      </c>
      <c r="P3" s="31">
        <f t="shared" si="6"/>
        <v>1</v>
      </c>
      <c r="Q3" s="31">
        <f>COUNTIF(Q133:Q139,"*")</f>
        <v>0</v>
      </c>
      <c r="R3" s="31">
        <f t="shared" si="6"/>
        <v>1</v>
      </c>
      <c r="S3" s="31">
        <f t="shared" si="6"/>
        <v>1</v>
      </c>
      <c r="T3" s="31">
        <f t="shared" si="6"/>
        <v>2</v>
      </c>
      <c r="U3" s="31">
        <f t="shared" si="6"/>
        <v>1</v>
      </c>
      <c r="V3" s="31">
        <f t="shared" si="6"/>
        <v>1</v>
      </c>
      <c r="W3" s="31">
        <f t="shared" si="6"/>
        <v>2</v>
      </c>
      <c r="X3" s="31">
        <f t="shared" si="6"/>
        <v>0</v>
      </c>
      <c r="Y3" s="31">
        <f t="shared" si="6"/>
        <v>2</v>
      </c>
      <c r="Z3" s="31">
        <f t="shared" si="6"/>
        <v>1</v>
      </c>
      <c r="AA3" s="31">
        <f t="shared" si="6"/>
        <v>2</v>
      </c>
      <c r="AB3" s="31">
        <f t="shared" si="6"/>
        <v>0</v>
      </c>
      <c r="AC3" s="31">
        <f t="shared" si="6"/>
        <v>0</v>
      </c>
      <c r="AD3" s="31">
        <f t="shared" si="6"/>
        <v>0</v>
      </c>
      <c r="AE3" s="31">
        <f t="shared" si="6"/>
        <v>0</v>
      </c>
      <c r="AF3" s="31">
        <f t="shared" si="6"/>
        <v>1</v>
      </c>
      <c r="AG3" s="31">
        <f t="shared" si="6"/>
        <v>0</v>
      </c>
      <c r="AH3" s="31">
        <f t="shared" si="6"/>
        <v>0</v>
      </c>
      <c r="AI3" s="31">
        <f t="shared" si="6"/>
        <v>1</v>
      </c>
      <c r="AJ3" s="31">
        <f t="shared" si="6"/>
        <v>1</v>
      </c>
      <c r="AK3" s="31">
        <f t="shared" si="6"/>
        <v>0</v>
      </c>
      <c r="AL3" s="31">
        <f t="shared" si="6"/>
        <v>0</v>
      </c>
      <c r="AM3" s="31">
        <f t="shared" si="6"/>
        <v>0</v>
      </c>
      <c r="AN3" s="31">
        <f t="shared" si="6"/>
        <v>0</v>
      </c>
      <c r="AO3" s="31">
        <f t="shared" si="6"/>
        <v>0</v>
      </c>
      <c r="AP3" s="31">
        <f t="shared" si="6"/>
        <v>1</v>
      </c>
      <c r="AQ3" s="31">
        <f t="shared" si="6"/>
        <v>1</v>
      </c>
      <c r="AR3" s="31">
        <f t="shared" si="6"/>
        <v>1</v>
      </c>
      <c r="AS3" s="31">
        <f t="shared" si="6"/>
        <v>0</v>
      </c>
      <c r="AT3" s="31">
        <f t="shared" si="6"/>
        <v>0</v>
      </c>
      <c r="AU3" s="31">
        <f t="shared" si="6"/>
        <v>1</v>
      </c>
      <c r="AV3" s="31">
        <f t="shared" si="6"/>
        <v>0</v>
      </c>
      <c r="AW3" s="31">
        <f>COUNTIF(AW133:AW139,"*")</f>
        <v>0</v>
      </c>
      <c r="AX3" s="31">
        <f t="shared" si="6"/>
        <v>0</v>
      </c>
      <c r="AY3" s="31">
        <f t="shared" si="6"/>
        <v>0</v>
      </c>
      <c r="AZ3" s="31">
        <f t="shared" si="6"/>
        <v>0</v>
      </c>
      <c r="BA3" s="31">
        <f t="shared" si="6"/>
        <v>1</v>
      </c>
      <c r="BB3" s="31">
        <f t="shared" si="6"/>
        <v>0</v>
      </c>
      <c r="BC3" s="31">
        <f t="shared" si="6"/>
        <v>0</v>
      </c>
      <c r="BD3" s="31">
        <f t="shared" si="6"/>
        <v>2</v>
      </c>
      <c r="BE3" s="31">
        <f t="shared" si="6"/>
        <v>0</v>
      </c>
      <c r="BF3" s="31">
        <f t="shared" si="6"/>
        <v>1</v>
      </c>
      <c r="BG3" s="31">
        <f t="shared" si="6"/>
        <v>1</v>
      </c>
      <c r="BH3" s="31">
        <f t="shared" si="6"/>
        <v>0</v>
      </c>
      <c r="BI3" s="31">
        <f t="shared" si="6"/>
        <v>0</v>
      </c>
      <c r="BJ3" s="31">
        <f>COUNTIF(BJ133:BJ139,"*")</f>
        <v>0</v>
      </c>
      <c r="BK3" s="31">
        <f>COUNTIF(BK133:BK139,"*")</f>
        <v>1</v>
      </c>
      <c r="BL3" s="31">
        <f>COUNTIF(BL133:BL139,"*")</f>
        <v>2</v>
      </c>
      <c r="BM3" s="31">
        <f>COUNTIF(BM133:BM139,"*")</f>
        <v>3</v>
      </c>
      <c r="BN3" s="31">
        <f t="shared" si="6"/>
        <v>1</v>
      </c>
      <c r="BO3" s="31">
        <f t="shared" si="6"/>
        <v>2</v>
      </c>
      <c r="BP3" s="31">
        <f t="shared" si="6"/>
        <v>1</v>
      </c>
      <c r="BQ3" s="31">
        <f t="shared" si="6"/>
        <v>1</v>
      </c>
      <c r="BR3" s="31">
        <f t="shared" si="6"/>
        <v>1</v>
      </c>
      <c r="BS3" s="31">
        <f t="shared" ref="BS3:CR3" si="7">COUNTIF(BS133:BS139,"*")</f>
        <v>1</v>
      </c>
      <c r="BT3" s="31">
        <f t="shared" si="7"/>
        <v>1</v>
      </c>
      <c r="BU3" s="31">
        <f t="shared" si="7"/>
        <v>1</v>
      </c>
      <c r="BV3" s="31">
        <f t="shared" si="7"/>
        <v>4</v>
      </c>
      <c r="BW3" s="31">
        <f t="shared" si="7"/>
        <v>5</v>
      </c>
      <c r="BX3" s="31">
        <f t="shared" si="7"/>
        <v>3</v>
      </c>
      <c r="BY3" s="31">
        <f t="shared" si="7"/>
        <v>3</v>
      </c>
      <c r="BZ3" s="31">
        <f t="shared" si="7"/>
        <v>1</v>
      </c>
      <c r="CA3" s="31">
        <f t="shared" si="7"/>
        <v>2</v>
      </c>
      <c r="CB3" s="31">
        <f t="shared" si="7"/>
        <v>3</v>
      </c>
      <c r="CC3" s="31">
        <f t="shared" si="7"/>
        <v>1</v>
      </c>
      <c r="CD3" s="31">
        <f t="shared" si="7"/>
        <v>2</v>
      </c>
      <c r="CE3" s="31">
        <f t="shared" si="7"/>
        <v>2</v>
      </c>
      <c r="CF3" s="31">
        <f t="shared" si="7"/>
        <v>3</v>
      </c>
      <c r="CG3" s="31">
        <f t="shared" si="7"/>
        <v>2</v>
      </c>
      <c r="CH3" s="31">
        <f t="shared" si="7"/>
        <v>1</v>
      </c>
      <c r="CI3" s="31">
        <f t="shared" si="7"/>
        <v>1</v>
      </c>
      <c r="CJ3" s="31">
        <f t="shared" si="7"/>
        <v>1</v>
      </c>
      <c r="CK3" s="31">
        <f t="shared" si="7"/>
        <v>0</v>
      </c>
      <c r="CL3" s="31">
        <f t="shared" si="7"/>
        <v>0</v>
      </c>
      <c r="CM3" s="31">
        <f t="shared" si="7"/>
        <v>1</v>
      </c>
      <c r="CN3" s="31">
        <f t="shared" si="7"/>
        <v>1</v>
      </c>
      <c r="CO3" s="31">
        <f>COUNTIF(CO133:CO139,"*")</f>
        <v>0</v>
      </c>
      <c r="CP3" s="31">
        <f t="shared" si="7"/>
        <v>1</v>
      </c>
      <c r="CQ3" s="31">
        <f t="shared" si="7"/>
        <v>1</v>
      </c>
      <c r="CR3" s="31">
        <f t="shared" si="7"/>
        <v>1</v>
      </c>
      <c r="CS3" s="31">
        <f t="shared" ref="CS3:CT3" si="8">COUNTIF(CS133:CS139,"*")</f>
        <v>0</v>
      </c>
      <c r="CT3" s="31">
        <f t="shared" si="8"/>
        <v>0</v>
      </c>
      <c r="CU3" s="31">
        <f t="shared" ref="CU3:CV3" si="9">COUNTIF(CU133:CU139,"*")</f>
        <v>0</v>
      </c>
      <c r="CV3" s="31">
        <f t="shared" si="9"/>
        <v>0</v>
      </c>
      <c r="CW3" s="31">
        <f t="shared" ref="CW3:DV3" si="10">COUNTIF(CW133:CW139,"*")</f>
        <v>0</v>
      </c>
      <c r="CX3" s="31">
        <f t="shared" si="10"/>
        <v>1</v>
      </c>
      <c r="CY3" s="31">
        <f t="shared" si="10"/>
        <v>1</v>
      </c>
      <c r="CZ3" s="31">
        <f t="shared" si="10"/>
        <v>1</v>
      </c>
      <c r="DA3" s="31">
        <f t="shared" si="10"/>
        <v>1</v>
      </c>
      <c r="DB3" s="31">
        <f t="shared" si="10"/>
        <v>0</v>
      </c>
      <c r="DC3" s="31">
        <f t="shared" si="10"/>
        <v>0</v>
      </c>
      <c r="DD3" s="31">
        <f t="shared" si="10"/>
        <v>0</v>
      </c>
      <c r="DE3" s="31">
        <f t="shared" si="10"/>
        <v>0</v>
      </c>
      <c r="DF3" s="31">
        <f t="shared" si="10"/>
        <v>0</v>
      </c>
      <c r="DG3" s="31">
        <f t="shared" si="10"/>
        <v>0</v>
      </c>
      <c r="DH3" s="31">
        <f t="shared" si="10"/>
        <v>0</v>
      </c>
      <c r="DI3" s="31">
        <f t="shared" si="10"/>
        <v>0</v>
      </c>
      <c r="DJ3" s="31">
        <f t="shared" si="10"/>
        <v>0</v>
      </c>
      <c r="DK3" s="31">
        <f t="shared" si="10"/>
        <v>0</v>
      </c>
      <c r="DL3" s="31">
        <f t="shared" si="10"/>
        <v>0</v>
      </c>
      <c r="DM3" s="31">
        <f t="shared" si="10"/>
        <v>0</v>
      </c>
      <c r="DN3" s="31">
        <f t="shared" si="10"/>
        <v>0</v>
      </c>
      <c r="DO3" s="31">
        <f t="shared" si="10"/>
        <v>1</v>
      </c>
      <c r="DP3" s="31">
        <f t="shared" si="10"/>
        <v>0</v>
      </c>
      <c r="DQ3" s="31">
        <f t="shared" si="10"/>
        <v>0</v>
      </c>
      <c r="DR3" s="31">
        <f t="shared" si="10"/>
        <v>0</v>
      </c>
      <c r="DS3" s="31">
        <f t="shared" si="10"/>
        <v>0</v>
      </c>
      <c r="DT3" s="31">
        <f t="shared" si="10"/>
        <v>0</v>
      </c>
      <c r="DU3" s="31">
        <f t="shared" si="10"/>
        <v>0</v>
      </c>
      <c r="DV3" s="31">
        <f t="shared" si="10"/>
        <v>0</v>
      </c>
      <c r="DW3" s="31">
        <f t="shared" ref="DW3:FA3" si="11">COUNTIF(DW133:DW139,"*")</f>
        <v>1</v>
      </c>
      <c r="DX3" s="31">
        <f t="shared" si="11"/>
        <v>0</v>
      </c>
      <c r="DY3" s="31">
        <f t="shared" si="11"/>
        <v>0</v>
      </c>
      <c r="DZ3" s="31">
        <f t="shared" si="11"/>
        <v>1</v>
      </c>
      <c r="EA3" s="31">
        <f t="shared" si="11"/>
        <v>0</v>
      </c>
      <c r="EB3" s="31">
        <f t="shared" si="11"/>
        <v>1</v>
      </c>
      <c r="EC3" s="31">
        <f t="shared" si="11"/>
        <v>0</v>
      </c>
      <c r="ED3" s="31">
        <f t="shared" si="11"/>
        <v>0</v>
      </c>
      <c r="EE3" s="31">
        <f t="shared" si="11"/>
        <v>0</v>
      </c>
      <c r="EF3" s="31">
        <f t="shared" si="11"/>
        <v>0</v>
      </c>
      <c r="EG3" s="31">
        <f t="shared" si="11"/>
        <v>0</v>
      </c>
      <c r="EH3" s="31">
        <f t="shared" si="11"/>
        <v>0</v>
      </c>
      <c r="EI3" s="31">
        <f t="shared" si="11"/>
        <v>0</v>
      </c>
      <c r="EJ3" s="31">
        <f t="shared" si="11"/>
        <v>0</v>
      </c>
      <c r="EK3" s="31">
        <f t="shared" si="11"/>
        <v>0</v>
      </c>
      <c r="EL3" s="31">
        <f t="shared" si="11"/>
        <v>0</v>
      </c>
      <c r="EM3" s="31">
        <f t="shared" si="11"/>
        <v>0</v>
      </c>
      <c r="EN3" s="31">
        <f t="shared" si="11"/>
        <v>0</v>
      </c>
      <c r="EO3" s="31">
        <f t="shared" si="11"/>
        <v>0</v>
      </c>
      <c r="EP3" s="31">
        <f t="shared" si="11"/>
        <v>0</v>
      </c>
      <c r="EQ3" s="31">
        <f t="shared" si="11"/>
        <v>0</v>
      </c>
      <c r="ER3" s="31">
        <f t="shared" si="11"/>
        <v>0</v>
      </c>
      <c r="ES3" s="31">
        <f t="shared" si="11"/>
        <v>0</v>
      </c>
      <c r="ET3" s="31">
        <f t="shared" si="11"/>
        <v>0</v>
      </c>
      <c r="EU3" s="31">
        <f t="shared" si="11"/>
        <v>1</v>
      </c>
      <c r="EV3" s="31">
        <f t="shared" si="11"/>
        <v>0</v>
      </c>
      <c r="EW3" s="31">
        <f t="shared" si="11"/>
        <v>1</v>
      </c>
      <c r="EX3" s="31">
        <f t="shared" si="11"/>
        <v>1</v>
      </c>
      <c r="EY3" s="31">
        <f t="shared" si="11"/>
        <v>0</v>
      </c>
      <c r="EZ3" s="31">
        <f t="shared" si="11"/>
        <v>0</v>
      </c>
      <c r="FA3" s="31">
        <f t="shared" si="11"/>
        <v>0</v>
      </c>
      <c r="FB3" s="31">
        <f t="shared" ref="FB3:GE3" si="12">COUNTIF(FB133:FB139,"*")</f>
        <v>2</v>
      </c>
      <c r="FC3" s="31">
        <f t="shared" si="12"/>
        <v>2</v>
      </c>
      <c r="FD3" s="31">
        <f t="shared" si="12"/>
        <v>1</v>
      </c>
      <c r="FE3" s="31">
        <f t="shared" si="12"/>
        <v>2</v>
      </c>
      <c r="FF3" s="31">
        <f t="shared" si="12"/>
        <v>1</v>
      </c>
      <c r="FG3" s="31">
        <f t="shared" si="12"/>
        <v>1</v>
      </c>
      <c r="FH3" s="31">
        <f t="shared" si="12"/>
        <v>1</v>
      </c>
      <c r="FI3" s="31">
        <f t="shared" si="12"/>
        <v>1</v>
      </c>
      <c r="FJ3" s="31">
        <f t="shared" si="12"/>
        <v>1</v>
      </c>
      <c r="FK3" s="31">
        <f t="shared" si="12"/>
        <v>1</v>
      </c>
      <c r="FL3" s="31">
        <f t="shared" si="12"/>
        <v>1</v>
      </c>
      <c r="FM3" s="31">
        <f t="shared" si="12"/>
        <v>3</v>
      </c>
      <c r="FN3" s="31">
        <f t="shared" si="12"/>
        <v>3</v>
      </c>
      <c r="FO3" s="31">
        <f t="shared" si="12"/>
        <v>3</v>
      </c>
      <c r="FP3" s="31">
        <f t="shared" si="12"/>
        <v>1</v>
      </c>
      <c r="FQ3" s="31">
        <f t="shared" si="12"/>
        <v>1</v>
      </c>
      <c r="FR3" s="31">
        <f t="shared" si="12"/>
        <v>1</v>
      </c>
      <c r="FS3" s="31">
        <f t="shared" si="12"/>
        <v>1</v>
      </c>
      <c r="FT3" s="31">
        <f t="shared" si="12"/>
        <v>1</v>
      </c>
      <c r="FU3" s="31">
        <f t="shared" si="12"/>
        <v>1</v>
      </c>
      <c r="FV3" s="31">
        <f t="shared" si="12"/>
        <v>1</v>
      </c>
      <c r="FW3" s="31">
        <f t="shared" si="12"/>
        <v>2</v>
      </c>
      <c r="FX3" s="31">
        <f t="shared" si="12"/>
        <v>3</v>
      </c>
      <c r="FY3" s="31">
        <f t="shared" si="12"/>
        <v>3</v>
      </c>
      <c r="FZ3" s="31">
        <f t="shared" si="12"/>
        <v>3</v>
      </c>
      <c r="GA3" s="31">
        <f t="shared" si="12"/>
        <v>1</v>
      </c>
      <c r="GB3" s="31">
        <f t="shared" si="12"/>
        <v>1</v>
      </c>
      <c r="GC3" s="31">
        <f t="shared" si="12"/>
        <v>1</v>
      </c>
      <c r="GD3" s="31">
        <f t="shared" si="12"/>
        <v>1</v>
      </c>
      <c r="GE3" s="31">
        <f t="shared" si="12"/>
        <v>3</v>
      </c>
      <c r="GF3" s="31">
        <f t="shared" ref="GF3:HK3" si="13">COUNTIF(GF133:GF139,"*")</f>
        <v>2</v>
      </c>
      <c r="GG3" s="31">
        <f t="shared" si="13"/>
        <v>0</v>
      </c>
      <c r="GH3" s="31">
        <f t="shared" si="13"/>
        <v>0</v>
      </c>
      <c r="GI3" s="31">
        <f t="shared" si="13"/>
        <v>0</v>
      </c>
      <c r="GJ3" s="31">
        <f t="shared" si="13"/>
        <v>2</v>
      </c>
      <c r="GK3" s="31">
        <f t="shared" si="13"/>
        <v>0</v>
      </c>
      <c r="GL3" s="31">
        <f t="shared" si="13"/>
        <v>1</v>
      </c>
      <c r="GM3" s="31">
        <f t="shared" si="13"/>
        <v>1</v>
      </c>
      <c r="GN3" s="31">
        <f t="shared" si="13"/>
        <v>0</v>
      </c>
      <c r="GO3" s="31">
        <f t="shared" si="13"/>
        <v>0</v>
      </c>
      <c r="GP3" s="31">
        <f t="shared" si="13"/>
        <v>2</v>
      </c>
      <c r="GQ3" s="31">
        <f t="shared" si="13"/>
        <v>0</v>
      </c>
      <c r="GR3" s="31">
        <f t="shared" si="13"/>
        <v>0</v>
      </c>
      <c r="GS3" s="31">
        <f t="shared" si="13"/>
        <v>1</v>
      </c>
      <c r="GT3" s="31">
        <f t="shared" si="13"/>
        <v>1</v>
      </c>
      <c r="GU3" s="31">
        <f t="shared" si="13"/>
        <v>2</v>
      </c>
      <c r="GV3" s="31">
        <f t="shared" si="13"/>
        <v>2</v>
      </c>
      <c r="GW3" s="31">
        <f t="shared" si="13"/>
        <v>0</v>
      </c>
      <c r="GX3" s="31">
        <f t="shared" si="13"/>
        <v>2</v>
      </c>
      <c r="GY3" s="31">
        <f t="shared" si="13"/>
        <v>1</v>
      </c>
      <c r="GZ3" s="31">
        <f t="shared" si="13"/>
        <v>1</v>
      </c>
      <c r="HA3" s="31">
        <f t="shared" si="13"/>
        <v>0</v>
      </c>
      <c r="HB3" s="31">
        <f t="shared" si="13"/>
        <v>0</v>
      </c>
      <c r="HC3" s="31">
        <f t="shared" si="13"/>
        <v>1</v>
      </c>
      <c r="HD3" s="31">
        <f t="shared" si="13"/>
        <v>1</v>
      </c>
      <c r="HE3" s="31">
        <f t="shared" si="13"/>
        <v>1</v>
      </c>
      <c r="HF3" s="31">
        <f t="shared" si="13"/>
        <v>1</v>
      </c>
      <c r="HG3" s="31">
        <f>COUNTIF(HG133:HG139,"*")</f>
        <v>1</v>
      </c>
      <c r="HH3" s="31">
        <f t="shared" si="13"/>
        <v>0</v>
      </c>
      <c r="HI3" s="31">
        <f t="shared" si="13"/>
        <v>0</v>
      </c>
      <c r="HJ3" s="31">
        <f t="shared" si="13"/>
        <v>1</v>
      </c>
      <c r="HK3" s="31">
        <f t="shared" si="13"/>
        <v>1</v>
      </c>
      <c r="HL3" s="31">
        <f t="shared" ref="HL3:IO3" si="14">COUNTIF(HL133:HL139,"*")</f>
        <v>0</v>
      </c>
      <c r="HM3" s="31">
        <f t="shared" si="14"/>
        <v>0</v>
      </c>
      <c r="HN3" s="31">
        <f t="shared" si="14"/>
        <v>0</v>
      </c>
      <c r="HO3" s="31">
        <f>COUNTIF(HO133:HO139,"*")</f>
        <v>0</v>
      </c>
      <c r="HP3" s="31">
        <f>COUNTIF(HP133:HP139,"*")</f>
        <v>0</v>
      </c>
      <c r="HQ3" s="31">
        <f>COUNTIF(HQ133:HQ139,"*")</f>
        <v>0</v>
      </c>
      <c r="HR3" s="31">
        <f>COUNTIF(HR133:HR139,"*")</f>
        <v>0</v>
      </c>
      <c r="HS3" s="31">
        <f t="shared" si="14"/>
        <v>1</v>
      </c>
      <c r="HT3" s="31">
        <f t="shared" si="14"/>
        <v>0</v>
      </c>
      <c r="HU3" s="31">
        <f t="shared" si="14"/>
        <v>0</v>
      </c>
      <c r="HV3" s="31">
        <f t="shared" si="14"/>
        <v>0</v>
      </c>
      <c r="HW3" s="31">
        <f t="shared" si="14"/>
        <v>0</v>
      </c>
      <c r="HX3" s="31">
        <f t="shared" si="14"/>
        <v>0</v>
      </c>
      <c r="HY3" s="31">
        <f t="shared" si="14"/>
        <v>0</v>
      </c>
      <c r="HZ3" s="31">
        <f t="shared" si="14"/>
        <v>0</v>
      </c>
      <c r="IA3" s="31">
        <f t="shared" si="14"/>
        <v>0</v>
      </c>
      <c r="IB3" s="31">
        <f t="shared" si="14"/>
        <v>1</v>
      </c>
      <c r="IC3" s="31">
        <f t="shared" si="14"/>
        <v>0</v>
      </c>
      <c r="ID3" s="31">
        <f t="shared" si="14"/>
        <v>0</v>
      </c>
      <c r="IE3" s="31">
        <f t="shared" si="14"/>
        <v>0</v>
      </c>
      <c r="IF3" s="31">
        <f t="shared" si="14"/>
        <v>0</v>
      </c>
      <c r="IG3" s="31">
        <f t="shared" si="14"/>
        <v>1</v>
      </c>
      <c r="IH3" s="31">
        <f t="shared" si="14"/>
        <v>0</v>
      </c>
      <c r="II3" s="31">
        <f t="shared" si="14"/>
        <v>1</v>
      </c>
      <c r="IJ3" s="31">
        <f t="shared" si="14"/>
        <v>0</v>
      </c>
      <c r="IK3" s="31">
        <f t="shared" si="14"/>
        <v>1</v>
      </c>
      <c r="IL3" s="31">
        <f t="shared" si="14"/>
        <v>0</v>
      </c>
      <c r="IM3" s="31">
        <f t="shared" si="14"/>
        <v>1</v>
      </c>
      <c r="IN3" s="31">
        <f t="shared" si="14"/>
        <v>0</v>
      </c>
      <c r="IO3" s="31">
        <f t="shared" si="14"/>
        <v>0</v>
      </c>
      <c r="IP3" s="31">
        <f t="shared" ref="IP3:JS3" si="15">COUNTIF(IP133:IP139,"*")</f>
        <v>1</v>
      </c>
      <c r="IQ3" s="31">
        <f t="shared" si="15"/>
        <v>0</v>
      </c>
      <c r="IR3" s="31">
        <f t="shared" si="15"/>
        <v>0</v>
      </c>
      <c r="IS3" s="31">
        <f t="shared" si="15"/>
        <v>0</v>
      </c>
      <c r="IT3" s="31">
        <f t="shared" si="15"/>
        <v>0</v>
      </c>
      <c r="IU3" s="31">
        <f t="shared" ref="IU3:JA3" si="16">COUNTIF(IU133:IU139,"*")</f>
        <v>1</v>
      </c>
      <c r="IV3" s="31">
        <f t="shared" si="16"/>
        <v>1</v>
      </c>
      <c r="IW3" s="31">
        <f t="shared" si="16"/>
        <v>1</v>
      </c>
      <c r="IX3" s="31">
        <f t="shared" si="16"/>
        <v>1</v>
      </c>
      <c r="IY3" s="31">
        <f t="shared" si="16"/>
        <v>1</v>
      </c>
      <c r="IZ3" s="31">
        <f t="shared" si="16"/>
        <v>1</v>
      </c>
      <c r="JA3" s="31">
        <f t="shared" si="16"/>
        <v>1</v>
      </c>
      <c r="JB3" s="31">
        <f t="shared" si="15"/>
        <v>1</v>
      </c>
      <c r="JC3" s="31">
        <f t="shared" si="15"/>
        <v>2</v>
      </c>
      <c r="JD3" s="31">
        <f t="shared" si="15"/>
        <v>1</v>
      </c>
      <c r="JE3" s="31">
        <f t="shared" si="15"/>
        <v>1</v>
      </c>
      <c r="JF3" s="31">
        <f t="shared" si="15"/>
        <v>1</v>
      </c>
      <c r="JG3" s="31">
        <f t="shared" si="15"/>
        <v>1</v>
      </c>
      <c r="JH3" s="31">
        <f t="shared" si="15"/>
        <v>1</v>
      </c>
      <c r="JI3" s="31">
        <f t="shared" ref="JI3:JO3" si="17">COUNTIF(JI133:JI139,"*")</f>
        <v>0</v>
      </c>
      <c r="JJ3" s="31">
        <f t="shared" si="17"/>
        <v>0</v>
      </c>
      <c r="JK3" s="31">
        <f t="shared" si="17"/>
        <v>0</v>
      </c>
      <c r="JL3" s="31">
        <f t="shared" si="17"/>
        <v>0</v>
      </c>
      <c r="JM3" s="31">
        <f t="shared" si="17"/>
        <v>0</v>
      </c>
      <c r="JN3" s="31">
        <f t="shared" si="17"/>
        <v>0</v>
      </c>
      <c r="JO3" s="31">
        <f t="shared" si="17"/>
        <v>0</v>
      </c>
      <c r="JP3" s="31">
        <f t="shared" si="15"/>
        <v>0</v>
      </c>
      <c r="JQ3" s="31">
        <f t="shared" si="15"/>
        <v>0</v>
      </c>
      <c r="JR3" s="31">
        <f t="shared" si="15"/>
        <v>0</v>
      </c>
      <c r="JS3" s="31">
        <f t="shared" si="15"/>
        <v>0</v>
      </c>
      <c r="JT3" s="31">
        <f t="shared" ref="JT3:KX3" si="18">COUNTIF(JT133:JT139,"*")</f>
        <v>0</v>
      </c>
      <c r="JU3" s="31">
        <f t="shared" si="18"/>
        <v>0</v>
      </c>
      <c r="JV3" s="31">
        <f t="shared" si="18"/>
        <v>0</v>
      </c>
      <c r="JW3" s="31">
        <f t="shared" si="18"/>
        <v>0</v>
      </c>
      <c r="JX3" s="31">
        <f t="shared" si="18"/>
        <v>0</v>
      </c>
      <c r="JY3" s="31">
        <f t="shared" si="18"/>
        <v>0</v>
      </c>
      <c r="JZ3" s="31">
        <f t="shared" si="18"/>
        <v>0</v>
      </c>
      <c r="KA3" s="31">
        <f t="shared" si="18"/>
        <v>0</v>
      </c>
      <c r="KB3" s="31">
        <f t="shared" si="18"/>
        <v>0</v>
      </c>
      <c r="KC3" s="31">
        <f t="shared" si="18"/>
        <v>0</v>
      </c>
      <c r="KD3" s="31">
        <f t="shared" si="18"/>
        <v>0</v>
      </c>
      <c r="KE3" s="31">
        <f t="shared" si="18"/>
        <v>0</v>
      </c>
      <c r="KF3" s="31">
        <f t="shared" si="18"/>
        <v>0</v>
      </c>
      <c r="KG3" s="31">
        <f t="shared" si="18"/>
        <v>0</v>
      </c>
      <c r="KH3" s="31">
        <f t="shared" si="18"/>
        <v>0</v>
      </c>
      <c r="KI3" s="31">
        <f t="shared" si="18"/>
        <v>0</v>
      </c>
      <c r="KJ3" s="31">
        <f t="shared" si="18"/>
        <v>0</v>
      </c>
      <c r="KK3" s="31">
        <f t="shared" si="18"/>
        <v>0</v>
      </c>
      <c r="KL3" s="31">
        <f t="shared" si="18"/>
        <v>0</v>
      </c>
      <c r="KM3" s="31">
        <f t="shared" si="18"/>
        <v>0</v>
      </c>
      <c r="KN3" s="31">
        <f t="shared" si="18"/>
        <v>0</v>
      </c>
      <c r="KO3" s="31">
        <f t="shared" si="18"/>
        <v>0</v>
      </c>
      <c r="KP3" s="31">
        <f t="shared" si="18"/>
        <v>0</v>
      </c>
      <c r="KQ3" s="31">
        <f t="shared" si="18"/>
        <v>0</v>
      </c>
      <c r="KR3" s="31">
        <f t="shared" si="18"/>
        <v>0</v>
      </c>
      <c r="KS3" s="31">
        <f t="shared" si="18"/>
        <v>0</v>
      </c>
      <c r="KT3" s="31">
        <f t="shared" si="18"/>
        <v>0</v>
      </c>
      <c r="KU3" s="31">
        <f t="shared" si="18"/>
        <v>0</v>
      </c>
      <c r="KV3" s="31">
        <f t="shared" si="18"/>
        <v>0</v>
      </c>
      <c r="KW3" s="31">
        <f t="shared" si="18"/>
        <v>0</v>
      </c>
      <c r="KX3" s="31">
        <f t="shared" si="18"/>
        <v>0</v>
      </c>
      <c r="KY3" s="31">
        <f t="shared" ref="KY3" si="19">COUNTIF(KY133:KY139,"*")</f>
        <v>0</v>
      </c>
      <c r="KZ3" s="31">
        <f t="shared" ref="KZ3:MB3" si="20">COUNTIF(KZ133:KZ139,"*")</f>
        <v>0</v>
      </c>
      <c r="LA3" s="31">
        <f t="shared" si="20"/>
        <v>0</v>
      </c>
      <c r="LB3" s="31">
        <f t="shared" si="20"/>
        <v>0</v>
      </c>
      <c r="LC3" s="31">
        <f t="shared" si="20"/>
        <v>0</v>
      </c>
      <c r="LD3" s="31">
        <f t="shared" si="20"/>
        <v>0</v>
      </c>
      <c r="LE3" s="31">
        <f t="shared" si="20"/>
        <v>0</v>
      </c>
      <c r="LF3" s="31">
        <f t="shared" si="20"/>
        <v>0</v>
      </c>
      <c r="LG3" s="31">
        <f t="shared" si="20"/>
        <v>0</v>
      </c>
      <c r="LH3" s="31">
        <f t="shared" si="20"/>
        <v>0</v>
      </c>
      <c r="LI3" s="31">
        <f t="shared" si="20"/>
        <v>0</v>
      </c>
      <c r="LJ3" s="31">
        <f t="shared" si="20"/>
        <v>0</v>
      </c>
      <c r="LK3" s="31">
        <f t="shared" si="20"/>
        <v>0</v>
      </c>
      <c r="LL3" s="31">
        <f t="shared" si="20"/>
        <v>0</v>
      </c>
      <c r="LM3" s="31">
        <f t="shared" si="20"/>
        <v>0</v>
      </c>
      <c r="LN3" s="31">
        <f t="shared" si="20"/>
        <v>0</v>
      </c>
      <c r="LO3" s="31">
        <f t="shared" si="20"/>
        <v>0</v>
      </c>
      <c r="LP3" s="31">
        <f t="shared" si="20"/>
        <v>0</v>
      </c>
      <c r="LQ3" s="31">
        <f t="shared" si="20"/>
        <v>0</v>
      </c>
      <c r="LR3" s="31">
        <f t="shared" si="20"/>
        <v>0</v>
      </c>
      <c r="LS3" s="31">
        <f t="shared" si="20"/>
        <v>0</v>
      </c>
      <c r="LT3" s="31">
        <f t="shared" si="20"/>
        <v>0</v>
      </c>
      <c r="LU3" s="31">
        <f t="shared" si="20"/>
        <v>0</v>
      </c>
      <c r="LV3" s="31">
        <f t="shared" si="20"/>
        <v>0</v>
      </c>
      <c r="LW3" s="31">
        <f t="shared" si="20"/>
        <v>0</v>
      </c>
      <c r="LX3" s="31">
        <f t="shared" si="20"/>
        <v>0</v>
      </c>
      <c r="LY3" s="31">
        <f t="shared" si="20"/>
        <v>0</v>
      </c>
      <c r="LZ3" s="31">
        <f t="shared" si="20"/>
        <v>0</v>
      </c>
      <c r="MA3" s="31">
        <f t="shared" si="20"/>
        <v>0</v>
      </c>
      <c r="MB3" s="31">
        <f t="shared" si="20"/>
        <v>0</v>
      </c>
    </row>
    <row r="4" spans="1:340" s="32" customFormat="1" ht="15.75" thickBot="1">
      <c r="A4" s="191" t="s">
        <v>6</v>
      </c>
      <c r="B4" s="191"/>
      <c r="C4" s="191"/>
      <c r="D4" s="191"/>
      <c r="E4" s="191"/>
      <c r="F4" s="191"/>
      <c r="G4" s="33">
        <f t="shared" ref="G4:BR4" si="21">SUM(G2:G3)</f>
        <v>3</v>
      </c>
      <c r="H4" s="33">
        <f t="shared" si="21"/>
        <v>2</v>
      </c>
      <c r="I4" s="33">
        <f t="shared" si="21"/>
        <v>2</v>
      </c>
      <c r="J4" s="33">
        <f t="shared" si="21"/>
        <v>5</v>
      </c>
      <c r="K4" s="33">
        <f t="shared" si="21"/>
        <v>3</v>
      </c>
      <c r="L4" s="33">
        <f t="shared" si="21"/>
        <v>10</v>
      </c>
      <c r="M4" s="33">
        <f t="shared" si="21"/>
        <v>7</v>
      </c>
      <c r="N4" s="33">
        <f t="shared" si="21"/>
        <v>3</v>
      </c>
      <c r="O4" s="33">
        <f t="shared" si="21"/>
        <v>8</v>
      </c>
      <c r="P4" s="33">
        <f t="shared" si="21"/>
        <v>8</v>
      </c>
      <c r="Q4" s="33">
        <f t="shared" si="21"/>
        <v>9</v>
      </c>
      <c r="R4" s="33">
        <f t="shared" si="21"/>
        <v>3</v>
      </c>
      <c r="S4" s="33">
        <f t="shared" si="21"/>
        <v>6</v>
      </c>
      <c r="T4" s="33">
        <f t="shared" si="21"/>
        <v>6</v>
      </c>
      <c r="U4" s="33">
        <f t="shared" si="21"/>
        <v>9</v>
      </c>
      <c r="V4" s="33">
        <f t="shared" si="21"/>
        <v>3</v>
      </c>
      <c r="W4" s="33">
        <f t="shared" si="21"/>
        <v>10</v>
      </c>
      <c r="X4" s="33">
        <f t="shared" si="21"/>
        <v>4</v>
      </c>
      <c r="Y4" s="33">
        <f t="shared" si="21"/>
        <v>7</v>
      </c>
      <c r="Z4" s="33">
        <f t="shared" si="21"/>
        <v>6</v>
      </c>
      <c r="AA4" s="33">
        <f t="shared" si="21"/>
        <v>6</v>
      </c>
      <c r="AB4" s="33">
        <f t="shared" si="21"/>
        <v>5</v>
      </c>
      <c r="AC4" s="33">
        <f t="shared" si="21"/>
        <v>6</v>
      </c>
      <c r="AD4" s="33">
        <f t="shared" si="21"/>
        <v>8</v>
      </c>
      <c r="AE4" s="33">
        <f t="shared" si="21"/>
        <v>9</v>
      </c>
      <c r="AF4" s="33">
        <f t="shared" si="21"/>
        <v>4</v>
      </c>
      <c r="AG4" s="33">
        <f t="shared" si="21"/>
        <v>6</v>
      </c>
      <c r="AH4" s="33">
        <f t="shared" si="21"/>
        <v>3</v>
      </c>
      <c r="AI4" s="33">
        <f t="shared" si="21"/>
        <v>7</v>
      </c>
      <c r="AJ4" s="33">
        <f t="shared" si="21"/>
        <v>6</v>
      </c>
      <c r="AK4" s="33">
        <f t="shared" si="21"/>
        <v>6</v>
      </c>
      <c r="AL4" s="33">
        <f t="shared" si="21"/>
        <v>20</v>
      </c>
      <c r="AM4" s="33">
        <f t="shared" si="21"/>
        <v>20</v>
      </c>
      <c r="AN4" s="33">
        <f t="shared" si="21"/>
        <v>28</v>
      </c>
      <c r="AO4" s="33">
        <f t="shared" si="21"/>
        <v>24</v>
      </c>
      <c r="AP4" s="33">
        <f t="shared" si="21"/>
        <v>22</v>
      </c>
      <c r="AQ4" s="33">
        <f t="shared" si="21"/>
        <v>27</v>
      </c>
      <c r="AR4" s="33">
        <f t="shared" si="21"/>
        <v>20</v>
      </c>
      <c r="AS4" s="33">
        <f t="shared" si="21"/>
        <v>26</v>
      </c>
      <c r="AT4" s="33">
        <f t="shared" si="21"/>
        <v>20</v>
      </c>
      <c r="AU4" s="33">
        <f t="shared" si="21"/>
        <v>22</v>
      </c>
      <c r="AV4" s="33">
        <f t="shared" si="21"/>
        <v>26</v>
      </c>
      <c r="AW4" s="33">
        <f t="shared" si="21"/>
        <v>23</v>
      </c>
      <c r="AX4" s="33">
        <f t="shared" si="21"/>
        <v>25</v>
      </c>
      <c r="AY4" s="33">
        <f t="shared" si="21"/>
        <v>26</v>
      </c>
      <c r="AZ4" s="33">
        <f t="shared" si="21"/>
        <v>24</v>
      </c>
      <c r="BA4" s="33">
        <f t="shared" si="21"/>
        <v>27</v>
      </c>
      <c r="BB4" s="33">
        <f t="shared" si="21"/>
        <v>19</v>
      </c>
      <c r="BC4" s="33">
        <f t="shared" si="21"/>
        <v>23</v>
      </c>
      <c r="BD4" s="33">
        <f t="shared" si="21"/>
        <v>25</v>
      </c>
      <c r="BE4" s="33">
        <f t="shared" si="21"/>
        <v>26</v>
      </c>
      <c r="BF4" s="33">
        <f t="shared" si="21"/>
        <v>14</v>
      </c>
      <c r="BG4" s="33">
        <f t="shared" si="21"/>
        <v>15</v>
      </c>
      <c r="BH4" s="33">
        <f t="shared" si="21"/>
        <v>17</v>
      </c>
      <c r="BI4" s="33">
        <f t="shared" si="21"/>
        <v>25</v>
      </c>
      <c r="BJ4" s="33">
        <f t="shared" si="21"/>
        <v>19</v>
      </c>
      <c r="BK4" s="33">
        <f t="shared" si="21"/>
        <v>20</v>
      </c>
      <c r="BL4" s="33">
        <f t="shared" si="21"/>
        <v>27</v>
      </c>
      <c r="BM4" s="33">
        <f t="shared" si="21"/>
        <v>29</v>
      </c>
      <c r="BN4" s="33">
        <f t="shared" si="21"/>
        <v>19</v>
      </c>
      <c r="BO4" s="33">
        <f t="shared" si="21"/>
        <v>20</v>
      </c>
      <c r="BP4" s="33">
        <f t="shared" si="21"/>
        <v>23</v>
      </c>
      <c r="BQ4" s="33">
        <f t="shared" si="21"/>
        <v>17</v>
      </c>
      <c r="BR4" s="33">
        <f t="shared" si="21"/>
        <v>21</v>
      </c>
      <c r="BS4" s="33">
        <f t="shared" ref="BS4:CR4" si="22">SUM(BS2:BS3)</f>
        <v>19</v>
      </c>
      <c r="BT4" s="33">
        <f t="shared" si="22"/>
        <v>18</v>
      </c>
      <c r="BU4" s="33">
        <f t="shared" si="22"/>
        <v>20</v>
      </c>
      <c r="BV4" s="33">
        <f t="shared" si="22"/>
        <v>25</v>
      </c>
      <c r="BW4" s="33">
        <f t="shared" si="22"/>
        <v>17</v>
      </c>
      <c r="BX4" s="33">
        <f t="shared" si="22"/>
        <v>17</v>
      </c>
      <c r="BY4" s="33">
        <f t="shared" si="22"/>
        <v>20</v>
      </c>
      <c r="BZ4" s="33">
        <f t="shared" si="22"/>
        <v>17</v>
      </c>
      <c r="CA4" s="33">
        <f t="shared" si="22"/>
        <v>14</v>
      </c>
      <c r="CB4" s="33">
        <f t="shared" si="22"/>
        <v>13</v>
      </c>
      <c r="CC4" s="33">
        <f t="shared" si="22"/>
        <v>13</v>
      </c>
      <c r="CD4" s="33">
        <f t="shared" si="22"/>
        <v>9</v>
      </c>
      <c r="CE4" s="33">
        <f t="shared" si="22"/>
        <v>9</v>
      </c>
      <c r="CF4" s="33">
        <f t="shared" si="22"/>
        <v>11</v>
      </c>
      <c r="CG4" s="33">
        <f t="shared" si="22"/>
        <v>12</v>
      </c>
      <c r="CH4" s="33">
        <f t="shared" si="22"/>
        <v>18</v>
      </c>
      <c r="CI4" s="33">
        <f t="shared" si="22"/>
        <v>8</v>
      </c>
      <c r="CJ4" s="33">
        <f t="shared" si="22"/>
        <v>9</v>
      </c>
      <c r="CK4" s="33">
        <f t="shared" si="22"/>
        <v>10</v>
      </c>
      <c r="CL4" s="33">
        <f t="shared" si="22"/>
        <v>9</v>
      </c>
      <c r="CM4" s="33">
        <f t="shared" si="22"/>
        <v>5</v>
      </c>
      <c r="CN4" s="33">
        <f t="shared" si="22"/>
        <v>10</v>
      </c>
      <c r="CO4" s="33">
        <f t="shared" si="22"/>
        <v>12</v>
      </c>
      <c r="CP4" s="33">
        <f t="shared" si="22"/>
        <v>11</v>
      </c>
      <c r="CQ4" s="33">
        <f t="shared" si="22"/>
        <v>13</v>
      </c>
      <c r="CR4" s="33">
        <f t="shared" si="22"/>
        <v>8</v>
      </c>
      <c r="CS4" s="33">
        <f t="shared" ref="CS4:CT4" si="23">SUM(CS2:CS3)</f>
        <v>7</v>
      </c>
      <c r="CT4" s="33">
        <f t="shared" si="23"/>
        <v>12</v>
      </c>
      <c r="CU4" s="33">
        <f t="shared" ref="CU4:CV4" si="24">SUM(CU2:CU3)</f>
        <v>9</v>
      </c>
      <c r="CV4" s="33">
        <f t="shared" si="24"/>
        <v>12</v>
      </c>
      <c r="CW4" s="33">
        <f t="shared" ref="CW4:DV4" si="25">SUM(CW2:CW3)</f>
        <v>12</v>
      </c>
      <c r="CX4" s="33">
        <f t="shared" si="25"/>
        <v>14</v>
      </c>
      <c r="CY4" s="33">
        <f t="shared" si="25"/>
        <v>11</v>
      </c>
      <c r="CZ4" s="33">
        <f t="shared" si="25"/>
        <v>12</v>
      </c>
      <c r="DA4" s="33">
        <f t="shared" si="25"/>
        <v>14</v>
      </c>
      <c r="DB4" s="33">
        <f t="shared" si="25"/>
        <v>9</v>
      </c>
      <c r="DC4" s="33">
        <f t="shared" si="25"/>
        <v>8</v>
      </c>
      <c r="DD4" s="33">
        <f t="shared" si="25"/>
        <v>6</v>
      </c>
      <c r="DE4" s="33">
        <f t="shared" si="25"/>
        <v>12</v>
      </c>
      <c r="DF4" s="33">
        <f t="shared" si="25"/>
        <v>10</v>
      </c>
      <c r="DG4" s="33">
        <f t="shared" si="25"/>
        <v>10</v>
      </c>
      <c r="DH4" s="33">
        <f t="shared" si="25"/>
        <v>10</v>
      </c>
      <c r="DI4" s="33">
        <f t="shared" si="25"/>
        <v>8</v>
      </c>
      <c r="DJ4" s="33">
        <f t="shared" si="25"/>
        <v>3</v>
      </c>
      <c r="DK4" s="33">
        <f t="shared" si="25"/>
        <v>12</v>
      </c>
      <c r="DL4" s="33">
        <f t="shared" si="25"/>
        <v>7</v>
      </c>
      <c r="DM4" s="33">
        <f t="shared" si="25"/>
        <v>7</v>
      </c>
      <c r="DN4" s="33">
        <f t="shared" si="25"/>
        <v>7</v>
      </c>
      <c r="DO4" s="33">
        <f t="shared" si="25"/>
        <v>8</v>
      </c>
      <c r="DP4" s="33">
        <f t="shared" si="25"/>
        <v>10</v>
      </c>
      <c r="DQ4" s="33">
        <f t="shared" si="25"/>
        <v>9</v>
      </c>
      <c r="DR4" s="33">
        <f t="shared" si="25"/>
        <v>7</v>
      </c>
      <c r="DS4" s="33">
        <f t="shared" si="25"/>
        <v>6</v>
      </c>
      <c r="DT4" s="33">
        <f t="shared" si="25"/>
        <v>7</v>
      </c>
      <c r="DU4" s="33">
        <f t="shared" si="25"/>
        <v>7</v>
      </c>
      <c r="DV4" s="33">
        <f t="shared" si="25"/>
        <v>8</v>
      </c>
      <c r="DW4" s="33">
        <f t="shared" ref="DW4:FA4" si="26">SUM(DW2:DW3)</f>
        <v>11</v>
      </c>
      <c r="DX4" s="33">
        <f t="shared" si="26"/>
        <v>6</v>
      </c>
      <c r="DY4" s="33">
        <f t="shared" si="26"/>
        <v>9</v>
      </c>
      <c r="DZ4" s="33">
        <f t="shared" si="26"/>
        <v>7</v>
      </c>
      <c r="EA4" s="33">
        <f t="shared" si="26"/>
        <v>8</v>
      </c>
      <c r="EB4" s="33">
        <f t="shared" si="26"/>
        <v>7</v>
      </c>
      <c r="EC4" s="33">
        <f t="shared" si="26"/>
        <v>5</v>
      </c>
      <c r="ED4" s="33">
        <f t="shared" si="26"/>
        <v>9</v>
      </c>
      <c r="EE4" s="33">
        <f t="shared" si="26"/>
        <v>6</v>
      </c>
      <c r="EF4" s="33">
        <f t="shared" si="26"/>
        <v>9</v>
      </c>
      <c r="EG4" s="33">
        <f t="shared" si="26"/>
        <v>4</v>
      </c>
      <c r="EH4" s="33">
        <f t="shared" si="26"/>
        <v>8</v>
      </c>
      <c r="EI4" s="33">
        <f t="shared" si="26"/>
        <v>9</v>
      </c>
      <c r="EJ4" s="33">
        <f t="shared" si="26"/>
        <v>3</v>
      </c>
      <c r="EK4" s="33">
        <f t="shared" si="26"/>
        <v>7</v>
      </c>
      <c r="EL4" s="33">
        <f t="shared" si="26"/>
        <v>6</v>
      </c>
      <c r="EM4" s="33">
        <f t="shared" si="26"/>
        <v>7</v>
      </c>
      <c r="EN4" s="33">
        <f t="shared" si="26"/>
        <v>5</v>
      </c>
      <c r="EO4" s="33">
        <f t="shared" si="26"/>
        <v>1</v>
      </c>
      <c r="EP4" s="33">
        <f t="shared" si="26"/>
        <v>6</v>
      </c>
      <c r="EQ4" s="33">
        <f t="shared" si="26"/>
        <v>5</v>
      </c>
      <c r="ER4" s="33">
        <f t="shared" si="26"/>
        <v>7</v>
      </c>
      <c r="ES4" s="33">
        <f t="shared" si="26"/>
        <v>8</v>
      </c>
      <c r="ET4" s="33">
        <f t="shared" si="26"/>
        <v>5</v>
      </c>
      <c r="EU4" s="33">
        <f t="shared" si="26"/>
        <v>10</v>
      </c>
      <c r="EV4" s="33">
        <f t="shared" si="26"/>
        <v>10</v>
      </c>
      <c r="EW4" s="33">
        <f t="shared" si="26"/>
        <v>7</v>
      </c>
      <c r="EX4" s="33">
        <f t="shared" si="26"/>
        <v>10</v>
      </c>
      <c r="EY4" s="33">
        <f t="shared" si="26"/>
        <v>9</v>
      </c>
      <c r="EZ4" s="33">
        <f t="shared" si="26"/>
        <v>7</v>
      </c>
      <c r="FA4" s="33">
        <f t="shared" si="26"/>
        <v>7</v>
      </c>
      <c r="FB4" s="33">
        <f t="shared" ref="FB4:GE4" si="27">SUM(FB2:FB3)</f>
        <v>10</v>
      </c>
      <c r="FC4" s="33">
        <f t="shared" si="27"/>
        <v>10</v>
      </c>
      <c r="FD4" s="33">
        <f t="shared" si="27"/>
        <v>16</v>
      </c>
      <c r="FE4" s="33">
        <f t="shared" si="27"/>
        <v>15</v>
      </c>
      <c r="FF4" s="33">
        <f t="shared" si="27"/>
        <v>14</v>
      </c>
      <c r="FG4" s="33">
        <f t="shared" si="27"/>
        <v>14</v>
      </c>
      <c r="FH4" s="33">
        <f t="shared" si="27"/>
        <v>12</v>
      </c>
      <c r="FI4" s="33">
        <f t="shared" si="27"/>
        <v>16</v>
      </c>
      <c r="FJ4" s="33">
        <f t="shared" si="27"/>
        <v>14</v>
      </c>
      <c r="FK4" s="33">
        <f t="shared" si="27"/>
        <v>16</v>
      </c>
      <c r="FL4" s="33">
        <f t="shared" si="27"/>
        <v>17</v>
      </c>
      <c r="FM4" s="33">
        <f t="shared" si="27"/>
        <v>16</v>
      </c>
      <c r="FN4" s="33">
        <f t="shared" si="27"/>
        <v>20</v>
      </c>
      <c r="FO4" s="33">
        <f t="shared" si="27"/>
        <v>17</v>
      </c>
      <c r="FP4" s="33">
        <f t="shared" si="27"/>
        <v>16</v>
      </c>
      <c r="FQ4" s="33">
        <f t="shared" si="27"/>
        <v>16</v>
      </c>
      <c r="FR4" s="33">
        <f t="shared" si="27"/>
        <v>17</v>
      </c>
      <c r="FS4" s="33">
        <f t="shared" si="27"/>
        <v>13</v>
      </c>
      <c r="FT4" s="33">
        <f t="shared" si="27"/>
        <v>13</v>
      </c>
      <c r="FU4" s="33">
        <f t="shared" si="27"/>
        <v>20</v>
      </c>
      <c r="FV4" s="33">
        <f t="shared" si="27"/>
        <v>13</v>
      </c>
      <c r="FW4" s="33">
        <f t="shared" si="27"/>
        <v>14</v>
      </c>
      <c r="FX4" s="33">
        <f t="shared" si="27"/>
        <v>19</v>
      </c>
      <c r="FY4" s="33">
        <f t="shared" si="27"/>
        <v>17</v>
      </c>
      <c r="FZ4" s="33">
        <f t="shared" si="27"/>
        <v>10</v>
      </c>
      <c r="GA4" s="33">
        <f t="shared" si="27"/>
        <v>12</v>
      </c>
      <c r="GB4" s="33">
        <f t="shared" si="27"/>
        <v>12</v>
      </c>
      <c r="GC4" s="33">
        <f t="shared" si="27"/>
        <v>13</v>
      </c>
      <c r="GD4" s="33">
        <f t="shared" si="27"/>
        <v>10</v>
      </c>
      <c r="GE4" s="33">
        <f t="shared" si="27"/>
        <v>20</v>
      </c>
      <c r="GF4" s="33">
        <f t="shared" ref="GF4:HK4" si="28">SUM(GF2:GF3)</f>
        <v>16</v>
      </c>
      <c r="GG4" s="33">
        <f t="shared" si="28"/>
        <v>16</v>
      </c>
      <c r="GH4" s="33">
        <f t="shared" si="28"/>
        <v>8</v>
      </c>
      <c r="GI4" s="33">
        <f t="shared" si="28"/>
        <v>9</v>
      </c>
      <c r="GJ4" s="33">
        <f t="shared" si="28"/>
        <v>19</v>
      </c>
      <c r="GK4" s="33">
        <f t="shared" si="28"/>
        <v>15</v>
      </c>
      <c r="GL4" s="33">
        <f t="shared" si="28"/>
        <v>15</v>
      </c>
      <c r="GM4" s="33">
        <f t="shared" si="28"/>
        <v>15</v>
      </c>
      <c r="GN4" s="33">
        <f t="shared" si="28"/>
        <v>11</v>
      </c>
      <c r="GO4" s="33">
        <f t="shared" si="28"/>
        <v>16</v>
      </c>
      <c r="GP4" s="33">
        <f t="shared" si="28"/>
        <v>16</v>
      </c>
      <c r="GQ4" s="33">
        <f t="shared" si="28"/>
        <v>16</v>
      </c>
      <c r="GR4" s="33">
        <f t="shared" si="28"/>
        <v>14</v>
      </c>
      <c r="GS4" s="33">
        <f t="shared" si="28"/>
        <v>18</v>
      </c>
      <c r="GT4" s="33">
        <f t="shared" si="28"/>
        <v>23</v>
      </c>
      <c r="GU4" s="33">
        <f t="shared" si="28"/>
        <v>17</v>
      </c>
      <c r="GV4" s="33">
        <f t="shared" si="28"/>
        <v>17</v>
      </c>
      <c r="GW4" s="33">
        <f t="shared" si="28"/>
        <v>17</v>
      </c>
      <c r="GX4" s="33">
        <f t="shared" si="28"/>
        <v>20</v>
      </c>
      <c r="GY4" s="33">
        <f t="shared" si="28"/>
        <v>23</v>
      </c>
      <c r="GZ4" s="33">
        <f t="shared" si="28"/>
        <v>14</v>
      </c>
      <c r="HA4" s="33">
        <f t="shared" si="28"/>
        <v>15</v>
      </c>
      <c r="HB4" s="33">
        <f t="shared" si="28"/>
        <v>19</v>
      </c>
      <c r="HC4" s="33">
        <f t="shared" si="28"/>
        <v>20</v>
      </c>
      <c r="HD4" s="33">
        <f t="shared" si="28"/>
        <v>13</v>
      </c>
      <c r="HE4" s="33">
        <f t="shared" si="28"/>
        <v>23</v>
      </c>
      <c r="HF4" s="33">
        <f t="shared" si="28"/>
        <v>22</v>
      </c>
      <c r="HG4" s="33">
        <f t="shared" si="28"/>
        <v>15</v>
      </c>
      <c r="HH4" s="33">
        <f t="shared" si="28"/>
        <v>19</v>
      </c>
      <c r="HI4" s="33">
        <f t="shared" si="28"/>
        <v>14</v>
      </c>
      <c r="HJ4" s="33">
        <f t="shared" si="28"/>
        <v>11</v>
      </c>
      <c r="HK4" s="33">
        <f t="shared" si="28"/>
        <v>22</v>
      </c>
      <c r="HL4" s="33">
        <f t="shared" ref="HL4:IO4" si="29">SUM(HL2:HL3)</f>
        <v>18</v>
      </c>
      <c r="HM4" s="33">
        <f t="shared" si="29"/>
        <v>19</v>
      </c>
      <c r="HN4" s="33">
        <f t="shared" si="29"/>
        <v>15</v>
      </c>
      <c r="HO4" s="33">
        <f t="shared" si="29"/>
        <v>16</v>
      </c>
      <c r="HP4" s="33">
        <f t="shared" si="29"/>
        <v>14</v>
      </c>
      <c r="HQ4" s="33">
        <f t="shared" si="29"/>
        <v>18</v>
      </c>
      <c r="HR4" s="33">
        <f t="shared" si="29"/>
        <v>19</v>
      </c>
      <c r="HS4" s="33">
        <f t="shared" si="29"/>
        <v>13</v>
      </c>
      <c r="HT4" s="33">
        <f t="shared" si="29"/>
        <v>18</v>
      </c>
      <c r="HU4" s="33">
        <f t="shared" si="29"/>
        <v>20</v>
      </c>
      <c r="HV4" s="33">
        <f t="shared" si="29"/>
        <v>21</v>
      </c>
      <c r="HW4" s="33">
        <f t="shared" si="29"/>
        <v>16</v>
      </c>
      <c r="HX4" s="33">
        <f t="shared" si="29"/>
        <v>15</v>
      </c>
      <c r="HY4" s="33">
        <f t="shared" si="29"/>
        <v>25</v>
      </c>
      <c r="HZ4" s="33">
        <f t="shared" si="29"/>
        <v>12</v>
      </c>
      <c r="IA4" s="33">
        <f t="shared" si="29"/>
        <v>24</v>
      </c>
      <c r="IB4" s="33">
        <f t="shared" si="29"/>
        <v>17</v>
      </c>
      <c r="IC4" s="33">
        <f t="shared" si="29"/>
        <v>25</v>
      </c>
      <c r="ID4" s="33">
        <f t="shared" si="29"/>
        <v>17</v>
      </c>
      <c r="IE4" s="33">
        <f t="shared" si="29"/>
        <v>13</v>
      </c>
      <c r="IF4" s="33">
        <f t="shared" si="29"/>
        <v>18</v>
      </c>
      <c r="IG4" s="33">
        <f t="shared" si="29"/>
        <v>14</v>
      </c>
      <c r="IH4" s="33">
        <f t="shared" si="29"/>
        <v>13</v>
      </c>
      <c r="II4" s="33">
        <f t="shared" si="29"/>
        <v>20</v>
      </c>
      <c r="IJ4" s="33">
        <f t="shared" si="29"/>
        <v>19</v>
      </c>
      <c r="IK4" s="33">
        <f t="shared" si="29"/>
        <v>16</v>
      </c>
      <c r="IL4" s="33">
        <f t="shared" si="29"/>
        <v>19</v>
      </c>
      <c r="IM4" s="33">
        <f t="shared" si="29"/>
        <v>17</v>
      </c>
      <c r="IN4" s="33">
        <f t="shared" si="29"/>
        <v>21</v>
      </c>
      <c r="IO4" s="33">
        <f t="shared" si="29"/>
        <v>17</v>
      </c>
      <c r="IP4" s="33">
        <f t="shared" ref="IP4:JS4" si="30">SUM(IP2:IP3)</f>
        <v>20</v>
      </c>
      <c r="IQ4" s="33">
        <f t="shared" si="30"/>
        <v>25</v>
      </c>
      <c r="IR4" s="33">
        <f t="shared" si="30"/>
        <v>25</v>
      </c>
      <c r="IS4" s="33">
        <f t="shared" si="30"/>
        <v>24</v>
      </c>
      <c r="IT4" s="33">
        <f t="shared" si="30"/>
        <v>22</v>
      </c>
      <c r="IU4" s="33">
        <f t="shared" si="30"/>
        <v>27</v>
      </c>
      <c r="IV4" s="33">
        <f t="shared" si="30"/>
        <v>25</v>
      </c>
      <c r="IW4" s="33">
        <f t="shared" si="30"/>
        <v>26</v>
      </c>
      <c r="IX4" s="33">
        <f t="shared" si="30"/>
        <v>23</v>
      </c>
      <c r="IY4" s="33">
        <f t="shared" si="30"/>
        <v>22</v>
      </c>
      <c r="IZ4" s="33">
        <f t="shared" si="30"/>
        <v>21</v>
      </c>
      <c r="JA4" s="33">
        <f t="shared" si="30"/>
        <v>22</v>
      </c>
      <c r="JB4" s="33">
        <f t="shared" si="30"/>
        <v>24</v>
      </c>
      <c r="JC4" s="33">
        <f t="shared" si="30"/>
        <v>27</v>
      </c>
      <c r="JD4" s="33">
        <f t="shared" si="30"/>
        <v>22</v>
      </c>
      <c r="JE4" s="33">
        <f t="shared" si="30"/>
        <v>31</v>
      </c>
      <c r="JF4" s="33">
        <f t="shared" si="30"/>
        <v>22</v>
      </c>
      <c r="JG4" s="33">
        <f t="shared" si="30"/>
        <v>16</v>
      </c>
      <c r="JH4" s="33">
        <f t="shared" si="30"/>
        <v>24</v>
      </c>
      <c r="JI4" s="33">
        <f t="shared" si="30"/>
        <v>24</v>
      </c>
      <c r="JJ4" s="33">
        <f t="shared" si="30"/>
        <v>17</v>
      </c>
      <c r="JK4" s="33">
        <f t="shared" si="30"/>
        <v>24</v>
      </c>
      <c r="JL4" s="33">
        <f t="shared" si="30"/>
        <v>22</v>
      </c>
      <c r="JM4" s="33">
        <f t="shared" si="30"/>
        <v>22</v>
      </c>
      <c r="JN4" s="33">
        <f t="shared" si="30"/>
        <v>21</v>
      </c>
      <c r="JO4" s="33">
        <f t="shared" si="30"/>
        <v>22</v>
      </c>
      <c r="JP4" s="33">
        <f t="shared" si="30"/>
        <v>22</v>
      </c>
      <c r="JQ4" s="33">
        <f t="shared" si="30"/>
        <v>20</v>
      </c>
      <c r="JR4" s="33">
        <f t="shared" si="30"/>
        <v>21</v>
      </c>
      <c r="JS4" s="33">
        <f t="shared" si="30"/>
        <v>18</v>
      </c>
      <c r="JT4" s="33">
        <f t="shared" ref="JT4:KX4" si="31">SUM(JT2:JT3)</f>
        <v>19</v>
      </c>
      <c r="JU4" s="33">
        <f t="shared" si="31"/>
        <v>25</v>
      </c>
      <c r="JV4" s="33">
        <f t="shared" si="31"/>
        <v>10</v>
      </c>
      <c r="JW4" s="33">
        <f t="shared" si="31"/>
        <v>18</v>
      </c>
      <c r="JX4" s="33">
        <f t="shared" si="31"/>
        <v>19</v>
      </c>
      <c r="JY4" s="33">
        <f t="shared" si="31"/>
        <v>21</v>
      </c>
      <c r="JZ4" s="33">
        <f t="shared" si="31"/>
        <v>18</v>
      </c>
      <c r="KA4" s="33">
        <f t="shared" si="31"/>
        <v>19</v>
      </c>
      <c r="KB4" s="33">
        <f t="shared" si="31"/>
        <v>18</v>
      </c>
      <c r="KC4" s="33">
        <f t="shared" si="31"/>
        <v>21</v>
      </c>
      <c r="KD4" s="33">
        <f t="shared" si="31"/>
        <v>13</v>
      </c>
      <c r="KE4" s="33">
        <f t="shared" si="31"/>
        <v>17</v>
      </c>
      <c r="KF4" s="33">
        <f t="shared" si="31"/>
        <v>19</v>
      </c>
      <c r="KG4" s="33">
        <f t="shared" si="31"/>
        <v>17</v>
      </c>
      <c r="KH4" s="33">
        <f t="shared" si="31"/>
        <v>15</v>
      </c>
      <c r="KI4" s="33">
        <f t="shared" si="31"/>
        <v>20</v>
      </c>
      <c r="KJ4" s="33">
        <f t="shared" si="31"/>
        <v>21</v>
      </c>
      <c r="KK4" s="33">
        <f t="shared" si="31"/>
        <v>21</v>
      </c>
      <c r="KL4" s="33">
        <f t="shared" si="31"/>
        <v>20</v>
      </c>
      <c r="KM4" s="33">
        <f t="shared" si="31"/>
        <v>17</v>
      </c>
      <c r="KN4" s="33">
        <f t="shared" si="31"/>
        <v>18</v>
      </c>
      <c r="KO4" s="33">
        <f t="shared" si="31"/>
        <v>22</v>
      </c>
      <c r="KP4" s="33">
        <f t="shared" si="31"/>
        <v>12</v>
      </c>
      <c r="KQ4" s="33">
        <f t="shared" si="31"/>
        <v>16</v>
      </c>
      <c r="KR4" s="33">
        <f t="shared" si="31"/>
        <v>23</v>
      </c>
      <c r="KS4" s="33">
        <f t="shared" si="31"/>
        <v>16</v>
      </c>
      <c r="KT4" s="33">
        <f t="shared" si="31"/>
        <v>11</v>
      </c>
      <c r="KU4" s="33">
        <f t="shared" si="31"/>
        <v>19</v>
      </c>
      <c r="KV4" s="33">
        <f t="shared" si="31"/>
        <v>16</v>
      </c>
      <c r="KW4" s="33">
        <f t="shared" si="31"/>
        <v>25</v>
      </c>
      <c r="KX4" s="33">
        <f t="shared" si="31"/>
        <v>16</v>
      </c>
      <c r="KY4" s="33">
        <f t="shared" ref="KY4" si="32">SUM(KY2:KY3)</f>
        <v>16</v>
      </c>
      <c r="KZ4" s="33">
        <f t="shared" ref="KZ4:MB4" si="33">SUM(KZ2:KZ3)</f>
        <v>15</v>
      </c>
      <c r="LA4" s="33">
        <f t="shared" si="33"/>
        <v>15</v>
      </c>
      <c r="LB4" s="33">
        <f t="shared" si="33"/>
        <v>13</v>
      </c>
      <c r="LC4" s="33">
        <f t="shared" si="33"/>
        <v>11</v>
      </c>
      <c r="LD4" s="33">
        <f t="shared" si="33"/>
        <v>17</v>
      </c>
      <c r="LE4" s="33">
        <f t="shared" si="33"/>
        <v>12</v>
      </c>
      <c r="LF4" s="33">
        <f t="shared" si="33"/>
        <v>13</v>
      </c>
      <c r="LG4" s="33">
        <f t="shared" si="33"/>
        <v>18</v>
      </c>
      <c r="LH4" s="33">
        <f t="shared" si="33"/>
        <v>15</v>
      </c>
      <c r="LI4" s="33">
        <f t="shared" si="33"/>
        <v>19</v>
      </c>
      <c r="LJ4" s="33">
        <f t="shared" si="33"/>
        <v>10</v>
      </c>
      <c r="LK4" s="33">
        <f t="shared" si="33"/>
        <v>13</v>
      </c>
      <c r="LL4" s="33">
        <f t="shared" si="33"/>
        <v>12</v>
      </c>
      <c r="LM4" s="33">
        <f t="shared" si="33"/>
        <v>12</v>
      </c>
      <c r="LN4" s="33">
        <f t="shared" si="33"/>
        <v>12</v>
      </c>
      <c r="LO4" s="33">
        <f t="shared" si="33"/>
        <v>12</v>
      </c>
      <c r="LP4" s="33">
        <f t="shared" si="33"/>
        <v>21</v>
      </c>
      <c r="LQ4" s="33">
        <f t="shared" si="33"/>
        <v>15</v>
      </c>
      <c r="LR4" s="33">
        <f t="shared" si="33"/>
        <v>10</v>
      </c>
      <c r="LS4" s="33">
        <f t="shared" si="33"/>
        <v>13</v>
      </c>
      <c r="LT4" s="33">
        <f t="shared" si="33"/>
        <v>10</v>
      </c>
      <c r="LU4" s="33">
        <f t="shared" si="33"/>
        <v>12</v>
      </c>
      <c r="LV4" s="33">
        <f t="shared" si="33"/>
        <v>13</v>
      </c>
      <c r="LW4" s="33">
        <f t="shared" si="33"/>
        <v>15</v>
      </c>
      <c r="LX4" s="33">
        <f t="shared" si="33"/>
        <v>18</v>
      </c>
      <c r="LY4" s="33">
        <f t="shared" si="33"/>
        <v>14</v>
      </c>
      <c r="LZ4" s="33">
        <f t="shared" si="33"/>
        <v>9</v>
      </c>
      <c r="MA4" s="33">
        <f t="shared" si="33"/>
        <v>15</v>
      </c>
      <c r="MB4" s="33">
        <f t="shared" si="33"/>
        <v>13</v>
      </c>
    </row>
    <row r="5" spans="1:340" s="32" customFormat="1" ht="15.75" thickBot="1">
      <c r="A5" s="34"/>
      <c r="B5" s="35"/>
      <c r="C5" s="36"/>
      <c r="D5" s="36"/>
      <c r="E5" s="36"/>
      <c r="F5" s="36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</row>
    <row r="6" spans="1:340" s="32" customFormat="1">
      <c r="A6" s="192" t="s">
        <v>7</v>
      </c>
      <c r="B6" s="192"/>
      <c r="C6" s="192"/>
      <c r="D6" s="192"/>
      <c r="E6" s="192"/>
      <c r="F6" s="192"/>
      <c r="G6" s="37">
        <f t="shared" ref="G6:AL6" si="34">COUNTIF(G118:G123,"Surface")+COUNTIF(G118:G129,"Intermediate")+COUNTIF(G118:G128,"Production")+COUNTIF(G133:G137,"Imperial SH")</f>
        <v>0</v>
      </c>
      <c r="H6" s="37">
        <f t="shared" si="34"/>
        <v>0</v>
      </c>
      <c r="I6" s="37">
        <f t="shared" si="34"/>
        <v>0</v>
      </c>
      <c r="J6" s="37">
        <f t="shared" si="34"/>
        <v>0</v>
      </c>
      <c r="K6" s="37">
        <f t="shared" si="34"/>
        <v>0</v>
      </c>
      <c r="L6" s="37">
        <f t="shared" si="34"/>
        <v>2</v>
      </c>
      <c r="M6" s="37">
        <f t="shared" si="34"/>
        <v>1</v>
      </c>
      <c r="N6" s="37">
        <f t="shared" si="34"/>
        <v>0</v>
      </c>
      <c r="O6" s="37">
        <f t="shared" si="34"/>
        <v>2</v>
      </c>
      <c r="P6" s="37">
        <f t="shared" si="34"/>
        <v>2</v>
      </c>
      <c r="Q6" s="37">
        <f t="shared" si="34"/>
        <v>1</v>
      </c>
      <c r="R6" s="37">
        <f t="shared" si="34"/>
        <v>1</v>
      </c>
      <c r="S6" s="37">
        <f t="shared" si="34"/>
        <v>1</v>
      </c>
      <c r="T6" s="37">
        <f t="shared" si="34"/>
        <v>0</v>
      </c>
      <c r="U6" s="37">
        <f t="shared" si="34"/>
        <v>2</v>
      </c>
      <c r="V6" s="37">
        <f t="shared" si="34"/>
        <v>0</v>
      </c>
      <c r="W6" s="37">
        <f t="shared" si="34"/>
        <v>3</v>
      </c>
      <c r="X6" s="37">
        <f t="shared" si="34"/>
        <v>0</v>
      </c>
      <c r="Y6" s="37">
        <f t="shared" si="34"/>
        <v>1</v>
      </c>
      <c r="Z6" s="37">
        <f t="shared" si="34"/>
        <v>3</v>
      </c>
      <c r="AA6" s="37">
        <f t="shared" si="34"/>
        <v>0</v>
      </c>
      <c r="AB6" s="37">
        <f t="shared" si="34"/>
        <v>2</v>
      </c>
      <c r="AC6" s="37">
        <f t="shared" si="34"/>
        <v>2</v>
      </c>
      <c r="AD6" s="37">
        <f t="shared" si="34"/>
        <v>2</v>
      </c>
      <c r="AE6" s="37">
        <f t="shared" si="34"/>
        <v>1</v>
      </c>
      <c r="AF6" s="37">
        <f t="shared" si="34"/>
        <v>0</v>
      </c>
      <c r="AG6" s="37">
        <f t="shared" si="34"/>
        <v>4</v>
      </c>
      <c r="AH6" s="37">
        <f t="shared" si="34"/>
        <v>0</v>
      </c>
      <c r="AI6" s="37">
        <f t="shared" si="34"/>
        <v>1</v>
      </c>
      <c r="AJ6" s="37">
        <f t="shared" si="34"/>
        <v>2</v>
      </c>
      <c r="AK6" s="37">
        <f t="shared" si="34"/>
        <v>1</v>
      </c>
      <c r="AL6" s="37">
        <f t="shared" si="34"/>
        <v>1</v>
      </c>
      <c r="AM6" s="37">
        <f t="shared" ref="AM6:BI6" si="35">COUNTIF(AM118:AM123,"Surface")+COUNTIF(AM118:AM129,"Intermediate")+COUNTIF(AM118:AM128,"Production")+COUNTIF(AM133:AM137,"Imperial SH")</f>
        <v>0</v>
      </c>
      <c r="AN6" s="37">
        <f t="shared" si="35"/>
        <v>1</v>
      </c>
      <c r="AO6" s="37">
        <f t="shared" si="35"/>
        <v>1</v>
      </c>
      <c r="AP6" s="37">
        <f t="shared" si="35"/>
        <v>2</v>
      </c>
      <c r="AQ6" s="37">
        <f t="shared" si="35"/>
        <v>1</v>
      </c>
      <c r="AR6" s="37">
        <f t="shared" si="35"/>
        <v>0</v>
      </c>
      <c r="AS6" s="37">
        <f t="shared" si="35"/>
        <v>2</v>
      </c>
      <c r="AT6" s="37">
        <f t="shared" si="35"/>
        <v>0</v>
      </c>
      <c r="AU6" s="37">
        <f t="shared" si="35"/>
        <v>2</v>
      </c>
      <c r="AV6" s="37">
        <f t="shared" si="35"/>
        <v>1</v>
      </c>
      <c r="AW6" s="37">
        <f t="shared" si="35"/>
        <v>2</v>
      </c>
      <c r="AX6" s="37">
        <f t="shared" si="35"/>
        <v>1</v>
      </c>
      <c r="AY6" s="37">
        <f t="shared" si="35"/>
        <v>1</v>
      </c>
      <c r="AZ6" s="37">
        <f t="shared" si="35"/>
        <v>0</v>
      </c>
      <c r="BA6" s="37">
        <f t="shared" si="35"/>
        <v>2</v>
      </c>
      <c r="BB6" s="37">
        <f t="shared" si="35"/>
        <v>0</v>
      </c>
      <c r="BC6" s="37">
        <f t="shared" si="35"/>
        <v>1</v>
      </c>
      <c r="BD6" s="37">
        <f t="shared" si="35"/>
        <v>0</v>
      </c>
      <c r="BE6" s="37">
        <f t="shared" si="35"/>
        <v>2</v>
      </c>
      <c r="BF6" s="37">
        <f t="shared" si="35"/>
        <v>0</v>
      </c>
      <c r="BG6" s="37">
        <f t="shared" si="35"/>
        <v>0</v>
      </c>
      <c r="BH6" s="37">
        <f t="shared" si="35"/>
        <v>1</v>
      </c>
      <c r="BI6" s="37">
        <f t="shared" si="35"/>
        <v>1</v>
      </c>
      <c r="BJ6" s="37">
        <f t="shared" ref="BJ6:BU6" si="36">COUNTIF(BJ118:BJ123,"Surface")+COUNTIF(BJ118:BJ129,"Intermediate")+COUNTIF(BJ118:BJ129,"Production")+COUNTIF(BJ133:BJ137,"Imperial SH")</f>
        <v>2</v>
      </c>
      <c r="BK6" s="37">
        <f t="shared" si="36"/>
        <v>1</v>
      </c>
      <c r="BL6" s="37">
        <f t="shared" si="36"/>
        <v>1</v>
      </c>
      <c r="BM6" s="37">
        <f t="shared" si="36"/>
        <v>1</v>
      </c>
      <c r="BN6" s="37">
        <f t="shared" si="36"/>
        <v>1</v>
      </c>
      <c r="BO6" s="37">
        <f t="shared" si="36"/>
        <v>0</v>
      </c>
      <c r="BP6" s="37">
        <f t="shared" si="36"/>
        <v>0</v>
      </c>
      <c r="BQ6" s="37">
        <f t="shared" si="36"/>
        <v>1</v>
      </c>
      <c r="BR6" s="37">
        <f t="shared" si="36"/>
        <v>0</v>
      </c>
      <c r="BS6" s="37">
        <f t="shared" si="36"/>
        <v>0</v>
      </c>
      <c r="BT6" s="37">
        <f t="shared" si="36"/>
        <v>2</v>
      </c>
      <c r="BU6" s="37">
        <f t="shared" si="36"/>
        <v>0</v>
      </c>
      <c r="BV6" s="37">
        <f>COUNTIF(BV118:BV123,"Surface")+COUNTIF(BV118:BV129,"Intermediate")+COUNTIF(BV118:BV129,"Production")+COUNTIF(BV133:BV136,"Imperial SH")</f>
        <v>3</v>
      </c>
      <c r="BW6" s="37">
        <f>COUNTIF(BW118:BW123,"Surface")+COUNTIF(BW118:BW129,"Intermediate")+COUNTIF(BW118:BW129,"Production")+COUNTIF(BW133:BW135,"Imperial SH")</f>
        <v>1</v>
      </c>
      <c r="BX6" s="37">
        <f>COUNTIF(BX118:BX123,"Surface")+COUNTIF(BX118:BX129,"Intermediate")+COUNTIF(BX118:BX129,"Production")+COUNTIF(BX133:BX135,"Imperial SH")</f>
        <v>1</v>
      </c>
      <c r="BY6" s="37">
        <f t="shared" ref="BY6:EJ6" si="37">COUNTIF(BY118:BY123,"Surface")+COUNTIF(BY118:BY129,"Intermediate")+COUNTIF(BY118:BY129,"Production")+COUNTIF(BY133:BY137,"Imperial SH")</f>
        <v>2</v>
      </c>
      <c r="BZ6" s="37">
        <f t="shared" si="37"/>
        <v>2</v>
      </c>
      <c r="CA6" s="37">
        <f t="shared" si="37"/>
        <v>1</v>
      </c>
      <c r="CB6" s="37">
        <f t="shared" si="37"/>
        <v>1</v>
      </c>
      <c r="CC6" s="37">
        <f t="shared" si="37"/>
        <v>1</v>
      </c>
      <c r="CD6" s="37">
        <f t="shared" si="37"/>
        <v>1</v>
      </c>
      <c r="CE6" s="37">
        <f t="shared" si="37"/>
        <v>2</v>
      </c>
      <c r="CF6" s="37">
        <f t="shared" si="37"/>
        <v>2</v>
      </c>
      <c r="CG6" s="37">
        <f t="shared" si="37"/>
        <v>2</v>
      </c>
      <c r="CH6" s="37">
        <f t="shared" si="37"/>
        <v>3</v>
      </c>
      <c r="CI6" s="37">
        <f t="shared" si="37"/>
        <v>0</v>
      </c>
      <c r="CJ6" s="37">
        <f t="shared" si="37"/>
        <v>2</v>
      </c>
      <c r="CK6" s="37">
        <f t="shared" si="37"/>
        <v>2</v>
      </c>
      <c r="CL6" s="37">
        <f t="shared" si="37"/>
        <v>2</v>
      </c>
      <c r="CM6" s="37">
        <f t="shared" si="37"/>
        <v>1</v>
      </c>
      <c r="CN6" s="37">
        <f t="shared" si="37"/>
        <v>0</v>
      </c>
      <c r="CO6" s="37">
        <f t="shared" si="37"/>
        <v>2</v>
      </c>
      <c r="CP6" s="37">
        <f t="shared" si="37"/>
        <v>2</v>
      </c>
      <c r="CQ6" s="37">
        <f t="shared" si="37"/>
        <v>3</v>
      </c>
      <c r="CR6" s="37">
        <f t="shared" si="37"/>
        <v>1</v>
      </c>
      <c r="CS6" s="37">
        <f t="shared" si="37"/>
        <v>1</v>
      </c>
      <c r="CT6" s="37">
        <f t="shared" si="37"/>
        <v>3</v>
      </c>
      <c r="CU6" s="37">
        <f t="shared" si="37"/>
        <v>1</v>
      </c>
      <c r="CV6" s="37">
        <f t="shared" si="37"/>
        <v>2</v>
      </c>
      <c r="CW6" s="37">
        <f t="shared" si="37"/>
        <v>0</v>
      </c>
      <c r="CX6" s="37">
        <f t="shared" si="37"/>
        <v>1</v>
      </c>
      <c r="CY6" s="37">
        <f t="shared" si="37"/>
        <v>1</v>
      </c>
      <c r="CZ6" s="37">
        <f t="shared" si="37"/>
        <v>2</v>
      </c>
      <c r="DA6" s="37">
        <f t="shared" si="37"/>
        <v>2</v>
      </c>
      <c r="DB6" s="37">
        <f t="shared" si="37"/>
        <v>1</v>
      </c>
      <c r="DC6" s="37">
        <f t="shared" si="37"/>
        <v>2</v>
      </c>
      <c r="DD6" s="37">
        <f t="shared" si="37"/>
        <v>1</v>
      </c>
      <c r="DE6" s="37">
        <f t="shared" si="37"/>
        <v>2</v>
      </c>
      <c r="DF6" s="37">
        <f t="shared" si="37"/>
        <v>2</v>
      </c>
      <c r="DG6" s="37">
        <f t="shared" si="37"/>
        <v>1</v>
      </c>
      <c r="DH6" s="37">
        <f t="shared" si="37"/>
        <v>3</v>
      </c>
      <c r="DI6" s="37">
        <f t="shared" si="37"/>
        <v>2</v>
      </c>
      <c r="DJ6" s="37">
        <f t="shared" si="37"/>
        <v>2</v>
      </c>
      <c r="DK6" s="37">
        <f t="shared" si="37"/>
        <v>1</v>
      </c>
      <c r="DL6" s="37">
        <f t="shared" si="37"/>
        <v>3</v>
      </c>
      <c r="DM6" s="37">
        <f t="shared" si="37"/>
        <v>2</v>
      </c>
      <c r="DN6" s="37">
        <f t="shared" si="37"/>
        <v>3</v>
      </c>
      <c r="DO6" s="37">
        <f t="shared" si="37"/>
        <v>3</v>
      </c>
      <c r="DP6" s="37">
        <f t="shared" si="37"/>
        <v>2</v>
      </c>
      <c r="DQ6" s="37">
        <f t="shared" si="37"/>
        <v>2</v>
      </c>
      <c r="DR6" s="37">
        <f t="shared" si="37"/>
        <v>2</v>
      </c>
      <c r="DS6" s="37">
        <f t="shared" si="37"/>
        <v>2</v>
      </c>
      <c r="DT6" s="37">
        <f t="shared" si="37"/>
        <v>1</v>
      </c>
      <c r="DU6" s="37">
        <f t="shared" si="37"/>
        <v>3</v>
      </c>
      <c r="DV6" s="37">
        <f t="shared" si="37"/>
        <v>0</v>
      </c>
      <c r="DW6" s="37">
        <f t="shared" si="37"/>
        <v>1</v>
      </c>
      <c r="DX6" s="37">
        <f t="shared" si="37"/>
        <v>2</v>
      </c>
      <c r="DY6" s="37">
        <f t="shared" si="37"/>
        <v>1</v>
      </c>
      <c r="DZ6" s="37">
        <f t="shared" si="37"/>
        <v>2</v>
      </c>
      <c r="EA6" s="37">
        <f t="shared" si="37"/>
        <v>2</v>
      </c>
      <c r="EB6" s="37">
        <f t="shared" si="37"/>
        <v>1</v>
      </c>
      <c r="EC6" s="37">
        <f t="shared" si="37"/>
        <v>1</v>
      </c>
      <c r="ED6" s="37">
        <f t="shared" si="37"/>
        <v>3</v>
      </c>
      <c r="EE6" s="37">
        <f t="shared" si="37"/>
        <v>2</v>
      </c>
      <c r="EF6" s="37">
        <f t="shared" si="37"/>
        <v>3</v>
      </c>
      <c r="EG6" s="37">
        <f t="shared" si="37"/>
        <v>2</v>
      </c>
      <c r="EH6" s="37">
        <f t="shared" si="37"/>
        <v>2</v>
      </c>
      <c r="EI6" s="37">
        <f t="shared" si="37"/>
        <v>1</v>
      </c>
      <c r="EJ6" s="37">
        <f t="shared" si="37"/>
        <v>2</v>
      </c>
      <c r="EK6" s="37">
        <f t="shared" ref="EK6:GV6" si="38">COUNTIF(EK118:EK123,"Surface")+COUNTIF(EK118:EK129,"Intermediate")+COUNTIF(EK118:EK129,"Production")+COUNTIF(EK133:EK137,"Imperial SH")</f>
        <v>1</v>
      </c>
      <c r="EL6" s="37">
        <f t="shared" si="38"/>
        <v>1</v>
      </c>
      <c r="EM6" s="37">
        <f t="shared" si="38"/>
        <v>0</v>
      </c>
      <c r="EN6" s="37">
        <f t="shared" si="38"/>
        <v>2</v>
      </c>
      <c r="EO6" s="37">
        <f t="shared" si="38"/>
        <v>0</v>
      </c>
      <c r="EP6" s="37">
        <f t="shared" si="38"/>
        <v>2</v>
      </c>
      <c r="EQ6" s="37">
        <f t="shared" si="38"/>
        <v>0</v>
      </c>
      <c r="ER6" s="37">
        <f t="shared" si="38"/>
        <v>0</v>
      </c>
      <c r="ES6" s="37">
        <f t="shared" si="38"/>
        <v>0</v>
      </c>
      <c r="ET6" s="37">
        <f t="shared" si="38"/>
        <v>1</v>
      </c>
      <c r="EU6" s="37">
        <f t="shared" si="38"/>
        <v>0</v>
      </c>
      <c r="EV6" s="37">
        <f t="shared" si="38"/>
        <v>1</v>
      </c>
      <c r="EW6" s="37">
        <f t="shared" si="38"/>
        <v>0</v>
      </c>
      <c r="EX6" s="37">
        <f t="shared" si="38"/>
        <v>1</v>
      </c>
      <c r="EY6" s="37">
        <f t="shared" si="38"/>
        <v>1</v>
      </c>
      <c r="EZ6" s="37">
        <f t="shared" si="38"/>
        <v>0</v>
      </c>
      <c r="FA6" s="37">
        <f t="shared" si="38"/>
        <v>0</v>
      </c>
      <c r="FB6" s="37">
        <f t="shared" si="38"/>
        <v>0</v>
      </c>
      <c r="FC6" s="37">
        <f t="shared" si="38"/>
        <v>2</v>
      </c>
      <c r="FD6" s="37">
        <f t="shared" si="38"/>
        <v>1</v>
      </c>
      <c r="FE6" s="37">
        <f t="shared" si="38"/>
        <v>1</v>
      </c>
      <c r="FF6" s="37">
        <f t="shared" si="38"/>
        <v>1</v>
      </c>
      <c r="FG6" s="37">
        <f t="shared" si="38"/>
        <v>1</v>
      </c>
      <c r="FH6" s="37">
        <f t="shared" si="38"/>
        <v>0</v>
      </c>
      <c r="FI6" s="37">
        <f t="shared" si="38"/>
        <v>2</v>
      </c>
      <c r="FJ6" s="37">
        <f t="shared" si="38"/>
        <v>1</v>
      </c>
      <c r="FK6" s="37">
        <f t="shared" si="38"/>
        <v>2</v>
      </c>
      <c r="FL6" s="37">
        <f t="shared" si="38"/>
        <v>0</v>
      </c>
      <c r="FM6" s="37">
        <f t="shared" si="38"/>
        <v>1</v>
      </c>
      <c r="FN6" s="37">
        <f t="shared" si="38"/>
        <v>2</v>
      </c>
      <c r="FO6" s="37">
        <f t="shared" si="38"/>
        <v>1</v>
      </c>
      <c r="FP6" s="37">
        <f t="shared" si="38"/>
        <v>1</v>
      </c>
      <c r="FQ6" s="37">
        <f t="shared" si="38"/>
        <v>2</v>
      </c>
      <c r="FR6" s="37">
        <f t="shared" si="38"/>
        <v>2</v>
      </c>
      <c r="FS6" s="37">
        <f t="shared" si="38"/>
        <v>2</v>
      </c>
      <c r="FT6" s="37">
        <f t="shared" si="38"/>
        <v>1</v>
      </c>
      <c r="FU6" s="37">
        <f t="shared" si="38"/>
        <v>4</v>
      </c>
      <c r="FV6" s="37">
        <f t="shared" si="38"/>
        <v>2</v>
      </c>
      <c r="FW6" s="37">
        <f t="shared" si="38"/>
        <v>0</v>
      </c>
      <c r="FX6" s="37">
        <f t="shared" si="38"/>
        <v>1</v>
      </c>
      <c r="FY6" s="37">
        <f t="shared" si="38"/>
        <v>3</v>
      </c>
      <c r="FZ6" s="37">
        <f t="shared" si="38"/>
        <v>1</v>
      </c>
      <c r="GA6" s="37">
        <f t="shared" si="38"/>
        <v>2</v>
      </c>
      <c r="GB6" s="37">
        <f t="shared" si="38"/>
        <v>1</v>
      </c>
      <c r="GC6" s="37">
        <f t="shared" si="38"/>
        <v>3</v>
      </c>
      <c r="GD6" s="37">
        <f t="shared" si="38"/>
        <v>1</v>
      </c>
      <c r="GE6" s="37">
        <f t="shared" si="38"/>
        <v>4</v>
      </c>
      <c r="GF6" s="37">
        <f t="shared" si="38"/>
        <v>1</v>
      </c>
      <c r="GG6" s="37">
        <f t="shared" si="38"/>
        <v>2</v>
      </c>
      <c r="GH6" s="37">
        <f t="shared" si="38"/>
        <v>1</v>
      </c>
      <c r="GI6" s="37">
        <f t="shared" si="38"/>
        <v>2</v>
      </c>
      <c r="GJ6" s="37">
        <f t="shared" si="38"/>
        <v>2</v>
      </c>
      <c r="GK6" s="37">
        <f t="shared" si="38"/>
        <v>4</v>
      </c>
      <c r="GL6" s="37">
        <f t="shared" si="38"/>
        <v>0</v>
      </c>
      <c r="GM6" s="37">
        <f t="shared" si="38"/>
        <v>1</v>
      </c>
      <c r="GN6" s="37">
        <f t="shared" si="38"/>
        <v>1</v>
      </c>
      <c r="GO6" s="37">
        <f t="shared" si="38"/>
        <v>3</v>
      </c>
      <c r="GP6" s="37">
        <f t="shared" si="38"/>
        <v>0</v>
      </c>
      <c r="GQ6" s="37">
        <f t="shared" si="38"/>
        <v>3</v>
      </c>
      <c r="GR6" s="37">
        <f t="shared" si="38"/>
        <v>0</v>
      </c>
      <c r="GS6" s="37">
        <f t="shared" si="38"/>
        <v>1</v>
      </c>
      <c r="GT6" s="37">
        <f t="shared" si="38"/>
        <v>1</v>
      </c>
      <c r="GU6" s="37">
        <f t="shared" si="38"/>
        <v>1</v>
      </c>
      <c r="GV6" s="37">
        <f t="shared" si="38"/>
        <v>1</v>
      </c>
      <c r="GW6" s="37">
        <f t="shared" ref="GW6:JH6" si="39">COUNTIF(GW118:GW123,"Surface")+COUNTIF(GW118:GW129,"Intermediate")+COUNTIF(GW118:GW129,"Production")+COUNTIF(GW133:GW137,"Imperial SH")</f>
        <v>3</v>
      </c>
      <c r="GX6" s="37">
        <f t="shared" si="39"/>
        <v>1</v>
      </c>
      <c r="GY6" s="37">
        <f t="shared" si="39"/>
        <v>4</v>
      </c>
      <c r="GZ6" s="37">
        <f t="shared" si="39"/>
        <v>1</v>
      </c>
      <c r="HA6" s="37">
        <f t="shared" si="39"/>
        <v>1</v>
      </c>
      <c r="HB6" s="37">
        <f t="shared" si="39"/>
        <v>4</v>
      </c>
      <c r="HC6" s="37">
        <f t="shared" si="39"/>
        <v>1</v>
      </c>
      <c r="HD6" s="37">
        <f t="shared" si="39"/>
        <v>2</v>
      </c>
      <c r="HE6" s="37">
        <f t="shared" si="39"/>
        <v>1</v>
      </c>
      <c r="HF6" s="37">
        <f t="shared" si="39"/>
        <v>3</v>
      </c>
      <c r="HG6" s="37">
        <f t="shared" si="39"/>
        <v>3</v>
      </c>
      <c r="HH6" s="37">
        <f t="shared" si="39"/>
        <v>3</v>
      </c>
      <c r="HI6" s="37">
        <f t="shared" si="39"/>
        <v>1</v>
      </c>
      <c r="HJ6" s="37">
        <f t="shared" si="39"/>
        <v>3</v>
      </c>
      <c r="HK6" s="37">
        <f t="shared" si="39"/>
        <v>0</v>
      </c>
      <c r="HL6" s="37">
        <f t="shared" si="39"/>
        <v>2</v>
      </c>
      <c r="HM6" s="37">
        <f t="shared" si="39"/>
        <v>2</v>
      </c>
      <c r="HN6" s="37">
        <f t="shared" si="39"/>
        <v>2</v>
      </c>
      <c r="HO6" s="37">
        <f t="shared" si="39"/>
        <v>2</v>
      </c>
      <c r="HP6" s="37">
        <f t="shared" si="39"/>
        <v>1</v>
      </c>
      <c r="HQ6" s="37">
        <f t="shared" si="39"/>
        <v>2</v>
      </c>
      <c r="HR6" s="37">
        <f t="shared" si="39"/>
        <v>0</v>
      </c>
      <c r="HS6" s="37">
        <f t="shared" si="39"/>
        <v>1</v>
      </c>
      <c r="HT6" s="37">
        <f t="shared" si="39"/>
        <v>2</v>
      </c>
      <c r="HU6" s="37">
        <f t="shared" si="39"/>
        <v>1</v>
      </c>
      <c r="HV6" s="37">
        <f t="shared" si="39"/>
        <v>2</v>
      </c>
      <c r="HW6" s="37">
        <f t="shared" si="39"/>
        <v>1</v>
      </c>
      <c r="HX6" s="37">
        <f t="shared" si="39"/>
        <v>2</v>
      </c>
      <c r="HY6" s="37">
        <f t="shared" si="39"/>
        <v>1</v>
      </c>
      <c r="HZ6" s="37">
        <f t="shared" si="39"/>
        <v>0</v>
      </c>
      <c r="IA6" s="37">
        <f t="shared" si="39"/>
        <v>2</v>
      </c>
      <c r="IB6" s="37">
        <f t="shared" si="39"/>
        <v>0</v>
      </c>
      <c r="IC6" s="37">
        <f t="shared" si="39"/>
        <v>3</v>
      </c>
      <c r="ID6" s="37">
        <f t="shared" si="39"/>
        <v>1</v>
      </c>
      <c r="IE6" s="37">
        <f t="shared" si="39"/>
        <v>1</v>
      </c>
      <c r="IF6" s="37">
        <f t="shared" si="39"/>
        <v>1</v>
      </c>
      <c r="IG6" s="37">
        <f t="shared" si="39"/>
        <v>0</v>
      </c>
      <c r="IH6" s="37">
        <f t="shared" si="39"/>
        <v>2</v>
      </c>
      <c r="II6" s="37">
        <f t="shared" si="39"/>
        <v>1</v>
      </c>
      <c r="IJ6" s="37">
        <f t="shared" si="39"/>
        <v>2</v>
      </c>
      <c r="IK6" s="37">
        <f t="shared" si="39"/>
        <v>2</v>
      </c>
      <c r="IL6" s="37">
        <f t="shared" si="39"/>
        <v>0</v>
      </c>
      <c r="IM6" s="37">
        <f t="shared" si="39"/>
        <v>2</v>
      </c>
      <c r="IN6" s="37">
        <f t="shared" si="39"/>
        <v>2</v>
      </c>
      <c r="IO6" s="37">
        <f t="shared" si="39"/>
        <v>2</v>
      </c>
      <c r="IP6" s="37">
        <f t="shared" si="39"/>
        <v>2</v>
      </c>
      <c r="IQ6" s="37">
        <f t="shared" si="39"/>
        <v>3</v>
      </c>
      <c r="IR6" s="37">
        <f t="shared" si="39"/>
        <v>1</v>
      </c>
      <c r="IS6" s="37">
        <f t="shared" si="39"/>
        <v>0</v>
      </c>
      <c r="IT6" s="37">
        <f t="shared" si="39"/>
        <v>2</v>
      </c>
      <c r="IU6" s="37">
        <f t="shared" si="39"/>
        <v>2</v>
      </c>
      <c r="IV6" s="37">
        <f t="shared" si="39"/>
        <v>0</v>
      </c>
      <c r="IW6" s="37">
        <f t="shared" si="39"/>
        <v>4</v>
      </c>
      <c r="IX6" s="37">
        <f t="shared" si="39"/>
        <v>0</v>
      </c>
      <c r="IY6" s="37">
        <f t="shared" si="39"/>
        <v>0</v>
      </c>
      <c r="IZ6" s="37">
        <f t="shared" si="39"/>
        <v>2</v>
      </c>
      <c r="JA6" s="37">
        <f t="shared" si="39"/>
        <v>2</v>
      </c>
      <c r="JB6" s="37">
        <f t="shared" si="39"/>
        <v>3</v>
      </c>
      <c r="JC6" s="37">
        <f t="shared" si="39"/>
        <v>5</v>
      </c>
      <c r="JD6" s="37">
        <f t="shared" si="39"/>
        <v>2</v>
      </c>
      <c r="JE6" s="37">
        <f t="shared" si="39"/>
        <v>2</v>
      </c>
      <c r="JF6" s="37">
        <f t="shared" si="39"/>
        <v>5</v>
      </c>
      <c r="JG6" s="37">
        <f t="shared" si="39"/>
        <v>3</v>
      </c>
      <c r="JH6" s="37">
        <f t="shared" si="39"/>
        <v>2</v>
      </c>
      <c r="JI6" s="37">
        <f t="shared" ref="JI6:LT6" si="40">COUNTIF(JI118:JI123,"Surface")+COUNTIF(JI118:JI129,"Intermediate")+COUNTIF(JI118:JI129,"Production")+COUNTIF(JI133:JI137,"Imperial SH")</f>
        <v>6</v>
      </c>
      <c r="JJ6" s="37">
        <f t="shared" si="40"/>
        <v>2</v>
      </c>
      <c r="JK6" s="37">
        <f t="shared" si="40"/>
        <v>2</v>
      </c>
      <c r="JL6" s="37">
        <f t="shared" si="40"/>
        <v>3</v>
      </c>
      <c r="JM6" s="37">
        <f t="shared" si="40"/>
        <v>2</v>
      </c>
      <c r="JN6" s="37">
        <f t="shared" si="40"/>
        <v>1</v>
      </c>
      <c r="JO6" s="37">
        <f t="shared" si="40"/>
        <v>5</v>
      </c>
      <c r="JP6" s="37">
        <f t="shared" si="40"/>
        <v>0</v>
      </c>
      <c r="JQ6" s="37">
        <f t="shared" si="40"/>
        <v>3</v>
      </c>
      <c r="JR6" s="37">
        <f t="shared" si="40"/>
        <v>2</v>
      </c>
      <c r="JS6" s="37">
        <f t="shared" si="40"/>
        <v>3</v>
      </c>
      <c r="JT6" s="37">
        <f t="shared" si="40"/>
        <v>1</v>
      </c>
      <c r="JU6" s="37">
        <f t="shared" si="40"/>
        <v>4</v>
      </c>
      <c r="JV6" s="37">
        <f t="shared" si="40"/>
        <v>0</v>
      </c>
      <c r="JW6" s="37">
        <f t="shared" si="40"/>
        <v>2</v>
      </c>
      <c r="JX6" s="37">
        <f t="shared" si="40"/>
        <v>1</v>
      </c>
      <c r="JY6" s="37">
        <f t="shared" si="40"/>
        <v>2</v>
      </c>
      <c r="JZ6" s="37">
        <f t="shared" si="40"/>
        <v>2</v>
      </c>
      <c r="KA6" s="37">
        <f t="shared" si="40"/>
        <v>3</v>
      </c>
      <c r="KB6" s="37">
        <f t="shared" si="40"/>
        <v>0</v>
      </c>
      <c r="KC6" s="37">
        <f t="shared" si="40"/>
        <v>2</v>
      </c>
      <c r="KD6" s="37">
        <f t="shared" si="40"/>
        <v>1</v>
      </c>
      <c r="KE6" s="37">
        <f t="shared" si="40"/>
        <v>2</v>
      </c>
      <c r="KF6" s="37">
        <f t="shared" si="40"/>
        <v>1</v>
      </c>
      <c r="KG6" s="37">
        <f t="shared" si="40"/>
        <v>3</v>
      </c>
      <c r="KH6" s="37">
        <f t="shared" si="40"/>
        <v>0</v>
      </c>
      <c r="KI6" s="37">
        <f t="shared" si="40"/>
        <v>2</v>
      </c>
      <c r="KJ6" s="37">
        <f t="shared" si="40"/>
        <v>1</v>
      </c>
      <c r="KK6" s="37">
        <f t="shared" si="40"/>
        <v>2</v>
      </c>
      <c r="KL6" s="37">
        <f t="shared" si="40"/>
        <v>2</v>
      </c>
      <c r="KM6" s="37">
        <f t="shared" si="40"/>
        <v>3</v>
      </c>
      <c r="KN6" s="37">
        <f t="shared" si="40"/>
        <v>0</v>
      </c>
      <c r="KO6" s="37">
        <f t="shared" si="40"/>
        <v>3</v>
      </c>
      <c r="KP6" s="37">
        <f t="shared" si="40"/>
        <v>1</v>
      </c>
      <c r="KQ6" s="37">
        <f t="shared" si="40"/>
        <v>2</v>
      </c>
      <c r="KR6" s="37">
        <f t="shared" si="40"/>
        <v>2</v>
      </c>
      <c r="KS6" s="37">
        <f t="shared" si="40"/>
        <v>3</v>
      </c>
      <c r="KT6" s="37">
        <f t="shared" si="40"/>
        <v>0</v>
      </c>
      <c r="KU6" s="37">
        <f t="shared" si="40"/>
        <v>2</v>
      </c>
      <c r="KV6" s="37">
        <f t="shared" si="40"/>
        <v>0</v>
      </c>
      <c r="KW6" s="37">
        <f t="shared" si="40"/>
        <v>2</v>
      </c>
      <c r="KX6" s="37">
        <f t="shared" si="40"/>
        <v>2</v>
      </c>
      <c r="KY6" s="37">
        <f t="shared" si="40"/>
        <v>1</v>
      </c>
      <c r="KZ6" s="37">
        <f t="shared" si="40"/>
        <v>1</v>
      </c>
      <c r="LA6" s="37">
        <f t="shared" si="40"/>
        <v>0</v>
      </c>
      <c r="LB6" s="37">
        <f t="shared" si="40"/>
        <v>0</v>
      </c>
      <c r="LC6" s="37">
        <f t="shared" si="40"/>
        <v>1</v>
      </c>
      <c r="LD6" s="37">
        <f t="shared" si="40"/>
        <v>0</v>
      </c>
      <c r="LE6" s="37">
        <f t="shared" si="40"/>
        <v>2</v>
      </c>
      <c r="LF6" s="37">
        <f t="shared" si="40"/>
        <v>0</v>
      </c>
      <c r="LG6" s="37">
        <f t="shared" si="40"/>
        <v>0</v>
      </c>
      <c r="LH6" s="37">
        <f t="shared" si="40"/>
        <v>1</v>
      </c>
      <c r="LI6" s="37">
        <f t="shared" si="40"/>
        <v>1</v>
      </c>
      <c r="LJ6" s="37">
        <f t="shared" si="40"/>
        <v>0</v>
      </c>
      <c r="LK6" s="37">
        <f t="shared" si="40"/>
        <v>1</v>
      </c>
      <c r="LL6" s="37">
        <f t="shared" si="40"/>
        <v>0</v>
      </c>
      <c r="LM6" s="37">
        <f t="shared" si="40"/>
        <v>1</v>
      </c>
      <c r="LN6" s="37">
        <f t="shared" si="40"/>
        <v>0</v>
      </c>
      <c r="LO6" s="37">
        <f t="shared" si="40"/>
        <v>1</v>
      </c>
      <c r="LP6" s="37">
        <f t="shared" si="40"/>
        <v>1</v>
      </c>
      <c r="LQ6" s="37">
        <f t="shared" si="40"/>
        <v>1</v>
      </c>
      <c r="LR6" s="37">
        <f t="shared" si="40"/>
        <v>0</v>
      </c>
      <c r="LS6" s="37">
        <f t="shared" si="40"/>
        <v>0</v>
      </c>
      <c r="LT6" s="37">
        <f t="shared" si="40"/>
        <v>0</v>
      </c>
      <c r="LU6" s="37">
        <f t="shared" ref="LU6:MB6" si="41">COUNTIF(LU118:LU123,"Surface")+COUNTIF(LU118:LU129,"Intermediate")+COUNTIF(LU118:LU129,"Production")+COUNTIF(LU133:LU137,"Imperial SH")</f>
        <v>2</v>
      </c>
      <c r="LV6" s="37">
        <f t="shared" si="41"/>
        <v>0</v>
      </c>
      <c r="LW6" s="37">
        <f t="shared" si="41"/>
        <v>1</v>
      </c>
      <c r="LX6" s="37">
        <f t="shared" si="41"/>
        <v>1</v>
      </c>
      <c r="LY6" s="37">
        <f t="shared" si="41"/>
        <v>0</v>
      </c>
      <c r="LZ6" s="37">
        <f t="shared" si="41"/>
        <v>0</v>
      </c>
      <c r="MA6" s="37">
        <f t="shared" si="41"/>
        <v>1</v>
      </c>
      <c r="MB6" s="37">
        <f t="shared" si="41"/>
        <v>0</v>
      </c>
    </row>
    <row r="7" spans="1:340" s="32" customFormat="1" ht="15.75" thickBot="1">
      <c r="A7" s="190" t="s">
        <v>8</v>
      </c>
      <c r="B7" s="190"/>
      <c r="C7" s="190"/>
      <c r="D7" s="190"/>
      <c r="E7" s="190"/>
      <c r="F7" s="190"/>
      <c r="G7" s="37">
        <f t="shared" ref="G7:BR7" si="42">COUNTIF(G19:G302,"DR - 1 Unit")+COUNTIF(G19:G302,"DR - 2 Units")*2+COUNTIF(G19:G302,"Standby")</f>
        <v>0</v>
      </c>
      <c r="H7" s="37">
        <f t="shared" si="42"/>
        <v>0</v>
      </c>
      <c r="I7" s="37">
        <f t="shared" si="42"/>
        <v>0</v>
      </c>
      <c r="J7" s="37">
        <f t="shared" si="42"/>
        <v>0</v>
      </c>
      <c r="K7" s="37">
        <f t="shared" si="42"/>
        <v>0</v>
      </c>
      <c r="L7" s="37">
        <f t="shared" si="42"/>
        <v>0</v>
      </c>
      <c r="M7" s="37">
        <f t="shared" si="42"/>
        <v>0</v>
      </c>
      <c r="N7" s="37">
        <f t="shared" si="42"/>
        <v>0</v>
      </c>
      <c r="O7" s="37">
        <f t="shared" si="42"/>
        <v>0</v>
      </c>
      <c r="P7" s="37">
        <f t="shared" si="42"/>
        <v>1</v>
      </c>
      <c r="Q7" s="37">
        <f t="shared" si="42"/>
        <v>0</v>
      </c>
      <c r="R7" s="37">
        <f t="shared" si="42"/>
        <v>0</v>
      </c>
      <c r="S7" s="37">
        <f t="shared" si="42"/>
        <v>0</v>
      </c>
      <c r="T7" s="37">
        <f t="shared" si="42"/>
        <v>0</v>
      </c>
      <c r="U7" s="37">
        <f t="shared" si="42"/>
        <v>0</v>
      </c>
      <c r="V7" s="37">
        <f t="shared" si="42"/>
        <v>4</v>
      </c>
      <c r="W7" s="37">
        <f t="shared" si="42"/>
        <v>3</v>
      </c>
      <c r="X7" s="37">
        <f t="shared" si="42"/>
        <v>2</v>
      </c>
      <c r="Y7" s="37">
        <f t="shared" si="42"/>
        <v>3</v>
      </c>
      <c r="Z7" s="37">
        <f t="shared" si="42"/>
        <v>0</v>
      </c>
      <c r="AA7" s="37">
        <f t="shared" si="42"/>
        <v>1</v>
      </c>
      <c r="AB7" s="37">
        <f t="shared" si="42"/>
        <v>0</v>
      </c>
      <c r="AC7" s="37">
        <f t="shared" si="42"/>
        <v>0</v>
      </c>
      <c r="AD7" s="37">
        <f t="shared" si="42"/>
        <v>1</v>
      </c>
      <c r="AE7" s="37">
        <f t="shared" si="42"/>
        <v>0</v>
      </c>
      <c r="AF7" s="37">
        <f t="shared" si="42"/>
        <v>0</v>
      </c>
      <c r="AG7" s="37">
        <f t="shared" si="42"/>
        <v>0</v>
      </c>
      <c r="AH7" s="37">
        <f t="shared" si="42"/>
        <v>0</v>
      </c>
      <c r="AI7" s="37">
        <f t="shared" si="42"/>
        <v>1</v>
      </c>
      <c r="AJ7" s="37">
        <f t="shared" si="42"/>
        <v>2</v>
      </c>
      <c r="AK7" s="37">
        <f t="shared" si="42"/>
        <v>2</v>
      </c>
      <c r="AL7" s="37">
        <f t="shared" si="42"/>
        <v>0</v>
      </c>
      <c r="AM7" s="37">
        <f t="shared" si="42"/>
        <v>0</v>
      </c>
      <c r="AN7" s="37">
        <f t="shared" si="42"/>
        <v>1</v>
      </c>
      <c r="AO7" s="37">
        <f t="shared" si="42"/>
        <v>0</v>
      </c>
      <c r="AP7" s="37">
        <f t="shared" si="42"/>
        <v>0</v>
      </c>
      <c r="AQ7" s="37">
        <f t="shared" si="42"/>
        <v>0</v>
      </c>
      <c r="AR7" s="37">
        <f t="shared" si="42"/>
        <v>1</v>
      </c>
      <c r="AS7" s="37">
        <f t="shared" si="42"/>
        <v>0</v>
      </c>
      <c r="AT7" s="37">
        <f t="shared" si="42"/>
        <v>0</v>
      </c>
      <c r="AU7" s="37">
        <f t="shared" si="42"/>
        <v>0</v>
      </c>
      <c r="AV7" s="37">
        <f t="shared" si="42"/>
        <v>0</v>
      </c>
      <c r="AW7" s="37">
        <f t="shared" si="42"/>
        <v>0</v>
      </c>
      <c r="AX7" s="37">
        <f t="shared" si="42"/>
        <v>1</v>
      </c>
      <c r="AY7" s="37">
        <f t="shared" si="42"/>
        <v>1</v>
      </c>
      <c r="AZ7" s="37">
        <f t="shared" si="42"/>
        <v>0</v>
      </c>
      <c r="BA7" s="37">
        <f t="shared" si="42"/>
        <v>0</v>
      </c>
      <c r="BB7" s="37">
        <f t="shared" si="42"/>
        <v>0</v>
      </c>
      <c r="BC7" s="37">
        <f t="shared" si="42"/>
        <v>0</v>
      </c>
      <c r="BD7" s="37">
        <f t="shared" si="42"/>
        <v>0</v>
      </c>
      <c r="BE7" s="37">
        <f t="shared" si="42"/>
        <v>0</v>
      </c>
      <c r="BF7" s="37">
        <f t="shared" si="42"/>
        <v>0</v>
      </c>
      <c r="BG7" s="37">
        <f t="shared" si="42"/>
        <v>2</v>
      </c>
      <c r="BH7" s="37">
        <f t="shared" si="42"/>
        <v>2</v>
      </c>
      <c r="BI7" s="37">
        <f t="shared" si="42"/>
        <v>0</v>
      </c>
      <c r="BJ7" s="37">
        <f t="shared" si="42"/>
        <v>0</v>
      </c>
      <c r="BK7" s="37">
        <f t="shared" si="42"/>
        <v>0</v>
      </c>
      <c r="BL7" s="37">
        <f t="shared" si="42"/>
        <v>0</v>
      </c>
      <c r="BM7" s="37">
        <f t="shared" si="42"/>
        <v>0</v>
      </c>
      <c r="BN7" s="37">
        <f t="shared" si="42"/>
        <v>0</v>
      </c>
      <c r="BO7" s="37">
        <f t="shared" si="42"/>
        <v>0</v>
      </c>
      <c r="BP7" s="37">
        <f t="shared" si="42"/>
        <v>0</v>
      </c>
      <c r="BQ7" s="37">
        <f t="shared" si="42"/>
        <v>0</v>
      </c>
      <c r="BR7" s="37">
        <f t="shared" si="42"/>
        <v>0</v>
      </c>
      <c r="BS7" s="37">
        <f t="shared" ref="BS7:ED7" si="43">COUNTIF(BS19:BS302,"DR - 1 Unit")+COUNTIF(BS19:BS302,"DR - 2 Units")*2+COUNTIF(BS19:BS302,"Standby")</f>
        <v>0</v>
      </c>
      <c r="BT7" s="37">
        <f t="shared" si="43"/>
        <v>0</v>
      </c>
      <c r="BU7" s="37">
        <f t="shared" si="43"/>
        <v>0</v>
      </c>
      <c r="BV7" s="37">
        <f t="shared" si="43"/>
        <v>0</v>
      </c>
      <c r="BW7" s="37">
        <f t="shared" si="43"/>
        <v>0</v>
      </c>
      <c r="BX7" s="37">
        <f t="shared" si="43"/>
        <v>0</v>
      </c>
      <c r="BY7" s="37">
        <f t="shared" si="43"/>
        <v>0</v>
      </c>
      <c r="BZ7" s="37">
        <f t="shared" si="43"/>
        <v>0</v>
      </c>
      <c r="CA7" s="37">
        <f t="shared" si="43"/>
        <v>0</v>
      </c>
      <c r="CB7" s="37">
        <f t="shared" si="43"/>
        <v>0</v>
      </c>
      <c r="CC7" s="37">
        <f t="shared" si="43"/>
        <v>0</v>
      </c>
      <c r="CD7" s="37">
        <f t="shared" si="43"/>
        <v>0</v>
      </c>
      <c r="CE7" s="37">
        <f t="shared" si="43"/>
        <v>1</v>
      </c>
      <c r="CF7" s="37">
        <f t="shared" si="43"/>
        <v>2</v>
      </c>
      <c r="CG7" s="37">
        <f t="shared" si="43"/>
        <v>0</v>
      </c>
      <c r="CH7" s="37">
        <f t="shared" si="43"/>
        <v>0</v>
      </c>
      <c r="CI7" s="37">
        <f t="shared" si="43"/>
        <v>2</v>
      </c>
      <c r="CJ7" s="37">
        <f t="shared" si="43"/>
        <v>0</v>
      </c>
      <c r="CK7" s="37">
        <f t="shared" si="43"/>
        <v>0</v>
      </c>
      <c r="CL7" s="37">
        <f t="shared" si="43"/>
        <v>0</v>
      </c>
      <c r="CM7" s="37">
        <f t="shared" si="43"/>
        <v>0</v>
      </c>
      <c r="CN7" s="37">
        <f t="shared" si="43"/>
        <v>0</v>
      </c>
      <c r="CO7" s="37">
        <f t="shared" si="43"/>
        <v>0</v>
      </c>
      <c r="CP7" s="37">
        <f t="shared" si="43"/>
        <v>0</v>
      </c>
      <c r="CQ7" s="37">
        <f t="shared" si="43"/>
        <v>1</v>
      </c>
      <c r="CR7" s="37">
        <f t="shared" si="43"/>
        <v>1</v>
      </c>
      <c r="CS7" s="37">
        <f t="shared" si="43"/>
        <v>0</v>
      </c>
      <c r="CT7" s="37">
        <f t="shared" si="43"/>
        <v>1</v>
      </c>
      <c r="CU7" s="37">
        <f t="shared" si="43"/>
        <v>0</v>
      </c>
      <c r="CV7" s="37">
        <f t="shared" si="43"/>
        <v>0</v>
      </c>
      <c r="CW7" s="37">
        <f t="shared" si="43"/>
        <v>2</v>
      </c>
      <c r="CX7" s="37">
        <f t="shared" si="43"/>
        <v>0</v>
      </c>
      <c r="CY7" s="37">
        <f t="shared" si="43"/>
        <v>0</v>
      </c>
      <c r="CZ7" s="37">
        <f t="shared" si="43"/>
        <v>0</v>
      </c>
      <c r="DA7" s="37">
        <f t="shared" si="43"/>
        <v>0</v>
      </c>
      <c r="DB7" s="37">
        <f t="shared" si="43"/>
        <v>0</v>
      </c>
      <c r="DC7" s="37">
        <f t="shared" si="43"/>
        <v>0</v>
      </c>
      <c r="DD7" s="37">
        <f t="shared" si="43"/>
        <v>0</v>
      </c>
      <c r="DE7" s="37">
        <f t="shared" si="43"/>
        <v>0</v>
      </c>
      <c r="DF7" s="37">
        <f t="shared" si="43"/>
        <v>0</v>
      </c>
      <c r="DG7" s="37">
        <f t="shared" si="43"/>
        <v>0</v>
      </c>
      <c r="DH7" s="37">
        <f t="shared" si="43"/>
        <v>0</v>
      </c>
      <c r="DI7" s="37">
        <f t="shared" si="43"/>
        <v>0</v>
      </c>
      <c r="DJ7" s="37">
        <f t="shared" si="43"/>
        <v>0</v>
      </c>
      <c r="DK7" s="37">
        <f t="shared" si="43"/>
        <v>0</v>
      </c>
      <c r="DL7" s="37">
        <f t="shared" si="43"/>
        <v>0</v>
      </c>
      <c r="DM7" s="37">
        <f t="shared" si="43"/>
        <v>0</v>
      </c>
      <c r="DN7" s="37">
        <f t="shared" si="43"/>
        <v>0</v>
      </c>
      <c r="DO7" s="37">
        <f t="shared" si="43"/>
        <v>0</v>
      </c>
      <c r="DP7" s="37">
        <f t="shared" si="43"/>
        <v>0</v>
      </c>
      <c r="DQ7" s="37">
        <f t="shared" si="43"/>
        <v>0</v>
      </c>
      <c r="DR7" s="37">
        <f t="shared" si="43"/>
        <v>0</v>
      </c>
      <c r="DS7" s="37">
        <f t="shared" si="43"/>
        <v>0</v>
      </c>
      <c r="DT7" s="37">
        <f t="shared" si="43"/>
        <v>0</v>
      </c>
      <c r="DU7" s="37">
        <f t="shared" si="43"/>
        <v>0</v>
      </c>
      <c r="DV7" s="37">
        <f t="shared" si="43"/>
        <v>0</v>
      </c>
      <c r="DW7" s="37">
        <f t="shared" si="43"/>
        <v>0</v>
      </c>
      <c r="DX7" s="37">
        <f t="shared" si="43"/>
        <v>0</v>
      </c>
      <c r="DY7" s="37">
        <f t="shared" si="43"/>
        <v>0</v>
      </c>
      <c r="DZ7" s="37">
        <f t="shared" si="43"/>
        <v>0</v>
      </c>
      <c r="EA7" s="37">
        <f t="shared" si="43"/>
        <v>0</v>
      </c>
      <c r="EB7" s="37">
        <f t="shared" si="43"/>
        <v>0</v>
      </c>
      <c r="EC7" s="37">
        <f t="shared" si="43"/>
        <v>0</v>
      </c>
      <c r="ED7" s="37">
        <f t="shared" si="43"/>
        <v>1</v>
      </c>
      <c r="EE7" s="37">
        <f t="shared" ref="EE7:GP7" si="44">COUNTIF(EE19:EE302,"DR - 1 Unit")+COUNTIF(EE19:EE302,"DR - 2 Units")*2+COUNTIF(EE19:EE302,"Standby")</f>
        <v>3</v>
      </c>
      <c r="EF7" s="37">
        <f t="shared" si="44"/>
        <v>0</v>
      </c>
      <c r="EG7" s="37">
        <f t="shared" si="44"/>
        <v>0</v>
      </c>
      <c r="EH7" s="37">
        <f t="shared" si="44"/>
        <v>0</v>
      </c>
      <c r="EI7" s="37">
        <f t="shared" si="44"/>
        <v>2</v>
      </c>
      <c r="EJ7" s="37">
        <f t="shared" si="44"/>
        <v>0</v>
      </c>
      <c r="EK7" s="37">
        <f t="shared" si="44"/>
        <v>2</v>
      </c>
      <c r="EL7" s="37">
        <f t="shared" si="44"/>
        <v>0</v>
      </c>
      <c r="EM7" s="37">
        <f t="shared" si="44"/>
        <v>0</v>
      </c>
      <c r="EN7" s="37">
        <f t="shared" si="44"/>
        <v>0</v>
      </c>
      <c r="EO7" s="37">
        <f t="shared" si="44"/>
        <v>0</v>
      </c>
      <c r="EP7" s="37">
        <f t="shared" si="44"/>
        <v>0</v>
      </c>
      <c r="EQ7" s="37">
        <f t="shared" si="44"/>
        <v>0</v>
      </c>
      <c r="ER7" s="37">
        <f t="shared" si="44"/>
        <v>0</v>
      </c>
      <c r="ES7" s="37">
        <f t="shared" si="44"/>
        <v>0</v>
      </c>
      <c r="ET7" s="37">
        <f t="shared" si="44"/>
        <v>0</v>
      </c>
      <c r="EU7" s="37">
        <f t="shared" si="44"/>
        <v>0</v>
      </c>
      <c r="EV7" s="37">
        <f t="shared" si="44"/>
        <v>0</v>
      </c>
      <c r="EW7" s="37">
        <f t="shared" si="44"/>
        <v>0</v>
      </c>
      <c r="EX7" s="37">
        <f t="shared" si="44"/>
        <v>0</v>
      </c>
      <c r="EY7" s="37">
        <f t="shared" si="44"/>
        <v>0</v>
      </c>
      <c r="EZ7" s="37">
        <f t="shared" si="44"/>
        <v>0</v>
      </c>
      <c r="FA7" s="37">
        <f t="shared" si="44"/>
        <v>0</v>
      </c>
      <c r="FB7" s="37">
        <f t="shared" si="44"/>
        <v>0</v>
      </c>
      <c r="FC7" s="37">
        <f t="shared" si="44"/>
        <v>0</v>
      </c>
      <c r="FD7" s="37">
        <f t="shared" si="44"/>
        <v>0</v>
      </c>
      <c r="FE7" s="37">
        <f t="shared" si="44"/>
        <v>0</v>
      </c>
      <c r="FF7" s="37">
        <f t="shared" si="44"/>
        <v>0</v>
      </c>
      <c r="FG7" s="37">
        <f t="shared" si="44"/>
        <v>0</v>
      </c>
      <c r="FH7" s="37">
        <f t="shared" si="44"/>
        <v>0</v>
      </c>
      <c r="FI7" s="37">
        <f t="shared" si="44"/>
        <v>0</v>
      </c>
      <c r="FJ7" s="37">
        <f t="shared" si="44"/>
        <v>0</v>
      </c>
      <c r="FK7" s="37">
        <f t="shared" si="44"/>
        <v>2</v>
      </c>
      <c r="FL7" s="37">
        <f t="shared" si="44"/>
        <v>0</v>
      </c>
      <c r="FM7" s="37">
        <f t="shared" si="44"/>
        <v>0</v>
      </c>
      <c r="FN7" s="37">
        <f t="shared" si="44"/>
        <v>0</v>
      </c>
      <c r="FO7" s="37">
        <f t="shared" si="44"/>
        <v>0</v>
      </c>
      <c r="FP7" s="37">
        <f t="shared" si="44"/>
        <v>0</v>
      </c>
      <c r="FQ7" s="37">
        <f t="shared" si="44"/>
        <v>0</v>
      </c>
      <c r="FR7" s="37">
        <f t="shared" si="44"/>
        <v>0</v>
      </c>
      <c r="FS7" s="37">
        <f t="shared" si="44"/>
        <v>0</v>
      </c>
      <c r="FT7" s="37">
        <f t="shared" si="44"/>
        <v>0</v>
      </c>
      <c r="FU7" s="37">
        <f t="shared" si="44"/>
        <v>0</v>
      </c>
      <c r="FV7" s="37">
        <f t="shared" si="44"/>
        <v>0</v>
      </c>
      <c r="FW7" s="37">
        <f t="shared" si="44"/>
        <v>0</v>
      </c>
      <c r="FX7" s="37">
        <f t="shared" si="44"/>
        <v>0</v>
      </c>
      <c r="FY7" s="37">
        <f t="shared" si="44"/>
        <v>0</v>
      </c>
      <c r="FZ7" s="37">
        <f t="shared" si="44"/>
        <v>0</v>
      </c>
      <c r="GA7" s="37">
        <f t="shared" si="44"/>
        <v>0</v>
      </c>
      <c r="GB7" s="37">
        <f t="shared" si="44"/>
        <v>0</v>
      </c>
      <c r="GC7" s="37">
        <f t="shared" si="44"/>
        <v>0</v>
      </c>
      <c r="GD7" s="37">
        <f t="shared" si="44"/>
        <v>1</v>
      </c>
      <c r="GE7" s="37">
        <f t="shared" si="44"/>
        <v>0</v>
      </c>
      <c r="GF7" s="37">
        <f t="shared" si="44"/>
        <v>0</v>
      </c>
      <c r="GG7" s="37">
        <f t="shared" si="44"/>
        <v>0</v>
      </c>
      <c r="GH7" s="37">
        <f t="shared" si="44"/>
        <v>0</v>
      </c>
      <c r="GI7" s="37">
        <f t="shared" si="44"/>
        <v>0</v>
      </c>
      <c r="GJ7" s="37">
        <f t="shared" si="44"/>
        <v>0</v>
      </c>
      <c r="GK7" s="37">
        <f t="shared" si="44"/>
        <v>0</v>
      </c>
      <c r="GL7" s="37">
        <f t="shared" si="44"/>
        <v>1</v>
      </c>
      <c r="GM7" s="37">
        <f t="shared" si="44"/>
        <v>0</v>
      </c>
      <c r="GN7" s="37">
        <f t="shared" si="44"/>
        <v>1</v>
      </c>
      <c r="GO7" s="37">
        <f t="shared" si="44"/>
        <v>1</v>
      </c>
      <c r="GP7" s="37">
        <f t="shared" si="44"/>
        <v>1</v>
      </c>
      <c r="GQ7" s="37">
        <f t="shared" ref="GQ7:JB7" si="45">COUNTIF(GQ19:GQ302,"DR - 1 Unit")+COUNTIF(GQ19:GQ302,"DR - 2 Units")*2+COUNTIF(GQ19:GQ302,"Standby")</f>
        <v>0</v>
      </c>
      <c r="GR7" s="37">
        <f t="shared" si="45"/>
        <v>3</v>
      </c>
      <c r="GS7" s="37">
        <f t="shared" si="45"/>
        <v>1</v>
      </c>
      <c r="GT7" s="37">
        <f t="shared" si="45"/>
        <v>0</v>
      </c>
      <c r="GU7" s="37">
        <f t="shared" si="45"/>
        <v>0</v>
      </c>
      <c r="GV7" s="37">
        <f t="shared" si="45"/>
        <v>0</v>
      </c>
      <c r="GW7" s="37">
        <f t="shared" si="45"/>
        <v>0</v>
      </c>
      <c r="GX7" s="37">
        <f t="shared" si="45"/>
        <v>0</v>
      </c>
      <c r="GY7" s="37">
        <f t="shared" si="45"/>
        <v>0</v>
      </c>
      <c r="GZ7" s="37">
        <f t="shared" si="45"/>
        <v>1</v>
      </c>
      <c r="HA7" s="37">
        <f t="shared" si="45"/>
        <v>0</v>
      </c>
      <c r="HB7" s="37">
        <f t="shared" si="45"/>
        <v>0</v>
      </c>
      <c r="HC7" s="37">
        <f t="shared" si="45"/>
        <v>0</v>
      </c>
      <c r="HD7" s="37">
        <f t="shared" si="45"/>
        <v>0</v>
      </c>
      <c r="HE7" s="37">
        <f t="shared" si="45"/>
        <v>0</v>
      </c>
      <c r="HF7" s="37">
        <f t="shared" si="45"/>
        <v>0</v>
      </c>
      <c r="HG7" s="37">
        <f t="shared" si="45"/>
        <v>0</v>
      </c>
      <c r="HH7" s="37">
        <f t="shared" si="45"/>
        <v>0</v>
      </c>
      <c r="HI7" s="37">
        <f t="shared" si="45"/>
        <v>1</v>
      </c>
      <c r="HJ7" s="37">
        <f t="shared" si="45"/>
        <v>1</v>
      </c>
      <c r="HK7" s="37">
        <f t="shared" si="45"/>
        <v>3</v>
      </c>
      <c r="HL7" s="37">
        <f t="shared" si="45"/>
        <v>0</v>
      </c>
      <c r="HM7" s="37">
        <f t="shared" si="45"/>
        <v>0</v>
      </c>
      <c r="HN7" s="37">
        <f t="shared" si="45"/>
        <v>0</v>
      </c>
      <c r="HO7" s="37">
        <f t="shared" si="45"/>
        <v>1</v>
      </c>
      <c r="HP7" s="37">
        <f t="shared" si="45"/>
        <v>2</v>
      </c>
      <c r="HQ7" s="37">
        <f t="shared" si="45"/>
        <v>0</v>
      </c>
      <c r="HR7" s="37">
        <f t="shared" si="45"/>
        <v>0</v>
      </c>
      <c r="HS7" s="37">
        <f t="shared" si="45"/>
        <v>1</v>
      </c>
      <c r="HT7" s="37">
        <f t="shared" si="45"/>
        <v>0</v>
      </c>
      <c r="HU7" s="37">
        <f t="shared" si="45"/>
        <v>1</v>
      </c>
      <c r="HV7" s="37">
        <f t="shared" si="45"/>
        <v>0</v>
      </c>
      <c r="HW7" s="37">
        <f t="shared" si="45"/>
        <v>1</v>
      </c>
      <c r="HX7" s="37">
        <f t="shared" si="45"/>
        <v>0</v>
      </c>
      <c r="HY7" s="37">
        <f t="shared" si="45"/>
        <v>0</v>
      </c>
      <c r="HZ7" s="37">
        <f t="shared" si="45"/>
        <v>1</v>
      </c>
      <c r="IA7" s="37">
        <f t="shared" si="45"/>
        <v>0</v>
      </c>
      <c r="IB7" s="37">
        <f t="shared" si="45"/>
        <v>1</v>
      </c>
      <c r="IC7" s="37">
        <f t="shared" si="45"/>
        <v>0</v>
      </c>
      <c r="ID7" s="37">
        <f t="shared" si="45"/>
        <v>0</v>
      </c>
      <c r="IE7" s="37">
        <f t="shared" si="45"/>
        <v>0</v>
      </c>
      <c r="IF7" s="37">
        <f t="shared" si="45"/>
        <v>0</v>
      </c>
      <c r="IG7" s="37">
        <f t="shared" si="45"/>
        <v>1</v>
      </c>
      <c r="IH7" s="37">
        <f t="shared" si="45"/>
        <v>0</v>
      </c>
      <c r="II7" s="37">
        <f t="shared" si="45"/>
        <v>1</v>
      </c>
      <c r="IJ7" s="37">
        <f t="shared" si="45"/>
        <v>0</v>
      </c>
      <c r="IK7" s="37">
        <f t="shared" si="45"/>
        <v>0</v>
      </c>
      <c r="IL7" s="37">
        <f t="shared" si="45"/>
        <v>0</v>
      </c>
      <c r="IM7" s="37">
        <f t="shared" si="45"/>
        <v>0</v>
      </c>
      <c r="IN7" s="37">
        <f t="shared" si="45"/>
        <v>0</v>
      </c>
      <c r="IO7" s="37">
        <f t="shared" si="45"/>
        <v>0</v>
      </c>
      <c r="IP7" s="37">
        <f t="shared" si="45"/>
        <v>0</v>
      </c>
      <c r="IQ7" s="37">
        <f t="shared" si="45"/>
        <v>0</v>
      </c>
      <c r="IR7" s="37">
        <f t="shared" si="45"/>
        <v>0</v>
      </c>
      <c r="IS7" s="37">
        <f t="shared" si="45"/>
        <v>0</v>
      </c>
      <c r="IT7" s="37">
        <f t="shared" si="45"/>
        <v>0</v>
      </c>
      <c r="IU7" s="37">
        <f t="shared" si="45"/>
        <v>0</v>
      </c>
      <c r="IV7" s="37">
        <f t="shared" si="45"/>
        <v>0</v>
      </c>
      <c r="IW7" s="37">
        <f t="shared" si="45"/>
        <v>0</v>
      </c>
      <c r="IX7" s="37">
        <f t="shared" si="45"/>
        <v>0</v>
      </c>
      <c r="IY7" s="37">
        <f t="shared" si="45"/>
        <v>0</v>
      </c>
      <c r="IZ7" s="37">
        <f t="shared" si="45"/>
        <v>0</v>
      </c>
      <c r="JA7" s="37">
        <f t="shared" si="45"/>
        <v>0</v>
      </c>
      <c r="JB7" s="37">
        <f t="shared" si="45"/>
        <v>0</v>
      </c>
      <c r="JC7" s="37">
        <f t="shared" ref="JC7:LN7" si="46">COUNTIF(JC19:JC302,"DR - 1 Unit")+COUNTIF(JC19:JC302,"DR - 2 Units")*2+COUNTIF(JC19:JC302,"Standby")</f>
        <v>0</v>
      </c>
      <c r="JD7" s="37">
        <f t="shared" si="46"/>
        <v>0</v>
      </c>
      <c r="JE7" s="37">
        <f t="shared" si="46"/>
        <v>0</v>
      </c>
      <c r="JF7" s="37">
        <f t="shared" si="46"/>
        <v>0</v>
      </c>
      <c r="JG7" s="37">
        <f t="shared" si="46"/>
        <v>0</v>
      </c>
      <c r="JH7" s="37">
        <f t="shared" si="46"/>
        <v>0</v>
      </c>
      <c r="JI7" s="37">
        <f t="shared" si="46"/>
        <v>0</v>
      </c>
      <c r="JJ7" s="37">
        <f t="shared" si="46"/>
        <v>0</v>
      </c>
      <c r="JK7" s="37">
        <f t="shared" si="46"/>
        <v>0</v>
      </c>
      <c r="JL7" s="37">
        <f t="shared" si="46"/>
        <v>0</v>
      </c>
      <c r="JM7" s="37">
        <f t="shared" si="46"/>
        <v>0</v>
      </c>
      <c r="JN7" s="37">
        <f t="shared" si="46"/>
        <v>0</v>
      </c>
      <c r="JO7" s="37">
        <f t="shared" si="46"/>
        <v>0</v>
      </c>
      <c r="JP7" s="37">
        <f t="shared" si="46"/>
        <v>0</v>
      </c>
      <c r="JQ7" s="37">
        <f t="shared" si="46"/>
        <v>0</v>
      </c>
      <c r="JR7" s="37">
        <f t="shared" si="46"/>
        <v>0</v>
      </c>
      <c r="JS7" s="37">
        <f t="shared" si="46"/>
        <v>0</v>
      </c>
      <c r="JT7" s="37">
        <f t="shared" si="46"/>
        <v>0</v>
      </c>
      <c r="JU7" s="37">
        <f t="shared" si="46"/>
        <v>0</v>
      </c>
      <c r="JV7" s="37">
        <f t="shared" si="46"/>
        <v>0</v>
      </c>
      <c r="JW7" s="37">
        <f t="shared" si="46"/>
        <v>0</v>
      </c>
      <c r="JX7" s="37">
        <f t="shared" si="46"/>
        <v>0</v>
      </c>
      <c r="JY7" s="37">
        <f t="shared" si="46"/>
        <v>0</v>
      </c>
      <c r="JZ7" s="37">
        <f t="shared" si="46"/>
        <v>0</v>
      </c>
      <c r="KA7" s="37">
        <f t="shared" si="46"/>
        <v>0</v>
      </c>
      <c r="KB7" s="37">
        <f t="shared" si="46"/>
        <v>0</v>
      </c>
      <c r="KC7" s="37">
        <f t="shared" si="46"/>
        <v>0</v>
      </c>
      <c r="KD7" s="37">
        <f t="shared" si="46"/>
        <v>0</v>
      </c>
      <c r="KE7" s="37">
        <f t="shared" si="46"/>
        <v>0</v>
      </c>
      <c r="KF7" s="37">
        <f t="shared" si="46"/>
        <v>0</v>
      </c>
      <c r="KG7" s="37">
        <f t="shared" si="46"/>
        <v>0</v>
      </c>
      <c r="KH7" s="37">
        <f t="shared" si="46"/>
        <v>0</v>
      </c>
      <c r="KI7" s="37">
        <f t="shared" si="46"/>
        <v>0</v>
      </c>
      <c r="KJ7" s="37">
        <f t="shared" si="46"/>
        <v>0</v>
      </c>
      <c r="KK7" s="37">
        <f t="shared" si="46"/>
        <v>0</v>
      </c>
      <c r="KL7" s="37">
        <f t="shared" si="46"/>
        <v>0</v>
      </c>
      <c r="KM7" s="37">
        <f t="shared" si="46"/>
        <v>0</v>
      </c>
      <c r="KN7" s="37">
        <f t="shared" si="46"/>
        <v>0</v>
      </c>
      <c r="KO7" s="37">
        <f t="shared" si="46"/>
        <v>0</v>
      </c>
      <c r="KP7" s="37">
        <f t="shared" si="46"/>
        <v>0</v>
      </c>
      <c r="KQ7" s="37">
        <f t="shared" si="46"/>
        <v>0</v>
      </c>
      <c r="KR7" s="37">
        <f t="shared" si="46"/>
        <v>0</v>
      </c>
      <c r="KS7" s="37">
        <f t="shared" si="46"/>
        <v>0</v>
      </c>
      <c r="KT7" s="37">
        <f t="shared" si="46"/>
        <v>0</v>
      </c>
      <c r="KU7" s="37">
        <f t="shared" si="46"/>
        <v>0</v>
      </c>
      <c r="KV7" s="37">
        <f t="shared" si="46"/>
        <v>0</v>
      </c>
      <c r="KW7" s="37">
        <f t="shared" si="46"/>
        <v>0</v>
      </c>
      <c r="KX7" s="37">
        <f t="shared" si="46"/>
        <v>0</v>
      </c>
      <c r="KY7" s="37">
        <f t="shared" si="46"/>
        <v>0</v>
      </c>
      <c r="KZ7" s="37">
        <f t="shared" si="46"/>
        <v>0</v>
      </c>
      <c r="LA7" s="37">
        <f t="shared" si="46"/>
        <v>0</v>
      </c>
      <c r="LB7" s="37">
        <f t="shared" si="46"/>
        <v>0</v>
      </c>
      <c r="LC7" s="37">
        <f t="shared" si="46"/>
        <v>0</v>
      </c>
      <c r="LD7" s="37">
        <f t="shared" si="46"/>
        <v>0</v>
      </c>
      <c r="LE7" s="37">
        <f t="shared" si="46"/>
        <v>0</v>
      </c>
      <c r="LF7" s="37">
        <f t="shared" si="46"/>
        <v>0</v>
      </c>
      <c r="LG7" s="37">
        <f t="shared" si="46"/>
        <v>0</v>
      </c>
      <c r="LH7" s="37">
        <f t="shared" si="46"/>
        <v>0</v>
      </c>
      <c r="LI7" s="37">
        <f t="shared" si="46"/>
        <v>0</v>
      </c>
      <c r="LJ7" s="37">
        <f t="shared" si="46"/>
        <v>0</v>
      </c>
      <c r="LK7" s="37">
        <f t="shared" si="46"/>
        <v>0</v>
      </c>
      <c r="LL7" s="37">
        <f t="shared" si="46"/>
        <v>0</v>
      </c>
      <c r="LM7" s="37">
        <f t="shared" si="46"/>
        <v>0</v>
      </c>
      <c r="LN7" s="37">
        <f t="shared" si="46"/>
        <v>0</v>
      </c>
      <c r="LO7" s="37">
        <f t="shared" ref="LO7:MB7" si="47">COUNTIF(LO19:LO302,"DR - 1 Unit")+COUNTIF(LO19:LO302,"DR - 2 Units")*2+COUNTIF(LO19:LO302,"Standby")</f>
        <v>0</v>
      </c>
      <c r="LP7" s="37">
        <f t="shared" si="47"/>
        <v>0</v>
      </c>
      <c r="LQ7" s="37">
        <f t="shared" si="47"/>
        <v>0</v>
      </c>
      <c r="LR7" s="37">
        <f t="shared" si="47"/>
        <v>0</v>
      </c>
      <c r="LS7" s="37">
        <f t="shared" si="47"/>
        <v>0</v>
      </c>
      <c r="LT7" s="37">
        <f t="shared" si="47"/>
        <v>0</v>
      </c>
      <c r="LU7" s="37">
        <f t="shared" si="47"/>
        <v>0</v>
      </c>
      <c r="LV7" s="37">
        <f t="shared" si="47"/>
        <v>0</v>
      </c>
      <c r="LW7" s="37">
        <f t="shared" si="47"/>
        <v>0</v>
      </c>
      <c r="LX7" s="37">
        <f t="shared" si="47"/>
        <v>0</v>
      </c>
      <c r="LY7" s="37">
        <f t="shared" si="47"/>
        <v>0</v>
      </c>
      <c r="LZ7" s="37">
        <f t="shared" si="47"/>
        <v>0</v>
      </c>
      <c r="MA7" s="37">
        <f t="shared" si="47"/>
        <v>0</v>
      </c>
      <c r="MB7" s="37">
        <f t="shared" si="47"/>
        <v>0</v>
      </c>
    </row>
    <row r="8" spans="1:340" s="32" customFormat="1">
      <c r="A8" s="190" t="s">
        <v>9</v>
      </c>
      <c r="B8" s="190"/>
      <c r="C8" s="190"/>
      <c r="D8" s="190"/>
      <c r="E8" s="190"/>
      <c r="F8" s="190"/>
      <c r="G8" s="83" cm="1">
        <f t="array" ref="G8:CR8">TRANSPOSE('Active Unit Count '!U5:U94)</f>
        <v>38</v>
      </c>
      <c r="H8" s="83">
        <v>38</v>
      </c>
      <c r="I8" s="83">
        <v>38</v>
      </c>
      <c r="J8" s="83">
        <v>38</v>
      </c>
      <c r="K8" s="83">
        <v>38</v>
      </c>
      <c r="L8" s="83">
        <v>38</v>
      </c>
      <c r="M8" s="83">
        <v>38</v>
      </c>
      <c r="N8" s="83">
        <v>38</v>
      </c>
      <c r="O8" s="83">
        <v>38</v>
      </c>
      <c r="P8" s="83">
        <v>38</v>
      </c>
      <c r="Q8" s="83">
        <v>38</v>
      </c>
      <c r="R8" s="83">
        <v>38</v>
      </c>
      <c r="S8" s="83">
        <v>38</v>
      </c>
      <c r="T8" s="83">
        <v>38</v>
      </c>
      <c r="U8" s="83">
        <v>38</v>
      </c>
      <c r="V8" s="83">
        <v>38</v>
      </c>
      <c r="W8" s="83">
        <v>38</v>
      </c>
      <c r="X8" s="83">
        <v>38</v>
      </c>
      <c r="Y8" s="83">
        <v>38</v>
      </c>
      <c r="Z8" s="83">
        <v>38</v>
      </c>
      <c r="AA8" s="83">
        <v>38</v>
      </c>
      <c r="AB8" s="83">
        <v>38</v>
      </c>
      <c r="AC8" s="83">
        <v>38</v>
      </c>
      <c r="AD8" s="83">
        <v>38</v>
      </c>
      <c r="AE8" s="83">
        <v>38</v>
      </c>
      <c r="AF8" s="83">
        <v>38</v>
      </c>
      <c r="AG8" s="83">
        <v>38</v>
      </c>
      <c r="AH8" s="83">
        <v>38</v>
      </c>
      <c r="AI8" s="83">
        <v>38</v>
      </c>
      <c r="AJ8" s="83">
        <v>38</v>
      </c>
      <c r="AK8" s="83">
        <v>38</v>
      </c>
      <c r="AL8" s="83">
        <v>38</v>
      </c>
      <c r="AM8" s="83">
        <v>38</v>
      </c>
      <c r="AN8" s="83">
        <v>38</v>
      </c>
      <c r="AO8" s="83">
        <v>38</v>
      </c>
      <c r="AP8" s="83">
        <v>38</v>
      </c>
      <c r="AQ8" s="83">
        <v>38</v>
      </c>
      <c r="AR8" s="83">
        <v>38</v>
      </c>
      <c r="AS8" s="83">
        <v>38</v>
      </c>
      <c r="AT8" s="83">
        <v>38</v>
      </c>
      <c r="AU8" s="83">
        <v>38</v>
      </c>
      <c r="AV8" s="83">
        <v>38</v>
      </c>
      <c r="AW8" s="83">
        <v>38</v>
      </c>
      <c r="AX8" s="83">
        <v>38</v>
      </c>
      <c r="AY8" s="83">
        <v>38</v>
      </c>
      <c r="AZ8" s="83">
        <v>38</v>
      </c>
      <c r="BA8" s="83">
        <v>38</v>
      </c>
      <c r="BB8" s="83">
        <v>38</v>
      </c>
      <c r="BC8" s="83">
        <v>38</v>
      </c>
      <c r="BD8" s="83">
        <v>38</v>
      </c>
      <c r="BE8" s="83">
        <v>38</v>
      </c>
      <c r="BF8" s="83">
        <v>38</v>
      </c>
      <c r="BG8" s="83">
        <v>38</v>
      </c>
      <c r="BH8" s="83">
        <v>38</v>
      </c>
      <c r="BI8" s="83">
        <v>38</v>
      </c>
      <c r="BJ8" s="83">
        <v>38</v>
      </c>
      <c r="BK8" s="83">
        <v>38</v>
      </c>
      <c r="BL8" s="83">
        <v>38</v>
      </c>
      <c r="BM8" s="83">
        <v>38</v>
      </c>
      <c r="BN8" s="83">
        <v>38</v>
      </c>
      <c r="BO8" s="83">
        <v>38</v>
      </c>
      <c r="BP8" s="83">
        <v>38</v>
      </c>
      <c r="BQ8" s="83">
        <v>38</v>
      </c>
      <c r="BR8" s="83">
        <v>38</v>
      </c>
      <c r="BS8" s="83">
        <v>38</v>
      </c>
      <c r="BT8" s="83">
        <v>38</v>
      </c>
      <c r="BU8" s="83">
        <v>38</v>
      </c>
      <c r="BV8" s="83">
        <v>38</v>
      </c>
      <c r="BW8" s="83">
        <v>38</v>
      </c>
      <c r="BX8" s="83">
        <v>38</v>
      </c>
      <c r="BY8" s="83">
        <v>38</v>
      </c>
      <c r="BZ8" s="83">
        <v>38</v>
      </c>
      <c r="CA8" s="83">
        <v>38</v>
      </c>
      <c r="CB8" s="83">
        <v>38</v>
      </c>
      <c r="CC8" s="83">
        <v>38</v>
      </c>
      <c r="CD8" s="83">
        <v>38</v>
      </c>
      <c r="CE8" s="83">
        <v>38</v>
      </c>
      <c r="CF8" s="83">
        <v>38</v>
      </c>
      <c r="CG8" s="83">
        <v>38</v>
      </c>
      <c r="CH8" s="83">
        <v>38</v>
      </c>
      <c r="CI8" s="83">
        <v>38</v>
      </c>
      <c r="CJ8" s="83">
        <v>38</v>
      </c>
      <c r="CK8" s="83">
        <v>38</v>
      </c>
      <c r="CL8" s="83">
        <v>38</v>
      </c>
      <c r="CM8" s="83">
        <v>38</v>
      </c>
      <c r="CN8" s="83">
        <v>38</v>
      </c>
      <c r="CO8" s="83">
        <v>38</v>
      </c>
      <c r="CP8" s="83">
        <v>38</v>
      </c>
      <c r="CQ8" s="83">
        <v>38</v>
      </c>
      <c r="CR8" s="83">
        <v>38</v>
      </c>
      <c r="CS8" s="83" cm="1">
        <f t="array" ref="CS8:DV8">TRANSPOSE('Active Unit Count '!U95:U124)</f>
        <v>38</v>
      </c>
      <c r="CT8" s="83">
        <v>38</v>
      </c>
      <c r="CU8" s="83">
        <v>38</v>
      </c>
      <c r="CV8" s="83">
        <v>38</v>
      </c>
      <c r="CW8" s="83">
        <v>38</v>
      </c>
      <c r="CX8" s="83">
        <v>38</v>
      </c>
      <c r="CY8" s="83">
        <v>38</v>
      </c>
      <c r="CZ8" s="83">
        <v>38</v>
      </c>
      <c r="DA8" s="83">
        <v>38</v>
      </c>
      <c r="DB8" s="83">
        <v>38</v>
      </c>
      <c r="DC8" s="83">
        <v>38</v>
      </c>
      <c r="DD8" s="83">
        <v>38</v>
      </c>
      <c r="DE8" s="83">
        <v>38</v>
      </c>
      <c r="DF8" s="83">
        <v>38</v>
      </c>
      <c r="DG8" s="83">
        <v>38</v>
      </c>
      <c r="DH8" s="83">
        <v>38</v>
      </c>
      <c r="DI8" s="83">
        <v>38</v>
      </c>
      <c r="DJ8" s="83">
        <v>38</v>
      </c>
      <c r="DK8" s="83">
        <v>38</v>
      </c>
      <c r="DL8" s="83">
        <v>38</v>
      </c>
      <c r="DM8" s="83">
        <v>38</v>
      </c>
      <c r="DN8" s="83">
        <v>38</v>
      </c>
      <c r="DO8" s="83">
        <v>38</v>
      </c>
      <c r="DP8" s="83">
        <v>38</v>
      </c>
      <c r="DQ8" s="83">
        <v>38</v>
      </c>
      <c r="DR8" s="83">
        <v>38</v>
      </c>
      <c r="DS8" s="83">
        <v>38</v>
      </c>
      <c r="DT8" s="83">
        <v>38</v>
      </c>
      <c r="DU8" s="83">
        <v>38</v>
      </c>
      <c r="DV8" s="83">
        <v>38</v>
      </c>
      <c r="DW8" s="83" cm="1">
        <f t="array" ref="DW8:GE8">TRANSPOSE('Active Unit Count '!U125:U185)</f>
        <v>38</v>
      </c>
      <c r="DX8" s="83">
        <v>38</v>
      </c>
      <c r="DY8" s="83">
        <v>38</v>
      </c>
      <c r="DZ8" s="83">
        <v>38</v>
      </c>
      <c r="EA8" s="83">
        <v>38</v>
      </c>
      <c r="EB8" s="83">
        <v>38</v>
      </c>
      <c r="EC8" s="83">
        <v>38</v>
      </c>
      <c r="ED8" s="83">
        <v>38</v>
      </c>
      <c r="EE8" s="83">
        <v>38</v>
      </c>
      <c r="EF8" s="83">
        <v>38</v>
      </c>
      <c r="EG8" s="83">
        <v>38</v>
      </c>
      <c r="EH8" s="83">
        <v>38</v>
      </c>
      <c r="EI8" s="83">
        <v>38</v>
      </c>
      <c r="EJ8" s="83">
        <v>38</v>
      </c>
      <c r="EK8" s="83">
        <v>38</v>
      </c>
      <c r="EL8" s="83">
        <v>38</v>
      </c>
      <c r="EM8" s="83">
        <v>38</v>
      </c>
      <c r="EN8" s="83">
        <v>38</v>
      </c>
      <c r="EO8" s="83">
        <v>38</v>
      </c>
      <c r="EP8" s="83">
        <v>38</v>
      </c>
      <c r="EQ8" s="83">
        <v>38</v>
      </c>
      <c r="ER8" s="83">
        <v>38</v>
      </c>
      <c r="ES8" s="83">
        <v>38</v>
      </c>
      <c r="ET8" s="83">
        <v>38</v>
      </c>
      <c r="EU8" s="83">
        <v>38</v>
      </c>
      <c r="EV8" s="83">
        <v>38</v>
      </c>
      <c r="EW8" s="83">
        <v>38</v>
      </c>
      <c r="EX8" s="83">
        <v>38</v>
      </c>
      <c r="EY8" s="83">
        <v>38</v>
      </c>
      <c r="EZ8" s="83">
        <v>38</v>
      </c>
      <c r="FA8" s="83">
        <v>38</v>
      </c>
      <c r="FB8" s="83">
        <v>38</v>
      </c>
      <c r="FC8" s="83">
        <v>38</v>
      </c>
      <c r="FD8" s="83">
        <v>38</v>
      </c>
      <c r="FE8" s="83">
        <v>38</v>
      </c>
      <c r="FF8" s="83">
        <v>38</v>
      </c>
      <c r="FG8" s="83">
        <v>38</v>
      </c>
      <c r="FH8" s="83">
        <v>38</v>
      </c>
      <c r="FI8" s="83">
        <v>38</v>
      </c>
      <c r="FJ8" s="83">
        <v>38</v>
      </c>
      <c r="FK8" s="83">
        <v>38</v>
      </c>
      <c r="FL8" s="83">
        <v>38</v>
      </c>
      <c r="FM8" s="83">
        <v>38</v>
      </c>
      <c r="FN8" s="83">
        <v>38</v>
      </c>
      <c r="FO8" s="83">
        <v>38</v>
      </c>
      <c r="FP8" s="83">
        <v>38</v>
      </c>
      <c r="FQ8" s="83">
        <v>38</v>
      </c>
      <c r="FR8" s="83">
        <v>38</v>
      </c>
      <c r="FS8" s="83">
        <v>38</v>
      </c>
      <c r="FT8" s="83">
        <v>38</v>
      </c>
      <c r="FU8" s="83">
        <v>38</v>
      </c>
      <c r="FV8" s="83">
        <v>38</v>
      </c>
      <c r="FW8" s="83">
        <v>38</v>
      </c>
      <c r="FX8" s="83">
        <v>38</v>
      </c>
      <c r="FY8" s="83">
        <v>38</v>
      </c>
      <c r="FZ8" s="83">
        <v>38</v>
      </c>
      <c r="GA8" s="83">
        <v>38</v>
      </c>
      <c r="GB8" s="83">
        <v>38</v>
      </c>
      <c r="GC8" s="83">
        <v>38</v>
      </c>
      <c r="GD8" s="83">
        <v>38</v>
      </c>
      <c r="GE8" s="83">
        <v>38</v>
      </c>
      <c r="GF8" s="83" cm="1">
        <f t="array" ref="GF8:IO8">TRANSPOSE('Active Unit Count '!U186:U247)</f>
        <v>38</v>
      </c>
      <c r="GG8" s="83">
        <v>38</v>
      </c>
      <c r="GH8" s="83">
        <v>38</v>
      </c>
      <c r="GI8" s="83">
        <v>38</v>
      </c>
      <c r="GJ8" s="83">
        <v>38</v>
      </c>
      <c r="GK8" s="83">
        <v>38</v>
      </c>
      <c r="GL8" s="83">
        <v>38</v>
      </c>
      <c r="GM8" s="83">
        <v>38</v>
      </c>
      <c r="GN8" s="83">
        <v>38</v>
      </c>
      <c r="GO8" s="83">
        <v>38</v>
      </c>
      <c r="GP8" s="83">
        <v>38</v>
      </c>
      <c r="GQ8" s="83">
        <v>38</v>
      </c>
      <c r="GR8" s="83">
        <v>38</v>
      </c>
      <c r="GS8" s="83">
        <v>38</v>
      </c>
      <c r="GT8" s="83">
        <v>38</v>
      </c>
      <c r="GU8" s="83">
        <v>38</v>
      </c>
      <c r="GV8" s="83">
        <v>38</v>
      </c>
      <c r="GW8" s="83">
        <v>38</v>
      </c>
      <c r="GX8" s="83">
        <v>38</v>
      </c>
      <c r="GY8" s="83">
        <v>38</v>
      </c>
      <c r="GZ8" s="83">
        <v>38</v>
      </c>
      <c r="HA8" s="83">
        <v>38</v>
      </c>
      <c r="HB8" s="83">
        <v>38</v>
      </c>
      <c r="HC8" s="83">
        <v>38</v>
      </c>
      <c r="HD8" s="83">
        <v>38</v>
      </c>
      <c r="HE8" s="83">
        <v>38</v>
      </c>
      <c r="HF8" s="83">
        <v>38</v>
      </c>
      <c r="HG8" s="83">
        <v>38</v>
      </c>
      <c r="HH8" s="83">
        <v>38</v>
      </c>
      <c r="HI8" s="83">
        <v>38</v>
      </c>
      <c r="HJ8" s="83">
        <v>38</v>
      </c>
      <c r="HK8" s="83">
        <v>38</v>
      </c>
      <c r="HL8" s="83">
        <v>38</v>
      </c>
      <c r="HM8" s="83">
        <v>38</v>
      </c>
      <c r="HN8" s="83">
        <v>38</v>
      </c>
      <c r="HO8" s="83">
        <v>38</v>
      </c>
      <c r="HP8" s="83">
        <v>38</v>
      </c>
      <c r="HQ8" s="83">
        <v>38</v>
      </c>
      <c r="HR8" s="83">
        <v>38</v>
      </c>
      <c r="HS8" s="83">
        <v>38</v>
      </c>
      <c r="HT8" s="83">
        <v>38</v>
      </c>
      <c r="HU8" s="83">
        <v>38</v>
      </c>
      <c r="HV8" s="83">
        <v>38</v>
      </c>
      <c r="HW8" s="83">
        <v>38</v>
      </c>
      <c r="HX8" s="83">
        <v>38</v>
      </c>
      <c r="HY8" s="83">
        <v>38</v>
      </c>
      <c r="HZ8" s="83">
        <v>38</v>
      </c>
      <c r="IA8" s="83">
        <v>38</v>
      </c>
      <c r="IB8" s="83">
        <v>38</v>
      </c>
      <c r="IC8" s="83">
        <v>38</v>
      </c>
      <c r="ID8" s="83">
        <v>38</v>
      </c>
      <c r="IE8" s="83">
        <v>38</v>
      </c>
      <c r="IF8" s="83">
        <v>38</v>
      </c>
      <c r="IG8" s="83">
        <v>38</v>
      </c>
      <c r="IH8" s="83">
        <v>38</v>
      </c>
      <c r="II8" s="83">
        <v>38</v>
      </c>
      <c r="IJ8" s="83">
        <v>38</v>
      </c>
      <c r="IK8" s="83">
        <v>38</v>
      </c>
      <c r="IL8" s="83">
        <v>38</v>
      </c>
      <c r="IM8" s="83">
        <v>38</v>
      </c>
      <c r="IN8" s="83">
        <v>38</v>
      </c>
      <c r="IO8" s="83">
        <v>38</v>
      </c>
      <c r="IP8" s="83" cm="1">
        <f t="array" ref="IP8:JS8">TRANSPOSE('Active Unit Count '!U248:U277)</f>
        <v>38</v>
      </c>
      <c r="IQ8" s="83">
        <v>38</v>
      </c>
      <c r="IR8" s="83">
        <v>38</v>
      </c>
      <c r="IS8" s="83">
        <v>38</v>
      </c>
      <c r="IT8" s="83">
        <v>38</v>
      </c>
      <c r="IU8" s="83">
        <v>38</v>
      </c>
      <c r="IV8" s="83">
        <v>38</v>
      </c>
      <c r="IW8" s="83">
        <v>38</v>
      </c>
      <c r="IX8" s="83">
        <v>38</v>
      </c>
      <c r="IY8" s="83">
        <v>38</v>
      </c>
      <c r="IZ8" s="83">
        <v>38</v>
      </c>
      <c r="JA8" s="83">
        <v>38</v>
      </c>
      <c r="JB8" s="83">
        <v>38</v>
      </c>
      <c r="JC8" s="83">
        <v>38</v>
      </c>
      <c r="JD8" s="83">
        <v>38</v>
      </c>
      <c r="JE8" s="83">
        <v>38</v>
      </c>
      <c r="JF8" s="83">
        <v>38</v>
      </c>
      <c r="JG8" s="83">
        <v>38</v>
      </c>
      <c r="JH8" s="83">
        <v>38</v>
      </c>
      <c r="JI8" s="83">
        <v>38</v>
      </c>
      <c r="JJ8" s="83">
        <v>38</v>
      </c>
      <c r="JK8" s="83">
        <v>38</v>
      </c>
      <c r="JL8" s="83">
        <v>38</v>
      </c>
      <c r="JM8" s="83">
        <v>38</v>
      </c>
      <c r="JN8" s="83">
        <v>38</v>
      </c>
      <c r="JO8" s="83">
        <v>38</v>
      </c>
      <c r="JP8" s="83">
        <v>38</v>
      </c>
      <c r="JQ8" s="83">
        <v>38</v>
      </c>
      <c r="JR8" s="83">
        <v>38</v>
      </c>
      <c r="JS8" s="83">
        <v>38</v>
      </c>
      <c r="JT8" s="83" cm="1">
        <f t="array" ref="JT8:KX8">TRANSPOSE('Active Unit Count '!U278:U308)</f>
        <v>38</v>
      </c>
      <c r="JU8" s="83">
        <v>38</v>
      </c>
      <c r="JV8" s="83">
        <v>38</v>
      </c>
      <c r="JW8" s="83">
        <v>38</v>
      </c>
      <c r="JX8" s="83">
        <v>38</v>
      </c>
      <c r="JY8" s="83">
        <v>38</v>
      </c>
      <c r="JZ8" s="83">
        <v>38</v>
      </c>
      <c r="KA8" s="83">
        <v>38</v>
      </c>
      <c r="KB8" s="83">
        <v>38</v>
      </c>
      <c r="KC8" s="83">
        <v>38</v>
      </c>
      <c r="KD8" s="83">
        <v>38</v>
      </c>
      <c r="KE8" s="83">
        <v>38</v>
      </c>
      <c r="KF8" s="83">
        <v>38</v>
      </c>
      <c r="KG8" s="83">
        <v>38</v>
      </c>
      <c r="KH8" s="83">
        <v>38</v>
      </c>
      <c r="KI8" s="83">
        <v>38</v>
      </c>
      <c r="KJ8" s="83">
        <v>38</v>
      </c>
      <c r="KK8" s="83">
        <v>38</v>
      </c>
      <c r="KL8" s="83">
        <v>38</v>
      </c>
      <c r="KM8" s="83">
        <v>38</v>
      </c>
      <c r="KN8" s="83">
        <v>38</v>
      </c>
      <c r="KO8" s="83">
        <v>38</v>
      </c>
      <c r="KP8" s="83">
        <v>38</v>
      </c>
      <c r="KQ8" s="83">
        <v>38</v>
      </c>
      <c r="KR8" s="83">
        <v>38</v>
      </c>
      <c r="KS8" s="83">
        <v>38</v>
      </c>
      <c r="KT8" s="83">
        <v>38</v>
      </c>
      <c r="KU8" s="83">
        <v>38</v>
      </c>
      <c r="KV8" s="83">
        <v>38</v>
      </c>
      <c r="KW8" s="83">
        <v>38</v>
      </c>
      <c r="KX8" s="83">
        <v>38</v>
      </c>
      <c r="KY8" s="83" cm="1">
        <f t="array" ref="KY8:MB8">TRANSPOSE('Active Unit Count '!U309:U338)</f>
        <v>38</v>
      </c>
      <c r="KZ8" s="83">
        <v>38</v>
      </c>
      <c r="LA8" s="83">
        <v>38</v>
      </c>
      <c r="LB8" s="83">
        <v>38</v>
      </c>
      <c r="LC8" s="83">
        <v>38</v>
      </c>
      <c r="LD8" s="83">
        <v>38</v>
      </c>
      <c r="LE8" s="83">
        <v>38</v>
      </c>
      <c r="LF8" s="83">
        <v>38</v>
      </c>
      <c r="LG8" s="83">
        <v>38</v>
      </c>
      <c r="LH8" s="83">
        <v>38</v>
      </c>
      <c r="LI8" s="83">
        <v>38</v>
      </c>
      <c r="LJ8" s="83">
        <v>38</v>
      </c>
      <c r="LK8" s="83">
        <v>38</v>
      </c>
      <c r="LL8" s="83">
        <v>38</v>
      </c>
      <c r="LM8" s="83">
        <v>38</v>
      </c>
      <c r="LN8" s="83">
        <v>38</v>
      </c>
      <c r="LO8" s="83">
        <v>38</v>
      </c>
      <c r="LP8" s="83">
        <v>38</v>
      </c>
      <c r="LQ8" s="83">
        <v>38</v>
      </c>
      <c r="LR8" s="83">
        <v>38</v>
      </c>
      <c r="LS8" s="83">
        <v>38</v>
      </c>
      <c r="LT8" s="83">
        <v>38</v>
      </c>
      <c r="LU8" s="83">
        <v>38</v>
      </c>
      <c r="LV8" s="83">
        <v>38</v>
      </c>
      <c r="LW8" s="83">
        <v>38</v>
      </c>
      <c r="LX8" s="83">
        <v>38</v>
      </c>
      <c r="LY8" s="83">
        <v>38</v>
      </c>
      <c r="LZ8" s="83">
        <v>38</v>
      </c>
      <c r="MA8" s="83">
        <v>38</v>
      </c>
      <c r="MB8" s="83">
        <v>38</v>
      </c>
    </row>
    <row r="9" spans="1:340" s="32" customFormat="1" ht="15.75" thickBot="1">
      <c r="A9" s="190" t="s">
        <v>10</v>
      </c>
      <c r="B9" s="190"/>
      <c r="C9" s="190"/>
      <c r="D9" s="190"/>
      <c r="E9" s="190"/>
      <c r="F9" s="190"/>
      <c r="G9" s="84">
        <f t="shared" ref="G9:J9" si="48">(G4+G6+G7)/G8</f>
        <v>7.8947368421052627E-2</v>
      </c>
      <c r="H9" s="84">
        <f t="shared" si="48"/>
        <v>5.2631578947368418E-2</v>
      </c>
      <c r="I9" s="84">
        <f t="shared" si="48"/>
        <v>5.2631578947368418E-2</v>
      </c>
      <c r="J9" s="84">
        <f t="shared" si="48"/>
        <v>0.13157894736842105</v>
      </c>
      <c r="K9" s="84">
        <f t="shared" ref="K9:BV9" si="49">(K4+K6+K7)/K8</f>
        <v>7.8947368421052627E-2</v>
      </c>
      <c r="L9" s="84">
        <f t="shared" si="49"/>
        <v>0.31578947368421051</v>
      </c>
      <c r="M9" s="84">
        <f t="shared" si="49"/>
        <v>0.21052631578947367</v>
      </c>
      <c r="N9" s="84">
        <f t="shared" si="49"/>
        <v>7.8947368421052627E-2</v>
      </c>
      <c r="O9" s="84">
        <f t="shared" si="49"/>
        <v>0.26315789473684209</v>
      </c>
      <c r="P9" s="84">
        <f t="shared" si="49"/>
        <v>0.28947368421052633</v>
      </c>
      <c r="Q9" s="84">
        <f t="shared" si="49"/>
        <v>0.26315789473684209</v>
      </c>
      <c r="R9" s="84">
        <f t="shared" si="49"/>
        <v>0.10526315789473684</v>
      </c>
      <c r="S9" s="84">
        <f t="shared" si="49"/>
        <v>0.18421052631578946</v>
      </c>
      <c r="T9" s="84">
        <f t="shared" si="49"/>
        <v>0.15789473684210525</v>
      </c>
      <c r="U9" s="84">
        <f t="shared" si="49"/>
        <v>0.28947368421052633</v>
      </c>
      <c r="V9" s="84">
        <f t="shared" si="49"/>
        <v>0.18421052631578946</v>
      </c>
      <c r="W9" s="84">
        <f t="shared" si="49"/>
        <v>0.42105263157894735</v>
      </c>
      <c r="X9" s="84">
        <f t="shared" si="49"/>
        <v>0.15789473684210525</v>
      </c>
      <c r="Y9" s="84">
        <f t="shared" si="49"/>
        <v>0.28947368421052633</v>
      </c>
      <c r="Z9" s="84">
        <f t="shared" si="49"/>
        <v>0.23684210526315788</v>
      </c>
      <c r="AA9" s="84">
        <f t="shared" si="49"/>
        <v>0.18421052631578946</v>
      </c>
      <c r="AB9" s="84">
        <f t="shared" si="49"/>
        <v>0.18421052631578946</v>
      </c>
      <c r="AC9" s="84">
        <f t="shared" si="49"/>
        <v>0.21052631578947367</v>
      </c>
      <c r="AD9" s="84">
        <f t="shared" si="49"/>
        <v>0.28947368421052633</v>
      </c>
      <c r="AE9" s="84">
        <f t="shared" si="49"/>
        <v>0.26315789473684209</v>
      </c>
      <c r="AF9" s="84">
        <f t="shared" si="49"/>
        <v>0.10526315789473684</v>
      </c>
      <c r="AG9" s="84">
        <f t="shared" si="49"/>
        <v>0.26315789473684209</v>
      </c>
      <c r="AH9" s="84">
        <f t="shared" si="49"/>
        <v>7.8947368421052627E-2</v>
      </c>
      <c r="AI9" s="84">
        <f t="shared" si="49"/>
        <v>0.23684210526315788</v>
      </c>
      <c r="AJ9" s="84">
        <f t="shared" si="49"/>
        <v>0.26315789473684209</v>
      </c>
      <c r="AK9" s="84">
        <f t="shared" si="49"/>
        <v>0.23684210526315788</v>
      </c>
      <c r="AL9" s="84">
        <f t="shared" si="49"/>
        <v>0.55263157894736847</v>
      </c>
      <c r="AM9" s="84">
        <f t="shared" si="49"/>
        <v>0.52631578947368418</v>
      </c>
      <c r="AN9" s="84">
        <f t="shared" si="49"/>
        <v>0.78947368421052633</v>
      </c>
      <c r="AO9" s="84">
        <f t="shared" si="49"/>
        <v>0.65789473684210531</v>
      </c>
      <c r="AP9" s="84">
        <f t="shared" si="49"/>
        <v>0.63157894736842102</v>
      </c>
      <c r="AQ9" s="84">
        <f t="shared" si="49"/>
        <v>0.73684210526315785</v>
      </c>
      <c r="AR9" s="84">
        <f t="shared" si="49"/>
        <v>0.55263157894736847</v>
      </c>
      <c r="AS9" s="84">
        <f t="shared" si="49"/>
        <v>0.73684210526315785</v>
      </c>
      <c r="AT9" s="84">
        <f t="shared" si="49"/>
        <v>0.52631578947368418</v>
      </c>
      <c r="AU9" s="84">
        <f t="shared" si="49"/>
        <v>0.63157894736842102</v>
      </c>
      <c r="AV9" s="84">
        <f t="shared" si="49"/>
        <v>0.71052631578947367</v>
      </c>
      <c r="AW9" s="84">
        <f t="shared" si="49"/>
        <v>0.65789473684210531</v>
      </c>
      <c r="AX9" s="84">
        <f t="shared" si="49"/>
        <v>0.71052631578947367</v>
      </c>
      <c r="AY9" s="84">
        <f t="shared" si="49"/>
        <v>0.73684210526315785</v>
      </c>
      <c r="AZ9" s="84">
        <f t="shared" si="49"/>
        <v>0.63157894736842102</v>
      </c>
      <c r="BA9" s="84">
        <f t="shared" si="49"/>
        <v>0.76315789473684215</v>
      </c>
      <c r="BB9" s="84">
        <f t="shared" si="49"/>
        <v>0.5</v>
      </c>
      <c r="BC9" s="84">
        <f t="shared" si="49"/>
        <v>0.63157894736842102</v>
      </c>
      <c r="BD9" s="84">
        <f t="shared" si="49"/>
        <v>0.65789473684210531</v>
      </c>
      <c r="BE9" s="84">
        <f t="shared" si="49"/>
        <v>0.73684210526315785</v>
      </c>
      <c r="BF9" s="84">
        <f t="shared" si="49"/>
        <v>0.36842105263157893</v>
      </c>
      <c r="BG9" s="84">
        <f t="shared" si="49"/>
        <v>0.44736842105263158</v>
      </c>
      <c r="BH9" s="84">
        <f t="shared" si="49"/>
        <v>0.52631578947368418</v>
      </c>
      <c r="BI9" s="84">
        <f t="shared" si="49"/>
        <v>0.68421052631578949</v>
      </c>
      <c r="BJ9" s="84">
        <f t="shared" si="49"/>
        <v>0.55263157894736847</v>
      </c>
      <c r="BK9" s="84">
        <f t="shared" si="49"/>
        <v>0.55263157894736847</v>
      </c>
      <c r="BL9" s="84">
        <f t="shared" si="49"/>
        <v>0.73684210526315785</v>
      </c>
      <c r="BM9" s="84">
        <f t="shared" si="49"/>
        <v>0.78947368421052633</v>
      </c>
      <c r="BN9" s="84">
        <f t="shared" si="49"/>
        <v>0.52631578947368418</v>
      </c>
      <c r="BO9" s="84">
        <f t="shared" si="49"/>
        <v>0.52631578947368418</v>
      </c>
      <c r="BP9" s="84">
        <f t="shared" si="49"/>
        <v>0.60526315789473684</v>
      </c>
      <c r="BQ9" s="84">
        <f t="shared" si="49"/>
        <v>0.47368421052631576</v>
      </c>
      <c r="BR9" s="84">
        <f t="shared" si="49"/>
        <v>0.55263157894736847</v>
      </c>
      <c r="BS9" s="84">
        <f t="shared" si="49"/>
        <v>0.5</v>
      </c>
      <c r="BT9" s="84">
        <f t="shared" si="49"/>
        <v>0.52631578947368418</v>
      </c>
      <c r="BU9" s="84">
        <f t="shared" si="49"/>
        <v>0.52631578947368418</v>
      </c>
      <c r="BV9" s="84">
        <f t="shared" si="49"/>
        <v>0.73684210526315785</v>
      </c>
      <c r="BW9" s="84">
        <f t="shared" ref="BW9:CR9" si="50">(BW4+BW6+BW7)/BW8</f>
        <v>0.47368421052631576</v>
      </c>
      <c r="BX9" s="84">
        <f t="shared" si="50"/>
        <v>0.47368421052631576</v>
      </c>
      <c r="BY9" s="84">
        <f t="shared" si="50"/>
        <v>0.57894736842105265</v>
      </c>
      <c r="BZ9" s="84">
        <f t="shared" si="50"/>
        <v>0.5</v>
      </c>
      <c r="CA9" s="84">
        <f t="shared" si="50"/>
        <v>0.39473684210526316</v>
      </c>
      <c r="CB9" s="84">
        <f t="shared" si="50"/>
        <v>0.36842105263157893</v>
      </c>
      <c r="CC9" s="84">
        <f t="shared" si="50"/>
        <v>0.36842105263157893</v>
      </c>
      <c r="CD9" s="84">
        <f t="shared" si="50"/>
        <v>0.26315789473684209</v>
      </c>
      <c r="CE9" s="84">
        <f t="shared" si="50"/>
        <v>0.31578947368421051</v>
      </c>
      <c r="CF9" s="84">
        <f t="shared" si="50"/>
        <v>0.39473684210526316</v>
      </c>
      <c r="CG9" s="84">
        <f t="shared" si="50"/>
        <v>0.36842105263157893</v>
      </c>
      <c r="CH9" s="84">
        <f t="shared" si="50"/>
        <v>0.55263157894736847</v>
      </c>
      <c r="CI9" s="84">
        <f t="shared" si="50"/>
        <v>0.26315789473684209</v>
      </c>
      <c r="CJ9" s="84">
        <f t="shared" si="50"/>
        <v>0.28947368421052633</v>
      </c>
      <c r="CK9" s="84">
        <f t="shared" si="50"/>
        <v>0.31578947368421051</v>
      </c>
      <c r="CL9" s="84">
        <f t="shared" si="50"/>
        <v>0.28947368421052633</v>
      </c>
      <c r="CM9" s="84">
        <f t="shared" si="50"/>
        <v>0.15789473684210525</v>
      </c>
      <c r="CN9" s="84">
        <f t="shared" si="50"/>
        <v>0.26315789473684209</v>
      </c>
      <c r="CO9" s="84">
        <f t="shared" si="50"/>
        <v>0.36842105263157893</v>
      </c>
      <c r="CP9" s="84">
        <f t="shared" si="50"/>
        <v>0.34210526315789475</v>
      </c>
      <c r="CQ9" s="84">
        <f t="shared" si="50"/>
        <v>0.44736842105263158</v>
      </c>
      <c r="CR9" s="84">
        <f t="shared" si="50"/>
        <v>0.26315789473684209</v>
      </c>
      <c r="CS9" s="84">
        <f t="shared" ref="CS9:CT9" si="51">(CS4+CS6+CS7)/CS8</f>
        <v>0.21052631578947367</v>
      </c>
      <c r="CT9" s="84">
        <f t="shared" si="51"/>
        <v>0.42105263157894735</v>
      </c>
      <c r="CU9" s="84">
        <f t="shared" ref="CU9:CV9" si="52">(CU4+CU6+CU7)/CU8</f>
        <v>0.26315789473684209</v>
      </c>
      <c r="CV9" s="84">
        <f t="shared" si="52"/>
        <v>0.36842105263157893</v>
      </c>
      <c r="CW9" s="84">
        <f t="shared" ref="CW9:FH9" si="53">(CW4+CW6+CW7)/CW8</f>
        <v>0.36842105263157893</v>
      </c>
      <c r="CX9" s="84">
        <f t="shared" si="53"/>
        <v>0.39473684210526316</v>
      </c>
      <c r="CY9" s="84">
        <f t="shared" si="53"/>
        <v>0.31578947368421051</v>
      </c>
      <c r="CZ9" s="84">
        <f t="shared" si="53"/>
        <v>0.36842105263157893</v>
      </c>
      <c r="DA9" s="84">
        <f t="shared" si="53"/>
        <v>0.42105263157894735</v>
      </c>
      <c r="DB9" s="84">
        <f t="shared" si="53"/>
        <v>0.26315789473684209</v>
      </c>
      <c r="DC9" s="84">
        <f t="shared" si="53"/>
        <v>0.26315789473684209</v>
      </c>
      <c r="DD9" s="84">
        <f t="shared" si="53"/>
        <v>0.18421052631578946</v>
      </c>
      <c r="DE9" s="84">
        <f t="shared" si="53"/>
        <v>0.36842105263157893</v>
      </c>
      <c r="DF9" s="84">
        <f t="shared" si="53"/>
        <v>0.31578947368421051</v>
      </c>
      <c r="DG9" s="84">
        <f t="shared" si="53"/>
        <v>0.28947368421052633</v>
      </c>
      <c r="DH9" s="84">
        <f t="shared" si="53"/>
        <v>0.34210526315789475</v>
      </c>
      <c r="DI9" s="84">
        <f t="shared" si="53"/>
        <v>0.26315789473684209</v>
      </c>
      <c r="DJ9" s="84">
        <f t="shared" si="53"/>
        <v>0.13157894736842105</v>
      </c>
      <c r="DK9" s="84">
        <f t="shared" si="53"/>
        <v>0.34210526315789475</v>
      </c>
      <c r="DL9" s="84">
        <f t="shared" si="53"/>
        <v>0.26315789473684209</v>
      </c>
      <c r="DM9" s="84">
        <f t="shared" si="53"/>
        <v>0.23684210526315788</v>
      </c>
      <c r="DN9" s="84">
        <f t="shared" si="53"/>
        <v>0.26315789473684209</v>
      </c>
      <c r="DO9" s="84">
        <f t="shared" si="53"/>
        <v>0.28947368421052633</v>
      </c>
      <c r="DP9" s="84">
        <f t="shared" si="53"/>
        <v>0.31578947368421051</v>
      </c>
      <c r="DQ9" s="84">
        <f t="shared" si="53"/>
        <v>0.28947368421052633</v>
      </c>
      <c r="DR9" s="84">
        <f t="shared" si="53"/>
        <v>0.23684210526315788</v>
      </c>
      <c r="DS9" s="84">
        <f t="shared" si="53"/>
        <v>0.21052631578947367</v>
      </c>
      <c r="DT9" s="84">
        <f t="shared" si="53"/>
        <v>0.21052631578947367</v>
      </c>
      <c r="DU9" s="84">
        <f t="shared" si="53"/>
        <v>0.26315789473684209</v>
      </c>
      <c r="DV9" s="84">
        <f t="shared" si="53"/>
        <v>0.21052631578947367</v>
      </c>
      <c r="DW9" s="84">
        <f t="shared" si="53"/>
        <v>0.31578947368421051</v>
      </c>
      <c r="DX9" s="84">
        <f t="shared" si="53"/>
        <v>0.21052631578947367</v>
      </c>
      <c r="DY9" s="84">
        <f t="shared" si="53"/>
        <v>0.26315789473684209</v>
      </c>
      <c r="DZ9" s="84">
        <f t="shared" si="53"/>
        <v>0.23684210526315788</v>
      </c>
      <c r="EA9" s="84">
        <f t="shared" si="53"/>
        <v>0.26315789473684209</v>
      </c>
      <c r="EB9" s="84">
        <f t="shared" si="53"/>
        <v>0.21052631578947367</v>
      </c>
      <c r="EC9" s="84">
        <f t="shared" si="53"/>
        <v>0.15789473684210525</v>
      </c>
      <c r="ED9" s="84">
        <f t="shared" si="53"/>
        <v>0.34210526315789475</v>
      </c>
      <c r="EE9" s="84">
        <f t="shared" si="53"/>
        <v>0.28947368421052633</v>
      </c>
      <c r="EF9" s="84">
        <f t="shared" si="53"/>
        <v>0.31578947368421051</v>
      </c>
      <c r="EG9" s="84">
        <f t="shared" si="53"/>
        <v>0.15789473684210525</v>
      </c>
      <c r="EH9" s="84">
        <f t="shared" si="53"/>
        <v>0.26315789473684209</v>
      </c>
      <c r="EI9" s="84">
        <f t="shared" si="53"/>
        <v>0.31578947368421051</v>
      </c>
      <c r="EJ9" s="84">
        <f t="shared" si="53"/>
        <v>0.13157894736842105</v>
      </c>
      <c r="EK9" s="84">
        <f t="shared" si="53"/>
        <v>0.26315789473684209</v>
      </c>
      <c r="EL9" s="84">
        <f t="shared" si="53"/>
        <v>0.18421052631578946</v>
      </c>
      <c r="EM9" s="84">
        <f t="shared" si="53"/>
        <v>0.18421052631578946</v>
      </c>
      <c r="EN9" s="84">
        <f t="shared" si="53"/>
        <v>0.18421052631578946</v>
      </c>
      <c r="EO9" s="84">
        <f t="shared" si="53"/>
        <v>2.6315789473684209E-2</v>
      </c>
      <c r="EP9" s="84">
        <f t="shared" si="53"/>
        <v>0.21052631578947367</v>
      </c>
      <c r="EQ9" s="84">
        <f t="shared" si="53"/>
        <v>0.13157894736842105</v>
      </c>
      <c r="ER9" s="84">
        <f t="shared" si="53"/>
        <v>0.18421052631578946</v>
      </c>
      <c r="ES9" s="84">
        <f t="shared" si="53"/>
        <v>0.21052631578947367</v>
      </c>
      <c r="ET9" s="84">
        <f t="shared" si="53"/>
        <v>0.15789473684210525</v>
      </c>
      <c r="EU9" s="84">
        <f t="shared" si="53"/>
        <v>0.26315789473684209</v>
      </c>
      <c r="EV9" s="84">
        <f t="shared" si="53"/>
        <v>0.28947368421052633</v>
      </c>
      <c r="EW9" s="84">
        <f t="shared" si="53"/>
        <v>0.18421052631578946</v>
      </c>
      <c r="EX9" s="84">
        <f t="shared" si="53"/>
        <v>0.28947368421052633</v>
      </c>
      <c r="EY9" s="84">
        <f t="shared" si="53"/>
        <v>0.26315789473684209</v>
      </c>
      <c r="EZ9" s="84">
        <f t="shared" si="53"/>
        <v>0.18421052631578946</v>
      </c>
      <c r="FA9" s="84">
        <f t="shared" si="53"/>
        <v>0.18421052631578946</v>
      </c>
      <c r="FB9" s="84">
        <f t="shared" si="53"/>
        <v>0.26315789473684209</v>
      </c>
      <c r="FC9" s="84">
        <f t="shared" si="53"/>
        <v>0.31578947368421051</v>
      </c>
      <c r="FD9" s="84">
        <f t="shared" si="53"/>
        <v>0.44736842105263158</v>
      </c>
      <c r="FE9" s="84">
        <f t="shared" si="53"/>
        <v>0.42105263157894735</v>
      </c>
      <c r="FF9" s="84">
        <f t="shared" si="53"/>
        <v>0.39473684210526316</v>
      </c>
      <c r="FG9" s="84">
        <f t="shared" si="53"/>
        <v>0.39473684210526316</v>
      </c>
      <c r="FH9" s="84">
        <f t="shared" si="53"/>
        <v>0.31578947368421051</v>
      </c>
      <c r="FI9" s="84">
        <f t="shared" ref="FI9:GE9" si="54">(FI4+FI6+FI7)/FI8</f>
        <v>0.47368421052631576</v>
      </c>
      <c r="FJ9" s="84">
        <f t="shared" si="54"/>
        <v>0.39473684210526316</v>
      </c>
      <c r="FK9" s="84">
        <f t="shared" si="54"/>
        <v>0.52631578947368418</v>
      </c>
      <c r="FL9" s="84">
        <f t="shared" si="54"/>
        <v>0.44736842105263158</v>
      </c>
      <c r="FM9" s="84">
        <f t="shared" si="54"/>
        <v>0.44736842105263158</v>
      </c>
      <c r="FN9" s="84">
        <f t="shared" si="54"/>
        <v>0.57894736842105265</v>
      </c>
      <c r="FO9" s="84">
        <f t="shared" si="54"/>
        <v>0.47368421052631576</v>
      </c>
      <c r="FP9" s="84">
        <f t="shared" si="54"/>
        <v>0.44736842105263158</v>
      </c>
      <c r="FQ9" s="84">
        <f t="shared" si="54"/>
        <v>0.47368421052631576</v>
      </c>
      <c r="FR9" s="84">
        <f t="shared" si="54"/>
        <v>0.5</v>
      </c>
      <c r="FS9" s="84">
        <f t="shared" si="54"/>
        <v>0.39473684210526316</v>
      </c>
      <c r="FT9" s="84">
        <f t="shared" si="54"/>
        <v>0.36842105263157893</v>
      </c>
      <c r="FU9" s="84">
        <f t="shared" si="54"/>
        <v>0.63157894736842102</v>
      </c>
      <c r="FV9" s="84">
        <f t="shared" si="54"/>
        <v>0.39473684210526316</v>
      </c>
      <c r="FW9" s="84">
        <f t="shared" si="54"/>
        <v>0.36842105263157893</v>
      </c>
      <c r="FX9" s="84">
        <f t="shared" si="54"/>
        <v>0.52631578947368418</v>
      </c>
      <c r="FY9" s="84">
        <f t="shared" si="54"/>
        <v>0.52631578947368418</v>
      </c>
      <c r="FZ9" s="84">
        <f t="shared" si="54"/>
        <v>0.28947368421052633</v>
      </c>
      <c r="GA9" s="84">
        <f t="shared" si="54"/>
        <v>0.36842105263157893</v>
      </c>
      <c r="GB9" s="84">
        <f t="shared" si="54"/>
        <v>0.34210526315789475</v>
      </c>
      <c r="GC9" s="84">
        <f t="shared" si="54"/>
        <v>0.42105263157894735</v>
      </c>
      <c r="GD9" s="84">
        <f t="shared" si="54"/>
        <v>0.31578947368421051</v>
      </c>
      <c r="GE9" s="84">
        <f t="shared" si="54"/>
        <v>0.63157894736842102</v>
      </c>
      <c r="GF9" s="84">
        <f t="shared" ref="GF9:HJ9" si="55">(GF4+GF6+GF7)/GF8</f>
        <v>0.44736842105263158</v>
      </c>
      <c r="GG9" s="84">
        <f t="shared" si="55"/>
        <v>0.47368421052631576</v>
      </c>
      <c r="GH9" s="84">
        <f t="shared" si="55"/>
        <v>0.23684210526315788</v>
      </c>
      <c r="GI9" s="84">
        <f t="shared" si="55"/>
        <v>0.28947368421052633</v>
      </c>
      <c r="GJ9" s="84">
        <f t="shared" si="55"/>
        <v>0.55263157894736847</v>
      </c>
      <c r="GK9" s="84">
        <f t="shared" si="55"/>
        <v>0.5</v>
      </c>
      <c r="GL9" s="84">
        <f t="shared" si="55"/>
        <v>0.42105263157894735</v>
      </c>
      <c r="GM9" s="84">
        <f t="shared" si="55"/>
        <v>0.42105263157894735</v>
      </c>
      <c r="GN9" s="84">
        <f t="shared" si="55"/>
        <v>0.34210526315789475</v>
      </c>
      <c r="GO9" s="84">
        <f t="shared" si="55"/>
        <v>0.52631578947368418</v>
      </c>
      <c r="GP9" s="84">
        <f t="shared" si="55"/>
        <v>0.44736842105263158</v>
      </c>
      <c r="GQ9" s="84">
        <f t="shared" si="55"/>
        <v>0.5</v>
      </c>
      <c r="GR9" s="84">
        <f t="shared" si="55"/>
        <v>0.44736842105263158</v>
      </c>
      <c r="GS9" s="84">
        <f t="shared" si="55"/>
        <v>0.52631578947368418</v>
      </c>
      <c r="GT9" s="84">
        <f t="shared" si="55"/>
        <v>0.63157894736842102</v>
      </c>
      <c r="GU9" s="84">
        <f t="shared" si="55"/>
        <v>0.47368421052631576</v>
      </c>
      <c r="GV9" s="84">
        <f t="shared" si="55"/>
        <v>0.47368421052631576</v>
      </c>
      <c r="GW9" s="84">
        <f t="shared" si="55"/>
        <v>0.52631578947368418</v>
      </c>
      <c r="GX9" s="84">
        <f t="shared" si="55"/>
        <v>0.55263157894736847</v>
      </c>
      <c r="GY9" s="84">
        <f t="shared" si="55"/>
        <v>0.71052631578947367</v>
      </c>
      <c r="GZ9" s="84">
        <f t="shared" si="55"/>
        <v>0.42105263157894735</v>
      </c>
      <c r="HA9" s="84">
        <f t="shared" si="55"/>
        <v>0.42105263157894735</v>
      </c>
      <c r="HB9" s="84">
        <f t="shared" si="55"/>
        <v>0.60526315789473684</v>
      </c>
      <c r="HC9" s="84">
        <f t="shared" si="55"/>
        <v>0.55263157894736847</v>
      </c>
      <c r="HD9" s="84">
        <f t="shared" si="55"/>
        <v>0.39473684210526316</v>
      </c>
      <c r="HE9" s="84">
        <f t="shared" si="55"/>
        <v>0.63157894736842102</v>
      </c>
      <c r="HF9" s="84">
        <f t="shared" si="55"/>
        <v>0.65789473684210531</v>
      </c>
      <c r="HG9" s="84">
        <f t="shared" si="55"/>
        <v>0.47368421052631576</v>
      </c>
      <c r="HH9" s="84">
        <f t="shared" si="55"/>
        <v>0.57894736842105265</v>
      </c>
      <c r="HI9" s="84">
        <f t="shared" si="55"/>
        <v>0.42105263157894735</v>
      </c>
      <c r="HJ9" s="84">
        <f t="shared" si="55"/>
        <v>0.39473684210526316</v>
      </c>
      <c r="HK9" s="84">
        <f>(HK4+HK6+HK7)/HK8</f>
        <v>0.65789473684210531</v>
      </c>
      <c r="HL9" s="84">
        <f t="shared" ref="HL9:IP9" si="56">(HL4+HL6+HL7)/HL8</f>
        <v>0.52631578947368418</v>
      </c>
      <c r="HM9" s="84">
        <f t="shared" si="56"/>
        <v>0.55263157894736847</v>
      </c>
      <c r="HN9" s="84">
        <f t="shared" si="56"/>
        <v>0.44736842105263158</v>
      </c>
      <c r="HO9" s="84">
        <f t="shared" si="56"/>
        <v>0.5</v>
      </c>
      <c r="HP9" s="84">
        <f t="shared" si="56"/>
        <v>0.44736842105263158</v>
      </c>
      <c r="HQ9" s="84">
        <f t="shared" si="56"/>
        <v>0.52631578947368418</v>
      </c>
      <c r="HR9" s="84">
        <f t="shared" si="56"/>
        <v>0.5</v>
      </c>
      <c r="HS9" s="84">
        <f t="shared" si="56"/>
        <v>0.39473684210526316</v>
      </c>
      <c r="HT9" s="84">
        <f t="shared" si="56"/>
        <v>0.52631578947368418</v>
      </c>
      <c r="HU9" s="84">
        <f t="shared" si="56"/>
        <v>0.57894736842105265</v>
      </c>
      <c r="HV9" s="84">
        <f t="shared" si="56"/>
        <v>0.60526315789473684</v>
      </c>
      <c r="HW9" s="84">
        <f t="shared" si="56"/>
        <v>0.47368421052631576</v>
      </c>
      <c r="HX9" s="84">
        <f t="shared" si="56"/>
        <v>0.44736842105263158</v>
      </c>
      <c r="HY9" s="84">
        <f t="shared" si="56"/>
        <v>0.68421052631578949</v>
      </c>
      <c r="HZ9" s="84">
        <f t="shared" si="56"/>
        <v>0.34210526315789475</v>
      </c>
      <c r="IA9" s="84">
        <f t="shared" si="56"/>
        <v>0.68421052631578949</v>
      </c>
      <c r="IB9" s="84">
        <f t="shared" si="56"/>
        <v>0.47368421052631576</v>
      </c>
      <c r="IC9" s="84">
        <f t="shared" si="56"/>
        <v>0.73684210526315785</v>
      </c>
      <c r="ID9" s="84">
        <f t="shared" si="56"/>
        <v>0.47368421052631576</v>
      </c>
      <c r="IE9" s="84">
        <f t="shared" si="56"/>
        <v>0.36842105263157893</v>
      </c>
      <c r="IF9" s="84">
        <f t="shared" si="56"/>
        <v>0.5</v>
      </c>
      <c r="IG9" s="84">
        <f t="shared" si="56"/>
        <v>0.39473684210526316</v>
      </c>
      <c r="IH9" s="84">
        <f t="shared" si="56"/>
        <v>0.39473684210526316</v>
      </c>
      <c r="II9" s="84">
        <f t="shared" si="56"/>
        <v>0.57894736842105265</v>
      </c>
      <c r="IJ9" s="84">
        <f t="shared" si="56"/>
        <v>0.55263157894736847</v>
      </c>
      <c r="IK9" s="84">
        <f t="shared" si="56"/>
        <v>0.47368421052631576</v>
      </c>
      <c r="IL9" s="84">
        <f t="shared" si="56"/>
        <v>0.5</v>
      </c>
      <c r="IM9" s="84">
        <f t="shared" si="56"/>
        <v>0.5</v>
      </c>
      <c r="IN9" s="84">
        <f t="shared" si="56"/>
        <v>0.60526315789473684</v>
      </c>
      <c r="IO9" s="84">
        <f>(IO4+IO6+IO7)/IO8</f>
        <v>0.5</v>
      </c>
      <c r="IP9" s="84">
        <f t="shared" si="56"/>
        <v>0.57894736842105265</v>
      </c>
      <c r="IQ9" s="84">
        <f t="shared" ref="IQ9:JS9" si="57">(IQ4+IQ6+IQ7)/IQ8</f>
        <v>0.73684210526315785</v>
      </c>
      <c r="IR9" s="84">
        <f t="shared" si="57"/>
        <v>0.68421052631578949</v>
      </c>
      <c r="IS9" s="84">
        <f t="shared" si="57"/>
        <v>0.63157894736842102</v>
      </c>
      <c r="IT9" s="84">
        <f t="shared" si="57"/>
        <v>0.63157894736842102</v>
      </c>
      <c r="IU9" s="84">
        <f t="shared" si="57"/>
        <v>0.76315789473684215</v>
      </c>
      <c r="IV9" s="84">
        <f t="shared" si="57"/>
        <v>0.65789473684210531</v>
      </c>
      <c r="IW9" s="84">
        <f t="shared" si="57"/>
        <v>0.78947368421052633</v>
      </c>
      <c r="IX9" s="84">
        <f t="shared" si="57"/>
        <v>0.60526315789473684</v>
      </c>
      <c r="IY9" s="84">
        <f t="shared" si="57"/>
        <v>0.57894736842105265</v>
      </c>
      <c r="IZ9" s="84">
        <f t="shared" si="57"/>
        <v>0.60526315789473684</v>
      </c>
      <c r="JA9" s="84">
        <f t="shared" si="57"/>
        <v>0.63157894736842102</v>
      </c>
      <c r="JB9" s="84">
        <f t="shared" si="57"/>
        <v>0.71052631578947367</v>
      </c>
      <c r="JC9" s="84">
        <f t="shared" si="57"/>
        <v>0.84210526315789469</v>
      </c>
      <c r="JD9" s="84">
        <f t="shared" si="57"/>
        <v>0.63157894736842102</v>
      </c>
      <c r="JE9" s="84">
        <f t="shared" si="57"/>
        <v>0.86842105263157898</v>
      </c>
      <c r="JF9" s="84">
        <f t="shared" si="57"/>
        <v>0.71052631578947367</v>
      </c>
      <c r="JG9" s="84">
        <f t="shared" si="57"/>
        <v>0.5</v>
      </c>
      <c r="JH9" s="84">
        <f t="shared" si="57"/>
        <v>0.68421052631578949</v>
      </c>
      <c r="JI9" s="84">
        <f t="shared" si="57"/>
        <v>0.78947368421052633</v>
      </c>
      <c r="JJ9" s="84">
        <f t="shared" si="57"/>
        <v>0.5</v>
      </c>
      <c r="JK9" s="84">
        <f t="shared" si="57"/>
        <v>0.68421052631578949</v>
      </c>
      <c r="JL9" s="84">
        <f t="shared" si="57"/>
        <v>0.65789473684210531</v>
      </c>
      <c r="JM9" s="84">
        <f t="shared" si="57"/>
        <v>0.63157894736842102</v>
      </c>
      <c r="JN9" s="84">
        <f t="shared" si="57"/>
        <v>0.57894736842105265</v>
      </c>
      <c r="JO9" s="84">
        <f t="shared" si="57"/>
        <v>0.71052631578947367</v>
      </c>
      <c r="JP9" s="84">
        <f t="shared" si="57"/>
        <v>0.57894736842105265</v>
      </c>
      <c r="JQ9" s="84">
        <f t="shared" si="57"/>
        <v>0.60526315789473684</v>
      </c>
      <c r="JR9" s="84">
        <f t="shared" si="57"/>
        <v>0.60526315789473684</v>
      </c>
      <c r="JS9" s="84">
        <f t="shared" si="57"/>
        <v>0.55263157894736847</v>
      </c>
      <c r="JT9" s="84">
        <f t="shared" ref="JT9:KX9" si="58">(JT4+JT6+JT7)/JT8</f>
        <v>0.52631578947368418</v>
      </c>
      <c r="JU9" s="84">
        <f t="shared" si="58"/>
        <v>0.76315789473684215</v>
      </c>
      <c r="JV9" s="84">
        <f t="shared" si="58"/>
        <v>0.26315789473684209</v>
      </c>
      <c r="JW9" s="84">
        <f t="shared" si="58"/>
        <v>0.52631578947368418</v>
      </c>
      <c r="JX9" s="84">
        <f t="shared" si="58"/>
        <v>0.52631578947368418</v>
      </c>
      <c r="JY9" s="84">
        <f t="shared" si="58"/>
        <v>0.60526315789473684</v>
      </c>
      <c r="JZ9" s="84">
        <f t="shared" si="58"/>
        <v>0.52631578947368418</v>
      </c>
      <c r="KA9" s="84">
        <f t="shared" si="58"/>
        <v>0.57894736842105265</v>
      </c>
      <c r="KB9" s="84">
        <f t="shared" si="58"/>
        <v>0.47368421052631576</v>
      </c>
      <c r="KC9" s="84">
        <f t="shared" si="58"/>
        <v>0.60526315789473684</v>
      </c>
      <c r="KD9" s="84">
        <f t="shared" si="58"/>
        <v>0.36842105263157893</v>
      </c>
      <c r="KE9" s="84">
        <f t="shared" si="58"/>
        <v>0.5</v>
      </c>
      <c r="KF9" s="84">
        <f t="shared" si="58"/>
        <v>0.52631578947368418</v>
      </c>
      <c r="KG9" s="84">
        <f t="shared" si="58"/>
        <v>0.52631578947368418</v>
      </c>
      <c r="KH9" s="84">
        <f t="shared" si="58"/>
        <v>0.39473684210526316</v>
      </c>
      <c r="KI9" s="84">
        <f t="shared" si="58"/>
        <v>0.57894736842105265</v>
      </c>
      <c r="KJ9" s="84">
        <f t="shared" si="58"/>
        <v>0.57894736842105265</v>
      </c>
      <c r="KK9" s="84">
        <f t="shared" si="58"/>
        <v>0.60526315789473684</v>
      </c>
      <c r="KL9" s="84">
        <f t="shared" si="58"/>
        <v>0.57894736842105265</v>
      </c>
      <c r="KM9" s="84">
        <f t="shared" si="58"/>
        <v>0.52631578947368418</v>
      </c>
      <c r="KN9" s="84">
        <f t="shared" si="58"/>
        <v>0.47368421052631576</v>
      </c>
      <c r="KO9" s="84">
        <f t="shared" si="58"/>
        <v>0.65789473684210531</v>
      </c>
      <c r="KP9" s="84">
        <f t="shared" si="58"/>
        <v>0.34210526315789475</v>
      </c>
      <c r="KQ9" s="84">
        <f t="shared" si="58"/>
        <v>0.47368421052631576</v>
      </c>
      <c r="KR9" s="84">
        <f t="shared" si="58"/>
        <v>0.65789473684210531</v>
      </c>
      <c r="KS9" s="84">
        <f t="shared" si="58"/>
        <v>0.5</v>
      </c>
      <c r="KT9" s="84">
        <f t="shared" si="58"/>
        <v>0.28947368421052633</v>
      </c>
      <c r="KU9" s="84">
        <f t="shared" si="58"/>
        <v>0.55263157894736847</v>
      </c>
      <c r="KV9" s="84">
        <f t="shared" si="58"/>
        <v>0.42105263157894735</v>
      </c>
      <c r="KW9" s="84">
        <f t="shared" si="58"/>
        <v>0.71052631578947367</v>
      </c>
      <c r="KX9" s="84">
        <f t="shared" si="58"/>
        <v>0.47368421052631576</v>
      </c>
      <c r="KY9" s="84">
        <f t="shared" ref="KY9:MB9" si="59">(KY4+KY6+KY7)/KY8</f>
        <v>0.44736842105263158</v>
      </c>
      <c r="KZ9" s="84">
        <f t="shared" si="59"/>
        <v>0.42105263157894735</v>
      </c>
      <c r="LA9" s="84">
        <f t="shared" si="59"/>
        <v>0.39473684210526316</v>
      </c>
      <c r="LB9" s="84">
        <f t="shared" si="59"/>
        <v>0.34210526315789475</v>
      </c>
      <c r="LC9" s="84">
        <f t="shared" si="59"/>
        <v>0.31578947368421051</v>
      </c>
      <c r="LD9" s="84">
        <f t="shared" si="59"/>
        <v>0.44736842105263158</v>
      </c>
      <c r="LE9" s="84">
        <f t="shared" si="59"/>
        <v>0.36842105263157893</v>
      </c>
      <c r="LF9" s="84">
        <f t="shared" si="59"/>
        <v>0.34210526315789475</v>
      </c>
      <c r="LG9" s="84">
        <f t="shared" si="59"/>
        <v>0.47368421052631576</v>
      </c>
      <c r="LH9" s="84">
        <f t="shared" si="59"/>
        <v>0.42105263157894735</v>
      </c>
      <c r="LI9" s="84">
        <f t="shared" si="59"/>
        <v>0.52631578947368418</v>
      </c>
      <c r="LJ9" s="84">
        <f t="shared" si="59"/>
        <v>0.26315789473684209</v>
      </c>
      <c r="LK9" s="84">
        <f t="shared" si="59"/>
        <v>0.36842105263157893</v>
      </c>
      <c r="LL9" s="84">
        <f t="shared" si="59"/>
        <v>0.31578947368421051</v>
      </c>
      <c r="LM9" s="84">
        <f t="shared" si="59"/>
        <v>0.34210526315789475</v>
      </c>
      <c r="LN9" s="84">
        <f t="shared" si="59"/>
        <v>0.31578947368421051</v>
      </c>
      <c r="LO9" s="84">
        <f t="shared" si="59"/>
        <v>0.34210526315789475</v>
      </c>
      <c r="LP9" s="84">
        <f t="shared" si="59"/>
        <v>0.57894736842105265</v>
      </c>
      <c r="LQ9" s="84">
        <f t="shared" si="59"/>
        <v>0.42105263157894735</v>
      </c>
      <c r="LR9" s="84">
        <f t="shared" si="59"/>
        <v>0.26315789473684209</v>
      </c>
      <c r="LS9" s="84">
        <f t="shared" si="59"/>
        <v>0.34210526315789475</v>
      </c>
      <c r="LT9" s="84">
        <f t="shared" si="59"/>
        <v>0.26315789473684209</v>
      </c>
      <c r="LU9" s="84">
        <f t="shared" si="59"/>
        <v>0.36842105263157893</v>
      </c>
      <c r="LV9" s="84">
        <f t="shared" si="59"/>
        <v>0.34210526315789475</v>
      </c>
      <c r="LW9" s="84">
        <f t="shared" si="59"/>
        <v>0.42105263157894735</v>
      </c>
      <c r="LX9" s="84">
        <f t="shared" si="59"/>
        <v>0.5</v>
      </c>
      <c r="LY9" s="84">
        <f t="shared" si="59"/>
        <v>0.36842105263157893</v>
      </c>
      <c r="LZ9" s="84">
        <f t="shared" si="59"/>
        <v>0.23684210526315788</v>
      </c>
      <c r="MA9" s="84">
        <f t="shared" si="59"/>
        <v>0.42105263157894735</v>
      </c>
      <c r="MB9" s="84">
        <f t="shared" si="59"/>
        <v>0.34210526315789475</v>
      </c>
    </row>
    <row r="10" spans="1:340" s="32" customFormat="1">
      <c r="A10" s="190" t="s">
        <v>11</v>
      </c>
      <c r="B10" s="190"/>
      <c r="C10" s="190"/>
      <c r="D10" s="190"/>
      <c r="E10" s="190"/>
      <c r="F10" s="190"/>
      <c r="G10" s="78" cm="1">
        <f t="array" ref="G10:CR10">TRANSPOSE('Utilization '!L6:L95)</f>
        <v>17</v>
      </c>
      <c r="H10" s="78">
        <v>20</v>
      </c>
      <c r="I10" s="78">
        <v>20</v>
      </c>
      <c r="J10" s="78">
        <v>20</v>
      </c>
      <c r="K10" s="78">
        <v>21</v>
      </c>
      <c r="L10" s="78">
        <v>20</v>
      </c>
      <c r="M10" s="78">
        <v>20</v>
      </c>
      <c r="N10" s="78">
        <v>20</v>
      </c>
      <c r="O10" s="78">
        <v>21</v>
      </c>
      <c r="P10" s="78">
        <v>21</v>
      </c>
      <c r="Q10" s="78">
        <v>20</v>
      </c>
      <c r="R10" s="78">
        <v>24</v>
      </c>
      <c r="S10" s="78">
        <v>22</v>
      </c>
      <c r="T10" s="78">
        <v>22</v>
      </c>
      <c r="U10" s="78">
        <v>22</v>
      </c>
      <c r="V10" s="78">
        <v>25</v>
      </c>
      <c r="W10" s="78">
        <v>23</v>
      </c>
      <c r="X10" s="78">
        <v>23</v>
      </c>
      <c r="Y10" s="78">
        <v>25</v>
      </c>
      <c r="Z10" s="78">
        <v>25</v>
      </c>
      <c r="AA10" s="78">
        <v>25</v>
      </c>
      <c r="AB10" s="78">
        <v>24</v>
      </c>
      <c r="AC10" s="78">
        <v>22</v>
      </c>
      <c r="AD10" s="78">
        <v>23</v>
      </c>
      <c r="AE10" s="78">
        <v>23</v>
      </c>
      <c r="AF10" s="78">
        <v>26</v>
      </c>
      <c r="AG10" s="78">
        <v>22</v>
      </c>
      <c r="AH10" s="78">
        <v>21</v>
      </c>
      <c r="AI10" s="78">
        <v>20</v>
      </c>
      <c r="AJ10" s="78">
        <v>18</v>
      </c>
      <c r="AK10" s="78">
        <v>18</v>
      </c>
      <c r="AL10" s="78">
        <v>20</v>
      </c>
      <c r="AM10" s="78">
        <v>25</v>
      </c>
      <c r="AN10" s="78">
        <v>23</v>
      </c>
      <c r="AO10" s="78">
        <v>23</v>
      </c>
      <c r="AP10" s="78">
        <v>25</v>
      </c>
      <c r="AQ10" s="78">
        <v>27</v>
      </c>
      <c r="AR10" s="78">
        <v>27</v>
      </c>
      <c r="AS10" s="78">
        <v>27</v>
      </c>
      <c r="AT10" s="78">
        <v>24</v>
      </c>
      <c r="AU10" s="78">
        <v>23</v>
      </c>
      <c r="AV10" s="78">
        <v>22</v>
      </c>
      <c r="AW10" s="78">
        <v>22</v>
      </c>
      <c r="AX10" s="78">
        <v>22</v>
      </c>
      <c r="AY10" s="78">
        <v>22</v>
      </c>
      <c r="AZ10" s="78">
        <v>22</v>
      </c>
      <c r="BA10" s="78">
        <v>25</v>
      </c>
      <c r="BB10" s="78">
        <v>24</v>
      </c>
      <c r="BC10" s="78">
        <v>22</v>
      </c>
      <c r="BD10" s="78">
        <v>22</v>
      </c>
      <c r="BE10" s="78">
        <v>23</v>
      </c>
      <c r="BF10" s="78">
        <v>24</v>
      </c>
      <c r="BG10" s="78">
        <v>23</v>
      </c>
      <c r="BH10" s="78">
        <v>23</v>
      </c>
      <c r="BI10" s="78">
        <v>21</v>
      </c>
      <c r="BJ10" s="78">
        <v>21</v>
      </c>
      <c r="BK10" s="78">
        <v>21</v>
      </c>
      <c r="BL10" s="78">
        <v>21</v>
      </c>
      <c r="BM10" s="78">
        <v>21</v>
      </c>
      <c r="BN10" s="78">
        <v>21</v>
      </c>
      <c r="BO10" s="78">
        <v>22</v>
      </c>
      <c r="BP10" s="78">
        <v>20</v>
      </c>
      <c r="BQ10" s="78">
        <v>20</v>
      </c>
      <c r="BR10" s="78">
        <v>20</v>
      </c>
      <c r="BS10" s="78">
        <v>20</v>
      </c>
      <c r="BT10" s="78">
        <v>20</v>
      </c>
      <c r="BU10" s="78">
        <v>20</v>
      </c>
      <c r="BV10" s="78">
        <v>22</v>
      </c>
      <c r="BW10" s="78">
        <v>22</v>
      </c>
      <c r="BX10" s="78">
        <v>22</v>
      </c>
      <c r="BY10" s="78">
        <v>21</v>
      </c>
      <c r="BZ10" s="78">
        <v>17</v>
      </c>
      <c r="CA10" s="78">
        <v>18</v>
      </c>
      <c r="CB10" s="78">
        <v>18</v>
      </c>
      <c r="CC10" s="78">
        <v>24</v>
      </c>
      <c r="CD10" s="78">
        <v>21</v>
      </c>
      <c r="CE10" s="78">
        <v>21</v>
      </c>
      <c r="CF10" s="78">
        <v>19</v>
      </c>
      <c r="CG10" s="78">
        <v>19</v>
      </c>
      <c r="CH10" s="78">
        <v>18</v>
      </c>
      <c r="CI10" s="78">
        <v>18</v>
      </c>
      <c r="CJ10" s="78">
        <v>21</v>
      </c>
      <c r="CK10" s="78">
        <v>15</v>
      </c>
      <c r="CL10" s="78">
        <v>15</v>
      </c>
      <c r="CM10" s="78">
        <v>15</v>
      </c>
      <c r="CN10" s="78">
        <v>15</v>
      </c>
      <c r="CO10" s="78">
        <v>16</v>
      </c>
      <c r="CP10" s="78">
        <v>16</v>
      </c>
      <c r="CQ10" s="78">
        <v>17</v>
      </c>
      <c r="CR10" s="78">
        <v>17</v>
      </c>
      <c r="CS10" s="78" cm="1">
        <f t="array" ref="CS10:DV10">TRANSPOSE('Utilization '!L96:L125)</f>
        <v>17</v>
      </c>
      <c r="CT10" s="78">
        <v>17</v>
      </c>
      <c r="CU10" s="78">
        <v>17</v>
      </c>
      <c r="CV10" s="78">
        <v>17</v>
      </c>
      <c r="CW10" s="78">
        <v>16</v>
      </c>
      <c r="CX10" s="78">
        <v>17</v>
      </c>
      <c r="CY10" s="78">
        <v>16</v>
      </c>
      <c r="CZ10" s="78">
        <v>16</v>
      </c>
      <c r="DA10" s="78">
        <v>16</v>
      </c>
      <c r="DB10" s="78">
        <v>16</v>
      </c>
      <c r="DC10" s="78">
        <v>16</v>
      </c>
      <c r="DD10" s="78">
        <v>16</v>
      </c>
      <c r="DE10" s="78">
        <v>14</v>
      </c>
      <c r="DF10" s="78">
        <v>14</v>
      </c>
      <c r="DG10" s="78">
        <v>14</v>
      </c>
      <c r="DH10" s="78">
        <v>15</v>
      </c>
      <c r="DI10" s="78">
        <v>15</v>
      </c>
      <c r="DJ10" s="78">
        <v>15</v>
      </c>
      <c r="DK10" s="78">
        <v>15</v>
      </c>
      <c r="DL10" s="78">
        <v>17</v>
      </c>
      <c r="DM10" s="78">
        <v>17</v>
      </c>
      <c r="DN10" s="78">
        <v>17</v>
      </c>
      <c r="DO10" s="78">
        <v>16</v>
      </c>
      <c r="DP10" s="78">
        <v>17</v>
      </c>
      <c r="DQ10" s="78">
        <v>17</v>
      </c>
      <c r="DR10" s="78">
        <v>17</v>
      </c>
      <c r="DS10" s="78">
        <v>17</v>
      </c>
      <c r="DT10" s="78">
        <v>16</v>
      </c>
      <c r="DU10" s="78">
        <v>16</v>
      </c>
      <c r="DV10" s="78">
        <v>16</v>
      </c>
      <c r="DW10" s="78" cm="1">
        <f t="array" ref="DW10:GE10">TRANSPOSE('Utilization '!L126:L186)</f>
        <v>16</v>
      </c>
      <c r="DX10" s="78">
        <v>16</v>
      </c>
      <c r="DY10" s="78">
        <v>16</v>
      </c>
      <c r="DZ10" s="78">
        <v>16</v>
      </c>
      <c r="EA10" s="78">
        <v>16</v>
      </c>
      <c r="EB10" s="78">
        <v>16</v>
      </c>
      <c r="EC10" s="78">
        <v>16</v>
      </c>
      <c r="ED10" s="78">
        <v>16</v>
      </c>
      <c r="EE10" s="78">
        <v>16</v>
      </c>
      <c r="EF10" s="78">
        <v>16</v>
      </c>
      <c r="EG10" s="78">
        <v>16</v>
      </c>
      <c r="EH10" s="78">
        <v>16</v>
      </c>
      <c r="EI10" s="78">
        <v>16</v>
      </c>
      <c r="EJ10" s="78">
        <v>16</v>
      </c>
      <c r="EK10" s="78">
        <v>16</v>
      </c>
      <c r="EL10" s="78">
        <v>16</v>
      </c>
      <c r="EM10" s="78">
        <v>16</v>
      </c>
      <c r="EN10" s="78">
        <v>17</v>
      </c>
      <c r="EO10" s="78">
        <v>17</v>
      </c>
      <c r="EP10" s="78">
        <v>17</v>
      </c>
      <c r="EQ10" s="78">
        <v>17</v>
      </c>
      <c r="ER10" s="78">
        <v>16</v>
      </c>
      <c r="ES10" s="78">
        <v>16</v>
      </c>
      <c r="ET10" s="78">
        <v>17</v>
      </c>
      <c r="EU10" s="78">
        <v>16</v>
      </c>
      <c r="EV10" s="78">
        <v>16</v>
      </c>
      <c r="EW10" s="78">
        <v>16</v>
      </c>
      <c r="EX10" s="78">
        <v>16</v>
      </c>
      <c r="EY10" s="78">
        <v>16</v>
      </c>
      <c r="EZ10" s="78">
        <v>16</v>
      </c>
      <c r="FA10" s="78">
        <v>17</v>
      </c>
      <c r="FB10" s="78">
        <v>17</v>
      </c>
      <c r="FC10" s="78">
        <v>17</v>
      </c>
      <c r="FD10" s="78">
        <v>16</v>
      </c>
      <c r="FE10" s="78">
        <v>17</v>
      </c>
      <c r="FF10" s="78">
        <v>17</v>
      </c>
      <c r="FG10" s="78">
        <v>17</v>
      </c>
      <c r="FH10" s="78">
        <v>17</v>
      </c>
      <c r="FI10" s="78">
        <v>18</v>
      </c>
      <c r="FJ10" s="78">
        <v>18</v>
      </c>
      <c r="FK10" s="78">
        <v>18</v>
      </c>
      <c r="FL10" s="78">
        <v>18</v>
      </c>
      <c r="FM10" s="78">
        <v>18</v>
      </c>
      <c r="FN10" s="78">
        <v>18</v>
      </c>
      <c r="FO10" s="78">
        <v>18</v>
      </c>
      <c r="FP10" s="78">
        <v>18</v>
      </c>
      <c r="FQ10" s="78">
        <v>18</v>
      </c>
      <c r="FR10" s="78">
        <v>18</v>
      </c>
      <c r="FS10" s="78">
        <v>18</v>
      </c>
      <c r="FT10" s="78">
        <v>18</v>
      </c>
      <c r="FU10" s="78">
        <v>18</v>
      </c>
      <c r="FV10" s="78">
        <v>18</v>
      </c>
      <c r="FW10" s="78">
        <v>18</v>
      </c>
      <c r="FX10" s="78">
        <v>16</v>
      </c>
      <c r="FY10" s="78">
        <v>16</v>
      </c>
      <c r="FZ10" s="78">
        <v>15</v>
      </c>
      <c r="GA10" s="78">
        <v>15</v>
      </c>
      <c r="GB10" s="78">
        <v>16</v>
      </c>
      <c r="GC10" s="78">
        <v>16</v>
      </c>
      <c r="GD10" s="78">
        <v>15</v>
      </c>
      <c r="GE10" s="78">
        <v>15</v>
      </c>
      <c r="GF10" s="78" cm="1">
        <f t="array" ref="GF10:IO10">TRANSPOSE('Utilization '!L187:L248)</f>
        <v>15</v>
      </c>
      <c r="GG10" s="78">
        <v>15</v>
      </c>
      <c r="GH10" s="78">
        <v>15</v>
      </c>
      <c r="GI10" s="78">
        <v>15</v>
      </c>
      <c r="GJ10" s="78">
        <v>15</v>
      </c>
      <c r="GK10" s="78">
        <v>18</v>
      </c>
      <c r="GL10" s="78">
        <v>15</v>
      </c>
      <c r="GM10" s="78">
        <v>15</v>
      </c>
      <c r="GN10" s="78">
        <v>15</v>
      </c>
      <c r="GO10" s="78">
        <v>15</v>
      </c>
      <c r="GP10" s="78">
        <v>15</v>
      </c>
      <c r="GQ10" s="78">
        <v>15</v>
      </c>
      <c r="GR10" s="78">
        <v>16</v>
      </c>
      <c r="GS10" s="78">
        <v>17</v>
      </c>
      <c r="GT10" s="78">
        <v>16</v>
      </c>
      <c r="GU10" s="78">
        <v>14</v>
      </c>
      <c r="GV10" s="78">
        <v>14</v>
      </c>
      <c r="GW10" s="78">
        <v>14</v>
      </c>
      <c r="GX10" s="78">
        <v>15</v>
      </c>
      <c r="GY10" s="78">
        <v>16</v>
      </c>
      <c r="GZ10" s="78">
        <v>15</v>
      </c>
      <c r="HA10" s="78">
        <v>15</v>
      </c>
      <c r="HB10" s="78">
        <v>16</v>
      </c>
      <c r="HC10" s="78">
        <v>17</v>
      </c>
      <c r="HD10" s="78">
        <v>17</v>
      </c>
      <c r="HE10" s="78">
        <v>17</v>
      </c>
      <c r="HF10" s="78">
        <v>19</v>
      </c>
      <c r="HG10" s="78">
        <v>17</v>
      </c>
      <c r="HH10" s="78">
        <v>17</v>
      </c>
      <c r="HI10" s="78">
        <v>18</v>
      </c>
      <c r="HJ10" s="78">
        <v>18</v>
      </c>
      <c r="HK10" s="78">
        <v>18</v>
      </c>
      <c r="HL10" s="78">
        <v>18</v>
      </c>
      <c r="HM10" s="78">
        <v>18</v>
      </c>
      <c r="HN10" s="78">
        <v>17</v>
      </c>
      <c r="HO10" s="78">
        <v>17</v>
      </c>
      <c r="HP10" s="78">
        <v>17</v>
      </c>
      <c r="HQ10" s="78">
        <v>17</v>
      </c>
      <c r="HR10" s="78">
        <v>17</v>
      </c>
      <c r="HS10" s="78">
        <v>17</v>
      </c>
      <c r="HT10" s="78">
        <v>18</v>
      </c>
      <c r="HU10" s="78">
        <v>17</v>
      </c>
      <c r="HV10" s="78">
        <v>17</v>
      </c>
      <c r="HW10" s="78">
        <v>17</v>
      </c>
      <c r="HX10" s="78">
        <v>17</v>
      </c>
      <c r="HY10" s="78">
        <v>17</v>
      </c>
      <c r="HZ10" s="78">
        <v>17</v>
      </c>
      <c r="IA10" s="78">
        <v>17</v>
      </c>
      <c r="IB10" s="78">
        <v>16</v>
      </c>
      <c r="IC10" s="78">
        <v>16</v>
      </c>
      <c r="ID10" s="78">
        <v>17</v>
      </c>
      <c r="IE10" s="78">
        <v>17</v>
      </c>
      <c r="IF10" s="78">
        <v>17</v>
      </c>
      <c r="IG10" s="78">
        <v>17</v>
      </c>
      <c r="IH10" s="78">
        <v>16</v>
      </c>
      <c r="II10" s="78">
        <v>16</v>
      </c>
      <c r="IJ10" s="78">
        <v>16</v>
      </c>
      <c r="IK10" s="78">
        <v>16</v>
      </c>
      <c r="IL10" s="78">
        <v>16</v>
      </c>
      <c r="IM10" s="78">
        <v>16</v>
      </c>
      <c r="IN10" s="78">
        <v>16</v>
      </c>
      <c r="IO10" s="78">
        <v>17</v>
      </c>
      <c r="IP10" s="78" cm="1">
        <f t="array" ref="IP10:JS10">TRANSPOSE('Utilization '!L249:L278)</f>
        <v>17</v>
      </c>
      <c r="IQ10" s="78">
        <v>17</v>
      </c>
      <c r="IR10" s="78">
        <v>17</v>
      </c>
      <c r="IS10" s="78">
        <v>17</v>
      </c>
      <c r="IT10" s="78">
        <v>17</v>
      </c>
      <c r="IU10" s="78">
        <v>17</v>
      </c>
      <c r="IV10" s="78">
        <v>17</v>
      </c>
      <c r="IW10" s="78">
        <v>17</v>
      </c>
      <c r="IX10" s="78">
        <v>17</v>
      </c>
      <c r="IY10" s="78">
        <v>17</v>
      </c>
      <c r="IZ10" s="78">
        <v>17</v>
      </c>
      <c r="JA10" s="78">
        <v>17</v>
      </c>
      <c r="JB10" s="78">
        <v>17</v>
      </c>
      <c r="JC10" s="78">
        <v>0</v>
      </c>
      <c r="JD10" s="78">
        <v>0</v>
      </c>
      <c r="JE10" s="78">
        <v>0</v>
      </c>
      <c r="JF10" s="78">
        <v>0</v>
      </c>
      <c r="JG10" s="78">
        <v>0</v>
      </c>
      <c r="JH10" s="78">
        <v>0</v>
      </c>
      <c r="JI10" s="78">
        <v>0</v>
      </c>
      <c r="JJ10" s="78">
        <v>0</v>
      </c>
      <c r="JK10" s="78">
        <v>0</v>
      </c>
      <c r="JL10" s="78">
        <v>0</v>
      </c>
      <c r="JM10" s="78">
        <v>0</v>
      </c>
      <c r="JN10" s="78">
        <v>0</v>
      </c>
      <c r="JO10" s="78">
        <v>0</v>
      </c>
      <c r="JP10" s="78">
        <v>0</v>
      </c>
      <c r="JQ10" s="78">
        <v>0</v>
      </c>
      <c r="JR10" s="78">
        <v>0</v>
      </c>
      <c r="JS10" s="78">
        <v>0</v>
      </c>
      <c r="JT10" s="78" cm="1">
        <f t="array" ref="JT10:MB10">TRANSPOSE('Utilization '!L279:L339)</f>
        <v>0</v>
      </c>
      <c r="JU10" s="78">
        <v>0</v>
      </c>
      <c r="JV10" s="78">
        <v>0</v>
      </c>
      <c r="JW10" s="78">
        <v>0</v>
      </c>
      <c r="JX10" s="78">
        <v>0</v>
      </c>
      <c r="JY10" s="78">
        <v>0</v>
      </c>
      <c r="JZ10" s="78">
        <v>0</v>
      </c>
      <c r="KA10" s="78">
        <v>0</v>
      </c>
      <c r="KB10" s="78">
        <v>0</v>
      </c>
      <c r="KC10" s="78">
        <v>0</v>
      </c>
      <c r="KD10" s="78">
        <v>0</v>
      </c>
      <c r="KE10" s="78">
        <v>0</v>
      </c>
      <c r="KF10" s="78">
        <v>0</v>
      </c>
      <c r="KG10" s="78">
        <v>0</v>
      </c>
      <c r="KH10" s="78">
        <v>0</v>
      </c>
      <c r="KI10" s="78">
        <v>0</v>
      </c>
      <c r="KJ10" s="78">
        <v>0</v>
      </c>
      <c r="KK10" s="78">
        <v>0</v>
      </c>
      <c r="KL10" s="78">
        <v>0</v>
      </c>
      <c r="KM10" s="78">
        <v>0</v>
      </c>
      <c r="KN10" s="78">
        <v>0</v>
      </c>
      <c r="KO10" s="78">
        <v>0</v>
      </c>
      <c r="KP10" s="78">
        <v>0</v>
      </c>
      <c r="KQ10" s="78">
        <v>0</v>
      </c>
      <c r="KR10" s="78">
        <v>0</v>
      </c>
      <c r="KS10" s="78">
        <v>0</v>
      </c>
      <c r="KT10" s="78">
        <v>0</v>
      </c>
      <c r="KU10" s="78">
        <v>0</v>
      </c>
      <c r="KV10" s="78">
        <v>0</v>
      </c>
      <c r="KW10" s="78">
        <v>0</v>
      </c>
      <c r="KX10" s="78">
        <v>0</v>
      </c>
      <c r="KY10" s="78">
        <v>0</v>
      </c>
      <c r="KZ10" s="78">
        <v>0</v>
      </c>
      <c r="LA10" s="78">
        <v>0</v>
      </c>
      <c r="LB10" s="78">
        <v>0</v>
      </c>
      <c r="LC10" s="78">
        <v>0</v>
      </c>
      <c r="LD10" s="78">
        <v>0</v>
      </c>
      <c r="LE10" s="78">
        <v>0</v>
      </c>
      <c r="LF10" s="78">
        <v>0</v>
      </c>
      <c r="LG10" s="78">
        <v>0</v>
      </c>
      <c r="LH10" s="78">
        <v>0</v>
      </c>
      <c r="LI10" s="78">
        <v>0</v>
      </c>
      <c r="LJ10" s="78">
        <v>0</v>
      </c>
      <c r="LK10" s="78">
        <v>0</v>
      </c>
      <c r="LL10" s="78">
        <v>0</v>
      </c>
      <c r="LM10" s="78">
        <v>0</v>
      </c>
      <c r="LN10" s="78">
        <v>0</v>
      </c>
      <c r="LO10" s="78">
        <v>0</v>
      </c>
      <c r="LP10" s="78">
        <v>0</v>
      </c>
      <c r="LQ10" s="78">
        <v>0</v>
      </c>
      <c r="LR10" s="78">
        <v>0</v>
      </c>
      <c r="LS10" s="78">
        <v>0</v>
      </c>
      <c r="LT10" s="78">
        <v>0</v>
      </c>
      <c r="LU10" s="78">
        <v>0</v>
      </c>
      <c r="LV10" s="78">
        <v>0</v>
      </c>
      <c r="LW10" s="78">
        <v>0</v>
      </c>
      <c r="LX10" s="78">
        <v>0</v>
      </c>
      <c r="LY10" s="78">
        <v>0</v>
      </c>
      <c r="LZ10" s="78">
        <v>0</v>
      </c>
      <c r="MA10" s="78">
        <v>0</v>
      </c>
      <c r="MB10" s="78">
        <v>0</v>
      </c>
    </row>
    <row r="11" spans="1:340" s="32" customFormat="1" ht="15.75" thickBot="1">
      <c r="A11" s="190" t="s">
        <v>12</v>
      </c>
      <c r="B11" s="190"/>
      <c r="C11" s="190"/>
      <c r="D11" s="190"/>
      <c r="E11" s="190"/>
      <c r="F11" s="190"/>
      <c r="G11" s="38" cm="1">
        <f t="array" ref="G11:CR11">TRANSPOSE('Utilization '!M6:M95)</f>
        <v>5</v>
      </c>
      <c r="H11" s="38">
        <v>5</v>
      </c>
      <c r="I11" s="38">
        <v>5</v>
      </c>
      <c r="J11" s="38">
        <v>5</v>
      </c>
      <c r="K11" s="38">
        <v>5</v>
      </c>
      <c r="L11" s="38">
        <v>4</v>
      </c>
      <c r="M11" s="38">
        <v>4</v>
      </c>
      <c r="N11" s="38">
        <v>4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5</v>
      </c>
      <c r="U11" s="38">
        <v>5</v>
      </c>
      <c r="V11" s="38">
        <v>5</v>
      </c>
      <c r="W11" s="38">
        <v>5</v>
      </c>
      <c r="X11" s="38">
        <v>5</v>
      </c>
      <c r="Y11" s="38">
        <v>5</v>
      </c>
      <c r="Z11" s="38">
        <v>5</v>
      </c>
      <c r="AA11" s="38">
        <v>5</v>
      </c>
      <c r="AB11" s="38">
        <v>5</v>
      </c>
      <c r="AC11" s="38">
        <v>5</v>
      </c>
      <c r="AD11" s="38">
        <v>5</v>
      </c>
      <c r="AE11" s="38">
        <v>5</v>
      </c>
      <c r="AF11" s="38">
        <v>5</v>
      </c>
      <c r="AG11" s="38">
        <v>4</v>
      </c>
      <c r="AH11" s="38">
        <v>4</v>
      </c>
      <c r="AI11" s="38">
        <v>4</v>
      </c>
      <c r="AJ11" s="38">
        <v>5</v>
      </c>
      <c r="AK11" s="38">
        <v>5</v>
      </c>
      <c r="AL11" s="38">
        <v>5</v>
      </c>
      <c r="AM11" s="38">
        <v>6</v>
      </c>
      <c r="AN11" s="38">
        <v>4</v>
      </c>
      <c r="AO11" s="38">
        <v>4</v>
      </c>
      <c r="AP11" s="38">
        <v>4</v>
      </c>
      <c r="AQ11" s="38">
        <v>5</v>
      </c>
      <c r="AR11" s="38">
        <v>5</v>
      </c>
      <c r="AS11" s="38">
        <v>5</v>
      </c>
      <c r="AT11" s="38">
        <v>5</v>
      </c>
      <c r="AU11" s="38">
        <v>4</v>
      </c>
      <c r="AV11" s="38">
        <v>4</v>
      </c>
      <c r="AW11" s="38">
        <v>4</v>
      </c>
      <c r="AX11" s="38">
        <v>4</v>
      </c>
      <c r="AY11" s="38">
        <v>4</v>
      </c>
      <c r="AZ11" s="38">
        <v>4</v>
      </c>
      <c r="BA11" s="38">
        <v>4</v>
      </c>
      <c r="BB11" s="38">
        <v>4</v>
      </c>
      <c r="BC11" s="38">
        <v>4</v>
      </c>
      <c r="BD11" s="38">
        <v>5</v>
      </c>
      <c r="BE11" s="38">
        <v>5</v>
      </c>
      <c r="BF11" s="38">
        <v>5</v>
      </c>
      <c r="BG11" s="38">
        <v>5</v>
      </c>
      <c r="BH11" s="38">
        <v>5</v>
      </c>
      <c r="BI11" s="38">
        <v>5</v>
      </c>
      <c r="BJ11" s="38">
        <v>5</v>
      </c>
      <c r="BK11" s="38">
        <v>5</v>
      </c>
      <c r="BL11" s="38">
        <v>5</v>
      </c>
      <c r="BM11" s="38">
        <v>5</v>
      </c>
      <c r="BN11" s="38">
        <v>5</v>
      </c>
      <c r="BO11" s="38">
        <v>5</v>
      </c>
      <c r="BP11" s="38">
        <v>5</v>
      </c>
      <c r="BQ11" s="38">
        <v>5</v>
      </c>
      <c r="BR11" s="38">
        <v>5</v>
      </c>
      <c r="BS11" s="38">
        <v>4</v>
      </c>
      <c r="BT11" s="38">
        <v>4</v>
      </c>
      <c r="BU11" s="38">
        <v>4</v>
      </c>
      <c r="BV11" s="38">
        <v>5</v>
      </c>
      <c r="BW11" s="38">
        <v>5</v>
      </c>
      <c r="BX11" s="38">
        <v>5</v>
      </c>
      <c r="BY11" s="38">
        <v>5</v>
      </c>
      <c r="BZ11" s="38">
        <v>3</v>
      </c>
      <c r="CA11" s="38">
        <v>3</v>
      </c>
      <c r="CB11" s="38">
        <v>3</v>
      </c>
      <c r="CC11" s="38">
        <v>5</v>
      </c>
      <c r="CD11" s="38">
        <v>5</v>
      </c>
      <c r="CE11" s="38">
        <v>5</v>
      </c>
      <c r="CF11" s="38">
        <v>3</v>
      </c>
      <c r="CG11" s="38">
        <v>2</v>
      </c>
      <c r="CH11" s="38">
        <v>2</v>
      </c>
      <c r="CI11" s="38">
        <v>2</v>
      </c>
      <c r="CJ11" s="38">
        <v>2</v>
      </c>
      <c r="CK11" s="38">
        <v>2</v>
      </c>
      <c r="CL11" s="38">
        <v>3</v>
      </c>
      <c r="CM11" s="38">
        <v>3</v>
      </c>
      <c r="CN11" s="38">
        <v>3</v>
      </c>
      <c r="CO11" s="38">
        <v>3</v>
      </c>
      <c r="CP11" s="38">
        <v>3</v>
      </c>
      <c r="CQ11" s="38">
        <v>3</v>
      </c>
      <c r="CR11" s="38">
        <v>2</v>
      </c>
      <c r="CS11" s="38" cm="1">
        <f t="array" ref="CS11:DV11">+TRANSPOSE('Utilization '!M96:M125)</f>
        <v>2</v>
      </c>
      <c r="CT11" s="38">
        <v>2</v>
      </c>
      <c r="CU11" s="38">
        <v>2</v>
      </c>
      <c r="CV11" s="38">
        <v>2</v>
      </c>
      <c r="CW11" s="38">
        <v>2</v>
      </c>
      <c r="CX11" s="38">
        <v>2</v>
      </c>
      <c r="CY11" s="38">
        <v>2</v>
      </c>
      <c r="CZ11" s="38">
        <v>2</v>
      </c>
      <c r="DA11" s="38">
        <v>2</v>
      </c>
      <c r="DB11" s="38">
        <v>2</v>
      </c>
      <c r="DC11" s="38">
        <v>2</v>
      </c>
      <c r="DD11" s="38">
        <v>2</v>
      </c>
      <c r="DE11" s="38">
        <v>2</v>
      </c>
      <c r="DF11" s="38">
        <v>1</v>
      </c>
      <c r="DG11" s="38">
        <v>1</v>
      </c>
      <c r="DH11" s="38">
        <v>2</v>
      </c>
      <c r="DI11" s="38">
        <v>1</v>
      </c>
      <c r="DJ11" s="38">
        <v>1</v>
      </c>
      <c r="DK11" s="38">
        <v>1</v>
      </c>
      <c r="DL11" s="38">
        <v>1</v>
      </c>
      <c r="DM11" s="38">
        <v>1</v>
      </c>
      <c r="DN11" s="38">
        <v>1</v>
      </c>
      <c r="DO11" s="38">
        <v>1</v>
      </c>
      <c r="DP11" s="38">
        <v>1</v>
      </c>
      <c r="DQ11" s="38">
        <v>1</v>
      </c>
      <c r="DR11" s="38">
        <v>1</v>
      </c>
      <c r="DS11" s="38">
        <v>1</v>
      </c>
      <c r="DT11" s="38">
        <v>2</v>
      </c>
      <c r="DU11" s="38">
        <v>2</v>
      </c>
      <c r="DV11" s="38">
        <v>2</v>
      </c>
      <c r="DW11" s="38" cm="1">
        <f t="array" ref="DW11:GE11">TRANSPOSE('Utilization '!M126:M186)</f>
        <v>2</v>
      </c>
      <c r="DX11" s="38">
        <v>2</v>
      </c>
      <c r="DY11" s="38">
        <v>2</v>
      </c>
      <c r="DZ11" s="38">
        <v>1</v>
      </c>
      <c r="EA11" s="38">
        <v>1</v>
      </c>
      <c r="EB11" s="38">
        <v>1</v>
      </c>
      <c r="EC11" s="38">
        <v>1</v>
      </c>
      <c r="ED11" s="38">
        <v>1</v>
      </c>
      <c r="EE11" s="38">
        <v>1</v>
      </c>
      <c r="EF11" s="38">
        <v>1</v>
      </c>
      <c r="EG11" s="38">
        <v>1</v>
      </c>
      <c r="EH11" s="38">
        <v>1</v>
      </c>
      <c r="EI11" s="38">
        <v>1</v>
      </c>
      <c r="EJ11" s="38">
        <v>1</v>
      </c>
      <c r="EK11" s="38">
        <v>1</v>
      </c>
      <c r="EL11" s="38">
        <v>1</v>
      </c>
      <c r="EM11" s="38">
        <v>1</v>
      </c>
      <c r="EN11" s="38">
        <v>1</v>
      </c>
      <c r="EO11" s="38">
        <v>1</v>
      </c>
      <c r="EP11" s="38">
        <v>1</v>
      </c>
      <c r="EQ11" s="38">
        <v>1</v>
      </c>
      <c r="ER11" s="38">
        <v>1</v>
      </c>
      <c r="ES11" s="38">
        <v>1</v>
      </c>
      <c r="ET11" s="38">
        <v>1</v>
      </c>
      <c r="EU11" s="38">
        <v>2</v>
      </c>
      <c r="EV11" s="38">
        <v>2</v>
      </c>
      <c r="EW11" s="38">
        <v>2</v>
      </c>
      <c r="EX11" s="38">
        <v>2</v>
      </c>
      <c r="EY11" s="38">
        <v>2</v>
      </c>
      <c r="EZ11" s="38">
        <v>2</v>
      </c>
      <c r="FA11" s="38">
        <v>2</v>
      </c>
      <c r="FB11" s="38">
        <v>2</v>
      </c>
      <c r="FC11" s="38">
        <v>2</v>
      </c>
      <c r="FD11" s="38">
        <v>2</v>
      </c>
      <c r="FE11" s="38">
        <v>2</v>
      </c>
      <c r="FF11" s="38">
        <v>2</v>
      </c>
      <c r="FG11" s="38">
        <v>2</v>
      </c>
      <c r="FH11" s="38">
        <v>2</v>
      </c>
      <c r="FI11" s="38">
        <v>4</v>
      </c>
      <c r="FJ11" s="38">
        <v>4</v>
      </c>
      <c r="FK11" s="38">
        <v>4</v>
      </c>
      <c r="FL11" s="38">
        <v>4</v>
      </c>
      <c r="FM11" s="38">
        <v>4</v>
      </c>
      <c r="FN11" s="38">
        <v>4</v>
      </c>
      <c r="FO11" s="38">
        <v>4</v>
      </c>
      <c r="FP11" s="38">
        <v>4</v>
      </c>
      <c r="FQ11" s="38">
        <v>4</v>
      </c>
      <c r="FR11" s="38">
        <v>4</v>
      </c>
      <c r="FS11" s="38">
        <v>4</v>
      </c>
      <c r="FT11" s="38">
        <v>4</v>
      </c>
      <c r="FU11" s="38">
        <v>4</v>
      </c>
      <c r="FV11" s="38">
        <v>4</v>
      </c>
      <c r="FW11" s="38">
        <v>4</v>
      </c>
      <c r="FX11" s="38">
        <v>4</v>
      </c>
      <c r="FY11" s="38">
        <v>4</v>
      </c>
      <c r="FZ11" s="38">
        <v>4</v>
      </c>
      <c r="GA11" s="38">
        <v>4</v>
      </c>
      <c r="GB11" s="38">
        <v>4</v>
      </c>
      <c r="GC11" s="38">
        <v>4</v>
      </c>
      <c r="GD11" s="38">
        <v>4</v>
      </c>
      <c r="GE11" s="38">
        <v>4</v>
      </c>
      <c r="GF11" s="38" cm="1">
        <f t="array" ref="GF11:IO11">TRANSPOSE('Utilization '!M187:M248)</f>
        <v>4</v>
      </c>
      <c r="GG11" s="38">
        <v>4</v>
      </c>
      <c r="GH11" s="38">
        <v>4</v>
      </c>
      <c r="GI11" s="38">
        <v>4</v>
      </c>
      <c r="GJ11" s="38">
        <v>4</v>
      </c>
      <c r="GK11" s="38">
        <v>4</v>
      </c>
      <c r="GL11" s="38">
        <v>4</v>
      </c>
      <c r="GM11" s="38">
        <v>5</v>
      </c>
      <c r="GN11" s="38">
        <v>5</v>
      </c>
      <c r="GO11" s="38">
        <v>5</v>
      </c>
      <c r="GP11" s="38">
        <v>5</v>
      </c>
      <c r="GQ11" s="38">
        <v>5</v>
      </c>
      <c r="GR11" s="38">
        <v>4</v>
      </c>
      <c r="GS11" s="38">
        <v>3</v>
      </c>
      <c r="GT11" s="38">
        <v>3</v>
      </c>
      <c r="GU11" s="38">
        <v>3</v>
      </c>
      <c r="GV11" s="38">
        <v>3</v>
      </c>
      <c r="GW11" s="38">
        <v>3</v>
      </c>
      <c r="GX11" s="38">
        <v>3</v>
      </c>
      <c r="GY11" s="38">
        <v>6</v>
      </c>
      <c r="GZ11" s="38">
        <v>5</v>
      </c>
      <c r="HA11" s="38">
        <v>5</v>
      </c>
      <c r="HB11" s="38">
        <v>5</v>
      </c>
      <c r="HC11" s="38">
        <v>5</v>
      </c>
      <c r="HD11" s="38">
        <v>5</v>
      </c>
      <c r="HE11" s="38">
        <v>5</v>
      </c>
      <c r="HF11" s="38">
        <v>5</v>
      </c>
      <c r="HG11" s="38">
        <v>4</v>
      </c>
      <c r="HH11" s="38">
        <v>4</v>
      </c>
      <c r="HI11" s="38">
        <v>4</v>
      </c>
      <c r="HJ11" s="38">
        <v>4</v>
      </c>
      <c r="HK11" s="38">
        <v>4</v>
      </c>
      <c r="HL11" s="38">
        <v>4</v>
      </c>
      <c r="HM11" s="38">
        <v>5</v>
      </c>
      <c r="HN11" s="38">
        <v>5</v>
      </c>
      <c r="HO11" s="38">
        <v>5</v>
      </c>
      <c r="HP11" s="38">
        <v>5</v>
      </c>
      <c r="HQ11" s="38">
        <v>5</v>
      </c>
      <c r="HR11" s="38">
        <v>5</v>
      </c>
      <c r="HS11" s="38">
        <v>5</v>
      </c>
      <c r="HT11" s="38">
        <v>5</v>
      </c>
      <c r="HU11" s="38">
        <v>5</v>
      </c>
      <c r="HV11" s="38">
        <v>5</v>
      </c>
      <c r="HW11" s="38">
        <v>5</v>
      </c>
      <c r="HX11" s="38">
        <v>5</v>
      </c>
      <c r="HY11" s="38">
        <v>5</v>
      </c>
      <c r="HZ11" s="38">
        <v>5</v>
      </c>
      <c r="IA11" s="38">
        <v>5</v>
      </c>
      <c r="IB11" s="38">
        <v>4</v>
      </c>
      <c r="IC11" s="38">
        <v>4</v>
      </c>
      <c r="ID11" s="38">
        <v>4</v>
      </c>
      <c r="IE11" s="38">
        <v>4</v>
      </c>
      <c r="IF11" s="38">
        <v>4</v>
      </c>
      <c r="IG11" s="38">
        <v>4</v>
      </c>
      <c r="IH11" s="38">
        <v>5</v>
      </c>
      <c r="II11" s="38">
        <v>5</v>
      </c>
      <c r="IJ11" s="38">
        <v>5</v>
      </c>
      <c r="IK11" s="38">
        <v>5</v>
      </c>
      <c r="IL11" s="38">
        <v>5</v>
      </c>
      <c r="IM11" s="38">
        <v>5</v>
      </c>
      <c r="IN11" s="38">
        <v>5</v>
      </c>
      <c r="IO11" s="38">
        <v>5</v>
      </c>
      <c r="IP11" s="38" cm="1">
        <f t="array" ref="IP11:JS11">TRANSPOSE('Utilization '!M249:M278)</f>
        <v>4</v>
      </c>
      <c r="IQ11" s="38">
        <v>4</v>
      </c>
      <c r="IR11" s="38">
        <v>4</v>
      </c>
      <c r="IS11" s="38">
        <v>4</v>
      </c>
      <c r="IT11" s="38">
        <v>4</v>
      </c>
      <c r="IU11" s="38">
        <v>5</v>
      </c>
      <c r="IV11" s="38">
        <v>5</v>
      </c>
      <c r="IW11" s="38">
        <v>5</v>
      </c>
      <c r="IX11" s="38">
        <v>5</v>
      </c>
      <c r="IY11" s="38">
        <v>5</v>
      </c>
      <c r="IZ11" s="38">
        <v>5</v>
      </c>
      <c r="JA11" s="38">
        <v>5</v>
      </c>
      <c r="JB11" s="38">
        <v>5</v>
      </c>
      <c r="JC11" s="38">
        <v>0</v>
      </c>
      <c r="JD11" s="38">
        <v>0</v>
      </c>
      <c r="JE11" s="38">
        <v>0</v>
      </c>
      <c r="JF11" s="38">
        <v>0</v>
      </c>
      <c r="JG11" s="38">
        <v>0</v>
      </c>
      <c r="JH11" s="38">
        <v>0</v>
      </c>
      <c r="JI11" s="38">
        <v>0</v>
      </c>
      <c r="JJ11" s="38">
        <v>0</v>
      </c>
      <c r="JK11" s="38">
        <v>0</v>
      </c>
      <c r="JL11" s="38">
        <v>0</v>
      </c>
      <c r="JM11" s="38">
        <v>0</v>
      </c>
      <c r="JN11" s="38">
        <v>0</v>
      </c>
      <c r="JO11" s="38">
        <v>0</v>
      </c>
      <c r="JP11" s="38">
        <v>0</v>
      </c>
      <c r="JQ11" s="38">
        <v>0</v>
      </c>
      <c r="JR11" s="38">
        <v>0</v>
      </c>
      <c r="JS11" s="38">
        <v>0</v>
      </c>
      <c r="JT11" s="38" cm="1">
        <f t="array" ref="JT11:MB11">TRANSPOSE('Utilization '!M279:M339)</f>
        <v>0</v>
      </c>
      <c r="JU11" s="38">
        <v>0</v>
      </c>
      <c r="JV11" s="38">
        <v>0</v>
      </c>
      <c r="JW11" s="38">
        <v>0</v>
      </c>
      <c r="JX11" s="38">
        <v>0</v>
      </c>
      <c r="JY11" s="38">
        <v>0</v>
      </c>
      <c r="JZ11" s="38">
        <v>0</v>
      </c>
      <c r="KA11" s="38">
        <v>0</v>
      </c>
      <c r="KB11" s="38">
        <v>0</v>
      </c>
      <c r="KC11" s="38">
        <v>0</v>
      </c>
      <c r="KD11" s="38">
        <v>0</v>
      </c>
      <c r="KE11" s="38">
        <v>0</v>
      </c>
      <c r="KF11" s="38">
        <v>0</v>
      </c>
      <c r="KG11" s="38">
        <v>0</v>
      </c>
      <c r="KH11" s="38">
        <v>0</v>
      </c>
      <c r="KI11" s="38">
        <v>0</v>
      </c>
      <c r="KJ11" s="38">
        <v>0</v>
      </c>
      <c r="KK11" s="38">
        <v>0</v>
      </c>
      <c r="KL11" s="38">
        <v>0</v>
      </c>
      <c r="KM11" s="38">
        <v>0</v>
      </c>
      <c r="KN11" s="38">
        <v>0</v>
      </c>
      <c r="KO11" s="38">
        <v>0</v>
      </c>
      <c r="KP11" s="38">
        <v>0</v>
      </c>
      <c r="KQ11" s="38">
        <v>0</v>
      </c>
      <c r="KR11" s="38">
        <v>0</v>
      </c>
      <c r="KS11" s="38">
        <v>0</v>
      </c>
      <c r="KT11" s="38">
        <v>0</v>
      </c>
      <c r="KU11" s="38">
        <v>0</v>
      </c>
      <c r="KV11" s="38">
        <v>0</v>
      </c>
      <c r="KW11" s="38">
        <v>0</v>
      </c>
      <c r="KX11" s="38">
        <v>0</v>
      </c>
      <c r="KY11" s="38">
        <v>0</v>
      </c>
      <c r="KZ11" s="38">
        <v>0</v>
      </c>
      <c r="LA11" s="38">
        <v>0</v>
      </c>
      <c r="LB11" s="38">
        <v>0</v>
      </c>
      <c r="LC11" s="38">
        <v>0</v>
      </c>
      <c r="LD11" s="38">
        <v>0</v>
      </c>
      <c r="LE11" s="38">
        <v>0</v>
      </c>
      <c r="LF11" s="38">
        <v>0</v>
      </c>
      <c r="LG11" s="38">
        <v>0</v>
      </c>
      <c r="LH11" s="38">
        <v>0</v>
      </c>
      <c r="LI11" s="38">
        <v>0</v>
      </c>
      <c r="LJ11" s="38">
        <v>0</v>
      </c>
      <c r="LK11" s="38">
        <v>0</v>
      </c>
      <c r="LL11" s="38">
        <v>0</v>
      </c>
      <c r="LM11" s="38">
        <v>0</v>
      </c>
      <c r="LN11" s="38">
        <v>0</v>
      </c>
      <c r="LO11" s="38">
        <v>0</v>
      </c>
      <c r="LP11" s="38">
        <v>0</v>
      </c>
      <c r="LQ11" s="38">
        <v>0</v>
      </c>
      <c r="LR11" s="38">
        <v>0</v>
      </c>
      <c r="LS11" s="38">
        <v>0</v>
      </c>
      <c r="LT11" s="38">
        <v>0</v>
      </c>
      <c r="LU11" s="38">
        <v>0</v>
      </c>
      <c r="LV11" s="38">
        <v>0</v>
      </c>
      <c r="LW11" s="38">
        <v>0</v>
      </c>
      <c r="LX11" s="38">
        <v>0</v>
      </c>
      <c r="LY11" s="38">
        <v>0</v>
      </c>
      <c r="LZ11" s="38">
        <v>0</v>
      </c>
      <c r="MA11" s="38">
        <v>0</v>
      </c>
      <c r="MB11" s="38">
        <v>0</v>
      </c>
    </row>
    <row r="12" spans="1:340" s="32" customFormat="1" ht="15.75" thickBot="1">
      <c r="A12" s="190" t="s">
        <v>13</v>
      </c>
      <c r="B12" s="190"/>
      <c r="C12" s="190"/>
      <c r="D12" s="190"/>
      <c r="E12" s="190"/>
      <c r="F12" s="190"/>
      <c r="G12" s="39">
        <f t="shared" ref="G12:BR12" si="60">SUM(G10:G11)</f>
        <v>22</v>
      </c>
      <c r="H12" s="39">
        <f t="shared" si="60"/>
        <v>25</v>
      </c>
      <c r="I12" s="39">
        <f t="shared" si="60"/>
        <v>25</v>
      </c>
      <c r="J12" s="39">
        <f>SUM(J10:J11)</f>
        <v>25</v>
      </c>
      <c r="K12" s="39">
        <f>SUM(K10:K11)</f>
        <v>26</v>
      </c>
      <c r="L12" s="39">
        <f t="shared" si="60"/>
        <v>24</v>
      </c>
      <c r="M12" s="39">
        <f t="shared" si="60"/>
        <v>24</v>
      </c>
      <c r="N12" s="39">
        <f t="shared" si="60"/>
        <v>24</v>
      </c>
      <c r="O12" s="39">
        <f t="shared" si="60"/>
        <v>26</v>
      </c>
      <c r="P12" s="39">
        <f t="shared" si="60"/>
        <v>26</v>
      </c>
      <c r="Q12" s="39">
        <f t="shared" si="60"/>
        <v>25</v>
      </c>
      <c r="R12" s="39">
        <f t="shared" si="60"/>
        <v>29</v>
      </c>
      <c r="S12" s="39">
        <f t="shared" si="60"/>
        <v>27</v>
      </c>
      <c r="T12" s="39">
        <f t="shared" si="60"/>
        <v>27</v>
      </c>
      <c r="U12" s="39">
        <f t="shared" si="60"/>
        <v>27</v>
      </c>
      <c r="V12" s="39">
        <f t="shared" si="60"/>
        <v>30</v>
      </c>
      <c r="W12" s="39">
        <f t="shared" si="60"/>
        <v>28</v>
      </c>
      <c r="X12" s="39">
        <f t="shared" si="60"/>
        <v>28</v>
      </c>
      <c r="Y12" s="39">
        <f t="shared" si="60"/>
        <v>30</v>
      </c>
      <c r="Z12" s="39">
        <f t="shared" si="60"/>
        <v>30</v>
      </c>
      <c r="AA12" s="39">
        <f t="shared" si="60"/>
        <v>30</v>
      </c>
      <c r="AB12" s="39">
        <f t="shared" si="60"/>
        <v>29</v>
      </c>
      <c r="AC12" s="39">
        <f t="shared" si="60"/>
        <v>27</v>
      </c>
      <c r="AD12" s="39">
        <f t="shared" si="60"/>
        <v>28</v>
      </c>
      <c r="AE12" s="39">
        <f t="shared" si="60"/>
        <v>28</v>
      </c>
      <c r="AF12" s="39">
        <f t="shared" si="60"/>
        <v>31</v>
      </c>
      <c r="AG12" s="39">
        <f t="shared" si="60"/>
        <v>26</v>
      </c>
      <c r="AH12" s="39">
        <f t="shared" si="60"/>
        <v>25</v>
      </c>
      <c r="AI12" s="39">
        <f t="shared" si="60"/>
        <v>24</v>
      </c>
      <c r="AJ12" s="39">
        <f t="shared" si="60"/>
        <v>23</v>
      </c>
      <c r="AK12" s="39">
        <f t="shared" si="60"/>
        <v>23</v>
      </c>
      <c r="AL12" s="39">
        <f t="shared" si="60"/>
        <v>25</v>
      </c>
      <c r="AM12" s="39">
        <f t="shared" si="60"/>
        <v>31</v>
      </c>
      <c r="AN12" s="39">
        <f t="shared" si="60"/>
        <v>27</v>
      </c>
      <c r="AO12" s="39">
        <f t="shared" si="60"/>
        <v>27</v>
      </c>
      <c r="AP12" s="39">
        <f t="shared" si="60"/>
        <v>29</v>
      </c>
      <c r="AQ12" s="39">
        <f t="shared" si="60"/>
        <v>32</v>
      </c>
      <c r="AR12" s="39">
        <f t="shared" si="60"/>
        <v>32</v>
      </c>
      <c r="AS12" s="39">
        <f t="shared" si="60"/>
        <v>32</v>
      </c>
      <c r="AT12" s="39">
        <f t="shared" si="60"/>
        <v>29</v>
      </c>
      <c r="AU12" s="39">
        <f t="shared" si="60"/>
        <v>27</v>
      </c>
      <c r="AV12" s="39">
        <f t="shared" si="60"/>
        <v>26</v>
      </c>
      <c r="AW12" s="39">
        <f t="shared" si="60"/>
        <v>26</v>
      </c>
      <c r="AX12" s="39">
        <f t="shared" si="60"/>
        <v>26</v>
      </c>
      <c r="AY12" s="39">
        <f t="shared" si="60"/>
        <v>26</v>
      </c>
      <c r="AZ12" s="39">
        <f t="shared" si="60"/>
        <v>26</v>
      </c>
      <c r="BA12" s="39">
        <f t="shared" si="60"/>
        <v>29</v>
      </c>
      <c r="BB12" s="39">
        <f t="shared" si="60"/>
        <v>28</v>
      </c>
      <c r="BC12" s="39">
        <f t="shared" si="60"/>
        <v>26</v>
      </c>
      <c r="BD12" s="39">
        <f t="shared" si="60"/>
        <v>27</v>
      </c>
      <c r="BE12" s="39">
        <f t="shared" si="60"/>
        <v>28</v>
      </c>
      <c r="BF12" s="39">
        <f t="shared" si="60"/>
        <v>29</v>
      </c>
      <c r="BG12" s="39">
        <f t="shared" si="60"/>
        <v>28</v>
      </c>
      <c r="BH12" s="39">
        <f t="shared" si="60"/>
        <v>28</v>
      </c>
      <c r="BI12" s="39">
        <f t="shared" si="60"/>
        <v>26</v>
      </c>
      <c r="BJ12" s="39">
        <f t="shared" si="60"/>
        <v>26</v>
      </c>
      <c r="BK12" s="39">
        <f t="shared" si="60"/>
        <v>26</v>
      </c>
      <c r="BL12" s="39">
        <f t="shared" si="60"/>
        <v>26</v>
      </c>
      <c r="BM12" s="39">
        <f t="shared" si="60"/>
        <v>26</v>
      </c>
      <c r="BN12" s="39">
        <f t="shared" si="60"/>
        <v>26</v>
      </c>
      <c r="BO12" s="39">
        <f t="shared" si="60"/>
        <v>27</v>
      </c>
      <c r="BP12" s="39">
        <f t="shared" si="60"/>
        <v>25</v>
      </c>
      <c r="BQ12" s="39">
        <f t="shared" si="60"/>
        <v>25</v>
      </c>
      <c r="BR12" s="39">
        <f t="shared" si="60"/>
        <v>25</v>
      </c>
      <c r="BS12" s="39">
        <f t="shared" ref="BS12:CR12" si="61">SUM(BS10:BS11)</f>
        <v>24</v>
      </c>
      <c r="BT12" s="39">
        <f t="shared" si="61"/>
        <v>24</v>
      </c>
      <c r="BU12" s="39">
        <f t="shared" si="61"/>
        <v>24</v>
      </c>
      <c r="BV12" s="39">
        <f t="shared" si="61"/>
        <v>27</v>
      </c>
      <c r="BW12" s="39">
        <f t="shared" si="61"/>
        <v>27</v>
      </c>
      <c r="BX12" s="39">
        <f t="shared" si="61"/>
        <v>27</v>
      </c>
      <c r="BY12" s="39">
        <f t="shared" si="61"/>
        <v>26</v>
      </c>
      <c r="BZ12" s="39">
        <f t="shared" si="61"/>
        <v>20</v>
      </c>
      <c r="CA12" s="39">
        <f t="shared" si="61"/>
        <v>21</v>
      </c>
      <c r="CB12" s="39">
        <f t="shared" si="61"/>
        <v>21</v>
      </c>
      <c r="CC12" s="39">
        <f t="shared" si="61"/>
        <v>29</v>
      </c>
      <c r="CD12" s="39">
        <f t="shared" si="61"/>
        <v>26</v>
      </c>
      <c r="CE12" s="39">
        <f t="shared" si="61"/>
        <v>26</v>
      </c>
      <c r="CF12" s="39">
        <f>SUM(CF10:CF11)</f>
        <v>22</v>
      </c>
      <c r="CG12" s="39">
        <f t="shared" si="61"/>
        <v>21</v>
      </c>
      <c r="CH12" s="39">
        <f t="shared" si="61"/>
        <v>20</v>
      </c>
      <c r="CI12" s="39">
        <f t="shared" si="61"/>
        <v>20</v>
      </c>
      <c r="CJ12" s="39">
        <f t="shared" si="61"/>
        <v>23</v>
      </c>
      <c r="CK12" s="39">
        <f t="shared" si="61"/>
        <v>17</v>
      </c>
      <c r="CL12" s="39">
        <f t="shared" si="61"/>
        <v>18</v>
      </c>
      <c r="CM12" s="39">
        <f t="shared" si="61"/>
        <v>18</v>
      </c>
      <c r="CN12" s="39">
        <f t="shared" si="61"/>
        <v>18</v>
      </c>
      <c r="CO12" s="39">
        <f t="shared" si="61"/>
        <v>19</v>
      </c>
      <c r="CP12" s="39">
        <f t="shared" si="61"/>
        <v>19</v>
      </c>
      <c r="CQ12" s="39">
        <f t="shared" si="61"/>
        <v>20</v>
      </c>
      <c r="CR12" s="39">
        <f t="shared" si="61"/>
        <v>19</v>
      </c>
      <c r="CS12" s="39">
        <f t="shared" ref="CS12:CT12" si="62">SUM(CS10:CS11)</f>
        <v>19</v>
      </c>
      <c r="CT12" s="39">
        <f t="shared" si="62"/>
        <v>19</v>
      </c>
      <c r="CU12" s="39">
        <f t="shared" ref="CU12:CV12" si="63">SUM(CU10:CU11)</f>
        <v>19</v>
      </c>
      <c r="CV12" s="39">
        <f t="shared" si="63"/>
        <v>19</v>
      </c>
      <c r="CW12" s="39">
        <f t="shared" ref="CW12:DV12" si="64">SUM(CW10:CW11)</f>
        <v>18</v>
      </c>
      <c r="CX12" s="39">
        <f t="shared" si="64"/>
        <v>19</v>
      </c>
      <c r="CY12" s="39">
        <f t="shared" si="64"/>
        <v>18</v>
      </c>
      <c r="CZ12" s="39">
        <f t="shared" si="64"/>
        <v>18</v>
      </c>
      <c r="DA12" s="39">
        <f t="shared" si="64"/>
        <v>18</v>
      </c>
      <c r="DB12" s="39">
        <f t="shared" si="64"/>
        <v>18</v>
      </c>
      <c r="DC12" s="39">
        <f t="shared" si="64"/>
        <v>18</v>
      </c>
      <c r="DD12" s="39">
        <f t="shared" si="64"/>
        <v>18</v>
      </c>
      <c r="DE12" s="39">
        <f t="shared" si="64"/>
        <v>16</v>
      </c>
      <c r="DF12" s="39">
        <f t="shared" si="64"/>
        <v>15</v>
      </c>
      <c r="DG12" s="39">
        <f t="shared" si="64"/>
        <v>15</v>
      </c>
      <c r="DH12" s="39">
        <f t="shared" si="64"/>
        <v>17</v>
      </c>
      <c r="DI12" s="39">
        <f t="shared" si="64"/>
        <v>16</v>
      </c>
      <c r="DJ12" s="39">
        <f t="shared" si="64"/>
        <v>16</v>
      </c>
      <c r="DK12" s="39">
        <f t="shared" si="64"/>
        <v>16</v>
      </c>
      <c r="DL12" s="39">
        <f t="shared" si="64"/>
        <v>18</v>
      </c>
      <c r="DM12" s="39">
        <f t="shared" si="64"/>
        <v>18</v>
      </c>
      <c r="DN12" s="39">
        <f t="shared" si="64"/>
        <v>18</v>
      </c>
      <c r="DO12" s="39">
        <f t="shared" si="64"/>
        <v>17</v>
      </c>
      <c r="DP12" s="39">
        <f t="shared" si="64"/>
        <v>18</v>
      </c>
      <c r="DQ12" s="39">
        <f t="shared" si="64"/>
        <v>18</v>
      </c>
      <c r="DR12" s="39">
        <f t="shared" si="64"/>
        <v>18</v>
      </c>
      <c r="DS12" s="39">
        <f t="shared" si="64"/>
        <v>18</v>
      </c>
      <c r="DT12" s="39">
        <f t="shared" si="64"/>
        <v>18</v>
      </c>
      <c r="DU12" s="39">
        <f t="shared" si="64"/>
        <v>18</v>
      </c>
      <c r="DV12" s="39">
        <f t="shared" si="64"/>
        <v>18</v>
      </c>
      <c r="DW12" s="39">
        <f>SUM(DW10:DW11)</f>
        <v>18</v>
      </c>
      <c r="DX12" s="39">
        <f t="shared" ref="DX12:FA12" si="65">SUM(DX10:DX11)</f>
        <v>18</v>
      </c>
      <c r="DY12" s="39">
        <f t="shared" si="65"/>
        <v>18</v>
      </c>
      <c r="DZ12" s="39">
        <f t="shared" si="65"/>
        <v>17</v>
      </c>
      <c r="EA12" s="39">
        <f t="shared" si="65"/>
        <v>17</v>
      </c>
      <c r="EB12" s="39">
        <f t="shared" si="65"/>
        <v>17</v>
      </c>
      <c r="EC12" s="39">
        <f t="shared" si="65"/>
        <v>17</v>
      </c>
      <c r="ED12" s="39">
        <f t="shared" si="65"/>
        <v>17</v>
      </c>
      <c r="EE12" s="39">
        <f t="shared" si="65"/>
        <v>17</v>
      </c>
      <c r="EF12" s="39">
        <f t="shared" si="65"/>
        <v>17</v>
      </c>
      <c r="EG12" s="39">
        <f t="shared" si="65"/>
        <v>17</v>
      </c>
      <c r="EH12" s="39">
        <f t="shared" si="65"/>
        <v>17</v>
      </c>
      <c r="EI12" s="39">
        <f t="shared" si="65"/>
        <v>17</v>
      </c>
      <c r="EJ12" s="39">
        <f t="shared" si="65"/>
        <v>17</v>
      </c>
      <c r="EK12" s="39">
        <f t="shared" si="65"/>
        <v>17</v>
      </c>
      <c r="EL12" s="39">
        <f t="shared" si="65"/>
        <v>17</v>
      </c>
      <c r="EM12" s="39">
        <f t="shared" si="65"/>
        <v>17</v>
      </c>
      <c r="EN12" s="39">
        <f t="shared" si="65"/>
        <v>18</v>
      </c>
      <c r="EO12" s="39">
        <f t="shared" si="65"/>
        <v>18</v>
      </c>
      <c r="EP12" s="39">
        <f t="shared" si="65"/>
        <v>18</v>
      </c>
      <c r="EQ12" s="39">
        <f t="shared" si="65"/>
        <v>18</v>
      </c>
      <c r="ER12" s="39">
        <f t="shared" si="65"/>
        <v>17</v>
      </c>
      <c r="ES12" s="39">
        <f t="shared" si="65"/>
        <v>17</v>
      </c>
      <c r="ET12" s="39">
        <f t="shared" si="65"/>
        <v>18</v>
      </c>
      <c r="EU12" s="39">
        <f t="shared" si="65"/>
        <v>18</v>
      </c>
      <c r="EV12" s="39">
        <f t="shared" si="65"/>
        <v>18</v>
      </c>
      <c r="EW12" s="39">
        <f t="shared" si="65"/>
        <v>18</v>
      </c>
      <c r="EX12" s="39">
        <f t="shared" si="65"/>
        <v>18</v>
      </c>
      <c r="EY12" s="39">
        <f t="shared" si="65"/>
        <v>18</v>
      </c>
      <c r="EZ12" s="39">
        <f t="shared" si="65"/>
        <v>18</v>
      </c>
      <c r="FA12" s="39">
        <f t="shared" si="65"/>
        <v>19</v>
      </c>
      <c r="FB12" s="39">
        <f t="shared" ref="FB12:HM12" si="66">SUM(FB10:FB11)</f>
        <v>19</v>
      </c>
      <c r="FC12" s="39">
        <f t="shared" si="66"/>
        <v>19</v>
      </c>
      <c r="FD12" s="39">
        <f t="shared" si="66"/>
        <v>18</v>
      </c>
      <c r="FE12" s="39">
        <f t="shared" si="66"/>
        <v>19</v>
      </c>
      <c r="FF12" s="39">
        <f t="shared" si="66"/>
        <v>19</v>
      </c>
      <c r="FG12" s="39">
        <f t="shared" si="66"/>
        <v>19</v>
      </c>
      <c r="FH12" s="39">
        <f t="shared" si="66"/>
        <v>19</v>
      </c>
      <c r="FI12" s="39">
        <f t="shared" si="66"/>
        <v>22</v>
      </c>
      <c r="FJ12" s="39">
        <f t="shared" si="66"/>
        <v>22</v>
      </c>
      <c r="FK12" s="39">
        <f t="shared" si="66"/>
        <v>22</v>
      </c>
      <c r="FL12" s="39">
        <f t="shared" si="66"/>
        <v>22</v>
      </c>
      <c r="FM12" s="39">
        <f t="shared" si="66"/>
        <v>22</v>
      </c>
      <c r="FN12" s="39">
        <f t="shared" si="66"/>
        <v>22</v>
      </c>
      <c r="FO12" s="39">
        <f t="shared" si="66"/>
        <v>22</v>
      </c>
      <c r="FP12" s="39">
        <f t="shared" si="66"/>
        <v>22</v>
      </c>
      <c r="FQ12" s="39">
        <f t="shared" si="66"/>
        <v>22</v>
      </c>
      <c r="FR12" s="39">
        <f t="shared" si="66"/>
        <v>22</v>
      </c>
      <c r="FS12" s="39">
        <f t="shared" si="66"/>
        <v>22</v>
      </c>
      <c r="FT12" s="39">
        <f t="shared" si="66"/>
        <v>22</v>
      </c>
      <c r="FU12" s="39">
        <f t="shared" si="66"/>
        <v>22</v>
      </c>
      <c r="FV12" s="39">
        <f t="shared" si="66"/>
        <v>22</v>
      </c>
      <c r="FW12" s="39">
        <f>SUM(FW10:FW11)</f>
        <v>22</v>
      </c>
      <c r="FX12" s="39">
        <f t="shared" si="66"/>
        <v>20</v>
      </c>
      <c r="FY12" s="39">
        <f t="shared" si="66"/>
        <v>20</v>
      </c>
      <c r="FZ12" s="39">
        <f t="shared" si="66"/>
        <v>19</v>
      </c>
      <c r="GA12" s="39">
        <f t="shared" si="66"/>
        <v>19</v>
      </c>
      <c r="GB12" s="39">
        <f t="shared" si="66"/>
        <v>20</v>
      </c>
      <c r="GC12" s="39">
        <f t="shared" si="66"/>
        <v>20</v>
      </c>
      <c r="GD12" s="39">
        <f>SUM(GD10:GD11)</f>
        <v>19</v>
      </c>
      <c r="GE12" s="39">
        <f t="shared" si="66"/>
        <v>19</v>
      </c>
      <c r="GF12" s="39">
        <f t="shared" si="66"/>
        <v>19</v>
      </c>
      <c r="GG12" s="39">
        <f t="shared" si="66"/>
        <v>19</v>
      </c>
      <c r="GH12" s="39">
        <f t="shared" si="66"/>
        <v>19</v>
      </c>
      <c r="GI12" s="39">
        <f t="shared" si="66"/>
        <v>19</v>
      </c>
      <c r="GJ12" s="39">
        <f t="shared" si="66"/>
        <v>19</v>
      </c>
      <c r="GK12" s="39">
        <f t="shared" si="66"/>
        <v>22</v>
      </c>
      <c r="GL12" s="39">
        <v>20</v>
      </c>
      <c r="GM12" s="39">
        <v>21</v>
      </c>
      <c r="GN12" s="39">
        <f t="shared" si="66"/>
        <v>20</v>
      </c>
      <c r="GO12" s="39">
        <f t="shared" si="66"/>
        <v>20</v>
      </c>
      <c r="GP12" s="39">
        <f t="shared" si="66"/>
        <v>20</v>
      </c>
      <c r="GQ12" s="39">
        <f t="shared" si="66"/>
        <v>20</v>
      </c>
      <c r="GR12" s="39">
        <f t="shared" si="66"/>
        <v>20</v>
      </c>
      <c r="GS12" s="39">
        <f t="shared" si="66"/>
        <v>20</v>
      </c>
      <c r="GT12" s="39">
        <f t="shared" si="66"/>
        <v>19</v>
      </c>
      <c r="GU12" s="39">
        <f t="shared" si="66"/>
        <v>17</v>
      </c>
      <c r="GV12" s="39">
        <f t="shared" si="66"/>
        <v>17</v>
      </c>
      <c r="GW12" s="39">
        <f t="shared" si="66"/>
        <v>17</v>
      </c>
      <c r="GX12" s="39">
        <f t="shared" si="66"/>
        <v>18</v>
      </c>
      <c r="GY12" s="39">
        <f t="shared" si="66"/>
        <v>22</v>
      </c>
      <c r="GZ12" s="39">
        <f t="shared" si="66"/>
        <v>20</v>
      </c>
      <c r="HA12" s="39">
        <f t="shared" si="66"/>
        <v>20</v>
      </c>
      <c r="HB12" s="39">
        <f t="shared" si="66"/>
        <v>21</v>
      </c>
      <c r="HC12" s="39">
        <f t="shared" si="66"/>
        <v>22</v>
      </c>
      <c r="HD12" s="39">
        <f t="shared" si="66"/>
        <v>22</v>
      </c>
      <c r="HE12" s="39">
        <f t="shared" si="66"/>
        <v>22</v>
      </c>
      <c r="HF12" s="39">
        <f t="shared" si="66"/>
        <v>24</v>
      </c>
      <c r="HG12" s="39">
        <f t="shared" si="66"/>
        <v>21</v>
      </c>
      <c r="HH12" s="39">
        <f t="shared" si="66"/>
        <v>21</v>
      </c>
      <c r="HI12" s="39">
        <f t="shared" si="66"/>
        <v>22</v>
      </c>
      <c r="HJ12" s="39">
        <f t="shared" si="66"/>
        <v>22</v>
      </c>
      <c r="HK12" s="39">
        <f t="shared" si="66"/>
        <v>22</v>
      </c>
      <c r="HL12" s="39">
        <f t="shared" si="66"/>
        <v>22</v>
      </c>
      <c r="HM12" s="39">
        <f t="shared" si="66"/>
        <v>23</v>
      </c>
      <c r="HN12" s="39">
        <f t="shared" ref="HN12:JS12" si="67">SUM(HN10:HN11)</f>
        <v>22</v>
      </c>
      <c r="HO12" s="39">
        <f t="shared" si="67"/>
        <v>22</v>
      </c>
      <c r="HP12" s="39">
        <f t="shared" si="67"/>
        <v>22</v>
      </c>
      <c r="HQ12" s="39">
        <f t="shared" si="67"/>
        <v>22</v>
      </c>
      <c r="HR12" s="39">
        <f t="shared" si="67"/>
        <v>22</v>
      </c>
      <c r="HS12" s="39">
        <f t="shared" si="67"/>
        <v>22</v>
      </c>
      <c r="HT12" s="39">
        <f t="shared" si="67"/>
        <v>23</v>
      </c>
      <c r="HU12" s="39">
        <f t="shared" si="67"/>
        <v>22</v>
      </c>
      <c r="HV12" s="39">
        <f t="shared" si="67"/>
        <v>22</v>
      </c>
      <c r="HW12" s="39">
        <f t="shared" si="67"/>
        <v>22</v>
      </c>
      <c r="HX12" s="39">
        <f t="shared" si="67"/>
        <v>22</v>
      </c>
      <c r="HY12" s="39">
        <f t="shared" si="67"/>
        <v>22</v>
      </c>
      <c r="HZ12" s="39">
        <f t="shared" si="67"/>
        <v>22</v>
      </c>
      <c r="IA12" s="39">
        <f t="shared" si="67"/>
        <v>22</v>
      </c>
      <c r="IB12" s="39">
        <f t="shared" si="67"/>
        <v>20</v>
      </c>
      <c r="IC12" s="39">
        <f t="shared" si="67"/>
        <v>20</v>
      </c>
      <c r="ID12" s="39">
        <f t="shared" si="67"/>
        <v>21</v>
      </c>
      <c r="IE12" s="39">
        <f t="shared" si="67"/>
        <v>21</v>
      </c>
      <c r="IF12" s="39">
        <f t="shared" si="67"/>
        <v>21</v>
      </c>
      <c r="IG12" s="39">
        <f t="shared" si="67"/>
        <v>21</v>
      </c>
      <c r="IH12" s="39">
        <f t="shared" si="67"/>
        <v>21</v>
      </c>
      <c r="II12" s="39">
        <f t="shared" si="67"/>
        <v>21</v>
      </c>
      <c r="IJ12" s="39">
        <f t="shared" si="67"/>
        <v>21</v>
      </c>
      <c r="IK12" s="39">
        <f t="shared" si="67"/>
        <v>21</v>
      </c>
      <c r="IL12" s="39">
        <f t="shared" si="67"/>
        <v>21</v>
      </c>
      <c r="IM12" s="39">
        <f t="shared" si="67"/>
        <v>21</v>
      </c>
      <c r="IN12" s="39">
        <f t="shared" si="67"/>
        <v>21</v>
      </c>
      <c r="IO12" s="39">
        <f t="shared" si="67"/>
        <v>22</v>
      </c>
      <c r="IP12" s="39">
        <f t="shared" si="67"/>
        <v>21</v>
      </c>
      <c r="IQ12" s="39">
        <f t="shared" si="67"/>
        <v>21</v>
      </c>
      <c r="IR12" s="39">
        <f t="shared" si="67"/>
        <v>21</v>
      </c>
      <c r="IS12" s="39">
        <f t="shared" si="67"/>
        <v>21</v>
      </c>
      <c r="IT12" s="39">
        <f t="shared" si="67"/>
        <v>21</v>
      </c>
      <c r="IU12" s="39">
        <f t="shared" si="67"/>
        <v>22</v>
      </c>
      <c r="IV12" s="39">
        <f t="shared" si="67"/>
        <v>22</v>
      </c>
      <c r="IW12" s="39">
        <f t="shared" si="67"/>
        <v>22</v>
      </c>
      <c r="IX12" s="39">
        <f t="shared" si="67"/>
        <v>22</v>
      </c>
      <c r="IY12" s="39">
        <f t="shared" si="67"/>
        <v>22</v>
      </c>
      <c r="IZ12" s="39">
        <f t="shared" si="67"/>
        <v>22</v>
      </c>
      <c r="JA12" s="39">
        <f t="shared" si="67"/>
        <v>22</v>
      </c>
      <c r="JB12" s="39">
        <f t="shared" si="67"/>
        <v>22</v>
      </c>
      <c r="JC12" s="39">
        <f t="shared" si="67"/>
        <v>0</v>
      </c>
      <c r="JD12" s="39">
        <f t="shared" si="67"/>
        <v>0</v>
      </c>
      <c r="JE12" s="39">
        <f t="shared" si="67"/>
        <v>0</v>
      </c>
      <c r="JF12" s="39">
        <f t="shared" si="67"/>
        <v>0</v>
      </c>
      <c r="JG12" s="39">
        <f t="shared" si="67"/>
        <v>0</v>
      </c>
      <c r="JH12" s="39">
        <f t="shared" si="67"/>
        <v>0</v>
      </c>
      <c r="JI12" s="39">
        <f t="shared" si="67"/>
        <v>0</v>
      </c>
      <c r="JJ12" s="39">
        <f t="shared" si="67"/>
        <v>0</v>
      </c>
      <c r="JK12" s="39">
        <f t="shared" si="67"/>
        <v>0</v>
      </c>
      <c r="JL12" s="39">
        <f t="shared" si="67"/>
        <v>0</v>
      </c>
      <c r="JM12" s="39">
        <f t="shared" si="67"/>
        <v>0</v>
      </c>
      <c r="JN12" s="39">
        <f t="shared" si="67"/>
        <v>0</v>
      </c>
      <c r="JO12" s="39">
        <f t="shared" si="67"/>
        <v>0</v>
      </c>
      <c r="JP12" s="39">
        <f t="shared" si="67"/>
        <v>0</v>
      </c>
      <c r="JQ12" s="39">
        <f t="shared" si="67"/>
        <v>0</v>
      </c>
      <c r="JR12" s="39">
        <f t="shared" si="67"/>
        <v>0</v>
      </c>
      <c r="JS12" s="39">
        <f t="shared" si="67"/>
        <v>0</v>
      </c>
      <c r="JT12" s="39">
        <f t="shared" ref="JT12:KX12" si="68">SUM(JT10:JT11)</f>
        <v>0</v>
      </c>
      <c r="JU12" s="39">
        <f t="shared" si="68"/>
        <v>0</v>
      </c>
      <c r="JV12" s="39">
        <f t="shared" si="68"/>
        <v>0</v>
      </c>
      <c r="JW12" s="39">
        <f t="shared" si="68"/>
        <v>0</v>
      </c>
      <c r="JX12" s="39">
        <f t="shared" si="68"/>
        <v>0</v>
      </c>
      <c r="JY12" s="39">
        <f t="shared" si="68"/>
        <v>0</v>
      </c>
      <c r="JZ12" s="39">
        <f t="shared" si="68"/>
        <v>0</v>
      </c>
      <c r="KA12" s="39">
        <f t="shared" si="68"/>
        <v>0</v>
      </c>
      <c r="KB12" s="39">
        <f t="shared" si="68"/>
        <v>0</v>
      </c>
      <c r="KC12" s="39">
        <f t="shared" si="68"/>
        <v>0</v>
      </c>
      <c r="KD12" s="39">
        <f t="shared" si="68"/>
        <v>0</v>
      </c>
      <c r="KE12" s="39">
        <f t="shared" si="68"/>
        <v>0</v>
      </c>
      <c r="KF12" s="39">
        <f t="shared" si="68"/>
        <v>0</v>
      </c>
      <c r="KG12" s="39">
        <f t="shared" si="68"/>
        <v>0</v>
      </c>
      <c r="KH12" s="39">
        <f t="shared" si="68"/>
        <v>0</v>
      </c>
      <c r="KI12" s="39">
        <f t="shared" si="68"/>
        <v>0</v>
      </c>
      <c r="KJ12" s="39">
        <f t="shared" si="68"/>
        <v>0</v>
      </c>
      <c r="KK12" s="39">
        <f t="shared" si="68"/>
        <v>0</v>
      </c>
      <c r="KL12" s="39">
        <f t="shared" si="68"/>
        <v>0</v>
      </c>
      <c r="KM12" s="39">
        <f t="shared" si="68"/>
        <v>0</v>
      </c>
      <c r="KN12" s="39">
        <f t="shared" si="68"/>
        <v>0</v>
      </c>
      <c r="KO12" s="39">
        <f t="shared" si="68"/>
        <v>0</v>
      </c>
      <c r="KP12" s="39">
        <f t="shared" si="68"/>
        <v>0</v>
      </c>
      <c r="KQ12" s="39">
        <f t="shared" si="68"/>
        <v>0</v>
      </c>
      <c r="KR12" s="39">
        <f t="shared" si="68"/>
        <v>0</v>
      </c>
      <c r="KS12" s="39">
        <f t="shared" si="68"/>
        <v>0</v>
      </c>
      <c r="KT12" s="39">
        <f t="shared" si="68"/>
        <v>0</v>
      </c>
      <c r="KU12" s="39">
        <f t="shared" si="68"/>
        <v>0</v>
      </c>
      <c r="KV12" s="39">
        <f t="shared" si="68"/>
        <v>0</v>
      </c>
      <c r="KW12" s="39">
        <f t="shared" si="68"/>
        <v>0</v>
      </c>
      <c r="KX12" s="39">
        <f t="shared" si="68"/>
        <v>0</v>
      </c>
      <c r="KY12" s="39">
        <f t="shared" ref="KY12:MB12" si="69">SUM(KY10:KY11)</f>
        <v>0</v>
      </c>
      <c r="KZ12" s="39">
        <f t="shared" si="69"/>
        <v>0</v>
      </c>
      <c r="LA12" s="39">
        <f t="shared" si="69"/>
        <v>0</v>
      </c>
      <c r="LB12" s="39">
        <f t="shared" si="69"/>
        <v>0</v>
      </c>
      <c r="LC12" s="39">
        <f t="shared" si="69"/>
        <v>0</v>
      </c>
      <c r="LD12" s="39">
        <f t="shared" si="69"/>
        <v>0</v>
      </c>
      <c r="LE12" s="39">
        <f t="shared" si="69"/>
        <v>0</v>
      </c>
      <c r="LF12" s="39">
        <f t="shared" si="69"/>
        <v>0</v>
      </c>
      <c r="LG12" s="39">
        <f t="shared" si="69"/>
        <v>0</v>
      </c>
      <c r="LH12" s="39">
        <f t="shared" si="69"/>
        <v>0</v>
      </c>
      <c r="LI12" s="39">
        <f t="shared" si="69"/>
        <v>0</v>
      </c>
      <c r="LJ12" s="39">
        <f t="shared" si="69"/>
        <v>0</v>
      </c>
      <c r="LK12" s="39">
        <f t="shared" si="69"/>
        <v>0</v>
      </c>
      <c r="LL12" s="39">
        <f t="shared" si="69"/>
        <v>0</v>
      </c>
      <c r="LM12" s="39">
        <f t="shared" si="69"/>
        <v>0</v>
      </c>
      <c r="LN12" s="39">
        <f t="shared" si="69"/>
        <v>0</v>
      </c>
      <c r="LO12" s="39">
        <f t="shared" si="69"/>
        <v>0</v>
      </c>
      <c r="LP12" s="39">
        <f t="shared" si="69"/>
        <v>0</v>
      </c>
      <c r="LQ12" s="39">
        <f t="shared" si="69"/>
        <v>0</v>
      </c>
      <c r="LR12" s="39">
        <f t="shared" si="69"/>
        <v>0</v>
      </c>
      <c r="LS12" s="39">
        <f t="shared" si="69"/>
        <v>0</v>
      </c>
      <c r="LT12" s="39">
        <f t="shared" si="69"/>
        <v>0</v>
      </c>
      <c r="LU12" s="39">
        <f t="shared" si="69"/>
        <v>0</v>
      </c>
      <c r="LV12" s="39">
        <f t="shared" si="69"/>
        <v>0</v>
      </c>
      <c r="LW12" s="39">
        <f t="shared" si="69"/>
        <v>0</v>
      </c>
      <c r="LX12" s="39">
        <f t="shared" si="69"/>
        <v>0</v>
      </c>
      <c r="LY12" s="39">
        <f t="shared" si="69"/>
        <v>0</v>
      </c>
      <c r="LZ12" s="39">
        <f t="shared" si="69"/>
        <v>0</v>
      </c>
      <c r="MA12" s="39">
        <f t="shared" si="69"/>
        <v>0</v>
      </c>
      <c r="MB12" s="39">
        <f t="shared" si="69"/>
        <v>0</v>
      </c>
    </row>
    <row r="13" spans="1:340" s="32" customFormat="1" ht="15.75" thickBot="1">
      <c r="A13" s="191" t="s">
        <v>14</v>
      </c>
      <c r="B13" s="191"/>
      <c r="C13" s="191"/>
      <c r="D13" s="191"/>
      <c r="E13" s="191"/>
      <c r="F13" s="191"/>
      <c r="G13" s="40">
        <f t="shared" ref="G13:AE13" si="70">(G4+G6+G7)/G12</f>
        <v>0.13636363636363635</v>
      </c>
      <c r="H13" s="40">
        <f t="shared" si="70"/>
        <v>0.08</v>
      </c>
      <c r="I13" s="40">
        <f t="shared" si="70"/>
        <v>0.08</v>
      </c>
      <c r="J13" s="40">
        <f t="shared" si="70"/>
        <v>0.2</v>
      </c>
      <c r="K13" s="40">
        <f t="shared" si="70"/>
        <v>0.11538461538461539</v>
      </c>
      <c r="L13" s="40">
        <f t="shared" si="70"/>
        <v>0.5</v>
      </c>
      <c r="M13" s="40">
        <f t="shared" si="70"/>
        <v>0.33333333333333331</v>
      </c>
      <c r="N13" s="40">
        <f t="shared" si="70"/>
        <v>0.125</v>
      </c>
      <c r="O13" s="40">
        <f t="shared" si="70"/>
        <v>0.38461538461538464</v>
      </c>
      <c r="P13" s="40">
        <f t="shared" si="70"/>
        <v>0.42307692307692307</v>
      </c>
      <c r="Q13" s="40">
        <f t="shared" si="70"/>
        <v>0.4</v>
      </c>
      <c r="R13" s="40">
        <f t="shared" si="70"/>
        <v>0.13793103448275862</v>
      </c>
      <c r="S13" s="40">
        <f t="shared" si="70"/>
        <v>0.25925925925925924</v>
      </c>
      <c r="T13" s="40">
        <f t="shared" si="70"/>
        <v>0.22222222222222221</v>
      </c>
      <c r="U13" s="40">
        <f t="shared" si="70"/>
        <v>0.40740740740740738</v>
      </c>
      <c r="V13" s="40">
        <f t="shared" si="70"/>
        <v>0.23333333333333334</v>
      </c>
      <c r="W13" s="40">
        <f t="shared" si="70"/>
        <v>0.5714285714285714</v>
      </c>
      <c r="X13" s="40">
        <f t="shared" si="70"/>
        <v>0.21428571428571427</v>
      </c>
      <c r="Y13" s="40">
        <f t="shared" si="70"/>
        <v>0.36666666666666664</v>
      </c>
      <c r="Z13" s="40">
        <f t="shared" si="70"/>
        <v>0.3</v>
      </c>
      <c r="AA13" s="40">
        <f t="shared" si="70"/>
        <v>0.23333333333333334</v>
      </c>
      <c r="AB13" s="40">
        <f t="shared" si="70"/>
        <v>0.2413793103448276</v>
      </c>
      <c r="AC13" s="40">
        <f t="shared" si="70"/>
        <v>0.29629629629629628</v>
      </c>
      <c r="AD13" s="40">
        <f t="shared" si="70"/>
        <v>0.39285714285714285</v>
      </c>
      <c r="AE13" s="40">
        <f t="shared" si="70"/>
        <v>0.35714285714285715</v>
      </c>
      <c r="AF13" s="40">
        <f t="shared" ref="AF13:CP13" si="71">(AF4+AF6+AF7)/AF12</f>
        <v>0.12903225806451613</v>
      </c>
      <c r="AG13" s="40">
        <f t="shared" si="71"/>
        <v>0.38461538461538464</v>
      </c>
      <c r="AH13" s="40">
        <f t="shared" si="71"/>
        <v>0.12</v>
      </c>
      <c r="AI13" s="40">
        <f t="shared" si="71"/>
        <v>0.375</v>
      </c>
      <c r="AJ13" s="40">
        <f t="shared" si="71"/>
        <v>0.43478260869565216</v>
      </c>
      <c r="AK13" s="40">
        <f t="shared" si="71"/>
        <v>0.39130434782608697</v>
      </c>
      <c r="AL13" s="40">
        <f t="shared" si="71"/>
        <v>0.84</v>
      </c>
      <c r="AM13" s="40">
        <f t="shared" si="71"/>
        <v>0.64516129032258063</v>
      </c>
      <c r="AN13" s="40">
        <f t="shared" si="71"/>
        <v>1.1111111111111112</v>
      </c>
      <c r="AO13" s="40">
        <f t="shared" si="71"/>
        <v>0.92592592592592593</v>
      </c>
      <c r="AP13" s="40">
        <f t="shared" si="71"/>
        <v>0.82758620689655171</v>
      </c>
      <c r="AQ13" s="40">
        <f t="shared" si="71"/>
        <v>0.875</v>
      </c>
      <c r="AR13" s="40">
        <f t="shared" si="71"/>
        <v>0.65625</v>
      </c>
      <c r="AS13" s="40">
        <f t="shared" si="71"/>
        <v>0.875</v>
      </c>
      <c r="AT13" s="40">
        <f t="shared" si="71"/>
        <v>0.68965517241379315</v>
      </c>
      <c r="AU13" s="40">
        <f t="shared" si="71"/>
        <v>0.88888888888888884</v>
      </c>
      <c r="AV13" s="40">
        <f t="shared" si="71"/>
        <v>1.0384615384615385</v>
      </c>
      <c r="AW13" s="40">
        <f t="shared" si="71"/>
        <v>0.96153846153846156</v>
      </c>
      <c r="AX13" s="40">
        <f t="shared" si="71"/>
        <v>1.0384615384615385</v>
      </c>
      <c r="AY13" s="40">
        <f t="shared" si="71"/>
        <v>1.0769230769230769</v>
      </c>
      <c r="AZ13" s="40">
        <f t="shared" si="71"/>
        <v>0.92307692307692313</v>
      </c>
      <c r="BA13" s="40">
        <f t="shared" si="71"/>
        <v>1</v>
      </c>
      <c r="BB13" s="40">
        <f t="shared" si="71"/>
        <v>0.6785714285714286</v>
      </c>
      <c r="BC13" s="40">
        <f t="shared" si="71"/>
        <v>0.92307692307692313</v>
      </c>
      <c r="BD13" s="40">
        <f t="shared" si="71"/>
        <v>0.92592592592592593</v>
      </c>
      <c r="BE13" s="40">
        <f t="shared" si="71"/>
        <v>1</v>
      </c>
      <c r="BF13" s="40">
        <f t="shared" si="71"/>
        <v>0.48275862068965519</v>
      </c>
      <c r="BG13" s="40">
        <f t="shared" si="71"/>
        <v>0.6071428571428571</v>
      </c>
      <c r="BH13" s="40">
        <f t="shared" si="71"/>
        <v>0.7142857142857143</v>
      </c>
      <c r="BI13" s="40">
        <f t="shared" si="71"/>
        <v>1</v>
      </c>
      <c r="BJ13" s="40">
        <f t="shared" si="71"/>
        <v>0.80769230769230771</v>
      </c>
      <c r="BK13" s="40">
        <f t="shared" si="71"/>
        <v>0.80769230769230771</v>
      </c>
      <c r="BL13" s="40">
        <f t="shared" si="71"/>
        <v>1.0769230769230769</v>
      </c>
      <c r="BM13" s="40">
        <f t="shared" si="71"/>
        <v>1.1538461538461537</v>
      </c>
      <c r="BN13" s="40">
        <f t="shared" si="71"/>
        <v>0.76923076923076927</v>
      </c>
      <c r="BO13" s="40">
        <f t="shared" si="71"/>
        <v>0.7407407407407407</v>
      </c>
      <c r="BP13" s="40">
        <f t="shared" si="71"/>
        <v>0.92</v>
      </c>
      <c r="BQ13" s="40">
        <f t="shared" si="71"/>
        <v>0.72</v>
      </c>
      <c r="BR13" s="40">
        <f t="shared" si="71"/>
        <v>0.84</v>
      </c>
      <c r="BS13" s="40">
        <f t="shared" si="71"/>
        <v>0.79166666666666663</v>
      </c>
      <c r="BT13" s="40">
        <f t="shared" si="71"/>
        <v>0.83333333333333337</v>
      </c>
      <c r="BU13" s="40">
        <f t="shared" si="71"/>
        <v>0.83333333333333337</v>
      </c>
      <c r="BV13" s="40">
        <f t="shared" si="71"/>
        <v>1.037037037037037</v>
      </c>
      <c r="BW13" s="40">
        <f t="shared" si="71"/>
        <v>0.66666666666666663</v>
      </c>
      <c r="BX13" s="40">
        <f t="shared" si="71"/>
        <v>0.66666666666666663</v>
      </c>
      <c r="BY13" s="40">
        <f t="shared" si="71"/>
        <v>0.84615384615384615</v>
      </c>
      <c r="BZ13" s="40">
        <f t="shared" si="71"/>
        <v>0.95</v>
      </c>
      <c r="CA13" s="40">
        <f t="shared" si="71"/>
        <v>0.7142857142857143</v>
      </c>
      <c r="CB13" s="40">
        <f t="shared" si="71"/>
        <v>0.66666666666666663</v>
      </c>
      <c r="CC13" s="40">
        <f t="shared" si="71"/>
        <v>0.48275862068965519</v>
      </c>
      <c r="CD13" s="40">
        <f t="shared" si="71"/>
        <v>0.38461538461538464</v>
      </c>
      <c r="CE13" s="40">
        <f t="shared" si="71"/>
        <v>0.46153846153846156</v>
      </c>
      <c r="CF13" s="40">
        <f t="shared" si="71"/>
        <v>0.68181818181818177</v>
      </c>
      <c r="CG13" s="40">
        <f>(CG4+CG6+CG7)/CG12</f>
        <v>0.66666666666666663</v>
      </c>
      <c r="CH13" s="40">
        <f t="shared" si="71"/>
        <v>1.05</v>
      </c>
      <c r="CI13" s="40">
        <f t="shared" si="71"/>
        <v>0.5</v>
      </c>
      <c r="CJ13" s="40">
        <f t="shared" si="71"/>
        <v>0.47826086956521741</v>
      </c>
      <c r="CK13" s="40">
        <f t="shared" si="71"/>
        <v>0.70588235294117652</v>
      </c>
      <c r="CL13" s="40">
        <f t="shared" si="71"/>
        <v>0.61111111111111116</v>
      </c>
      <c r="CM13" s="40">
        <f t="shared" si="71"/>
        <v>0.33333333333333331</v>
      </c>
      <c r="CN13" s="40">
        <f t="shared" si="71"/>
        <v>0.55555555555555558</v>
      </c>
      <c r="CO13" s="40">
        <f t="shared" si="71"/>
        <v>0.73684210526315785</v>
      </c>
      <c r="CP13" s="40">
        <f t="shared" si="71"/>
        <v>0.68421052631578949</v>
      </c>
      <c r="CQ13" s="40">
        <f t="shared" ref="CQ13:CW13" si="72">(CQ4+CQ6+CQ7)/CQ12</f>
        <v>0.85</v>
      </c>
      <c r="CR13" s="40">
        <f t="shared" si="72"/>
        <v>0.52631578947368418</v>
      </c>
      <c r="CS13" s="40">
        <f t="shared" si="72"/>
        <v>0.42105263157894735</v>
      </c>
      <c r="CT13" s="40">
        <f t="shared" si="72"/>
        <v>0.84210526315789469</v>
      </c>
      <c r="CU13" s="40">
        <f t="shared" si="72"/>
        <v>0.52631578947368418</v>
      </c>
      <c r="CV13" s="40">
        <f t="shared" si="72"/>
        <v>0.73684210526315785</v>
      </c>
      <c r="CW13" s="40">
        <f t="shared" si="72"/>
        <v>0.77777777777777779</v>
      </c>
      <c r="CX13" s="40">
        <f t="shared" ref="CX13:DR13" si="73">(CX4+CX6+CX7)/CX12</f>
        <v>0.78947368421052633</v>
      </c>
      <c r="CY13" s="40">
        <f t="shared" si="73"/>
        <v>0.66666666666666663</v>
      </c>
      <c r="CZ13" s="40">
        <f t="shared" si="73"/>
        <v>0.77777777777777779</v>
      </c>
      <c r="DA13" s="40">
        <f t="shared" si="73"/>
        <v>0.88888888888888884</v>
      </c>
      <c r="DB13" s="40">
        <f t="shared" si="73"/>
        <v>0.55555555555555558</v>
      </c>
      <c r="DC13" s="40">
        <f t="shared" si="73"/>
        <v>0.55555555555555558</v>
      </c>
      <c r="DD13" s="40">
        <f t="shared" si="73"/>
        <v>0.3888888888888889</v>
      </c>
      <c r="DE13" s="40">
        <f t="shared" si="73"/>
        <v>0.875</v>
      </c>
      <c r="DF13" s="40">
        <f t="shared" si="73"/>
        <v>0.8</v>
      </c>
      <c r="DG13" s="40">
        <f t="shared" si="73"/>
        <v>0.73333333333333328</v>
      </c>
      <c r="DH13" s="40">
        <f t="shared" si="73"/>
        <v>0.76470588235294112</v>
      </c>
      <c r="DI13" s="40">
        <f t="shared" si="73"/>
        <v>0.625</v>
      </c>
      <c r="DJ13" s="40">
        <f t="shared" si="73"/>
        <v>0.3125</v>
      </c>
      <c r="DK13" s="40">
        <f t="shared" si="73"/>
        <v>0.8125</v>
      </c>
      <c r="DL13" s="40">
        <f t="shared" si="73"/>
        <v>0.55555555555555558</v>
      </c>
      <c r="DM13" s="40">
        <f t="shared" si="73"/>
        <v>0.5</v>
      </c>
      <c r="DN13" s="40">
        <f t="shared" si="73"/>
        <v>0.55555555555555558</v>
      </c>
      <c r="DO13" s="40">
        <f t="shared" si="73"/>
        <v>0.6470588235294118</v>
      </c>
      <c r="DP13" s="40">
        <f t="shared" si="73"/>
        <v>0.66666666666666663</v>
      </c>
      <c r="DQ13" s="40">
        <f t="shared" si="73"/>
        <v>0.61111111111111116</v>
      </c>
      <c r="DR13" s="40">
        <f t="shared" si="73"/>
        <v>0.5</v>
      </c>
      <c r="DS13" s="40">
        <f t="shared" ref="DS13:DY13" si="74">(DS4+DS6+DS7)/DS12</f>
        <v>0.44444444444444442</v>
      </c>
      <c r="DT13" s="40">
        <f t="shared" si="74"/>
        <v>0.44444444444444442</v>
      </c>
      <c r="DU13" s="40">
        <f t="shared" si="74"/>
        <v>0.55555555555555558</v>
      </c>
      <c r="DV13" s="40">
        <f t="shared" si="74"/>
        <v>0.44444444444444442</v>
      </c>
      <c r="DW13" s="40">
        <f t="shared" si="74"/>
        <v>0.66666666666666663</v>
      </c>
      <c r="DX13" s="40">
        <f t="shared" si="74"/>
        <v>0.44444444444444442</v>
      </c>
      <c r="DY13" s="40">
        <f t="shared" si="74"/>
        <v>0.55555555555555558</v>
      </c>
      <c r="DZ13" s="40">
        <f t="shared" ref="DZ13:ET13" si="75">(DZ4+DZ6+DZ7)/DZ12</f>
        <v>0.52941176470588236</v>
      </c>
      <c r="EA13" s="40">
        <f t="shared" si="75"/>
        <v>0.58823529411764708</v>
      </c>
      <c r="EB13" s="40">
        <f t="shared" si="75"/>
        <v>0.47058823529411764</v>
      </c>
      <c r="EC13" s="40">
        <f t="shared" si="75"/>
        <v>0.35294117647058826</v>
      </c>
      <c r="ED13" s="40">
        <f t="shared" si="75"/>
        <v>0.76470588235294112</v>
      </c>
      <c r="EE13" s="40">
        <f t="shared" si="75"/>
        <v>0.6470588235294118</v>
      </c>
      <c r="EF13" s="40">
        <f t="shared" si="75"/>
        <v>0.70588235294117652</v>
      </c>
      <c r="EG13" s="40">
        <f t="shared" si="75"/>
        <v>0.35294117647058826</v>
      </c>
      <c r="EH13" s="40">
        <f t="shared" si="75"/>
        <v>0.58823529411764708</v>
      </c>
      <c r="EI13" s="40">
        <f t="shared" si="75"/>
        <v>0.70588235294117652</v>
      </c>
      <c r="EJ13" s="40">
        <f t="shared" si="75"/>
        <v>0.29411764705882354</v>
      </c>
      <c r="EK13" s="40">
        <f t="shared" si="75"/>
        <v>0.58823529411764708</v>
      </c>
      <c r="EL13" s="40">
        <f t="shared" si="75"/>
        <v>0.41176470588235292</v>
      </c>
      <c r="EM13" s="40">
        <f t="shared" si="75"/>
        <v>0.41176470588235292</v>
      </c>
      <c r="EN13" s="40">
        <f t="shared" si="75"/>
        <v>0.3888888888888889</v>
      </c>
      <c r="EO13" s="40">
        <f t="shared" si="75"/>
        <v>5.5555555555555552E-2</v>
      </c>
      <c r="EP13" s="40">
        <f t="shared" si="75"/>
        <v>0.44444444444444442</v>
      </c>
      <c r="EQ13" s="40">
        <f t="shared" si="75"/>
        <v>0.27777777777777779</v>
      </c>
      <c r="ER13" s="40">
        <f t="shared" si="75"/>
        <v>0.41176470588235292</v>
      </c>
      <c r="ES13" s="40">
        <f t="shared" si="75"/>
        <v>0.47058823529411764</v>
      </c>
      <c r="ET13" s="40">
        <f t="shared" si="75"/>
        <v>0.33333333333333331</v>
      </c>
      <c r="EU13" s="40">
        <f t="shared" ref="EU13:FH13" si="76">(EU4+EU6+EU7)/EU12</f>
        <v>0.55555555555555558</v>
      </c>
      <c r="EV13" s="40">
        <f t="shared" si="76"/>
        <v>0.61111111111111116</v>
      </c>
      <c r="EW13" s="40">
        <f t="shared" si="76"/>
        <v>0.3888888888888889</v>
      </c>
      <c r="EX13" s="40">
        <f t="shared" si="76"/>
        <v>0.61111111111111116</v>
      </c>
      <c r="EY13" s="40">
        <f t="shared" si="76"/>
        <v>0.55555555555555558</v>
      </c>
      <c r="EZ13" s="40">
        <f t="shared" si="76"/>
        <v>0.3888888888888889</v>
      </c>
      <c r="FA13" s="40">
        <f t="shared" si="76"/>
        <v>0.36842105263157893</v>
      </c>
      <c r="FB13" s="40">
        <f t="shared" si="76"/>
        <v>0.52631578947368418</v>
      </c>
      <c r="FC13" s="40">
        <f t="shared" si="76"/>
        <v>0.63157894736842102</v>
      </c>
      <c r="FD13" s="40">
        <f t="shared" si="76"/>
        <v>0.94444444444444442</v>
      </c>
      <c r="FE13" s="40">
        <f t="shared" si="76"/>
        <v>0.84210526315789469</v>
      </c>
      <c r="FF13" s="40">
        <f t="shared" si="76"/>
        <v>0.78947368421052633</v>
      </c>
      <c r="FG13" s="40">
        <f t="shared" si="76"/>
        <v>0.78947368421052633</v>
      </c>
      <c r="FH13" s="40">
        <f t="shared" si="76"/>
        <v>0.63157894736842102</v>
      </c>
      <c r="FI13" s="40">
        <f t="shared" ref="FI13:GQ13" si="77">(FI4+FI6+FI7)/FI12</f>
        <v>0.81818181818181823</v>
      </c>
      <c r="FJ13" s="40">
        <f t="shared" si="77"/>
        <v>0.68181818181818177</v>
      </c>
      <c r="FK13" s="40">
        <f t="shared" si="77"/>
        <v>0.90909090909090906</v>
      </c>
      <c r="FL13" s="40">
        <f t="shared" si="77"/>
        <v>0.77272727272727271</v>
      </c>
      <c r="FM13" s="40">
        <f t="shared" si="77"/>
        <v>0.77272727272727271</v>
      </c>
      <c r="FN13" s="40">
        <f t="shared" si="77"/>
        <v>1</v>
      </c>
      <c r="FO13" s="40">
        <f t="shared" si="77"/>
        <v>0.81818181818181823</v>
      </c>
      <c r="FP13" s="40">
        <f t="shared" si="77"/>
        <v>0.77272727272727271</v>
      </c>
      <c r="FQ13" s="40">
        <f t="shared" si="77"/>
        <v>0.81818181818181823</v>
      </c>
      <c r="FR13" s="40">
        <f t="shared" si="77"/>
        <v>0.86363636363636365</v>
      </c>
      <c r="FS13" s="40">
        <f t="shared" si="77"/>
        <v>0.68181818181818177</v>
      </c>
      <c r="FT13" s="40">
        <f t="shared" si="77"/>
        <v>0.63636363636363635</v>
      </c>
      <c r="FU13" s="40">
        <f t="shared" si="77"/>
        <v>1.0909090909090908</v>
      </c>
      <c r="FV13" s="40">
        <f t="shared" si="77"/>
        <v>0.68181818181818177</v>
      </c>
      <c r="FW13" s="40">
        <f t="shared" si="77"/>
        <v>0.63636363636363635</v>
      </c>
      <c r="FX13" s="40">
        <f t="shared" si="77"/>
        <v>1</v>
      </c>
      <c r="FY13" s="40">
        <f t="shared" si="77"/>
        <v>1</v>
      </c>
      <c r="FZ13" s="40">
        <f t="shared" si="77"/>
        <v>0.57894736842105265</v>
      </c>
      <c r="GA13" s="40">
        <f t="shared" si="77"/>
        <v>0.73684210526315785</v>
      </c>
      <c r="GB13" s="40">
        <f t="shared" si="77"/>
        <v>0.65</v>
      </c>
      <c r="GC13" s="40">
        <f t="shared" si="77"/>
        <v>0.8</v>
      </c>
      <c r="GD13" s="40">
        <f t="shared" si="77"/>
        <v>0.63157894736842102</v>
      </c>
      <c r="GE13" s="40">
        <f t="shared" si="77"/>
        <v>1.263157894736842</v>
      </c>
      <c r="GF13" s="40">
        <f t="shared" si="77"/>
        <v>0.89473684210526316</v>
      </c>
      <c r="GG13" s="40">
        <f t="shared" si="77"/>
        <v>0.94736842105263153</v>
      </c>
      <c r="GH13" s="40">
        <f t="shared" si="77"/>
        <v>0.47368421052631576</v>
      </c>
      <c r="GI13" s="40">
        <f t="shared" si="77"/>
        <v>0.57894736842105265</v>
      </c>
      <c r="GJ13" s="40">
        <f t="shared" si="77"/>
        <v>1.1052631578947369</v>
      </c>
      <c r="GK13" s="40">
        <f t="shared" si="77"/>
        <v>0.86363636363636365</v>
      </c>
      <c r="GL13" s="40">
        <f t="shared" si="77"/>
        <v>0.8</v>
      </c>
      <c r="GM13" s="40">
        <f t="shared" si="77"/>
        <v>0.76190476190476186</v>
      </c>
      <c r="GN13" s="40">
        <f t="shared" si="77"/>
        <v>0.65</v>
      </c>
      <c r="GO13" s="40">
        <f t="shared" si="77"/>
        <v>1</v>
      </c>
      <c r="GP13" s="40">
        <f t="shared" si="77"/>
        <v>0.85</v>
      </c>
      <c r="GQ13" s="40">
        <f t="shared" si="77"/>
        <v>0.95</v>
      </c>
      <c r="GR13" s="40">
        <f t="shared" ref="GR13:JB13" si="78">(GR4+GR6+GR7)/GR12</f>
        <v>0.85</v>
      </c>
      <c r="GS13" s="40">
        <f t="shared" si="78"/>
        <v>1</v>
      </c>
      <c r="GT13" s="40">
        <f t="shared" si="78"/>
        <v>1.263157894736842</v>
      </c>
      <c r="GU13" s="40">
        <f t="shared" si="78"/>
        <v>1.0588235294117647</v>
      </c>
      <c r="GV13" s="40">
        <f t="shared" si="78"/>
        <v>1.0588235294117647</v>
      </c>
      <c r="GW13" s="40">
        <f t="shared" si="78"/>
        <v>1.1764705882352942</v>
      </c>
      <c r="GX13" s="40">
        <f>(GX4+GX6+GX7)/GX12</f>
        <v>1.1666666666666667</v>
      </c>
      <c r="GY13" s="40">
        <f t="shared" si="78"/>
        <v>1.2272727272727273</v>
      </c>
      <c r="GZ13" s="40">
        <f t="shared" si="78"/>
        <v>0.8</v>
      </c>
      <c r="HA13" s="40">
        <f t="shared" si="78"/>
        <v>0.8</v>
      </c>
      <c r="HB13" s="40">
        <f t="shared" si="78"/>
        <v>1.0952380952380953</v>
      </c>
      <c r="HC13" s="40">
        <f t="shared" si="78"/>
        <v>0.95454545454545459</v>
      </c>
      <c r="HD13" s="40">
        <f t="shared" si="78"/>
        <v>0.68181818181818177</v>
      </c>
      <c r="HE13" s="40">
        <f t="shared" si="78"/>
        <v>1.0909090909090908</v>
      </c>
      <c r="HF13" s="40">
        <f t="shared" si="78"/>
        <v>1.0416666666666667</v>
      </c>
      <c r="HG13" s="40">
        <f t="shared" si="78"/>
        <v>0.8571428571428571</v>
      </c>
      <c r="HH13" s="40">
        <f t="shared" si="78"/>
        <v>1.0476190476190477</v>
      </c>
      <c r="HI13" s="40">
        <f t="shared" si="78"/>
        <v>0.72727272727272729</v>
      </c>
      <c r="HJ13" s="40">
        <f t="shared" si="78"/>
        <v>0.68181818181818177</v>
      </c>
      <c r="HK13" s="40">
        <f>(HK4+HK6+HK7)/HK12</f>
        <v>1.1363636363636365</v>
      </c>
      <c r="HL13" s="40">
        <f t="shared" si="78"/>
        <v>0.90909090909090906</v>
      </c>
      <c r="HM13" s="40">
        <f t="shared" si="78"/>
        <v>0.91304347826086951</v>
      </c>
      <c r="HN13" s="40">
        <f t="shared" si="78"/>
        <v>0.77272727272727271</v>
      </c>
      <c r="HO13" s="40">
        <f t="shared" si="78"/>
        <v>0.86363636363636365</v>
      </c>
      <c r="HP13" s="40">
        <f t="shared" si="78"/>
        <v>0.77272727272727271</v>
      </c>
      <c r="HQ13" s="40">
        <f t="shared" si="78"/>
        <v>0.90909090909090906</v>
      </c>
      <c r="HR13" s="40">
        <f t="shared" si="78"/>
        <v>0.86363636363636365</v>
      </c>
      <c r="HS13" s="40">
        <f>(HS4+HS6+HS7)/HS12</f>
        <v>0.68181818181818177</v>
      </c>
      <c r="HT13" s="40">
        <f>(HT4+HT6+HT7)/HT12</f>
        <v>0.86956521739130432</v>
      </c>
      <c r="HU13" s="40">
        <f>(HU4+HU6+HU7)/HU12</f>
        <v>1</v>
      </c>
      <c r="HV13" s="40">
        <f t="shared" si="78"/>
        <v>1.0454545454545454</v>
      </c>
      <c r="HW13" s="40">
        <f t="shared" si="78"/>
        <v>0.81818181818181823</v>
      </c>
      <c r="HX13" s="40">
        <f t="shared" si="78"/>
        <v>0.77272727272727271</v>
      </c>
      <c r="HY13" s="40">
        <f t="shared" si="78"/>
        <v>1.1818181818181819</v>
      </c>
      <c r="HZ13" s="40">
        <f t="shared" si="78"/>
        <v>0.59090909090909094</v>
      </c>
      <c r="IA13" s="40">
        <f t="shared" si="78"/>
        <v>1.1818181818181819</v>
      </c>
      <c r="IB13" s="40">
        <f t="shared" si="78"/>
        <v>0.9</v>
      </c>
      <c r="IC13" s="40">
        <f t="shared" si="78"/>
        <v>1.4</v>
      </c>
      <c r="ID13" s="40">
        <f t="shared" si="78"/>
        <v>0.8571428571428571</v>
      </c>
      <c r="IE13" s="40">
        <f t="shared" si="78"/>
        <v>0.66666666666666663</v>
      </c>
      <c r="IF13" s="40">
        <f t="shared" si="78"/>
        <v>0.90476190476190477</v>
      </c>
      <c r="IG13" s="40">
        <f t="shared" si="78"/>
        <v>0.7142857142857143</v>
      </c>
      <c r="IH13" s="40">
        <f t="shared" si="78"/>
        <v>0.7142857142857143</v>
      </c>
      <c r="II13" s="40">
        <f t="shared" si="78"/>
        <v>1.0476190476190477</v>
      </c>
      <c r="IJ13" s="40">
        <f t="shared" si="78"/>
        <v>1</v>
      </c>
      <c r="IK13" s="40">
        <f t="shared" si="78"/>
        <v>0.8571428571428571</v>
      </c>
      <c r="IL13" s="40">
        <f t="shared" si="78"/>
        <v>0.90476190476190477</v>
      </c>
      <c r="IM13" s="40">
        <f t="shared" si="78"/>
        <v>0.90476190476190477</v>
      </c>
      <c r="IN13" s="40">
        <f t="shared" si="78"/>
        <v>1.0952380952380953</v>
      </c>
      <c r="IO13" s="40">
        <f t="shared" si="78"/>
        <v>0.86363636363636365</v>
      </c>
      <c r="IP13" s="40">
        <f t="shared" si="78"/>
        <v>1.0476190476190477</v>
      </c>
      <c r="IQ13" s="40">
        <f t="shared" si="78"/>
        <v>1.3333333333333333</v>
      </c>
      <c r="IR13" s="40">
        <f t="shared" si="78"/>
        <v>1.2380952380952381</v>
      </c>
      <c r="IS13" s="40">
        <f t="shared" si="78"/>
        <v>1.1428571428571428</v>
      </c>
      <c r="IT13" s="40">
        <f t="shared" si="78"/>
        <v>1.1428571428571428</v>
      </c>
      <c r="IU13" s="40">
        <f t="shared" si="78"/>
        <v>1.3181818181818181</v>
      </c>
      <c r="IV13" s="40">
        <f t="shared" si="78"/>
        <v>1.1363636363636365</v>
      </c>
      <c r="IW13" s="40">
        <f t="shared" si="78"/>
        <v>1.3636363636363635</v>
      </c>
      <c r="IX13" s="40">
        <f t="shared" si="78"/>
        <v>1.0454545454545454</v>
      </c>
      <c r="IY13" s="40">
        <f t="shared" si="78"/>
        <v>1</v>
      </c>
      <c r="IZ13" s="40">
        <f t="shared" si="78"/>
        <v>1.0454545454545454</v>
      </c>
      <c r="JA13" s="40">
        <f t="shared" si="78"/>
        <v>1.0909090909090908</v>
      </c>
      <c r="JB13" s="40">
        <f t="shared" si="78"/>
        <v>1.2272727272727273</v>
      </c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</row>
    <row r="14" spans="1:340" s="32" customFormat="1" ht="16.5" thickTop="1" thickBot="1">
      <c r="A14" s="34"/>
      <c r="B14" s="41"/>
      <c r="C14" s="42"/>
      <c r="D14" s="42"/>
      <c r="E14" s="42"/>
      <c r="F14" s="42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/>
      <c r="CW14" s="81"/>
      <c r="CX14" s="81"/>
      <c r="CY14" s="81"/>
      <c r="CZ14" s="81"/>
      <c r="DA14" s="81"/>
      <c r="DB14" s="81"/>
      <c r="DC14" s="81"/>
      <c r="DD14" s="81"/>
      <c r="DE14" s="81"/>
      <c r="DF14" s="81"/>
      <c r="DG14" s="81"/>
      <c r="DH14" s="81"/>
      <c r="DI14" s="81"/>
      <c r="DJ14" s="81"/>
      <c r="DK14" s="81"/>
      <c r="DL14" s="81"/>
      <c r="DM14" s="81"/>
      <c r="DN14" s="81"/>
      <c r="DO14" s="81"/>
      <c r="DP14" s="81"/>
      <c r="DQ14" s="81"/>
      <c r="DR14" s="81"/>
      <c r="DS14" s="81"/>
      <c r="DT14" s="81"/>
      <c r="DU14" s="81"/>
      <c r="DV14" s="81"/>
      <c r="DW14" s="81"/>
      <c r="DX14" s="81"/>
      <c r="DY14" s="81"/>
      <c r="DZ14" s="81"/>
      <c r="EA14" s="81"/>
      <c r="EB14" s="81"/>
      <c r="EC14" s="81"/>
      <c r="ED14" s="81"/>
      <c r="EE14" s="81"/>
      <c r="EF14" s="81"/>
      <c r="EG14" s="81"/>
      <c r="EH14" s="81"/>
      <c r="EI14" s="81"/>
      <c r="EJ14" s="81"/>
      <c r="EK14" s="81"/>
      <c r="EL14" s="81"/>
      <c r="EM14" s="81"/>
      <c r="EN14" s="81"/>
      <c r="EO14" s="81"/>
      <c r="EP14" s="81"/>
      <c r="EQ14" s="81"/>
      <c r="ER14" s="81"/>
      <c r="ES14" s="81"/>
      <c r="ET14" s="81"/>
      <c r="EU14" s="81"/>
      <c r="EV14" s="81"/>
      <c r="EW14" s="81"/>
      <c r="EX14" s="81"/>
      <c r="EY14" s="81"/>
      <c r="EZ14" s="81"/>
      <c r="FA14" s="81"/>
      <c r="FB14" s="81"/>
      <c r="FC14" s="81"/>
      <c r="FD14" s="81"/>
      <c r="FE14" s="81"/>
      <c r="FF14" s="81"/>
      <c r="FG14" s="81"/>
      <c r="FH14" s="81"/>
      <c r="FI14" s="81"/>
      <c r="FJ14" s="81"/>
      <c r="FK14" s="81"/>
      <c r="FL14" s="81"/>
      <c r="FM14" s="81"/>
      <c r="FN14" s="81"/>
      <c r="FO14" s="81"/>
      <c r="FP14" s="81"/>
      <c r="FQ14" s="81"/>
      <c r="FR14" s="81"/>
      <c r="FS14" s="81"/>
      <c r="FT14" s="81"/>
      <c r="FU14" s="81"/>
      <c r="FV14" s="81"/>
      <c r="FW14" s="81"/>
      <c r="FX14" s="81"/>
      <c r="FY14" s="81"/>
      <c r="FZ14" s="81"/>
      <c r="GA14" s="81"/>
      <c r="GB14" s="81"/>
      <c r="GC14" s="81"/>
      <c r="GD14" s="81"/>
      <c r="GE14" s="81"/>
      <c r="GF14" s="81"/>
      <c r="GG14" s="81"/>
      <c r="GH14" s="81"/>
      <c r="GI14" s="81"/>
      <c r="GJ14" s="81"/>
      <c r="GK14" s="81"/>
      <c r="GL14" s="81"/>
      <c r="GM14" s="81"/>
      <c r="GN14" s="81"/>
      <c r="GO14" s="81"/>
      <c r="GP14" s="81"/>
      <c r="GQ14" s="81"/>
      <c r="GR14" s="81"/>
      <c r="GS14" s="81"/>
      <c r="GT14" s="81"/>
      <c r="GU14" s="81"/>
      <c r="GV14" s="81"/>
      <c r="GW14" s="81"/>
      <c r="GX14" s="81"/>
      <c r="GY14" s="81"/>
      <c r="GZ14" s="81"/>
      <c r="HA14" s="81"/>
      <c r="HB14" s="81"/>
      <c r="HC14" s="81"/>
      <c r="HD14" s="81"/>
      <c r="HE14" s="81"/>
      <c r="HF14" s="81"/>
      <c r="HG14" s="81"/>
      <c r="HH14" s="81"/>
      <c r="HI14" s="81"/>
      <c r="HJ14" s="81"/>
      <c r="HK14" s="81"/>
      <c r="HL14" s="81"/>
      <c r="HM14" s="81"/>
      <c r="HN14" s="81"/>
      <c r="HO14" s="81"/>
      <c r="HP14" s="81"/>
      <c r="HQ14" s="81"/>
      <c r="HR14" s="81"/>
      <c r="HS14" s="81"/>
      <c r="HT14" s="81"/>
      <c r="HU14" s="81"/>
      <c r="HV14" s="81"/>
      <c r="HW14" s="81"/>
      <c r="HX14" s="81"/>
      <c r="HY14" s="81"/>
      <c r="HZ14" s="81"/>
      <c r="IA14" s="81"/>
      <c r="IB14" s="81"/>
      <c r="IC14" s="81"/>
      <c r="ID14" s="81"/>
      <c r="IE14" s="81"/>
      <c r="IF14" s="81"/>
      <c r="IG14" s="81"/>
      <c r="IH14" s="81"/>
      <c r="II14" s="81"/>
      <c r="IJ14" s="81"/>
      <c r="IK14" s="81"/>
      <c r="IL14" s="81"/>
      <c r="IM14" s="81"/>
      <c r="IN14" s="81"/>
      <c r="IO14" s="81"/>
      <c r="IP14" s="81"/>
      <c r="IQ14" s="81"/>
      <c r="IR14" s="81"/>
      <c r="IS14" s="81"/>
      <c r="IT14" s="81"/>
      <c r="IU14" s="81"/>
      <c r="IV14" s="81"/>
      <c r="IW14" s="81"/>
      <c r="IX14" s="81"/>
      <c r="IY14" s="81"/>
      <c r="IZ14" s="81"/>
      <c r="JA14" s="81"/>
      <c r="JB14" s="81"/>
      <c r="JC14" s="81"/>
      <c r="JD14" s="81"/>
      <c r="JE14" s="81"/>
      <c r="JF14" s="81"/>
      <c r="JG14" s="81"/>
      <c r="JH14" s="81"/>
      <c r="JI14" s="81"/>
      <c r="JJ14" s="81"/>
      <c r="JK14" s="81"/>
      <c r="JL14" s="81"/>
      <c r="JM14" s="81"/>
      <c r="JN14" s="81"/>
      <c r="JO14" s="81"/>
      <c r="JP14" s="81"/>
      <c r="JQ14" s="81"/>
      <c r="JR14" s="81"/>
      <c r="JS14" s="81"/>
      <c r="JT14" s="81"/>
      <c r="JU14" s="81"/>
      <c r="JV14" s="81"/>
      <c r="JW14" s="81"/>
      <c r="JX14" s="81"/>
      <c r="JY14" s="81"/>
      <c r="JZ14" s="81"/>
      <c r="KA14" s="81"/>
      <c r="KB14" s="81"/>
      <c r="KC14" s="81"/>
      <c r="KD14" s="81"/>
      <c r="KE14" s="81"/>
      <c r="KF14" s="81"/>
      <c r="KG14" s="81"/>
      <c r="KH14" s="81"/>
      <c r="KI14" s="81"/>
      <c r="KJ14" s="81"/>
      <c r="KK14" s="81"/>
      <c r="KL14" s="81"/>
      <c r="KM14" s="81"/>
      <c r="KN14" s="81"/>
      <c r="KO14" s="81"/>
      <c r="KP14" s="81"/>
      <c r="KQ14" s="81"/>
      <c r="KR14" s="81"/>
      <c r="KS14" s="81"/>
      <c r="KT14" s="81"/>
      <c r="KU14" s="81"/>
      <c r="KV14" s="81"/>
      <c r="KW14" s="81"/>
      <c r="KX14" s="81"/>
      <c r="KY14" s="81"/>
      <c r="KZ14" s="81"/>
      <c r="LA14" s="81"/>
      <c r="LB14" s="81"/>
      <c r="LC14" s="81"/>
      <c r="LD14" s="81"/>
      <c r="LE14" s="81"/>
      <c r="LF14" s="81"/>
      <c r="LG14" s="81"/>
      <c r="LH14" s="81"/>
      <c r="LI14" s="81"/>
      <c r="LJ14" s="81"/>
      <c r="LK14" s="81"/>
      <c r="LL14" s="81"/>
      <c r="LM14" s="81"/>
      <c r="LN14" s="81"/>
      <c r="LO14" s="81"/>
      <c r="LP14" s="81"/>
      <c r="LQ14" s="81"/>
      <c r="LR14" s="81"/>
      <c r="LS14" s="81"/>
      <c r="LT14" s="81"/>
      <c r="LU14" s="81"/>
      <c r="LV14" s="81"/>
      <c r="LW14" s="81"/>
      <c r="LX14" s="81"/>
      <c r="LY14" s="81"/>
      <c r="LZ14" s="81"/>
      <c r="MA14" s="81"/>
      <c r="MB14" s="81"/>
    </row>
    <row r="15" spans="1:340" s="32" customFormat="1">
      <c r="A15" s="192" t="s">
        <v>15</v>
      </c>
      <c r="B15" s="192"/>
      <c r="C15" s="192"/>
      <c r="D15" s="192"/>
      <c r="E15" s="192"/>
      <c r="F15" s="192"/>
      <c r="G15" s="82">
        <v>66</v>
      </c>
      <c r="H15" s="82">
        <f t="shared" ref="H15" si="79">SUM(G15+H16-H17)</f>
        <v>68</v>
      </c>
      <c r="I15" s="82">
        <f t="shared" ref="I15" si="80">SUM(H15+I16-I17)</f>
        <v>76</v>
      </c>
      <c r="J15" s="82">
        <f t="shared" ref="J15" si="81">SUM(I15+J16-J17)</f>
        <v>78</v>
      </c>
      <c r="K15" s="82">
        <f t="shared" ref="K15" si="82">SUM(J15+K16-K17)</f>
        <v>81</v>
      </c>
      <c r="L15" s="82">
        <f t="shared" ref="L15" si="83">SUM(K15+L16-L17)</f>
        <v>83</v>
      </c>
      <c r="M15" s="82">
        <f t="shared" ref="M15" si="84">SUM(L15+M16-M17)</f>
        <v>83</v>
      </c>
      <c r="N15" s="82">
        <f t="shared" ref="N15" si="85">SUM(M15+N16-N17)</f>
        <v>85</v>
      </c>
      <c r="O15" s="82">
        <f t="shared" ref="O15" si="86">SUM(N15+O16-O17)</f>
        <v>88</v>
      </c>
      <c r="P15" s="82">
        <f t="shared" ref="P15" si="87">SUM(O15+P16-P17)</f>
        <v>87</v>
      </c>
      <c r="Q15" s="82">
        <f t="shared" ref="Q15" si="88">SUM(P15+Q16-Q17)</f>
        <v>86</v>
      </c>
      <c r="R15" s="82">
        <f t="shared" ref="R15" si="89">SUM(Q15+R16-R17)</f>
        <v>86</v>
      </c>
      <c r="S15" s="82">
        <f t="shared" ref="S15" si="90">SUM(R15+S16-S17)</f>
        <v>87</v>
      </c>
      <c r="T15" s="82">
        <f t="shared" ref="T15" si="91">SUM(S15+T16-T17)</f>
        <v>88</v>
      </c>
      <c r="U15" s="82">
        <f t="shared" ref="U15" si="92">SUM(T15+U16-U17)</f>
        <v>87</v>
      </c>
      <c r="V15" s="82">
        <f t="shared" ref="V15" si="93">SUM(U15+V16-V17)</f>
        <v>88</v>
      </c>
      <c r="W15" s="82">
        <f t="shared" ref="W15" si="94">SUM(V15+W16-W17)</f>
        <v>90</v>
      </c>
      <c r="X15" s="82">
        <f t="shared" ref="X15" si="95">SUM(W15+X16-X17)</f>
        <v>90</v>
      </c>
      <c r="Y15" s="82">
        <f t="shared" ref="Y15" si="96">SUM(X15+Y16-Y17)</f>
        <v>90</v>
      </c>
      <c r="Z15" s="82">
        <f t="shared" ref="Z15" si="97">SUM(Y15+Z16-Z17)</f>
        <v>90</v>
      </c>
      <c r="AA15" s="82">
        <f t="shared" ref="AA15" si="98">SUM(Z15+AA16-AA17)</f>
        <v>89</v>
      </c>
      <c r="AB15" s="82">
        <f t="shared" ref="AB15" si="99">SUM(AA15+AB16-AB17)</f>
        <v>89</v>
      </c>
      <c r="AC15" s="82">
        <f t="shared" ref="AC15" si="100">SUM(AB15+AC16-AC17)</f>
        <v>89</v>
      </c>
      <c r="AD15" s="82">
        <f t="shared" ref="AD15" si="101">SUM(AC15+AD16-AD17)</f>
        <v>88</v>
      </c>
      <c r="AE15" s="82">
        <f t="shared" ref="AE15" si="102">SUM(AD15+AE16-AE17)</f>
        <v>88</v>
      </c>
      <c r="AF15" s="82">
        <f t="shared" ref="AF15" si="103">SUM(AE15+AF16-AF17)</f>
        <v>89</v>
      </c>
      <c r="AG15" s="82">
        <f t="shared" ref="AG15" si="104">SUM(AF15+AG16-AG17)</f>
        <v>89</v>
      </c>
      <c r="AH15" s="82">
        <f t="shared" ref="AH15" si="105">SUM(AG15+AH16-AH17)</f>
        <v>90</v>
      </c>
      <c r="AI15" s="82">
        <f t="shared" ref="AI15" si="106">SUM(AH15+AI16-AI17)</f>
        <v>90</v>
      </c>
      <c r="AJ15" s="82">
        <f t="shared" ref="AJ15" si="107">SUM(AI15+AJ16-AJ17)</f>
        <v>90</v>
      </c>
      <c r="AK15" s="82">
        <f t="shared" ref="AK15" si="108">SUM(AJ15+AK16-AK17)</f>
        <v>90</v>
      </c>
      <c r="AL15" s="82">
        <f t="shared" ref="AL15" si="109">SUM(AK15+AL16-AL17)</f>
        <v>89</v>
      </c>
      <c r="AM15" s="82">
        <f t="shared" ref="AM15" si="110">SUM(AL15+AM16-AM17)</f>
        <v>89</v>
      </c>
      <c r="AN15" s="82">
        <f t="shared" ref="AN15" si="111">SUM(AM15+AN16-AN17)</f>
        <v>89</v>
      </c>
      <c r="AO15" s="82">
        <f t="shared" ref="AO15" si="112">SUM(AN15+AO16-AO17)</f>
        <v>90</v>
      </c>
      <c r="AP15" s="82">
        <f t="shared" ref="AP15" si="113">SUM(AO15+AP16-AP17)</f>
        <v>90</v>
      </c>
      <c r="AQ15" s="82">
        <f t="shared" ref="AQ15" si="114">SUM(AP15+AQ16-AQ17)</f>
        <v>91</v>
      </c>
      <c r="AR15" s="82">
        <f t="shared" ref="AR15" si="115">SUM(AQ15+AR16-AR17)</f>
        <v>90</v>
      </c>
      <c r="AS15" s="82">
        <f t="shared" ref="AS15" si="116">SUM(AR15+AS16-AS17)</f>
        <v>92</v>
      </c>
      <c r="AT15" s="82">
        <f t="shared" ref="AT15" si="117">SUM(AS15+AT16-AT17)</f>
        <v>93</v>
      </c>
      <c r="AU15" s="82">
        <f t="shared" ref="AU15" si="118">SUM(AT15+AU16-AU17)</f>
        <v>92</v>
      </c>
      <c r="AV15" s="82">
        <f t="shared" ref="AV15" si="119">SUM(AU15+AV16-AV17)</f>
        <v>93</v>
      </c>
      <c r="AW15" s="82">
        <f t="shared" ref="AW15" si="120">SUM(AV15+AW16-AW17)</f>
        <v>93</v>
      </c>
      <c r="AX15" s="82">
        <f t="shared" ref="AX15" si="121">SUM(AW15+AX16-AX17)</f>
        <v>93</v>
      </c>
      <c r="AY15" s="82">
        <f t="shared" ref="AY15" si="122">SUM(AX15+AY16-AY17)</f>
        <v>93</v>
      </c>
      <c r="AZ15" s="82">
        <f t="shared" ref="AZ15" si="123">SUM(AY15+AZ16-AZ17)</f>
        <v>92</v>
      </c>
      <c r="BA15" s="82">
        <f t="shared" ref="BA15" si="124">SUM(AZ15+BA16-BA17)</f>
        <v>92</v>
      </c>
      <c r="BB15" s="82">
        <f t="shared" ref="BB15" si="125">SUM(BA15+BB16-BB17)</f>
        <v>92</v>
      </c>
      <c r="BC15" s="82">
        <f t="shared" ref="BC15" si="126">SUM(BB15+BC16-BC17)</f>
        <v>92</v>
      </c>
      <c r="BD15" s="82">
        <f t="shared" ref="BD15" si="127">SUM(BC15+BD16-BD17)</f>
        <v>93</v>
      </c>
      <c r="BE15" s="82">
        <f t="shared" ref="BE15" si="128">SUM(BD15+BE16-BE17)</f>
        <v>93</v>
      </c>
      <c r="BF15" s="82">
        <f t="shared" ref="BF15" si="129">SUM(BE15+BF16-BF17)</f>
        <v>93</v>
      </c>
      <c r="BG15" s="82">
        <f t="shared" ref="BG15" si="130">SUM(BF15+BG16-BG17)</f>
        <v>92</v>
      </c>
      <c r="BH15" s="82">
        <f t="shared" ref="BH15" si="131">SUM(BG15+BH16-BH17)</f>
        <v>89</v>
      </c>
      <c r="BI15" s="82">
        <f t="shared" ref="BI15" si="132">SUM(BH15+BI16-BI17)</f>
        <v>89</v>
      </c>
      <c r="BJ15" s="82">
        <f t="shared" ref="BJ15" si="133">SUM(BI15+BJ16-BJ17)</f>
        <v>88</v>
      </c>
      <c r="BK15" s="82">
        <f t="shared" ref="BK15" si="134">SUM(BJ15+BK16-BK17)</f>
        <v>87</v>
      </c>
      <c r="BL15" s="82">
        <f t="shared" ref="BL15" si="135">SUM(BK15+BL16-BL17)</f>
        <v>86</v>
      </c>
      <c r="BM15" s="82">
        <f t="shared" ref="BM15" si="136">SUM(BL15+BM16-BM17)</f>
        <v>85</v>
      </c>
      <c r="BN15" s="82">
        <f t="shared" ref="BN15" si="137">SUM(BM15+BN16-BN17)</f>
        <v>86</v>
      </c>
      <c r="BO15" s="82">
        <f t="shared" ref="BO15" si="138">SUM(BN15+BO16-BO17)</f>
        <v>84</v>
      </c>
      <c r="BP15" s="82">
        <f t="shared" ref="BP15" si="139">SUM(BO15+BP16-BP17)</f>
        <v>82</v>
      </c>
      <c r="BQ15" s="82">
        <f t="shared" ref="BQ15" si="140">SUM(BP15+BQ16-BQ17)</f>
        <v>73</v>
      </c>
      <c r="BR15" s="82">
        <f t="shared" ref="BR15" si="141">SUM(BQ15+BR16-BR17)</f>
        <v>71</v>
      </c>
      <c r="BS15" s="82">
        <f t="shared" ref="BS15" si="142">SUM(BR15+BS16-BS17)</f>
        <v>70</v>
      </c>
      <c r="BT15" s="82">
        <f t="shared" ref="BT15" si="143">SUM(BS15+BT16-BT17)</f>
        <v>69</v>
      </c>
      <c r="BU15" s="82">
        <f t="shared" ref="BU15" si="144">SUM(BT15+BU16-BU17)</f>
        <v>68</v>
      </c>
      <c r="BV15" s="82">
        <f t="shared" ref="BV15" si="145">SUM(BU15+BV16-BV17)</f>
        <v>65</v>
      </c>
      <c r="BW15" s="82">
        <f>SUM(BV15+BW16-BW17)</f>
        <v>63</v>
      </c>
      <c r="BX15" s="82">
        <f t="shared" ref="BX15" si="146">SUM(BW15+BX16-BX17)</f>
        <v>61</v>
      </c>
      <c r="BY15" s="82">
        <f t="shared" ref="BY15" si="147">SUM(BX15+BY16-BY17)</f>
        <v>59</v>
      </c>
      <c r="BZ15" s="82">
        <f t="shared" ref="BZ15" si="148">SUM(BY15+BZ16-BZ17)</f>
        <v>56</v>
      </c>
      <c r="CA15" s="82">
        <f t="shared" ref="CA15" si="149">SUM(BZ15+CA16-CA17)</f>
        <v>54</v>
      </c>
      <c r="CB15" s="82">
        <f t="shared" ref="CB15" si="150">SUM(CA15+CB16-CB17)</f>
        <v>53</v>
      </c>
      <c r="CC15" s="82">
        <f t="shared" ref="CC15" si="151">SUM(CB15+CC16-CC17)</f>
        <v>51</v>
      </c>
      <c r="CD15" s="82">
        <f t="shared" ref="CD15" si="152">SUM(CC15+CD16-CD17)</f>
        <v>51</v>
      </c>
      <c r="CE15" s="82">
        <f t="shared" ref="CE15" si="153">SUM(CD15+CE16-CE17)</f>
        <v>51</v>
      </c>
      <c r="CF15" s="82">
        <f t="shared" ref="CF15" si="154">SUM(CE15+CF16-CF17)</f>
        <v>51</v>
      </c>
      <c r="CG15" s="82">
        <f t="shared" ref="CG15" si="155">SUM(CF15+CG16-CG17)</f>
        <v>49</v>
      </c>
      <c r="CH15" s="82">
        <f t="shared" ref="CH15" si="156">SUM(CG15+CH16-CH17)</f>
        <v>49</v>
      </c>
      <c r="CI15" s="82">
        <f t="shared" ref="CI15" si="157">SUM(CH15+CI16-CI17)</f>
        <v>48</v>
      </c>
      <c r="CJ15" s="82">
        <f t="shared" ref="CJ15" si="158">SUM(CI15+CJ16-CJ17)</f>
        <v>48</v>
      </c>
      <c r="CK15" s="82">
        <f t="shared" ref="CK15" si="159">SUM(CJ15+CK16-CK17)</f>
        <v>48</v>
      </c>
      <c r="CL15" s="82">
        <f t="shared" ref="CL15" si="160">SUM(CK15+CL16-CL17)</f>
        <v>47</v>
      </c>
      <c r="CM15" s="82">
        <f t="shared" ref="CM15" si="161">SUM(CL15+CM16-CM17)</f>
        <v>47</v>
      </c>
      <c r="CN15" s="82">
        <f t="shared" ref="CN15" si="162">SUM(CM15+CN16-CN17)</f>
        <v>46</v>
      </c>
      <c r="CO15" s="82">
        <f t="shared" ref="CO15" si="163">SUM(CN15+CO16-CO17)</f>
        <v>45</v>
      </c>
      <c r="CP15" s="82">
        <f t="shared" ref="CP15" si="164">SUM(CO15+CP16-CP17)</f>
        <v>44</v>
      </c>
      <c r="CQ15" s="82">
        <f t="shared" ref="CQ15" si="165">SUM(CP15+CQ16-CQ17)</f>
        <v>44</v>
      </c>
      <c r="CR15" s="82">
        <f t="shared" ref="CR15:CU15" si="166">SUM(CQ15+CR16-CR17)</f>
        <v>43</v>
      </c>
      <c r="CS15" s="82">
        <v>45</v>
      </c>
      <c r="CT15" s="82">
        <f t="shared" si="166"/>
        <v>44</v>
      </c>
      <c r="CU15" s="82">
        <f t="shared" si="166"/>
        <v>44</v>
      </c>
      <c r="CV15" s="82">
        <f t="shared" ref="CV15" si="167">SUM(CU15+CV16-CV17)</f>
        <v>46</v>
      </c>
      <c r="CW15" s="82">
        <f t="shared" ref="CW15" si="168">SUM(CV15+CW16-CW17)</f>
        <v>46</v>
      </c>
      <c r="CX15" s="82">
        <f t="shared" ref="CX15" si="169">SUM(CW15+CX16-CX17)</f>
        <v>45</v>
      </c>
      <c r="CY15" s="82">
        <f t="shared" ref="CY15" si="170">SUM(CX15+CY16-CY17)</f>
        <v>45</v>
      </c>
      <c r="CZ15" s="82">
        <f t="shared" ref="CZ15" si="171">SUM(CY15+CZ16-CZ17)</f>
        <v>44</v>
      </c>
      <c r="DA15" s="82">
        <f t="shared" ref="DA15" si="172">SUM(CZ15+DA16-DA17)</f>
        <v>43</v>
      </c>
      <c r="DB15" s="82">
        <f t="shared" ref="DB15" si="173">SUM(DA15+DB16-DB17)</f>
        <v>43</v>
      </c>
      <c r="DC15" s="82">
        <f t="shared" ref="DC15" si="174">SUM(DB15+DC16-DC17)</f>
        <v>43</v>
      </c>
      <c r="DD15" s="82">
        <f t="shared" ref="DD15" si="175">SUM(DC15+DD16-DD17)</f>
        <v>43</v>
      </c>
      <c r="DE15" s="82">
        <f t="shared" ref="DE15" si="176">SUM(DD15+DE16-DE17)</f>
        <v>42</v>
      </c>
      <c r="DF15" s="82">
        <f t="shared" ref="DF15" si="177">SUM(DE15+DF16-DF17)</f>
        <v>42</v>
      </c>
      <c r="DG15" s="82">
        <f t="shared" ref="DG15" si="178">SUM(DF15+DG16-DG17)</f>
        <v>43</v>
      </c>
      <c r="DH15" s="82">
        <f t="shared" ref="DH15" si="179">SUM(DG15+DH16-DH17)</f>
        <v>43</v>
      </c>
      <c r="DI15" s="82">
        <f t="shared" ref="DI15" si="180">SUM(DH15+DI16-DI17)</f>
        <v>42</v>
      </c>
      <c r="DJ15" s="82">
        <f t="shared" ref="DJ15" si="181">SUM(DI15+DJ16-DJ17)</f>
        <v>44</v>
      </c>
      <c r="DK15" s="82">
        <f t="shared" ref="DK15" si="182">SUM(DJ15+DK16-DK17)</f>
        <v>44</v>
      </c>
      <c r="DL15" s="82">
        <f t="shared" ref="DL15" si="183">SUM(DK15+DL16-DL17)</f>
        <v>43</v>
      </c>
      <c r="DM15" s="82">
        <f t="shared" ref="DM15" si="184">SUM(DL15+DM16-DM17)</f>
        <v>43</v>
      </c>
      <c r="DN15" s="82">
        <f t="shared" ref="DN15" si="185">SUM(DM15+DN16-DN17)</f>
        <v>44</v>
      </c>
      <c r="DO15" s="82">
        <f t="shared" ref="DO15" si="186">SUM(DN15+DO16-DO17)</f>
        <v>44</v>
      </c>
      <c r="DP15" s="82">
        <f t="shared" ref="DP15" si="187">SUM(DO15+DP16-DP17)</f>
        <v>44</v>
      </c>
      <c r="DQ15" s="82">
        <f t="shared" ref="DQ15" si="188">SUM(DP15+DQ16-DQ17)</f>
        <v>43</v>
      </c>
      <c r="DR15" s="82">
        <f t="shared" ref="DR15" si="189">SUM(DQ15+DR16-DR17)</f>
        <v>43</v>
      </c>
      <c r="DS15" s="82">
        <f t="shared" ref="DS15" si="190">SUM(DR15+DS16-DS17)</f>
        <v>43</v>
      </c>
      <c r="DT15" s="82">
        <f t="shared" ref="DT15" si="191">SUM(DS15+DT16-DT17)</f>
        <v>43</v>
      </c>
      <c r="DU15" s="82">
        <f t="shared" ref="DU15" si="192">SUM(DT15+DU16-DU17)</f>
        <v>43</v>
      </c>
      <c r="DV15" s="82">
        <f t="shared" ref="DV15:DW15" si="193">SUM(DU15+DV16-DV17)</f>
        <v>43</v>
      </c>
      <c r="DW15" s="82">
        <f t="shared" si="193"/>
        <v>43</v>
      </c>
      <c r="DX15" s="82">
        <f t="shared" ref="DX15" si="194">SUM(DW15+DX16-DX17)</f>
        <v>43</v>
      </c>
      <c r="DY15" s="82">
        <f t="shared" ref="DY15" si="195">SUM(DX15+DY16-DY17)</f>
        <v>43</v>
      </c>
      <c r="DZ15" s="82">
        <f t="shared" ref="DZ15" si="196">SUM(DY15+DZ16-DZ17)</f>
        <v>43</v>
      </c>
      <c r="EA15" s="82">
        <f t="shared" ref="EA15" si="197">SUM(DZ15+EA16-EA17)</f>
        <v>43</v>
      </c>
      <c r="EB15" s="82">
        <f t="shared" ref="EB15" si="198">SUM(EA15+EB16-EB17)</f>
        <v>42</v>
      </c>
      <c r="EC15" s="82">
        <f t="shared" ref="EC15" si="199">SUM(EB15+EC16-EC17)</f>
        <v>42</v>
      </c>
      <c r="ED15" s="82">
        <f t="shared" ref="ED15" si="200">SUM(EC15+ED16-ED17)</f>
        <v>42</v>
      </c>
      <c r="EE15" s="82">
        <f t="shared" ref="EE15" si="201">SUM(ED15+EE16-EE17)</f>
        <v>42</v>
      </c>
      <c r="EF15" s="82">
        <f t="shared" ref="EF15" si="202">SUM(EE15+EF16-EF17)</f>
        <v>42</v>
      </c>
      <c r="EG15" s="82">
        <f t="shared" ref="EG15" si="203">SUM(EF15+EG16-EG17)</f>
        <v>42</v>
      </c>
      <c r="EH15" s="82">
        <f t="shared" ref="EH15" si="204">SUM(EG15+EH16-EH17)</f>
        <v>43</v>
      </c>
      <c r="EI15" s="82">
        <f t="shared" ref="EI15" si="205">SUM(EH15+EI16-EI17)</f>
        <v>43</v>
      </c>
      <c r="EJ15" s="82">
        <f t="shared" ref="EJ15" si="206">SUM(EI15+EJ16-EJ17)</f>
        <v>42</v>
      </c>
      <c r="EK15" s="82">
        <f t="shared" ref="EK15" si="207">SUM(EJ15+EK16-EK17)</f>
        <v>44</v>
      </c>
      <c r="EL15" s="82">
        <f t="shared" ref="EL15" si="208">SUM(EK15+EL16-EL17)</f>
        <v>44</v>
      </c>
      <c r="EM15" s="82">
        <f t="shared" ref="EM15" si="209">SUM(EL15+EM16-EM17)</f>
        <v>44</v>
      </c>
      <c r="EN15" s="82">
        <f t="shared" ref="EN15" si="210">SUM(EM15+EN16-EN17)</f>
        <v>44</v>
      </c>
      <c r="EO15" s="82">
        <f t="shared" ref="EO15" si="211">SUM(EN15+EO16-EO17)</f>
        <v>44</v>
      </c>
      <c r="EP15" s="82">
        <f t="shared" ref="EP15" si="212">SUM(EO15+EP16-EP17)</f>
        <v>47</v>
      </c>
      <c r="EQ15" s="82">
        <f t="shared" ref="EQ15" si="213">SUM(EP15+EQ16-EQ17)</f>
        <v>47</v>
      </c>
      <c r="ER15" s="82">
        <f t="shared" ref="ER15" si="214">SUM(EQ15+ER16-ER17)</f>
        <v>47</v>
      </c>
      <c r="ES15" s="82">
        <f t="shared" ref="ES15" si="215">SUM(ER15+ES16-ES17)</f>
        <v>47</v>
      </c>
      <c r="ET15" s="82">
        <f t="shared" ref="ET15" si="216">SUM(ES15+ET16-ET17)</f>
        <v>49</v>
      </c>
      <c r="EU15" s="82">
        <f t="shared" ref="EU15" si="217">SUM(ET15+EU16-EU17)</f>
        <v>51</v>
      </c>
      <c r="EV15" s="82">
        <f t="shared" ref="EV15" si="218">SUM(EU15+EV16-EV17)</f>
        <v>52</v>
      </c>
      <c r="EW15" s="82">
        <f t="shared" ref="EW15" si="219">SUM(EV15+EW16-EW17)</f>
        <v>52</v>
      </c>
      <c r="EX15" s="82">
        <f t="shared" ref="EX15" si="220">SUM(EW15+EX16-EX17)</f>
        <v>53</v>
      </c>
      <c r="EY15" s="82">
        <f t="shared" ref="EY15" si="221">SUM(EX15+EY16-EY17)</f>
        <v>54</v>
      </c>
      <c r="EZ15" s="82">
        <f t="shared" ref="EZ15" si="222">SUM(EY15+EZ16-EZ17)</f>
        <v>55</v>
      </c>
      <c r="FA15" s="82">
        <f t="shared" ref="FA15" si="223">SUM(EZ15+FA16-FA17)</f>
        <v>57</v>
      </c>
      <c r="FB15" s="82">
        <v>57</v>
      </c>
      <c r="FC15" s="82">
        <f t="shared" ref="FC15" si="224">SUM(FB15+FC16-FC17)</f>
        <v>58</v>
      </c>
      <c r="FD15" s="82">
        <f t="shared" ref="FD15" si="225">SUM(FC15+FD16-FD17)</f>
        <v>61</v>
      </c>
      <c r="FE15" s="82">
        <f t="shared" ref="FE15" si="226">SUM(FD15+FE16-FE17)</f>
        <v>63</v>
      </c>
      <c r="FF15" s="82">
        <f t="shared" ref="FF15" si="227">SUM(FE15+FF16-FF17)</f>
        <v>64</v>
      </c>
      <c r="FG15" s="82">
        <f t="shared" ref="FG15" si="228">SUM(FF15+FG16-FG17)</f>
        <v>65</v>
      </c>
      <c r="FH15" s="82">
        <f t="shared" ref="FH15" si="229">SUM(FG15+FH16-FH17)</f>
        <v>65</v>
      </c>
      <c r="FI15" s="82">
        <f t="shared" ref="FI15" si="230">SUM(FH15+FI16-FI17)</f>
        <v>66</v>
      </c>
      <c r="FJ15" s="82">
        <f t="shared" ref="FJ15" si="231">SUM(FI15+FJ16-FJ17)</f>
        <v>66</v>
      </c>
      <c r="FK15" s="82">
        <f t="shared" ref="FK15" si="232">SUM(FJ15+FK16-FK17)</f>
        <v>67</v>
      </c>
      <c r="FL15" s="82">
        <f t="shared" ref="FL15" si="233">SUM(FK15+FL16-FL17)</f>
        <v>67</v>
      </c>
      <c r="FM15" s="82">
        <f t="shared" ref="FM15" si="234">SUM(FL15+FM16-FM17)</f>
        <v>69</v>
      </c>
      <c r="FN15" s="82">
        <f t="shared" ref="FN15" si="235">SUM(FM15+FN16-FN17)</f>
        <v>70</v>
      </c>
      <c r="FO15" s="82">
        <f t="shared" ref="FO15" si="236">SUM(FN15+FO16-FO17)</f>
        <v>70</v>
      </c>
      <c r="FP15" s="82">
        <f t="shared" ref="FP15" si="237">SUM(FO15+FP16-FP17)</f>
        <v>71</v>
      </c>
      <c r="FQ15" s="82">
        <f t="shared" ref="FQ15" si="238">SUM(FP15+FQ16-FQ17)</f>
        <v>69</v>
      </c>
      <c r="FR15" s="82">
        <f t="shared" ref="FR15" si="239">SUM(FQ15+FR16-FR17)</f>
        <v>69</v>
      </c>
      <c r="FS15" s="82">
        <f t="shared" ref="FS15" si="240">SUM(FR15+FS16-FS17)</f>
        <v>71</v>
      </c>
      <c r="FT15" s="82">
        <f t="shared" ref="FT15" si="241">SUM(FS15+FT16-FT17)</f>
        <v>71</v>
      </c>
      <c r="FU15" s="82">
        <f t="shared" ref="FU15" si="242">SUM(FT15+FU16-FU17)</f>
        <v>72</v>
      </c>
      <c r="FV15" s="82">
        <f t="shared" ref="FV15" si="243">SUM(FU15+FV16-FV17)</f>
        <v>73</v>
      </c>
      <c r="FW15" s="82">
        <f t="shared" ref="FW15" si="244">SUM(FV15+FW16-FW17)</f>
        <v>74</v>
      </c>
      <c r="FX15" s="82">
        <f t="shared" ref="FX15" si="245">SUM(FW15+FX16-FX17)</f>
        <v>75</v>
      </c>
      <c r="FY15" s="82">
        <f t="shared" ref="FY15" si="246">SUM(FX15+FY16-FY17)</f>
        <v>74</v>
      </c>
      <c r="FZ15" s="82">
        <f t="shared" ref="FZ15" si="247">SUM(FY15+FZ16-FZ17)</f>
        <v>74</v>
      </c>
      <c r="GA15" s="82">
        <f t="shared" ref="GA15" si="248">SUM(FZ15+GA16-GA17)</f>
        <v>77</v>
      </c>
      <c r="GB15" s="82">
        <f t="shared" ref="GB15" si="249">SUM(GA15+GB16-GB17)</f>
        <v>79</v>
      </c>
      <c r="GC15" s="82">
        <v>79</v>
      </c>
      <c r="GD15" s="82">
        <f t="shared" ref="GD15" si="250">SUM(GC15+GD16-GD17)</f>
        <v>80</v>
      </c>
      <c r="GE15" s="82">
        <f t="shared" ref="GE15" si="251">SUM(GD15+GE16-GE17)</f>
        <v>79</v>
      </c>
      <c r="GF15" s="82">
        <f t="shared" ref="GF15:HJ15" si="252">SUM(GE15+GF16-GF17)</f>
        <v>80</v>
      </c>
      <c r="GG15" s="82">
        <f t="shared" si="252"/>
        <v>80</v>
      </c>
      <c r="GH15" s="82">
        <f t="shared" si="252"/>
        <v>80</v>
      </c>
      <c r="GI15" s="82">
        <f t="shared" si="252"/>
        <v>82</v>
      </c>
      <c r="GJ15" s="82">
        <f t="shared" si="252"/>
        <v>82</v>
      </c>
      <c r="GK15" s="82">
        <f t="shared" si="252"/>
        <v>82</v>
      </c>
      <c r="GL15" s="82">
        <f t="shared" si="252"/>
        <v>83</v>
      </c>
      <c r="GM15" s="82">
        <f t="shared" si="252"/>
        <v>85</v>
      </c>
      <c r="GN15" s="82">
        <f t="shared" si="252"/>
        <v>86</v>
      </c>
      <c r="GO15" s="82">
        <f t="shared" si="252"/>
        <v>85</v>
      </c>
      <c r="GP15" s="82">
        <f t="shared" si="252"/>
        <v>86</v>
      </c>
      <c r="GQ15" s="82">
        <f t="shared" si="252"/>
        <v>86</v>
      </c>
      <c r="GR15" s="82">
        <f t="shared" si="252"/>
        <v>87</v>
      </c>
      <c r="GS15" s="82">
        <f t="shared" si="252"/>
        <v>88</v>
      </c>
      <c r="GT15" s="82">
        <f t="shared" si="252"/>
        <v>89</v>
      </c>
      <c r="GU15" s="82">
        <f t="shared" si="252"/>
        <v>89</v>
      </c>
      <c r="GV15" s="82">
        <f t="shared" si="252"/>
        <v>88</v>
      </c>
      <c r="GW15" s="82">
        <f t="shared" si="252"/>
        <v>91</v>
      </c>
      <c r="GX15" s="82">
        <f t="shared" si="252"/>
        <v>91</v>
      </c>
      <c r="GY15" s="82">
        <f t="shared" si="252"/>
        <v>91</v>
      </c>
      <c r="GZ15" s="82">
        <f t="shared" si="252"/>
        <v>91</v>
      </c>
      <c r="HA15" s="82">
        <f t="shared" si="252"/>
        <v>92</v>
      </c>
      <c r="HB15" s="82">
        <f t="shared" si="252"/>
        <v>93</v>
      </c>
      <c r="HC15" s="82">
        <f t="shared" si="252"/>
        <v>93</v>
      </c>
      <c r="HD15" s="82">
        <f t="shared" si="252"/>
        <v>95</v>
      </c>
      <c r="HE15" s="82">
        <v>93</v>
      </c>
      <c r="HF15" s="82">
        <f t="shared" si="252"/>
        <v>93</v>
      </c>
      <c r="HG15" s="82">
        <f t="shared" si="252"/>
        <v>93</v>
      </c>
      <c r="HH15" s="82">
        <f t="shared" si="252"/>
        <v>93</v>
      </c>
      <c r="HI15" s="82">
        <f t="shared" si="252"/>
        <v>94</v>
      </c>
      <c r="HJ15" s="82">
        <f t="shared" si="252"/>
        <v>94</v>
      </c>
      <c r="HK15" s="82">
        <f>SUM(HJ15+HK16-HK17)</f>
        <v>94</v>
      </c>
      <c r="HL15" s="82">
        <f t="shared" ref="HL15:IP15" si="253">SUM(HK15+HL16-HL17)</f>
        <v>94</v>
      </c>
      <c r="HM15" s="82">
        <v>92</v>
      </c>
      <c r="HN15" s="82">
        <f t="shared" si="253"/>
        <v>92</v>
      </c>
      <c r="HO15" s="82">
        <f t="shared" si="253"/>
        <v>91</v>
      </c>
      <c r="HP15" s="82">
        <f t="shared" si="253"/>
        <v>90</v>
      </c>
      <c r="HQ15" s="82">
        <f t="shared" si="253"/>
        <v>90</v>
      </c>
      <c r="HR15" s="82">
        <f t="shared" si="253"/>
        <v>90</v>
      </c>
      <c r="HS15" s="82">
        <v>88</v>
      </c>
      <c r="HT15" s="82">
        <f t="shared" si="253"/>
        <v>89</v>
      </c>
      <c r="HU15" s="82">
        <f t="shared" si="253"/>
        <v>90</v>
      </c>
      <c r="HV15" s="82">
        <f t="shared" si="253"/>
        <v>90</v>
      </c>
      <c r="HW15" s="82">
        <f t="shared" si="253"/>
        <v>89</v>
      </c>
      <c r="HX15" s="82">
        <f t="shared" si="253"/>
        <v>90</v>
      </c>
      <c r="HY15" s="82">
        <f t="shared" si="253"/>
        <v>91</v>
      </c>
      <c r="HZ15" s="82">
        <f t="shared" si="253"/>
        <v>91</v>
      </c>
      <c r="IA15" s="82">
        <f t="shared" si="253"/>
        <v>91</v>
      </c>
      <c r="IB15" s="82">
        <f t="shared" si="253"/>
        <v>92</v>
      </c>
      <c r="IC15" s="82">
        <f t="shared" si="253"/>
        <v>93</v>
      </c>
      <c r="ID15" s="82">
        <f t="shared" si="253"/>
        <v>93</v>
      </c>
      <c r="IE15" s="82">
        <f t="shared" si="253"/>
        <v>92</v>
      </c>
      <c r="IF15" s="82">
        <f t="shared" si="253"/>
        <v>92</v>
      </c>
      <c r="IG15" s="82">
        <f t="shared" si="253"/>
        <v>92</v>
      </c>
      <c r="IH15" s="82">
        <f t="shared" si="253"/>
        <v>92</v>
      </c>
      <c r="II15" s="82">
        <f t="shared" si="253"/>
        <v>93</v>
      </c>
      <c r="IJ15" s="82">
        <f t="shared" si="253"/>
        <v>93</v>
      </c>
      <c r="IK15" s="82">
        <f t="shared" si="253"/>
        <v>93</v>
      </c>
      <c r="IL15" s="82">
        <f t="shared" si="253"/>
        <v>93</v>
      </c>
      <c r="IM15" s="82">
        <f t="shared" si="253"/>
        <v>93</v>
      </c>
      <c r="IN15" s="82">
        <f t="shared" si="253"/>
        <v>93</v>
      </c>
      <c r="IO15" s="82">
        <f t="shared" si="253"/>
        <v>93</v>
      </c>
      <c r="IP15" s="82">
        <f t="shared" si="253"/>
        <v>94</v>
      </c>
      <c r="IQ15" s="82">
        <f t="shared" ref="IQ15" si="254">SUM(IP15+IQ16-IQ17)</f>
        <v>94</v>
      </c>
      <c r="IR15" s="82">
        <f t="shared" ref="IR15" si="255">SUM(IQ15+IR16-IR17)</f>
        <v>94</v>
      </c>
      <c r="IS15" s="82">
        <f t="shared" ref="IS15" si="256">SUM(IR15+IS16-IS17)</f>
        <v>93</v>
      </c>
      <c r="IT15" s="82">
        <f t="shared" ref="IT15" si="257">SUM(IS15+IT16-IT17)</f>
        <v>96</v>
      </c>
      <c r="IU15" s="82">
        <f t="shared" ref="IU15" si="258">SUM(IT15+IU16-IU17)</f>
        <v>95</v>
      </c>
      <c r="IV15" s="82">
        <f t="shared" ref="IV15" si="259">SUM(IU15+IV16-IV17)</f>
        <v>95</v>
      </c>
      <c r="IW15" s="82">
        <f t="shared" ref="IW15" si="260">SUM(IV15+IW16-IW17)</f>
        <v>95</v>
      </c>
      <c r="IX15" s="82">
        <f t="shared" ref="IX15" si="261">SUM(IW15+IX16-IX17)</f>
        <v>95</v>
      </c>
      <c r="IY15" s="82">
        <f t="shared" ref="IY15" si="262">SUM(IX15+IY16-IY17)</f>
        <v>95</v>
      </c>
      <c r="IZ15" s="82">
        <f t="shared" ref="IZ15" si="263">SUM(IY15+IZ16-IZ17)</f>
        <v>94</v>
      </c>
      <c r="JA15" s="82">
        <f t="shared" ref="JA15" si="264">SUM(IZ15+JA16-JA17)</f>
        <v>94</v>
      </c>
      <c r="JB15" s="82">
        <f t="shared" ref="JB15" si="265">SUM(JA15+JB16-JB17)</f>
        <v>94</v>
      </c>
      <c r="JC15" s="82">
        <f t="shared" ref="JC15" si="266">SUM(JB15+JC16-JC17)</f>
        <v>94</v>
      </c>
      <c r="JD15" s="82">
        <f t="shared" ref="JD15" si="267">SUM(JC15+JD16-JD17)</f>
        <v>97</v>
      </c>
      <c r="JE15" s="82">
        <f t="shared" ref="JE15" si="268">SUM(JD15+JE16-JE17)</f>
        <v>96</v>
      </c>
      <c r="JF15" s="82">
        <f t="shared" ref="JF15" si="269">SUM(JE15+JF16-JF17)</f>
        <v>95</v>
      </c>
      <c r="JG15" s="82">
        <f t="shared" ref="JG15" si="270">SUM(JF15+JG16-JG17)</f>
        <v>95</v>
      </c>
      <c r="JH15" s="82">
        <f t="shared" ref="JH15" si="271">SUM(JG15+JH16-JH17)</f>
        <v>95</v>
      </c>
      <c r="JI15" s="82">
        <f t="shared" ref="JI15" si="272">SUM(JH15+JI16-JI17)</f>
        <v>95</v>
      </c>
      <c r="JJ15" s="82">
        <f t="shared" ref="JJ15" si="273">SUM(JI15+JJ16-JJ17)</f>
        <v>94</v>
      </c>
      <c r="JK15" s="82">
        <f t="shared" ref="JK15" si="274">SUM(JJ15+JK16-JK17)</f>
        <v>94</v>
      </c>
      <c r="JL15" s="82">
        <f t="shared" ref="JL15" si="275">SUM(JK15+JL16-JL17)</f>
        <v>94</v>
      </c>
      <c r="JM15" s="82">
        <f t="shared" ref="JM15" si="276">SUM(JL15+JM16-JM17)</f>
        <v>94</v>
      </c>
      <c r="JN15" s="82">
        <f t="shared" ref="JN15" si="277">SUM(JM15+JN16-JN17)</f>
        <v>93</v>
      </c>
      <c r="JO15" s="82">
        <f t="shared" ref="JO15" si="278">SUM(JN15+JO16-JO17)</f>
        <v>92</v>
      </c>
      <c r="JP15" s="82">
        <f t="shared" ref="JP15" si="279">SUM(JO15+JP16-JP17)</f>
        <v>92</v>
      </c>
      <c r="JQ15" s="82">
        <f t="shared" ref="JQ15" si="280">SUM(JP15+JQ16-JQ17)</f>
        <v>92</v>
      </c>
      <c r="JR15" s="82">
        <f t="shared" ref="JR15" si="281">SUM(JQ15+JR16-JR17)</f>
        <v>91</v>
      </c>
      <c r="JS15" s="82">
        <f t="shared" ref="JS15:JT15" si="282">SUM(JR15+JS16-JS17)</f>
        <v>88</v>
      </c>
      <c r="JT15" s="82">
        <f t="shared" si="282"/>
        <v>89</v>
      </c>
      <c r="JU15" s="82">
        <f t="shared" ref="JU15" si="283">SUM(JT15+JU16-JU17)</f>
        <v>89</v>
      </c>
      <c r="JV15" s="82">
        <f t="shared" ref="JV15" si="284">SUM(JU15+JV16-JV17)</f>
        <v>87</v>
      </c>
      <c r="JW15" s="82">
        <f t="shared" ref="JW15" si="285">SUM(JV15+JW16-JW17)</f>
        <v>87</v>
      </c>
      <c r="JX15" s="82">
        <f t="shared" ref="JX15" si="286">SUM(JW15+JX16-JX17)</f>
        <v>87</v>
      </c>
      <c r="JY15" s="82">
        <f t="shared" ref="JY15" si="287">SUM(JX15+JY16-JY17)</f>
        <v>86</v>
      </c>
      <c r="JZ15" s="82">
        <f t="shared" ref="JZ15" si="288">SUM(JY15+JZ16-JZ17)</f>
        <v>86</v>
      </c>
      <c r="KA15" s="82">
        <f t="shared" ref="KA15" si="289">SUM(JZ15+KA16-KA17)</f>
        <v>86</v>
      </c>
      <c r="KB15" s="82">
        <f t="shared" ref="KB15" si="290">SUM(KA15+KB16-KB17)</f>
        <v>86</v>
      </c>
      <c r="KC15" s="82">
        <f t="shared" ref="KC15" si="291">SUM(KB15+KC16-KC17)</f>
        <v>86</v>
      </c>
      <c r="KD15" s="82">
        <f t="shared" ref="KD15" si="292">SUM(KC15+KD16-KD17)</f>
        <v>84</v>
      </c>
      <c r="KE15" s="82">
        <f t="shared" ref="KE15" si="293">SUM(KD15+KE16-KE17)</f>
        <v>84</v>
      </c>
      <c r="KF15" s="82">
        <f t="shared" ref="KF15" si="294">SUM(KE15+KF16-KF17)</f>
        <v>83</v>
      </c>
      <c r="KG15" s="82">
        <f t="shared" ref="KG15" si="295">SUM(KF15+KG16-KG17)</f>
        <v>83</v>
      </c>
      <c r="KH15" s="82">
        <f t="shared" ref="KH15" si="296">SUM(KG15+KH16-KH17)</f>
        <v>84</v>
      </c>
      <c r="KI15" s="82">
        <f t="shared" ref="KI15" si="297">SUM(KH15+KI16-KI17)</f>
        <v>84</v>
      </c>
      <c r="KJ15" s="82">
        <f t="shared" ref="KJ15" si="298">SUM(KI15+KJ16-KJ17)</f>
        <v>84</v>
      </c>
      <c r="KK15" s="82">
        <f t="shared" ref="KK15" si="299">SUM(KJ15+KK16-KK17)</f>
        <v>84</v>
      </c>
      <c r="KL15" s="82">
        <f t="shared" ref="KL15" si="300">SUM(KK15+KL16-KL17)</f>
        <v>84</v>
      </c>
      <c r="KM15" s="82">
        <f t="shared" ref="KM15" si="301">SUM(KL15+KM16-KM17)</f>
        <v>84</v>
      </c>
      <c r="KN15" s="82">
        <f t="shared" ref="KN15" si="302">SUM(KM15+KN16-KN17)</f>
        <v>84</v>
      </c>
      <c r="KO15" s="82">
        <f t="shared" ref="KO15" si="303">SUM(KN15+KO16-KO17)</f>
        <v>82</v>
      </c>
      <c r="KP15" s="82">
        <f t="shared" ref="KP15" si="304">SUM(KO15+KP16-KP17)</f>
        <v>82</v>
      </c>
      <c r="KQ15" s="82">
        <f t="shared" ref="KQ15" si="305">SUM(KP15+KQ16-KQ17)</f>
        <v>82</v>
      </c>
      <c r="KR15" s="82">
        <f t="shared" ref="KR15" si="306">SUM(KQ15+KR16-KR17)</f>
        <v>82</v>
      </c>
      <c r="KS15" s="82">
        <f t="shared" ref="KS15" si="307">SUM(KR15+KS16-KS17)</f>
        <v>82</v>
      </c>
      <c r="KT15" s="82">
        <f t="shared" ref="KT15" si="308">SUM(KS15+KT16-KT17)</f>
        <v>81</v>
      </c>
      <c r="KU15" s="82">
        <f t="shared" ref="KU15" si="309">SUM(KT15+KU16-KU17)</f>
        <v>81</v>
      </c>
      <c r="KV15" s="82">
        <f t="shared" ref="KV15" si="310">SUM(KU15+KV16-KV17)</f>
        <v>80</v>
      </c>
      <c r="KW15" s="82">
        <f t="shared" ref="KW15" si="311">SUM(KV15+KW16-KW17)</f>
        <v>80</v>
      </c>
      <c r="KX15" s="82">
        <f t="shared" ref="KX15:KY15" si="312">SUM(KW15+KX16-KX17)</f>
        <v>78</v>
      </c>
      <c r="KY15" s="82">
        <f t="shared" si="312"/>
        <v>78</v>
      </c>
      <c r="KZ15" s="82">
        <f t="shared" ref="KZ15" si="313">SUM(KY15+KZ16-KZ17)</f>
        <v>78</v>
      </c>
      <c r="LA15" s="82">
        <f t="shared" ref="LA15" si="314">SUM(KZ15+LA16-LA17)</f>
        <v>78</v>
      </c>
      <c r="LB15" s="82">
        <f t="shared" ref="LB15" si="315">SUM(LA15+LB16-LB17)</f>
        <v>78</v>
      </c>
      <c r="LC15" s="82">
        <f t="shared" ref="LC15" si="316">SUM(LB15+LC16-LC17)</f>
        <v>78</v>
      </c>
      <c r="LD15" s="82">
        <f t="shared" ref="LD15" si="317">SUM(LC15+LD16-LD17)</f>
        <v>78</v>
      </c>
      <c r="LE15" s="82">
        <f t="shared" ref="LE15" si="318">SUM(LD15+LE16-LE17)</f>
        <v>77</v>
      </c>
      <c r="LF15" s="82">
        <f t="shared" ref="LF15" si="319">SUM(LE15+LF16-LF17)</f>
        <v>77</v>
      </c>
      <c r="LG15" s="82">
        <f t="shared" ref="LG15" si="320">SUM(LF15+LG16-LG17)</f>
        <v>77</v>
      </c>
      <c r="LH15" s="82">
        <f t="shared" ref="LH15" si="321">SUM(LG15+LH16-LH17)</f>
        <v>77</v>
      </c>
      <c r="LI15" s="82">
        <f t="shared" ref="LI15" si="322">SUM(LH15+LI16-LI17)</f>
        <v>77</v>
      </c>
      <c r="LJ15" s="82">
        <f t="shared" ref="LJ15" si="323">SUM(LI15+LJ16-LJ17)</f>
        <v>77</v>
      </c>
      <c r="LK15" s="82">
        <f t="shared" ref="LK15" si="324">SUM(LJ15+LK16-LK17)</f>
        <v>77</v>
      </c>
      <c r="LL15" s="82">
        <f t="shared" ref="LL15" si="325">SUM(LK15+LL16-LL17)</f>
        <v>77</v>
      </c>
      <c r="LM15" s="82">
        <f t="shared" ref="LM15" si="326">SUM(LL15+LM16-LM17)</f>
        <v>77</v>
      </c>
      <c r="LN15" s="82">
        <f t="shared" ref="LN15" si="327">SUM(LM15+LN16-LN17)</f>
        <v>77</v>
      </c>
      <c r="LO15" s="82">
        <f t="shared" ref="LO15" si="328">SUM(LN15+LO16-LO17)</f>
        <v>77</v>
      </c>
      <c r="LP15" s="82">
        <f t="shared" ref="LP15" si="329">SUM(LO15+LP16-LP17)</f>
        <v>77</v>
      </c>
      <c r="LQ15" s="82">
        <f t="shared" ref="LQ15" si="330">SUM(LP15+LQ16-LQ17)</f>
        <v>76</v>
      </c>
      <c r="LR15" s="82">
        <f t="shared" ref="LR15" si="331">SUM(LQ15+LR16-LR17)</f>
        <v>76</v>
      </c>
      <c r="LS15" s="82">
        <f t="shared" ref="LS15" si="332">SUM(LR15+LS16-LS17)</f>
        <v>76</v>
      </c>
      <c r="LT15" s="82">
        <f t="shared" ref="LT15" si="333">SUM(LS15+LT16-LT17)</f>
        <v>76</v>
      </c>
      <c r="LU15" s="82">
        <f t="shared" ref="LU15" si="334">SUM(LT15+LU16-LU17)</f>
        <v>76</v>
      </c>
      <c r="LV15" s="82">
        <f t="shared" ref="LV15" si="335">SUM(LU15+LV16-LV17)</f>
        <v>76</v>
      </c>
      <c r="LW15" s="82">
        <f t="shared" ref="LW15" si="336">SUM(LV15+LW16-LW17)</f>
        <v>76</v>
      </c>
      <c r="LX15" s="82">
        <f t="shared" ref="LX15" si="337">SUM(LW15+LX16-LX17)</f>
        <v>75</v>
      </c>
      <c r="LY15" s="82">
        <f t="shared" ref="LY15" si="338">SUM(LX15+LY16-LY17)</f>
        <v>75</v>
      </c>
      <c r="LZ15" s="82">
        <f t="shared" ref="LZ15" si="339">SUM(LY15+LZ16-LZ17)</f>
        <v>75</v>
      </c>
      <c r="MA15" s="82">
        <f t="shared" ref="MA15" si="340">SUM(LZ15+MA16-MA17)</f>
        <v>75</v>
      </c>
      <c r="MB15" s="82">
        <f t="shared" ref="MB15" si="341">SUM(MA15+MB16-MB17)</f>
        <v>75</v>
      </c>
    </row>
    <row r="16" spans="1:340" s="32" customFormat="1">
      <c r="A16" s="195">
        <f>COUNTIF(A19:A140,"1")</f>
        <v>94</v>
      </c>
      <c r="B16" s="195"/>
      <c r="C16" s="190" t="s">
        <v>16</v>
      </c>
      <c r="D16" s="190"/>
      <c r="E16" s="190"/>
      <c r="F16" s="190"/>
      <c r="G16" s="43">
        <f t="shared" ref="G16:BR16" si="342">COUNTIF(G19:G274,"Start")</f>
        <v>0</v>
      </c>
      <c r="H16" s="43">
        <f t="shared" si="342"/>
        <v>2</v>
      </c>
      <c r="I16" s="43">
        <f t="shared" si="342"/>
        <v>8</v>
      </c>
      <c r="J16" s="43">
        <f t="shared" si="342"/>
        <v>2</v>
      </c>
      <c r="K16" s="43">
        <f t="shared" si="342"/>
        <v>3</v>
      </c>
      <c r="L16" s="43">
        <f t="shared" si="342"/>
        <v>2</v>
      </c>
      <c r="M16" s="43">
        <f t="shared" si="342"/>
        <v>0</v>
      </c>
      <c r="N16" s="43">
        <f t="shared" si="342"/>
        <v>2</v>
      </c>
      <c r="O16" s="43">
        <f t="shared" si="342"/>
        <v>3</v>
      </c>
      <c r="P16" s="43">
        <f t="shared" si="342"/>
        <v>0</v>
      </c>
      <c r="Q16" s="43">
        <f t="shared" si="342"/>
        <v>0</v>
      </c>
      <c r="R16" s="43">
        <f t="shared" si="342"/>
        <v>0</v>
      </c>
      <c r="S16" s="43">
        <f t="shared" si="342"/>
        <v>1</v>
      </c>
      <c r="T16" s="43">
        <f t="shared" si="342"/>
        <v>1</v>
      </c>
      <c r="U16" s="43">
        <f t="shared" si="342"/>
        <v>0</v>
      </c>
      <c r="V16" s="43">
        <f t="shared" si="342"/>
        <v>1</v>
      </c>
      <c r="W16" s="43">
        <f t="shared" si="342"/>
        <v>2</v>
      </c>
      <c r="X16" s="43">
        <f t="shared" si="342"/>
        <v>0</v>
      </c>
      <c r="Y16" s="43">
        <f t="shared" si="342"/>
        <v>0</v>
      </c>
      <c r="Z16" s="43">
        <f t="shared" si="342"/>
        <v>1</v>
      </c>
      <c r="AA16" s="43">
        <f t="shared" si="342"/>
        <v>0</v>
      </c>
      <c r="AB16" s="43">
        <f t="shared" si="342"/>
        <v>0</v>
      </c>
      <c r="AC16" s="43">
        <f t="shared" si="342"/>
        <v>0</v>
      </c>
      <c r="AD16" s="43">
        <f t="shared" si="342"/>
        <v>0</v>
      </c>
      <c r="AE16" s="43">
        <f t="shared" si="342"/>
        <v>0</v>
      </c>
      <c r="AF16" s="43">
        <f t="shared" si="342"/>
        <v>1</v>
      </c>
      <c r="AG16" s="43">
        <f t="shared" si="342"/>
        <v>0</v>
      </c>
      <c r="AH16" s="43">
        <f t="shared" si="342"/>
        <v>1</v>
      </c>
      <c r="AI16" s="43">
        <f t="shared" si="342"/>
        <v>0</v>
      </c>
      <c r="AJ16" s="43">
        <f t="shared" si="342"/>
        <v>0</v>
      </c>
      <c r="AK16" s="43">
        <f t="shared" si="342"/>
        <v>1</v>
      </c>
      <c r="AL16" s="43">
        <f t="shared" si="342"/>
        <v>0</v>
      </c>
      <c r="AM16" s="43">
        <f t="shared" si="342"/>
        <v>0</v>
      </c>
      <c r="AN16" s="43">
        <f t="shared" si="342"/>
        <v>0</v>
      </c>
      <c r="AO16" s="43">
        <f t="shared" si="342"/>
        <v>1</v>
      </c>
      <c r="AP16" s="43">
        <f t="shared" si="342"/>
        <v>0</v>
      </c>
      <c r="AQ16" s="43">
        <f t="shared" si="342"/>
        <v>1</v>
      </c>
      <c r="AR16" s="43">
        <f t="shared" si="342"/>
        <v>0</v>
      </c>
      <c r="AS16" s="43">
        <f t="shared" si="342"/>
        <v>2</v>
      </c>
      <c r="AT16" s="43">
        <f t="shared" si="342"/>
        <v>1</v>
      </c>
      <c r="AU16" s="43">
        <f t="shared" si="342"/>
        <v>0</v>
      </c>
      <c r="AV16" s="43">
        <f t="shared" si="342"/>
        <v>1</v>
      </c>
      <c r="AW16" s="43">
        <f t="shared" si="342"/>
        <v>0</v>
      </c>
      <c r="AX16" s="43">
        <f t="shared" si="342"/>
        <v>0</v>
      </c>
      <c r="AY16" s="43">
        <f t="shared" si="342"/>
        <v>0</v>
      </c>
      <c r="AZ16" s="43">
        <f t="shared" si="342"/>
        <v>1</v>
      </c>
      <c r="BA16" s="43">
        <f t="shared" si="342"/>
        <v>0</v>
      </c>
      <c r="BB16" s="43">
        <f t="shared" si="342"/>
        <v>1</v>
      </c>
      <c r="BC16" s="43">
        <f t="shared" si="342"/>
        <v>1</v>
      </c>
      <c r="BD16" s="43">
        <f t="shared" si="342"/>
        <v>1</v>
      </c>
      <c r="BE16" s="43">
        <f t="shared" si="342"/>
        <v>0</v>
      </c>
      <c r="BF16" s="43">
        <f t="shared" si="342"/>
        <v>1</v>
      </c>
      <c r="BG16" s="43">
        <f t="shared" si="342"/>
        <v>0</v>
      </c>
      <c r="BH16" s="43">
        <f t="shared" si="342"/>
        <v>1</v>
      </c>
      <c r="BI16" s="43">
        <f t="shared" si="342"/>
        <v>0</v>
      </c>
      <c r="BJ16" s="43">
        <f t="shared" si="342"/>
        <v>0</v>
      </c>
      <c r="BK16" s="43">
        <f t="shared" si="342"/>
        <v>0</v>
      </c>
      <c r="BL16" s="43">
        <f t="shared" si="342"/>
        <v>0</v>
      </c>
      <c r="BM16" s="43">
        <f t="shared" si="342"/>
        <v>0</v>
      </c>
      <c r="BN16" s="43">
        <f t="shared" si="342"/>
        <v>1</v>
      </c>
      <c r="BO16" s="43">
        <f t="shared" si="342"/>
        <v>0</v>
      </c>
      <c r="BP16" s="43">
        <f t="shared" si="342"/>
        <v>0</v>
      </c>
      <c r="BQ16" s="43">
        <f t="shared" si="342"/>
        <v>1</v>
      </c>
      <c r="BR16" s="43">
        <f t="shared" si="342"/>
        <v>0</v>
      </c>
      <c r="BS16" s="43">
        <f t="shared" ref="BS16:ED16" si="343">COUNTIF(BS19:BS274,"Start")</f>
        <v>1</v>
      </c>
      <c r="BT16" s="43">
        <f t="shared" si="343"/>
        <v>0</v>
      </c>
      <c r="BU16" s="43">
        <f t="shared" si="343"/>
        <v>1</v>
      </c>
      <c r="BV16" s="43">
        <f t="shared" si="343"/>
        <v>0</v>
      </c>
      <c r="BW16" s="43">
        <f t="shared" si="343"/>
        <v>0</v>
      </c>
      <c r="BX16" s="43">
        <f t="shared" si="343"/>
        <v>0</v>
      </c>
      <c r="BY16" s="43">
        <f t="shared" si="343"/>
        <v>0</v>
      </c>
      <c r="BZ16" s="43">
        <f t="shared" si="343"/>
        <v>0</v>
      </c>
      <c r="CA16" s="43">
        <f t="shared" si="343"/>
        <v>0</v>
      </c>
      <c r="CB16" s="43">
        <f t="shared" si="343"/>
        <v>0</v>
      </c>
      <c r="CC16" s="43">
        <f t="shared" si="343"/>
        <v>0</v>
      </c>
      <c r="CD16" s="43">
        <f t="shared" si="343"/>
        <v>2</v>
      </c>
      <c r="CE16" s="43">
        <f t="shared" si="343"/>
        <v>0</v>
      </c>
      <c r="CF16" s="43">
        <f t="shared" si="343"/>
        <v>0</v>
      </c>
      <c r="CG16" s="43">
        <f t="shared" si="343"/>
        <v>0</v>
      </c>
      <c r="CH16" s="43">
        <f t="shared" si="343"/>
        <v>0</v>
      </c>
      <c r="CI16" s="43">
        <f t="shared" si="343"/>
        <v>0</v>
      </c>
      <c r="CJ16" s="43">
        <f t="shared" si="343"/>
        <v>0</v>
      </c>
      <c r="CK16" s="43">
        <f t="shared" si="343"/>
        <v>1</v>
      </c>
      <c r="CL16" s="43">
        <f t="shared" si="343"/>
        <v>0</v>
      </c>
      <c r="CM16" s="43">
        <f t="shared" si="343"/>
        <v>1</v>
      </c>
      <c r="CN16" s="43">
        <f t="shared" si="343"/>
        <v>0</v>
      </c>
      <c r="CO16" s="43">
        <f t="shared" si="343"/>
        <v>0</v>
      </c>
      <c r="CP16" s="43">
        <f t="shared" si="343"/>
        <v>0</v>
      </c>
      <c r="CQ16" s="43">
        <f t="shared" si="343"/>
        <v>0</v>
      </c>
      <c r="CR16" s="43">
        <f t="shared" si="343"/>
        <v>0</v>
      </c>
      <c r="CS16" s="43">
        <f t="shared" si="343"/>
        <v>1</v>
      </c>
      <c r="CT16" s="43">
        <f t="shared" si="343"/>
        <v>0</v>
      </c>
      <c r="CU16" s="43">
        <f t="shared" si="343"/>
        <v>0</v>
      </c>
      <c r="CV16" s="43">
        <f t="shared" si="343"/>
        <v>2</v>
      </c>
      <c r="CW16" s="43">
        <f t="shared" si="343"/>
        <v>0</v>
      </c>
      <c r="CX16" s="43">
        <f t="shared" si="343"/>
        <v>0</v>
      </c>
      <c r="CY16" s="43">
        <f t="shared" si="343"/>
        <v>0</v>
      </c>
      <c r="CZ16" s="43">
        <f t="shared" si="343"/>
        <v>0</v>
      </c>
      <c r="DA16" s="43">
        <f t="shared" si="343"/>
        <v>0</v>
      </c>
      <c r="DB16" s="43">
        <f t="shared" si="343"/>
        <v>0</v>
      </c>
      <c r="DC16" s="43">
        <f t="shared" si="343"/>
        <v>0</v>
      </c>
      <c r="DD16" s="43">
        <f t="shared" si="343"/>
        <v>0</v>
      </c>
      <c r="DE16" s="43">
        <f t="shared" si="343"/>
        <v>0</v>
      </c>
      <c r="DF16" s="43">
        <f t="shared" si="343"/>
        <v>0</v>
      </c>
      <c r="DG16" s="43">
        <f t="shared" si="343"/>
        <v>1</v>
      </c>
      <c r="DH16" s="43">
        <f t="shared" si="343"/>
        <v>0</v>
      </c>
      <c r="DI16" s="43">
        <f t="shared" si="343"/>
        <v>0</v>
      </c>
      <c r="DJ16" s="43">
        <f t="shared" si="343"/>
        <v>2</v>
      </c>
      <c r="DK16" s="43">
        <f t="shared" si="343"/>
        <v>0</v>
      </c>
      <c r="DL16" s="43">
        <f t="shared" si="343"/>
        <v>0</v>
      </c>
      <c r="DM16" s="43">
        <f t="shared" si="343"/>
        <v>0</v>
      </c>
      <c r="DN16" s="43">
        <f t="shared" si="343"/>
        <v>1</v>
      </c>
      <c r="DO16" s="43">
        <f t="shared" si="343"/>
        <v>0</v>
      </c>
      <c r="DP16" s="43">
        <f t="shared" si="343"/>
        <v>0</v>
      </c>
      <c r="DQ16" s="43">
        <f t="shared" si="343"/>
        <v>0</v>
      </c>
      <c r="DR16" s="43">
        <f t="shared" si="343"/>
        <v>0</v>
      </c>
      <c r="DS16" s="43">
        <f t="shared" si="343"/>
        <v>0</v>
      </c>
      <c r="DT16" s="43">
        <f t="shared" si="343"/>
        <v>0</v>
      </c>
      <c r="DU16" s="43">
        <f t="shared" si="343"/>
        <v>0</v>
      </c>
      <c r="DV16" s="43">
        <f t="shared" si="343"/>
        <v>0</v>
      </c>
      <c r="DW16" s="43">
        <f t="shared" si="343"/>
        <v>0</v>
      </c>
      <c r="DX16" s="43">
        <f t="shared" si="343"/>
        <v>0</v>
      </c>
      <c r="DY16" s="43">
        <f t="shared" si="343"/>
        <v>0</v>
      </c>
      <c r="DZ16" s="43">
        <f t="shared" si="343"/>
        <v>0</v>
      </c>
      <c r="EA16" s="43">
        <f t="shared" si="343"/>
        <v>0</v>
      </c>
      <c r="EB16" s="43">
        <f t="shared" si="343"/>
        <v>0</v>
      </c>
      <c r="EC16" s="43">
        <f t="shared" si="343"/>
        <v>0</v>
      </c>
      <c r="ED16" s="43">
        <f t="shared" si="343"/>
        <v>0</v>
      </c>
      <c r="EE16" s="43">
        <f t="shared" ref="EE16:GP16" si="344">COUNTIF(EE19:EE274,"Start")</f>
        <v>0</v>
      </c>
      <c r="EF16" s="43">
        <f t="shared" si="344"/>
        <v>1</v>
      </c>
      <c r="EG16" s="43">
        <f t="shared" si="344"/>
        <v>0</v>
      </c>
      <c r="EH16" s="43">
        <f t="shared" si="344"/>
        <v>1</v>
      </c>
      <c r="EI16" s="43">
        <f t="shared" si="344"/>
        <v>0</v>
      </c>
      <c r="EJ16" s="43">
        <f t="shared" si="344"/>
        <v>0</v>
      </c>
      <c r="EK16" s="43">
        <f t="shared" si="344"/>
        <v>2</v>
      </c>
      <c r="EL16" s="43">
        <f t="shared" si="344"/>
        <v>0</v>
      </c>
      <c r="EM16" s="43">
        <f t="shared" si="344"/>
        <v>0</v>
      </c>
      <c r="EN16" s="43">
        <f t="shared" si="344"/>
        <v>0</v>
      </c>
      <c r="EO16" s="43">
        <f t="shared" si="344"/>
        <v>0</v>
      </c>
      <c r="EP16" s="43">
        <f t="shared" si="344"/>
        <v>3</v>
      </c>
      <c r="EQ16" s="43">
        <f t="shared" si="344"/>
        <v>0</v>
      </c>
      <c r="ER16" s="43">
        <f t="shared" si="344"/>
        <v>0</v>
      </c>
      <c r="ES16" s="43">
        <f t="shared" si="344"/>
        <v>0</v>
      </c>
      <c r="ET16" s="43">
        <f t="shared" si="344"/>
        <v>2</v>
      </c>
      <c r="EU16" s="43">
        <f t="shared" si="344"/>
        <v>2</v>
      </c>
      <c r="EV16" s="43">
        <f t="shared" si="344"/>
        <v>1</v>
      </c>
      <c r="EW16" s="43">
        <f t="shared" si="344"/>
        <v>0</v>
      </c>
      <c r="EX16" s="43">
        <f t="shared" si="344"/>
        <v>1</v>
      </c>
      <c r="EY16" s="43">
        <f t="shared" si="344"/>
        <v>2</v>
      </c>
      <c r="EZ16" s="43">
        <f t="shared" si="344"/>
        <v>1</v>
      </c>
      <c r="FA16" s="43">
        <f t="shared" si="344"/>
        <v>2</v>
      </c>
      <c r="FB16" s="43">
        <f t="shared" si="344"/>
        <v>1</v>
      </c>
      <c r="FC16" s="43">
        <f t="shared" si="344"/>
        <v>2</v>
      </c>
      <c r="FD16" s="43">
        <f t="shared" si="344"/>
        <v>4</v>
      </c>
      <c r="FE16" s="43">
        <f t="shared" si="344"/>
        <v>2</v>
      </c>
      <c r="FF16" s="43">
        <f t="shared" si="344"/>
        <v>1</v>
      </c>
      <c r="FG16" s="43">
        <f t="shared" si="344"/>
        <v>1</v>
      </c>
      <c r="FH16" s="43">
        <f t="shared" si="344"/>
        <v>0</v>
      </c>
      <c r="FI16" s="43">
        <f t="shared" si="344"/>
        <v>1</v>
      </c>
      <c r="FJ16" s="43">
        <f t="shared" si="344"/>
        <v>0</v>
      </c>
      <c r="FK16" s="43">
        <f t="shared" si="344"/>
        <v>1</v>
      </c>
      <c r="FL16" s="43">
        <f t="shared" si="344"/>
        <v>0</v>
      </c>
      <c r="FM16" s="43">
        <f t="shared" si="344"/>
        <v>2</v>
      </c>
      <c r="FN16" s="43">
        <f t="shared" si="344"/>
        <v>1</v>
      </c>
      <c r="FO16" s="43">
        <f t="shared" si="344"/>
        <v>0</v>
      </c>
      <c r="FP16" s="43">
        <f t="shared" si="344"/>
        <v>1</v>
      </c>
      <c r="FQ16" s="43">
        <f t="shared" si="344"/>
        <v>0</v>
      </c>
      <c r="FR16" s="43">
        <f t="shared" si="344"/>
        <v>0</v>
      </c>
      <c r="FS16" s="43">
        <f t="shared" si="344"/>
        <v>3</v>
      </c>
      <c r="FT16" s="43">
        <f t="shared" si="344"/>
        <v>0</v>
      </c>
      <c r="FU16" s="43">
        <f t="shared" si="344"/>
        <v>1</v>
      </c>
      <c r="FV16" s="43">
        <f t="shared" si="344"/>
        <v>1</v>
      </c>
      <c r="FW16" s="43">
        <f t="shared" si="344"/>
        <v>1</v>
      </c>
      <c r="FX16" s="43">
        <f t="shared" si="344"/>
        <v>1</v>
      </c>
      <c r="FY16" s="43">
        <f t="shared" si="344"/>
        <v>0</v>
      </c>
      <c r="FZ16" s="43">
        <f t="shared" si="344"/>
        <v>0</v>
      </c>
      <c r="GA16" s="43">
        <f t="shared" si="344"/>
        <v>3</v>
      </c>
      <c r="GB16" s="43">
        <f t="shared" si="344"/>
        <v>3</v>
      </c>
      <c r="GC16" s="43">
        <f t="shared" si="344"/>
        <v>0</v>
      </c>
      <c r="GD16" s="43">
        <f t="shared" si="344"/>
        <v>1</v>
      </c>
      <c r="GE16" s="43">
        <f t="shared" si="344"/>
        <v>0</v>
      </c>
      <c r="GF16" s="43">
        <f t="shared" si="344"/>
        <v>1</v>
      </c>
      <c r="GG16" s="43">
        <f t="shared" si="344"/>
        <v>0</v>
      </c>
      <c r="GH16" s="43">
        <f t="shared" si="344"/>
        <v>0</v>
      </c>
      <c r="GI16" s="43">
        <f t="shared" si="344"/>
        <v>2</v>
      </c>
      <c r="GJ16" s="43">
        <f t="shared" si="344"/>
        <v>0</v>
      </c>
      <c r="GK16" s="43">
        <f t="shared" si="344"/>
        <v>0</v>
      </c>
      <c r="GL16" s="43">
        <f t="shared" si="344"/>
        <v>1</v>
      </c>
      <c r="GM16" s="43">
        <f t="shared" si="344"/>
        <v>2</v>
      </c>
      <c r="GN16" s="43">
        <f t="shared" si="344"/>
        <v>1</v>
      </c>
      <c r="GO16" s="43">
        <f t="shared" si="344"/>
        <v>0</v>
      </c>
      <c r="GP16" s="43">
        <f t="shared" si="344"/>
        <v>1</v>
      </c>
      <c r="GQ16" s="43">
        <f t="shared" ref="GQ16:JB16" si="345">COUNTIF(GQ19:GQ274,"Start")</f>
        <v>0</v>
      </c>
      <c r="GR16" s="43">
        <f t="shared" si="345"/>
        <v>1</v>
      </c>
      <c r="GS16" s="43">
        <f t="shared" si="345"/>
        <v>1</v>
      </c>
      <c r="GT16" s="43">
        <f t="shared" si="345"/>
        <v>1</v>
      </c>
      <c r="GU16" s="43">
        <f t="shared" si="345"/>
        <v>0</v>
      </c>
      <c r="GV16" s="43">
        <f t="shared" si="345"/>
        <v>0</v>
      </c>
      <c r="GW16" s="43">
        <f t="shared" si="345"/>
        <v>3</v>
      </c>
      <c r="GX16" s="43">
        <f t="shared" si="345"/>
        <v>1</v>
      </c>
      <c r="GY16" s="43">
        <f t="shared" si="345"/>
        <v>0</v>
      </c>
      <c r="GZ16" s="43">
        <f t="shared" si="345"/>
        <v>0</v>
      </c>
      <c r="HA16" s="43">
        <f t="shared" si="345"/>
        <v>1</v>
      </c>
      <c r="HB16" s="43">
        <f t="shared" si="345"/>
        <v>1</v>
      </c>
      <c r="HC16" s="43">
        <f t="shared" si="345"/>
        <v>0</v>
      </c>
      <c r="HD16" s="43">
        <f t="shared" si="345"/>
        <v>2</v>
      </c>
      <c r="HE16" s="43">
        <f t="shared" si="345"/>
        <v>0</v>
      </c>
      <c r="HF16" s="43">
        <f t="shared" si="345"/>
        <v>0</v>
      </c>
      <c r="HG16" s="43">
        <f t="shared" si="345"/>
        <v>0</v>
      </c>
      <c r="HH16" s="43">
        <f t="shared" si="345"/>
        <v>0</v>
      </c>
      <c r="HI16" s="43">
        <f t="shared" si="345"/>
        <v>1</v>
      </c>
      <c r="HJ16" s="43">
        <f t="shared" si="345"/>
        <v>0</v>
      </c>
      <c r="HK16" s="43">
        <f t="shared" si="345"/>
        <v>0</v>
      </c>
      <c r="HL16" s="43">
        <f t="shared" si="345"/>
        <v>0</v>
      </c>
      <c r="HM16" s="43">
        <f t="shared" si="345"/>
        <v>0</v>
      </c>
      <c r="HN16" s="43">
        <f t="shared" si="345"/>
        <v>0</v>
      </c>
      <c r="HO16" s="43">
        <f t="shared" si="345"/>
        <v>0</v>
      </c>
      <c r="HP16" s="43">
        <f t="shared" si="345"/>
        <v>0</v>
      </c>
      <c r="HQ16" s="43">
        <f t="shared" si="345"/>
        <v>0</v>
      </c>
      <c r="HR16" s="43">
        <f t="shared" si="345"/>
        <v>2</v>
      </c>
      <c r="HS16" s="43">
        <f t="shared" si="345"/>
        <v>0</v>
      </c>
      <c r="HT16" s="43">
        <f t="shared" si="345"/>
        <v>1</v>
      </c>
      <c r="HU16" s="43">
        <f t="shared" si="345"/>
        <v>1</v>
      </c>
      <c r="HV16" s="43">
        <f t="shared" si="345"/>
        <v>0</v>
      </c>
      <c r="HW16" s="43">
        <f t="shared" si="345"/>
        <v>0</v>
      </c>
      <c r="HX16" s="43">
        <f t="shared" si="345"/>
        <v>1</v>
      </c>
      <c r="HY16" s="43">
        <f t="shared" si="345"/>
        <v>1</v>
      </c>
      <c r="HZ16" s="43">
        <f t="shared" si="345"/>
        <v>0</v>
      </c>
      <c r="IA16" s="43">
        <f t="shared" si="345"/>
        <v>0</v>
      </c>
      <c r="IB16" s="43">
        <f t="shared" si="345"/>
        <v>1</v>
      </c>
      <c r="IC16" s="43">
        <f t="shared" si="345"/>
        <v>1</v>
      </c>
      <c r="ID16" s="43">
        <f t="shared" si="345"/>
        <v>0</v>
      </c>
      <c r="IE16" s="43">
        <f t="shared" si="345"/>
        <v>0</v>
      </c>
      <c r="IF16" s="43">
        <f t="shared" si="345"/>
        <v>1</v>
      </c>
      <c r="IG16" s="43">
        <f t="shared" si="345"/>
        <v>0</v>
      </c>
      <c r="IH16" s="43">
        <f t="shared" si="345"/>
        <v>0</v>
      </c>
      <c r="II16" s="43">
        <f t="shared" si="345"/>
        <v>1</v>
      </c>
      <c r="IJ16" s="43">
        <f t="shared" si="345"/>
        <v>0</v>
      </c>
      <c r="IK16" s="43">
        <f t="shared" si="345"/>
        <v>0</v>
      </c>
      <c r="IL16" s="43">
        <f t="shared" si="345"/>
        <v>0</v>
      </c>
      <c r="IM16" s="43">
        <f t="shared" si="345"/>
        <v>0</v>
      </c>
      <c r="IN16" s="43">
        <f t="shared" si="345"/>
        <v>0</v>
      </c>
      <c r="IO16" s="43">
        <f t="shared" si="345"/>
        <v>0</v>
      </c>
      <c r="IP16" s="43">
        <f t="shared" si="345"/>
        <v>2</v>
      </c>
      <c r="IQ16" s="43">
        <f t="shared" si="345"/>
        <v>0</v>
      </c>
      <c r="IR16" s="43">
        <f t="shared" si="345"/>
        <v>0</v>
      </c>
      <c r="IS16" s="43">
        <f t="shared" si="345"/>
        <v>0</v>
      </c>
      <c r="IT16" s="43">
        <f t="shared" si="345"/>
        <v>3</v>
      </c>
      <c r="IU16" s="43">
        <f t="shared" si="345"/>
        <v>0</v>
      </c>
      <c r="IV16" s="43">
        <f t="shared" si="345"/>
        <v>0</v>
      </c>
      <c r="IW16" s="43">
        <f t="shared" si="345"/>
        <v>0</v>
      </c>
      <c r="IX16" s="43">
        <f t="shared" si="345"/>
        <v>0</v>
      </c>
      <c r="IY16" s="43">
        <f t="shared" si="345"/>
        <v>0</v>
      </c>
      <c r="IZ16" s="43">
        <f t="shared" si="345"/>
        <v>0</v>
      </c>
      <c r="JA16" s="43">
        <f t="shared" si="345"/>
        <v>0</v>
      </c>
      <c r="JB16" s="43">
        <f t="shared" si="345"/>
        <v>0</v>
      </c>
      <c r="JC16" s="43">
        <f t="shared" ref="JC16:LN16" si="346">COUNTIF(JC19:JC274,"Start")</f>
        <v>0</v>
      </c>
      <c r="JD16" s="43">
        <f t="shared" si="346"/>
        <v>4</v>
      </c>
      <c r="JE16" s="43">
        <f t="shared" si="346"/>
        <v>0</v>
      </c>
      <c r="JF16" s="43">
        <f t="shared" si="346"/>
        <v>0</v>
      </c>
      <c r="JG16" s="43">
        <f t="shared" si="346"/>
        <v>0</v>
      </c>
      <c r="JH16" s="43">
        <f t="shared" si="346"/>
        <v>0</v>
      </c>
      <c r="JI16" s="43">
        <f t="shared" si="346"/>
        <v>0</v>
      </c>
      <c r="JJ16" s="43">
        <f t="shared" si="346"/>
        <v>0</v>
      </c>
      <c r="JK16" s="43">
        <f t="shared" si="346"/>
        <v>0</v>
      </c>
      <c r="JL16" s="43">
        <f t="shared" si="346"/>
        <v>0</v>
      </c>
      <c r="JM16" s="43">
        <f t="shared" si="346"/>
        <v>0</v>
      </c>
      <c r="JN16" s="43">
        <f t="shared" si="346"/>
        <v>0</v>
      </c>
      <c r="JO16" s="43">
        <f t="shared" si="346"/>
        <v>0</v>
      </c>
      <c r="JP16" s="43">
        <f t="shared" si="346"/>
        <v>0</v>
      </c>
      <c r="JQ16" s="43">
        <f t="shared" si="346"/>
        <v>0</v>
      </c>
      <c r="JR16" s="43">
        <f t="shared" si="346"/>
        <v>0</v>
      </c>
      <c r="JS16" s="43">
        <f t="shared" si="346"/>
        <v>0</v>
      </c>
      <c r="JT16" s="43">
        <f t="shared" si="346"/>
        <v>1</v>
      </c>
      <c r="JU16" s="43">
        <f t="shared" si="346"/>
        <v>0</v>
      </c>
      <c r="JV16" s="43">
        <f t="shared" si="346"/>
        <v>0</v>
      </c>
      <c r="JW16" s="43">
        <f t="shared" si="346"/>
        <v>0</v>
      </c>
      <c r="JX16" s="43">
        <f t="shared" si="346"/>
        <v>1</v>
      </c>
      <c r="JY16" s="43">
        <f t="shared" si="346"/>
        <v>0</v>
      </c>
      <c r="JZ16" s="43">
        <f t="shared" si="346"/>
        <v>0</v>
      </c>
      <c r="KA16" s="43">
        <f t="shared" si="346"/>
        <v>0</v>
      </c>
      <c r="KB16" s="43">
        <f t="shared" si="346"/>
        <v>0</v>
      </c>
      <c r="KC16" s="43">
        <f t="shared" si="346"/>
        <v>0</v>
      </c>
      <c r="KD16" s="43">
        <f t="shared" si="346"/>
        <v>0</v>
      </c>
      <c r="KE16" s="43">
        <f t="shared" si="346"/>
        <v>0</v>
      </c>
      <c r="KF16" s="43">
        <f t="shared" si="346"/>
        <v>0</v>
      </c>
      <c r="KG16" s="43">
        <f t="shared" si="346"/>
        <v>0</v>
      </c>
      <c r="KH16" s="43">
        <f t="shared" si="346"/>
        <v>1</v>
      </c>
      <c r="KI16" s="43">
        <f t="shared" si="346"/>
        <v>0</v>
      </c>
      <c r="KJ16" s="43">
        <f t="shared" si="346"/>
        <v>0</v>
      </c>
      <c r="KK16" s="43">
        <f t="shared" si="346"/>
        <v>0</v>
      </c>
      <c r="KL16" s="43">
        <f t="shared" si="346"/>
        <v>0</v>
      </c>
      <c r="KM16" s="43">
        <f t="shared" si="346"/>
        <v>0</v>
      </c>
      <c r="KN16" s="43">
        <f t="shared" si="346"/>
        <v>0</v>
      </c>
      <c r="KO16" s="43">
        <f t="shared" si="346"/>
        <v>0</v>
      </c>
      <c r="KP16" s="43">
        <f t="shared" si="346"/>
        <v>0</v>
      </c>
      <c r="KQ16" s="43">
        <f t="shared" si="346"/>
        <v>0</v>
      </c>
      <c r="KR16" s="43">
        <f t="shared" si="346"/>
        <v>0</v>
      </c>
      <c r="KS16" s="43">
        <f t="shared" si="346"/>
        <v>0</v>
      </c>
      <c r="KT16" s="43">
        <f t="shared" si="346"/>
        <v>0</v>
      </c>
      <c r="KU16" s="43">
        <f t="shared" si="346"/>
        <v>0</v>
      </c>
      <c r="KV16" s="43">
        <f t="shared" si="346"/>
        <v>0</v>
      </c>
      <c r="KW16" s="43">
        <f t="shared" si="346"/>
        <v>0</v>
      </c>
      <c r="KX16" s="43">
        <f t="shared" si="346"/>
        <v>0</v>
      </c>
      <c r="KY16" s="43">
        <f t="shared" si="346"/>
        <v>0</v>
      </c>
      <c r="KZ16" s="43">
        <f t="shared" si="346"/>
        <v>0</v>
      </c>
      <c r="LA16" s="43">
        <f t="shared" si="346"/>
        <v>0</v>
      </c>
      <c r="LB16" s="43">
        <f t="shared" si="346"/>
        <v>0</v>
      </c>
      <c r="LC16" s="43">
        <f t="shared" si="346"/>
        <v>0</v>
      </c>
      <c r="LD16" s="43">
        <f t="shared" si="346"/>
        <v>0</v>
      </c>
      <c r="LE16" s="43">
        <f t="shared" si="346"/>
        <v>0</v>
      </c>
      <c r="LF16" s="43">
        <f t="shared" si="346"/>
        <v>0</v>
      </c>
      <c r="LG16" s="43">
        <f t="shared" si="346"/>
        <v>0</v>
      </c>
      <c r="LH16" s="43">
        <f t="shared" si="346"/>
        <v>0</v>
      </c>
      <c r="LI16" s="43">
        <f t="shared" si="346"/>
        <v>0</v>
      </c>
      <c r="LJ16" s="43">
        <f t="shared" si="346"/>
        <v>0</v>
      </c>
      <c r="LK16" s="43">
        <f t="shared" si="346"/>
        <v>0</v>
      </c>
      <c r="LL16" s="43">
        <f t="shared" si="346"/>
        <v>0</v>
      </c>
      <c r="LM16" s="43">
        <f t="shared" si="346"/>
        <v>0</v>
      </c>
      <c r="LN16" s="43">
        <f t="shared" si="346"/>
        <v>0</v>
      </c>
      <c r="LO16" s="43">
        <f t="shared" ref="LO16:MB16" si="347">COUNTIF(LO19:LO274,"Start")</f>
        <v>0</v>
      </c>
      <c r="LP16" s="43">
        <f t="shared" si="347"/>
        <v>0</v>
      </c>
      <c r="LQ16" s="43">
        <f t="shared" si="347"/>
        <v>0</v>
      </c>
      <c r="LR16" s="43">
        <f t="shared" si="347"/>
        <v>0</v>
      </c>
      <c r="LS16" s="43">
        <f t="shared" si="347"/>
        <v>0</v>
      </c>
      <c r="LT16" s="43">
        <f t="shared" si="347"/>
        <v>0</v>
      </c>
      <c r="LU16" s="43">
        <f t="shared" si="347"/>
        <v>0</v>
      </c>
      <c r="LV16" s="43">
        <f t="shared" si="347"/>
        <v>0</v>
      </c>
      <c r="LW16" s="43">
        <f t="shared" si="347"/>
        <v>0</v>
      </c>
      <c r="LX16" s="43">
        <f t="shared" si="347"/>
        <v>0</v>
      </c>
      <c r="LY16" s="43">
        <f t="shared" si="347"/>
        <v>0</v>
      </c>
      <c r="LZ16" s="43">
        <f t="shared" si="347"/>
        <v>0</v>
      </c>
      <c r="MA16" s="43">
        <f t="shared" si="347"/>
        <v>0</v>
      </c>
      <c r="MB16" s="43">
        <f t="shared" si="347"/>
        <v>0</v>
      </c>
    </row>
    <row r="17" spans="1:341" s="32" customFormat="1" ht="15.75" thickBot="1">
      <c r="A17" s="194">
        <f>COUNTIF(A19:A132,"2")</f>
        <v>12</v>
      </c>
      <c r="B17" s="194"/>
      <c r="C17" s="193" t="s">
        <v>17</v>
      </c>
      <c r="D17" s="193"/>
      <c r="E17" s="193"/>
      <c r="F17" s="193"/>
      <c r="G17" s="43">
        <f t="shared" ref="G17:BR17" si="348">COUNTIF(G19:G274,"End")</f>
        <v>1</v>
      </c>
      <c r="H17" s="43">
        <f t="shared" si="348"/>
        <v>0</v>
      </c>
      <c r="I17" s="43">
        <f t="shared" si="348"/>
        <v>0</v>
      </c>
      <c r="J17" s="43">
        <f t="shared" si="348"/>
        <v>0</v>
      </c>
      <c r="K17" s="43">
        <f t="shared" si="348"/>
        <v>0</v>
      </c>
      <c r="L17" s="43">
        <f t="shared" si="348"/>
        <v>0</v>
      </c>
      <c r="M17" s="43">
        <f t="shared" si="348"/>
        <v>0</v>
      </c>
      <c r="N17" s="43">
        <f t="shared" si="348"/>
        <v>0</v>
      </c>
      <c r="O17" s="43">
        <f t="shared" si="348"/>
        <v>0</v>
      </c>
      <c r="P17" s="43">
        <f t="shared" si="348"/>
        <v>1</v>
      </c>
      <c r="Q17" s="43">
        <f t="shared" si="348"/>
        <v>1</v>
      </c>
      <c r="R17" s="43">
        <f t="shared" si="348"/>
        <v>0</v>
      </c>
      <c r="S17" s="43">
        <f t="shared" si="348"/>
        <v>0</v>
      </c>
      <c r="T17" s="43">
        <f t="shared" si="348"/>
        <v>0</v>
      </c>
      <c r="U17" s="43">
        <f t="shared" si="348"/>
        <v>1</v>
      </c>
      <c r="V17" s="43">
        <f t="shared" si="348"/>
        <v>0</v>
      </c>
      <c r="W17" s="43">
        <f t="shared" si="348"/>
        <v>0</v>
      </c>
      <c r="X17" s="43">
        <f t="shared" si="348"/>
        <v>0</v>
      </c>
      <c r="Y17" s="43">
        <f t="shared" si="348"/>
        <v>0</v>
      </c>
      <c r="Z17" s="43">
        <f t="shared" si="348"/>
        <v>1</v>
      </c>
      <c r="AA17" s="43">
        <f t="shared" si="348"/>
        <v>1</v>
      </c>
      <c r="AB17" s="43">
        <f t="shared" si="348"/>
        <v>0</v>
      </c>
      <c r="AC17" s="43">
        <f t="shared" si="348"/>
        <v>0</v>
      </c>
      <c r="AD17" s="43">
        <f t="shared" si="348"/>
        <v>1</v>
      </c>
      <c r="AE17" s="43">
        <f t="shared" si="348"/>
        <v>0</v>
      </c>
      <c r="AF17" s="43">
        <f t="shared" si="348"/>
        <v>0</v>
      </c>
      <c r="AG17" s="43">
        <f t="shared" si="348"/>
        <v>0</v>
      </c>
      <c r="AH17" s="43">
        <f t="shared" si="348"/>
        <v>0</v>
      </c>
      <c r="AI17" s="43">
        <f t="shared" si="348"/>
        <v>0</v>
      </c>
      <c r="AJ17" s="43">
        <f t="shared" si="348"/>
        <v>0</v>
      </c>
      <c r="AK17" s="43">
        <f t="shared" si="348"/>
        <v>1</v>
      </c>
      <c r="AL17" s="43">
        <f t="shared" si="348"/>
        <v>1</v>
      </c>
      <c r="AM17" s="43">
        <f t="shared" si="348"/>
        <v>0</v>
      </c>
      <c r="AN17" s="43">
        <f t="shared" si="348"/>
        <v>0</v>
      </c>
      <c r="AO17" s="43">
        <f t="shared" si="348"/>
        <v>0</v>
      </c>
      <c r="AP17" s="43">
        <f t="shared" si="348"/>
        <v>0</v>
      </c>
      <c r="AQ17" s="43">
        <f t="shared" si="348"/>
        <v>0</v>
      </c>
      <c r="AR17" s="43">
        <f t="shared" si="348"/>
        <v>1</v>
      </c>
      <c r="AS17" s="43">
        <f t="shared" si="348"/>
        <v>0</v>
      </c>
      <c r="AT17" s="43">
        <f t="shared" si="348"/>
        <v>0</v>
      </c>
      <c r="AU17" s="43">
        <f t="shared" si="348"/>
        <v>1</v>
      </c>
      <c r="AV17" s="43">
        <f t="shared" si="348"/>
        <v>0</v>
      </c>
      <c r="AW17" s="43">
        <f t="shared" si="348"/>
        <v>0</v>
      </c>
      <c r="AX17" s="43">
        <f t="shared" si="348"/>
        <v>0</v>
      </c>
      <c r="AY17" s="43">
        <f t="shared" si="348"/>
        <v>0</v>
      </c>
      <c r="AZ17" s="43">
        <f t="shared" si="348"/>
        <v>2</v>
      </c>
      <c r="BA17" s="43">
        <f t="shared" si="348"/>
        <v>0</v>
      </c>
      <c r="BB17" s="43">
        <f t="shared" si="348"/>
        <v>1</v>
      </c>
      <c r="BC17" s="43">
        <f t="shared" si="348"/>
        <v>1</v>
      </c>
      <c r="BD17" s="43">
        <f t="shared" si="348"/>
        <v>0</v>
      </c>
      <c r="BE17" s="43">
        <f t="shared" si="348"/>
        <v>0</v>
      </c>
      <c r="BF17" s="43">
        <f t="shared" si="348"/>
        <v>1</v>
      </c>
      <c r="BG17" s="43">
        <f t="shared" si="348"/>
        <v>1</v>
      </c>
      <c r="BH17" s="43">
        <f t="shared" si="348"/>
        <v>4</v>
      </c>
      <c r="BI17" s="43">
        <f t="shared" si="348"/>
        <v>0</v>
      </c>
      <c r="BJ17" s="43">
        <f t="shared" si="348"/>
        <v>1</v>
      </c>
      <c r="BK17" s="43">
        <f t="shared" si="348"/>
        <v>1</v>
      </c>
      <c r="BL17" s="43">
        <f t="shared" si="348"/>
        <v>1</v>
      </c>
      <c r="BM17" s="43">
        <f t="shared" si="348"/>
        <v>1</v>
      </c>
      <c r="BN17" s="43">
        <f t="shared" si="348"/>
        <v>0</v>
      </c>
      <c r="BO17" s="43">
        <f t="shared" si="348"/>
        <v>2</v>
      </c>
      <c r="BP17" s="43">
        <f t="shared" si="348"/>
        <v>2</v>
      </c>
      <c r="BQ17" s="43">
        <f t="shared" si="348"/>
        <v>10</v>
      </c>
      <c r="BR17" s="43">
        <f t="shared" si="348"/>
        <v>2</v>
      </c>
      <c r="BS17" s="43">
        <f t="shared" ref="BS17:ED17" si="349">COUNTIF(BS19:BS274,"End")</f>
        <v>2</v>
      </c>
      <c r="BT17" s="43">
        <f t="shared" si="349"/>
        <v>1</v>
      </c>
      <c r="BU17" s="43">
        <f t="shared" si="349"/>
        <v>2</v>
      </c>
      <c r="BV17" s="43">
        <f t="shared" si="349"/>
        <v>3</v>
      </c>
      <c r="BW17" s="43">
        <f t="shared" si="349"/>
        <v>2</v>
      </c>
      <c r="BX17" s="43">
        <f t="shared" si="349"/>
        <v>2</v>
      </c>
      <c r="BY17" s="43">
        <f t="shared" si="349"/>
        <v>2</v>
      </c>
      <c r="BZ17" s="43">
        <f t="shared" si="349"/>
        <v>3</v>
      </c>
      <c r="CA17" s="43">
        <f t="shared" si="349"/>
        <v>2</v>
      </c>
      <c r="CB17" s="43">
        <f t="shared" si="349"/>
        <v>1</v>
      </c>
      <c r="CC17" s="43">
        <f t="shared" si="349"/>
        <v>2</v>
      </c>
      <c r="CD17" s="43">
        <f t="shared" si="349"/>
        <v>2</v>
      </c>
      <c r="CE17" s="43">
        <f t="shared" si="349"/>
        <v>0</v>
      </c>
      <c r="CF17" s="43">
        <f t="shared" si="349"/>
        <v>0</v>
      </c>
      <c r="CG17" s="43">
        <f t="shared" si="349"/>
        <v>2</v>
      </c>
      <c r="CH17" s="43">
        <f t="shared" si="349"/>
        <v>0</v>
      </c>
      <c r="CI17" s="43">
        <f t="shared" si="349"/>
        <v>1</v>
      </c>
      <c r="CJ17" s="43">
        <f t="shared" si="349"/>
        <v>0</v>
      </c>
      <c r="CK17" s="43">
        <f t="shared" si="349"/>
        <v>1</v>
      </c>
      <c r="CL17" s="43">
        <f t="shared" si="349"/>
        <v>1</v>
      </c>
      <c r="CM17" s="43">
        <f t="shared" si="349"/>
        <v>1</v>
      </c>
      <c r="CN17" s="43">
        <f t="shared" si="349"/>
        <v>1</v>
      </c>
      <c r="CO17" s="43">
        <f t="shared" si="349"/>
        <v>1</v>
      </c>
      <c r="CP17" s="43">
        <f t="shared" si="349"/>
        <v>1</v>
      </c>
      <c r="CQ17" s="43">
        <f t="shared" si="349"/>
        <v>0</v>
      </c>
      <c r="CR17" s="43">
        <f t="shared" si="349"/>
        <v>1</v>
      </c>
      <c r="CS17" s="43">
        <f t="shared" si="349"/>
        <v>0</v>
      </c>
      <c r="CT17" s="43">
        <f t="shared" si="349"/>
        <v>1</v>
      </c>
      <c r="CU17" s="43">
        <f t="shared" si="349"/>
        <v>0</v>
      </c>
      <c r="CV17" s="43">
        <f t="shared" si="349"/>
        <v>0</v>
      </c>
      <c r="CW17" s="43">
        <f t="shared" si="349"/>
        <v>0</v>
      </c>
      <c r="CX17" s="43">
        <f t="shared" si="349"/>
        <v>1</v>
      </c>
      <c r="CY17" s="43">
        <f t="shared" si="349"/>
        <v>0</v>
      </c>
      <c r="CZ17" s="43">
        <f t="shared" si="349"/>
        <v>1</v>
      </c>
      <c r="DA17" s="43">
        <f t="shared" si="349"/>
        <v>1</v>
      </c>
      <c r="DB17" s="43">
        <f t="shared" si="349"/>
        <v>0</v>
      </c>
      <c r="DC17" s="43">
        <f t="shared" si="349"/>
        <v>0</v>
      </c>
      <c r="DD17" s="43">
        <f t="shared" si="349"/>
        <v>0</v>
      </c>
      <c r="DE17" s="43">
        <f t="shared" si="349"/>
        <v>1</v>
      </c>
      <c r="DF17" s="43">
        <f t="shared" si="349"/>
        <v>0</v>
      </c>
      <c r="DG17" s="43">
        <f t="shared" si="349"/>
        <v>0</v>
      </c>
      <c r="DH17" s="43">
        <f t="shared" si="349"/>
        <v>0</v>
      </c>
      <c r="DI17" s="43">
        <f t="shared" si="349"/>
        <v>1</v>
      </c>
      <c r="DJ17" s="43">
        <f t="shared" si="349"/>
        <v>0</v>
      </c>
      <c r="DK17" s="43">
        <f t="shared" si="349"/>
        <v>0</v>
      </c>
      <c r="DL17" s="43">
        <f t="shared" si="349"/>
        <v>1</v>
      </c>
      <c r="DM17" s="43">
        <f t="shared" si="349"/>
        <v>0</v>
      </c>
      <c r="DN17" s="43">
        <f t="shared" si="349"/>
        <v>0</v>
      </c>
      <c r="DO17" s="43">
        <f t="shared" si="349"/>
        <v>0</v>
      </c>
      <c r="DP17" s="43">
        <f t="shared" si="349"/>
        <v>0</v>
      </c>
      <c r="DQ17" s="43">
        <f t="shared" si="349"/>
        <v>1</v>
      </c>
      <c r="DR17" s="43">
        <f t="shared" si="349"/>
        <v>0</v>
      </c>
      <c r="DS17" s="43">
        <f t="shared" si="349"/>
        <v>0</v>
      </c>
      <c r="DT17" s="43">
        <f t="shared" si="349"/>
        <v>0</v>
      </c>
      <c r="DU17" s="43">
        <f t="shared" si="349"/>
        <v>0</v>
      </c>
      <c r="DV17" s="43">
        <f t="shared" si="349"/>
        <v>0</v>
      </c>
      <c r="DW17" s="43">
        <f t="shared" si="349"/>
        <v>0</v>
      </c>
      <c r="DX17" s="43">
        <f t="shared" si="349"/>
        <v>0</v>
      </c>
      <c r="DY17" s="43">
        <f t="shared" si="349"/>
        <v>0</v>
      </c>
      <c r="DZ17" s="43">
        <f t="shared" si="349"/>
        <v>0</v>
      </c>
      <c r="EA17" s="43">
        <f t="shared" si="349"/>
        <v>0</v>
      </c>
      <c r="EB17" s="43">
        <f t="shared" si="349"/>
        <v>1</v>
      </c>
      <c r="EC17" s="43">
        <f t="shared" si="349"/>
        <v>0</v>
      </c>
      <c r="ED17" s="43">
        <f t="shared" si="349"/>
        <v>0</v>
      </c>
      <c r="EE17" s="43">
        <f t="shared" ref="EE17:GP17" si="350">COUNTIF(EE19:EE274,"End")</f>
        <v>0</v>
      </c>
      <c r="EF17" s="43">
        <f t="shared" si="350"/>
        <v>1</v>
      </c>
      <c r="EG17" s="43">
        <f t="shared" si="350"/>
        <v>0</v>
      </c>
      <c r="EH17" s="43">
        <f t="shared" si="350"/>
        <v>0</v>
      </c>
      <c r="EI17" s="43">
        <f t="shared" si="350"/>
        <v>0</v>
      </c>
      <c r="EJ17" s="43">
        <f t="shared" si="350"/>
        <v>1</v>
      </c>
      <c r="EK17" s="43">
        <f t="shared" si="350"/>
        <v>0</v>
      </c>
      <c r="EL17" s="43">
        <f t="shared" si="350"/>
        <v>0</v>
      </c>
      <c r="EM17" s="43">
        <f t="shared" si="350"/>
        <v>0</v>
      </c>
      <c r="EN17" s="43">
        <f t="shared" si="350"/>
        <v>0</v>
      </c>
      <c r="EO17" s="43">
        <f t="shared" si="350"/>
        <v>0</v>
      </c>
      <c r="EP17" s="43">
        <f t="shared" si="350"/>
        <v>0</v>
      </c>
      <c r="EQ17" s="43">
        <f t="shared" si="350"/>
        <v>0</v>
      </c>
      <c r="ER17" s="43">
        <f t="shared" si="350"/>
        <v>0</v>
      </c>
      <c r="ES17" s="43">
        <f t="shared" si="350"/>
        <v>0</v>
      </c>
      <c r="ET17" s="43">
        <f t="shared" si="350"/>
        <v>0</v>
      </c>
      <c r="EU17" s="43">
        <f t="shared" si="350"/>
        <v>0</v>
      </c>
      <c r="EV17" s="43">
        <f t="shared" si="350"/>
        <v>0</v>
      </c>
      <c r="EW17" s="43">
        <f t="shared" si="350"/>
        <v>0</v>
      </c>
      <c r="EX17" s="43">
        <f t="shared" si="350"/>
        <v>0</v>
      </c>
      <c r="EY17" s="43">
        <f t="shared" si="350"/>
        <v>1</v>
      </c>
      <c r="EZ17" s="43">
        <f t="shared" si="350"/>
        <v>0</v>
      </c>
      <c r="FA17" s="43">
        <f t="shared" si="350"/>
        <v>0</v>
      </c>
      <c r="FB17" s="43">
        <f t="shared" si="350"/>
        <v>1</v>
      </c>
      <c r="FC17" s="43">
        <f t="shared" si="350"/>
        <v>1</v>
      </c>
      <c r="FD17" s="43">
        <f t="shared" si="350"/>
        <v>1</v>
      </c>
      <c r="FE17" s="43">
        <f t="shared" si="350"/>
        <v>0</v>
      </c>
      <c r="FF17" s="43">
        <f t="shared" si="350"/>
        <v>0</v>
      </c>
      <c r="FG17" s="43">
        <f t="shared" si="350"/>
        <v>0</v>
      </c>
      <c r="FH17" s="43">
        <f t="shared" si="350"/>
        <v>0</v>
      </c>
      <c r="FI17" s="43">
        <f t="shared" si="350"/>
        <v>0</v>
      </c>
      <c r="FJ17" s="43">
        <f t="shared" si="350"/>
        <v>0</v>
      </c>
      <c r="FK17" s="43">
        <f t="shared" si="350"/>
        <v>0</v>
      </c>
      <c r="FL17" s="43">
        <f t="shared" si="350"/>
        <v>0</v>
      </c>
      <c r="FM17" s="43">
        <f t="shared" si="350"/>
        <v>0</v>
      </c>
      <c r="FN17" s="43">
        <f t="shared" si="350"/>
        <v>0</v>
      </c>
      <c r="FO17" s="43">
        <f t="shared" si="350"/>
        <v>0</v>
      </c>
      <c r="FP17" s="43">
        <f t="shared" si="350"/>
        <v>0</v>
      </c>
      <c r="FQ17" s="43">
        <f t="shared" si="350"/>
        <v>2</v>
      </c>
      <c r="FR17" s="43">
        <f t="shared" si="350"/>
        <v>0</v>
      </c>
      <c r="FS17" s="43">
        <f t="shared" si="350"/>
        <v>1</v>
      </c>
      <c r="FT17" s="43">
        <f t="shared" si="350"/>
        <v>0</v>
      </c>
      <c r="FU17" s="43">
        <f t="shared" si="350"/>
        <v>0</v>
      </c>
      <c r="FV17" s="43">
        <f t="shared" si="350"/>
        <v>0</v>
      </c>
      <c r="FW17" s="43">
        <f t="shared" si="350"/>
        <v>0</v>
      </c>
      <c r="FX17" s="43">
        <f t="shared" si="350"/>
        <v>0</v>
      </c>
      <c r="FY17" s="43">
        <f t="shared" si="350"/>
        <v>1</v>
      </c>
      <c r="FZ17" s="43">
        <f t="shared" si="350"/>
        <v>0</v>
      </c>
      <c r="GA17" s="43">
        <f t="shared" si="350"/>
        <v>0</v>
      </c>
      <c r="GB17" s="43">
        <f t="shared" si="350"/>
        <v>1</v>
      </c>
      <c r="GC17" s="43">
        <f t="shared" si="350"/>
        <v>0</v>
      </c>
      <c r="GD17" s="43">
        <f t="shared" si="350"/>
        <v>0</v>
      </c>
      <c r="GE17" s="43">
        <f t="shared" si="350"/>
        <v>1</v>
      </c>
      <c r="GF17" s="43">
        <f t="shared" si="350"/>
        <v>0</v>
      </c>
      <c r="GG17" s="43">
        <f t="shared" si="350"/>
        <v>0</v>
      </c>
      <c r="GH17" s="43">
        <f t="shared" si="350"/>
        <v>0</v>
      </c>
      <c r="GI17" s="43">
        <f t="shared" si="350"/>
        <v>0</v>
      </c>
      <c r="GJ17" s="43">
        <f t="shared" si="350"/>
        <v>0</v>
      </c>
      <c r="GK17" s="43">
        <f t="shared" si="350"/>
        <v>0</v>
      </c>
      <c r="GL17" s="43">
        <f t="shared" si="350"/>
        <v>0</v>
      </c>
      <c r="GM17" s="43">
        <f t="shared" si="350"/>
        <v>0</v>
      </c>
      <c r="GN17" s="43">
        <f t="shared" si="350"/>
        <v>0</v>
      </c>
      <c r="GO17" s="43">
        <f t="shared" si="350"/>
        <v>1</v>
      </c>
      <c r="GP17" s="43">
        <f t="shared" si="350"/>
        <v>0</v>
      </c>
      <c r="GQ17" s="43">
        <f t="shared" ref="GQ17:JB17" si="351">COUNTIF(GQ19:GQ274,"End")</f>
        <v>0</v>
      </c>
      <c r="GR17" s="43">
        <f t="shared" si="351"/>
        <v>0</v>
      </c>
      <c r="GS17" s="43">
        <f t="shared" si="351"/>
        <v>0</v>
      </c>
      <c r="GT17" s="43">
        <f t="shared" si="351"/>
        <v>0</v>
      </c>
      <c r="GU17" s="43">
        <f t="shared" si="351"/>
        <v>0</v>
      </c>
      <c r="GV17" s="43">
        <f t="shared" si="351"/>
        <v>1</v>
      </c>
      <c r="GW17" s="43">
        <f t="shared" si="351"/>
        <v>0</v>
      </c>
      <c r="GX17" s="43">
        <f t="shared" si="351"/>
        <v>1</v>
      </c>
      <c r="GY17" s="43">
        <f t="shared" si="351"/>
        <v>0</v>
      </c>
      <c r="GZ17" s="43">
        <f t="shared" si="351"/>
        <v>0</v>
      </c>
      <c r="HA17" s="43">
        <f t="shared" si="351"/>
        <v>0</v>
      </c>
      <c r="HB17" s="43">
        <f t="shared" si="351"/>
        <v>0</v>
      </c>
      <c r="HC17" s="43">
        <f t="shared" si="351"/>
        <v>0</v>
      </c>
      <c r="HD17" s="43">
        <f t="shared" si="351"/>
        <v>0</v>
      </c>
      <c r="HE17" s="43">
        <f t="shared" si="351"/>
        <v>1</v>
      </c>
      <c r="HF17" s="43">
        <f t="shared" si="351"/>
        <v>0</v>
      </c>
      <c r="HG17" s="43">
        <f t="shared" si="351"/>
        <v>0</v>
      </c>
      <c r="HH17" s="43">
        <f t="shared" si="351"/>
        <v>0</v>
      </c>
      <c r="HI17" s="43">
        <f t="shared" si="351"/>
        <v>0</v>
      </c>
      <c r="HJ17" s="43">
        <f t="shared" si="351"/>
        <v>0</v>
      </c>
      <c r="HK17" s="43">
        <f t="shared" si="351"/>
        <v>0</v>
      </c>
      <c r="HL17" s="43">
        <f t="shared" si="351"/>
        <v>0</v>
      </c>
      <c r="HM17" s="43">
        <f t="shared" si="351"/>
        <v>1</v>
      </c>
      <c r="HN17" s="43">
        <f t="shared" si="351"/>
        <v>0</v>
      </c>
      <c r="HO17" s="43">
        <f t="shared" si="351"/>
        <v>1</v>
      </c>
      <c r="HP17" s="43">
        <f t="shared" si="351"/>
        <v>1</v>
      </c>
      <c r="HQ17" s="43">
        <f t="shared" si="351"/>
        <v>0</v>
      </c>
      <c r="HR17" s="43">
        <f t="shared" si="351"/>
        <v>2</v>
      </c>
      <c r="HS17" s="43">
        <f t="shared" si="351"/>
        <v>1</v>
      </c>
      <c r="HT17" s="43">
        <f t="shared" si="351"/>
        <v>0</v>
      </c>
      <c r="HU17" s="43">
        <f t="shared" si="351"/>
        <v>0</v>
      </c>
      <c r="HV17" s="43">
        <f t="shared" si="351"/>
        <v>0</v>
      </c>
      <c r="HW17" s="43">
        <f t="shared" si="351"/>
        <v>1</v>
      </c>
      <c r="HX17" s="43">
        <f t="shared" si="351"/>
        <v>0</v>
      </c>
      <c r="HY17" s="43">
        <f t="shared" si="351"/>
        <v>0</v>
      </c>
      <c r="HZ17" s="43">
        <f t="shared" si="351"/>
        <v>0</v>
      </c>
      <c r="IA17" s="43">
        <f t="shared" si="351"/>
        <v>0</v>
      </c>
      <c r="IB17" s="43">
        <f t="shared" si="351"/>
        <v>0</v>
      </c>
      <c r="IC17" s="43">
        <f t="shared" si="351"/>
        <v>0</v>
      </c>
      <c r="ID17" s="43">
        <f t="shared" si="351"/>
        <v>0</v>
      </c>
      <c r="IE17" s="43">
        <f t="shared" si="351"/>
        <v>1</v>
      </c>
      <c r="IF17" s="43">
        <f t="shared" si="351"/>
        <v>1</v>
      </c>
      <c r="IG17" s="43">
        <f t="shared" si="351"/>
        <v>0</v>
      </c>
      <c r="IH17" s="43">
        <f t="shared" si="351"/>
        <v>0</v>
      </c>
      <c r="II17" s="43">
        <f t="shared" si="351"/>
        <v>0</v>
      </c>
      <c r="IJ17" s="43">
        <f t="shared" si="351"/>
        <v>0</v>
      </c>
      <c r="IK17" s="43">
        <f t="shared" si="351"/>
        <v>0</v>
      </c>
      <c r="IL17" s="43">
        <f t="shared" si="351"/>
        <v>0</v>
      </c>
      <c r="IM17" s="43">
        <f t="shared" si="351"/>
        <v>0</v>
      </c>
      <c r="IN17" s="43">
        <f t="shared" si="351"/>
        <v>0</v>
      </c>
      <c r="IO17" s="43">
        <f t="shared" si="351"/>
        <v>0</v>
      </c>
      <c r="IP17" s="43">
        <f t="shared" si="351"/>
        <v>1</v>
      </c>
      <c r="IQ17" s="43">
        <f t="shared" si="351"/>
        <v>0</v>
      </c>
      <c r="IR17" s="43">
        <f t="shared" si="351"/>
        <v>0</v>
      </c>
      <c r="IS17" s="43">
        <f t="shared" si="351"/>
        <v>1</v>
      </c>
      <c r="IT17" s="43">
        <f t="shared" si="351"/>
        <v>0</v>
      </c>
      <c r="IU17" s="43">
        <f t="shared" si="351"/>
        <v>1</v>
      </c>
      <c r="IV17" s="43">
        <f t="shared" si="351"/>
        <v>0</v>
      </c>
      <c r="IW17" s="43">
        <f t="shared" si="351"/>
        <v>0</v>
      </c>
      <c r="IX17" s="43">
        <f t="shared" si="351"/>
        <v>0</v>
      </c>
      <c r="IY17" s="43">
        <f t="shared" si="351"/>
        <v>0</v>
      </c>
      <c r="IZ17" s="43">
        <f t="shared" si="351"/>
        <v>1</v>
      </c>
      <c r="JA17" s="43">
        <f t="shared" si="351"/>
        <v>0</v>
      </c>
      <c r="JB17" s="43">
        <f t="shared" si="351"/>
        <v>0</v>
      </c>
      <c r="JC17" s="43">
        <f t="shared" ref="JC17:KX17" si="352">COUNTIF(JC19:JC274,"End")</f>
        <v>0</v>
      </c>
      <c r="JD17" s="43">
        <f t="shared" si="352"/>
        <v>1</v>
      </c>
      <c r="JE17" s="43">
        <f t="shared" si="352"/>
        <v>1</v>
      </c>
      <c r="JF17" s="43">
        <f t="shared" si="352"/>
        <v>1</v>
      </c>
      <c r="JG17" s="43">
        <f t="shared" si="352"/>
        <v>0</v>
      </c>
      <c r="JH17" s="43">
        <f t="shared" si="352"/>
        <v>0</v>
      </c>
      <c r="JI17" s="43">
        <f t="shared" si="352"/>
        <v>0</v>
      </c>
      <c r="JJ17" s="43">
        <f t="shared" si="352"/>
        <v>1</v>
      </c>
      <c r="JK17" s="43">
        <f t="shared" si="352"/>
        <v>0</v>
      </c>
      <c r="JL17" s="43">
        <f t="shared" si="352"/>
        <v>0</v>
      </c>
      <c r="JM17" s="43">
        <f t="shared" si="352"/>
        <v>0</v>
      </c>
      <c r="JN17" s="43">
        <f t="shared" si="352"/>
        <v>1</v>
      </c>
      <c r="JO17" s="43">
        <f t="shared" si="352"/>
        <v>1</v>
      </c>
      <c r="JP17" s="43">
        <f t="shared" si="352"/>
        <v>0</v>
      </c>
      <c r="JQ17" s="43">
        <f t="shared" si="352"/>
        <v>0</v>
      </c>
      <c r="JR17" s="43">
        <f t="shared" si="352"/>
        <v>1</v>
      </c>
      <c r="JS17" s="43">
        <f t="shared" si="352"/>
        <v>3</v>
      </c>
      <c r="JT17" s="43">
        <f t="shared" si="352"/>
        <v>0</v>
      </c>
      <c r="JU17" s="43">
        <f t="shared" si="352"/>
        <v>0</v>
      </c>
      <c r="JV17" s="43">
        <f t="shared" si="352"/>
        <v>2</v>
      </c>
      <c r="JW17" s="43">
        <f t="shared" si="352"/>
        <v>0</v>
      </c>
      <c r="JX17" s="43">
        <f t="shared" si="352"/>
        <v>1</v>
      </c>
      <c r="JY17" s="43">
        <f t="shared" si="352"/>
        <v>1</v>
      </c>
      <c r="JZ17" s="43">
        <f t="shared" si="352"/>
        <v>0</v>
      </c>
      <c r="KA17" s="43">
        <f t="shared" si="352"/>
        <v>0</v>
      </c>
      <c r="KB17" s="43">
        <f t="shared" si="352"/>
        <v>0</v>
      </c>
      <c r="KC17" s="43">
        <f t="shared" si="352"/>
        <v>0</v>
      </c>
      <c r="KD17" s="43">
        <f t="shared" si="352"/>
        <v>2</v>
      </c>
      <c r="KE17" s="43">
        <f t="shared" si="352"/>
        <v>0</v>
      </c>
      <c r="KF17" s="43">
        <f t="shared" si="352"/>
        <v>1</v>
      </c>
      <c r="KG17" s="43">
        <f t="shared" si="352"/>
        <v>0</v>
      </c>
      <c r="KH17" s="43">
        <f t="shared" si="352"/>
        <v>0</v>
      </c>
      <c r="KI17" s="43">
        <f t="shared" si="352"/>
        <v>0</v>
      </c>
      <c r="KJ17" s="43">
        <f t="shared" si="352"/>
        <v>0</v>
      </c>
      <c r="KK17" s="43">
        <f t="shared" si="352"/>
        <v>0</v>
      </c>
      <c r="KL17" s="43">
        <f t="shared" si="352"/>
        <v>0</v>
      </c>
      <c r="KM17" s="43">
        <f t="shared" si="352"/>
        <v>0</v>
      </c>
      <c r="KN17" s="43">
        <f t="shared" si="352"/>
        <v>0</v>
      </c>
      <c r="KO17" s="43">
        <f t="shared" si="352"/>
        <v>2</v>
      </c>
      <c r="KP17" s="43">
        <f t="shared" si="352"/>
        <v>0</v>
      </c>
      <c r="KQ17" s="43">
        <f t="shared" si="352"/>
        <v>0</v>
      </c>
      <c r="KR17" s="43">
        <f t="shared" si="352"/>
        <v>0</v>
      </c>
      <c r="KS17" s="43">
        <f t="shared" si="352"/>
        <v>0</v>
      </c>
      <c r="KT17" s="43">
        <f t="shared" si="352"/>
        <v>1</v>
      </c>
      <c r="KU17" s="43">
        <f t="shared" si="352"/>
        <v>0</v>
      </c>
      <c r="KV17" s="43">
        <f t="shared" si="352"/>
        <v>1</v>
      </c>
      <c r="KW17" s="43">
        <f t="shared" si="352"/>
        <v>0</v>
      </c>
      <c r="KX17" s="43">
        <f t="shared" si="352"/>
        <v>2</v>
      </c>
      <c r="KY17" s="43">
        <f t="shared" ref="KY17:LZ17" si="353">COUNTIF(KY19:KY274,"End")</f>
        <v>0</v>
      </c>
      <c r="KZ17" s="43">
        <f t="shared" si="353"/>
        <v>0</v>
      </c>
      <c r="LA17" s="43">
        <f t="shared" si="353"/>
        <v>0</v>
      </c>
      <c r="LB17" s="43">
        <f t="shared" si="353"/>
        <v>0</v>
      </c>
      <c r="LC17" s="43">
        <f t="shared" si="353"/>
        <v>0</v>
      </c>
      <c r="LD17" s="43">
        <f t="shared" si="353"/>
        <v>0</v>
      </c>
      <c r="LE17" s="43">
        <f t="shared" si="353"/>
        <v>1</v>
      </c>
      <c r="LF17" s="43">
        <f t="shared" si="353"/>
        <v>0</v>
      </c>
      <c r="LG17" s="43">
        <f t="shared" si="353"/>
        <v>0</v>
      </c>
      <c r="LH17" s="43">
        <f t="shared" si="353"/>
        <v>0</v>
      </c>
      <c r="LI17" s="43">
        <f t="shared" si="353"/>
        <v>0</v>
      </c>
      <c r="LJ17" s="43">
        <f t="shared" si="353"/>
        <v>0</v>
      </c>
      <c r="LK17" s="43">
        <f t="shared" si="353"/>
        <v>0</v>
      </c>
      <c r="LL17" s="43">
        <f t="shared" si="353"/>
        <v>0</v>
      </c>
      <c r="LM17" s="43">
        <f t="shared" si="353"/>
        <v>0</v>
      </c>
      <c r="LN17" s="43">
        <f t="shared" si="353"/>
        <v>0</v>
      </c>
      <c r="LO17" s="43">
        <f t="shared" si="353"/>
        <v>0</v>
      </c>
      <c r="LP17" s="43">
        <f t="shared" si="353"/>
        <v>0</v>
      </c>
      <c r="LQ17" s="43">
        <f t="shared" si="353"/>
        <v>1</v>
      </c>
      <c r="LR17" s="43">
        <f t="shared" si="353"/>
        <v>0</v>
      </c>
      <c r="LS17" s="43">
        <f t="shared" si="353"/>
        <v>0</v>
      </c>
      <c r="LT17" s="43">
        <f t="shared" si="353"/>
        <v>0</v>
      </c>
      <c r="LU17" s="43">
        <f t="shared" si="353"/>
        <v>0</v>
      </c>
      <c r="LV17" s="43">
        <f t="shared" si="353"/>
        <v>0</v>
      </c>
      <c r="LW17" s="43">
        <f t="shared" si="353"/>
        <v>0</v>
      </c>
      <c r="LX17" s="43">
        <f t="shared" si="353"/>
        <v>1</v>
      </c>
      <c r="LY17" s="43">
        <f t="shared" si="353"/>
        <v>0</v>
      </c>
      <c r="LZ17" s="43">
        <f t="shared" si="353"/>
        <v>0</v>
      </c>
      <c r="MA17" s="43">
        <f>COUNTIF(MA19:MA274,"End")</f>
        <v>0</v>
      </c>
      <c r="MB17" s="43">
        <f>COUNTIF(MB19:MB274,"End")</f>
        <v>0</v>
      </c>
    </row>
    <row r="18" spans="1:341" s="32" customFormat="1" ht="25.5" thickTop="1" thickBot="1">
      <c r="A18" s="198" t="s">
        <v>18</v>
      </c>
      <c r="B18" s="198"/>
      <c r="C18" s="198"/>
      <c r="D18" s="198"/>
      <c r="E18" s="198"/>
      <c r="F18" s="112" t="s">
        <v>19</v>
      </c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3"/>
      <c r="CF18" s="113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3"/>
      <c r="DT18" s="113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3"/>
      <c r="FH18" s="113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3"/>
      <c r="GV18" s="113"/>
      <c r="GW18" s="113"/>
      <c r="GX18" s="113"/>
      <c r="GY18" s="113"/>
      <c r="GZ18" s="113"/>
      <c r="HA18" s="113"/>
      <c r="HB18" s="113"/>
      <c r="HC18" s="113"/>
      <c r="HD18" s="113"/>
      <c r="HE18" s="113"/>
      <c r="HF18" s="113"/>
      <c r="HG18" s="113"/>
      <c r="HH18" s="113"/>
      <c r="HI18" s="113"/>
      <c r="HJ18" s="113"/>
      <c r="HK18" s="113"/>
      <c r="HL18" s="113"/>
      <c r="HM18" s="113"/>
      <c r="HN18" s="113"/>
      <c r="HO18" s="113"/>
      <c r="HP18" s="113"/>
      <c r="HQ18" s="113"/>
      <c r="HR18" s="113"/>
      <c r="HS18" s="113"/>
      <c r="HT18" s="113"/>
      <c r="HU18" s="113"/>
      <c r="HV18" s="113"/>
      <c r="HW18" s="113"/>
      <c r="HX18" s="113"/>
      <c r="HY18" s="113"/>
      <c r="HZ18" s="113"/>
      <c r="IA18" s="113"/>
      <c r="IB18" s="113"/>
      <c r="IC18" s="113"/>
      <c r="ID18" s="113"/>
      <c r="IE18" s="113"/>
      <c r="IF18" s="113"/>
      <c r="IG18" s="113"/>
      <c r="IH18" s="113"/>
      <c r="II18" s="113"/>
      <c r="IJ18" s="113"/>
      <c r="IK18" s="113"/>
      <c r="IL18" s="113"/>
      <c r="IM18" s="113"/>
      <c r="IN18" s="113"/>
      <c r="IO18" s="113"/>
      <c r="IP18" s="113"/>
      <c r="IQ18" s="113"/>
      <c r="IR18" s="113"/>
      <c r="IS18" s="113"/>
      <c r="IT18" s="113"/>
      <c r="IU18" s="113"/>
      <c r="IV18" s="113"/>
      <c r="IW18" s="113"/>
      <c r="IX18" s="113"/>
      <c r="IY18" s="113"/>
      <c r="IZ18" s="113"/>
      <c r="JA18" s="113"/>
      <c r="JB18" s="113"/>
      <c r="JC18" s="113"/>
      <c r="JD18" s="113"/>
      <c r="JE18" s="113"/>
      <c r="JF18" s="113"/>
      <c r="JG18" s="113"/>
      <c r="JH18" s="113"/>
      <c r="JI18" s="113"/>
      <c r="JJ18" s="113"/>
      <c r="JK18" s="113"/>
      <c r="JL18" s="113"/>
      <c r="JM18" s="113"/>
      <c r="JN18" s="113"/>
      <c r="JO18" s="113"/>
      <c r="JP18" s="113"/>
      <c r="JQ18" s="113"/>
      <c r="JR18" s="113"/>
      <c r="JS18" s="113"/>
      <c r="JT18" s="113"/>
      <c r="JU18" s="113"/>
      <c r="JV18" s="113"/>
      <c r="JW18" s="113"/>
      <c r="JX18" s="113"/>
      <c r="JY18" s="113"/>
      <c r="JZ18" s="113"/>
      <c r="KA18" s="113"/>
      <c r="KB18" s="113"/>
      <c r="KC18" s="113"/>
      <c r="KD18" s="113"/>
      <c r="KE18" s="113"/>
      <c r="KF18" s="113"/>
      <c r="KG18" s="113"/>
      <c r="KH18" s="113"/>
      <c r="KI18" s="113"/>
      <c r="KJ18" s="113"/>
      <c r="KK18" s="113"/>
      <c r="KL18" s="113"/>
      <c r="KM18" s="113"/>
      <c r="KN18" s="113"/>
      <c r="KO18" s="113"/>
      <c r="KP18" s="113"/>
      <c r="KQ18" s="113"/>
      <c r="KR18" s="113"/>
      <c r="KS18" s="113"/>
      <c r="KT18" s="113"/>
      <c r="KU18" s="113"/>
      <c r="KV18" s="113"/>
      <c r="KW18" s="113"/>
      <c r="KX18" s="113"/>
      <c r="KY18" s="113"/>
      <c r="KZ18" s="113"/>
      <c r="LA18" s="113"/>
      <c r="LB18" s="113"/>
      <c r="LC18" s="113"/>
      <c r="LD18" s="113"/>
      <c r="LE18" s="113"/>
      <c r="LF18" s="113"/>
      <c r="LG18" s="113"/>
      <c r="LH18" s="113"/>
      <c r="LI18" s="113"/>
      <c r="LJ18" s="113"/>
      <c r="LK18" s="113"/>
      <c r="LL18" s="113"/>
      <c r="LM18" s="113"/>
      <c r="LN18" s="113"/>
      <c r="LO18" s="113"/>
      <c r="LP18" s="113"/>
      <c r="LQ18" s="113"/>
      <c r="LR18" s="113"/>
      <c r="LS18" s="113"/>
      <c r="LT18" s="113"/>
      <c r="LU18" s="113"/>
      <c r="LV18" s="113"/>
      <c r="LW18" s="113"/>
      <c r="LX18" s="113"/>
      <c r="LY18" s="113"/>
      <c r="LZ18" s="113"/>
      <c r="MA18" s="113"/>
      <c r="MB18" s="113"/>
    </row>
    <row r="19" spans="1:341" s="50" customFormat="1" ht="31.5" customHeight="1" thickBot="1">
      <c r="A19" s="44">
        <v>1</v>
      </c>
      <c r="B19" s="107" t="s">
        <v>20</v>
      </c>
      <c r="C19" s="46" t="s">
        <v>21</v>
      </c>
      <c r="D19" s="105" t="s">
        <v>22</v>
      </c>
      <c r="E19" s="117" t="s">
        <v>23</v>
      </c>
      <c r="F19" s="106" t="s">
        <v>24</v>
      </c>
      <c r="G19" s="145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  <c r="BK19" s="131"/>
      <c r="BL19" s="131"/>
      <c r="BM19" s="131"/>
      <c r="BN19" s="131"/>
      <c r="BO19" s="131"/>
      <c r="BP19" s="131"/>
      <c r="BQ19" s="131"/>
      <c r="BR19" s="131"/>
      <c r="BS19" s="131"/>
      <c r="BT19" s="131"/>
      <c r="BU19" s="131"/>
      <c r="BV19" s="131"/>
      <c r="BW19" s="131"/>
      <c r="BX19" s="131"/>
      <c r="BY19" s="131"/>
      <c r="BZ19" s="131"/>
      <c r="CA19" s="131"/>
      <c r="CB19" s="131"/>
      <c r="CC19" s="131"/>
      <c r="CD19" s="131"/>
      <c r="CE19" s="131"/>
      <c r="CF19" s="131"/>
      <c r="CG19" s="131"/>
      <c r="CH19" s="131"/>
      <c r="CI19" s="131"/>
      <c r="CJ19" s="131"/>
      <c r="CK19" s="131"/>
      <c r="CL19" s="131"/>
      <c r="CM19" s="131"/>
      <c r="CN19" s="131"/>
      <c r="CO19" s="131"/>
      <c r="CP19" s="131"/>
      <c r="CQ19" s="131"/>
      <c r="CR19" s="131"/>
      <c r="CS19" s="131"/>
      <c r="CT19" s="131"/>
      <c r="CU19" s="131"/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1"/>
      <c r="DK19" s="131"/>
      <c r="DL19" s="131"/>
      <c r="DM19" s="131"/>
      <c r="DN19" s="131"/>
      <c r="DO19" s="131"/>
      <c r="DP19" s="131"/>
      <c r="DQ19" s="131"/>
      <c r="DR19" s="131"/>
      <c r="DS19" s="131"/>
      <c r="DT19" s="131"/>
      <c r="DU19" s="131"/>
      <c r="DV19" s="131"/>
      <c r="DW19" s="131"/>
      <c r="DX19" s="131"/>
      <c r="DY19" s="131"/>
      <c r="DZ19" s="131"/>
      <c r="EA19" s="131"/>
      <c r="EB19" s="131"/>
      <c r="EC19" s="131"/>
      <c r="ED19" s="131"/>
      <c r="EE19" s="131"/>
      <c r="EF19" s="131"/>
      <c r="EG19" s="131"/>
      <c r="EH19" s="131"/>
      <c r="EI19" s="131"/>
      <c r="EJ19" s="131"/>
      <c r="EK19" s="131"/>
      <c r="EL19" s="131"/>
      <c r="EM19" s="131"/>
      <c r="EN19" s="131"/>
      <c r="EO19" s="131"/>
      <c r="EP19" s="131"/>
      <c r="EQ19" s="131"/>
      <c r="ER19" s="131"/>
      <c r="ES19" s="131"/>
      <c r="ET19" s="131"/>
      <c r="EU19" s="131"/>
      <c r="EV19" s="131"/>
      <c r="EW19" s="131"/>
      <c r="EX19" s="131"/>
      <c r="EY19" s="131"/>
      <c r="EZ19" s="131"/>
      <c r="FA19" s="131"/>
      <c r="FB19" s="131"/>
      <c r="FC19" s="131" t="s">
        <v>25</v>
      </c>
      <c r="FD19" s="93"/>
      <c r="FE19" s="131" t="s">
        <v>26</v>
      </c>
      <c r="FF19" s="93"/>
      <c r="FG19" s="93"/>
      <c r="FH19" s="93"/>
      <c r="FI19" s="93"/>
      <c r="FJ19" s="93"/>
      <c r="FK19" s="93"/>
      <c r="FL19" s="93"/>
      <c r="FM19" s="93"/>
      <c r="FN19" s="93"/>
      <c r="FO19" s="93" t="s">
        <v>27</v>
      </c>
      <c r="FP19" s="93"/>
      <c r="FQ19" s="93" t="s">
        <v>26</v>
      </c>
      <c r="FR19" s="93"/>
      <c r="FS19" s="93"/>
      <c r="FT19" s="93"/>
      <c r="FU19" s="94"/>
      <c r="FV19" s="94"/>
      <c r="FW19" s="94"/>
      <c r="FX19" s="94"/>
      <c r="FY19" s="94"/>
      <c r="FZ19" s="94"/>
      <c r="GA19" s="94"/>
      <c r="GB19" s="93" t="s">
        <v>27</v>
      </c>
      <c r="GC19" s="93"/>
      <c r="GD19" s="93" t="s">
        <v>26</v>
      </c>
      <c r="GE19" s="93"/>
      <c r="GF19" s="93"/>
      <c r="GG19" s="93"/>
      <c r="GH19" s="93"/>
      <c r="GI19" s="94"/>
      <c r="GJ19" s="94"/>
      <c r="GK19" s="94"/>
      <c r="GL19" s="94"/>
      <c r="GM19" s="94"/>
      <c r="GN19" s="94"/>
      <c r="GO19" s="94" t="s">
        <v>27</v>
      </c>
      <c r="GP19" s="94"/>
      <c r="GQ19" s="93" t="s">
        <v>26</v>
      </c>
      <c r="GR19" s="93"/>
      <c r="GS19" s="93"/>
      <c r="GT19" s="93"/>
      <c r="GU19" s="93"/>
      <c r="GV19" s="93"/>
      <c r="GW19" s="94"/>
      <c r="GX19" s="94"/>
      <c r="GY19" s="94"/>
      <c r="GZ19" s="94" t="s">
        <v>27</v>
      </c>
      <c r="HA19" s="93" t="s">
        <v>26</v>
      </c>
      <c r="HB19" s="93"/>
      <c r="HC19" s="93"/>
      <c r="HD19" s="93"/>
      <c r="HE19" s="93"/>
      <c r="HF19" s="93"/>
      <c r="HG19" s="94"/>
      <c r="HH19" s="94"/>
      <c r="HI19" s="94" t="s">
        <v>27</v>
      </c>
      <c r="HJ19" s="94"/>
      <c r="HK19" s="94" t="s">
        <v>26</v>
      </c>
      <c r="HL19" s="93"/>
      <c r="HM19" s="93"/>
      <c r="HN19" s="93"/>
      <c r="HO19" s="93"/>
      <c r="HP19" s="93"/>
      <c r="HQ19" s="93"/>
      <c r="HR19" s="93"/>
      <c r="HS19" s="94" t="s">
        <v>27</v>
      </c>
      <c r="HT19" s="94"/>
      <c r="HU19" s="94" t="s">
        <v>26</v>
      </c>
      <c r="HV19" s="94"/>
      <c r="HW19" s="94"/>
      <c r="HX19" s="93"/>
      <c r="HY19" s="93"/>
      <c r="HZ19" s="93"/>
      <c r="IA19" s="93"/>
      <c r="IB19" s="93" t="s">
        <v>27</v>
      </c>
      <c r="IC19" s="93"/>
      <c r="ID19" s="94" t="s">
        <v>26</v>
      </c>
      <c r="IE19" s="94" t="s">
        <v>28</v>
      </c>
      <c r="IF19" s="94" t="s">
        <v>28</v>
      </c>
      <c r="IG19" s="94"/>
      <c r="IH19" s="94" t="s">
        <v>26</v>
      </c>
      <c r="II19" s="93"/>
      <c r="IJ19" s="93"/>
      <c r="IK19" s="93"/>
      <c r="IL19" s="93"/>
      <c r="IM19" s="93"/>
      <c r="IN19" s="93"/>
      <c r="IO19" s="93"/>
      <c r="IP19" s="93"/>
      <c r="IR19" s="94" t="s">
        <v>27</v>
      </c>
      <c r="IS19" s="94"/>
      <c r="IT19" s="93" t="s">
        <v>26</v>
      </c>
      <c r="IU19" s="93"/>
      <c r="IV19" s="93"/>
      <c r="IW19" s="93"/>
      <c r="IX19" s="93"/>
      <c r="IY19" s="93"/>
      <c r="IZ19" s="94"/>
      <c r="JA19" s="94"/>
      <c r="JB19" s="94"/>
      <c r="JC19" s="94" t="s">
        <v>27</v>
      </c>
      <c r="JD19" s="94"/>
      <c r="JE19" s="93" t="s">
        <v>26</v>
      </c>
      <c r="JF19" s="93"/>
      <c r="JG19" s="93"/>
      <c r="JH19" s="93"/>
      <c r="JI19" s="93"/>
      <c r="JJ19" s="93"/>
      <c r="JK19" s="94"/>
      <c r="JL19" s="94"/>
      <c r="JM19" s="94"/>
      <c r="JN19" s="94" t="s">
        <v>27</v>
      </c>
      <c r="JO19" s="94"/>
      <c r="JP19" s="93" t="s">
        <v>26</v>
      </c>
      <c r="JQ19" s="93"/>
      <c r="JR19" s="93"/>
      <c r="JS19" s="93"/>
      <c r="JT19" s="93"/>
      <c r="JU19" s="93"/>
      <c r="JV19" s="94"/>
      <c r="JW19" s="94"/>
      <c r="JX19" s="94"/>
      <c r="JY19" s="94" t="s">
        <v>27</v>
      </c>
      <c r="JZ19" s="94"/>
      <c r="KA19" s="93" t="s">
        <v>26</v>
      </c>
      <c r="KB19" s="93"/>
      <c r="KC19" s="93"/>
      <c r="KD19" s="93"/>
      <c r="KE19" s="93"/>
      <c r="KF19" s="93"/>
      <c r="KG19" s="94"/>
      <c r="KH19" s="94"/>
      <c r="KI19" s="94"/>
      <c r="KJ19" s="94" t="s">
        <v>27</v>
      </c>
      <c r="KK19" s="94"/>
      <c r="KL19" s="93" t="s">
        <v>26</v>
      </c>
      <c r="KM19" s="93"/>
      <c r="KN19" s="93"/>
      <c r="KO19" s="93"/>
      <c r="KP19" s="93"/>
      <c r="KQ19" s="93"/>
      <c r="KR19" s="94"/>
      <c r="KS19" s="94"/>
      <c r="KT19" s="94"/>
      <c r="KU19" s="94" t="s">
        <v>27</v>
      </c>
      <c r="KV19" s="94"/>
      <c r="KW19" s="93" t="s">
        <v>26</v>
      </c>
      <c r="KX19" s="93"/>
      <c r="KY19" s="93"/>
      <c r="KZ19" s="93"/>
      <c r="LA19" s="93"/>
      <c r="LB19" s="93"/>
      <c r="LC19" s="94"/>
      <c r="LD19" s="94"/>
      <c r="LE19" s="94"/>
      <c r="LF19" s="94" t="s">
        <v>27</v>
      </c>
      <c r="LG19" s="94"/>
      <c r="LH19" s="93" t="s">
        <v>26</v>
      </c>
      <c r="LI19" s="93"/>
      <c r="LJ19" s="93"/>
      <c r="LK19" s="93"/>
      <c r="LL19" s="93"/>
      <c r="LM19" s="93"/>
      <c r="LN19" s="94"/>
      <c r="LO19" s="94"/>
      <c r="LP19" s="94"/>
      <c r="LQ19" s="94" t="s">
        <v>27</v>
      </c>
      <c r="LR19" s="94"/>
      <c r="LS19" s="93" t="s">
        <v>26</v>
      </c>
      <c r="LT19" s="93"/>
      <c r="LU19" s="93"/>
      <c r="LV19" s="93"/>
      <c r="LW19" s="93"/>
      <c r="LX19" s="93"/>
      <c r="LY19" s="94"/>
      <c r="LZ19" s="94"/>
      <c r="MA19" s="94"/>
      <c r="MB19" s="94" t="s">
        <v>27</v>
      </c>
      <c r="MC19" s="32"/>
    </row>
    <row r="20" spans="1:341" s="50" customFormat="1" ht="31.5" customHeight="1" thickBot="1">
      <c r="A20" s="44">
        <v>2</v>
      </c>
      <c r="B20" s="125" t="s">
        <v>29</v>
      </c>
      <c r="C20" s="51" t="s">
        <v>30</v>
      </c>
      <c r="D20" s="133" t="s">
        <v>22</v>
      </c>
      <c r="E20" s="134" t="s">
        <v>23</v>
      </c>
      <c r="F20" s="135" t="s">
        <v>24</v>
      </c>
      <c r="G20" s="145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1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131"/>
      <c r="CB20" s="131"/>
      <c r="CC20" s="131"/>
      <c r="CD20" s="131"/>
      <c r="CE20" s="131"/>
      <c r="CF20" s="131"/>
      <c r="CG20" s="131"/>
      <c r="CH20" s="131"/>
      <c r="CI20" s="131"/>
      <c r="CJ20" s="131"/>
      <c r="CK20" s="131"/>
      <c r="CL20" s="131"/>
      <c r="CM20" s="131"/>
      <c r="CN20" s="131"/>
      <c r="CO20" s="131"/>
      <c r="CP20" s="131"/>
      <c r="CQ20" s="131"/>
      <c r="CR20" s="131"/>
      <c r="CS20" s="131"/>
      <c r="CT20" s="131"/>
      <c r="CU20" s="131"/>
      <c r="CV20" s="131"/>
      <c r="CW20" s="131"/>
      <c r="CX20" s="131"/>
      <c r="CY20" s="131"/>
      <c r="CZ20" s="131"/>
      <c r="DA20" s="131"/>
      <c r="DB20" s="131"/>
      <c r="DC20" s="131"/>
      <c r="DD20" s="131"/>
      <c r="DE20" s="131"/>
      <c r="DF20" s="131"/>
      <c r="DG20" s="131"/>
      <c r="DH20" s="131"/>
      <c r="DI20" s="131"/>
      <c r="DJ20" s="131"/>
      <c r="DK20" s="131"/>
      <c r="DL20" s="131"/>
      <c r="DM20" s="131"/>
      <c r="DN20" s="131"/>
      <c r="DO20" s="131"/>
      <c r="DP20" s="131"/>
      <c r="DQ20" s="131"/>
      <c r="DR20" s="131"/>
      <c r="DS20" s="131"/>
      <c r="DT20" s="131"/>
      <c r="DU20" s="131"/>
      <c r="DV20" s="131"/>
      <c r="DW20" s="131"/>
      <c r="DX20" s="131"/>
      <c r="DY20" s="131"/>
      <c r="DZ20" s="131"/>
      <c r="EA20" s="131"/>
      <c r="EB20" s="131"/>
      <c r="EC20" s="131"/>
      <c r="ED20" s="131"/>
      <c r="EE20" s="131"/>
      <c r="EF20" s="131"/>
      <c r="EG20" s="131"/>
      <c r="EH20" s="131"/>
      <c r="EI20" s="131"/>
      <c r="EJ20" s="131"/>
      <c r="EK20" s="131"/>
      <c r="EL20" s="131"/>
      <c r="EM20" s="131"/>
      <c r="EN20" s="131"/>
      <c r="EO20" s="131"/>
      <c r="EP20" s="131"/>
      <c r="EQ20" s="131"/>
      <c r="ER20" s="131"/>
      <c r="ES20" s="131"/>
      <c r="ET20" s="131"/>
      <c r="EU20" s="131"/>
      <c r="EV20" s="131"/>
      <c r="EW20" s="131"/>
      <c r="EX20" s="131"/>
      <c r="EY20" s="131"/>
      <c r="EZ20" s="131"/>
      <c r="FA20" s="131"/>
      <c r="FB20" s="131"/>
      <c r="FC20" s="131"/>
      <c r="FD20" s="131"/>
      <c r="FE20" s="131"/>
      <c r="FF20" s="131"/>
      <c r="FG20" s="131"/>
      <c r="FH20" s="131"/>
      <c r="FI20" s="131"/>
      <c r="FJ20" s="131"/>
      <c r="FK20" s="131"/>
      <c r="FL20" s="131"/>
      <c r="FM20" s="131"/>
      <c r="FN20" s="131"/>
      <c r="FO20" s="131"/>
      <c r="FP20" s="131"/>
      <c r="FQ20" s="131"/>
      <c r="FR20" s="131"/>
      <c r="FS20" s="131"/>
      <c r="FT20" s="131"/>
      <c r="FU20" s="131"/>
      <c r="FV20" s="131"/>
      <c r="FW20" s="131"/>
      <c r="FX20" s="131"/>
      <c r="FY20" s="131"/>
      <c r="FZ20" s="131"/>
      <c r="GA20" s="131"/>
      <c r="GB20" s="131"/>
      <c r="GC20" s="131"/>
      <c r="GD20" s="131"/>
      <c r="GE20" s="131"/>
      <c r="GF20" s="131"/>
      <c r="GG20" s="131"/>
      <c r="GH20" s="131"/>
      <c r="GI20" s="131"/>
      <c r="GJ20" s="131"/>
      <c r="GK20" s="131"/>
      <c r="GL20" s="131"/>
      <c r="GM20" s="131"/>
      <c r="GN20" s="131"/>
      <c r="GO20" s="131"/>
      <c r="GP20" s="131"/>
      <c r="GQ20" s="131"/>
      <c r="GR20" s="131"/>
      <c r="GS20" s="131"/>
      <c r="GT20" s="131"/>
      <c r="GU20" s="131"/>
      <c r="GV20" s="131"/>
      <c r="GW20" s="131"/>
      <c r="GX20" s="131"/>
      <c r="GY20" s="131"/>
      <c r="GZ20" s="131"/>
      <c r="HA20" s="131"/>
      <c r="HB20" s="131"/>
      <c r="HC20" s="131"/>
      <c r="HD20" s="131"/>
      <c r="HE20" s="131"/>
      <c r="HF20" s="131"/>
      <c r="HG20" s="131"/>
      <c r="HH20" s="131"/>
      <c r="HI20" s="131"/>
      <c r="HJ20" s="131"/>
      <c r="HK20" s="131"/>
      <c r="HL20" s="131"/>
      <c r="HM20" s="131"/>
      <c r="HN20" s="131"/>
      <c r="HO20" s="131"/>
      <c r="HP20" s="131"/>
      <c r="HQ20" s="131"/>
      <c r="HR20" s="131"/>
      <c r="HS20" s="131"/>
      <c r="HT20" s="131"/>
      <c r="HU20" s="131"/>
      <c r="HV20" s="131"/>
      <c r="HW20" s="131"/>
      <c r="HX20" s="131"/>
      <c r="HY20" s="131"/>
      <c r="HZ20" s="131"/>
      <c r="IA20" s="131"/>
      <c r="IB20" s="131"/>
      <c r="IC20" s="131"/>
      <c r="ID20" s="171"/>
      <c r="IE20" s="131"/>
      <c r="IF20" s="131"/>
      <c r="IG20" s="131"/>
      <c r="IH20" s="131"/>
      <c r="II20" s="131"/>
      <c r="IJ20" s="131"/>
      <c r="IK20" s="131"/>
      <c r="IL20" s="131"/>
      <c r="IM20" s="131"/>
      <c r="IN20" s="131"/>
      <c r="IO20" s="131"/>
      <c r="IP20" s="131"/>
      <c r="IQ20" s="131"/>
      <c r="IR20" s="131"/>
      <c r="IS20" s="131"/>
      <c r="IT20" s="131"/>
      <c r="IU20" s="131"/>
      <c r="IV20" s="131"/>
      <c r="IW20" s="131"/>
      <c r="IX20" s="131"/>
      <c r="IY20" s="131"/>
      <c r="IZ20" s="131"/>
      <c r="JA20" s="131"/>
      <c r="JB20" s="131"/>
      <c r="JC20" s="131"/>
      <c r="JD20" s="94" t="s">
        <v>25</v>
      </c>
      <c r="JE20" s="93"/>
      <c r="JF20" s="93"/>
      <c r="JG20" s="93"/>
      <c r="JH20" s="93"/>
      <c r="JI20" s="93"/>
      <c r="JJ20" s="93"/>
      <c r="JK20" s="94"/>
      <c r="JL20" s="94"/>
      <c r="JM20" s="94"/>
      <c r="JN20" s="94"/>
      <c r="JO20" s="94"/>
      <c r="JP20" s="93"/>
      <c r="JQ20" s="93"/>
      <c r="JR20" s="93"/>
      <c r="JS20" s="93"/>
      <c r="JT20" s="93"/>
      <c r="JU20" s="93"/>
      <c r="JV20" s="94"/>
      <c r="JW20" s="94"/>
      <c r="JX20" s="94"/>
      <c r="JY20" s="94"/>
      <c r="JZ20" s="94"/>
      <c r="KA20" s="93"/>
      <c r="KB20" s="93"/>
      <c r="KC20" s="93"/>
      <c r="KD20" s="93"/>
      <c r="KE20" s="93"/>
      <c r="KF20" s="93"/>
      <c r="KG20" s="94"/>
      <c r="KH20" s="94"/>
      <c r="KI20" s="94"/>
      <c r="KJ20" s="94"/>
      <c r="KK20" s="94"/>
      <c r="KL20" s="93"/>
      <c r="KM20" s="93"/>
      <c r="KN20" s="93"/>
      <c r="KO20" s="93"/>
      <c r="KP20" s="93"/>
      <c r="KQ20" s="93"/>
      <c r="KR20" s="94"/>
      <c r="KS20" s="94"/>
      <c r="KT20" s="94"/>
      <c r="KU20" s="94"/>
      <c r="KV20" s="94"/>
      <c r="KW20" s="93"/>
      <c r="KX20" s="93"/>
      <c r="KY20" s="93"/>
      <c r="KZ20" s="93"/>
      <c r="LA20" s="93"/>
      <c r="LB20" s="93"/>
      <c r="LC20" s="93"/>
      <c r="LD20" s="93"/>
      <c r="LE20" s="93"/>
      <c r="LF20" s="93"/>
      <c r="LG20" s="93"/>
      <c r="LH20" s="93"/>
      <c r="LI20" s="93"/>
      <c r="LJ20" s="93"/>
      <c r="LK20" s="93"/>
      <c r="LL20" s="93"/>
      <c r="LM20" s="93"/>
      <c r="LN20" s="93"/>
      <c r="LO20" s="93"/>
      <c r="LP20" s="93"/>
      <c r="LQ20" s="93"/>
      <c r="LR20" s="93"/>
      <c r="LS20" s="93"/>
      <c r="LT20" s="93"/>
      <c r="LU20" s="93"/>
      <c r="LV20" s="93"/>
      <c r="LW20" s="93"/>
      <c r="LX20" s="93"/>
      <c r="LY20" s="93"/>
      <c r="LZ20" s="93"/>
      <c r="MA20" s="93"/>
      <c r="MB20" s="93"/>
      <c r="MC20" s="32"/>
    </row>
    <row r="21" spans="1:341" s="50" customFormat="1" ht="31.5" customHeight="1" thickBot="1">
      <c r="A21" s="44">
        <v>2</v>
      </c>
      <c r="B21" s="125" t="s">
        <v>29</v>
      </c>
      <c r="C21" s="51" t="s">
        <v>30</v>
      </c>
      <c r="D21" s="133" t="s">
        <v>22</v>
      </c>
      <c r="E21" s="134" t="s">
        <v>23</v>
      </c>
      <c r="F21" s="135" t="s">
        <v>24</v>
      </c>
      <c r="G21" s="145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1"/>
      <c r="BQ21" s="131"/>
      <c r="BR21" s="131"/>
      <c r="BS21" s="131"/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131"/>
      <c r="CI21" s="131"/>
      <c r="CJ21" s="131"/>
      <c r="CK21" s="131"/>
      <c r="CL21" s="131"/>
      <c r="CM21" s="131"/>
      <c r="CN21" s="131"/>
      <c r="CO21" s="131"/>
      <c r="CP21" s="131"/>
      <c r="CQ21" s="131"/>
      <c r="CR21" s="131"/>
      <c r="CS21" s="131"/>
      <c r="CT21" s="131"/>
      <c r="CU21" s="131"/>
      <c r="CV21" s="131"/>
      <c r="CW21" s="131"/>
      <c r="CX21" s="131"/>
      <c r="CY21" s="131"/>
      <c r="CZ21" s="131"/>
      <c r="DA21" s="131"/>
      <c r="DB21" s="131"/>
      <c r="DC21" s="131"/>
      <c r="DD21" s="131"/>
      <c r="DE21" s="131"/>
      <c r="DF21" s="131"/>
      <c r="DG21" s="131"/>
      <c r="DH21" s="131"/>
      <c r="DI21" s="131"/>
      <c r="DJ21" s="131"/>
      <c r="DK21" s="131"/>
      <c r="DL21" s="131"/>
      <c r="DM21" s="131"/>
      <c r="DN21" s="131"/>
      <c r="DO21" s="131"/>
      <c r="DP21" s="131"/>
      <c r="DQ21" s="131"/>
      <c r="DR21" s="131"/>
      <c r="DS21" s="131"/>
      <c r="DT21" s="131"/>
      <c r="DU21" s="131"/>
      <c r="DV21" s="131"/>
      <c r="DW21" s="131"/>
      <c r="DX21" s="131"/>
      <c r="DY21" s="131"/>
      <c r="DZ21" s="131"/>
      <c r="EA21" s="131"/>
      <c r="EB21" s="131"/>
      <c r="EC21" s="131"/>
      <c r="ED21" s="131"/>
      <c r="EE21" s="131"/>
      <c r="EF21" s="131"/>
      <c r="EG21" s="131"/>
      <c r="EH21" s="131"/>
      <c r="EI21" s="131"/>
      <c r="EJ21" s="131"/>
      <c r="EK21" s="131"/>
      <c r="EL21" s="131"/>
      <c r="EM21" s="131"/>
      <c r="EN21" s="131"/>
      <c r="EO21" s="131"/>
      <c r="EP21" s="131"/>
      <c r="EQ21" s="131"/>
      <c r="ER21" s="131"/>
      <c r="ES21" s="131"/>
      <c r="ET21" s="131"/>
      <c r="EU21" s="131"/>
      <c r="EV21" s="131"/>
      <c r="EW21" s="131"/>
      <c r="EX21" s="131"/>
      <c r="EY21" s="131"/>
      <c r="EZ21" s="131"/>
      <c r="FA21" s="131"/>
      <c r="FB21" s="131"/>
      <c r="FC21" s="131"/>
      <c r="FD21" s="131"/>
      <c r="FE21" s="131"/>
      <c r="FF21" s="131"/>
      <c r="FG21" s="131"/>
      <c r="FH21" s="131"/>
      <c r="FI21" s="131"/>
      <c r="FJ21" s="131"/>
      <c r="FK21" s="131"/>
      <c r="FL21" s="131"/>
      <c r="FM21" s="131"/>
      <c r="FN21" s="131"/>
      <c r="FO21" s="131"/>
      <c r="FP21" s="131"/>
      <c r="FQ21" s="131"/>
      <c r="FR21" s="131"/>
      <c r="FS21" s="131"/>
      <c r="FT21" s="131"/>
      <c r="FU21" s="131"/>
      <c r="FV21" s="131"/>
      <c r="FW21" s="131"/>
      <c r="FX21" s="131"/>
      <c r="FY21" s="131"/>
      <c r="FZ21" s="131"/>
      <c r="GA21" s="131"/>
      <c r="GB21" s="131"/>
      <c r="GC21" s="131"/>
      <c r="GD21" s="131"/>
      <c r="GE21" s="131"/>
      <c r="GF21" s="131"/>
      <c r="GG21" s="131"/>
      <c r="GH21" s="131"/>
      <c r="GI21" s="131"/>
      <c r="GJ21" s="131"/>
      <c r="GK21" s="131"/>
      <c r="GL21" s="131"/>
      <c r="GM21" s="131"/>
      <c r="GN21" s="131"/>
      <c r="GO21" s="131"/>
      <c r="GP21" s="131"/>
      <c r="GQ21" s="131"/>
      <c r="GR21" s="131"/>
      <c r="GS21" s="131"/>
      <c r="GT21" s="131"/>
      <c r="GU21" s="131"/>
      <c r="GV21" s="131"/>
      <c r="GW21" s="131"/>
      <c r="GX21" s="131"/>
      <c r="GY21" s="131"/>
      <c r="GZ21" s="131"/>
      <c r="HA21" s="131"/>
      <c r="HB21" s="131"/>
      <c r="HC21" s="131"/>
      <c r="HD21" s="131"/>
      <c r="HE21" s="131"/>
      <c r="HF21" s="131"/>
      <c r="HG21" s="131"/>
      <c r="HH21" s="131"/>
      <c r="HI21" s="131"/>
      <c r="HJ21" s="131"/>
      <c r="HK21" s="131"/>
      <c r="HL21" s="131"/>
      <c r="HM21" s="131"/>
      <c r="HN21" s="131"/>
      <c r="HO21" s="131"/>
      <c r="HP21" s="131"/>
      <c r="HQ21" s="131"/>
      <c r="HR21" s="131"/>
      <c r="HS21" s="131"/>
      <c r="HT21" s="131"/>
      <c r="HU21" s="131"/>
      <c r="HV21" s="131"/>
      <c r="HW21" s="131"/>
      <c r="HX21" s="131"/>
      <c r="HY21" s="131"/>
      <c r="HZ21" s="131"/>
      <c r="IA21" s="131"/>
      <c r="IB21" s="131"/>
      <c r="IC21" s="131"/>
      <c r="ID21" s="131"/>
      <c r="IE21" s="131"/>
      <c r="IF21" s="131"/>
      <c r="IG21" s="131"/>
      <c r="IH21" s="131"/>
      <c r="II21" s="131"/>
      <c r="IJ21" s="131"/>
      <c r="IK21" s="131"/>
      <c r="IL21" s="131"/>
      <c r="IM21" s="131"/>
      <c r="IN21" s="131"/>
      <c r="IO21" s="131"/>
      <c r="IP21" s="131"/>
      <c r="IQ21" s="131"/>
      <c r="IR21" s="131"/>
      <c r="IS21" s="131"/>
      <c r="IT21" s="131"/>
      <c r="IU21" s="131"/>
      <c r="IV21" s="131"/>
      <c r="IW21" s="131"/>
      <c r="IX21" s="131"/>
      <c r="IY21" s="131"/>
      <c r="IZ21" s="131"/>
      <c r="JA21" s="131"/>
      <c r="JB21" s="131"/>
      <c r="JC21" s="131"/>
      <c r="JD21" s="94" t="s">
        <v>25</v>
      </c>
      <c r="JE21" s="93"/>
      <c r="JF21" s="93"/>
      <c r="JG21" s="93"/>
      <c r="JH21" s="93"/>
      <c r="JI21" s="93"/>
      <c r="JJ21" s="93"/>
      <c r="JK21" s="94"/>
      <c r="JL21" s="94"/>
      <c r="JM21" s="94"/>
      <c r="JN21" s="94"/>
      <c r="JO21" s="94"/>
      <c r="JP21" s="93"/>
      <c r="JQ21" s="93"/>
      <c r="JR21" s="93"/>
      <c r="JS21" s="93"/>
      <c r="JT21" s="93"/>
      <c r="JU21" s="93"/>
      <c r="JV21" s="94"/>
      <c r="JW21" s="94"/>
      <c r="JX21" s="94"/>
      <c r="JY21" s="94"/>
      <c r="JZ21" s="94"/>
      <c r="KA21" s="93"/>
      <c r="KB21" s="93"/>
      <c r="KC21" s="93"/>
      <c r="KD21" s="93"/>
      <c r="KE21" s="93"/>
      <c r="KF21" s="93"/>
      <c r="KG21" s="94"/>
      <c r="KH21" s="94"/>
      <c r="KI21" s="94"/>
      <c r="KJ21" s="94"/>
      <c r="KK21" s="94"/>
      <c r="KL21" s="93"/>
      <c r="KM21" s="93"/>
      <c r="KN21" s="93"/>
      <c r="KO21" s="93"/>
      <c r="KP21" s="93"/>
      <c r="KQ21" s="93"/>
      <c r="KR21" s="94"/>
      <c r="KS21" s="94"/>
      <c r="KT21" s="94"/>
      <c r="KU21" s="94"/>
      <c r="KV21" s="94"/>
      <c r="KW21" s="93"/>
      <c r="KX21" s="93"/>
      <c r="KY21" s="93"/>
      <c r="KZ21" s="93"/>
      <c r="LA21" s="93"/>
      <c r="LB21" s="93"/>
      <c r="LC21" s="93"/>
      <c r="LD21" s="93"/>
      <c r="LE21" s="93"/>
      <c r="LF21" s="93"/>
      <c r="LG21" s="93"/>
      <c r="LH21" s="93"/>
      <c r="LI21" s="93"/>
      <c r="LJ21" s="93"/>
      <c r="LK21" s="93"/>
      <c r="LL21" s="93"/>
      <c r="LM21" s="93"/>
      <c r="LN21" s="93"/>
      <c r="LO21" s="93"/>
      <c r="LP21" s="93"/>
      <c r="LQ21" s="93"/>
      <c r="LR21" s="93"/>
      <c r="LS21" s="93"/>
      <c r="LT21" s="93"/>
      <c r="LU21" s="93"/>
      <c r="LV21" s="93"/>
      <c r="LW21" s="93"/>
      <c r="LX21" s="93"/>
      <c r="LY21" s="93"/>
      <c r="LZ21" s="93"/>
      <c r="MA21" s="93"/>
      <c r="MB21" s="93"/>
    </row>
    <row r="22" spans="1:341" s="50" customFormat="1" ht="31.5" customHeight="1" thickBot="1">
      <c r="A22" s="44">
        <v>1</v>
      </c>
      <c r="B22" s="107" t="s">
        <v>31</v>
      </c>
      <c r="C22" s="46" t="s">
        <v>32</v>
      </c>
      <c r="D22" s="105" t="s">
        <v>22</v>
      </c>
      <c r="E22" s="117" t="s">
        <v>23</v>
      </c>
      <c r="F22" s="106" t="s">
        <v>24</v>
      </c>
      <c r="G22" s="145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G22" s="131"/>
      <c r="CH22" s="131"/>
      <c r="CI22" s="131"/>
      <c r="CJ22" s="131"/>
      <c r="CK22" s="131"/>
      <c r="CL22" s="131"/>
      <c r="CM22" s="131"/>
      <c r="CN22" s="131"/>
      <c r="CO22" s="131"/>
      <c r="CP22" s="131"/>
      <c r="CQ22" s="131"/>
      <c r="CR22" s="131"/>
      <c r="CS22" s="131"/>
      <c r="CT22" s="131"/>
      <c r="CU22" s="131"/>
      <c r="CV22" s="131"/>
      <c r="CW22" s="131"/>
      <c r="CX22" s="131"/>
      <c r="CY22" s="131"/>
      <c r="CZ22" s="131"/>
      <c r="DA22" s="131"/>
      <c r="DB22" s="131"/>
      <c r="DC22" s="131"/>
      <c r="DD22" s="131"/>
      <c r="DE22" s="131"/>
      <c r="DF22" s="131"/>
      <c r="DG22" s="131"/>
      <c r="DH22" s="131"/>
      <c r="DI22" s="131"/>
      <c r="DJ22" s="131"/>
      <c r="DK22" s="131"/>
      <c r="DL22" s="131"/>
      <c r="DM22" s="131"/>
      <c r="DN22" s="131"/>
      <c r="DO22" s="131"/>
      <c r="DP22" s="131"/>
      <c r="DQ22" s="131"/>
      <c r="DR22" s="131"/>
      <c r="DS22" s="131"/>
      <c r="DT22" s="131"/>
      <c r="DU22" s="131"/>
      <c r="DV22" s="131"/>
      <c r="DW22" s="131"/>
      <c r="DX22" s="131"/>
      <c r="DY22" s="131"/>
      <c r="DZ22" s="131"/>
      <c r="EA22" s="131"/>
      <c r="EB22" s="131"/>
      <c r="EC22" s="131"/>
      <c r="ED22" s="131"/>
      <c r="EE22" s="131"/>
      <c r="EF22" s="131"/>
      <c r="EG22" s="131"/>
      <c r="EH22" s="131"/>
      <c r="EI22" s="131"/>
      <c r="EJ22" s="131"/>
      <c r="EK22" s="131"/>
      <c r="EL22" s="131"/>
      <c r="EM22" s="131"/>
      <c r="EN22" s="131"/>
      <c r="EO22" s="131"/>
      <c r="EP22" s="131"/>
      <c r="EQ22" s="131"/>
      <c r="ER22" s="131"/>
      <c r="ES22" s="131"/>
      <c r="ET22" s="131"/>
      <c r="EU22" s="131"/>
      <c r="EV22" s="131"/>
      <c r="EW22" s="131"/>
      <c r="EX22" s="131"/>
      <c r="EY22" s="131"/>
      <c r="EZ22" s="131"/>
      <c r="FA22" s="131"/>
      <c r="FB22" s="131"/>
      <c r="FC22" s="131"/>
      <c r="FD22" s="131"/>
      <c r="FE22" s="131"/>
      <c r="FF22" s="131"/>
      <c r="FG22" s="131"/>
      <c r="FH22" s="131"/>
      <c r="FI22" s="131"/>
      <c r="FJ22" s="131"/>
      <c r="FK22" s="131"/>
      <c r="FL22" s="131"/>
      <c r="FM22" s="131"/>
      <c r="FN22" s="131"/>
      <c r="FO22" s="131"/>
      <c r="FP22" s="131"/>
      <c r="FQ22" s="131"/>
      <c r="FR22" s="131"/>
      <c r="FS22" s="131"/>
      <c r="FT22" s="131"/>
      <c r="FU22" s="131"/>
      <c r="FV22" s="131"/>
      <c r="FW22" s="131"/>
      <c r="FX22" s="131"/>
      <c r="FY22" s="131"/>
      <c r="FZ22" s="131"/>
      <c r="GA22" s="94" t="s">
        <v>25</v>
      </c>
      <c r="GB22" s="94"/>
      <c r="GC22" s="94"/>
      <c r="GD22" s="94"/>
      <c r="GE22" s="94"/>
      <c r="GF22" s="94"/>
      <c r="GG22" s="94" t="s">
        <v>26</v>
      </c>
      <c r="GH22" s="94"/>
      <c r="GI22" s="94"/>
      <c r="GJ22" s="94"/>
      <c r="GK22" s="94"/>
      <c r="GL22" s="94"/>
      <c r="GM22" s="94"/>
      <c r="GN22" s="94"/>
      <c r="GO22" s="94"/>
      <c r="GP22" s="94"/>
      <c r="GQ22" s="94"/>
      <c r="GR22" s="94"/>
      <c r="GS22" s="94"/>
      <c r="GT22" s="94"/>
      <c r="GU22" s="94"/>
      <c r="GV22" s="94"/>
      <c r="GW22" s="94"/>
      <c r="GX22" s="94" t="s">
        <v>27</v>
      </c>
      <c r="GY22" s="94"/>
      <c r="GZ22" s="94"/>
      <c r="HA22" s="94"/>
      <c r="HB22" s="94" t="s">
        <v>26</v>
      </c>
      <c r="HC22" s="94"/>
      <c r="HD22" s="94"/>
      <c r="HE22" s="93"/>
      <c r="HF22" s="94"/>
      <c r="HG22" s="94"/>
      <c r="HH22" s="94"/>
      <c r="HI22" s="94"/>
      <c r="HJ22" s="94"/>
      <c r="HK22" s="94"/>
      <c r="HL22" s="94"/>
      <c r="HM22" s="94"/>
      <c r="HN22" s="94"/>
      <c r="HO22" s="94"/>
      <c r="HP22" s="94"/>
      <c r="HQ22" s="94"/>
      <c r="HR22" s="94"/>
      <c r="HS22" s="94"/>
      <c r="HT22" s="94"/>
      <c r="HU22" s="94"/>
      <c r="HV22" s="94"/>
      <c r="HW22" s="94"/>
      <c r="HX22" s="94"/>
      <c r="HY22" s="94"/>
      <c r="HZ22" s="94"/>
      <c r="IA22" s="94" t="s">
        <v>27</v>
      </c>
      <c r="IB22" s="94"/>
      <c r="IC22" s="94"/>
      <c r="ID22" s="94"/>
      <c r="IE22" s="94" t="s">
        <v>26</v>
      </c>
      <c r="IF22" s="94"/>
      <c r="IG22" s="94"/>
      <c r="IH22" s="94"/>
      <c r="II22" s="94"/>
      <c r="IJ22" s="94"/>
      <c r="IK22" s="94"/>
      <c r="IL22" s="94"/>
      <c r="IM22" s="94"/>
      <c r="IN22" s="94"/>
      <c r="IO22" s="94"/>
      <c r="IP22" s="94"/>
      <c r="IQ22" s="94"/>
      <c r="IR22" s="94" t="s">
        <v>27</v>
      </c>
      <c r="IS22" s="94"/>
      <c r="IT22" s="94"/>
      <c r="IU22" s="94"/>
      <c r="IV22" s="94" t="s">
        <v>26</v>
      </c>
      <c r="IW22" s="94"/>
      <c r="IX22" s="94"/>
      <c r="IY22" s="94"/>
      <c r="IZ22" s="94"/>
      <c r="JA22" s="94"/>
      <c r="JB22" s="94"/>
      <c r="JC22" s="94"/>
      <c r="JD22" s="94"/>
      <c r="JE22" s="94"/>
      <c r="JF22" s="94"/>
      <c r="JG22" s="94"/>
      <c r="JH22" s="94"/>
      <c r="JI22" s="94"/>
      <c r="JJ22" s="94"/>
      <c r="JK22" s="94"/>
      <c r="JL22" s="94" t="s">
        <v>27</v>
      </c>
      <c r="JM22" s="94"/>
      <c r="JN22" s="94"/>
      <c r="JO22" s="94"/>
      <c r="JP22" s="94" t="s">
        <v>26</v>
      </c>
      <c r="JQ22" s="94"/>
      <c r="JR22" s="94"/>
      <c r="JS22" s="94"/>
      <c r="JT22" s="94"/>
      <c r="JU22" s="94"/>
      <c r="JV22" s="94"/>
      <c r="JW22" s="94"/>
      <c r="JX22" s="94"/>
      <c r="JY22" s="94"/>
      <c r="JZ22" s="94"/>
      <c r="KA22" s="94"/>
      <c r="KB22" s="94"/>
      <c r="KC22" s="94"/>
      <c r="KD22" s="94"/>
      <c r="KE22" s="94"/>
      <c r="KF22" s="94"/>
      <c r="KG22" s="94" t="s">
        <v>27</v>
      </c>
      <c r="KH22" s="94"/>
      <c r="KI22" s="94"/>
      <c r="KJ22" s="94" t="s">
        <v>26</v>
      </c>
      <c r="KK22" s="94"/>
      <c r="KL22" s="94"/>
      <c r="KM22" s="94"/>
      <c r="KN22" s="94"/>
      <c r="KO22" s="94"/>
      <c r="KP22" s="94"/>
      <c r="KQ22" s="94"/>
      <c r="KR22" s="94"/>
      <c r="KS22" s="94"/>
      <c r="KT22" s="94"/>
      <c r="KU22" s="94"/>
      <c r="KV22" s="94"/>
      <c r="KW22" s="94"/>
      <c r="KX22" s="94"/>
      <c r="KY22" s="94"/>
      <c r="KZ22" s="94"/>
      <c r="LA22" s="94" t="s">
        <v>27</v>
      </c>
      <c r="LB22" s="94"/>
      <c r="LC22" s="94"/>
      <c r="LD22" s="94" t="s">
        <v>26</v>
      </c>
      <c r="LE22" s="94"/>
      <c r="LF22" s="94"/>
      <c r="LG22" s="94"/>
      <c r="LH22" s="94"/>
      <c r="LI22" s="94"/>
      <c r="LJ22" s="94"/>
      <c r="LK22" s="94"/>
      <c r="LL22" s="94"/>
      <c r="LM22" s="94"/>
      <c r="LN22" s="94"/>
      <c r="LO22" s="94"/>
      <c r="LP22" s="94"/>
      <c r="LQ22" s="94"/>
      <c r="LR22" s="94"/>
      <c r="LS22" s="94"/>
      <c r="LT22" s="94"/>
      <c r="LU22" s="94" t="s">
        <v>27</v>
      </c>
      <c r="LV22" s="94"/>
      <c r="LW22" s="94"/>
      <c r="LX22" s="94" t="s">
        <v>26</v>
      </c>
      <c r="LY22" s="94"/>
      <c r="LZ22" s="94"/>
      <c r="MA22" s="94"/>
      <c r="MB22" s="94"/>
    </row>
    <row r="23" spans="1:341" s="50" customFormat="1" ht="31.5" hidden="1" customHeight="1" thickBot="1">
      <c r="A23" s="44">
        <v>2</v>
      </c>
      <c r="B23" s="125" t="s">
        <v>33</v>
      </c>
      <c r="C23" s="51" t="s">
        <v>34</v>
      </c>
      <c r="D23" s="133" t="s">
        <v>35</v>
      </c>
      <c r="E23" s="134" t="s">
        <v>36</v>
      </c>
      <c r="F23" s="135" t="s">
        <v>24</v>
      </c>
      <c r="G23" s="145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1"/>
      <c r="BT23" s="131"/>
      <c r="BU23" s="131"/>
      <c r="BV23" s="131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G23" s="131"/>
      <c r="CH23" s="131"/>
      <c r="CI23" s="131"/>
      <c r="CJ23" s="131"/>
      <c r="CK23" s="131"/>
      <c r="CL23" s="131"/>
      <c r="CM23" s="131"/>
      <c r="CN23" s="131"/>
      <c r="CO23" s="131"/>
      <c r="CP23" s="131"/>
      <c r="CQ23" s="131"/>
      <c r="CR23" s="131"/>
      <c r="CS23" s="131"/>
      <c r="CT23" s="131"/>
      <c r="CU23" s="131"/>
      <c r="CV23" s="131"/>
      <c r="CW23" s="131"/>
      <c r="CX23" s="131"/>
      <c r="CY23" s="131"/>
      <c r="CZ23" s="131"/>
      <c r="DA23" s="131"/>
      <c r="DB23" s="131"/>
      <c r="DC23" s="131"/>
      <c r="DD23" s="131"/>
      <c r="DE23" s="131"/>
      <c r="DF23" s="131"/>
      <c r="DG23" s="131"/>
      <c r="DH23" s="131"/>
      <c r="DI23" s="131"/>
      <c r="DJ23" s="131"/>
      <c r="DK23" s="131"/>
      <c r="DL23" s="131"/>
      <c r="DM23" s="131"/>
      <c r="DN23" s="131"/>
      <c r="DO23" s="131"/>
      <c r="DP23" s="131"/>
      <c r="DQ23" s="131"/>
      <c r="DR23" s="131"/>
      <c r="DS23" s="131"/>
      <c r="DT23" s="131"/>
      <c r="DU23" s="131"/>
      <c r="DV23" s="131"/>
      <c r="DW23" s="131"/>
      <c r="DX23" s="131"/>
      <c r="DY23" s="131"/>
      <c r="DZ23" s="131"/>
      <c r="EA23" s="131"/>
      <c r="EB23" s="131"/>
      <c r="EC23" s="131"/>
      <c r="ED23" s="131"/>
      <c r="EE23" s="131"/>
      <c r="EF23" s="131"/>
      <c r="EG23" s="131"/>
      <c r="EH23" s="131"/>
      <c r="EI23" s="131"/>
      <c r="EJ23" s="131"/>
      <c r="EK23" s="131"/>
      <c r="EL23" s="131"/>
      <c r="EM23" s="131"/>
      <c r="EN23" s="131"/>
      <c r="EO23" s="131"/>
      <c r="EP23" s="131"/>
      <c r="EQ23" s="131"/>
      <c r="ER23" s="131"/>
      <c r="ES23" s="131"/>
      <c r="ET23" s="131"/>
      <c r="EU23" s="131"/>
      <c r="EV23" s="131"/>
      <c r="EW23" s="131"/>
      <c r="EX23" s="131"/>
      <c r="EY23" s="131"/>
      <c r="EZ23" s="131"/>
      <c r="FA23" s="131"/>
      <c r="FB23" s="131"/>
      <c r="FC23" s="131"/>
      <c r="FD23" s="131"/>
      <c r="FE23" s="131"/>
      <c r="FF23" s="131"/>
      <c r="FG23" s="131"/>
      <c r="FH23" s="131"/>
      <c r="FI23" s="131"/>
      <c r="FJ23" s="131"/>
      <c r="FK23" s="131"/>
      <c r="FL23" s="131"/>
      <c r="FM23" s="131"/>
      <c r="FN23" s="131"/>
      <c r="FO23" s="131"/>
      <c r="FP23" s="131"/>
      <c r="FQ23" s="131"/>
      <c r="FR23" s="131"/>
      <c r="FS23" s="131"/>
      <c r="FT23" s="131"/>
      <c r="FU23" s="131"/>
      <c r="FV23" s="131"/>
      <c r="FW23" s="131"/>
      <c r="FX23" s="131"/>
      <c r="FY23" s="131"/>
      <c r="FZ23" s="131"/>
      <c r="GA23" s="131"/>
      <c r="GB23" s="131"/>
      <c r="GC23" s="131"/>
      <c r="GD23" s="131"/>
      <c r="GE23" s="131"/>
      <c r="GF23" s="131"/>
      <c r="GG23" s="131"/>
      <c r="GH23" s="131"/>
      <c r="GI23" s="131"/>
      <c r="GJ23" s="131"/>
      <c r="GK23" s="131"/>
      <c r="GL23" s="131"/>
      <c r="GM23" s="131"/>
      <c r="GN23" s="131"/>
      <c r="GO23" s="131"/>
      <c r="GP23" s="131"/>
      <c r="GQ23" s="171"/>
      <c r="GR23" s="131"/>
      <c r="GS23" s="131"/>
      <c r="GT23" s="131"/>
      <c r="GU23" s="131"/>
      <c r="GV23" s="131"/>
      <c r="GW23" s="131"/>
      <c r="GX23" s="131"/>
      <c r="GY23" s="131"/>
      <c r="GZ23" s="131"/>
      <c r="HA23" s="131"/>
      <c r="HB23" s="131"/>
      <c r="HC23" s="131"/>
      <c r="HD23" s="131"/>
      <c r="HE23" s="131"/>
      <c r="HF23" s="131"/>
      <c r="HG23" s="131"/>
      <c r="HH23" s="131"/>
      <c r="HI23" s="131"/>
      <c r="HJ23" s="131"/>
      <c r="HK23" s="131"/>
      <c r="HL23" s="131"/>
      <c r="HM23" s="131"/>
      <c r="HN23" s="131"/>
      <c r="HO23" s="131"/>
      <c r="HP23" s="131"/>
      <c r="HQ23" s="131"/>
      <c r="HR23" s="131"/>
      <c r="HS23" s="171"/>
      <c r="HT23" s="131"/>
      <c r="HU23" s="131"/>
      <c r="HV23" s="131"/>
      <c r="HW23" s="131"/>
      <c r="HX23" s="131"/>
      <c r="HY23" s="131"/>
      <c r="HZ23" s="131"/>
      <c r="IA23" s="131"/>
      <c r="IB23" s="131"/>
      <c r="IC23" s="131"/>
      <c r="ID23" s="160"/>
      <c r="IE23" s="131"/>
      <c r="IF23" s="131"/>
      <c r="IG23" s="131"/>
      <c r="IH23" s="131"/>
      <c r="II23" s="131"/>
      <c r="IJ23" s="131"/>
      <c r="IK23" s="131"/>
      <c r="IL23" s="131"/>
      <c r="IM23" s="131"/>
      <c r="IN23" s="131"/>
      <c r="IO23" s="131"/>
      <c r="IP23" s="131"/>
      <c r="IQ23" s="131"/>
      <c r="IR23" s="131"/>
      <c r="IS23" s="131"/>
      <c r="IT23" s="131"/>
      <c r="IU23" s="131"/>
      <c r="IV23" s="131"/>
      <c r="IW23" s="131"/>
      <c r="IX23" s="131"/>
      <c r="IY23" s="131"/>
      <c r="IZ23" s="131"/>
      <c r="JA23" s="131"/>
      <c r="JB23" s="131"/>
      <c r="JC23" s="131"/>
      <c r="JD23" s="94" t="s">
        <v>25</v>
      </c>
      <c r="JE23" s="94" t="s">
        <v>26</v>
      </c>
      <c r="JF23" s="94"/>
      <c r="JG23" s="94"/>
      <c r="JH23" s="94"/>
      <c r="JI23" s="94"/>
      <c r="JJ23" s="94"/>
      <c r="JK23" s="94"/>
      <c r="JL23" s="94"/>
      <c r="JM23" s="94"/>
      <c r="JN23" s="94"/>
      <c r="JO23" s="94"/>
      <c r="JP23" s="94" t="s">
        <v>27</v>
      </c>
      <c r="JQ23" s="94"/>
      <c r="JR23" s="94" t="s">
        <v>26</v>
      </c>
      <c r="JS23" s="94"/>
      <c r="JT23" s="94"/>
      <c r="JU23" s="94"/>
      <c r="JV23" s="94"/>
      <c r="JW23" s="94"/>
      <c r="JX23" s="94"/>
      <c r="JY23" s="94"/>
      <c r="JZ23" s="94"/>
      <c r="KA23" s="94"/>
      <c r="KB23" s="94"/>
      <c r="KC23" s="94" t="s">
        <v>27</v>
      </c>
      <c r="KD23" s="94" t="s">
        <v>37</v>
      </c>
      <c r="KE23" s="131"/>
      <c r="KF23" s="131"/>
      <c r="KG23" s="131"/>
      <c r="KH23" s="131"/>
      <c r="KI23" s="131"/>
      <c r="KJ23" s="131"/>
      <c r="KK23" s="131"/>
      <c r="KL23" s="131"/>
      <c r="KM23" s="131"/>
      <c r="KN23" s="131"/>
      <c r="KO23" s="131"/>
      <c r="KP23" s="131"/>
      <c r="KQ23" s="131"/>
      <c r="KR23" s="131"/>
      <c r="KS23" s="131"/>
      <c r="KT23" s="131"/>
      <c r="KU23" s="131"/>
      <c r="KV23" s="131"/>
      <c r="KW23" s="131"/>
      <c r="KX23" s="131"/>
      <c r="KY23" s="131"/>
      <c r="KZ23" s="131"/>
      <c r="LA23" s="131"/>
      <c r="LB23" s="131"/>
      <c r="LC23" s="131"/>
      <c r="LD23" s="131"/>
      <c r="LE23" s="131"/>
      <c r="LF23" s="131"/>
      <c r="LG23" s="131"/>
      <c r="LH23" s="131"/>
      <c r="LI23" s="131"/>
      <c r="LJ23" s="131"/>
      <c r="LK23" s="131"/>
      <c r="LL23" s="131"/>
      <c r="LM23" s="131"/>
      <c r="LN23" s="131"/>
      <c r="LO23" s="131"/>
      <c r="LP23" s="131"/>
      <c r="LQ23" s="131"/>
      <c r="LR23" s="131"/>
      <c r="LS23" s="131"/>
      <c r="LT23" s="131"/>
      <c r="LU23" s="131"/>
      <c r="LV23" s="131"/>
      <c r="LW23" s="131"/>
      <c r="LX23" s="131"/>
      <c r="LY23" s="131"/>
      <c r="LZ23" s="131"/>
      <c r="MA23" s="131"/>
      <c r="MB23" s="131"/>
    </row>
    <row r="24" spans="1:341" s="50" customFormat="1" ht="31.5" hidden="1" customHeight="1">
      <c r="A24" s="44">
        <v>1</v>
      </c>
      <c r="B24" s="107" t="s">
        <v>38</v>
      </c>
      <c r="C24" s="46" t="s">
        <v>39</v>
      </c>
      <c r="D24" s="105" t="s">
        <v>35</v>
      </c>
      <c r="E24" s="117" t="s">
        <v>40</v>
      </c>
      <c r="F24" s="106" t="s">
        <v>24</v>
      </c>
      <c r="G24" s="145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/>
      <c r="CK24" s="131"/>
      <c r="CL24" s="131"/>
      <c r="CM24" s="131"/>
      <c r="CN24" s="131"/>
      <c r="CO24" s="131"/>
      <c r="CP24" s="131"/>
      <c r="CQ24" s="131"/>
      <c r="CR24" s="131"/>
      <c r="CS24" s="131"/>
      <c r="CT24" s="131"/>
      <c r="CU24" s="131"/>
      <c r="CV24" s="131"/>
      <c r="CW24" s="131"/>
      <c r="CX24" s="131"/>
      <c r="CY24" s="131"/>
      <c r="CZ24" s="131"/>
      <c r="DA24" s="131"/>
      <c r="DB24" s="131"/>
      <c r="DC24" s="131"/>
      <c r="DD24" s="131"/>
      <c r="DE24" s="131"/>
      <c r="DF24" s="131"/>
      <c r="DG24" s="131"/>
      <c r="DH24" s="131"/>
      <c r="DI24" s="131"/>
      <c r="DJ24" s="131"/>
      <c r="DK24" s="131"/>
      <c r="DL24" s="131"/>
      <c r="DM24" s="131"/>
      <c r="DN24" s="131"/>
      <c r="DO24" s="131"/>
      <c r="DP24" s="131"/>
      <c r="DQ24" s="131"/>
      <c r="DR24" s="131"/>
      <c r="DS24" s="131"/>
      <c r="DT24" s="131"/>
      <c r="DU24" s="131"/>
      <c r="DV24" s="131"/>
      <c r="DW24" s="131"/>
      <c r="DX24" s="131"/>
      <c r="DY24" s="131"/>
      <c r="DZ24" s="131"/>
      <c r="EA24" s="131"/>
      <c r="EB24" s="131"/>
      <c r="EC24" s="131"/>
      <c r="ED24" s="131"/>
      <c r="EE24" s="131"/>
      <c r="EF24" s="131"/>
      <c r="EG24" s="131"/>
      <c r="EH24" s="131"/>
      <c r="EI24" s="131"/>
      <c r="EJ24" s="131"/>
      <c r="EK24" s="131"/>
      <c r="EL24" s="131"/>
      <c r="EM24" s="131"/>
      <c r="EN24" s="131"/>
      <c r="EO24" s="131"/>
      <c r="EP24" s="131"/>
      <c r="EQ24" s="131"/>
      <c r="ER24" s="131"/>
      <c r="ES24" s="131"/>
      <c r="ET24" s="131"/>
      <c r="EU24" s="131"/>
      <c r="EV24" s="131"/>
      <c r="EW24" s="131"/>
      <c r="EX24" s="131"/>
      <c r="EY24" s="131"/>
      <c r="EZ24" s="131"/>
      <c r="FA24" s="131"/>
      <c r="FB24" s="131"/>
      <c r="FC24" s="131"/>
      <c r="FD24" s="131"/>
      <c r="FE24" s="131"/>
      <c r="FF24" s="131"/>
      <c r="FG24" s="131"/>
      <c r="FH24" s="131"/>
      <c r="FI24" s="131"/>
      <c r="FJ24" s="131"/>
      <c r="FK24" s="131"/>
      <c r="FL24" s="131"/>
      <c r="FM24" s="131"/>
      <c r="FN24" s="131"/>
      <c r="FO24" s="131"/>
      <c r="FP24" s="131"/>
      <c r="FQ24" s="131"/>
      <c r="FR24" s="131"/>
      <c r="FS24" s="131"/>
      <c r="FT24" s="131"/>
      <c r="FU24" s="131"/>
      <c r="FV24" s="131"/>
      <c r="FW24" s="131"/>
      <c r="FX24" s="131"/>
      <c r="FY24" s="131"/>
      <c r="FZ24" s="131"/>
      <c r="GA24" s="131"/>
      <c r="GB24" s="131"/>
      <c r="GC24" s="131"/>
      <c r="GD24" s="131"/>
      <c r="GE24" s="131"/>
      <c r="GF24" s="131"/>
      <c r="GG24" s="131"/>
      <c r="GH24" s="131"/>
      <c r="GI24" s="131"/>
      <c r="GJ24" s="131"/>
      <c r="GK24" s="131"/>
      <c r="GL24" s="131"/>
      <c r="GM24" s="131"/>
      <c r="GN24" s="131"/>
      <c r="GO24" s="131"/>
      <c r="GP24" s="131"/>
      <c r="GQ24" s="131"/>
      <c r="GR24" s="131"/>
      <c r="GS24" s="131"/>
      <c r="GT24" s="131"/>
      <c r="GU24" s="131"/>
      <c r="GV24" s="131"/>
      <c r="GW24" s="131"/>
      <c r="GX24" s="131"/>
      <c r="GY24" s="131"/>
      <c r="GZ24" s="131"/>
      <c r="HA24" s="131"/>
      <c r="HB24" s="131"/>
      <c r="HC24" s="131"/>
      <c r="HD24" s="131"/>
      <c r="HE24" s="131"/>
      <c r="HF24" s="131"/>
      <c r="HG24" s="131"/>
      <c r="HH24" s="131"/>
      <c r="HI24" s="131"/>
      <c r="HJ24" s="131"/>
      <c r="HK24" s="131"/>
      <c r="HL24" s="131"/>
      <c r="HM24" s="131"/>
      <c r="HN24" s="131"/>
      <c r="HO24" s="131"/>
      <c r="HP24" s="131"/>
      <c r="HQ24" s="131"/>
      <c r="HR24" s="94" t="s">
        <v>25</v>
      </c>
      <c r="HS24" s="94"/>
      <c r="HT24" s="94"/>
      <c r="HU24" s="94" t="s">
        <v>26</v>
      </c>
      <c r="HV24" s="94"/>
      <c r="HW24" s="94"/>
      <c r="HX24" s="94" t="s">
        <v>41</v>
      </c>
      <c r="HY24" s="94"/>
      <c r="HZ24" s="94" t="s">
        <v>42</v>
      </c>
      <c r="IA24" s="94" t="s">
        <v>28</v>
      </c>
      <c r="IB24" s="94"/>
      <c r="IC24" s="94" t="s">
        <v>28</v>
      </c>
      <c r="ID24" s="94"/>
      <c r="IE24" s="94"/>
      <c r="IF24" s="94" t="s">
        <v>28</v>
      </c>
      <c r="IG24" s="94"/>
      <c r="IH24" s="94"/>
      <c r="II24" s="94"/>
      <c r="IJ24" s="94"/>
      <c r="IK24" s="94"/>
      <c r="IL24" s="93"/>
      <c r="IM24" s="93"/>
      <c r="IN24" s="93"/>
      <c r="IO24" s="93"/>
      <c r="IP24" s="93"/>
      <c r="IQ24" s="93"/>
      <c r="IR24" s="131" t="s">
        <v>27</v>
      </c>
      <c r="IS24" s="131" t="s">
        <v>37</v>
      </c>
      <c r="IT24" s="131"/>
      <c r="IU24" s="131"/>
      <c r="IV24" s="131"/>
      <c r="IW24" s="131"/>
      <c r="IX24" s="131"/>
      <c r="IY24" s="131"/>
      <c r="IZ24" s="131"/>
      <c r="JA24" s="131"/>
      <c r="JB24" s="131"/>
      <c r="JC24" s="131"/>
      <c r="JD24" s="131"/>
      <c r="JE24" s="131"/>
      <c r="JF24" s="131"/>
      <c r="JG24" s="131"/>
      <c r="JH24" s="131"/>
      <c r="JI24" s="131"/>
      <c r="JJ24" s="131"/>
      <c r="JK24" s="131"/>
      <c r="JL24" s="131"/>
      <c r="JM24" s="131"/>
      <c r="JN24" s="131"/>
      <c r="JO24" s="131"/>
      <c r="JP24" s="131"/>
      <c r="JQ24" s="131"/>
      <c r="JR24" s="131"/>
      <c r="JS24" s="131"/>
      <c r="JT24" s="131"/>
      <c r="JU24" s="131"/>
      <c r="JV24" s="131"/>
      <c r="JW24" s="131"/>
      <c r="JX24" s="131"/>
      <c r="JY24" s="131"/>
      <c r="JZ24" s="131"/>
      <c r="KA24" s="131"/>
      <c r="KB24" s="131"/>
      <c r="KC24" s="131"/>
      <c r="KD24" s="131"/>
      <c r="KE24" s="131"/>
      <c r="KF24" s="131"/>
      <c r="KG24" s="131"/>
      <c r="KH24" s="131"/>
      <c r="KI24" s="131"/>
      <c r="KJ24" s="131"/>
      <c r="KK24" s="131"/>
      <c r="KL24" s="131"/>
      <c r="KM24" s="131"/>
      <c r="KN24" s="131"/>
      <c r="KO24" s="131"/>
      <c r="KP24" s="131"/>
      <c r="KQ24" s="131"/>
      <c r="KR24" s="131"/>
      <c r="KS24" s="131"/>
      <c r="KT24" s="131"/>
      <c r="KU24" s="131"/>
      <c r="KV24" s="131"/>
      <c r="KW24" s="131"/>
      <c r="KX24" s="131"/>
      <c r="KY24" s="131"/>
      <c r="KZ24" s="131"/>
      <c r="LA24" s="131"/>
      <c r="LB24" s="131"/>
      <c r="LC24" s="131"/>
      <c r="LD24" s="131"/>
      <c r="LE24" s="131"/>
      <c r="LF24" s="131"/>
      <c r="LG24" s="131"/>
      <c r="LH24" s="131"/>
      <c r="LI24" s="131"/>
      <c r="LJ24" s="131"/>
      <c r="LK24" s="131"/>
      <c r="LL24" s="131"/>
      <c r="LM24" s="131"/>
      <c r="LN24" s="131"/>
      <c r="LO24" s="131"/>
      <c r="LP24" s="131"/>
      <c r="LQ24" s="131"/>
      <c r="LR24" s="131"/>
      <c r="LS24" s="131"/>
      <c r="LT24" s="131"/>
      <c r="LU24" s="131"/>
      <c r="LV24" s="131"/>
      <c r="LW24" s="131"/>
      <c r="LX24" s="131"/>
      <c r="LY24" s="131"/>
      <c r="LZ24" s="131"/>
      <c r="MA24" s="131"/>
      <c r="MB24" s="131"/>
    </row>
    <row r="25" spans="1:341" s="50" customFormat="1" ht="31.5" hidden="1" customHeight="1">
      <c r="A25" s="44">
        <v>1</v>
      </c>
      <c r="B25" s="107" t="s">
        <v>43</v>
      </c>
      <c r="C25" s="46" t="s">
        <v>44</v>
      </c>
      <c r="D25" s="105" t="s">
        <v>45</v>
      </c>
      <c r="E25" s="117" t="s">
        <v>46</v>
      </c>
      <c r="F25" s="106" t="s">
        <v>24</v>
      </c>
      <c r="G25" s="145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  <c r="BP25" s="131"/>
      <c r="BQ25" s="131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1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1"/>
      <c r="CV25" s="131"/>
      <c r="CW25" s="131"/>
      <c r="CX25" s="131"/>
      <c r="CY25" s="131"/>
      <c r="CZ25" s="131"/>
      <c r="DA25" s="131"/>
      <c r="DB25" s="131"/>
      <c r="DC25" s="131"/>
      <c r="DD25" s="131"/>
      <c r="DE25" s="131"/>
      <c r="DF25" s="131"/>
      <c r="DG25" s="131"/>
      <c r="DH25" s="131"/>
      <c r="DI25" s="131"/>
      <c r="DJ25" s="131"/>
      <c r="DK25" s="131"/>
      <c r="DL25" s="131"/>
      <c r="DM25" s="131"/>
      <c r="DN25" s="131"/>
      <c r="DO25" s="131"/>
      <c r="DP25" s="131"/>
      <c r="DQ25" s="131"/>
      <c r="DR25" s="131"/>
      <c r="DS25" s="131"/>
      <c r="DT25" s="131"/>
      <c r="DU25" s="131"/>
      <c r="DV25" s="131"/>
      <c r="DW25" s="131"/>
      <c r="DX25" s="131"/>
      <c r="DY25" s="131"/>
      <c r="DZ25" s="131"/>
      <c r="EA25" s="131"/>
      <c r="EB25" s="131"/>
      <c r="EC25" s="131"/>
      <c r="ED25" s="131"/>
      <c r="EE25" s="131"/>
      <c r="EF25" s="131"/>
      <c r="EG25" s="131"/>
      <c r="EH25" s="131"/>
      <c r="EI25" s="131"/>
      <c r="EJ25" s="131"/>
      <c r="EK25" s="131"/>
      <c r="EL25" s="131"/>
      <c r="EM25" s="131"/>
      <c r="EN25" s="131"/>
      <c r="EO25" s="131"/>
      <c r="EP25" s="131"/>
      <c r="EQ25" s="131"/>
      <c r="ER25" s="131"/>
      <c r="ES25" s="131"/>
      <c r="ET25" s="131"/>
      <c r="EU25" s="131"/>
      <c r="EV25" s="131"/>
      <c r="EW25" s="131"/>
      <c r="EX25" s="131"/>
      <c r="EY25" s="131"/>
      <c r="EZ25" s="131"/>
      <c r="FA25" s="131" t="s">
        <v>25</v>
      </c>
      <c r="FB25" s="94"/>
      <c r="FD25" s="94" t="s">
        <v>27</v>
      </c>
      <c r="FE25" s="94"/>
      <c r="FF25" s="94"/>
      <c r="FG25" s="94"/>
      <c r="FH25" s="94" t="s">
        <v>27</v>
      </c>
      <c r="FI25" s="94"/>
      <c r="FJ25" s="94"/>
      <c r="FK25" s="94" t="s">
        <v>27</v>
      </c>
      <c r="FL25" s="94"/>
      <c r="FM25" s="94"/>
      <c r="FN25" s="94" t="s">
        <v>27</v>
      </c>
      <c r="FO25" s="94"/>
      <c r="FP25" s="94"/>
      <c r="FQ25" s="94"/>
      <c r="FR25" s="94"/>
      <c r="FS25" s="94"/>
      <c r="FT25" s="94"/>
      <c r="FU25" s="94"/>
      <c r="FW25" s="94" t="s">
        <v>27</v>
      </c>
      <c r="FX25" s="94"/>
      <c r="FY25" s="94"/>
      <c r="FZ25" s="94"/>
      <c r="GA25" s="94"/>
      <c r="GB25" s="94"/>
      <c r="GC25" s="94" t="s">
        <v>27</v>
      </c>
      <c r="GD25" s="94"/>
      <c r="GE25" s="94" t="s">
        <v>27</v>
      </c>
      <c r="GF25" s="94"/>
      <c r="GG25" s="94"/>
      <c r="GH25" s="94"/>
      <c r="GI25" s="94"/>
      <c r="GJ25" s="94"/>
      <c r="GK25" s="94"/>
      <c r="GL25" s="94" t="s">
        <v>27</v>
      </c>
      <c r="GM25" s="94"/>
      <c r="GN25" s="94"/>
      <c r="GO25" s="94"/>
      <c r="GP25" s="94" t="s">
        <v>27</v>
      </c>
      <c r="GQ25" s="94"/>
      <c r="GR25" s="94"/>
      <c r="GS25" s="94"/>
      <c r="GT25" s="94" t="s">
        <v>27</v>
      </c>
      <c r="GU25" s="94"/>
      <c r="GV25" s="94"/>
      <c r="GW25" s="94" t="s">
        <v>27</v>
      </c>
      <c r="GX25" s="94"/>
      <c r="GY25" s="94" t="s">
        <v>27</v>
      </c>
      <c r="GZ25" s="94"/>
      <c r="HA25" s="94"/>
      <c r="HB25" s="94" t="s">
        <v>27</v>
      </c>
      <c r="HC25" s="94"/>
      <c r="HD25" s="94"/>
      <c r="HE25" s="94" t="s">
        <v>27</v>
      </c>
      <c r="HF25" s="94"/>
      <c r="HG25" s="94"/>
      <c r="HH25" s="94" t="s">
        <v>27</v>
      </c>
      <c r="HI25" s="94"/>
      <c r="HJ25" s="94"/>
      <c r="HK25" s="94" t="s">
        <v>27</v>
      </c>
      <c r="HL25" s="94"/>
      <c r="HM25" s="94"/>
      <c r="HN25" s="94"/>
      <c r="HO25" s="94"/>
      <c r="HP25" s="94"/>
      <c r="HQ25" s="94" t="s">
        <v>27</v>
      </c>
      <c r="HR25" s="94"/>
      <c r="HS25" s="94"/>
      <c r="HT25" s="94"/>
      <c r="HU25" s="94" t="s">
        <v>27</v>
      </c>
      <c r="HV25" s="94"/>
      <c r="HW25" s="94"/>
      <c r="HX25" s="94" t="s">
        <v>27</v>
      </c>
      <c r="HY25" s="94"/>
      <c r="HZ25" s="94"/>
      <c r="IA25" s="94" t="s">
        <v>27</v>
      </c>
      <c r="IB25" s="94"/>
      <c r="IC25" s="94"/>
      <c r="ID25" s="94" t="s">
        <v>27</v>
      </c>
      <c r="IE25" s="94"/>
      <c r="IF25" s="94"/>
      <c r="IG25" s="94" t="s">
        <v>27</v>
      </c>
      <c r="IH25" s="94"/>
      <c r="II25" s="94"/>
      <c r="IJ25" s="94" t="s">
        <v>27</v>
      </c>
      <c r="IK25" s="94"/>
      <c r="IL25" s="94"/>
      <c r="IM25" s="94" t="s">
        <v>27</v>
      </c>
      <c r="IN25" s="94"/>
      <c r="IO25" s="94" t="s">
        <v>27</v>
      </c>
      <c r="IP25" s="94"/>
      <c r="IQ25" s="94" t="s">
        <v>27</v>
      </c>
      <c r="IR25" s="94"/>
      <c r="IS25" s="94"/>
      <c r="IT25" s="94" t="s">
        <v>27</v>
      </c>
      <c r="IU25" s="94"/>
      <c r="IV25" s="94"/>
      <c r="IW25" s="94" t="s">
        <v>27</v>
      </c>
      <c r="IX25" s="94"/>
      <c r="IY25" s="94"/>
      <c r="IZ25" s="94" t="s">
        <v>27</v>
      </c>
      <c r="JA25" s="94"/>
      <c r="JB25" s="94"/>
      <c r="JC25" s="94" t="s">
        <v>27</v>
      </c>
      <c r="JD25" s="94"/>
      <c r="JE25" s="94"/>
      <c r="JF25" s="94" t="s">
        <v>27</v>
      </c>
      <c r="JG25" s="94"/>
      <c r="JH25" s="94"/>
      <c r="JI25" s="94" t="s">
        <v>27</v>
      </c>
      <c r="JJ25" s="94"/>
      <c r="JK25" s="94"/>
      <c r="JL25" s="94" t="s">
        <v>27</v>
      </c>
      <c r="JM25" s="94"/>
      <c r="JN25" s="94"/>
      <c r="JO25" s="94" t="s">
        <v>27</v>
      </c>
      <c r="JP25" s="94"/>
      <c r="JQ25" s="94"/>
      <c r="JR25" s="94" t="s">
        <v>27</v>
      </c>
      <c r="JS25" s="94"/>
      <c r="JT25" s="94"/>
      <c r="JU25" s="94" t="s">
        <v>27</v>
      </c>
      <c r="JV25" s="94"/>
      <c r="JW25" s="94"/>
      <c r="JX25" s="94" t="s">
        <v>27</v>
      </c>
      <c r="JY25" s="94"/>
      <c r="JZ25" s="94"/>
      <c r="KA25" s="94" t="s">
        <v>27</v>
      </c>
      <c r="KB25" s="94"/>
      <c r="KC25" s="94"/>
      <c r="KD25" s="94" t="s">
        <v>27</v>
      </c>
      <c r="KE25" s="94"/>
      <c r="KF25" s="94"/>
      <c r="KG25" s="94" t="s">
        <v>27</v>
      </c>
      <c r="KH25" s="94"/>
      <c r="KI25" s="94"/>
      <c r="KJ25" s="94" t="s">
        <v>27</v>
      </c>
      <c r="KK25" s="94"/>
      <c r="KL25" s="94"/>
      <c r="KM25" s="94" t="s">
        <v>27</v>
      </c>
      <c r="KN25" s="94"/>
      <c r="KO25" s="94"/>
      <c r="KP25" s="94" t="s">
        <v>27</v>
      </c>
      <c r="KQ25" s="94"/>
      <c r="KR25" s="94"/>
      <c r="KS25" s="94" t="s">
        <v>27</v>
      </c>
      <c r="KT25" s="94"/>
      <c r="KU25" s="94"/>
      <c r="KV25" s="94" t="s">
        <v>27</v>
      </c>
      <c r="KW25" s="94"/>
      <c r="KX25" s="94"/>
      <c r="KY25" s="94" t="s">
        <v>27</v>
      </c>
      <c r="KZ25" s="94"/>
      <c r="LA25" s="94"/>
      <c r="LB25" s="94" t="s">
        <v>27</v>
      </c>
      <c r="LC25" s="94"/>
      <c r="LD25" s="94"/>
      <c r="LE25" s="94" t="s">
        <v>27</v>
      </c>
      <c r="LF25" s="94"/>
      <c r="LG25" s="94"/>
      <c r="LH25" s="94" t="s">
        <v>27</v>
      </c>
      <c r="LI25" s="94"/>
      <c r="LJ25" s="94"/>
      <c r="LK25" s="94" t="s">
        <v>27</v>
      </c>
      <c r="LL25" s="94"/>
      <c r="LM25" s="94"/>
      <c r="LN25" s="94" t="s">
        <v>27</v>
      </c>
      <c r="LO25" s="94"/>
      <c r="LP25" s="94"/>
      <c r="LQ25" s="94" t="s">
        <v>27</v>
      </c>
      <c r="LR25" s="94"/>
      <c r="LS25" s="94"/>
      <c r="LT25" s="94" t="s">
        <v>27</v>
      </c>
      <c r="LU25" s="94"/>
      <c r="LV25" s="94"/>
      <c r="LW25" s="94" t="s">
        <v>27</v>
      </c>
      <c r="LX25" s="94"/>
      <c r="LY25" s="94"/>
      <c r="LZ25" s="94" t="s">
        <v>27</v>
      </c>
      <c r="MA25" s="94"/>
      <c r="MB25" s="94"/>
    </row>
    <row r="26" spans="1:341" s="50" customFormat="1" ht="31.5" hidden="1" customHeight="1" thickBot="1">
      <c r="A26" s="44">
        <v>1</v>
      </c>
      <c r="B26" s="107" t="s">
        <v>43</v>
      </c>
      <c r="C26" s="46" t="s">
        <v>47</v>
      </c>
      <c r="D26" s="105" t="s">
        <v>45</v>
      </c>
      <c r="E26" s="117" t="s">
        <v>46</v>
      </c>
      <c r="F26" s="106" t="s">
        <v>24</v>
      </c>
      <c r="G26" s="145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/>
      <c r="BO26" s="131"/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1"/>
      <c r="CS26" s="131"/>
      <c r="CT26" s="131"/>
      <c r="CU26" s="131"/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1"/>
      <c r="DI26" s="131"/>
      <c r="DJ26" s="131"/>
      <c r="DK26" s="131"/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1"/>
      <c r="DY26" s="131"/>
      <c r="DZ26" s="131"/>
      <c r="EA26" s="131"/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1"/>
      <c r="EO26" s="131"/>
      <c r="EP26" s="131"/>
      <c r="EQ26" s="131"/>
      <c r="ER26" s="131"/>
      <c r="ES26" s="131"/>
      <c r="ET26" s="131"/>
      <c r="EU26" s="131"/>
      <c r="EV26" s="131"/>
      <c r="EW26" s="131"/>
      <c r="EX26" s="131"/>
      <c r="EY26" s="131"/>
      <c r="EZ26" s="131"/>
      <c r="FA26" s="94" t="s">
        <v>25</v>
      </c>
      <c r="FB26" s="94"/>
      <c r="FC26" s="94"/>
      <c r="FD26" s="94"/>
      <c r="FE26" s="94" t="s">
        <v>27</v>
      </c>
      <c r="FF26" s="94"/>
      <c r="FG26" s="94"/>
      <c r="FH26" s="94" t="s">
        <v>27</v>
      </c>
      <c r="FI26" s="94"/>
      <c r="FJ26" s="94"/>
      <c r="FK26" s="94" t="s">
        <v>27</v>
      </c>
      <c r="FL26" s="94"/>
      <c r="FM26" s="94"/>
      <c r="FN26" s="94" t="s">
        <v>27</v>
      </c>
      <c r="FO26" s="94"/>
      <c r="FP26" s="94"/>
      <c r="FQ26" s="94"/>
      <c r="FR26" s="94"/>
      <c r="FS26" s="94"/>
      <c r="FT26" s="94"/>
      <c r="FU26" s="94"/>
      <c r="FV26" s="94" t="s">
        <v>27</v>
      </c>
      <c r="FW26" s="94"/>
      <c r="FX26" s="94"/>
      <c r="FY26" s="94"/>
      <c r="FZ26" s="94"/>
      <c r="GA26" s="94"/>
      <c r="GB26" s="94"/>
      <c r="GC26" s="94" t="s">
        <v>27</v>
      </c>
      <c r="GD26" s="94"/>
      <c r="GE26" s="94"/>
      <c r="GF26" s="94" t="s">
        <v>27</v>
      </c>
      <c r="GG26" s="94"/>
      <c r="GH26" s="94"/>
      <c r="GI26" s="94"/>
      <c r="GK26" s="94" t="s">
        <v>27</v>
      </c>
      <c r="GL26" s="94"/>
      <c r="GM26" s="94"/>
      <c r="GN26" s="94"/>
      <c r="GO26" s="94"/>
      <c r="GP26" s="94"/>
      <c r="GQ26" s="94" t="s">
        <v>27</v>
      </c>
      <c r="GR26" s="94"/>
      <c r="GS26" s="94"/>
      <c r="GT26" s="94" t="s">
        <v>27</v>
      </c>
      <c r="GU26" s="94"/>
      <c r="GV26" s="94"/>
      <c r="GW26" s="94"/>
      <c r="GX26" s="94" t="s">
        <v>27</v>
      </c>
      <c r="GY26" s="94"/>
      <c r="GZ26" s="94"/>
      <c r="HA26" s="94" t="s">
        <v>27</v>
      </c>
      <c r="HB26" s="94"/>
      <c r="HC26" s="94"/>
      <c r="HE26" s="94" t="s">
        <v>27</v>
      </c>
      <c r="HF26" s="94"/>
      <c r="HG26" s="94"/>
      <c r="HH26" s="94" t="s">
        <v>27</v>
      </c>
      <c r="HI26" s="94"/>
      <c r="HJ26" s="94"/>
      <c r="HK26" s="94" t="s">
        <v>27</v>
      </c>
      <c r="HL26" s="94"/>
      <c r="HM26" s="94"/>
      <c r="HN26" s="94" t="s">
        <v>27</v>
      </c>
      <c r="HO26" s="94"/>
      <c r="HP26" s="94"/>
      <c r="HQ26" s="94" t="s">
        <v>27</v>
      </c>
      <c r="HR26" s="94"/>
      <c r="HS26" s="94"/>
      <c r="HT26" s="94" t="s">
        <v>27</v>
      </c>
      <c r="HU26" s="94"/>
      <c r="HV26" s="94"/>
      <c r="HW26" s="94" t="s">
        <v>27</v>
      </c>
      <c r="HX26" s="94"/>
      <c r="HY26" s="94"/>
      <c r="HZ26" s="94"/>
      <c r="IA26" s="94"/>
      <c r="IB26" s="94" t="s">
        <v>42</v>
      </c>
      <c r="IC26" s="94" t="s">
        <v>27</v>
      </c>
      <c r="ID26" s="94"/>
      <c r="IE26" s="94"/>
      <c r="IF26" s="94"/>
      <c r="IG26" s="94"/>
      <c r="IH26" s="94"/>
      <c r="II26" s="94" t="s">
        <v>42</v>
      </c>
      <c r="IJ26" s="94" t="s">
        <v>27</v>
      </c>
      <c r="IK26" s="94"/>
      <c r="IL26" s="94" t="s">
        <v>27</v>
      </c>
      <c r="IM26" s="94"/>
      <c r="IN26" s="94"/>
      <c r="IO26" s="94"/>
      <c r="IP26" s="94" t="s">
        <v>27</v>
      </c>
      <c r="IQ26" s="94"/>
      <c r="IR26" s="94"/>
      <c r="IS26" s="94" t="s">
        <v>27</v>
      </c>
      <c r="IT26" s="94"/>
      <c r="IU26" s="94"/>
      <c r="IV26" s="94" t="s">
        <v>27</v>
      </c>
      <c r="IW26" s="94"/>
      <c r="IX26" s="94"/>
      <c r="IY26" s="94" t="s">
        <v>27</v>
      </c>
      <c r="IZ26" s="94"/>
      <c r="JA26" s="94"/>
      <c r="JB26" s="94" t="s">
        <v>27</v>
      </c>
      <c r="JC26" s="94"/>
      <c r="JD26" s="94"/>
      <c r="JE26" s="94" t="s">
        <v>27</v>
      </c>
      <c r="JF26" s="94"/>
      <c r="JG26" s="94"/>
      <c r="JH26" s="94" t="s">
        <v>27</v>
      </c>
      <c r="JI26" s="94"/>
      <c r="JJ26" s="94"/>
      <c r="JK26" s="94" t="s">
        <v>27</v>
      </c>
      <c r="JL26" s="94"/>
      <c r="JM26" s="94"/>
      <c r="JN26" s="94" t="s">
        <v>27</v>
      </c>
      <c r="JO26" s="94"/>
      <c r="JP26" s="94"/>
      <c r="JQ26" s="94" t="s">
        <v>27</v>
      </c>
      <c r="JR26" s="94"/>
      <c r="JS26" s="94"/>
      <c r="JT26" s="94" t="s">
        <v>27</v>
      </c>
      <c r="JU26" s="94"/>
      <c r="JV26" s="94"/>
      <c r="JW26" s="94" t="s">
        <v>27</v>
      </c>
      <c r="JX26" s="94"/>
      <c r="JY26" s="94"/>
      <c r="JZ26" s="94" t="s">
        <v>27</v>
      </c>
      <c r="KA26" s="94"/>
      <c r="KB26" s="94"/>
      <c r="KC26" s="94" t="s">
        <v>27</v>
      </c>
      <c r="KD26" s="94"/>
      <c r="KE26" s="94"/>
      <c r="KF26" s="94" t="s">
        <v>27</v>
      </c>
      <c r="KG26" s="94"/>
      <c r="KH26" s="94"/>
      <c r="KI26" s="94" t="s">
        <v>27</v>
      </c>
      <c r="KJ26" s="94"/>
      <c r="KK26" s="94"/>
      <c r="KL26" s="94" t="s">
        <v>27</v>
      </c>
      <c r="KM26" s="94"/>
      <c r="KN26" s="94"/>
      <c r="KO26" s="94" t="s">
        <v>27</v>
      </c>
      <c r="KP26" s="94"/>
      <c r="KQ26" s="94"/>
      <c r="KR26" s="94" t="s">
        <v>27</v>
      </c>
      <c r="KS26" s="94"/>
      <c r="KT26" s="94"/>
      <c r="KU26" s="94" t="s">
        <v>27</v>
      </c>
      <c r="KV26" s="94"/>
      <c r="KW26" s="94"/>
      <c r="KX26" s="94" t="s">
        <v>27</v>
      </c>
      <c r="KY26" s="94"/>
      <c r="KZ26" s="94"/>
      <c r="LA26" s="94" t="s">
        <v>27</v>
      </c>
      <c r="LB26" s="94"/>
      <c r="LC26" s="94"/>
      <c r="LD26" s="94" t="s">
        <v>27</v>
      </c>
      <c r="LE26" s="94"/>
      <c r="LF26" s="94"/>
      <c r="LG26" s="94" t="s">
        <v>27</v>
      </c>
      <c r="LH26" s="94"/>
      <c r="LI26" s="94"/>
      <c r="LJ26" s="94" t="s">
        <v>27</v>
      </c>
      <c r="LK26" s="94"/>
      <c r="LL26" s="94"/>
      <c r="LM26" s="94" t="s">
        <v>27</v>
      </c>
      <c r="LN26" s="94"/>
      <c r="LO26" s="94"/>
      <c r="LP26" s="94" t="s">
        <v>27</v>
      </c>
      <c r="LQ26" s="94"/>
      <c r="LR26" s="94"/>
      <c r="LS26" s="94" t="s">
        <v>27</v>
      </c>
      <c r="LT26" s="94"/>
      <c r="LU26" s="94"/>
      <c r="LV26" s="94" t="s">
        <v>27</v>
      </c>
      <c r="LW26" s="94"/>
      <c r="LX26" s="94"/>
      <c r="LY26" s="94" t="s">
        <v>27</v>
      </c>
      <c r="LZ26" s="94"/>
      <c r="MA26" s="94"/>
      <c r="MB26" s="94" t="s">
        <v>27</v>
      </c>
    </row>
    <row r="27" spans="1:341" s="50" customFormat="1" ht="31.5" hidden="1" customHeight="1">
      <c r="A27" s="44">
        <v>1</v>
      </c>
      <c r="B27" s="107" t="s">
        <v>38</v>
      </c>
      <c r="C27" s="46" t="s">
        <v>48</v>
      </c>
      <c r="D27" s="105" t="s">
        <v>49</v>
      </c>
      <c r="E27" s="117" t="s">
        <v>50</v>
      </c>
      <c r="F27" s="106" t="s">
        <v>24</v>
      </c>
      <c r="G27" s="145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/>
      <c r="BL27" s="131"/>
      <c r="BM27" s="131"/>
      <c r="BN27" s="131"/>
      <c r="BO27" s="131"/>
      <c r="BP27" s="131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31"/>
      <c r="CC27" s="131"/>
      <c r="CD27" s="131"/>
      <c r="CE27" s="131"/>
      <c r="CF27" s="131"/>
      <c r="CG27" s="131"/>
      <c r="CH27" s="131"/>
      <c r="CI27" s="131"/>
      <c r="CJ27" s="131"/>
      <c r="CK27" s="131"/>
      <c r="CL27" s="131"/>
      <c r="CM27" s="131"/>
      <c r="CN27" s="131"/>
      <c r="CO27" s="131"/>
      <c r="CP27" s="131"/>
      <c r="CQ27" s="131"/>
      <c r="CR27" s="131"/>
      <c r="CS27" s="131"/>
      <c r="CT27" s="131"/>
      <c r="CU27" s="131"/>
      <c r="CV27" s="131"/>
      <c r="CW27" s="131"/>
      <c r="CX27" s="131"/>
      <c r="CY27" s="131"/>
      <c r="CZ27" s="131"/>
      <c r="DA27" s="131"/>
      <c r="DB27" s="131"/>
      <c r="DC27" s="131"/>
      <c r="DD27" s="131"/>
      <c r="DE27" s="131"/>
      <c r="DF27" s="131"/>
      <c r="DG27" s="131"/>
      <c r="DH27" s="131"/>
      <c r="DI27" s="131"/>
      <c r="DJ27" s="131"/>
      <c r="DK27" s="131"/>
      <c r="DL27" s="131"/>
      <c r="DM27" s="131"/>
      <c r="DN27" s="131"/>
      <c r="DO27" s="131"/>
      <c r="DP27" s="131"/>
      <c r="DQ27" s="131"/>
      <c r="DR27" s="131"/>
      <c r="DS27" s="131"/>
      <c r="DT27" s="131"/>
      <c r="DU27" s="131"/>
      <c r="DV27" s="131"/>
      <c r="DW27" s="131"/>
      <c r="DX27" s="131"/>
      <c r="DY27" s="131"/>
      <c r="DZ27" s="131"/>
      <c r="EA27" s="131"/>
      <c r="EB27" s="131"/>
      <c r="EC27" s="131"/>
      <c r="ED27" s="131"/>
      <c r="EE27" s="131"/>
      <c r="EF27" s="131"/>
      <c r="EG27" s="131"/>
      <c r="EH27" s="131"/>
      <c r="EI27" s="131"/>
      <c r="EJ27" s="131"/>
      <c r="EK27" s="131"/>
      <c r="EL27" s="131"/>
      <c r="EM27" s="131"/>
      <c r="EN27" s="131"/>
      <c r="EO27" s="131"/>
      <c r="EP27" s="131"/>
      <c r="EQ27" s="131"/>
      <c r="ER27" s="131"/>
      <c r="ES27" s="131"/>
      <c r="ET27" s="131"/>
      <c r="EU27" s="131"/>
      <c r="EV27" s="131"/>
      <c r="EW27" s="131"/>
      <c r="EX27" s="131"/>
      <c r="EY27" s="131"/>
      <c r="EZ27" s="131"/>
      <c r="FA27" s="131"/>
      <c r="FB27" s="131"/>
      <c r="FC27" s="131"/>
      <c r="FD27" s="131"/>
      <c r="FE27" s="131"/>
      <c r="FF27" s="131"/>
      <c r="FG27" s="131"/>
      <c r="FH27" s="131"/>
      <c r="FI27" s="131"/>
      <c r="FJ27" s="131"/>
      <c r="FK27" s="131"/>
      <c r="FL27" s="131"/>
      <c r="FM27" s="131"/>
      <c r="FN27" s="131"/>
      <c r="FO27" s="131"/>
      <c r="FP27" s="131"/>
      <c r="FQ27" s="131"/>
      <c r="FR27" s="131"/>
      <c r="FS27" s="131"/>
      <c r="FT27" s="131"/>
      <c r="FU27" s="131"/>
      <c r="FV27" s="131"/>
      <c r="FW27" s="131"/>
      <c r="FX27" s="131"/>
      <c r="FY27" s="131"/>
      <c r="FZ27" s="131"/>
      <c r="GA27" s="94" t="s">
        <v>25</v>
      </c>
      <c r="GB27" s="94"/>
      <c r="GC27" s="94"/>
      <c r="GD27" s="94"/>
      <c r="GE27" s="94"/>
      <c r="GF27" s="94"/>
      <c r="GG27" s="94"/>
      <c r="GH27" s="94" t="s">
        <v>41</v>
      </c>
      <c r="GI27" s="94"/>
      <c r="GJ27" s="94"/>
      <c r="GK27" s="94"/>
      <c r="GL27" s="94"/>
      <c r="GM27" s="94"/>
      <c r="GN27" s="94"/>
      <c r="GO27" s="94"/>
      <c r="GP27" s="94"/>
      <c r="GR27" s="94"/>
      <c r="GS27" s="94" t="s">
        <v>27</v>
      </c>
      <c r="GT27" s="94"/>
      <c r="GU27" s="94"/>
      <c r="GV27" s="94"/>
      <c r="GW27" s="94"/>
      <c r="GX27" s="94"/>
      <c r="GY27" s="94"/>
      <c r="GZ27" s="94"/>
      <c r="HA27" s="94"/>
      <c r="HB27" s="94" t="s">
        <v>41</v>
      </c>
      <c r="HC27" s="94"/>
      <c r="HD27" s="94"/>
      <c r="HE27" s="94"/>
      <c r="HF27" s="94"/>
      <c r="HG27" s="94"/>
      <c r="HH27" s="94"/>
      <c r="HI27" s="94"/>
      <c r="HJ27" s="94"/>
      <c r="HK27" s="94"/>
      <c r="HL27" s="94"/>
      <c r="HM27" s="94"/>
      <c r="HN27" s="94"/>
      <c r="HO27" s="94"/>
      <c r="HP27" s="94"/>
      <c r="HQ27" s="94"/>
      <c r="HR27" s="94" t="s">
        <v>41</v>
      </c>
      <c r="HS27" s="94"/>
      <c r="HT27" s="94"/>
      <c r="HU27" s="94"/>
      <c r="HV27" s="94"/>
      <c r="HW27" s="94"/>
      <c r="HX27" s="94"/>
      <c r="HY27" s="94"/>
      <c r="HZ27" s="94"/>
      <c r="IA27" s="94" t="s">
        <v>41</v>
      </c>
      <c r="IB27" s="94"/>
      <c r="IC27" s="94"/>
      <c r="ID27" s="94"/>
      <c r="IE27" s="94"/>
      <c r="IF27" s="94"/>
      <c r="IG27" s="94"/>
      <c r="IH27" s="94"/>
      <c r="II27" s="94"/>
      <c r="IJ27" s="94"/>
      <c r="IK27" s="94" t="s">
        <v>41</v>
      </c>
      <c r="IL27" s="94"/>
      <c r="IM27" s="94"/>
      <c r="IN27" s="94"/>
      <c r="IO27" s="94"/>
      <c r="IP27" s="94"/>
      <c r="IQ27" s="94" t="s">
        <v>28</v>
      </c>
      <c r="IR27" s="94"/>
      <c r="IS27" s="94"/>
      <c r="IT27" s="94" t="s">
        <v>41</v>
      </c>
      <c r="IU27" s="94"/>
      <c r="IV27" s="94"/>
      <c r="IW27" s="94"/>
      <c r="IX27" s="94"/>
      <c r="IY27" s="94"/>
      <c r="IZ27" s="94"/>
      <c r="JA27" s="94"/>
      <c r="JB27" s="94"/>
      <c r="JC27" s="94"/>
      <c r="JD27" s="94"/>
      <c r="JE27" s="94" t="s">
        <v>41</v>
      </c>
      <c r="JF27" s="94"/>
      <c r="JG27" s="94"/>
      <c r="JH27" s="94"/>
      <c r="JI27" s="94"/>
      <c r="JJ27" s="94"/>
      <c r="JK27" s="94"/>
      <c r="JL27" s="94"/>
      <c r="JM27" s="94"/>
      <c r="JN27" s="94"/>
      <c r="JO27" s="94"/>
      <c r="JP27" s="94" t="s">
        <v>41</v>
      </c>
      <c r="JQ27" s="94"/>
      <c r="JR27" s="94"/>
      <c r="JS27" s="94"/>
      <c r="JT27" s="94"/>
      <c r="JU27" s="94"/>
      <c r="JV27" s="94"/>
      <c r="JW27" s="94"/>
      <c r="JX27" s="94"/>
      <c r="JZ27" s="94"/>
      <c r="KA27" s="94" t="s">
        <v>41</v>
      </c>
      <c r="KB27" s="94"/>
      <c r="KC27" s="94"/>
      <c r="KD27" s="94"/>
      <c r="KE27" s="94"/>
      <c r="KF27" s="94"/>
      <c r="KG27" s="94"/>
      <c r="KH27" s="94"/>
      <c r="KI27" s="94"/>
      <c r="KK27" s="94"/>
      <c r="KL27" s="94" t="s">
        <v>41</v>
      </c>
      <c r="KM27" s="94"/>
      <c r="KN27" s="94"/>
      <c r="KO27" s="94"/>
      <c r="KP27" s="94"/>
      <c r="KQ27" s="94"/>
      <c r="KR27" s="94"/>
      <c r="KS27" s="94"/>
      <c r="KT27" s="94"/>
      <c r="KV27" s="94"/>
      <c r="KW27" s="94" t="s">
        <v>41</v>
      </c>
      <c r="KX27" s="94" t="s">
        <v>37</v>
      </c>
      <c r="KY27" s="131"/>
      <c r="KZ27" s="131"/>
      <c r="LA27" s="131"/>
      <c r="LB27" s="131"/>
      <c r="LC27" s="131"/>
      <c r="LD27" s="131"/>
      <c r="LE27" s="131"/>
      <c r="LF27" s="131"/>
      <c r="LG27" s="131"/>
      <c r="LH27" s="131"/>
      <c r="LI27" s="131"/>
      <c r="LJ27" s="131"/>
      <c r="LK27" s="131"/>
      <c r="LL27" s="131"/>
      <c r="LM27" s="131"/>
      <c r="LN27" s="131"/>
      <c r="LO27" s="131"/>
      <c r="LP27" s="131"/>
      <c r="LQ27" s="131"/>
      <c r="LR27" s="131"/>
      <c r="LS27" s="131"/>
      <c r="LT27" s="131"/>
      <c r="LU27" s="131"/>
      <c r="LV27" s="131"/>
      <c r="LW27" s="131"/>
      <c r="LX27" s="131"/>
      <c r="LY27" s="131"/>
      <c r="LZ27" s="131"/>
      <c r="MA27" s="131"/>
      <c r="MB27" s="131"/>
    </row>
    <row r="28" spans="1:341" s="50" customFormat="1" ht="31.5" customHeight="1" thickBot="1">
      <c r="A28" s="44">
        <v>1</v>
      </c>
      <c r="B28" s="107" t="s">
        <v>51</v>
      </c>
      <c r="C28" s="46" t="s">
        <v>52</v>
      </c>
      <c r="D28" s="105" t="s">
        <v>22</v>
      </c>
      <c r="E28" s="117" t="s">
        <v>23</v>
      </c>
      <c r="F28" s="106" t="s">
        <v>53</v>
      </c>
      <c r="G28" s="143"/>
      <c r="H28" s="94"/>
      <c r="I28" s="94"/>
      <c r="J28" s="94" t="s">
        <v>26</v>
      </c>
      <c r="K28" s="94"/>
      <c r="L28" s="94"/>
      <c r="M28" s="94" t="s">
        <v>26</v>
      </c>
      <c r="N28" s="94"/>
      <c r="O28" s="94" t="s">
        <v>26</v>
      </c>
      <c r="P28" s="94"/>
      <c r="Q28" s="94" t="s">
        <v>26</v>
      </c>
      <c r="R28" s="94"/>
      <c r="S28" s="94" t="s">
        <v>26</v>
      </c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 t="s">
        <v>27</v>
      </c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 t="s">
        <v>27</v>
      </c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 t="s">
        <v>27</v>
      </c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 t="s">
        <v>27</v>
      </c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 t="s">
        <v>27</v>
      </c>
      <c r="CD28" s="94"/>
      <c r="CE28" s="94"/>
      <c r="CF28" s="94"/>
      <c r="CG28" s="94"/>
      <c r="CH28" s="94" t="s">
        <v>28</v>
      </c>
      <c r="CI28" s="94" t="s">
        <v>26</v>
      </c>
      <c r="CJ28" s="94"/>
      <c r="CK28" s="94" t="s">
        <v>28</v>
      </c>
      <c r="CL28" s="94" t="s">
        <v>26</v>
      </c>
      <c r="CM28" s="94"/>
      <c r="CN28" s="94" t="s">
        <v>26</v>
      </c>
      <c r="CO28" s="94" t="s">
        <v>26</v>
      </c>
      <c r="CP28" s="94" t="s">
        <v>28</v>
      </c>
      <c r="CQ28" s="94" t="s">
        <v>26</v>
      </c>
      <c r="CR28" s="94"/>
      <c r="CS28" s="94"/>
      <c r="CT28" s="94"/>
      <c r="CU28" s="94"/>
      <c r="CV28" s="94"/>
      <c r="CW28" s="94"/>
      <c r="CX28" s="94"/>
      <c r="CY28" s="94"/>
      <c r="CZ28" s="94"/>
      <c r="DA28" s="94"/>
      <c r="DB28" s="94"/>
      <c r="DC28" s="94"/>
      <c r="DD28" s="94"/>
      <c r="DE28" s="94"/>
      <c r="DF28" s="94"/>
      <c r="DG28" s="94" t="s">
        <v>27</v>
      </c>
      <c r="DH28" s="94"/>
      <c r="DI28" s="94"/>
      <c r="DJ28" s="94"/>
      <c r="DK28" s="94"/>
      <c r="DL28" s="94"/>
      <c r="DM28" s="94"/>
      <c r="DN28" s="94"/>
      <c r="DO28" s="94"/>
      <c r="DP28" s="94"/>
      <c r="DQ28" s="94"/>
      <c r="DR28" s="94"/>
      <c r="DS28" s="94"/>
      <c r="DT28" s="94"/>
      <c r="DU28" s="94"/>
      <c r="DV28" s="94"/>
      <c r="DW28" s="94" t="s">
        <v>27</v>
      </c>
      <c r="DX28" s="94"/>
      <c r="DY28" s="94"/>
      <c r="DZ28" s="94"/>
      <c r="EA28" s="94"/>
      <c r="EB28" s="94"/>
      <c r="EC28" s="94"/>
      <c r="ED28" s="94"/>
      <c r="EE28" s="94"/>
      <c r="EF28" s="94"/>
      <c r="EG28" s="94"/>
      <c r="EH28" s="94" t="s">
        <v>27</v>
      </c>
      <c r="EI28" s="94"/>
      <c r="EJ28" s="94"/>
      <c r="EK28" s="94"/>
      <c r="EL28" s="94"/>
      <c r="EM28" s="94"/>
      <c r="EN28" s="94"/>
      <c r="EO28" s="94"/>
      <c r="EP28" s="94"/>
      <c r="EQ28" s="94"/>
      <c r="ER28" s="94"/>
      <c r="ES28" s="94"/>
      <c r="ET28" s="94" t="s">
        <v>27</v>
      </c>
      <c r="EU28" s="94"/>
      <c r="EV28" s="94"/>
      <c r="EW28" s="94"/>
      <c r="EX28" s="94"/>
      <c r="EY28" s="94"/>
      <c r="EZ28" s="94"/>
      <c r="FA28" s="94"/>
      <c r="FB28" s="94"/>
      <c r="FC28" s="94"/>
      <c r="FD28" s="94"/>
      <c r="FE28" s="94"/>
      <c r="FF28" s="94"/>
      <c r="FG28" s="94"/>
      <c r="FH28" s="94" t="s">
        <v>27</v>
      </c>
      <c r="FI28" s="94"/>
      <c r="FJ28" s="94"/>
      <c r="FK28" s="94"/>
      <c r="FL28" s="94" t="s">
        <v>26</v>
      </c>
      <c r="FM28" s="94"/>
      <c r="FN28" s="94" t="s">
        <v>26</v>
      </c>
      <c r="FO28" s="94" t="s">
        <v>26</v>
      </c>
      <c r="FP28" s="94" t="s">
        <v>26</v>
      </c>
      <c r="FQ28" s="94"/>
      <c r="FR28" s="94"/>
      <c r="FS28" s="94"/>
      <c r="FT28" s="94"/>
      <c r="FU28" s="94"/>
      <c r="FV28" s="94"/>
      <c r="FW28" s="94"/>
      <c r="FX28" s="94"/>
      <c r="FY28" s="94" t="s">
        <v>27</v>
      </c>
      <c r="FZ28" s="94"/>
      <c r="GA28" s="94"/>
      <c r="GB28" s="94"/>
      <c r="GC28" s="94"/>
      <c r="GD28" s="94"/>
      <c r="GE28" s="94" t="s">
        <v>27</v>
      </c>
      <c r="GF28" s="94"/>
      <c r="GG28" s="94"/>
      <c r="GH28" s="94"/>
      <c r="GI28" s="94"/>
      <c r="GJ28" s="94"/>
      <c r="GK28" s="94"/>
      <c r="GL28" s="94"/>
      <c r="GM28" s="94"/>
      <c r="GN28" s="94"/>
      <c r="GO28" s="94"/>
      <c r="GP28" s="94" t="s">
        <v>27</v>
      </c>
      <c r="GQ28" s="94"/>
      <c r="GR28" s="94"/>
      <c r="GS28" s="94"/>
      <c r="GT28" s="94"/>
      <c r="GU28" s="94"/>
      <c r="GV28" s="94"/>
      <c r="GW28" s="94"/>
      <c r="GX28" s="94"/>
      <c r="GY28" s="94" t="s">
        <v>27</v>
      </c>
      <c r="GZ28" s="131"/>
      <c r="HA28" s="131"/>
      <c r="HB28" s="131"/>
      <c r="HC28" s="131"/>
      <c r="HD28" s="131"/>
      <c r="HE28" s="131"/>
      <c r="HF28" s="131"/>
      <c r="HG28" s="131"/>
      <c r="HH28" s="131"/>
      <c r="HI28" s="131"/>
      <c r="HJ28" s="131"/>
      <c r="HK28" s="131"/>
      <c r="HL28" s="131"/>
      <c r="HM28" s="131"/>
      <c r="HN28" s="131"/>
      <c r="HO28" s="131"/>
      <c r="HP28" s="131"/>
      <c r="HQ28" s="131"/>
      <c r="HR28" s="131"/>
      <c r="HS28" s="131"/>
      <c r="HT28" s="131"/>
      <c r="HU28" s="131"/>
      <c r="HV28" s="131"/>
      <c r="HW28" s="131"/>
      <c r="HX28" s="131"/>
      <c r="HY28" s="131"/>
      <c r="HZ28" s="131"/>
      <c r="IA28" s="131"/>
      <c r="IB28" s="131"/>
      <c r="IC28" s="131"/>
      <c r="ID28" s="131"/>
      <c r="IE28" s="131"/>
      <c r="IF28" s="131"/>
      <c r="IG28" s="131"/>
      <c r="IH28" s="131"/>
      <c r="II28" s="131"/>
      <c r="IJ28" s="131"/>
      <c r="IK28" s="131"/>
      <c r="IL28" s="131"/>
      <c r="IM28" s="131"/>
      <c r="IN28" s="131"/>
      <c r="IO28" s="94"/>
      <c r="IP28" s="94"/>
      <c r="IQ28" s="94" t="s">
        <v>26</v>
      </c>
      <c r="IR28" s="94" t="s">
        <v>26</v>
      </c>
      <c r="IS28" s="94" t="s">
        <v>26</v>
      </c>
      <c r="IT28" s="94"/>
      <c r="IU28" s="94"/>
      <c r="IV28" s="94"/>
      <c r="IW28" s="94"/>
      <c r="IX28" s="94"/>
      <c r="IY28" s="94"/>
      <c r="IZ28" s="94"/>
      <c r="JA28" s="94"/>
      <c r="JB28" s="94"/>
      <c r="JC28" s="94"/>
      <c r="JD28" s="94"/>
      <c r="JE28" s="94" t="s">
        <v>27</v>
      </c>
      <c r="JF28" s="94"/>
      <c r="JG28" s="94"/>
      <c r="JH28" s="94"/>
      <c r="JI28" s="94"/>
      <c r="JJ28" s="94"/>
      <c r="JK28" s="94"/>
      <c r="JL28" s="94"/>
      <c r="JM28" s="94"/>
      <c r="JN28" s="94"/>
      <c r="JO28" s="94"/>
      <c r="JP28" s="94"/>
      <c r="JQ28" s="94"/>
      <c r="JR28" s="94" t="s">
        <v>27</v>
      </c>
      <c r="JS28" s="94"/>
      <c r="JT28" s="94"/>
      <c r="JU28" s="94"/>
      <c r="JV28" s="94"/>
      <c r="JW28" s="94"/>
      <c r="JX28" s="94"/>
      <c r="JY28" s="94"/>
      <c r="JZ28" s="94"/>
      <c r="KA28" s="94"/>
      <c r="KB28" s="94"/>
      <c r="KC28" s="94"/>
      <c r="KD28" s="94"/>
      <c r="KE28" s="94" t="s">
        <v>27</v>
      </c>
      <c r="KF28" s="94"/>
      <c r="KG28" s="94"/>
      <c r="KH28" s="94"/>
      <c r="KI28" s="94"/>
      <c r="KJ28" s="94"/>
      <c r="KK28" s="94"/>
      <c r="KL28" s="94"/>
      <c r="KM28" s="94"/>
      <c r="KN28" s="94"/>
      <c r="KO28" s="94"/>
      <c r="KP28" s="94"/>
      <c r="KQ28" s="94"/>
      <c r="KR28" s="94" t="s">
        <v>27</v>
      </c>
      <c r="KS28" s="94"/>
      <c r="KT28" s="94"/>
      <c r="KU28" s="94"/>
      <c r="KV28" s="94" t="s">
        <v>26</v>
      </c>
      <c r="KW28" s="94" t="s">
        <v>26</v>
      </c>
      <c r="KX28" s="94" t="s">
        <v>26</v>
      </c>
      <c r="KY28" s="94" t="s">
        <v>26</v>
      </c>
      <c r="KZ28" s="94"/>
      <c r="LA28" s="94"/>
      <c r="LB28" s="94"/>
      <c r="LC28" s="94"/>
      <c r="LD28" s="94"/>
      <c r="LE28" s="94"/>
      <c r="LF28" s="94"/>
      <c r="LG28" s="94"/>
      <c r="LH28" s="94"/>
      <c r="LI28" s="94"/>
      <c r="LJ28" s="94"/>
      <c r="LK28" s="94"/>
      <c r="LL28" s="94" t="s">
        <v>27</v>
      </c>
      <c r="LM28" s="94"/>
      <c r="LN28" s="94"/>
      <c r="LO28" s="94"/>
      <c r="LP28" s="94"/>
      <c r="LQ28" s="94"/>
      <c r="LR28" s="94"/>
      <c r="LS28" s="94"/>
      <c r="LT28" s="94"/>
      <c r="LU28" s="94"/>
      <c r="LV28" s="94"/>
      <c r="LW28" s="94"/>
      <c r="LX28" s="94"/>
      <c r="LY28" s="94" t="s">
        <v>27</v>
      </c>
      <c r="LZ28" s="94"/>
      <c r="MA28" s="94"/>
      <c r="MB28" s="94"/>
    </row>
    <row r="29" spans="1:341" s="50" customFormat="1" ht="31.5" customHeight="1" thickBot="1">
      <c r="A29" s="44">
        <v>2</v>
      </c>
      <c r="B29" s="125" t="s">
        <v>51</v>
      </c>
      <c r="C29" s="51" t="s">
        <v>54</v>
      </c>
      <c r="D29" s="133" t="s">
        <v>22</v>
      </c>
      <c r="E29" s="134" t="s">
        <v>23</v>
      </c>
      <c r="F29" s="135" t="s">
        <v>53</v>
      </c>
      <c r="G29" s="143"/>
      <c r="H29" s="94"/>
      <c r="I29" s="94"/>
      <c r="J29" s="94"/>
      <c r="K29" s="144"/>
      <c r="L29" s="94" t="s">
        <v>27</v>
      </c>
      <c r="M29" s="94"/>
      <c r="N29" s="94"/>
      <c r="O29" s="94"/>
      <c r="P29" s="94"/>
      <c r="Q29" s="94"/>
      <c r="R29" s="94"/>
      <c r="S29" s="94" t="s">
        <v>26</v>
      </c>
      <c r="T29" s="94"/>
      <c r="U29" s="94" t="s">
        <v>26</v>
      </c>
      <c r="V29" s="94"/>
      <c r="W29" s="94" t="s">
        <v>26</v>
      </c>
      <c r="X29" s="94"/>
      <c r="Y29" s="94" t="s">
        <v>26</v>
      </c>
      <c r="Z29" s="94"/>
      <c r="AA29" s="94" t="s">
        <v>26</v>
      </c>
      <c r="AB29" s="94"/>
      <c r="AC29" s="14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144"/>
      <c r="AO29" s="94" t="s">
        <v>27</v>
      </c>
      <c r="AP29" s="94"/>
      <c r="AQ29" s="144"/>
      <c r="AR29" s="94"/>
      <c r="AS29" s="94"/>
      <c r="AT29" s="94"/>
      <c r="AU29" s="94"/>
      <c r="AV29" s="94"/>
      <c r="AW29" s="94"/>
      <c r="AX29" s="94"/>
      <c r="AY29" s="94"/>
      <c r="AZ29" s="94" t="s">
        <v>27</v>
      </c>
      <c r="BA29" s="94"/>
      <c r="BB29" s="94"/>
      <c r="BC29" s="144"/>
      <c r="BD29" s="94"/>
      <c r="BE29" s="94"/>
      <c r="BF29" s="94"/>
      <c r="BG29" s="94"/>
      <c r="BH29" s="94"/>
      <c r="BI29" s="94"/>
      <c r="BJ29" s="94"/>
      <c r="BK29" s="94"/>
      <c r="BL29" s="94"/>
      <c r="BM29" s="94" t="s">
        <v>27</v>
      </c>
      <c r="BN29" s="94"/>
      <c r="BO29" s="94"/>
      <c r="BP29" s="94"/>
      <c r="BQ29" s="94"/>
      <c r="BR29" s="144"/>
      <c r="BS29" s="94"/>
      <c r="BT29" s="94"/>
      <c r="BU29" s="94"/>
      <c r="BV29" s="94"/>
      <c r="BW29" s="94"/>
      <c r="BX29" s="94"/>
      <c r="BY29" s="94"/>
      <c r="BZ29" s="94" t="s">
        <v>27</v>
      </c>
      <c r="CA29" s="94"/>
      <c r="CB29" s="94"/>
      <c r="CC29" s="94"/>
      <c r="CD29" s="94"/>
      <c r="CE29" s="144"/>
      <c r="CF29" s="94"/>
      <c r="CG29" s="94"/>
      <c r="CH29" s="94"/>
      <c r="CI29" s="94"/>
      <c r="CJ29" s="94" t="s">
        <v>27</v>
      </c>
      <c r="CK29" s="94"/>
      <c r="CL29" s="94"/>
      <c r="CM29" s="94"/>
      <c r="CN29" s="94"/>
      <c r="CO29" s="94" t="s">
        <v>26</v>
      </c>
      <c r="CP29" s="94"/>
      <c r="CQ29" s="94" t="s">
        <v>26</v>
      </c>
      <c r="CR29" s="94"/>
      <c r="CS29" s="94" t="s">
        <v>26</v>
      </c>
      <c r="CT29" s="94" t="s">
        <v>26</v>
      </c>
      <c r="CU29" s="94" t="s">
        <v>26</v>
      </c>
      <c r="CV29" s="94"/>
      <c r="CW29" s="94"/>
      <c r="CX29" s="94"/>
      <c r="CY29" s="94"/>
      <c r="CZ29" s="94"/>
      <c r="DA29" s="94"/>
      <c r="DB29" s="94"/>
      <c r="DC29" s="94"/>
      <c r="DD29" s="94"/>
      <c r="DE29" s="94"/>
      <c r="DF29" s="94"/>
      <c r="DG29" s="94"/>
      <c r="DH29" s="94"/>
      <c r="DI29" s="94"/>
      <c r="DJ29" s="94"/>
      <c r="DK29" s="94" t="s">
        <v>27</v>
      </c>
      <c r="DL29" s="94"/>
      <c r="DM29" s="94"/>
      <c r="DN29" s="94"/>
      <c r="DP29" s="94"/>
      <c r="DQ29" s="94"/>
      <c r="DR29" s="94"/>
      <c r="DS29" s="94"/>
      <c r="DT29" s="94"/>
      <c r="DU29" s="94"/>
      <c r="DV29" s="94"/>
      <c r="DW29" s="94" t="s">
        <v>27</v>
      </c>
      <c r="DX29" s="94"/>
      <c r="DY29" s="94"/>
      <c r="DZ29" s="94"/>
      <c r="EA29" s="94"/>
      <c r="EB29" s="94"/>
      <c r="EC29" s="94"/>
      <c r="ED29" s="94"/>
      <c r="EE29" s="94"/>
      <c r="EF29" s="94"/>
      <c r="EG29" s="94"/>
      <c r="EH29" s="94"/>
      <c r="EI29" s="94" t="s">
        <v>27</v>
      </c>
      <c r="EJ29" s="94"/>
      <c r="EK29" s="94"/>
      <c r="EL29" s="94"/>
      <c r="EM29" s="94"/>
      <c r="EN29" s="94"/>
      <c r="EO29" s="94"/>
      <c r="EP29" s="94"/>
      <c r="EQ29" s="94"/>
      <c r="ER29" s="94"/>
      <c r="ES29" s="94" t="s">
        <v>27</v>
      </c>
      <c r="ET29" s="94"/>
      <c r="EU29" s="94"/>
      <c r="EV29" s="94"/>
      <c r="EW29" s="94"/>
      <c r="EX29" s="94"/>
      <c r="EY29" s="94"/>
      <c r="EZ29" s="94"/>
      <c r="FA29" s="94"/>
      <c r="FB29" s="94"/>
      <c r="FC29" s="94"/>
      <c r="FD29" s="94" t="s">
        <v>27</v>
      </c>
      <c r="FE29" s="94"/>
      <c r="FF29" s="94"/>
      <c r="FG29" s="94"/>
      <c r="FH29" s="94"/>
      <c r="FI29" s="94" t="s">
        <v>26</v>
      </c>
      <c r="FJ29" s="94" t="s">
        <v>26</v>
      </c>
      <c r="FK29" s="94" t="s">
        <v>26</v>
      </c>
      <c r="FL29" s="94"/>
      <c r="FM29" s="94" t="s">
        <v>26</v>
      </c>
      <c r="FN29" s="94" t="s">
        <v>26</v>
      </c>
      <c r="FO29" s="94"/>
      <c r="FP29" s="94"/>
      <c r="FQ29" s="94"/>
      <c r="FR29" s="94"/>
      <c r="FS29" s="94"/>
      <c r="FT29" s="94"/>
      <c r="FU29" s="94"/>
      <c r="FV29" s="94"/>
      <c r="FW29" s="94" t="s">
        <v>27</v>
      </c>
      <c r="FX29" s="94"/>
      <c r="FY29" s="94"/>
      <c r="FZ29" s="94"/>
      <c r="GA29" s="94"/>
      <c r="GB29" s="94" t="s">
        <v>28</v>
      </c>
      <c r="GC29" s="94"/>
      <c r="GD29" s="94"/>
      <c r="GE29" s="94"/>
      <c r="GF29" s="94"/>
      <c r="GG29" s="94"/>
      <c r="GH29" s="94"/>
      <c r="GI29" s="94"/>
      <c r="GJ29" s="94" t="s">
        <v>27</v>
      </c>
      <c r="GK29" s="94"/>
      <c r="GL29" s="94"/>
      <c r="GM29" s="94"/>
      <c r="GO29" s="94"/>
      <c r="GP29" s="94"/>
      <c r="GQ29" s="94"/>
      <c r="GR29" s="94"/>
      <c r="GS29" s="94" t="s">
        <v>27</v>
      </c>
      <c r="GT29" s="94"/>
      <c r="GU29" s="94"/>
      <c r="GV29" s="94"/>
      <c r="GW29" s="94"/>
      <c r="GX29" s="94"/>
      <c r="GY29" s="94"/>
      <c r="GZ29" s="94"/>
      <c r="HA29" s="94" t="s">
        <v>27</v>
      </c>
      <c r="HB29" s="94"/>
      <c r="HC29" s="94"/>
      <c r="HD29" s="94"/>
      <c r="HE29" s="94"/>
      <c r="HF29" s="94"/>
      <c r="HG29" s="94"/>
      <c r="HH29" s="94"/>
      <c r="HI29" s="94"/>
      <c r="HJ29" s="131" t="s">
        <v>27</v>
      </c>
      <c r="HK29" s="131"/>
      <c r="HL29" s="131"/>
      <c r="HM29" s="131"/>
      <c r="HN29" s="131"/>
      <c r="HO29" s="131"/>
      <c r="HP29" s="131"/>
      <c r="HQ29" s="131"/>
      <c r="HR29" s="131"/>
      <c r="HS29" s="131"/>
      <c r="HT29" s="131"/>
      <c r="HU29" s="131"/>
      <c r="HV29" s="131"/>
      <c r="HW29" s="131"/>
      <c r="HX29" s="131"/>
      <c r="HY29" s="131"/>
      <c r="HZ29" s="131"/>
      <c r="IA29" s="131"/>
      <c r="IB29" s="131"/>
      <c r="IC29" s="131"/>
      <c r="ID29" s="131"/>
      <c r="IE29" s="131"/>
      <c r="IF29" s="131"/>
      <c r="IG29" s="131"/>
      <c r="IH29" s="131"/>
      <c r="II29" s="131"/>
      <c r="IJ29" s="131"/>
      <c r="IK29" s="131"/>
      <c r="IL29" s="131"/>
      <c r="IM29" s="131"/>
      <c r="IN29" s="131"/>
      <c r="IO29" s="131"/>
      <c r="IP29" s="94"/>
      <c r="IQ29" s="94"/>
      <c r="IR29" s="94"/>
      <c r="IS29" s="94" t="s">
        <v>26</v>
      </c>
      <c r="IT29" s="94" t="s">
        <v>26</v>
      </c>
      <c r="IU29" s="94" t="s">
        <v>26</v>
      </c>
      <c r="IV29" s="94" t="s">
        <v>26</v>
      </c>
      <c r="IW29" s="94"/>
      <c r="IX29" s="94"/>
      <c r="IY29" s="94"/>
      <c r="IZ29" s="94"/>
      <c r="JA29" s="94"/>
      <c r="JB29" s="94"/>
      <c r="JC29" s="94" t="s">
        <v>27</v>
      </c>
      <c r="JD29" s="94"/>
      <c r="JE29" s="94"/>
      <c r="JF29" s="94"/>
      <c r="JG29" s="94"/>
      <c r="JH29" s="94"/>
      <c r="JI29" s="94"/>
      <c r="JJ29" s="94"/>
      <c r="JK29" s="94" t="s">
        <v>27</v>
      </c>
      <c r="JL29" s="94"/>
      <c r="JM29" s="94"/>
      <c r="JN29" s="94"/>
      <c r="JO29" s="94"/>
      <c r="JP29" s="94"/>
      <c r="JQ29" s="94"/>
      <c r="JR29" s="94"/>
      <c r="JS29" s="94" t="s">
        <v>27</v>
      </c>
      <c r="JT29" s="94"/>
      <c r="JU29" s="94"/>
      <c r="JV29" s="94"/>
      <c r="JW29" s="94"/>
      <c r="JX29" s="94"/>
      <c r="JY29" s="94"/>
      <c r="JZ29" s="94"/>
      <c r="KA29" s="94" t="s">
        <v>27</v>
      </c>
      <c r="KB29" s="94"/>
      <c r="KC29" s="94"/>
      <c r="KD29" s="94"/>
      <c r="KE29" s="94"/>
      <c r="KF29" s="94"/>
      <c r="KG29" s="94"/>
      <c r="KH29" s="94"/>
      <c r="KI29" s="94" t="s">
        <v>27</v>
      </c>
      <c r="KJ29" s="94"/>
      <c r="KK29" s="94"/>
      <c r="KL29" s="94" t="s">
        <v>26</v>
      </c>
      <c r="KM29" s="94" t="s">
        <v>26</v>
      </c>
      <c r="KN29" s="94" t="s">
        <v>26</v>
      </c>
      <c r="KO29" s="94" t="s">
        <v>26</v>
      </c>
      <c r="KP29" s="94" t="s">
        <v>26</v>
      </c>
      <c r="KQ29" s="94"/>
      <c r="KR29" s="94"/>
      <c r="KS29" s="94"/>
      <c r="KT29" s="94"/>
      <c r="KU29" s="94"/>
      <c r="KV29" s="94"/>
      <c r="KW29" s="94"/>
      <c r="KX29" s="94" t="s">
        <v>27</v>
      </c>
      <c r="KY29" s="94"/>
      <c r="KZ29" s="94"/>
      <c r="LA29" s="94"/>
      <c r="LB29" s="94"/>
      <c r="LC29" s="94"/>
      <c r="LD29" s="94"/>
      <c r="LE29" s="94"/>
      <c r="LF29" s="94" t="s">
        <v>27</v>
      </c>
      <c r="LG29" s="94"/>
      <c r="LH29" s="94"/>
      <c r="LI29" s="94"/>
      <c r="LJ29" s="94"/>
      <c r="LK29" s="94"/>
      <c r="LL29" s="94"/>
      <c r="LM29" s="94"/>
      <c r="LN29" s="94" t="s">
        <v>27</v>
      </c>
      <c r="LO29" s="94"/>
      <c r="LP29" s="94"/>
      <c r="LQ29" s="94"/>
      <c r="LR29" s="94"/>
      <c r="LS29" s="94"/>
      <c r="LT29" s="94"/>
      <c r="LU29" s="94"/>
      <c r="LV29" s="94" t="s">
        <v>27</v>
      </c>
      <c r="LW29" s="94"/>
      <c r="LX29" s="94"/>
      <c r="LY29" s="94"/>
      <c r="LZ29" s="94"/>
      <c r="MA29" s="94"/>
      <c r="MB29" s="94"/>
    </row>
    <row r="30" spans="1:341" s="50" customFormat="1" ht="31.5" hidden="1" customHeight="1" thickBot="1">
      <c r="A30" s="44">
        <v>1</v>
      </c>
      <c r="B30" s="107" t="s">
        <v>55</v>
      </c>
      <c r="C30" s="46" t="s">
        <v>56</v>
      </c>
      <c r="D30" s="105" t="s">
        <v>35</v>
      </c>
      <c r="E30" s="117" t="s">
        <v>36</v>
      </c>
      <c r="F30" s="106" t="s">
        <v>24</v>
      </c>
      <c r="G30" s="145"/>
      <c r="H30" s="131"/>
      <c r="I30" s="131"/>
      <c r="J30" s="131"/>
      <c r="K30" s="131" t="s">
        <v>25</v>
      </c>
      <c r="L30" s="94" t="s">
        <v>26</v>
      </c>
      <c r="M30" s="94"/>
      <c r="N30" s="94"/>
      <c r="O30" s="94"/>
      <c r="P30" s="94"/>
      <c r="Q30" s="94"/>
      <c r="R30" s="94"/>
      <c r="S30" s="94"/>
      <c r="T30" s="94"/>
      <c r="U30" s="94" t="s">
        <v>41</v>
      </c>
      <c r="V30" s="94"/>
      <c r="W30" s="94"/>
      <c r="X30" s="94"/>
      <c r="Y30" s="94"/>
      <c r="Z30" s="94"/>
      <c r="AA30" s="94"/>
      <c r="AB30" s="94"/>
      <c r="AC30" s="144"/>
      <c r="AD30" s="94"/>
      <c r="AE30" s="94" t="s">
        <v>57</v>
      </c>
      <c r="AF30" s="94"/>
      <c r="AG30" s="94"/>
      <c r="AH30" s="94"/>
      <c r="AI30" s="94"/>
      <c r="AJ30" s="94"/>
      <c r="AK30" s="94" t="s">
        <v>26</v>
      </c>
      <c r="AL30" s="94"/>
      <c r="AM30" s="94"/>
      <c r="AN30" s="94"/>
      <c r="AO30" s="94"/>
      <c r="AP30" s="94"/>
      <c r="AQ30" s="94"/>
      <c r="AR30" s="94"/>
      <c r="AS30" s="94"/>
      <c r="AT30" s="94"/>
      <c r="AU30" s="94" t="s">
        <v>41</v>
      </c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I30" s="94"/>
      <c r="BJ30" s="94"/>
      <c r="BK30" s="94"/>
      <c r="BL30" s="94"/>
      <c r="BM30" s="94" t="s">
        <v>26</v>
      </c>
      <c r="BN30" s="94"/>
      <c r="BO30" s="94"/>
      <c r="BP30" s="94"/>
      <c r="BQ30" s="94"/>
      <c r="BR30" s="94"/>
      <c r="BS30" s="94" t="s">
        <v>41</v>
      </c>
      <c r="BT30" s="94"/>
      <c r="BU30" s="94"/>
      <c r="BV30" s="94"/>
      <c r="BW30" s="94"/>
      <c r="BX30" s="94"/>
      <c r="BY30" s="94"/>
      <c r="BZ30" s="94"/>
      <c r="CA30" s="94" t="s">
        <v>26</v>
      </c>
      <c r="CB30" s="94"/>
      <c r="CC30" s="94"/>
      <c r="CD30" s="94"/>
      <c r="CE30" s="94"/>
      <c r="CF30" s="94"/>
      <c r="CG30" s="94" t="s">
        <v>41</v>
      </c>
      <c r="CH30" s="94"/>
      <c r="CI30" s="94"/>
      <c r="CJ30" s="94"/>
      <c r="CK30" s="94"/>
      <c r="CL30" s="94"/>
      <c r="CM30" s="94"/>
      <c r="CN30" s="94"/>
      <c r="CO30" s="94"/>
      <c r="CP30" s="94"/>
      <c r="CQ30" s="94" t="s">
        <v>26</v>
      </c>
      <c r="CR30" s="94"/>
      <c r="CS30" s="94"/>
      <c r="CT30" s="94"/>
      <c r="CU30" s="94"/>
      <c r="CV30" s="94"/>
      <c r="CW30" s="94" t="s">
        <v>42</v>
      </c>
      <c r="CX30" s="94" t="s">
        <v>41</v>
      </c>
      <c r="CY30" s="94"/>
      <c r="CZ30" s="94"/>
      <c r="DA30" s="94"/>
      <c r="DB30" s="94"/>
      <c r="DC30" s="94"/>
      <c r="DD30" s="94"/>
      <c r="DE30" s="94"/>
      <c r="DF30" s="94"/>
      <c r="DG30" s="94"/>
      <c r="DH30" s="94"/>
      <c r="DI30" s="94"/>
      <c r="DJ30" s="94"/>
      <c r="DK30" s="94"/>
      <c r="DL30" s="94"/>
      <c r="DM30" s="94"/>
      <c r="DN30" s="94"/>
      <c r="DO30" s="94"/>
      <c r="DP30" s="94"/>
      <c r="DQ30" s="94"/>
      <c r="DR30" s="94"/>
      <c r="DS30" s="94"/>
      <c r="DT30" s="94"/>
      <c r="DU30" s="94"/>
      <c r="DV30" s="94"/>
      <c r="DW30" s="94"/>
      <c r="DX30" s="94"/>
      <c r="DY30" s="94"/>
      <c r="DZ30" s="94"/>
      <c r="EA30" s="94"/>
      <c r="EB30" s="94"/>
      <c r="EC30" s="94"/>
      <c r="ED30" s="94"/>
      <c r="EE30" s="94"/>
      <c r="EF30" s="94"/>
      <c r="EG30" s="94"/>
      <c r="EH30" s="94" t="s">
        <v>57</v>
      </c>
      <c r="EI30" s="94"/>
      <c r="EJ30" s="94"/>
      <c r="EK30" s="94"/>
      <c r="EL30" s="94" t="s">
        <v>26</v>
      </c>
      <c r="EM30" s="94"/>
      <c r="EN30" s="94"/>
      <c r="EO30" s="94"/>
      <c r="EP30" s="94" t="s">
        <v>41</v>
      </c>
      <c r="EQ30" s="94"/>
      <c r="ER30" s="94"/>
      <c r="ES30" s="94"/>
      <c r="ET30" s="94"/>
      <c r="EU30" s="94"/>
      <c r="EV30" s="94"/>
      <c r="EW30" s="94"/>
      <c r="EX30" s="94"/>
      <c r="EY30" s="94"/>
      <c r="EZ30" s="94"/>
      <c r="FA30" s="94"/>
      <c r="FB30" s="94"/>
      <c r="FC30" s="94"/>
      <c r="FD30" s="94"/>
      <c r="FE30" s="94"/>
      <c r="FF30" s="94"/>
      <c r="FG30" s="94"/>
      <c r="FH30" s="94"/>
      <c r="FI30" s="94"/>
      <c r="FJ30" s="94"/>
      <c r="FK30" s="94" t="s">
        <v>57</v>
      </c>
      <c r="FL30" s="94"/>
      <c r="FM30" s="94"/>
      <c r="FN30" s="94" t="s">
        <v>26</v>
      </c>
      <c r="FO30" s="94"/>
      <c r="FP30" s="94"/>
      <c r="FQ30" s="94"/>
      <c r="FR30" s="94" t="s">
        <v>41</v>
      </c>
      <c r="FS30" s="94"/>
      <c r="FT30" s="94"/>
      <c r="FU30" s="94"/>
      <c r="FV30" s="94"/>
      <c r="FW30" s="94"/>
      <c r="FX30" s="94"/>
      <c r="FY30" s="94"/>
      <c r="FZ30" s="94"/>
      <c r="GA30" s="94"/>
      <c r="GB30" s="94"/>
      <c r="GC30" s="94"/>
      <c r="GD30" s="94"/>
      <c r="GE30" s="94"/>
      <c r="GF30" s="94"/>
      <c r="GG30" s="94"/>
      <c r="GH30" s="94"/>
      <c r="GI30" s="94"/>
      <c r="GJ30" s="94"/>
      <c r="GK30" s="94" t="s">
        <v>57</v>
      </c>
      <c r="GL30" s="94"/>
      <c r="GM30" s="94"/>
      <c r="GN30" s="94"/>
      <c r="GO30" s="94"/>
      <c r="GP30" s="94"/>
      <c r="GQ30" s="94"/>
      <c r="GR30" s="94" t="s">
        <v>26</v>
      </c>
      <c r="GS30" s="94"/>
      <c r="GT30" s="94"/>
      <c r="GU30" s="94"/>
      <c r="GV30" s="94"/>
      <c r="GW30" s="94"/>
      <c r="GX30" s="94" t="s">
        <v>41</v>
      </c>
      <c r="GY30" s="94"/>
      <c r="GZ30" s="94"/>
      <c r="HA30" s="94"/>
      <c r="HB30" s="94"/>
      <c r="HC30" s="94"/>
      <c r="HD30" s="94"/>
      <c r="HE30" s="94"/>
      <c r="HF30" s="94"/>
      <c r="HG30" s="94"/>
      <c r="HH30" s="94"/>
      <c r="HI30" s="94"/>
      <c r="HJ30" s="94"/>
      <c r="HK30" s="94" t="s">
        <v>57</v>
      </c>
      <c r="HL30" s="94"/>
      <c r="HM30" s="94"/>
      <c r="HN30" s="94"/>
      <c r="HO30" s="94" t="s">
        <v>26</v>
      </c>
      <c r="HP30" s="94"/>
      <c r="HQ30" s="94"/>
      <c r="HR30" s="94"/>
      <c r="HS30" s="94"/>
      <c r="HT30" s="94"/>
      <c r="HU30" s="94" t="s">
        <v>41</v>
      </c>
      <c r="HV30" s="94"/>
      <c r="HW30" s="94"/>
      <c r="HX30" s="94"/>
      <c r="HY30" s="94"/>
      <c r="HZ30" s="94"/>
      <c r="IA30" s="94"/>
      <c r="IB30" s="94"/>
      <c r="IC30" s="94" t="s">
        <v>57</v>
      </c>
      <c r="ID30" s="94"/>
      <c r="IE30" s="94"/>
      <c r="IF30" s="94"/>
      <c r="IG30" s="94" t="s">
        <v>26</v>
      </c>
      <c r="IH30" s="94"/>
      <c r="II30" s="94"/>
      <c r="IJ30" s="94"/>
      <c r="IK30" s="94"/>
      <c r="IL30" s="94"/>
      <c r="IM30" s="94" t="s">
        <v>41</v>
      </c>
      <c r="IN30" s="94"/>
      <c r="IO30" s="94"/>
      <c r="IP30" s="94"/>
      <c r="IQ30" s="94"/>
      <c r="IR30" s="94"/>
      <c r="IS30" s="94"/>
      <c r="IT30" s="94"/>
      <c r="IU30" s="94"/>
      <c r="IV30" s="94" t="s">
        <v>57</v>
      </c>
      <c r="IW30" s="94"/>
      <c r="IX30" s="94"/>
      <c r="IY30" s="94" t="s">
        <v>26</v>
      </c>
      <c r="IZ30" s="94"/>
      <c r="JA30" s="94"/>
      <c r="JB30" s="94"/>
      <c r="JC30" s="94"/>
      <c r="JD30" s="94"/>
      <c r="JE30" s="94" t="s">
        <v>41</v>
      </c>
      <c r="JF30" s="94"/>
      <c r="JG30" s="94"/>
      <c r="JH30" s="94"/>
      <c r="JI30" s="94"/>
      <c r="JJ30" s="94"/>
      <c r="JK30" s="94"/>
      <c r="JL30" s="94"/>
      <c r="JM30" s="94" t="s">
        <v>57</v>
      </c>
      <c r="JN30" s="94"/>
      <c r="JO30" s="94"/>
      <c r="JP30" s="94"/>
      <c r="JQ30" s="94" t="s">
        <v>26</v>
      </c>
      <c r="JR30" s="94"/>
      <c r="JS30" s="94"/>
      <c r="JT30" s="94"/>
      <c r="JU30" s="94"/>
      <c r="JV30" s="94"/>
      <c r="JW30" s="94" t="s">
        <v>41</v>
      </c>
      <c r="JX30" s="94"/>
      <c r="JY30" s="94"/>
      <c r="JZ30" s="94"/>
      <c r="KA30" s="94"/>
      <c r="KB30" s="94"/>
      <c r="KC30" s="94"/>
      <c r="KD30" s="94"/>
      <c r="KE30" s="94" t="s">
        <v>57</v>
      </c>
      <c r="KF30" s="94" t="s">
        <v>37</v>
      </c>
      <c r="KG30" s="131"/>
      <c r="KH30" s="131"/>
      <c r="KI30" s="131"/>
      <c r="KJ30" s="131"/>
      <c r="KK30" s="131"/>
      <c r="KL30" s="131"/>
      <c r="KM30" s="131"/>
      <c r="KN30" s="131"/>
      <c r="KO30" s="131"/>
      <c r="KP30" s="131"/>
      <c r="KQ30" s="131"/>
      <c r="KR30" s="131"/>
      <c r="KS30" s="131"/>
      <c r="KT30" s="131"/>
      <c r="KU30" s="131"/>
      <c r="KV30" s="131"/>
      <c r="KW30" s="131"/>
      <c r="KX30" s="131"/>
      <c r="KY30" s="131"/>
      <c r="KZ30" s="131"/>
      <c r="LA30" s="131"/>
      <c r="LB30" s="131"/>
      <c r="LC30" s="131"/>
      <c r="LD30" s="131"/>
      <c r="LE30" s="131"/>
      <c r="LF30" s="131"/>
      <c r="LG30" s="131"/>
      <c r="LH30" s="131"/>
      <c r="LI30" s="131"/>
      <c r="LJ30" s="131"/>
      <c r="LK30" s="131"/>
      <c r="LL30" s="131"/>
      <c r="LM30" s="131"/>
      <c r="LN30" s="131"/>
      <c r="LO30" s="131"/>
      <c r="LP30" s="131"/>
      <c r="LQ30" s="131"/>
      <c r="LR30" s="131"/>
      <c r="LS30" s="131"/>
      <c r="LT30" s="131"/>
      <c r="LU30" s="131"/>
      <c r="LV30" s="131"/>
      <c r="LW30" s="131"/>
      <c r="LX30" s="131"/>
      <c r="LY30" s="131"/>
      <c r="LZ30" s="131"/>
      <c r="MA30" s="131"/>
      <c r="MB30" s="131"/>
    </row>
    <row r="31" spans="1:341" s="50" customFormat="1" ht="31.5" hidden="1" customHeight="1" thickBot="1">
      <c r="A31" s="44">
        <v>1</v>
      </c>
      <c r="B31" s="107" t="s">
        <v>58</v>
      </c>
      <c r="C31" s="46" t="s">
        <v>59</v>
      </c>
      <c r="D31" s="105" t="s">
        <v>35</v>
      </c>
      <c r="E31" s="117" t="s">
        <v>40</v>
      </c>
      <c r="F31" s="106" t="s">
        <v>24</v>
      </c>
      <c r="G31" s="145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6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/>
      <c r="BO31" s="131"/>
      <c r="BP31" s="131"/>
      <c r="BQ31" s="131"/>
      <c r="BR31" s="131"/>
      <c r="BS31" s="131"/>
      <c r="BT31" s="131"/>
      <c r="BU31" s="131"/>
      <c r="BV31" s="131"/>
      <c r="BW31" s="131"/>
      <c r="BX31" s="131"/>
      <c r="BY31" s="131"/>
      <c r="BZ31" s="131"/>
      <c r="CA31" s="131"/>
      <c r="CB31" s="131"/>
      <c r="CC31" s="131"/>
      <c r="CD31" s="131"/>
      <c r="CE31" s="131"/>
      <c r="CF31" s="131"/>
      <c r="CG31" s="131"/>
      <c r="CH31" s="131"/>
      <c r="CI31" s="131"/>
      <c r="CJ31" s="131"/>
      <c r="CK31" s="131"/>
      <c r="CL31" s="131"/>
      <c r="CM31" s="131"/>
      <c r="CN31" s="131"/>
      <c r="CO31" s="131"/>
      <c r="CP31" s="131"/>
      <c r="CQ31" s="131"/>
      <c r="CR31" s="131"/>
      <c r="CS31" s="131"/>
      <c r="CT31" s="131"/>
      <c r="CU31" s="131"/>
      <c r="CV31" s="131"/>
      <c r="CW31" s="131"/>
      <c r="CX31" s="131"/>
      <c r="CY31" s="131"/>
      <c r="CZ31" s="131"/>
      <c r="DA31" s="131"/>
      <c r="DB31" s="131"/>
      <c r="DC31" s="131"/>
      <c r="DD31" s="131"/>
      <c r="DE31" s="131"/>
      <c r="DF31" s="131"/>
      <c r="DG31" s="131"/>
      <c r="DH31" s="131"/>
      <c r="DI31" s="131"/>
      <c r="DJ31" s="131"/>
      <c r="DK31" s="131"/>
      <c r="DL31" s="131"/>
      <c r="DM31" s="131"/>
      <c r="DN31" s="131"/>
      <c r="DO31" s="131"/>
      <c r="DP31" s="131"/>
      <c r="DQ31" s="131"/>
      <c r="DR31" s="131"/>
      <c r="DS31" s="131"/>
      <c r="DT31" s="131"/>
      <c r="DU31" s="131"/>
      <c r="DV31" s="131"/>
      <c r="DW31" s="131"/>
      <c r="DX31" s="131"/>
      <c r="DY31" s="131"/>
      <c r="DZ31" s="131"/>
      <c r="EA31" s="131"/>
      <c r="EB31" s="131"/>
      <c r="EC31" s="131"/>
      <c r="ED31" s="131"/>
      <c r="EE31" s="131"/>
      <c r="EF31" s="131"/>
      <c r="EG31" s="131"/>
      <c r="EH31" s="131"/>
      <c r="EI31" s="131"/>
      <c r="EJ31" s="131"/>
      <c r="EK31" s="131"/>
      <c r="EL31" s="131"/>
      <c r="EM31" s="131"/>
      <c r="EN31" s="131"/>
      <c r="EO31" s="131"/>
      <c r="EP31" s="131"/>
      <c r="EQ31" s="131"/>
      <c r="ER31" s="131"/>
      <c r="ES31" s="131"/>
      <c r="ET31" s="131"/>
      <c r="EU31" s="131"/>
      <c r="EV31" s="131"/>
      <c r="EW31" s="131"/>
      <c r="EX31" s="131"/>
      <c r="EY31" s="131"/>
      <c r="EZ31" s="131"/>
      <c r="FA31" s="131"/>
      <c r="FB31" s="131"/>
      <c r="FC31" s="131"/>
      <c r="FD31" s="131"/>
      <c r="FE31" s="131"/>
      <c r="FF31" s="131"/>
      <c r="FG31" s="131"/>
      <c r="FH31" s="131"/>
      <c r="FI31" s="131"/>
      <c r="FJ31" s="131"/>
      <c r="FK31" s="131"/>
      <c r="FL31" s="131"/>
      <c r="FM31" s="131"/>
      <c r="FN31" s="131"/>
      <c r="FO31" s="131"/>
      <c r="FP31" s="131"/>
      <c r="FQ31" s="131"/>
      <c r="FR31" s="131"/>
      <c r="FS31" s="131"/>
      <c r="FT31" s="131"/>
      <c r="FU31" s="131"/>
      <c r="FV31" s="131"/>
      <c r="FW31" s="131"/>
      <c r="FX31" s="131"/>
      <c r="FY31" s="131"/>
      <c r="FZ31" s="131"/>
      <c r="GA31" s="131"/>
      <c r="GB31" s="131"/>
      <c r="GC31" s="131"/>
      <c r="GD31" s="131"/>
      <c r="GE31" s="131"/>
      <c r="GF31" s="131"/>
      <c r="GG31" s="131"/>
      <c r="GH31" s="131"/>
      <c r="GI31" s="131"/>
      <c r="GJ31" s="131"/>
      <c r="GK31" s="131"/>
      <c r="GL31" s="131"/>
      <c r="GM31" s="131"/>
      <c r="GN31" s="131"/>
      <c r="GO31" s="131"/>
      <c r="GP31" s="131"/>
      <c r="GQ31" s="131"/>
      <c r="GR31" s="131"/>
      <c r="GS31" s="131"/>
      <c r="GT31" s="131"/>
      <c r="GU31" s="131"/>
      <c r="GV31" s="131"/>
      <c r="GW31" s="131" t="s">
        <v>25</v>
      </c>
      <c r="GX31" s="94" t="s">
        <v>26</v>
      </c>
      <c r="GY31" s="94"/>
      <c r="GZ31" s="94"/>
      <c r="HA31" s="94"/>
      <c r="HB31" s="94"/>
      <c r="HC31" s="94"/>
      <c r="HD31" s="94"/>
      <c r="HE31" s="94" t="s">
        <v>27</v>
      </c>
      <c r="HF31" s="94" t="s">
        <v>26</v>
      </c>
      <c r="HG31" s="94"/>
      <c r="HH31" s="94"/>
      <c r="HI31" s="94"/>
      <c r="HJ31" s="94"/>
      <c r="HK31" s="94"/>
      <c r="HL31" s="94" t="s">
        <v>27</v>
      </c>
      <c r="HM31" s="94" t="s">
        <v>26</v>
      </c>
      <c r="HN31" s="94"/>
      <c r="HO31" s="94"/>
      <c r="HP31" s="94"/>
      <c r="HQ31" s="94"/>
      <c r="HR31" s="94" t="s">
        <v>27</v>
      </c>
      <c r="HS31" s="94"/>
      <c r="HT31" s="94" t="s">
        <v>26</v>
      </c>
      <c r="HU31" s="94"/>
      <c r="HV31" s="94"/>
      <c r="HW31" s="94"/>
      <c r="HX31" s="94"/>
      <c r="HY31" s="94" t="s">
        <v>27</v>
      </c>
      <c r="HZ31" s="94"/>
      <c r="IA31" s="94" t="s">
        <v>26</v>
      </c>
      <c r="IB31" s="94"/>
      <c r="IC31" s="94"/>
      <c r="ID31" s="94"/>
      <c r="IE31" s="94"/>
      <c r="IF31" s="94" t="s">
        <v>27</v>
      </c>
      <c r="IG31" s="94"/>
      <c r="IH31" s="94" t="s">
        <v>26</v>
      </c>
      <c r="II31" s="94"/>
      <c r="IJ31" s="94"/>
      <c r="IK31" s="94"/>
      <c r="IL31" s="94"/>
      <c r="IM31" s="94"/>
      <c r="IN31" s="94"/>
      <c r="IO31" s="94"/>
      <c r="IP31" s="94" t="s">
        <v>28</v>
      </c>
      <c r="IQ31" s="94"/>
      <c r="IR31" s="94"/>
      <c r="IS31" s="94"/>
      <c r="IT31" s="94"/>
      <c r="IU31" s="94"/>
      <c r="IV31" s="94" t="s">
        <v>27</v>
      </c>
      <c r="IW31" s="94" t="s">
        <v>26</v>
      </c>
      <c r="IX31" s="94"/>
      <c r="IY31" s="94"/>
      <c r="IZ31" s="94"/>
      <c r="JA31" s="94"/>
      <c r="JB31" s="94"/>
      <c r="JC31" s="94"/>
      <c r="JD31" s="94" t="s">
        <v>27</v>
      </c>
      <c r="JE31" s="94" t="s">
        <v>26</v>
      </c>
      <c r="JF31" s="94"/>
      <c r="JG31" s="94"/>
      <c r="JH31" s="94"/>
      <c r="JI31" s="94"/>
      <c r="JJ31" s="94"/>
      <c r="JK31" s="94"/>
      <c r="JL31" s="94" t="s">
        <v>27</v>
      </c>
      <c r="JM31" s="94" t="s">
        <v>26</v>
      </c>
      <c r="JN31" s="94"/>
      <c r="JO31" s="94"/>
      <c r="JP31" s="94"/>
      <c r="JQ31" s="94"/>
      <c r="JR31" s="94"/>
      <c r="JS31" s="94"/>
      <c r="JT31" s="94" t="s">
        <v>27</v>
      </c>
      <c r="JU31" s="94" t="s">
        <v>26</v>
      </c>
      <c r="JV31" s="94"/>
      <c r="JW31" s="94"/>
      <c r="JX31" s="94"/>
      <c r="JY31" s="94"/>
      <c r="JZ31" s="94"/>
      <c r="KA31" s="94"/>
      <c r="KB31" s="94" t="s">
        <v>27</v>
      </c>
      <c r="KC31" s="94" t="s">
        <v>26</v>
      </c>
      <c r="KD31" s="94"/>
      <c r="KE31" s="94"/>
      <c r="KF31" s="94"/>
      <c r="KG31" s="94"/>
      <c r="KH31" s="94"/>
      <c r="KI31" s="94"/>
      <c r="KJ31" s="94" t="s">
        <v>27</v>
      </c>
      <c r="KK31" s="94" t="s">
        <v>26</v>
      </c>
      <c r="KL31" s="94"/>
      <c r="KM31" s="94"/>
      <c r="KN31" s="94"/>
      <c r="KO31" s="94"/>
      <c r="KP31" s="94"/>
      <c r="KQ31" s="94"/>
      <c r="KR31" s="94" t="s">
        <v>27</v>
      </c>
      <c r="KS31" s="94" t="s">
        <v>26</v>
      </c>
      <c r="KT31" s="94"/>
      <c r="KU31" s="94"/>
      <c r="KV31" s="94"/>
      <c r="KW31" s="94"/>
      <c r="KX31" s="94"/>
      <c r="KY31" s="94"/>
      <c r="KZ31" s="94" t="s">
        <v>27</v>
      </c>
      <c r="LA31" s="94" t="s">
        <v>26</v>
      </c>
      <c r="LB31" s="94"/>
      <c r="LC31" s="94"/>
      <c r="LD31" s="94"/>
      <c r="LE31" s="94"/>
      <c r="LF31" s="94"/>
      <c r="LG31" s="94"/>
      <c r="LH31" s="94" t="s">
        <v>27</v>
      </c>
      <c r="LI31" s="94" t="s">
        <v>26</v>
      </c>
      <c r="LJ31" s="94"/>
      <c r="LK31" s="94"/>
      <c r="LL31" s="94"/>
      <c r="LM31" s="94"/>
      <c r="LN31" s="94"/>
      <c r="LO31" s="94"/>
      <c r="LP31" s="94" t="s">
        <v>27</v>
      </c>
      <c r="LQ31" s="94" t="s">
        <v>26</v>
      </c>
      <c r="LR31" s="94"/>
      <c r="LS31" s="94"/>
      <c r="LT31" s="94"/>
      <c r="LU31" s="94"/>
      <c r="LV31" s="94"/>
      <c r="LW31" s="94"/>
      <c r="LX31" s="94" t="s">
        <v>27</v>
      </c>
      <c r="LY31" s="94" t="s">
        <v>26</v>
      </c>
      <c r="LZ31" s="94"/>
      <c r="MA31" s="94"/>
      <c r="MB31" s="94"/>
    </row>
    <row r="32" spans="1:341" s="90" customFormat="1" ht="31.5" hidden="1" customHeight="1">
      <c r="A32" s="44">
        <v>1</v>
      </c>
      <c r="B32" s="173" t="s">
        <v>60</v>
      </c>
      <c r="C32" s="89" t="s">
        <v>61</v>
      </c>
      <c r="D32" s="91" t="s">
        <v>45</v>
      </c>
      <c r="E32" s="116" t="s">
        <v>62</v>
      </c>
      <c r="F32" s="92" t="s">
        <v>24</v>
      </c>
      <c r="G32" s="148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146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3"/>
      <c r="BH32" s="93"/>
      <c r="BI32" s="93"/>
      <c r="BJ32" s="93"/>
      <c r="BK32" s="93"/>
      <c r="BL32" s="93"/>
      <c r="BM32" s="93"/>
      <c r="BN32" s="93"/>
      <c r="BO32" s="93"/>
      <c r="BP32" s="93"/>
      <c r="BQ32" s="93"/>
      <c r="BR32" s="93"/>
      <c r="BS32" s="93"/>
      <c r="BT32" s="93"/>
      <c r="BU32" s="93"/>
      <c r="BV32" s="93"/>
      <c r="BW32" s="93"/>
      <c r="BX32" s="93"/>
      <c r="BY32" s="93"/>
      <c r="BZ32" s="93"/>
      <c r="CA32" s="93"/>
      <c r="CB32" s="93"/>
      <c r="CC32" s="93"/>
      <c r="CD32" s="93"/>
      <c r="CE32" s="93"/>
      <c r="CF32" s="93"/>
      <c r="CG32" s="93"/>
      <c r="CH32" s="93"/>
      <c r="CI32" s="93"/>
      <c r="CJ32" s="93"/>
      <c r="CK32" s="93"/>
      <c r="CL32" s="93"/>
      <c r="CM32" s="93"/>
      <c r="CN32" s="93"/>
      <c r="CO32" s="93"/>
      <c r="CP32" s="93"/>
      <c r="CQ32" s="93"/>
      <c r="CR32" s="93"/>
      <c r="CS32" s="93"/>
      <c r="CT32" s="93"/>
      <c r="CU32" s="93"/>
      <c r="CV32" s="93"/>
      <c r="CW32" s="93"/>
      <c r="CX32" s="93"/>
      <c r="CY32" s="93"/>
      <c r="CZ32" s="93"/>
      <c r="DA32" s="93"/>
      <c r="DB32" s="93"/>
      <c r="DC32" s="93"/>
      <c r="DD32" s="93"/>
      <c r="DE32" s="93"/>
      <c r="DF32" s="93"/>
      <c r="DG32" s="93"/>
      <c r="DH32" s="93"/>
      <c r="DI32" s="93"/>
      <c r="DJ32" s="93"/>
      <c r="DK32" s="93"/>
      <c r="DL32" s="93"/>
      <c r="DM32" s="93"/>
      <c r="DN32" s="93"/>
      <c r="DO32" s="93"/>
      <c r="DP32" s="93"/>
      <c r="DQ32" s="93"/>
      <c r="DR32" s="93"/>
      <c r="DS32" s="93"/>
      <c r="DT32" s="93"/>
      <c r="DU32" s="93"/>
      <c r="DV32" s="93"/>
      <c r="DW32" s="93"/>
      <c r="DX32" s="93"/>
      <c r="DY32" s="93"/>
      <c r="DZ32" s="93"/>
      <c r="EA32" s="93"/>
      <c r="EB32" s="93"/>
      <c r="EC32" s="93"/>
      <c r="ED32" s="93"/>
      <c r="EE32" s="93"/>
      <c r="EF32" s="93"/>
      <c r="EG32" s="93"/>
      <c r="EH32" s="93"/>
      <c r="EI32" s="93"/>
      <c r="EJ32" s="93"/>
      <c r="EK32" s="93"/>
      <c r="EL32" s="93"/>
      <c r="EM32" s="93"/>
      <c r="EN32" s="93"/>
      <c r="EO32" s="93"/>
      <c r="EP32" s="93"/>
      <c r="EQ32" s="93"/>
      <c r="ER32" s="93"/>
      <c r="ES32" s="93"/>
      <c r="ET32" s="93"/>
      <c r="EU32" s="93"/>
      <c r="EV32" s="93"/>
      <c r="EW32" s="93"/>
      <c r="EX32" s="93"/>
      <c r="EY32" s="93"/>
      <c r="EZ32" s="93"/>
      <c r="FA32" s="93"/>
      <c r="FB32" s="93"/>
      <c r="FC32" s="93"/>
      <c r="FD32" s="93"/>
      <c r="FE32" s="93" t="s">
        <v>25</v>
      </c>
      <c r="FF32" s="93" t="s">
        <v>26</v>
      </c>
      <c r="FG32" s="93"/>
      <c r="FH32" s="93"/>
      <c r="FI32" s="93" t="s">
        <v>41</v>
      </c>
      <c r="FJ32" s="93"/>
      <c r="FK32" s="93"/>
      <c r="FL32" s="93"/>
      <c r="FM32" s="93" t="s">
        <v>57</v>
      </c>
      <c r="FN32" s="93"/>
      <c r="FO32" s="93"/>
      <c r="FP32" s="93"/>
      <c r="FQ32" s="93" t="s">
        <v>26</v>
      </c>
      <c r="FR32" s="93"/>
      <c r="FS32" s="93"/>
      <c r="FT32" s="93"/>
      <c r="FU32" s="93" t="s">
        <v>28</v>
      </c>
      <c r="FV32" s="93"/>
      <c r="FW32" s="93"/>
      <c r="FX32" s="93" t="s">
        <v>41</v>
      </c>
      <c r="FY32" s="93" t="s">
        <v>37</v>
      </c>
      <c r="FZ32" s="131"/>
      <c r="GA32" s="131"/>
      <c r="GB32" s="131"/>
      <c r="GC32" s="131"/>
      <c r="GD32" s="131"/>
      <c r="GE32" s="131"/>
      <c r="GF32" s="131"/>
      <c r="GG32" s="131"/>
      <c r="GH32" s="131"/>
      <c r="GI32" s="131"/>
      <c r="GJ32" s="131"/>
      <c r="GK32" s="131"/>
      <c r="GL32" s="131"/>
      <c r="GM32" s="131"/>
      <c r="GN32" s="131"/>
      <c r="GO32" s="131"/>
      <c r="GP32" s="131"/>
      <c r="GQ32" s="131"/>
      <c r="GR32" s="131"/>
      <c r="GS32" s="131"/>
      <c r="GT32" s="131"/>
      <c r="GU32" s="131"/>
      <c r="GV32" s="131"/>
      <c r="GW32" s="131"/>
      <c r="GX32" s="131"/>
      <c r="GY32" s="131"/>
      <c r="GZ32" s="131"/>
      <c r="HA32" s="131"/>
      <c r="HB32" s="131"/>
      <c r="HC32" s="131"/>
      <c r="HD32" s="131"/>
      <c r="HE32" s="131"/>
      <c r="HF32" s="131"/>
      <c r="HG32" s="131"/>
      <c r="HH32" s="131"/>
      <c r="HI32" s="131"/>
      <c r="HJ32" s="131"/>
      <c r="HK32" s="131"/>
      <c r="HL32" s="131"/>
      <c r="HM32" s="131"/>
      <c r="HN32" s="131"/>
      <c r="HO32" s="131"/>
      <c r="HP32" s="131"/>
      <c r="HQ32" s="131"/>
      <c r="HR32" s="131"/>
      <c r="HS32" s="131"/>
      <c r="HT32" s="131"/>
      <c r="HU32" s="131"/>
      <c r="HV32" s="131"/>
      <c r="HW32" s="131"/>
      <c r="HX32" s="94" t="s">
        <v>25</v>
      </c>
      <c r="HY32" s="94" t="s">
        <v>26</v>
      </c>
      <c r="HZ32" s="94"/>
      <c r="IA32" s="94"/>
      <c r="IB32" s="94" t="s">
        <v>41</v>
      </c>
      <c r="IC32" s="94"/>
      <c r="ID32" s="94"/>
      <c r="IE32" s="94"/>
      <c r="IG32" s="94" t="s">
        <v>26</v>
      </c>
      <c r="IH32" s="94"/>
      <c r="II32" s="94"/>
      <c r="IJ32" s="94" t="s">
        <v>41</v>
      </c>
      <c r="IK32" s="94"/>
      <c r="IL32" s="94"/>
      <c r="IM32" s="94"/>
      <c r="IN32" s="94"/>
      <c r="IO32" s="94"/>
      <c r="IP32" s="94" t="s">
        <v>26</v>
      </c>
      <c r="IQ32" s="94"/>
      <c r="IR32" s="94"/>
      <c r="IS32" s="94" t="s">
        <v>41</v>
      </c>
      <c r="IT32" s="94"/>
      <c r="IU32" s="94"/>
      <c r="IV32" s="94"/>
      <c r="IX32" s="94" t="s">
        <v>26</v>
      </c>
      <c r="IY32" s="94"/>
      <c r="IZ32" s="94"/>
      <c r="JA32" s="94" t="s">
        <v>41</v>
      </c>
      <c r="JB32" s="94"/>
      <c r="JC32" s="94"/>
      <c r="JD32" s="94"/>
      <c r="JF32" s="94" t="s">
        <v>26</v>
      </c>
      <c r="JG32" s="94"/>
      <c r="JH32" s="94"/>
      <c r="JI32" s="94" t="s">
        <v>41</v>
      </c>
      <c r="JJ32" s="94"/>
      <c r="JK32" s="94"/>
      <c r="JL32" s="94"/>
      <c r="JN32" s="94" t="s">
        <v>26</v>
      </c>
      <c r="JO32" s="94"/>
      <c r="JP32" s="94"/>
      <c r="JQ32" s="94" t="s">
        <v>41</v>
      </c>
      <c r="JR32" s="94" t="s">
        <v>37</v>
      </c>
      <c r="JS32" s="131"/>
      <c r="JT32" s="131"/>
      <c r="JU32" s="131"/>
      <c r="JV32" s="131"/>
      <c r="JW32" s="131"/>
      <c r="JX32" s="131"/>
      <c r="JY32" s="131"/>
      <c r="JZ32" s="131"/>
      <c r="KA32" s="131"/>
      <c r="KB32" s="131"/>
      <c r="KC32" s="131"/>
      <c r="KD32" s="131"/>
      <c r="KE32" s="131"/>
      <c r="KF32" s="131"/>
      <c r="KG32" s="131"/>
      <c r="KH32" s="131"/>
      <c r="KI32" s="131"/>
      <c r="KJ32" s="131"/>
      <c r="KK32" s="131"/>
      <c r="KL32" s="131"/>
      <c r="KM32" s="131"/>
      <c r="KN32" s="131"/>
      <c r="KO32" s="131"/>
      <c r="KP32" s="131"/>
      <c r="KQ32" s="131"/>
      <c r="KR32" s="131"/>
      <c r="KS32" s="131"/>
      <c r="KT32" s="131"/>
      <c r="KU32" s="131"/>
      <c r="KV32" s="131"/>
      <c r="KW32" s="131"/>
      <c r="KX32" s="131"/>
      <c r="KY32" s="131"/>
      <c r="KZ32" s="131"/>
      <c r="LA32" s="131"/>
      <c r="LB32" s="131"/>
      <c r="LC32" s="131"/>
      <c r="LD32" s="131"/>
      <c r="LE32" s="131"/>
      <c r="LF32" s="131"/>
      <c r="LG32" s="131"/>
      <c r="LH32" s="131"/>
      <c r="LI32" s="131"/>
      <c r="LJ32" s="131"/>
      <c r="LK32" s="131"/>
      <c r="LL32" s="131"/>
      <c r="LM32" s="131"/>
      <c r="LN32" s="131"/>
      <c r="LO32" s="131"/>
      <c r="LP32" s="131"/>
      <c r="LQ32" s="131"/>
      <c r="LR32" s="131"/>
      <c r="LS32" s="131"/>
      <c r="LT32" s="131"/>
      <c r="LU32" s="131"/>
      <c r="LV32" s="131"/>
      <c r="LW32" s="131"/>
      <c r="LX32" s="131"/>
      <c r="LY32" s="131"/>
      <c r="LZ32" s="131"/>
      <c r="MA32" s="131"/>
      <c r="MB32" s="131"/>
    </row>
    <row r="33" spans="1:340" s="50" customFormat="1" ht="31.5" hidden="1" customHeight="1" thickBot="1">
      <c r="A33" s="44">
        <v>1</v>
      </c>
      <c r="B33" s="107" t="s">
        <v>63</v>
      </c>
      <c r="C33" s="46" t="s">
        <v>64</v>
      </c>
      <c r="D33" s="105" t="s">
        <v>49</v>
      </c>
      <c r="E33" s="117" t="s">
        <v>50</v>
      </c>
      <c r="F33" s="106" t="s">
        <v>24</v>
      </c>
      <c r="G33" s="145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6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1"/>
      <c r="BQ33" s="131"/>
      <c r="BR33" s="131"/>
      <c r="BS33" s="131"/>
      <c r="BT33" s="131"/>
      <c r="BU33" s="131"/>
      <c r="BV33" s="131"/>
      <c r="BW33" s="131"/>
      <c r="BX33" s="131"/>
      <c r="BY33" s="131"/>
      <c r="BZ33" s="131"/>
      <c r="CA33" s="131"/>
      <c r="CB33" s="131"/>
      <c r="CC33" s="131"/>
      <c r="CD33" s="131"/>
      <c r="CE33" s="131"/>
      <c r="CF33" s="131"/>
      <c r="CG33" s="131"/>
      <c r="CH33" s="131"/>
      <c r="CI33" s="131"/>
      <c r="CJ33" s="131"/>
      <c r="CK33" s="131"/>
      <c r="CL33" s="131"/>
      <c r="CM33" s="131"/>
      <c r="CN33" s="131"/>
      <c r="CO33" s="131"/>
      <c r="CP33" s="131"/>
      <c r="CQ33" s="131"/>
      <c r="CR33" s="131"/>
      <c r="CS33" s="131"/>
      <c r="CT33" s="131"/>
      <c r="CU33" s="131"/>
      <c r="CV33" s="131"/>
      <c r="CW33" s="131"/>
      <c r="CX33" s="131"/>
      <c r="CY33" s="131"/>
      <c r="CZ33" s="131"/>
      <c r="DA33" s="131"/>
      <c r="DB33" s="131"/>
      <c r="DC33" s="131"/>
      <c r="DD33" s="131"/>
      <c r="DE33" s="131"/>
      <c r="DF33" s="131"/>
      <c r="DG33" s="131"/>
      <c r="DH33" s="131"/>
      <c r="DI33" s="131"/>
      <c r="DJ33" s="131"/>
      <c r="DK33" s="131"/>
      <c r="DL33" s="131"/>
      <c r="DM33" s="131"/>
      <c r="DN33" s="131"/>
      <c r="DO33" s="131"/>
      <c r="DP33" s="131"/>
      <c r="DQ33" s="131"/>
      <c r="DR33" s="131"/>
      <c r="DS33" s="131"/>
      <c r="DT33" s="131"/>
      <c r="DU33" s="131"/>
      <c r="DV33" s="131"/>
      <c r="DW33" s="131"/>
      <c r="DX33" s="131"/>
      <c r="DY33" s="131"/>
      <c r="DZ33" s="131"/>
      <c r="EA33" s="131"/>
      <c r="EB33" s="131"/>
      <c r="EC33" s="131"/>
      <c r="ED33" s="131"/>
      <c r="EE33" s="131"/>
      <c r="EF33" s="131"/>
      <c r="EG33" s="131"/>
      <c r="EH33" s="131"/>
      <c r="EI33" s="131"/>
      <c r="EJ33" s="131"/>
      <c r="EK33" s="131"/>
      <c r="EL33" s="131"/>
      <c r="EM33" s="131"/>
      <c r="EN33" s="131"/>
      <c r="EO33" s="131"/>
      <c r="EP33" s="131"/>
      <c r="EQ33" s="131"/>
      <c r="ER33" s="131"/>
      <c r="ES33" s="131"/>
      <c r="ET33" s="131"/>
      <c r="EU33" s="131"/>
      <c r="EV33" s="131"/>
      <c r="EW33" s="131"/>
      <c r="EX33" s="131"/>
      <c r="EY33" s="131"/>
      <c r="EZ33" s="131"/>
      <c r="FA33" s="131"/>
      <c r="FB33" s="131"/>
      <c r="FC33" s="131"/>
      <c r="FD33" s="131"/>
      <c r="FE33" s="131"/>
      <c r="FF33" s="131"/>
      <c r="FG33" s="131"/>
      <c r="FH33" s="131"/>
      <c r="FI33" s="131"/>
      <c r="FJ33" s="131"/>
      <c r="FK33" s="131"/>
      <c r="FL33" s="131"/>
      <c r="FM33" s="131"/>
      <c r="FN33" s="131"/>
      <c r="FO33" s="131"/>
      <c r="FP33" s="131"/>
      <c r="FQ33" s="131"/>
      <c r="FR33" s="131"/>
      <c r="FS33" s="131"/>
      <c r="FT33" s="131"/>
      <c r="FU33" s="131"/>
      <c r="FV33" s="131"/>
      <c r="FW33" s="131"/>
      <c r="FX33" s="131"/>
      <c r="FY33" s="131"/>
      <c r="FZ33" s="131"/>
      <c r="GA33" s="131"/>
      <c r="GB33" s="131"/>
      <c r="GC33" s="131"/>
      <c r="GD33" s="131"/>
      <c r="GE33" s="131"/>
      <c r="GF33" s="131"/>
      <c r="GG33" s="131"/>
      <c r="GH33" s="131"/>
      <c r="GI33" s="131"/>
      <c r="GJ33" s="131"/>
      <c r="GK33" s="131"/>
      <c r="GL33" s="131"/>
      <c r="GM33" s="131"/>
      <c r="GN33" s="131"/>
      <c r="GO33" s="131"/>
      <c r="GP33" s="131"/>
      <c r="GQ33" s="131"/>
      <c r="GR33" s="131"/>
      <c r="GS33" s="131"/>
      <c r="GT33" s="131"/>
      <c r="GU33" s="131"/>
      <c r="GV33" s="131"/>
      <c r="GW33" s="131" t="s">
        <v>25</v>
      </c>
      <c r="GX33" s="94"/>
      <c r="GY33" s="94" t="s">
        <v>26</v>
      </c>
      <c r="GZ33" s="94" t="s">
        <v>28</v>
      </c>
      <c r="HA33" s="94"/>
      <c r="HB33" s="94" t="s">
        <v>27</v>
      </c>
      <c r="HC33" s="94"/>
      <c r="HD33" s="94" t="s">
        <v>26</v>
      </c>
      <c r="HE33" s="94" t="s">
        <v>27</v>
      </c>
      <c r="HF33" s="94"/>
      <c r="HG33" s="94"/>
      <c r="HH33" s="94"/>
      <c r="HI33" s="94"/>
      <c r="HJ33" s="94"/>
      <c r="HK33" s="94"/>
      <c r="HL33" s="94"/>
      <c r="HM33" s="94" t="s">
        <v>28</v>
      </c>
      <c r="HN33" s="94" t="s">
        <v>28</v>
      </c>
      <c r="HO33" s="94"/>
      <c r="HP33" s="94"/>
      <c r="HQ33" s="94"/>
      <c r="HR33" s="94"/>
      <c r="HS33" s="94"/>
      <c r="HT33" s="94"/>
      <c r="HU33" s="94"/>
      <c r="HV33" s="94" t="s">
        <v>26</v>
      </c>
      <c r="HW33" s="94"/>
      <c r="HX33" s="94" t="s">
        <v>27</v>
      </c>
      <c r="HY33" s="94" t="s">
        <v>26</v>
      </c>
      <c r="HZ33" s="94" t="s">
        <v>27</v>
      </c>
      <c r="IA33" s="94"/>
      <c r="IB33" s="94" t="s">
        <v>26</v>
      </c>
      <c r="IC33" s="94" t="s">
        <v>27</v>
      </c>
      <c r="ID33" s="94"/>
      <c r="IE33" s="94" t="s">
        <v>26</v>
      </c>
      <c r="IF33" s="94" t="s">
        <v>27</v>
      </c>
      <c r="IG33" s="94"/>
      <c r="IH33" s="94" t="s">
        <v>26</v>
      </c>
      <c r="II33" s="94"/>
      <c r="IJ33" s="94" t="s">
        <v>27</v>
      </c>
      <c r="IK33" s="94"/>
      <c r="IL33" s="94" t="s">
        <v>26</v>
      </c>
      <c r="IM33" s="94"/>
      <c r="IN33" s="94" t="s">
        <v>27</v>
      </c>
      <c r="IO33" s="94"/>
      <c r="IP33" s="94" t="s">
        <v>26</v>
      </c>
      <c r="IQ33" s="94" t="s">
        <v>27</v>
      </c>
      <c r="IR33" s="94"/>
      <c r="IS33" s="94" t="s">
        <v>26</v>
      </c>
      <c r="IT33" s="94" t="s">
        <v>27</v>
      </c>
      <c r="IU33" s="94"/>
      <c r="IV33" s="94" t="s">
        <v>26</v>
      </c>
      <c r="IW33" s="94" t="s">
        <v>27</v>
      </c>
      <c r="IX33" s="94"/>
      <c r="IY33" s="94" t="s">
        <v>26</v>
      </c>
      <c r="IZ33" s="94" t="s">
        <v>27</v>
      </c>
      <c r="JA33" s="94"/>
      <c r="JB33" s="94" t="s">
        <v>26</v>
      </c>
      <c r="JC33" s="94" t="s">
        <v>27</v>
      </c>
      <c r="JD33" s="94"/>
      <c r="JE33" s="94" t="s">
        <v>26</v>
      </c>
      <c r="JF33" s="94" t="s">
        <v>27</v>
      </c>
      <c r="JG33" s="94"/>
      <c r="JH33" s="94" t="s">
        <v>26</v>
      </c>
      <c r="JI33" s="94" t="s">
        <v>27</v>
      </c>
      <c r="JJ33" s="94"/>
      <c r="JK33" s="94" t="s">
        <v>26</v>
      </c>
      <c r="JL33" s="94" t="s">
        <v>27</v>
      </c>
      <c r="JM33" s="94"/>
      <c r="JN33" s="94" t="s">
        <v>26</v>
      </c>
      <c r="JO33" s="94" t="s">
        <v>27</v>
      </c>
      <c r="JP33" s="94"/>
      <c r="JQ33" s="94" t="s">
        <v>26</v>
      </c>
      <c r="JR33" s="94" t="s">
        <v>27</v>
      </c>
      <c r="JS33" s="94"/>
      <c r="JT33" s="94" t="s">
        <v>26</v>
      </c>
      <c r="JU33" s="94" t="s">
        <v>27</v>
      </c>
      <c r="JV33" s="94"/>
      <c r="JW33" s="94" t="s">
        <v>26</v>
      </c>
      <c r="JX33" s="94" t="s">
        <v>27</v>
      </c>
      <c r="JY33" s="94"/>
      <c r="JZ33" s="94" t="s">
        <v>26</v>
      </c>
      <c r="KA33" s="94" t="s">
        <v>27</v>
      </c>
      <c r="KB33" s="94"/>
      <c r="KC33" s="94" t="s">
        <v>26</v>
      </c>
      <c r="KD33" s="94" t="s">
        <v>27</v>
      </c>
      <c r="KE33" s="94"/>
      <c r="KF33" s="94" t="s">
        <v>26</v>
      </c>
      <c r="KG33" s="94" t="s">
        <v>27</v>
      </c>
      <c r="KH33" s="94"/>
      <c r="KI33" s="94" t="s">
        <v>26</v>
      </c>
      <c r="KJ33" s="94" t="s">
        <v>27</v>
      </c>
      <c r="KK33" s="94"/>
      <c r="KL33" s="94" t="s">
        <v>26</v>
      </c>
      <c r="KM33" s="94" t="s">
        <v>27</v>
      </c>
      <c r="KN33" s="94"/>
      <c r="KO33" s="94" t="s">
        <v>26</v>
      </c>
      <c r="KP33" s="94" t="s">
        <v>27</v>
      </c>
      <c r="KQ33" s="94"/>
      <c r="KR33" s="94" t="s">
        <v>26</v>
      </c>
      <c r="KS33" s="94" t="s">
        <v>27</v>
      </c>
      <c r="KT33" s="94"/>
      <c r="KU33" s="94" t="s">
        <v>26</v>
      </c>
      <c r="KV33" s="94" t="s">
        <v>27</v>
      </c>
      <c r="KW33" s="94"/>
      <c r="KX33" s="94" t="s">
        <v>26</v>
      </c>
      <c r="KY33" s="94" t="s">
        <v>27</v>
      </c>
      <c r="KZ33" s="94"/>
      <c r="LA33" s="94" t="s">
        <v>26</v>
      </c>
      <c r="LB33" s="94" t="s">
        <v>27</v>
      </c>
      <c r="LC33" s="94"/>
      <c r="LD33" s="94" t="s">
        <v>26</v>
      </c>
      <c r="LE33" s="94" t="s">
        <v>27</v>
      </c>
      <c r="LF33" s="94"/>
      <c r="LG33" s="94" t="s">
        <v>26</v>
      </c>
      <c r="LH33" s="94" t="s">
        <v>27</v>
      </c>
      <c r="LI33" s="94"/>
      <c r="LJ33" s="94" t="s">
        <v>26</v>
      </c>
      <c r="LK33" s="94" t="s">
        <v>27</v>
      </c>
      <c r="LL33" s="94"/>
      <c r="LM33" s="94" t="s">
        <v>26</v>
      </c>
      <c r="LN33" s="94" t="s">
        <v>27</v>
      </c>
      <c r="LO33" s="94"/>
      <c r="LP33" s="94" t="s">
        <v>26</v>
      </c>
      <c r="LQ33" s="94" t="s">
        <v>27</v>
      </c>
      <c r="LR33" s="94"/>
      <c r="LS33" s="94" t="s">
        <v>26</v>
      </c>
      <c r="LT33" s="94" t="s">
        <v>27</v>
      </c>
      <c r="LU33" s="94"/>
      <c r="LV33" s="94" t="s">
        <v>26</v>
      </c>
      <c r="LW33" s="94" t="s">
        <v>27</v>
      </c>
      <c r="LX33" s="94"/>
      <c r="LY33" s="94" t="s">
        <v>26</v>
      </c>
      <c r="LZ33" s="94" t="s">
        <v>27</v>
      </c>
      <c r="MA33" s="94"/>
      <c r="MB33" s="94" t="s">
        <v>26</v>
      </c>
    </row>
    <row r="34" spans="1:340" s="50" customFormat="1" ht="31.5" hidden="1" customHeight="1" thickBot="1">
      <c r="A34" s="44">
        <v>1</v>
      </c>
      <c r="B34" s="107" t="s">
        <v>63</v>
      </c>
      <c r="C34" s="46" t="s">
        <v>65</v>
      </c>
      <c r="D34" s="105" t="s">
        <v>49</v>
      </c>
      <c r="E34" s="117" t="s">
        <v>50</v>
      </c>
      <c r="F34" s="106" t="s">
        <v>24</v>
      </c>
      <c r="G34" s="145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6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1"/>
      <c r="BQ34" s="131"/>
      <c r="BR34" s="131"/>
      <c r="BS34" s="131"/>
      <c r="BT34" s="131"/>
      <c r="BU34" s="131"/>
      <c r="BV34" s="131"/>
      <c r="BW34" s="131"/>
      <c r="BX34" s="131"/>
      <c r="BY34" s="131"/>
      <c r="BZ34" s="131"/>
      <c r="CA34" s="131"/>
      <c r="CB34" s="131"/>
      <c r="CC34" s="131"/>
      <c r="CD34" s="131"/>
      <c r="CE34" s="131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  <c r="DR34" s="131"/>
      <c r="DS34" s="131"/>
      <c r="DT34" s="131"/>
      <c r="DU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 t="s">
        <v>25</v>
      </c>
      <c r="FJ34" s="94"/>
      <c r="FK34" s="94"/>
      <c r="FL34" s="94"/>
      <c r="FM34" s="94"/>
      <c r="FN34" s="94" t="s">
        <v>26</v>
      </c>
      <c r="FO34" s="94"/>
      <c r="FP34" s="94"/>
      <c r="FQ34" s="94" t="s">
        <v>41</v>
      </c>
      <c r="FR34" s="94"/>
      <c r="FT34" s="94" t="s">
        <v>26</v>
      </c>
      <c r="FU34" s="94"/>
      <c r="FV34" s="94" t="s">
        <v>41</v>
      </c>
      <c r="FW34" s="94"/>
      <c r="FX34" s="94"/>
      <c r="FY34" s="94" t="s">
        <v>26</v>
      </c>
      <c r="FZ34" s="94"/>
      <c r="GA34" s="94"/>
      <c r="GB34" s="94" t="s">
        <v>41</v>
      </c>
      <c r="GC34" s="94"/>
      <c r="GD34" s="94"/>
      <c r="GE34" s="94"/>
      <c r="GG34" s="94" t="s">
        <v>26</v>
      </c>
      <c r="GH34" s="94"/>
      <c r="GI34" s="94" t="s">
        <v>41</v>
      </c>
      <c r="GJ34" s="94"/>
      <c r="GK34" s="94"/>
      <c r="GL34" s="94" t="s">
        <v>26</v>
      </c>
      <c r="GM34" s="94"/>
      <c r="GN34" s="94" t="s">
        <v>41</v>
      </c>
      <c r="GO34" s="94"/>
      <c r="GP34" s="94"/>
      <c r="GQ34" s="94"/>
      <c r="GR34" s="94"/>
      <c r="GS34" s="94" t="s">
        <v>26</v>
      </c>
      <c r="GT34" s="94"/>
      <c r="GU34" s="94"/>
      <c r="GV34" s="94" t="s">
        <v>28</v>
      </c>
      <c r="GW34" s="94" t="s">
        <v>41</v>
      </c>
      <c r="GX34" s="94"/>
      <c r="GY34" s="94"/>
      <c r="HA34" s="94" t="s">
        <v>26</v>
      </c>
      <c r="HB34" s="94" t="s">
        <v>28</v>
      </c>
      <c r="HC34" s="94" t="s">
        <v>28</v>
      </c>
      <c r="HD34" s="94" t="s">
        <v>28</v>
      </c>
      <c r="HE34" s="94" t="s">
        <v>28</v>
      </c>
      <c r="HF34" s="94" t="s">
        <v>28</v>
      </c>
      <c r="HG34" s="94"/>
      <c r="HH34" s="94" t="s">
        <v>41</v>
      </c>
      <c r="HI34" s="94"/>
      <c r="HJ34" s="94"/>
      <c r="HK34" s="94"/>
      <c r="HL34" s="94"/>
      <c r="HM34" s="94"/>
      <c r="HN34" s="94"/>
      <c r="HO34" s="94"/>
      <c r="HP34" s="94"/>
      <c r="HQ34" s="94"/>
      <c r="HR34" s="94"/>
      <c r="HS34" s="94"/>
      <c r="HT34" s="94" t="s">
        <v>26</v>
      </c>
      <c r="HU34" s="94"/>
      <c r="HV34" s="94" t="s">
        <v>41</v>
      </c>
      <c r="HW34" s="94"/>
      <c r="HX34" s="94" t="s">
        <v>28</v>
      </c>
      <c r="HY34" s="94" t="s">
        <v>28</v>
      </c>
      <c r="HZ34" s="94" t="s">
        <v>28</v>
      </c>
      <c r="IA34" s="94" t="s">
        <v>28</v>
      </c>
      <c r="IB34" s="94"/>
      <c r="IC34" s="94" t="s">
        <v>41</v>
      </c>
      <c r="ID34" s="94"/>
      <c r="IE34" s="94"/>
      <c r="IF34" s="94"/>
      <c r="IG34" s="94"/>
      <c r="IH34" s="94"/>
      <c r="II34" s="94"/>
      <c r="IJ34" s="94"/>
      <c r="IK34" s="94" t="s">
        <v>41</v>
      </c>
      <c r="IL34" s="94"/>
      <c r="IM34" s="94"/>
      <c r="IN34" s="94"/>
      <c r="IO34" s="94"/>
      <c r="IP34" s="94" t="s">
        <v>26</v>
      </c>
      <c r="IQ34" s="94"/>
      <c r="IR34" s="94" t="s">
        <v>41</v>
      </c>
      <c r="IS34" s="94"/>
      <c r="IT34" s="94"/>
      <c r="IU34" s="94"/>
      <c r="IV34" s="94" t="s">
        <v>26</v>
      </c>
      <c r="IW34" s="94"/>
      <c r="IX34" s="94" t="s">
        <v>41</v>
      </c>
      <c r="IY34" s="94"/>
      <c r="IZ34" s="94"/>
      <c r="JA34" s="94"/>
      <c r="JB34" s="94" t="s">
        <v>26</v>
      </c>
      <c r="JC34" s="94"/>
      <c r="JD34" s="94" t="s">
        <v>41</v>
      </c>
      <c r="JE34" s="94"/>
      <c r="JF34" s="94"/>
      <c r="JG34" s="94"/>
      <c r="JH34" s="94" t="s">
        <v>26</v>
      </c>
      <c r="JI34" s="94"/>
      <c r="JJ34" s="94" t="s">
        <v>41</v>
      </c>
      <c r="JK34" s="94"/>
      <c r="JL34" s="94"/>
      <c r="JM34" s="94"/>
      <c r="JN34" s="94" t="s">
        <v>26</v>
      </c>
      <c r="JO34" s="94"/>
      <c r="JP34" s="94" t="s">
        <v>41</v>
      </c>
      <c r="JQ34" s="94"/>
      <c r="JR34" s="94"/>
      <c r="JS34" s="94"/>
      <c r="JT34" s="94" t="s">
        <v>26</v>
      </c>
      <c r="JU34" s="94"/>
      <c r="JV34" s="94" t="s">
        <v>41</v>
      </c>
      <c r="JW34" s="94"/>
      <c r="JX34" s="94"/>
      <c r="JY34" s="94"/>
      <c r="JZ34" s="94" t="s">
        <v>26</v>
      </c>
      <c r="KA34" s="94"/>
      <c r="KB34" s="94" t="s">
        <v>41</v>
      </c>
      <c r="KC34" s="94"/>
      <c r="KD34" s="94"/>
      <c r="KE34" s="94"/>
      <c r="KF34" s="94" t="s">
        <v>26</v>
      </c>
      <c r="KG34" s="94"/>
      <c r="KH34" s="94" t="s">
        <v>41</v>
      </c>
      <c r="KI34" s="94"/>
      <c r="KJ34" s="94"/>
      <c r="KK34" s="94"/>
      <c r="KL34" s="94" t="s">
        <v>26</v>
      </c>
      <c r="KM34" s="94"/>
      <c r="KN34" s="94" t="s">
        <v>41</v>
      </c>
      <c r="KO34" s="94"/>
      <c r="KP34" s="94"/>
      <c r="KQ34" s="94"/>
      <c r="KR34" s="94" t="s">
        <v>26</v>
      </c>
      <c r="KS34" s="94"/>
      <c r="KT34" s="94" t="s">
        <v>41</v>
      </c>
      <c r="KU34" s="94"/>
      <c r="KV34" s="94"/>
      <c r="KW34" s="94"/>
      <c r="KX34" s="94" t="s">
        <v>26</v>
      </c>
      <c r="KY34" s="94"/>
      <c r="KZ34" s="94" t="s">
        <v>41</v>
      </c>
      <c r="LA34" s="94"/>
      <c r="LB34" s="94"/>
      <c r="LC34" s="94"/>
      <c r="LD34" s="94" t="s">
        <v>26</v>
      </c>
      <c r="LE34" s="94"/>
      <c r="LF34" s="94" t="s">
        <v>41</v>
      </c>
      <c r="LG34" s="94"/>
      <c r="LH34" s="94"/>
      <c r="LI34" s="94"/>
      <c r="LJ34" s="94" t="s">
        <v>26</v>
      </c>
      <c r="LK34" s="94"/>
      <c r="LL34" s="94" t="s">
        <v>41</v>
      </c>
      <c r="LM34" s="94"/>
      <c r="LN34" s="94"/>
      <c r="LO34" s="94"/>
      <c r="LP34" s="94" t="s">
        <v>26</v>
      </c>
      <c r="LQ34" s="94"/>
      <c r="LR34" s="94" t="s">
        <v>41</v>
      </c>
      <c r="LS34" s="94"/>
      <c r="LT34" s="94"/>
      <c r="LU34" s="94"/>
      <c r="LV34" s="94" t="s">
        <v>26</v>
      </c>
      <c r="LW34" s="94"/>
      <c r="LX34" s="94" t="s">
        <v>41</v>
      </c>
      <c r="LY34" s="94"/>
      <c r="LZ34" s="94"/>
      <c r="MA34" s="94"/>
      <c r="MB34" s="94" t="s">
        <v>26</v>
      </c>
    </row>
    <row r="35" spans="1:340" s="50" customFormat="1" ht="31.5" hidden="1" customHeight="1" thickBot="1">
      <c r="A35" s="44">
        <v>1</v>
      </c>
      <c r="B35" s="107" t="s">
        <v>63</v>
      </c>
      <c r="C35" s="46" t="s">
        <v>66</v>
      </c>
      <c r="D35" s="105" t="s">
        <v>49</v>
      </c>
      <c r="E35" s="117" t="s">
        <v>50</v>
      </c>
      <c r="F35" s="106" t="s">
        <v>24</v>
      </c>
      <c r="G35" s="145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6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1"/>
      <c r="BY35" s="131"/>
      <c r="BZ35" s="131"/>
      <c r="CA35" s="131"/>
      <c r="CB35" s="131"/>
      <c r="CC35" s="131"/>
      <c r="CD35" s="131"/>
      <c r="CE35" s="131"/>
      <c r="CF35" s="131"/>
      <c r="CG35" s="131"/>
      <c r="CH35" s="131"/>
      <c r="CI35" s="131"/>
      <c r="CJ35" s="131"/>
      <c r="CK35" s="131"/>
      <c r="CL35" s="131"/>
      <c r="CM35" s="131"/>
      <c r="CN35" s="131"/>
      <c r="CO35" s="131"/>
      <c r="CP35" s="131"/>
      <c r="CQ35" s="131"/>
      <c r="CR35" s="131"/>
      <c r="CS35" s="131"/>
      <c r="CT35" s="131"/>
      <c r="CU35" s="131"/>
      <c r="CV35" s="131"/>
      <c r="CW35" s="131"/>
      <c r="CX35" s="131"/>
      <c r="CY35" s="131"/>
      <c r="CZ35" s="131"/>
      <c r="DA35" s="131"/>
      <c r="DB35" s="131"/>
      <c r="DC35" s="131"/>
      <c r="DD35" s="131"/>
      <c r="DE35" s="131"/>
      <c r="DF35" s="131"/>
      <c r="DG35" s="131"/>
      <c r="DH35" s="131"/>
      <c r="DI35" s="131"/>
      <c r="DJ35" s="131"/>
      <c r="DK35" s="131"/>
      <c r="DL35" s="131"/>
      <c r="DM35" s="131"/>
      <c r="DN35" s="131"/>
      <c r="DO35" s="131"/>
      <c r="DP35" s="131"/>
      <c r="DQ35" s="131"/>
      <c r="DR35" s="131"/>
      <c r="DS35" s="131"/>
      <c r="DT35" s="131"/>
      <c r="DU35" s="131"/>
      <c r="DV35" s="131"/>
      <c r="DW35" s="131"/>
      <c r="DX35" s="131"/>
      <c r="DY35" s="131"/>
      <c r="DZ35" s="131"/>
      <c r="EA35" s="131"/>
      <c r="EB35" s="131"/>
      <c r="EC35" s="131"/>
      <c r="ED35" s="131"/>
      <c r="EE35" s="131"/>
      <c r="EF35" s="131"/>
      <c r="EG35" s="131"/>
      <c r="EH35" s="131"/>
      <c r="EI35" s="131"/>
      <c r="EJ35" s="131"/>
      <c r="EK35" s="131"/>
      <c r="EL35" s="131"/>
      <c r="EM35" s="131"/>
      <c r="EN35" s="131"/>
      <c r="EO35" s="131"/>
      <c r="EP35" s="131"/>
      <c r="EQ35" s="131"/>
      <c r="ER35" s="131"/>
      <c r="ES35" s="131"/>
      <c r="ET35" s="131"/>
      <c r="EU35" s="131"/>
      <c r="EV35" s="131"/>
      <c r="EW35" s="131"/>
      <c r="EX35" s="131"/>
      <c r="EY35" s="131"/>
      <c r="EZ35" s="131"/>
      <c r="FA35" s="131"/>
      <c r="FB35" s="131"/>
      <c r="FC35" s="131"/>
      <c r="FD35" s="131"/>
      <c r="FE35" s="131"/>
      <c r="FF35" s="131"/>
      <c r="FG35" s="131"/>
      <c r="FH35" s="131"/>
      <c r="FI35" s="131"/>
      <c r="FJ35" s="131"/>
      <c r="FK35" s="131"/>
      <c r="FL35" s="131"/>
      <c r="FM35" s="131"/>
      <c r="FN35" s="131"/>
      <c r="FO35" s="131"/>
      <c r="FP35" s="131"/>
      <c r="FQ35" s="131"/>
      <c r="FR35" s="131"/>
      <c r="FS35" s="131"/>
      <c r="FT35" s="131"/>
      <c r="FU35" s="131"/>
      <c r="FV35" s="131"/>
      <c r="FW35" s="131"/>
      <c r="FX35" s="131"/>
      <c r="FY35" s="131"/>
      <c r="FZ35" s="131"/>
      <c r="GA35" s="131"/>
      <c r="GB35" s="131"/>
      <c r="GC35" s="131"/>
      <c r="GD35" s="131"/>
      <c r="GE35" s="131"/>
      <c r="GF35" s="131"/>
      <c r="GG35" s="131"/>
      <c r="GH35" s="131"/>
      <c r="GI35" s="131"/>
      <c r="GJ35" s="131"/>
      <c r="GK35" s="131"/>
      <c r="GL35" s="131"/>
      <c r="GM35" s="131"/>
      <c r="GN35" s="131"/>
      <c r="GO35" s="131"/>
      <c r="GP35" s="131"/>
      <c r="GQ35" s="131"/>
      <c r="GR35" s="131"/>
      <c r="GS35" s="131"/>
      <c r="GT35" s="131"/>
      <c r="GU35" s="131"/>
      <c r="GV35" s="131"/>
      <c r="GW35" s="131"/>
      <c r="GX35" s="131"/>
      <c r="GY35" s="131"/>
      <c r="GZ35" s="131"/>
      <c r="HA35" s="131"/>
      <c r="HB35" s="131"/>
      <c r="HC35" s="131"/>
      <c r="HD35" s="131"/>
      <c r="HE35" s="131"/>
      <c r="HF35" s="131"/>
      <c r="HG35" s="131"/>
      <c r="HH35" s="131"/>
      <c r="HI35" s="131"/>
      <c r="HJ35" s="131"/>
      <c r="HK35" s="131"/>
      <c r="HL35" s="131"/>
      <c r="HM35" s="131"/>
      <c r="HN35" s="131"/>
      <c r="HO35" s="131"/>
      <c r="HP35" s="131"/>
      <c r="HQ35" s="131"/>
      <c r="HR35" s="131"/>
      <c r="HS35" s="131"/>
      <c r="HT35" s="131"/>
      <c r="HU35" s="94" t="s">
        <v>25</v>
      </c>
      <c r="HV35" s="94" t="s">
        <v>26</v>
      </c>
      <c r="HW35" s="94"/>
      <c r="HX35" s="94" t="s">
        <v>27</v>
      </c>
      <c r="HY35" s="94"/>
      <c r="HZ35" s="94" t="s">
        <v>26</v>
      </c>
      <c r="IA35" s="94" t="s">
        <v>41</v>
      </c>
      <c r="IB35" s="94"/>
      <c r="IC35" s="94" t="s">
        <v>27</v>
      </c>
      <c r="ID35" s="94" t="s">
        <v>26</v>
      </c>
      <c r="IF35" s="94" t="s">
        <v>41</v>
      </c>
      <c r="IG35" s="94"/>
      <c r="IH35" s="94"/>
      <c r="II35" s="94" t="s">
        <v>27</v>
      </c>
      <c r="IJ35" s="94" t="s">
        <v>26</v>
      </c>
      <c r="IL35" s="94" t="s">
        <v>27</v>
      </c>
      <c r="IM35" s="94"/>
      <c r="IN35" s="94"/>
      <c r="IP35" s="94"/>
      <c r="IQ35" s="94"/>
      <c r="IR35" s="94"/>
      <c r="IS35" s="94"/>
      <c r="IT35" s="94" t="s">
        <v>26</v>
      </c>
      <c r="IU35" s="94"/>
      <c r="IV35" s="94"/>
      <c r="IW35" s="94" t="s">
        <v>27</v>
      </c>
      <c r="IX35" s="94" t="s">
        <v>26</v>
      </c>
      <c r="IY35" s="94"/>
      <c r="IZ35" s="94"/>
      <c r="JA35" s="94" t="s">
        <v>27</v>
      </c>
      <c r="JB35" s="94" t="s">
        <v>26</v>
      </c>
      <c r="JC35" s="94"/>
      <c r="JD35" s="94"/>
      <c r="JE35" s="94" t="s">
        <v>27</v>
      </c>
      <c r="JF35" s="94" t="s">
        <v>26</v>
      </c>
      <c r="JG35" s="94"/>
      <c r="JH35" s="94"/>
      <c r="JI35" s="94" t="s">
        <v>27</v>
      </c>
      <c r="JJ35" s="94" t="s">
        <v>26</v>
      </c>
      <c r="JK35" s="94"/>
      <c r="JL35" s="94"/>
      <c r="JM35" s="94" t="s">
        <v>27</v>
      </c>
      <c r="JN35" s="94" t="s">
        <v>26</v>
      </c>
      <c r="JO35" s="94"/>
      <c r="JP35" s="94" t="s">
        <v>27</v>
      </c>
      <c r="JQ35" s="94" t="s">
        <v>26</v>
      </c>
      <c r="JR35" s="94"/>
      <c r="JS35" s="94"/>
      <c r="JT35" s="94" t="s">
        <v>27</v>
      </c>
      <c r="JU35" s="94" t="s">
        <v>26</v>
      </c>
      <c r="JV35" s="94"/>
      <c r="JW35" s="94"/>
      <c r="JX35" s="94" t="s">
        <v>27</v>
      </c>
      <c r="JY35" s="94" t="s">
        <v>26</v>
      </c>
      <c r="JZ35" s="94"/>
      <c r="KA35" s="94"/>
      <c r="KB35" s="94" t="s">
        <v>27</v>
      </c>
      <c r="KC35" s="94" t="s">
        <v>26</v>
      </c>
      <c r="KD35" s="94"/>
      <c r="KE35" s="94"/>
      <c r="KF35" s="94" t="s">
        <v>27</v>
      </c>
      <c r="KG35" s="94" t="s">
        <v>26</v>
      </c>
      <c r="KH35" s="94"/>
      <c r="KI35" s="94"/>
      <c r="KJ35" s="94" t="s">
        <v>27</v>
      </c>
      <c r="KK35" s="94" t="s">
        <v>26</v>
      </c>
      <c r="KL35" s="94"/>
      <c r="KM35" s="94"/>
      <c r="KN35" s="94" t="s">
        <v>27</v>
      </c>
      <c r="KO35" s="94" t="s">
        <v>26</v>
      </c>
      <c r="KP35" s="94"/>
      <c r="KQ35" s="94"/>
      <c r="KR35" s="94" t="s">
        <v>27</v>
      </c>
      <c r="KS35" s="94" t="s">
        <v>26</v>
      </c>
      <c r="KT35" s="94"/>
      <c r="KU35" s="94"/>
      <c r="KV35" s="94" t="s">
        <v>27</v>
      </c>
      <c r="KW35" s="94" t="s">
        <v>26</v>
      </c>
      <c r="KX35" s="94"/>
      <c r="KY35" s="94"/>
      <c r="KZ35" s="94" t="s">
        <v>27</v>
      </c>
      <c r="LA35" s="94" t="s">
        <v>26</v>
      </c>
      <c r="LB35" s="94"/>
      <c r="LC35" s="94"/>
      <c r="LD35" s="94" t="s">
        <v>27</v>
      </c>
      <c r="LE35" s="94" t="s">
        <v>26</v>
      </c>
      <c r="LF35" s="94"/>
      <c r="LG35" s="94"/>
      <c r="LH35" s="94" t="s">
        <v>27</v>
      </c>
      <c r="LI35" s="94" t="s">
        <v>26</v>
      </c>
      <c r="LJ35" s="94"/>
      <c r="LK35" s="94"/>
      <c r="LL35" s="94" t="s">
        <v>27</v>
      </c>
      <c r="LM35" s="94" t="s">
        <v>26</v>
      </c>
      <c r="LN35" s="94"/>
      <c r="LO35" s="94"/>
      <c r="LP35" s="94" t="s">
        <v>27</v>
      </c>
      <c r="LQ35" s="94" t="s">
        <v>26</v>
      </c>
      <c r="LR35" s="94"/>
      <c r="LS35" s="94"/>
      <c r="LT35" s="94" t="s">
        <v>27</v>
      </c>
      <c r="LU35" s="94" t="s">
        <v>26</v>
      </c>
      <c r="LV35" s="94"/>
      <c r="LW35" s="94"/>
      <c r="LX35" s="94" t="s">
        <v>27</v>
      </c>
      <c r="LY35" s="94" t="s">
        <v>26</v>
      </c>
      <c r="LZ35" s="94"/>
      <c r="MA35" s="94"/>
      <c r="MB35" s="94" t="s">
        <v>27</v>
      </c>
    </row>
    <row r="36" spans="1:340" s="50" customFormat="1" ht="31.5" hidden="1" customHeight="1" thickBot="1">
      <c r="A36" s="44">
        <v>1</v>
      </c>
      <c r="B36" s="107" t="s">
        <v>63</v>
      </c>
      <c r="C36" s="46" t="s">
        <v>67</v>
      </c>
      <c r="D36" s="105" t="s">
        <v>49</v>
      </c>
      <c r="E36" s="117" t="s">
        <v>50</v>
      </c>
      <c r="F36" s="106" t="s">
        <v>24</v>
      </c>
      <c r="G36" s="145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6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1"/>
      <c r="BQ36" s="131"/>
      <c r="BR36" s="131"/>
      <c r="BS36" s="131"/>
      <c r="BT36" s="131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131"/>
      <c r="CG36" s="131"/>
      <c r="CH36" s="131"/>
      <c r="CI36" s="131"/>
      <c r="CJ36" s="131"/>
      <c r="CK36" s="131"/>
      <c r="CL36" s="131"/>
      <c r="CM36" s="131"/>
      <c r="CN36" s="131"/>
      <c r="CO36" s="131"/>
      <c r="CP36" s="131"/>
      <c r="CQ36" s="131"/>
      <c r="CR36" s="131"/>
      <c r="CS36" s="131"/>
      <c r="CT36" s="131"/>
      <c r="CU36" s="131"/>
      <c r="CV36" s="131"/>
      <c r="CW36" s="131"/>
      <c r="CX36" s="131"/>
      <c r="CY36" s="131"/>
      <c r="CZ36" s="131"/>
      <c r="DA36" s="131"/>
      <c r="DB36" s="131"/>
      <c r="DC36" s="131"/>
      <c r="DD36" s="131"/>
      <c r="DE36" s="131"/>
      <c r="DF36" s="131"/>
      <c r="DG36" s="131"/>
      <c r="DH36" s="131"/>
      <c r="DI36" s="131"/>
      <c r="DJ36" s="131"/>
      <c r="DK36" s="131"/>
      <c r="DL36" s="131"/>
      <c r="DM36" s="131"/>
      <c r="DN36" s="131"/>
      <c r="DO36" s="131"/>
      <c r="DP36" s="131"/>
      <c r="DQ36" s="131"/>
      <c r="DR36" s="131"/>
      <c r="DS36" s="131"/>
      <c r="DT36" s="131"/>
      <c r="DU36" s="131"/>
      <c r="DV36" s="131"/>
      <c r="DW36" s="131"/>
      <c r="DX36" s="131"/>
      <c r="DY36" s="131"/>
      <c r="DZ36" s="131"/>
      <c r="EA36" s="131"/>
      <c r="EB36" s="131"/>
      <c r="EC36" s="131"/>
      <c r="ED36" s="131"/>
      <c r="EE36" s="131"/>
      <c r="EF36" s="131"/>
      <c r="EG36" s="131"/>
      <c r="EH36" s="131"/>
      <c r="EI36" s="131"/>
      <c r="EJ36" s="131"/>
      <c r="EK36" s="131"/>
      <c r="EL36" s="131"/>
      <c r="EM36" s="131"/>
      <c r="EN36" s="131"/>
      <c r="EO36" s="131"/>
      <c r="EP36" s="131"/>
      <c r="EQ36" s="131"/>
      <c r="ER36" s="131"/>
      <c r="ES36" s="131"/>
      <c r="ET36" s="131"/>
      <c r="EU36" s="131"/>
      <c r="EV36" s="131"/>
      <c r="EW36" s="131"/>
      <c r="EX36" s="131"/>
      <c r="EY36" s="131"/>
      <c r="EZ36" s="131"/>
      <c r="FA36" s="131"/>
      <c r="FB36" s="131"/>
      <c r="FC36" s="131"/>
      <c r="FD36" s="131"/>
      <c r="FE36" s="131"/>
      <c r="FF36" s="131"/>
      <c r="FG36" s="131"/>
      <c r="FH36" s="131"/>
      <c r="FI36" s="131"/>
      <c r="FJ36" s="131"/>
      <c r="FK36" s="131"/>
      <c r="FL36" s="131"/>
      <c r="FM36" s="131"/>
      <c r="FN36" s="131"/>
      <c r="FO36" s="131"/>
      <c r="FP36" s="131"/>
      <c r="FQ36" s="131"/>
      <c r="FR36" s="131"/>
      <c r="FS36" s="131"/>
      <c r="FT36" s="131"/>
      <c r="FU36" s="131"/>
      <c r="FV36" s="131"/>
      <c r="FW36" s="131"/>
      <c r="FX36" s="131"/>
      <c r="FY36" s="131"/>
      <c r="FZ36" s="131"/>
      <c r="GA36" s="131"/>
      <c r="GB36" s="131"/>
      <c r="GC36" s="131"/>
      <c r="GD36" s="131"/>
      <c r="GE36" s="131"/>
      <c r="GF36" s="131"/>
      <c r="GG36" s="131"/>
      <c r="GH36" s="131"/>
      <c r="GI36" s="131"/>
      <c r="GJ36" s="131"/>
      <c r="GK36" s="131"/>
      <c r="GL36" s="131"/>
      <c r="GM36" s="131"/>
      <c r="GN36" s="131"/>
      <c r="GO36" s="131"/>
      <c r="GP36" s="131"/>
      <c r="GQ36" s="131"/>
      <c r="GR36" s="131"/>
      <c r="GS36" s="131"/>
      <c r="GT36" s="131"/>
      <c r="GU36" s="131"/>
      <c r="GV36" s="131"/>
      <c r="GW36" s="131"/>
      <c r="GX36" s="131" t="s">
        <v>25</v>
      </c>
      <c r="GY36" s="94"/>
      <c r="GZ36" s="94" t="s">
        <v>26</v>
      </c>
      <c r="HA36" s="94"/>
      <c r="HB36" s="94" t="s">
        <v>27</v>
      </c>
      <c r="HC36" s="94" t="s">
        <v>26</v>
      </c>
      <c r="HD36" s="94"/>
      <c r="HE36" s="94" t="s">
        <v>27</v>
      </c>
      <c r="HF36" s="94" t="s">
        <v>26</v>
      </c>
      <c r="HG36" s="94" t="s">
        <v>27</v>
      </c>
      <c r="HH36" s="94" t="s">
        <v>26</v>
      </c>
      <c r="HI36" s="94"/>
      <c r="HJ36" s="94" t="s">
        <v>27</v>
      </c>
      <c r="HK36" s="94"/>
      <c r="HL36" s="94"/>
      <c r="HM36" s="94"/>
      <c r="HN36" s="94"/>
      <c r="HO36" s="94"/>
      <c r="HP36" s="94"/>
      <c r="HQ36" s="94"/>
      <c r="HR36" s="94"/>
      <c r="HS36" s="94" t="s">
        <v>26</v>
      </c>
      <c r="HT36" s="94"/>
      <c r="HU36" s="94" t="s">
        <v>27</v>
      </c>
      <c r="HV36" s="94"/>
      <c r="HW36" s="94" t="s">
        <v>26</v>
      </c>
      <c r="HX36" s="94"/>
      <c r="HY36" s="94" t="s">
        <v>27</v>
      </c>
      <c r="HZ36" s="94" t="s">
        <v>26</v>
      </c>
      <c r="IA36" s="94"/>
      <c r="IB36" s="94" t="s">
        <v>27</v>
      </c>
      <c r="IC36" s="94" t="s">
        <v>26</v>
      </c>
      <c r="ID36" s="94"/>
      <c r="IE36" s="94" t="s">
        <v>27</v>
      </c>
      <c r="IF36" s="94" t="s">
        <v>26</v>
      </c>
      <c r="IG36" s="94"/>
      <c r="IH36" s="94" t="s">
        <v>27</v>
      </c>
      <c r="II36" s="94" t="s">
        <v>26</v>
      </c>
      <c r="IJ36" s="94"/>
      <c r="IK36" s="94" t="s">
        <v>27</v>
      </c>
      <c r="IL36" s="94" t="s">
        <v>26</v>
      </c>
      <c r="IM36" s="94"/>
      <c r="IN36" s="94" t="s">
        <v>27</v>
      </c>
      <c r="IO36" s="94"/>
      <c r="IP36" s="94"/>
      <c r="IQ36" s="94"/>
      <c r="IR36" s="94"/>
      <c r="IS36" s="94"/>
      <c r="IT36" s="94"/>
      <c r="IU36" s="94" t="s">
        <v>26</v>
      </c>
      <c r="IV36" s="94"/>
      <c r="IW36" s="94" t="s">
        <v>27</v>
      </c>
      <c r="IX36" s="94" t="s">
        <v>26</v>
      </c>
      <c r="IY36" s="94"/>
      <c r="IZ36" s="94" t="s">
        <v>27</v>
      </c>
      <c r="JA36" s="94" t="s">
        <v>26</v>
      </c>
      <c r="JB36" s="94"/>
      <c r="JC36" s="94" t="s">
        <v>27</v>
      </c>
      <c r="JD36" s="94" t="s">
        <v>26</v>
      </c>
      <c r="JE36" s="94"/>
      <c r="JF36" s="94" t="s">
        <v>27</v>
      </c>
      <c r="JG36" s="94" t="s">
        <v>26</v>
      </c>
      <c r="JH36" s="94"/>
      <c r="JI36" s="94" t="s">
        <v>27</v>
      </c>
      <c r="JJ36" s="94" t="s">
        <v>26</v>
      </c>
      <c r="JK36" s="94"/>
      <c r="JL36" s="94" t="s">
        <v>27</v>
      </c>
      <c r="JM36" s="94" t="s">
        <v>26</v>
      </c>
      <c r="JN36" s="94"/>
      <c r="JO36" s="94" t="s">
        <v>27</v>
      </c>
      <c r="JP36" s="94" t="s">
        <v>26</v>
      </c>
      <c r="JQ36" s="94"/>
      <c r="JR36" s="94" t="s">
        <v>27</v>
      </c>
      <c r="JS36" s="94" t="s">
        <v>26</v>
      </c>
      <c r="JT36" s="94"/>
      <c r="JU36" s="94" t="s">
        <v>27</v>
      </c>
      <c r="JV36" s="94" t="s">
        <v>26</v>
      </c>
      <c r="JW36" s="94"/>
      <c r="JX36" s="94" t="s">
        <v>27</v>
      </c>
      <c r="JY36" s="94" t="s">
        <v>26</v>
      </c>
      <c r="JZ36" s="94"/>
      <c r="KA36" s="94" t="s">
        <v>27</v>
      </c>
      <c r="KB36" s="94" t="s">
        <v>26</v>
      </c>
      <c r="KC36" s="94"/>
      <c r="KD36" s="94" t="s">
        <v>27</v>
      </c>
      <c r="KE36" s="94" t="s">
        <v>26</v>
      </c>
      <c r="KF36" s="94"/>
      <c r="KG36" s="94" t="s">
        <v>27</v>
      </c>
      <c r="KH36" s="94" t="s">
        <v>26</v>
      </c>
      <c r="KI36" s="94"/>
      <c r="KJ36" s="94" t="s">
        <v>27</v>
      </c>
      <c r="KK36" s="94" t="s">
        <v>26</v>
      </c>
      <c r="KL36" s="94"/>
      <c r="KM36" s="94" t="s">
        <v>27</v>
      </c>
      <c r="KN36" s="94" t="s">
        <v>26</v>
      </c>
      <c r="KO36" s="94"/>
      <c r="KP36" s="94" t="s">
        <v>27</v>
      </c>
      <c r="KQ36" s="94" t="s">
        <v>26</v>
      </c>
      <c r="KR36" s="94"/>
      <c r="KS36" s="94" t="s">
        <v>27</v>
      </c>
      <c r="KT36" s="94" t="s">
        <v>26</v>
      </c>
      <c r="KU36" s="94"/>
      <c r="KV36" s="94" t="s">
        <v>27</v>
      </c>
      <c r="KW36" s="94" t="s">
        <v>26</v>
      </c>
      <c r="KX36" s="94"/>
      <c r="KY36" s="94"/>
      <c r="KZ36" s="94" t="s">
        <v>27</v>
      </c>
      <c r="LA36" s="94" t="s">
        <v>26</v>
      </c>
      <c r="LB36" s="94"/>
      <c r="LC36" s="94"/>
      <c r="LD36" s="94" t="s">
        <v>27</v>
      </c>
      <c r="LE36" s="94" t="s">
        <v>26</v>
      </c>
      <c r="LF36" s="94"/>
      <c r="LG36" s="94"/>
      <c r="LH36" s="94" t="s">
        <v>27</v>
      </c>
      <c r="LI36" s="94" t="s">
        <v>26</v>
      </c>
      <c r="LJ36" s="94"/>
      <c r="LK36" s="94"/>
      <c r="LL36" s="94" t="s">
        <v>27</v>
      </c>
      <c r="LM36" s="94" t="s">
        <v>26</v>
      </c>
      <c r="LN36" s="94"/>
      <c r="LO36" s="94"/>
      <c r="LP36" s="94" t="s">
        <v>27</v>
      </c>
      <c r="LQ36" s="94" t="s">
        <v>26</v>
      </c>
      <c r="LR36" s="94"/>
      <c r="LS36" s="94"/>
      <c r="LT36" s="94" t="s">
        <v>27</v>
      </c>
      <c r="LU36" s="94" t="s">
        <v>26</v>
      </c>
      <c r="LV36" s="94"/>
      <c r="LW36" s="94"/>
      <c r="LX36" s="94" t="s">
        <v>27</v>
      </c>
      <c r="LY36" s="94" t="s">
        <v>26</v>
      </c>
      <c r="LZ36" s="94"/>
      <c r="MA36" s="94"/>
      <c r="MB36" s="94" t="s">
        <v>27</v>
      </c>
    </row>
    <row r="37" spans="1:340" s="50" customFormat="1" ht="31.5" hidden="1" customHeight="1">
      <c r="A37" s="44">
        <v>1</v>
      </c>
      <c r="B37" s="107" t="s">
        <v>68</v>
      </c>
      <c r="C37" s="46" t="s">
        <v>69</v>
      </c>
      <c r="D37" s="105" t="s">
        <v>35</v>
      </c>
      <c r="E37" s="117" t="s">
        <v>36</v>
      </c>
      <c r="F37" s="106" t="s">
        <v>24</v>
      </c>
      <c r="G37" s="145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6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1"/>
      <c r="CH37" s="131"/>
      <c r="CI37" s="131"/>
      <c r="CJ37" s="131"/>
      <c r="CK37" s="131"/>
      <c r="CL37" s="131"/>
      <c r="CM37" s="131"/>
      <c r="CN37" s="131"/>
      <c r="CO37" s="131"/>
      <c r="CP37" s="131"/>
      <c r="CQ37" s="131"/>
      <c r="CR37" s="131"/>
      <c r="CS37" s="131"/>
      <c r="CT37" s="131"/>
      <c r="CU37" s="131"/>
      <c r="CV37" s="131"/>
      <c r="CW37" s="131"/>
      <c r="CX37" s="131"/>
      <c r="CY37" s="131"/>
      <c r="CZ37" s="131"/>
      <c r="DA37" s="131"/>
      <c r="DB37" s="131"/>
      <c r="DC37" s="131"/>
      <c r="DD37" s="131"/>
      <c r="DE37" s="131"/>
      <c r="DF37" s="131"/>
      <c r="DG37" s="131"/>
      <c r="DH37" s="131"/>
      <c r="DI37" s="131"/>
      <c r="DJ37" s="131"/>
      <c r="DK37" s="131"/>
      <c r="DL37" s="131"/>
      <c r="DM37" s="131"/>
      <c r="DN37" s="131"/>
      <c r="DO37" s="131"/>
      <c r="DP37" s="131"/>
      <c r="DQ37" s="131"/>
      <c r="DR37" s="131"/>
      <c r="DS37" s="131"/>
      <c r="DT37" s="131"/>
      <c r="DU37" s="131"/>
      <c r="DV37" s="131"/>
      <c r="DW37" s="131"/>
      <c r="DX37" s="131"/>
      <c r="DY37" s="131"/>
      <c r="DZ37" s="131"/>
      <c r="EA37" s="131"/>
      <c r="EB37" s="131"/>
      <c r="EC37" s="131"/>
      <c r="ED37" s="131"/>
      <c r="EE37" s="131"/>
      <c r="EF37" s="131"/>
      <c r="EG37" s="131"/>
      <c r="EH37" s="131"/>
      <c r="EI37" s="131"/>
      <c r="EJ37" s="131"/>
      <c r="EK37" s="131"/>
      <c r="EL37" s="131"/>
      <c r="EM37" s="131"/>
      <c r="EN37" s="131"/>
      <c r="EO37" s="131"/>
      <c r="EP37" s="131"/>
      <c r="EQ37" s="131"/>
      <c r="ER37" s="131"/>
      <c r="ES37" s="131"/>
      <c r="ET37" s="131"/>
      <c r="EU37" s="131"/>
      <c r="EV37" s="131"/>
      <c r="EW37" s="131"/>
      <c r="EX37" s="131"/>
      <c r="EY37" s="131"/>
      <c r="EZ37" s="131"/>
      <c r="FA37" s="131"/>
      <c r="FB37" s="131"/>
      <c r="FC37" s="131"/>
      <c r="FD37" s="131"/>
      <c r="FE37" s="131"/>
      <c r="FF37" s="131"/>
      <c r="FG37" s="131"/>
      <c r="FH37" s="131"/>
      <c r="FI37" s="131"/>
      <c r="FJ37" s="131"/>
      <c r="FK37" s="131"/>
      <c r="FL37" s="131"/>
      <c r="FM37" s="131"/>
      <c r="FN37" s="131"/>
      <c r="FO37" s="131"/>
      <c r="FP37" s="131"/>
      <c r="FQ37" s="131"/>
      <c r="FR37" s="131"/>
      <c r="FS37" s="131"/>
      <c r="FT37" s="131"/>
      <c r="FU37" s="131"/>
      <c r="FV37" s="131"/>
      <c r="FW37" s="131"/>
      <c r="FX37" s="131"/>
      <c r="FY37" s="131"/>
      <c r="FZ37" s="131"/>
      <c r="GA37" s="131"/>
      <c r="GB37" s="131"/>
      <c r="GC37" s="131"/>
      <c r="GD37" s="131"/>
      <c r="GE37" s="131"/>
      <c r="GF37" s="131"/>
      <c r="GG37" s="131"/>
      <c r="GH37" s="131"/>
      <c r="GI37" s="131"/>
      <c r="GJ37" s="131"/>
      <c r="GK37" s="131"/>
      <c r="GL37" s="131"/>
      <c r="GM37" s="131"/>
      <c r="GN37" s="131"/>
      <c r="GO37" s="131"/>
      <c r="GP37" s="131"/>
      <c r="GQ37" s="131"/>
      <c r="GR37" s="131"/>
      <c r="GS37" s="131"/>
      <c r="GT37" s="131"/>
      <c r="GU37" s="131"/>
      <c r="GV37" s="131"/>
      <c r="GW37" s="131"/>
      <c r="GX37" s="131"/>
      <c r="GY37" s="131"/>
      <c r="GZ37" s="131"/>
      <c r="HA37" s="131"/>
      <c r="HB37" s="131"/>
      <c r="HC37" s="131"/>
      <c r="HD37" s="131" t="s">
        <v>25</v>
      </c>
      <c r="HE37" s="94"/>
      <c r="HF37" s="94" t="s">
        <v>26</v>
      </c>
      <c r="HG37" s="94"/>
      <c r="HH37" s="94"/>
      <c r="HI37" s="94"/>
      <c r="HJ37" s="94"/>
      <c r="HK37" s="94" t="s">
        <v>42</v>
      </c>
      <c r="HL37" s="94" t="s">
        <v>41</v>
      </c>
      <c r="HM37" s="94"/>
      <c r="HN37" s="94"/>
      <c r="HO37" s="94"/>
      <c r="HP37" s="94"/>
      <c r="HQ37" s="94"/>
      <c r="HR37" s="94"/>
      <c r="HS37" s="94"/>
      <c r="HT37" s="94"/>
      <c r="HU37" s="94"/>
      <c r="HV37" s="94"/>
      <c r="HW37" s="94"/>
      <c r="HX37" s="94"/>
      <c r="HY37" s="94" t="s">
        <v>27</v>
      </c>
      <c r="HZ37" s="94"/>
      <c r="IA37" s="94"/>
      <c r="IB37" s="94"/>
      <c r="IC37" s="94" t="s">
        <v>26</v>
      </c>
      <c r="ID37" s="94"/>
      <c r="IE37" s="94"/>
      <c r="IF37" s="94"/>
      <c r="IG37" s="94"/>
      <c r="IH37" s="94" t="s">
        <v>41</v>
      </c>
      <c r="II37" s="94"/>
      <c r="IJ37" s="94"/>
      <c r="IK37" s="94"/>
      <c r="IL37" s="94"/>
      <c r="IM37" s="94"/>
      <c r="IN37" s="94"/>
      <c r="IO37" s="94"/>
      <c r="IP37" s="94"/>
      <c r="IQ37" s="94"/>
      <c r="IR37" s="94"/>
      <c r="IS37" s="94"/>
      <c r="IT37" s="94"/>
      <c r="IU37" s="94" t="s">
        <v>27</v>
      </c>
      <c r="IV37" s="94"/>
      <c r="IW37" s="94" t="s">
        <v>26</v>
      </c>
      <c r="IX37" s="94"/>
      <c r="IY37" s="94"/>
      <c r="IZ37" s="94"/>
      <c r="JA37" s="94"/>
      <c r="JB37" s="94" t="s">
        <v>41</v>
      </c>
      <c r="JC37" s="94"/>
      <c r="JD37" s="94"/>
      <c r="JE37" s="94"/>
      <c r="JF37" s="94"/>
      <c r="JG37" s="94"/>
      <c r="JH37" s="94"/>
      <c r="JI37" s="94"/>
      <c r="JJ37" s="94"/>
      <c r="JK37" s="94" t="s">
        <v>27</v>
      </c>
      <c r="JL37" s="94"/>
      <c r="JM37" s="94"/>
      <c r="JN37" s="94"/>
      <c r="JO37" s="94"/>
      <c r="JP37" s="94"/>
      <c r="JQ37" s="94"/>
      <c r="JR37" s="94"/>
      <c r="JS37" s="94"/>
      <c r="JT37" s="94"/>
      <c r="JU37" s="94" t="s">
        <v>57</v>
      </c>
      <c r="JV37" s="94" t="s">
        <v>37</v>
      </c>
      <c r="JW37" s="131"/>
      <c r="JX37" s="131"/>
      <c r="JY37" s="131"/>
      <c r="JZ37" s="131"/>
      <c r="KA37" s="131"/>
      <c r="KB37" s="131"/>
      <c r="KC37" s="131"/>
      <c r="KD37" s="131"/>
      <c r="KE37" s="131"/>
      <c r="KF37" s="131"/>
      <c r="KG37" s="131"/>
      <c r="KH37" s="131"/>
      <c r="KI37" s="131"/>
      <c r="KJ37" s="131"/>
      <c r="KK37" s="131"/>
      <c r="KL37" s="131"/>
      <c r="KM37" s="131"/>
      <c r="KN37" s="131"/>
      <c r="KO37" s="131"/>
      <c r="KP37" s="131"/>
      <c r="KQ37" s="131"/>
      <c r="KR37" s="131"/>
      <c r="KS37" s="131"/>
      <c r="KT37" s="131"/>
      <c r="KU37" s="131"/>
      <c r="KV37" s="131"/>
      <c r="KW37" s="131"/>
      <c r="KX37" s="131"/>
      <c r="KY37" s="131"/>
      <c r="KZ37" s="131"/>
      <c r="LA37" s="131"/>
      <c r="LB37" s="131"/>
      <c r="LC37" s="131"/>
      <c r="LD37" s="131"/>
      <c r="LE37" s="131"/>
      <c r="LF37" s="131"/>
      <c r="LG37" s="131"/>
      <c r="LH37" s="131"/>
      <c r="LI37" s="131"/>
      <c r="LJ37" s="131"/>
      <c r="LK37" s="131"/>
      <c r="LL37" s="131"/>
      <c r="LM37" s="131"/>
      <c r="LN37" s="131"/>
      <c r="LO37" s="131"/>
      <c r="LP37" s="131"/>
      <c r="LQ37" s="131"/>
      <c r="LR37" s="131"/>
      <c r="LS37" s="131"/>
      <c r="LT37" s="131"/>
      <c r="LU37" s="131"/>
      <c r="LV37" s="131"/>
      <c r="LW37" s="131"/>
      <c r="LX37" s="131"/>
      <c r="LY37" s="131"/>
      <c r="LZ37" s="131"/>
      <c r="MA37" s="131"/>
      <c r="MB37" s="131"/>
    </row>
    <row r="38" spans="1:340" s="50" customFormat="1" ht="31.5" hidden="1" customHeight="1" thickBot="1">
      <c r="A38" s="44">
        <v>1</v>
      </c>
      <c r="B38" s="107" t="s">
        <v>63</v>
      </c>
      <c r="C38" s="46" t="s">
        <v>70</v>
      </c>
      <c r="D38" s="105" t="s">
        <v>49</v>
      </c>
      <c r="E38" s="117" t="s">
        <v>50</v>
      </c>
      <c r="F38" s="106" t="s">
        <v>24</v>
      </c>
      <c r="G38" s="145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6"/>
      <c r="AD38" s="131"/>
      <c r="AE38" s="131"/>
      <c r="AF38" s="131"/>
      <c r="AG38" s="131"/>
      <c r="AH38" s="131"/>
      <c r="AI38" s="131"/>
      <c r="AJ38" s="131"/>
      <c r="AK38" s="131"/>
      <c r="AL38" s="131"/>
      <c r="AM38" s="131"/>
      <c r="AN38" s="131"/>
      <c r="AO38" s="131"/>
      <c r="AP38" s="131"/>
      <c r="AQ38" s="131"/>
      <c r="AR38" s="131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131"/>
      <c r="BR38" s="131"/>
      <c r="BS38" s="131"/>
      <c r="BT38" s="131"/>
      <c r="BU38" s="131"/>
      <c r="BV38" s="131"/>
      <c r="BW38" s="131"/>
      <c r="BX38" s="131"/>
      <c r="BY38" s="131"/>
      <c r="BZ38" s="131"/>
      <c r="CA38" s="131"/>
      <c r="CB38" s="131"/>
      <c r="CC38" s="131"/>
      <c r="CD38" s="131"/>
      <c r="CE38" s="131"/>
      <c r="CF38" s="131"/>
      <c r="CG38" s="131"/>
      <c r="CH38" s="131"/>
      <c r="CI38" s="131"/>
      <c r="CJ38" s="131"/>
      <c r="CK38" s="131"/>
      <c r="CL38" s="131"/>
      <c r="CM38" s="131"/>
      <c r="CN38" s="131"/>
      <c r="CO38" s="131"/>
      <c r="CP38" s="131"/>
      <c r="CQ38" s="131"/>
      <c r="CR38" s="131"/>
      <c r="CS38" s="131"/>
      <c r="CT38" s="131"/>
      <c r="CU38" s="131"/>
      <c r="CV38" s="131"/>
      <c r="CW38" s="131"/>
      <c r="CX38" s="131"/>
      <c r="CY38" s="131"/>
      <c r="CZ38" s="131"/>
      <c r="DA38" s="131"/>
      <c r="DB38" s="131"/>
      <c r="DC38" s="131"/>
      <c r="DD38" s="131"/>
      <c r="DE38" s="131"/>
      <c r="DF38" s="131"/>
      <c r="DG38" s="131"/>
      <c r="DH38" s="131"/>
      <c r="DI38" s="131"/>
      <c r="DJ38" s="131"/>
      <c r="DK38" s="131"/>
      <c r="DL38" s="131"/>
      <c r="DM38" s="131"/>
      <c r="DN38" s="131"/>
      <c r="DO38" s="131"/>
      <c r="DP38" s="131"/>
      <c r="DQ38" s="131"/>
      <c r="DR38" s="131"/>
      <c r="DS38" s="131"/>
      <c r="DT38" s="131"/>
      <c r="DU38" s="131"/>
      <c r="DV38" s="131"/>
      <c r="DW38" s="131"/>
      <c r="DX38" s="131"/>
      <c r="DY38" s="131"/>
      <c r="DZ38" s="131"/>
      <c r="EA38" s="131"/>
      <c r="EB38" s="131"/>
      <c r="EC38" s="131"/>
      <c r="ED38" s="131"/>
      <c r="EE38" s="131"/>
      <c r="EF38" s="131"/>
      <c r="EG38" s="131"/>
      <c r="EH38" s="131"/>
      <c r="EI38" s="131"/>
      <c r="EJ38" s="131"/>
      <c r="EK38" s="131"/>
      <c r="EL38" s="131"/>
      <c r="EM38" s="131"/>
      <c r="EN38" s="131"/>
      <c r="EO38" s="131"/>
      <c r="EP38" s="131"/>
      <c r="EQ38" s="131"/>
      <c r="ER38" s="131"/>
      <c r="ES38" s="131"/>
      <c r="ET38" s="131"/>
      <c r="EU38" s="131"/>
      <c r="EV38" s="131"/>
      <c r="EW38" s="131"/>
      <c r="EX38" s="131"/>
      <c r="EY38" s="131"/>
      <c r="EZ38" s="131"/>
      <c r="FA38" s="131"/>
      <c r="FB38" s="131"/>
      <c r="FC38" s="131"/>
      <c r="FD38" s="131"/>
      <c r="FE38" s="131"/>
      <c r="FF38" s="131"/>
      <c r="FG38" s="131"/>
      <c r="FH38" s="131"/>
      <c r="FI38" s="131"/>
      <c r="FJ38" s="131"/>
      <c r="FK38" s="131"/>
      <c r="FL38" s="131"/>
      <c r="FM38" s="131"/>
      <c r="FN38" s="131"/>
      <c r="FO38" s="131"/>
      <c r="FP38" s="131"/>
      <c r="FQ38" s="131"/>
      <c r="FR38" s="131"/>
      <c r="FS38" s="131"/>
      <c r="FT38" s="131"/>
      <c r="FU38" s="131"/>
      <c r="FV38" s="131"/>
      <c r="FW38" s="131"/>
      <c r="FX38" s="131"/>
      <c r="FY38" s="131"/>
      <c r="FZ38" s="131"/>
      <c r="GA38" s="131"/>
      <c r="GB38" s="131"/>
      <c r="GC38" s="131"/>
      <c r="GD38" s="131"/>
      <c r="GE38" s="131"/>
      <c r="GF38" s="131"/>
      <c r="GG38" s="131"/>
      <c r="GH38" s="131"/>
      <c r="GI38" s="131"/>
      <c r="GJ38" s="131"/>
      <c r="GK38" s="131"/>
      <c r="GL38" s="131"/>
      <c r="GM38" s="131"/>
      <c r="GN38" s="131"/>
      <c r="GO38" s="131"/>
      <c r="GP38" s="131"/>
      <c r="GQ38" s="131"/>
      <c r="GR38" s="131"/>
      <c r="GS38" s="131"/>
      <c r="GT38" s="131"/>
      <c r="GU38" s="131"/>
      <c r="GV38" s="131"/>
      <c r="GW38" s="131"/>
      <c r="GX38" s="131"/>
      <c r="GY38" s="131"/>
      <c r="GZ38" s="131"/>
      <c r="HA38" s="131"/>
      <c r="HB38" s="131"/>
      <c r="HC38" s="131"/>
      <c r="HD38" s="131"/>
      <c r="HE38" s="131"/>
      <c r="HF38" s="131"/>
      <c r="HG38" s="131"/>
      <c r="HH38" s="131"/>
      <c r="HI38" s="131"/>
      <c r="HJ38" s="131"/>
      <c r="HK38" s="131"/>
      <c r="HL38" s="131"/>
      <c r="HM38" s="131"/>
      <c r="HN38" s="131"/>
      <c r="HO38" s="131"/>
      <c r="HP38" s="131"/>
      <c r="HQ38" s="131"/>
      <c r="HR38" s="131"/>
      <c r="HS38" s="131"/>
      <c r="HT38" s="131"/>
      <c r="HU38" s="131"/>
      <c r="HV38" s="131"/>
      <c r="HW38" s="131"/>
      <c r="HX38" s="131"/>
      <c r="HY38" s="131"/>
      <c r="HZ38" s="131"/>
      <c r="IA38" s="131"/>
      <c r="IB38" s="131"/>
      <c r="IC38" s="131"/>
      <c r="ID38" s="131"/>
      <c r="IE38" s="131"/>
      <c r="IF38" s="131"/>
      <c r="IG38" s="131"/>
      <c r="IH38" s="131"/>
      <c r="II38" s="131"/>
      <c r="IJ38" s="131"/>
      <c r="IK38" s="131"/>
      <c r="IL38" s="131"/>
      <c r="IM38" s="131"/>
      <c r="IN38" s="131"/>
      <c r="IO38" s="131"/>
      <c r="IP38" s="94" t="s">
        <v>25</v>
      </c>
      <c r="IQ38" s="94" t="s">
        <v>26</v>
      </c>
      <c r="IR38" s="94"/>
      <c r="IS38" s="94" t="s">
        <v>27</v>
      </c>
      <c r="IT38" s="94" t="s">
        <v>26</v>
      </c>
      <c r="IU38" s="94"/>
      <c r="IV38" s="94" t="s">
        <v>27</v>
      </c>
      <c r="IW38" s="94" t="s">
        <v>26</v>
      </c>
      <c r="IX38" s="94"/>
      <c r="IY38" s="94" t="s">
        <v>27</v>
      </c>
      <c r="IZ38" s="94" t="s">
        <v>26</v>
      </c>
      <c r="JA38" s="94"/>
      <c r="JB38" s="94" t="s">
        <v>27</v>
      </c>
      <c r="JC38" s="94" t="s">
        <v>26</v>
      </c>
      <c r="JD38" s="94"/>
      <c r="JE38" s="94" t="s">
        <v>27</v>
      </c>
      <c r="JF38" s="94" t="s">
        <v>26</v>
      </c>
      <c r="JG38" s="94"/>
      <c r="JH38" s="94" t="s">
        <v>27</v>
      </c>
      <c r="JI38" s="94" t="s">
        <v>26</v>
      </c>
      <c r="JJ38" s="94"/>
      <c r="JK38" s="94" t="s">
        <v>27</v>
      </c>
      <c r="JL38" s="94" t="s">
        <v>26</v>
      </c>
      <c r="JM38" s="94"/>
      <c r="JN38" s="94" t="s">
        <v>27</v>
      </c>
      <c r="JO38" s="94" t="s">
        <v>26</v>
      </c>
      <c r="JP38" s="94"/>
      <c r="JQ38" s="94" t="s">
        <v>27</v>
      </c>
      <c r="JR38" s="94" t="s">
        <v>26</v>
      </c>
      <c r="JS38" s="94"/>
      <c r="JT38" s="94" t="s">
        <v>27</v>
      </c>
      <c r="JU38" s="94" t="s">
        <v>26</v>
      </c>
      <c r="JV38" s="94"/>
      <c r="JW38" s="94" t="s">
        <v>27</v>
      </c>
      <c r="JX38" s="94" t="s">
        <v>26</v>
      </c>
      <c r="JY38" s="94"/>
      <c r="JZ38" s="94" t="s">
        <v>27</v>
      </c>
      <c r="KA38" s="94" t="s">
        <v>26</v>
      </c>
      <c r="KB38" s="94"/>
      <c r="KC38" s="94" t="s">
        <v>27</v>
      </c>
      <c r="KD38" s="94" t="s">
        <v>26</v>
      </c>
      <c r="KE38" s="94"/>
      <c r="KF38" s="94" t="s">
        <v>27</v>
      </c>
      <c r="KG38" s="94" t="s">
        <v>26</v>
      </c>
      <c r="KH38" s="94"/>
      <c r="KI38" s="94" t="s">
        <v>27</v>
      </c>
      <c r="KJ38" s="94" t="s">
        <v>26</v>
      </c>
      <c r="KK38" s="94"/>
      <c r="KL38" s="94" t="s">
        <v>27</v>
      </c>
      <c r="KM38" s="94" t="s">
        <v>26</v>
      </c>
      <c r="KN38" s="94"/>
      <c r="KO38" s="94" t="s">
        <v>27</v>
      </c>
      <c r="KP38" s="94" t="s">
        <v>26</v>
      </c>
      <c r="KQ38" s="94"/>
      <c r="KR38" s="94" t="s">
        <v>27</v>
      </c>
      <c r="KS38" s="94" t="s">
        <v>26</v>
      </c>
      <c r="KT38" s="94"/>
      <c r="KU38" s="94" t="s">
        <v>27</v>
      </c>
      <c r="KV38" s="94" t="s">
        <v>26</v>
      </c>
      <c r="KW38" s="94"/>
      <c r="KX38" s="94" t="s">
        <v>27</v>
      </c>
      <c r="KY38" s="94" t="s">
        <v>26</v>
      </c>
      <c r="KZ38" s="94"/>
      <c r="LA38" s="94" t="s">
        <v>27</v>
      </c>
      <c r="LB38" s="94" t="s">
        <v>26</v>
      </c>
      <c r="LC38" s="94"/>
      <c r="LD38" s="94" t="s">
        <v>27</v>
      </c>
      <c r="LE38" s="94" t="s">
        <v>26</v>
      </c>
      <c r="LF38" s="94"/>
      <c r="LG38" s="94" t="s">
        <v>27</v>
      </c>
      <c r="LH38" s="94" t="s">
        <v>26</v>
      </c>
      <c r="LI38" s="94"/>
      <c r="LJ38" s="94" t="s">
        <v>27</v>
      </c>
      <c r="LK38" s="94" t="s">
        <v>26</v>
      </c>
      <c r="LL38" s="94"/>
      <c r="LM38" s="94" t="s">
        <v>27</v>
      </c>
      <c r="LN38" s="94" t="s">
        <v>26</v>
      </c>
      <c r="LO38" s="94"/>
      <c r="LP38" s="94" t="s">
        <v>27</v>
      </c>
      <c r="LQ38" s="94" t="s">
        <v>26</v>
      </c>
      <c r="LR38" s="94"/>
      <c r="LS38" s="94" t="s">
        <v>27</v>
      </c>
      <c r="LT38" s="94" t="s">
        <v>26</v>
      </c>
      <c r="LU38" s="94"/>
      <c r="LV38" s="94" t="s">
        <v>27</v>
      </c>
      <c r="LW38" s="94" t="s">
        <v>26</v>
      </c>
      <c r="LX38" s="94"/>
      <c r="LY38" s="94" t="s">
        <v>27</v>
      </c>
      <c r="LZ38" s="94" t="s">
        <v>26</v>
      </c>
      <c r="MA38" s="94"/>
      <c r="MB38" s="94" t="s">
        <v>27</v>
      </c>
    </row>
    <row r="39" spans="1:340" s="50" customFormat="1" ht="31.5" hidden="1" customHeight="1" thickBot="1">
      <c r="A39" s="44">
        <v>2</v>
      </c>
      <c r="B39" s="125" t="s">
        <v>63</v>
      </c>
      <c r="C39" s="51" t="s">
        <v>71</v>
      </c>
      <c r="D39" s="133" t="s">
        <v>49</v>
      </c>
      <c r="E39" s="134" t="s">
        <v>50</v>
      </c>
      <c r="F39" s="135" t="s">
        <v>24</v>
      </c>
      <c r="G39" s="145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6"/>
      <c r="AD39" s="131"/>
      <c r="AE39" s="131"/>
      <c r="AF39" s="131"/>
      <c r="AG39" s="131"/>
      <c r="AH39" s="131"/>
      <c r="AI39" s="131"/>
      <c r="AJ39" s="131"/>
      <c r="AK39" s="131"/>
      <c r="AL39" s="131"/>
      <c r="AM39" s="131"/>
      <c r="AN39" s="131"/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1"/>
      <c r="BQ39" s="131"/>
      <c r="BR39" s="131"/>
      <c r="BS39" s="131"/>
      <c r="BT39" s="131"/>
      <c r="BU39" s="131"/>
      <c r="BV39" s="131"/>
      <c r="BW39" s="131"/>
      <c r="BX39" s="131"/>
      <c r="BY39" s="131"/>
      <c r="BZ39" s="131"/>
      <c r="CA39" s="131"/>
      <c r="CB39" s="131"/>
      <c r="CC39" s="131"/>
      <c r="CD39" s="131"/>
      <c r="CE39" s="131"/>
      <c r="CF39" s="131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131"/>
      <c r="FI39" s="131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 s="131"/>
      <c r="FX39" s="131"/>
      <c r="FY39" s="131"/>
      <c r="FZ39" s="131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31"/>
      <c r="GP39" s="131"/>
      <c r="GQ39" s="131"/>
      <c r="GR39" s="131"/>
      <c r="GS39" s="131"/>
      <c r="GT39" s="131"/>
      <c r="GU39" s="131"/>
      <c r="GV39" s="131"/>
      <c r="GW39" s="131"/>
      <c r="GX39" s="131"/>
      <c r="GY39" s="131"/>
      <c r="GZ39" s="131"/>
      <c r="HA39" s="131"/>
      <c r="HB39" s="131"/>
      <c r="HC39" s="131"/>
      <c r="HD39" s="131"/>
      <c r="HE39" s="131"/>
      <c r="HF39" s="131"/>
      <c r="HG39" s="131"/>
      <c r="HH39" s="131"/>
      <c r="HI39" s="131"/>
      <c r="HJ39" s="131"/>
      <c r="HK39" s="131"/>
      <c r="HL39" s="131"/>
      <c r="HM39" s="131"/>
      <c r="HN39" s="131"/>
      <c r="HO39" s="131"/>
      <c r="HP39" s="131"/>
      <c r="HQ39" s="131"/>
      <c r="HR39" s="131"/>
      <c r="HS39" s="131"/>
      <c r="HT39" s="131"/>
      <c r="HU39" s="131"/>
      <c r="HV39" s="131"/>
      <c r="HW39" s="131"/>
      <c r="HX39" s="131"/>
      <c r="HY39" s="131"/>
      <c r="HZ39" s="131"/>
      <c r="IA39" s="131"/>
      <c r="IB39" s="131"/>
      <c r="IC39" s="131"/>
      <c r="ID39" s="131"/>
      <c r="IE39" s="131"/>
      <c r="IF39" s="131"/>
      <c r="IG39" s="131"/>
      <c r="IH39" s="131"/>
      <c r="II39" s="131"/>
      <c r="IJ39" s="131"/>
      <c r="IK39" s="131"/>
      <c r="IL39" s="131"/>
      <c r="IM39" s="131"/>
      <c r="IN39" s="131"/>
      <c r="IO39" s="131"/>
      <c r="IP39" s="131"/>
      <c r="IQ39" s="131"/>
      <c r="IR39" s="131"/>
      <c r="IS39" s="131"/>
      <c r="IT39" s="131"/>
      <c r="IU39" s="131"/>
      <c r="IV39" s="131"/>
      <c r="IW39" s="131"/>
      <c r="IX39" s="131"/>
      <c r="IY39" s="131"/>
      <c r="IZ39" s="131"/>
      <c r="JA39" s="131"/>
      <c r="JB39" s="131"/>
      <c r="JC39" s="131"/>
      <c r="JD39" s="131" t="s">
        <v>25</v>
      </c>
      <c r="JE39" s="94" t="s">
        <v>26</v>
      </c>
      <c r="JF39" s="94"/>
      <c r="JG39" s="94"/>
      <c r="JH39" s="94" t="s">
        <v>41</v>
      </c>
      <c r="JI39" s="94"/>
      <c r="JJ39" s="94"/>
      <c r="JK39" s="94"/>
      <c r="JL39" s="94"/>
      <c r="JM39" s="94" t="s">
        <v>57</v>
      </c>
      <c r="JN39" s="94" t="s">
        <v>37</v>
      </c>
      <c r="JO39" s="131"/>
      <c r="JP39" s="131"/>
      <c r="JQ39" s="131"/>
      <c r="JR39" s="131"/>
      <c r="JS39" s="131"/>
      <c r="JT39" s="131"/>
      <c r="JU39" s="131"/>
      <c r="JV39" s="131"/>
      <c r="JW39" s="131"/>
      <c r="JX39" s="131"/>
      <c r="JY39" s="131"/>
      <c r="JZ39" s="131"/>
      <c r="KA39" s="131"/>
      <c r="KB39" s="131"/>
      <c r="KC39" s="131"/>
      <c r="KD39" s="131"/>
      <c r="KE39" s="131"/>
      <c r="KF39" s="131"/>
      <c r="KG39" s="131"/>
      <c r="KH39" s="131"/>
      <c r="KI39" s="131"/>
      <c r="KJ39" s="131"/>
      <c r="KK39" s="131"/>
      <c r="KL39" s="131"/>
      <c r="KM39" s="131"/>
      <c r="KN39" s="131"/>
      <c r="KO39" s="131"/>
      <c r="KP39" s="131"/>
      <c r="KQ39" s="131"/>
      <c r="KR39" s="131"/>
      <c r="KS39" s="131"/>
      <c r="KT39" s="131"/>
      <c r="KU39" s="131"/>
      <c r="KV39" s="131"/>
      <c r="KW39" s="131"/>
      <c r="KX39" s="131"/>
      <c r="KY39" s="131"/>
      <c r="KZ39" s="131"/>
      <c r="LA39" s="131"/>
      <c r="LB39" s="131"/>
      <c r="LC39" s="131"/>
      <c r="LD39" s="131"/>
      <c r="LE39" s="131"/>
      <c r="LF39" s="131"/>
      <c r="LG39" s="131"/>
      <c r="LH39" s="131"/>
      <c r="LI39" s="131"/>
      <c r="LJ39" s="131"/>
      <c r="LK39" s="131"/>
      <c r="LL39" s="131"/>
      <c r="LM39" s="131"/>
      <c r="LN39" s="131"/>
      <c r="LO39" s="131"/>
      <c r="LP39" s="131"/>
      <c r="LQ39" s="131"/>
      <c r="LR39" s="131"/>
      <c r="LS39" s="131"/>
      <c r="LT39" s="131"/>
      <c r="LU39" s="131"/>
      <c r="LV39" s="131"/>
      <c r="LW39" s="131"/>
      <c r="LX39" s="131"/>
      <c r="LY39" s="131"/>
      <c r="LZ39" s="131"/>
      <c r="MA39" s="131"/>
      <c r="MB39" s="131"/>
    </row>
    <row r="40" spans="1:340" s="50" customFormat="1" ht="31.5" hidden="1" customHeight="1" thickBot="1">
      <c r="A40" s="44">
        <v>2</v>
      </c>
      <c r="B40" s="125" t="s">
        <v>68</v>
      </c>
      <c r="C40" s="51" t="s">
        <v>72</v>
      </c>
      <c r="D40" s="133" t="s">
        <v>45</v>
      </c>
      <c r="E40" s="134" t="s">
        <v>62</v>
      </c>
      <c r="F40" s="135" t="s">
        <v>24</v>
      </c>
      <c r="G40" s="145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6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1"/>
      <c r="BQ40" s="131"/>
      <c r="BR40" s="131"/>
      <c r="BS40" s="131"/>
      <c r="BT40" s="131"/>
      <c r="BU40" s="131"/>
      <c r="BV40" s="131"/>
      <c r="BW40" s="131"/>
      <c r="BX40" s="131"/>
      <c r="BY40" s="131"/>
      <c r="BZ40" s="131"/>
      <c r="CA40" s="131"/>
      <c r="CB40" s="131"/>
      <c r="CC40" s="131"/>
      <c r="CD40" s="131"/>
      <c r="CE40" s="131"/>
      <c r="CF40" s="131"/>
      <c r="CG40" s="131"/>
      <c r="CH40" s="131"/>
      <c r="CI40" s="131"/>
      <c r="CJ40" s="131"/>
      <c r="CK40" s="131"/>
      <c r="CL40" s="131"/>
      <c r="CM40" s="131"/>
      <c r="CN40" s="131"/>
      <c r="CO40" s="131"/>
      <c r="CP40" s="131"/>
      <c r="CQ40" s="131"/>
      <c r="CR40" s="131"/>
      <c r="CS40" s="131"/>
      <c r="CT40" s="131"/>
      <c r="CU40" s="131"/>
      <c r="CV40" s="131"/>
      <c r="CW40" s="131"/>
      <c r="CX40" s="131"/>
      <c r="CY40" s="131"/>
      <c r="CZ40" s="131"/>
      <c r="DA40" s="131"/>
      <c r="DB40" s="131"/>
      <c r="DC40" s="131"/>
      <c r="DD40" s="131"/>
      <c r="DE40" s="131"/>
      <c r="DF40" s="131"/>
      <c r="DG40" s="131"/>
      <c r="DH40" s="131"/>
      <c r="DI40" s="131"/>
      <c r="DJ40" s="131"/>
      <c r="DK40" s="131"/>
      <c r="DL40" s="131"/>
      <c r="DM40" s="131"/>
      <c r="DN40" s="131"/>
      <c r="DO40" s="131"/>
      <c r="DP40" s="131"/>
      <c r="DQ40" s="131"/>
      <c r="DR40" s="131"/>
      <c r="DS40" s="131"/>
      <c r="DT40" s="131"/>
      <c r="DU40" s="131"/>
      <c r="DV40" s="131"/>
      <c r="DW40" s="131"/>
      <c r="DX40" s="131"/>
      <c r="DY40" s="131"/>
      <c r="DZ40" s="131"/>
      <c r="EA40" s="131"/>
      <c r="EB40" s="131"/>
      <c r="EC40" s="131"/>
      <c r="ED40" s="131"/>
      <c r="EE40" s="131"/>
      <c r="EF40" s="131"/>
      <c r="EG40" s="131"/>
      <c r="EH40" s="131"/>
      <c r="EI40" s="131"/>
      <c r="EJ40" s="131"/>
      <c r="EK40" s="131"/>
      <c r="EL40" s="131"/>
      <c r="EM40" s="131"/>
      <c r="EN40" s="131"/>
      <c r="EO40" s="131"/>
      <c r="EP40" s="131"/>
      <c r="EQ40" s="131"/>
      <c r="ER40" s="131"/>
      <c r="ES40" s="131"/>
      <c r="ET40" s="131"/>
      <c r="EU40" s="131"/>
      <c r="EV40" s="131"/>
      <c r="EW40" s="131"/>
      <c r="EX40" s="131"/>
      <c r="EY40" s="131"/>
      <c r="EZ40" s="131"/>
      <c r="FA40" s="131"/>
      <c r="FB40" s="131"/>
      <c r="FC40" s="131"/>
      <c r="FD40" s="131"/>
      <c r="FE40" s="131"/>
      <c r="FF40" s="131"/>
      <c r="FG40" s="131"/>
      <c r="FH40" s="131"/>
      <c r="FI40" s="131"/>
      <c r="FJ40" s="131"/>
      <c r="FK40" s="131"/>
      <c r="FL40" s="131"/>
      <c r="FM40" s="131"/>
      <c r="FN40" s="131"/>
      <c r="FO40" s="131"/>
      <c r="FP40" s="131"/>
      <c r="FQ40" s="131"/>
      <c r="FR40" s="131"/>
      <c r="FS40" s="131"/>
      <c r="FT40" s="131"/>
      <c r="FU40" s="131"/>
      <c r="FV40" s="131"/>
      <c r="FW40" s="131"/>
      <c r="FX40" s="131"/>
      <c r="FY40" s="131"/>
      <c r="FZ40" s="131"/>
      <c r="GA40" s="131"/>
      <c r="GB40" s="131"/>
      <c r="GC40" s="131"/>
      <c r="GD40" s="131"/>
      <c r="GE40" s="131"/>
      <c r="GF40" s="131"/>
      <c r="GG40" s="131"/>
      <c r="GH40" s="131"/>
      <c r="GI40" s="131"/>
      <c r="GJ40" s="131"/>
      <c r="GK40" s="131"/>
      <c r="GL40" s="131"/>
      <c r="GM40" s="131"/>
      <c r="GN40" s="131"/>
      <c r="GO40" s="131"/>
      <c r="GP40" s="131"/>
      <c r="GQ40" s="131"/>
      <c r="GR40" s="131"/>
      <c r="GS40" s="131"/>
      <c r="GT40" s="131"/>
      <c r="GU40" s="131"/>
      <c r="GV40" s="131"/>
      <c r="GW40" s="131"/>
      <c r="GX40" s="131"/>
      <c r="GY40" s="131"/>
      <c r="GZ40" s="131"/>
      <c r="HA40" s="131"/>
      <c r="HB40" s="131"/>
      <c r="HC40" s="131"/>
      <c r="HD40" s="131"/>
      <c r="HE40" s="131"/>
      <c r="HF40" s="131"/>
      <c r="HG40" s="131"/>
      <c r="HH40" s="131"/>
      <c r="HI40" s="131"/>
      <c r="HJ40" s="131"/>
      <c r="HK40" s="131"/>
      <c r="HL40" s="131"/>
      <c r="HM40" s="131"/>
      <c r="HN40" s="131"/>
      <c r="HO40" s="131"/>
      <c r="HP40" s="131"/>
      <c r="HQ40" s="131"/>
      <c r="HR40" s="131"/>
      <c r="HS40" s="131"/>
      <c r="HT40" s="131"/>
      <c r="HU40" s="131"/>
      <c r="HV40" s="131"/>
      <c r="HW40" s="131"/>
      <c r="HX40" s="131"/>
      <c r="HY40" s="131"/>
      <c r="HZ40" s="131"/>
      <c r="IA40" s="131"/>
      <c r="IB40" s="131"/>
      <c r="IC40" s="131"/>
      <c r="ID40" s="131"/>
      <c r="IE40" s="131"/>
      <c r="IF40" s="131"/>
      <c r="IG40" s="131"/>
      <c r="IH40" s="131"/>
      <c r="II40" s="131"/>
      <c r="IJ40" s="131"/>
      <c r="IK40" s="131"/>
      <c r="IL40" s="131"/>
      <c r="IM40" s="131"/>
      <c r="IN40" s="131"/>
      <c r="IO40" s="131"/>
      <c r="IP40" s="131"/>
      <c r="IQ40" s="131"/>
      <c r="IR40" s="131"/>
      <c r="IS40" s="131"/>
      <c r="IT40" s="94" t="s">
        <v>25</v>
      </c>
      <c r="IU40" s="94" t="s">
        <v>26</v>
      </c>
      <c r="IV40" s="94"/>
      <c r="IW40" s="94"/>
      <c r="IX40" s="94"/>
      <c r="IY40" s="94" t="s">
        <v>41</v>
      </c>
      <c r="IZ40" s="131" t="s">
        <v>37</v>
      </c>
      <c r="JA40" s="131"/>
      <c r="JB40" s="131"/>
      <c r="JC40" s="131"/>
      <c r="JD40" s="131"/>
      <c r="JE40" s="131"/>
      <c r="JF40" s="131"/>
      <c r="JG40" s="131"/>
      <c r="JH40" s="131"/>
      <c r="JI40" s="131"/>
      <c r="JJ40" s="131"/>
      <c r="JK40" s="131"/>
      <c r="JL40" s="131"/>
      <c r="JM40" s="131"/>
      <c r="JN40" s="131"/>
      <c r="JO40" s="131"/>
      <c r="JP40" s="131"/>
      <c r="JQ40" s="131"/>
      <c r="JR40" s="131"/>
      <c r="JS40" s="131"/>
      <c r="JT40" s="131"/>
      <c r="JU40" s="131"/>
      <c r="JV40" s="131"/>
      <c r="JW40" s="131"/>
      <c r="JX40" s="131"/>
      <c r="JY40" s="131"/>
      <c r="JZ40" s="131"/>
      <c r="KA40" s="131"/>
      <c r="KB40" s="131"/>
      <c r="KC40" s="131"/>
      <c r="KD40" s="131"/>
      <c r="KE40" s="131"/>
      <c r="KF40" s="131"/>
      <c r="KG40" s="131"/>
      <c r="KH40" s="131"/>
      <c r="KI40" s="131"/>
      <c r="KJ40" s="131"/>
      <c r="KK40" s="131"/>
      <c r="KL40" s="131"/>
      <c r="KM40" s="131"/>
      <c r="KN40" s="131"/>
      <c r="KO40" s="131"/>
      <c r="KP40" s="131"/>
      <c r="KQ40" s="131"/>
      <c r="KR40" s="131"/>
      <c r="KS40" s="131"/>
      <c r="KT40" s="131"/>
      <c r="KU40" s="131"/>
      <c r="KV40" s="131"/>
      <c r="KW40" s="131"/>
      <c r="KX40" s="131"/>
      <c r="KY40" s="131"/>
      <c r="KZ40" s="131"/>
      <c r="LA40" s="131"/>
      <c r="LB40" s="131"/>
      <c r="LC40" s="131"/>
      <c r="LD40" s="131"/>
      <c r="LE40" s="131"/>
      <c r="LF40" s="131"/>
      <c r="LG40" s="131"/>
      <c r="LH40" s="131"/>
      <c r="LI40" s="131"/>
      <c r="LJ40" s="131"/>
      <c r="LK40" s="131"/>
      <c r="LL40" s="131"/>
      <c r="LM40" s="131"/>
      <c r="LN40" s="131"/>
      <c r="LO40" s="131"/>
      <c r="LP40" s="131"/>
      <c r="LQ40" s="131"/>
      <c r="LR40" s="131"/>
      <c r="LS40" s="131"/>
      <c r="LT40" s="131"/>
      <c r="LU40" s="131"/>
      <c r="LV40" s="131"/>
      <c r="LW40" s="131"/>
      <c r="LX40" s="131"/>
      <c r="LY40" s="131"/>
      <c r="LZ40" s="131"/>
      <c r="MA40" s="131"/>
      <c r="MB40" s="131"/>
    </row>
    <row r="41" spans="1:340" s="50" customFormat="1" ht="31.5" hidden="1" customHeight="1" thickBot="1">
      <c r="A41" s="44">
        <v>1</v>
      </c>
      <c r="B41" s="107" t="s">
        <v>73</v>
      </c>
      <c r="C41" s="46" t="s">
        <v>74</v>
      </c>
      <c r="D41" s="105" t="s">
        <v>35</v>
      </c>
      <c r="E41" s="117" t="s">
        <v>36</v>
      </c>
      <c r="F41" s="106" t="s">
        <v>24</v>
      </c>
      <c r="G41" s="145"/>
      <c r="H41" s="131"/>
      <c r="I41" s="131" t="s">
        <v>25</v>
      </c>
      <c r="J41" s="131" t="s">
        <v>26</v>
      </c>
      <c r="K41" s="94"/>
      <c r="L41" s="94"/>
      <c r="M41" s="94" t="s">
        <v>41</v>
      </c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 t="s">
        <v>26</v>
      </c>
      <c r="AE41" s="94"/>
      <c r="AF41" s="94" t="s">
        <v>41</v>
      </c>
      <c r="AG41" s="94"/>
      <c r="AH41" s="94"/>
      <c r="AI41" s="94"/>
      <c r="AJ41" s="94"/>
      <c r="AK41" s="94"/>
      <c r="AL41" s="94"/>
      <c r="AM41" s="94"/>
      <c r="AN41" s="94"/>
      <c r="AO41" s="94"/>
      <c r="AP41" s="94"/>
      <c r="AQ41" s="93"/>
      <c r="AR41" s="94"/>
      <c r="AS41" s="94"/>
      <c r="AT41" s="94"/>
      <c r="AU41" s="94"/>
      <c r="AV41" s="94"/>
      <c r="AW41" s="94"/>
      <c r="AX41" s="94" t="s">
        <v>26</v>
      </c>
      <c r="AY41" s="94"/>
      <c r="AZ41" s="94" t="s">
        <v>41</v>
      </c>
      <c r="BA41" s="94"/>
      <c r="BB41" s="93"/>
      <c r="BC41" s="94"/>
      <c r="BD41" s="94"/>
      <c r="BE41" s="94"/>
      <c r="BF41" s="94"/>
      <c r="BG41" s="94"/>
      <c r="BH41" s="94"/>
      <c r="BI41" s="94"/>
      <c r="BJ41" s="94"/>
      <c r="BK41" s="94" t="s">
        <v>26</v>
      </c>
      <c r="BL41" s="94"/>
      <c r="BM41" s="94" t="s">
        <v>41</v>
      </c>
      <c r="BN41" s="94"/>
      <c r="BO41" s="93"/>
      <c r="BP41" s="94"/>
      <c r="BQ41" s="94"/>
      <c r="BR41" s="94"/>
      <c r="BS41" s="94"/>
      <c r="BT41" s="94"/>
      <c r="BU41" s="94"/>
      <c r="BV41" s="94"/>
      <c r="BW41" s="94"/>
      <c r="BX41" s="94"/>
      <c r="BY41" s="94"/>
      <c r="BZ41" s="94"/>
      <c r="CA41" s="94" t="s">
        <v>26</v>
      </c>
      <c r="CB41" s="93"/>
      <c r="CC41" s="94" t="s">
        <v>41</v>
      </c>
      <c r="CD41" s="94"/>
      <c r="CE41" s="94"/>
      <c r="CF41" s="94"/>
      <c r="CG41" s="94"/>
      <c r="CH41" s="94"/>
      <c r="CI41" s="94"/>
      <c r="CJ41" s="94"/>
      <c r="CK41" s="94"/>
      <c r="CL41" s="94"/>
      <c r="CM41" s="93"/>
      <c r="CN41" s="94"/>
      <c r="CO41" s="94"/>
      <c r="CP41" s="94"/>
      <c r="CQ41" s="94"/>
      <c r="CR41" s="93" t="s">
        <v>26</v>
      </c>
      <c r="CS41" s="94" t="s">
        <v>41</v>
      </c>
      <c r="CT41" s="94" t="s">
        <v>37</v>
      </c>
      <c r="CU41" s="142"/>
      <c r="CV41" s="142"/>
      <c r="CW41" s="142"/>
      <c r="CX41" s="142"/>
      <c r="CY41" s="142"/>
      <c r="CZ41" s="142"/>
      <c r="DA41" s="142"/>
      <c r="DB41" s="142"/>
      <c r="DC41" s="142"/>
      <c r="DD41" s="142"/>
      <c r="DE41" s="142"/>
      <c r="DF41" s="142"/>
      <c r="DG41" s="142" t="s">
        <v>25</v>
      </c>
      <c r="DH41" s="94"/>
      <c r="DI41" s="142" t="s">
        <v>26</v>
      </c>
      <c r="DJ41" s="94"/>
      <c r="DK41" s="94" t="s">
        <v>41</v>
      </c>
      <c r="DL41" s="94"/>
      <c r="DM41" s="94"/>
      <c r="DN41" s="94"/>
      <c r="DO41" s="94"/>
      <c r="DP41" s="94"/>
      <c r="DQ41" s="94"/>
      <c r="DR41" s="94"/>
      <c r="DS41" s="94"/>
      <c r="DT41" s="94"/>
      <c r="DU41" s="94"/>
      <c r="DV41" s="94"/>
      <c r="DW41" s="94"/>
      <c r="DX41" s="142" t="s">
        <v>26</v>
      </c>
      <c r="DY41" s="94" t="s">
        <v>41</v>
      </c>
      <c r="DZ41" s="94"/>
      <c r="EA41" s="93"/>
      <c r="EB41" s="93"/>
      <c r="EC41" s="93"/>
      <c r="ED41" s="93"/>
      <c r="EE41" s="94"/>
      <c r="EF41" s="94"/>
      <c r="EG41" s="94"/>
      <c r="EH41" s="93"/>
      <c r="EI41" s="93"/>
      <c r="EJ41" s="93"/>
      <c r="EK41" s="93" t="s">
        <v>26</v>
      </c>
      <c r="EL41" s="93"/>
      <c r="EM41" s="93" t="s">
        <v>41</v>
      </c>
      <c r="EN41" s="93"/>
      <c r="EO41" s="93"/>
      <c r="EP41" s="93"/>
      <c r="EQ41" s="94"/>
      <c r="ER41" s="94"/>
      <c r="ES41" s="94"/>
      <c r="ET41" s="93"/>
      <c r="EU41" s="93"/>
      <c r="EV41" s="93"/>
      <c r="EW41" s="93"/>
      <c r="EX41" s="93" t="s">
        <v>26</v>
      </c>
      <c r="EY41" s="93" t="s">
        <v>41</v>
      </c>
      <c r="EZ41" s="93"/>
      <c r="FA41" s="93"/>
      <c r="FB41" s="93"/>
      <c r="FC41" s="94"/>
      <c r="FD41" s="94"/>
      <c r="FE41" s="94"/>
      <c r="FF41" s="94"/>
      <c r="FG41" s="94"/>
      <c r="FH41" s="94"/>
      <c r="FI41" s="94"/>
      <c r="FJ41" s="94"/>
      <c r="FK41" s="94"/>
      <c r="FL41" s="94"/>
      <c r="FM41" s="94"/>
      <c r="FN41" s="94" t="s">
        <v>26</v>
      </c>
      <c r="FO41" s="94"/>
      <c r="FP41" s="94" t="s">
        <v>41</v>
      </c>
      <c r="FQ41" s="93"/>
      <c r="FR41" s="94"/>
      <c r="FS41" s="94"/>
      <c r="FT41" s="94"/>
      <c r="FU41" s="94"/>
      <c r="FV41" s="94"/>
      <c r="FW41" s="94"/>
      <c r="FX41" s="94"/>
      <c r="FY41" s="94"/>
      <c r="FZ41" s="94"/>
      <c r="GA41" s="94"/>
      <c r="GB41" s="94"/>
      <c r="GC41" s="94"/>
      <c r="GD41" s="94"/>
      <c r="GE41" s="94" t="s">
        <v>26</v>
      </c>
      <c r="GF41" s="94"/>
      <c r="GG41" s="94" t="s">
        <v>41</v>
      </c>
      <c r="GH41" s="94"/>
      <c r="GI41" s="94"/>
      <c r="GJ41" s="94"/>
      <c r="GK41" s="94"/>
      <c r="GL41" s="94"/>
      <c r="GM41" s="94"/>
      <c r="GN41" s="94"/>
      <c r="GO41" s="94"/>
      <c r="GP41" s="94"/>
      <c r="GQ41" s="94"/>
      <c r="GR41" s="94"/>
      <c r="GS41" s="94"/>
      <c r="GT41" s="94" t="s">
        <v>26</v>
      </c>
      <c r="GU41" s="94"/>
      <c r="GV41" s="94" t="s">
        <v>41</v>
      </c>
      <c r="GW41" s="94"/>
      <c r="GX41" s="94"/>
      <c r="GY41" s="93"/>
      <c r="GZ41" s="94"/>
      <c r="HA41" s="94"/>
      <c r="HB41" s="94"/>
      <c r="HC41" s="94"/>
      <c r="HD41" s="94"/>
      <c r="HE41" s="94"/>
      <c r="HF41" s="94"/>
      <c r="HG41" s="94"/>
      <c r="HH41" s="94"/>
      <c r="HI41" s="94" t="s">
        <v>26</v>
      </c>
      <c r="HJ41" s="94"/>
      <c r="HK41" s="94"/>
      <c r="HL41" s="94" t="s">
        <v>41</v>
      </c>
      <c r="HM41" s="94"/>
      <c r="HN41" s="93"/>
      <c r="HO41" s="94"/>
      <c r="HP41" s="94"/>
      <c r="HQ41" s="94"/>
      <c r="HR41" s="94"/>
      <c r="HS41" s="94"/>
      <c r="HT41" s="94"/>
      <c r="HU41" s="94" t="s">
        <v>26</v>
      </c>
      <c r="HV41" s="94"/>
      <c r="HW41" s="94" t="s">
        <v>41</v>
      </c>
      <c r="HX41" s="94"/>
      <c r="HY41" s="94"/>
      <c r="HZ41" s="94"/>
      <c r="IA41" s="94"/>
      <c r="IB41" s="94"/>
      <c r="IC41" s="94"/>
      <c r="ID41" s="94"/>
      <c r="IE41" s="94"/>
      <c r="IF41" s="94"/>
      <c r="IG41" s="94"/>
      <c r="IH41" s="94"/>
      <c r="II41" s="94" t="s">
        <v>26</v>
      </c>
      <c r="IJ41" s="94"/>
      <c r="IK41" s="93" t="s">
        <v>41</v>
      </c>
      <c r="IL41" s="94"/>
      <c r="IM41" s="94"/>
      <c r="IN41" s="94"/>
      <c r="IO41" s="94"/>
      <c r="IP41" s="94"/>
      <c r="IQ41" s="94"/>
      <c r="IR41" s="94"/>
      <c r="IS41" s="94"/>
      <c r="IT41" s="94"/>
      <c r="IU41" s="94" t="s">
        <v>26</v>
      </c>
      <c r="IV41" s="94"/>
      <c r="IW41" s="94" t="s">
        <v>41</v>
      </c>
      <c r="IX41" s="94"/>
      <c r="IY41" s="94"/>
      <c r="IZ41" s="93"/>
      <c r="JA41" s="94"/>
      <c r="JB41" s="94"/>
      <c r="JC41" s="94"/>
      <c r="JD41" s="94"/>
      <c r="JE41" s="94"/>
      <c r="JF41" s="94"/>
      <c r="JG41" s="94"/>
      <c r="JH41" s="94"/>
      <c r="JI41" s="94"/>
      <c r="JJ41" s="94" t="s">
        <v>26</v>
      </c>
      <c r="JK41" s="94"/>
      <c r="JL41" s="94" t="s">
        <v>41</v>
      </c>
      <c r="JM41" s="94"/>
      <c r="JN41" s="94"/>
      <c r="JO41" s="93"/>
      <c r="JP41" s="94"/>
      <c r="JQ41" s="94"/>
      <c r="JR41" s="94"/>
      <c r="JS41" s="94"/>
      <c r="JT41" s="94"/>
      <c r="JU41" s="94"/>
      <c r="JV41" s="94"/>
      <c r="JW41" s="94"/>
      <c r="JX41" s="94"/>
      <c r="JY41" s="94" t="s">
        <v>26</v>
      </c>
      <c r="JZ41" s="94"/>
      <c r="KA41" s="94" t="s">
        <v>41</v>
      </c>
      <c r="KB41" s="94"/>
      <c r="KC41" s="94"/>
      <c r="KD41" s="93"/>
      <c r="KE41" s="94"/>
      <c r="KF41" s="94"/>
      <c r="KG41" s="94"/>
      <c r="KH41" s="94"/>
      <c r="KI41" s="94"/>
      <c r="KJ41" s="94"/>
      <c r="KK41" s="94"/>
      <c r="KL41" s="94"/>
      <c r="KM41" s="94"/>
      <c r="KN41" s="94" t="s">
        <v>26</v>
      </c>
      <c r="KO41" s="94"/>
      <c r="KP41" s="94" t="s">
        <v>41</v>
      </c>
      <c r="KQ41" s="94"/>
      <c r="KR41" s="94"/>
      <c r="KS41" s="93"/>
      <c r="KT41" s="94"/>
      <c r="KU41" s="94"/>
      <c r="KV41" s="94"/>
      <c r="KW41" s="94"/>
      <c r="KX41" s="94"/>
      <c r="KY41" s="94"/>
      <c r="KZ41" s="94"/>
      <c r="LA41" s="94"/>
      <c r="LB41" s="94"/>
      <c r="LC41" s="94" t="s">
        <v>26</v>
      </c>
      <c r="LD41" s="94"/>
      <c r="LE41" s="94" t="s">
        <v>41</v>
      </c>
      <c r="LF41" s="94"/>
      <c r="LG41" s="94"/>
      <c r="LH41" s="93"/>
      <c r="LI41" s="94"/>
      <c r="LJ41" s="94"/>
      <c r="LK41" s="94"/>
      <c r="LL41" s="94"/>
      <c r="LM41" s="94"/>
      <c r="LN41" s="94"/>
      <c r="LO41" s="94"/>
      <c r="LP41" s="94"/>
      <c r="LQ41" s="94"/>
      <c r="LR41" s="94" t="s">
        <v>26</v>
      </c>
      <c r="LS41" s="94"/>
      <c r="LT41" s="94" t="s">
        <v>41</v>
      </c>
      <c r="LU41" s="94"/>
      <c r="LV41" s="94"/>
      <c r="LW41" s="93"/>
      <c r="LX41" s="94"/>
      <c r="LY41" s="94"/>
      <c r="LZ41" s="94"/>
      <c r="MA41" s="94"/>
      <c r="MB41" s="94"/>
    </row>
    <row r="42" spans="1:340" s="50" customFormat="1" ht="31.5" customHeight="1" thickBot="1">
      <c r="A42" s="44">
        <v>1</v>
      </c>
      <c r="B42" s="107" t="s">
        <v>73</v>
      </c>
      <c r="C42" s="52" t="s">
        <v>75</v>
      </c>
      <c r="D42" s="47" t="s">
        <v>22</v>
      </c>
      <c r="E42" s="115" t="s">
        <v>76</v>
      </c>
      <c r="F42" s="48" t="s">
        <v>24</v>
      </c>
      <c r="G42" s="145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7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B42" s="131"/>
      <c r="DC42" s="131"/>
      <c r="DD42" s="131"/>
      <c r="DE42" s="131"/>
      <c r="DF42" s="131"/>
      <c r="DG42" s="131"/>
      <c r="DH42" s="131"/>
      <c r="DI42" s="131"/>
      <c r="DJ42" s="131"/>
      <c r="DK42" s="131"/>
      <c r="DL42" s="131"/>
      <c r="DM42" s="131"/>
      <c r="DN42" s="131"/>
      <c r="DO42" s="131"/>
      <c r="DP42" s="131"/>
      <c r="DQ42" s="131"/>
      <c r="DR42" s="131"/>
      <c r="DS42" s="131"/>
      <c r="DT42" s="131"/>
      <c r="DU42" s="131"/>
      <c r="DV42" s="131"/>
      <c r="DW42" s="131"/>
      <c r="DX42" s="131"/>
      <c r="DY42" s="131"/>
      <c r="DZ42" s="131"/>
      <c r="EA42" s="131"/>
      <c r="EB42" s="131"/>
      <c r="EC42" s="131"/>
      <c r="ED42" s="131"/>
      <c r="EE42" s="131"/>
      <c r="EF42" s="131"/>
      <c r="EG42" s="131"/>
      <c r="EH42" s="131"/>
      <c r="EI42" s="131"/>
      <c r="EJ42" s="131"/>
      <c r="EK42" s="131"/>
      <c r="EL42" s="131"/>
      <c r="EM42" s="131"/>
      <c r="EN42" s="131"/>
      <c r="EO42" s="131"/>
      <c r="EP42" s="131"/>
      <c r="EQ42" s="131"/>
      <c r="ER42" s="131"/>
      <c r="ES42" s="131"/>
      <c r="ET42" s="131"/>
      <c r="EU42" s="131"/>
      <c r="EV42" s="131"/>
      <c r="EW42" s="131"/>
      <c r="EX42" s="131"/>
      <c r="EY42" s="131"/>
      <c r="EZ42" s="131"/>
      <c r="FA42" s="131"/>
      <c r="FB42" s="131"/>
      <c r="FC42" s="131"/>
      <c r="FD42" s="131"/>
      <c r="FE42" s="131"/>
      <c r="FF42" s="131"/>
      <c r="FG42" s="131"/>
      <c r="FH42" s="131"/>
      <c r="FI42" s="131"/>
      <c r="FJ42" s="131"/>
      <c r="FK42" s="131"/>
      <c r="FL42" s="131"/>
      <c r="FM42" s="171"/>
      <c r="FN42" s="131"/>
      <c r="FO42" s="131"/>
      <c r="FP42" s="131"/>
      <c r="FQ42" s="131"/>
      <c r="FR42" s="131"/>
      <c r="FS42" s="131"/>
      <c r="FT42" s="131"/>
      <c r="FU42" s="131"/>
      <c r="FV42" s="131"/>
      <c r="FW42" s="131"/>
      <c r="FX42" s="131"/>
      <c r="FY42" s="131"/>
      <c r="FZ42" s="131"/>
      <c r="GA42" s="131"/>
      <c r="GB42" s="131"/>
      <c r="GC42" s="131"/>
      <c r="GD42" s="131"/>
      <c r="GE42" s="131"/>
      <c r="GF42" s="131"/>
      <c r="GG42" s="131"/>
      <c r="GH42" s="131"/>
      <c r="GI42" s="131"/>
      <c r="GJ42" s="131"/>
      <c r="GK42" s="131"/>
      <c r="GL42" s="131"/>
      <c r="GM42" s="131"/>
      <c r="GN42" s="131"/>
      <c r="GO42" s="131"/>
      <c r="GP42" s="131"/>
      <c r="GQ42" s="131"/>
      <c r="GR42" s="131"/>
      <c r="GS42" s="131"/>
      <c r="GT42" s="131"/>
      <c r="GU42" s="131"/>
      <c r="GV42" s="131"/>
      <c r="GW42" s="131"/>
      <c r="GX42" s="131"/>
      <c r="GY42" s="131"/>
      <c r="GZ42" s="131"/>
      <c r="HA42" s="131"/>
      <c r="HB42" s="131"/>
      <c r="HC42" s="131"/>
      <c r="HD42" s="131"/>
      <c r="HE42" s="131"/>
      <c r="HF42" s="131"/>
      <c r="HG42" s="131"/>
      <c r="HH42" s="131"/>
      <c r="HI42" s="131"/>
      <c r="HJ42" s="131"/>
      <c r="HK42" s="131"/>
      <c r="HL42" s="131"/>
      <c r="HM42" s="131"/>
      <c r="HN42" s="131"/>
      <c r="HO42" s="131"/>
      <c r="HP42" s="131"/>
      <c r="HQ42" s="131"/>
      <c r="HR42" s="131"/>
      <c r="HS42" s="131"/>
      <c r="HT42" s="131"/>
      <c r="HU42" s="131"/>
      <c r="HV42" s="131"/>
      <c r="HW42" s="131"/>
      <c r="HX42" s="131"/>
      <c r="HY42" s="131"/>
      <c r="HZ42" s="131"/>
      <c r="IA42" s="131"/>
      <c r="IB42" s="131"/>
      <c r="IC42" s="131"/>
      <c r="ID42" s="131"/>
      <c r="IE42" s="131"/>
      <c r="IF42" s="131"/>
      <c r="IG42" s="131"/>
      <c r="IH42" s="131"/>
      <c r="II42" s="131"/>
      <c r="IJ42" s="131"/>
      <c r="IK42" s="131"/>
      <c r="IL42" s="131"/>
      <c r="IM42" s="131"/>
      <c r="IN42" s="131"/>
      <c r="IO42" s="131"/>
      <c r="IP42" s="131" t="s">
        <v>25</v>
      </c>
      <c r="IQ42" s="94" t="s">
        <v>26</v>
      </c>
      <c r="IR42" s="94"/>
      <c r="IS42" s="94"/>
      <c r="IT42" s="94"/>
      <c r="IU42" s="94"/>
      <c r="IV42" s="94"/>
      <c r="IW42" s="94"/>
      <c r="IX42" s="94"/>
      <c r="IY42" s="94" t="s">
        <v>27</v>
      </c>
      <c r="IZ42" s="93"/>
      <c r="JA42" s="94" t="s">
        <v>26</v>
      </c>
      <c r="JB42" s="94"/>
      <c r="JC42" s="94"/>
      <c r="JD42" s="94"/>
      <c r="JE42" s="94"/>
      <c r="JF42" s="94"/>
      <c r="JG42" s="94"/>
      <c r="JH42" s="94"/>
      <c r="JI42" s="94" t="s">
        <v>27</v>
      </c>
      <c r="JJ42" s="93"/>
      <c r="JK42" s="94" t="s">
        <v>26</v>
      </c>
      <c r="JL42" s="94"/>
      <c r="JM42" s="94"/>
      <c r="JN42" s="94"/>
      <c r="JO42" s="94"/>
      <c r="JP42" s="94"/>
      <c r="JQ42" s="94"/>
      <c r="JR42" s="94"/>
      <c r="JS42" s="94" t="s">
        <v>27</v>
      </c>
      <c r="JT42" s="93"/>
      <c r="JU42" s="94" t="s">
        <v>26</v>
      </c>
      <c r="JV42" s="94"/>
      <c r="JW42" s="94"/>
      <c r="JX42" s="94"/>
      <c r="JY42" s="94"/>
      <c r="JZ42" s="94"/>
      <c r="KA42" s="94"/>
      <c r="KB42" s="94"/>
      <c r="KC42" s="94" t="s">
        <v>27</v>
      </c>
      <c r="KD42" s="93"/>
      <c r="KE42" s="94" t="s">
        <v>26</v>
      </c>
      <c r="KF42" s="94"/>
      <c r="KG42" s="94"/>
      <c r="KH42" s="94"/>
      <c r="KI42" s="94"/>
      <c r="KJ42" s="94"/>
      <c r="KK42" s="94"/>
      <c r="KL42" s="94"/>
      <c r="KM42" s="94" t="s">
        <v>27</v>
      </c>
      <c r="KN42" s="93"/>
      <c r="KO42" s="94" t="s">
        <v>26</v>
      </c>
      <c r="KP42" s="94"/>
      <c r="KQ42" s="94"/>
      <c r="KR42" s="94"/>
      <c r="KS42" s="94"/>
      <c r="KT42" s="94"/>
      <c r="KU42" s="94"/>
      <c r="KV42" s="94"/>
      <c r="KW42" s="94" t="s">
        <v>27</v>
      </c>
      <c r="KX42" s="93"/>
      <c r="KY42" s="94" t="s">
        <v>26</v>
      </c>
      <c r="KZ42" s="94"/>
      <c r="LA42" s="94"/>
      <c r="LB42" s="94"/>
      <c r="LC42" s="94"/>
      <c r="LD42" s="94"/>
      <c r="LE42" s="94"/>
      <c r="LF42" s="94"/>
      <c r="LG42" s="94" t="s">
        <v>27</v>
      </c>
      <c r="LH42" s="93"/>
      <c r="LI42" s="94" t="s">
        <v>26</v>
      </c>
      <c r="LJ42" s="94"/>
      <c r="LK42" s="94"/>
      <c r="LL42" s="94"/>
      <c r="LM42" s="94"/>
      <c r="LN42" s="94"/>
      <c r="LO42" s="94"/>
      <c r="LP42" s="94"/>
      <c r="LQ42" s="94" t="s">
        <v>27</v>
      </c>
      <c r="LR42" s="93"/>
      <c r="LS42" s="94" t="s">
        <v>26</v>
      </c>
      <c r="LT42" s="94"/>
      <c r="LU42" s="94"/>
      <c r="LV42" s="94"/>
      <c r="LW42" s="94"/>
      <c r="LX42" s="94"/>
      <c r="LY42" s="94"/>
      <c r="LZ42" s="94"/>
      <c r="MA42" s="94" t="s">
        <v>27</v>
      </c>
      <c r="MB42" s="93"/>
    </row>
    <row r="43" spans="1:340" s="50" customFormat="1" ht="31.5" hidden="1" customHeight="1" thickBot="1">
      <c r="A43" s="44">
        <v>1</v>
      </c>
      <c r="B43" s="45" t="s">
        <v>73</v>
      </c>
      <c r="C43" s="52" t="s">
        <v>77</v>
      </c>
      <c r="D43" s="47" t="s">
        <v>49</v>
      </c>
      <c r="E43" s="115" t="s">
        <v>78</v>
      </c>
      <c r="F43" s="48" t="s">
        <v>24</v>
      </c>
      <c r="G43" s="145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 t="s">
        <v>25</v>
      </c>
      <c r="T43" s="94"/>
      <c r="U43" s="94"/>
      <c r="V43" s="94"/>
      <c r="W43" s="94"/>
      <c r="X43" s="94" t="s">
        <v>26</v>
      </c>
      <c r="Y43" s="94"/>
      <c r="Z43" s="94"/>
      <c r="AA43" s="94" t="s">
        <v>26</v>
      </c>
      <c r="AB43" s="94" t="s">
        <v>26</v>
      </c>
      <c r="AC43" s="94"/>
      <c r="AD43" s="94" t="s">
        <v>26</v>
      </c>
      <c r="AE43" s="94" t="s">
        <v>26</v>
      </c>
      <c r="AF43" s="94" t="s">
        <v>26</v>
      </c>
      <c r="AG43" s="94"/>
      <c r="AH43" s="94" t="s">
        <v>26</v>
      </c>
      <c r="AI43" s="94" t="s">
        <v>26</v>
      </c>
      <c r="AJ43" s="94"/>
      <c r="AK43" s="94" t="s">
        <v>26</v>
      </c>
      <c r="AL43" s="94" t="s">
        <v>26</v>
      </c>
      <c r="AM43" s="94" t="s">
        <v>26</v>
      </c>
      <c r="AN43" s="94" t="s">
        <v>26</v>
      </c>
      <c r="AO43" s="94"/>
      <c r="AP43" s="94" t="s">
        <v>26</v>
      </c>
      <c r="AQ43" s="94"/>
      <c r="AR43" s="94" t="s">
        <v>26</v>
      </c>
      <c r="AS43" s="94"/>
      <c r="AT43" s="94" t="s">
        <v>26</v>
      </c>
      <c r="AU43" s="94" t="s">
        <v>26</v>
      </c>
      <c r="AV43" s="94" t="s">
        <v>26</v>
      </c>
      <c r="AW43" s="94" t="s">
        <v>26</v>
      </c>
      <c r="AX43" s="94" t="s">
        <v>26</v>
      </c>
      <c r="AY43" s="94" t="s">
        <v>26</v>
      </c>
      <c r="AZ43" s="94" t="s">
        <v>26</v>
      </c>
      <c r="BA43" s="94"/>
      <c r="BB43" s="94" t="s">
        <v>26</v>
      </c>
      <c r="BC43" s="94" t="s">
        <v>26</v>
      </c>
      <c r="BD43" s="94" t="s">
        <v>26</v>
      </c>
      <c r="BE43" s="94"/>
      <c r="BF43" s="94"/>
      <c r="BG43" s="94"/>
      <c r="BH43" s="94"/>
      <c r="BJ43" s="94" t="s">
        <v>41</v>
      </c>
      <c r="BK43" s="94"/>
      <c r="BL43" s="94"/>
      <c r="BM43" s="94"/>
      <c r="BN43" s="94"/>
      <c r="BO43" s="93"/>
      <c r="BP43" s="94"/>
      <c r="BQ43" s="94" t="s">
        <v>41</v>
      </c>
      <c r="BR43" s="94"/>
      <c r="BS43" s="94"/>
      <c r="BT43" s="94"/>
      <c r="BU43" s="94"/>
      <c r="BV43" s="94"/>
      <c r="BW43" s="94"/>
      <c r="BX43" s="94"/>
      <c r="BY43" s="94" t="s">
        <v>41</v>
      </c>
      <c r="BZ43" s="94"/>
      <c r="CA43" s="94"/>
      <c r="CB43" s="94"/>
      <c r="CC43" s="94"/>
      <c r="CD43" s="94"/>
      <c r="CE43" s="94"/>
      <c r="CF43" s="94"/>
      <c r="CG43" s="94"/>
      <c r="CH43" s="94"/>
      <c r="CI43" s="94" t="s">
        <v>41</v>
      </c>
      <c r="CJ43" s="94"/>
      <c r="CK43" s="94"/>
      <c r="CL43" s="94"/>
      <c r="CM43" s="94"/>
      <c r="CN43" s="94"/>
      <c r="CO43" s="94" t="s">
        <v>41</v>
      </c>
      <c r="CP43" s="94"/>
      <c r="CQ43" s="94"/>
      <c r="CR43" s="94"/>
      <c r="CS43" s="94"/>
      <c r="CT43" s="94"/>
      <c r="CU43" s="94" t="s">
        <v>41</v>
      </c>
      <c r="CV43" s="94"/>
      <c r="CW43" s="94"/>
      <c r="CX43" s="94"/>
      <c r="CY43" s="94"/>
      <c r="CZ43" s="94"/>
      <c r="DA43" s="94"/>
      <c r="DB43" s="94" t="s">
        <v>41</v>
      </c>
      <c r="DC43" s="94"/>
      <c r="DD43" s="94"/>
      <c r="DE43" s="94"/>
      <c r="DF43" s="94"/>
      <c r="DG43" s="94"/>
      <c r="DH43" s="94"/>
      <c r="DI43" s="94" t="s">
        <v>41</v>
      </c>
      <c r="DJ43" s="94"/>
      <c r="DK43" s="94"/>
      <c r="DL43" s="94"/>
      <c r="DM43" s="94"/>
      <c r="DN43" s="94"/>
      <c r="DO43" s="94"/>
      <c r="DP43" s="94" t="s">
        <v>41</v>
      </c>
      <c r="DQ43" s="94"/>
      <c r="DR43" s="94"/>
      <c r="DS43" s="94"/>
      <c r="DT43" s="94"/>
      <c r="DU43" s="94"/>
      <c r="DV43" s="94"/>
      <c r="DW43" s="94" t="s">
        <v>41</v>
      </c>
      <c r="DX43" s="94"/>
      <c r="DY43" s="94"/>
      <c r="DZ43" s="94"/>
      <c r="EA43" s="94"/>
      <c r="EB43" s="94"/>
      <c r="EC43" s="94"/>
      <c r="ED43" s="94"/>
      <c r="EE43" s="94"/>
      <c r="EF43" s="94"/>
      <c r="EG43" s="94"/>
      <c r="EH43" s="94" t="s">
        <v>41</v>
      </c>
      <c r="EI43" s="94"/>
      <c r="EJ43" s="94"/>
      <c r="EK43" s="94"/>
      <c r="EL43" s="94"/>
      <c r="EM43" s="94"/>
      <c r="EN43" s="94"/>
      <c r="EO43" s="94"/>
      <c r="EP43" s="94"/>
      <c r="EQ43" s="94"/>
      <c r="ER43" s="94" t="s">
        <v>41</v>
      </c>
      <c r="ES43" s="94"/>
      <c r="ET43" s="94"/>
      <c r="EU43" s="94" t="s">
        <v>41</v>
      </c>
      <c r="EV43" s="94"/>
      <c r="EW43" s="94"/>
      <c r="EX43" s="94"/>
      <c r="EY43" s="94"/>
      <c r="EZ43" s="94" t="s">
        <v>41</v>
      </c>
      <c r="FA43" s="94"/>
      <c r="FB43" s="94"/>
      <c r="FC43" s="94"/>
      <c r="FD43" s="94"/>
      <c r="FE43" s="94"/>
      <c r="FF43" s="94"/>
      <c r="FG43" s="94"/>
      <c r="FH43" s="94"/>
      <c r="FI43" s="94" t="s">
        <v>41</v>
      </c>
      <c r="FJ43" s="94"/>
      <c r="FK43" s="94"/>
      <c r="FL43" s="94" t="s">
        <v>41</v>
      </c>
      <c r="FN43" s="94"/>
      <c r="FO43" s="94"/>
      <c r="FP43" s="94" t="s">
        <v>41</v>
      </c>
      <c r="FQ43" s="94"/>
      <c r="FR43" s="94"/>
      <c r="FS43" s="94"/>
      <c r="FT43" s="94" t="s">
        <v>41</v>
      </c>
      <c r="FU43" s="94"/>
      <c r="FV43" s="94"/>
      <c r="FW43" s="94" t="s">
        <v>41</v>
      </c>
      <c r="FX43" s="94"/>
      <c r="FY43" s="131"/>
      <c r="FZ43" s="131"/>
      <c r="GA43" s="131"/>
      <c r="GB43" s="131"/>
      <c r="GC43" s="131"/>
      <c r="GD43" s="131"/>
      <c r="GE43" s="131"/>
      <c r="GF43" s="131"/>
      <c r="GG43" s="131"/>
      <c r="GH43" s="131"/>
      <c r="GI43" s="131"/>
      <c r="GJ43" s="131"/>
      <c r="GK43" s="131"/>
      <c r="GL43" s="131"/>
      <c r="GM43" s="131"/>
      <c r="GN43" s="131"/>
      <c r="GO43" s="131"/>
      <c r="GP43" s="131"/>
      <c r="GQ43" s="131"/>
      <c r="GR43" s="131"/>
      <c r="GS43" s="131"/>
      <c r="GT43" s="131"/>
      <c r="GU43" s="131"/>
      <c r="GV43" s="131"/>
      <c r="GW43" s="131"/>
      <c r="GX43" s="131"/>
      <c r="GY43" s="131"/>
      <c r="GZ43" s="131"/>
      <c r="HA43" s="131"/>
      <c r="HB43" s="131"/>
      <c r="HC43" s="131"/>
      <c r="HD43" s="131"/>
      <c r="HE43" s="131"/>
      <c r="HF43" s="131"/>
      <c r="HG43" s="131"/>
      <c r="HH43" s="131"/>
      <c r="HI43" s="131"/>
      <c r="HJ43" s="131"/>
      <c r="HK43" s="131"/>
      <c r="HL43" s="131"/>
      <c r="HM43" s="131"/>
      <c r="HN43" s="131"/>
      <c r="HO43" s="94" t="s">
        <v>26</v>
      </c>
      <c r="HP43" s="94" t="s">
        <v>26</v>
      </c>
      <c r="HQ43" s="94" t="s">
        <v>26</v>
      </c>
      <c r="HR43" s="94" t="s">
        <v>26</v>
      </c>
      <c r="HS43" s="94" t="s">
        <v>26</v>
      </c>
      <c r="HT43" s="94" t="s">
        <v>26</v>
      </c>
      <c r="HU43" s="94"/>
      <c r="HV43" s="94" t="s">
        <v>26</v>
      </c>
      <c r="HW43" s="94" t="s">
        <v>26</v>
      </c>
      <c r="HX43" s="94" t="s">
        <v>26</v>
      </c>
      <c r="HY43" s="94" t="s">
        <v>26</v>
      </c>
      <c r="HZ43" s="94"/>
      <c r="IA43" s="94" t="s">
        <v>26</v>
      </c>
      <c r="IB43" s="94" t="s">
        <v>26</v>
      </c>
      <c r="IC43" s="94" t="s">
        <v>26</v>
      </c>
      <c r="ID43" s="94"/>
      <c r="IE43" s="94"/>
      <c r="IF43" s="94" t="s">
        <v>41</v>
      </c>
      <c r="IG43" s="94"/>
      <c r="IH43" s="94"/>
      <c r="II43" s="94"/>
      <c r="IJ43" s="94"/>
      <c r="IK43" s="94" t="s">
        <v>41</v>
      </c>
      <c r="IL43" s="94"/>
      <c r="IM43" s="94"/>
      <c r="IN43" s="94"/>
      <c r="IO43" s="94"/>
      <c r="IP43" s="94"/>
      <c r="IQ43" s="94" t="s">
        <v>41</v>
      </c>
      <c r="IR43" s="94"/>
      <c r="IS43" s="94"/>
      <c r="IT43" s="94"/>
      <c r="IU43" s="94"/>
      <c r="IV43" s="94" t="s">
        <v>41</v>
      </c>
      <c r="IW43" s="94"/>
      <c r="IX43" s="94"/>
      <c r="IY43" s="94"/>
      <c r="IZ43" s="94"/>
      <c r="JA43" s="94" t="s">
        <v>41</v>
      </c>
      <c r="JB43" s="94"/>
      <c r="JC43" s="94"/>
      <c r="JD43" s="94"/>
      <c r="JE43" s="94"/>
      <c r="JF43" s="94" t="s">
        <v>41</v>
      </c>
      <c r="JG43" s="94"/>
      <c r="JH43" s="94"/>
      <c r="JI43" s="94"/>
      <c r="JJ43" s="94"/>
      <c r="JK43" s="94" t="s">
        <v>41</v>
      </c>
      <c r="JL43" s="94"/>
      <c r="JM43" s="94"/>
      <c r="JN43" s="94"/>
      <c r="JO43" s="94"/>
      <c r="JP43" s="94" t="s">
        <v>41</v>
      </c>
      <c r="JQ43" s="94"/>
      <c r="JR43" s="94"/>
      <c r="JS43" s="94"/>
      <c r="JT43" s="94"/>
      <c r="JU43" s="94" t="s">
        <v>41</v>
      </c>
      <c r="JV43" s="94"/>
      <c r="JW43" s="94"/>
      <c r="JX43" s="94"/>
      <c r="JY43" s="94"/>
      <c r="JZ43" s="94" t="s">
        <v>41</v>
      </c>
      <c r="KA43" s="94"/>
      <c r="KB43" s="94"/>
      <c r="KC43" s="94"/>
      <c r="KD43" s="94"/>
      <c r="KE43" s="94" t="s">
        <v>41</v>
      </c>
      <c r="KF43" s="94"/>
      <c r="KG43" s="94"/>
      <c r="KH43" s="94"/>
      <c r="KI43" s="94"/>
      <c r="KJ43" s="94" t="s">
        <v>41</v>
      </c>
      <c r="KK43" s="94"/>
      <c r="KL43" s="94"/>
      <c r="KM43" s="94"/>
      <c r="KN43" s="94"/>
      <c r="KO43" s="94" t="s">
        <v>41</v>
      </c>
      <c r="KP43" s="94"/>
      <c r="KQ43" s="94"/>
      <c r="KR43" s="94"/>
      <c r="KS43" s="94"/>
      <c r="KT43" s="94"/>
      <c r="KU43" s="94" t="s">
        <v>26</v>
      </c>
      <c r="KV43" s="94" t="s">
        <v>26</v>
      </c>
      <c r="KW43" s="94" t="s">
        <v>26</v>
      </c>
      <c r="KX43" s="94" t="s">
        <v>26</v>
      </c>
      <c r="KY43" s="94" t="s">
        <v>26</v>
      </c>
      <c r="KZ43" s="94"/>
      <c r="LA43" s="94"/>
      <c r="LB43" s="94"/>
      <c r="LC43" s="94"/>
      <c r="LD43" s="94" t="s">
        <v>41</v>
      </c>
      <c r="LE43" s="94"/>
      <c r="LF43" s="94"/>
      <c r="LG43" s="94"/>
      <c r="LH43" s="94"/>
      <c r="LI43" s="94" t="s">
        <v>41</v>
      </c>
      <c r="LJ43" s="94"/>
      <c r="LK43" s="94"/>
      <c r="LL43" s="94"/>
      <c r="LM43" s="94"/>
      <c r="LN43" s="94" t="s">
        <v>41</v>
      </c>
      <c r="LO43" s="94"/>
      <c r="LP43" s="94"/>
      <c r="LQ43" s="94"/>
      <c r="LR43" s="94"/>
      <c r="LS43" s="94" t="s">
        <v>41</v>
      </c>
      <c r="LT43" s="94"/>
      <c r="LU43" s="94"/>
      <c r="LV43" s="94"/>
      <c r="LW43" s="94"/>
      <c r="LX43" s="94" t="s">
        <v>41</v>
      </c>
      <c r="LY43" s="94"/>
      <c r="LZ43" s="94"/>
      <c r="MA43" s="94"/>
      <c r="MB43" s="94"/>
    </row>
    <row r="44" spans="1:340" s="50" customFormat="1" ht="31.5" hidden="1" customHeight="1" thickBot="1">
      <c r="A44" s="44">
        <v>1</v>
      </c>
      <c r="B44" s="107" t="s">
        <v>73</v>
      </c>
      <c r="C44" s="46" t="s">
        <v>79</v>
      </c>
      <c r="D44" s="105" t="s">
        <v>49</v>
      </c>
      <c r="E44" s="117" t="s">
        <v>78</v>
      </c>
      <c r="F44" s="106" t="s">
        <v>24</v>
      </c>
      <c r="G44" s="145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6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 t="s">
        <v>25</v>
      </c>
      <c r="CN44" s="131" t="s">
        <v>26</v>
      </c>
      <c r="CP44" s="94" t="s">
        <v>80</v>
      </c>
      <c r="CQ44" s="94" t="s">
        <v>80</v>
      </c>
      <c r="CR44" s="94" t="s">
        <v>80</v>
      </c>
      <c r="CS44" s="94" t="s">
        <v>80</v>
      </c>
      <c r="CT44" s="94" t="s">
        <v>26</v>
      </c>
      <c r="CU44" s="94" t="s">
        <v>80</v>
      </c>
      <c r="CV44" s="94" t="s">
        <v>80</v>
      </c>
      <c r="CW44" s="94" t="s">
        <v>80</v>
      </c>
      <c r="CX44" s="94" t="s">
        <v>80</v>
      </c>
      <c r="CY44" s="94" t="s">
        <v>80</v>
      </c>
      <c r="CZ44" s="94" t="s">
        <v>80</v>
      </c>
      <c r="DA44" s="94" t="s">
        <v>80</v>
      </c>
      <c r="DB44" s="94" t="s">
        <v>80</v>
      </c>
      <c r="DC44" s="94"/>
      <c r="DD44" s="94"/>
      <c r="DE44" s="94"/>
      <c r="DF44" s="94"/>
      <c r="DG44" s="94"/>
      <c r="DH44" s="94" t="s">
        <v>41</v>
      </c>
      <c r="DI44" s="94"/>
      <c r="DJ44" s="94"/>
      <c r="DK44" s="94"/>
      <c r="DL44" s="94"/>
      <c r="DM44" s="94"/>
      <c r="DN44" s="94"/>
      <c r="DO44" s="94"/>
      <c r="DP44" s="94" t="s">
        <v>41</v>
      </c>
      <c r="DQ44" s="94"/>
      <c r="DR44" s="94"/>
      <c r="DS44" s="94"/>
      <c r="DT44" s="94"/>
      <c r="DU44" s="94"/>
      <c r="DV44" s="94" t="s">
        <v>41</v>
      </c>
      <c r="DW44" s="94"/>
      <c r="DX44" s="94"/>
      <c r="DY44" s="94"/>
      <c r="DZ44" s="94"/>
      <c r="EA44" s="94"/>
      <c r="EB44" s="94"/>
      <c r="EC44" s="94" t="s">
        <v>41</v>
      </c>
      <c r="ED44" s="94"/>
      <c r="EE44" s="94"/>
      <c r="EF44" s="94"/>
      <c r="EG44" s="94"/>
      <c r="EH44" s="94"/>
      <c r="EI44" s="94"/>
      <c r="EJ44" s="94" t="s">
        <v>41</v>
      </c>
      <c r="EK44" s="94"/>
      <c r="EL44" s="94"/>
      <c r="EM44" s="94"/>
      <c r="EN44" s="94"/>
      <c r="EO44" s="94"/>
      <c r="EP44" s="94"/>
      <c r="EQ44" s="94"/>
      <c r="ER44" s="94"/>
      <c r="ES44" s="94" t="s">
        <v>41</v>
      </c>
      <c r="ET44" s="94"/>
      <c r="EU44" s="94"/>
      <c r="EV44" s="94"/>
      <c r="EW44" s="94"/>
      <c r="EX44" s="94"/>
      <c r="EY44" s="94"/>
      <c r="EZ44" s="94"/>
      <c r="FA44" s="94"/>
      <c r="FB44" s="94"/>
      <c r="FC44" s="94"/>
      <c r="FD44" s="94" t="s">
        <v>41</v>
      </c>
      <c r="FE44" s="94"/>
      <c r="FF44" s="94"/>
      <c r="FG44" s="94"/>
      <c r="FH44" s="94"/>
      <c r="FI44" s="94"/>
      <c r="FJ44" s="94"/>
      <c r="FK44" s="94" t="s">
        <v>41</v>
      </c>
      <c r="FL44" s="94"/>
      <c r="FM44" s="94"/>
      <c r="FN44" s="94"/>
      <c r="FO44" s="94"/>
      <c r="FP44" s="94"/>
      <c r="FQ44" s="94"/>
      <c r="FR44" s="94" t="s">
        <v>41</v>
      </c>
      <c r="FS44" s="94"/>
      <c r="FT44" s="94"/>
      <c r="FU44" s="94"/>
      <c r="FV44" s="94"/>
      <c r="FW44" s="94"/>
      <c r="FX44" s="94" t="s">
        <v>41</v>
      </c>
      <c r="FY44" s="94"/>
      <c r="FZ44" s="94"/>
      <c r="GA44" s="94"/>
      <c r="GB44" s="94"/>
      <c r="GC44" s="94"/>
      <c r="GD44" s="94"/>
      <c r="GE44" s="94" t="s">
        <v>41</v>
      </c>
      <c r="GF44" s="94"/>
      <c r="GG44" s="94"/>
      <c r="GH44" s="94"/>
      <c r="GI44" s="94"/>
      <c r="GJ44" s="94"/>
      <c r="GK44" s="94"/>
      <c r="GL44" s="94" t="s">
        <v>41</v>
      </c>
      <c r="GM44" s="94"/>
      <c r="GN44" s="94"/>
      <c r="GO44" s="94"/>
      <c r="GP44" s="94"/>
      <c r="GQ44" s="94"/>
      <c r="GR44" s="94"/>
      <c r="GS44" s="94"/>
      <c r="GT44" s="94" t="s">
        <v>41</v>
      </c>
      <c r="GU44" s="94"/>
      <c r="GV44" s="94"/>
      <c r="GW44" s="94"/>
      <c r="GX44" s="94"/>
      <c r="GY44" s="94"/>
      <c r="GZ44" s="94"/>
      <c r="HB44" s="94" t="s">
        <v>41</v>
      </c>
      <c r="HC44" s="94"/>
      <c r="HD44" s="94"/>
      <c r="HE44" s="94"/>
      <c r="HF44" s="94"/>
      <c r="HG44" s="94"/>
      <c r="HH44" s="94"/>
      <c r="HI44" s="94" t="s">
        <v>41</v>
      </c>
      <c r="HJ44" s="94"/>
      <c r="HK44" s="94"/>
      <c r="HL44" s="94"/>
      <c r="HM44" s="94"/>
      <c r="HN44" s="94"/>
      <c r="HO44" s="94" t="s">
        <v>41</v>
      </c>
      <c r="HP44" s="94"/>
      <c r="HQ44" s="94"/>
      <c r="HR44" s="94" t="s">
        <v>41</v>
      </c>
      <c r="HS44" s="94"/>
      <c r="HT44" s="94"/>
      <c r="HU44" s="94"/>
      <c r="HV44" s="94" t="s">
        <v>41</v>
      </c>
      <c r="HW44" s="94"/>
      <c r="HX44" s="94"/>
      <c r="HY44" s="94"/>
      <c r="HZ44" s="94" t="s">
        <v>41</v>
      </c>
      <c r="IA44" s="94"/>
      <c r="IB44" s="94"/>
      <c r="IC44" s="94"/>
      <c r="ID44" s="94"/>
      <c r="IF44" s="94" t="s">
        <v>41</v>
      </c>
      <c r="IG44" s="94"/>
      <c r="IH44" s="94"/>
      <c r="II44" s="94"/>
      <c r="IJ44" s="94"/>
      <c r="IK44" s="94" t="s">
        <v>41</v>
      </c>
      <c r="IL44" s="94"/>
      <c r="IM44" s="94"/>
      <c r="IN44" s="94"/>
      <c r="IO44" s="94"/>
      <c r="IP44" s="94" t="s">
        <v>41</v>
      </c>
      <c r="IQ44" s="94"/>
      <c r="IR44" s="94"/>
      <c r="IS44" s="94"/>
      <c r="IT44" s="94"/>
      <c r="IU44" s="94" t="s">
        <v>41</v>
      </c>
      <c r="IV44" s="94"/>
      <c r="IW44" s="94"/>
      <c r="IX44" s="94"/>
      <c r="IY44" s="94"/>
      <c r="IZ44" s="94" t="s">
        <v>41</v>
      </c>
      <c r="JA44" s="94"/>
      <c r="JB44" s="94"/>
      <c r="JC44" s="94"/>
      <c r="JD44" s="94"/>
      <c r="JE44" s="94" t="s">
        <v>41</v>
      </c>
      <c r="JF44" s="94" t="s">
        <v>37</v>
      </c>
      <c r="JG44" s="131"/>
      <c r="JH44" s="131"/>
      <c r="JI44" s="131"/>
      <c r="JJ44" s="131"/>
      <c r="JK44" s="131"/>
      <c r="JL44" s="131"/>
      <c r="JM44" s="131"/>
      <c r="JN44" s="131"/>
      <c r="JO44" s="131"/>
      <c r="JP44" s="131"/>
      <c r="JQ44" s="131"/>
      <c r="JR44" s="131"/>
      <c r="JS44" s="131"/>
      <c r="JT44" s="131"/>
      <c r="JU44" s="131"/>
      <c r="JV44" s="131"/>
      <c r="JW44" s="131"/>
      <c r="JX44" s="131"/>
      <c r="JY44" s="131"/>
      <c r="JZ44" s="131"/>
      <c r="KA44" s="131"/>
      <c r="KB44" s="131"/>
      <c r="KC44" s="131"/>
      <c r="KD44" s="131"/>
      <c r="KE44" s="131"/>
      <c r="KF44" s="131"/>
      <c r="KG44" s="131"/>
      <c r="KH44" s="131"/>
      <c r="KI44" s="131"/>
      <c r="KJ44" s="131"/>
      <c r="KK44" s="131"/>
      <c r="KL44" s="131"/>
      <c r="KM44" s="131"/>
      <c r="KN44" s="131"/>
      <c r="KO44" s="131"/>
      <c r="KP44" s="131"/>
      <c r="KQ44" s="131"/>
      <c r="KR44" s="131"/>
      <c r="KS44" s="131"/>
      <c r="KT44" s="131"/>
      <c r="KU44" s="131"/>
      <c r="KV44" s="131"/>
      <c r="KW44" s="131"/>
      <c r="KX44" s="131"/>
      <c r="KY44" s="131"/>
      <c r="KZ44" s="131"/>
      <c r="LA44" s="131"/>
      <c r="LB44" s="131"/>
      <c r="LC44" s="131"/>
      <c r="LD44" s="131"/>
      <c r="LE44" s="131"/>
      <c r="LF44" s="131"/>
      <c r="LG44" s="131"/>
      <c r="LH44" s="131"/>
      <c r="LI44" s="131"/>
      <c r="LJ44" s="131"/>
      <c r="LK44" s="131"/>
      <c r="LL44" s="131"/>
      <c r="LM44" s="131"/>
      <c r="LN44" s="131"/>
      <c r="LO44" s="131"/>
      <c r="LP44" s="131"/>
      <c r="LQ44" s="131"/>
      <c r="LR44" s="131"/>
      <c r="LS44" s="131"/>
      <c r="LT44" s="131"/>
      <c r="LU44" s="131"/>
      <c r="LV44" s="131"/>
      <c r="LW44" s="131"/>
      <c r="LX44" s="131"/>
      <c r="LY44" s="131"/>
      <c r="LZ44" s="131"/>
      <c r="MA44" s="131"/>
      <c r="MB44" s="131"/>
    </row>
    <row r="45" spans="1:340" s="50" customFormat="1" ht="31.5" hidden="1" customHeight="1">
      <c r="A45" s="44">
        <v>1</v>
      </c>
      <c r="B45" s="107" t="s">
        <v>73</v>
      </c>
      <c r="C45" s="46" t="s">
        <v>81</v>
      </c>
      <c r="D45" s="105" t="s">
        <v>35</v>
      </c>
      <c r="E45" s="117" t="s">
        <v>36</v>
      </c>
      <c r="F45" s="106" t="s">
        <v>24</v>
      </c>
      <c r="G45" s="145"/>
      <c r="H45" s="131"/>
      <c r="I45" s="131"/>
      <c r="J45" s="131"/>
      <c r="K45" s="131" t="s">
        <v>41</v>
      </c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 t="s">
        <v>26</v>
      </c>
      <c r="AL45" s="94"/>
      <c r="AM45" s="94" t="s">
        <v>41</v>
      </c>
      <c r="AN45" s="94"/>
      <c r="AO45" s="94"/>
      <c r="AP45" s="94"/>
      <c r="AQ45" s="94"/>
      <c r="AR45" s="94"/>
      <c r="AS45" s="94"/>
      <c r="AT45" s="94"/>
      <c r="AU45" s="94"/>
      <c r="AV45" s="94" t="s">
        <v>26</v>
      </c>
      <c r="AW45" s="94"/>
      <c r="AX45" s="94" t="s">
        <v>41</v>
      </c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BI45" s="94" t="s">
        <v>26</v>
      </c>
      <c r="BJ45" s="94"/>
      <c r="BK45" s="94"/>
      <c r="BL45" s="94" t="s">
        <v>41</v>
      </c>
      <c r="BM45" s="94"/>
      <c r="BN45" s="94"/>
      <c r="BO45" s="94"/>
      <c r="BP45" s="94"/>
      <c r="BQ45" s="94"/>
      <c r="BR45" s="94"/>
      <c r="BS45" s="94"/>
      <c r="BT45" s="94"/>
      <c r="BU45" s="94"/>
      <c r="BV45" s="94"/>
      <c r="BW45" s="94"/>
      <c r="BX45" s="94"/>
      <c r="BY45" s="94" t="s">
        <v>26</v>
      </c>
      <c r="BZ45" s="94"/>
      <c r="CB45" s="94"/>
      <c r="CC45" s="94"/>
      <c r="CD45" s="94"/>
      <c r="CE45" s="94" t="s">
        <v>28</v>
      </c>
      <c r="CF45" s="94"/>
      <c r="CG45" s="94" t="s">
        <v>41</v>
      </c>
      <c r="CH45" s="94"/>
      <c r="CI45" s="94"/>
      <c r="CJ45" s="94"/>
      <c r="CK45" s="94"/>
      <c r="CL45" s="93"/>
      <c r="CM45" s="93" t="s">
        <v>26</v>
      </c>
      <c r="CN45" s="93"/>
      <c r="CO45" s="93" t="s">
        <v>41</v>
      </c>
      <c r="CP45" s="93"/>
      <c r="CQ45" s="94"/>
      <c r="CR45" s="93"/>
      <c r="CS45" s="94"/>
      <c r="CT45" s="94"/>
      <c r="CV45" s="94" t="s">
        <v>26</v>
      </c>
      <c r="CW45" s="94" t="s">
        <v>41</v>
      </c>
      <c r="CX45" s="93"/>
      <c r="CY45" s="93"/>
      <c r="CZ45" s="93"/>
      <c r="DA45" s="93"/>
      <c r="DB45" s="93"/>
      <c r="DC45" s="93"/>
      <c r="DD45" s="93"/>
      <c r="DE45" s="94" t="s">
        <v>26</v>
      </c>
      <c r="DF45" s="94"/>
      <c r="DG45" s="94" t="s">
        <v>41</v>
      </c>
      <c r="DH45" s="94"/>
      <c r="DI45" s="93"/>
      <c r="DJ45" s="93"/>
      <c r="DK45" s="93"/>
      <c r="DL45" s="93" t="s">
        <v>26</v>
      </c>
      <c r="DM45" s="93"/>
      <c r="DN45" s="93" t="s">
        <v>41</v>
      </c>
      <c r="DO45" s="94"/>
      <c r="DP45" s="94"/>
      <c r="DQ45" s="94"/>
      <c r="DR45" s="94"/>
      <c r="DS45" s="94"/>
      <c r="DT45" s="94"/>
      <c r="DU45" s="94"/>
      <c r="DV45" s="93"/>
      <c r="DW45" s="93" t="s">
        <v>26</v>
      </c>
      <c r="DX45" s="93"/>
      <c r="DY45" s="93" t="s">
        <v>41</v>
      </c>
      <c r="DZ45" s="93"/>
      <c r="EA45" s="93"/>
      <c r="EB45" s="93"/>
      <c r="EC45" s="93"/>
      <c r="ED45" s="93"/>
      <c r="EE45" s="94"/>
      <c r="EF45" s="94"/>
      <c r="EG45" s="94" t="s">
        <v>26</v>
      </c>
      <c r="EH45" s="93"/>
      <c r="EI45" s="93" t="s">
        <v>41</v>
      </c>
      <c r="EJ45" s="93"/>
      <c r="EK45" s="93"/>
      <c r="EL45" s="93"/>
      <c r="EM45" s="94"/>
      <c r="EN45" s="94"/>
      <c r="EO45" s="94"/>
      <c r="EP45" s="94"/>
      <c r="EQ45" s="94"/>
      <c r="ER45" s="94"/>
      <c r="ES45" s="94"/>
      <c r="ET45" s="94"/>
      <c r="EU45" s="94" t="s">
        <v>26</v>
      </c>
      <c r="EV45" s="93" t="s">
        <v>41</v>
      </c>
      <c r="EW45" s="93"/>
      <c r="EX45" s="93"/>
      <c r="EY45" s="93"/>
      <c r="EZ45" s="93"/>
      <c r="FA45" s="93"/>
      <c r="FB45" s="93"/>
      <c r="FC45" s="93"/>
      <c r="FD45" s="94"/>
      <c r="FE45" s="94"/>
      <c r="FF45" s="94" t="s">
        <v>26</v>
      </c>
      <c r="FG45" s="94" t="s">
        <v>41</v>
      </c>
      <c r="FH45" s="93"/>
      <c r="FI45" s="93"/>
      <c r="FJ45" s="93"/>
      <c r="FK45" s="93"/>
      <c r="FL45" s="93"/>
      <c r="FM45" s="93"/>
      <c r="FN45" s="93"/>
      <c r="FO45" s="93"/>
      <c r="FP45" s="94"/>
      <c r="FQ45" s="94"/>
      <c r="FR45" s="94"/>
      <c r="FS45" s="94"/>
      <c r="FT45" s="94"/>
      <c r="FU45" s="94" t="s">
        <v>26</v>
      </c>
      <c r="FV45" s="94"/>
      <c r="FW45" s="93" t="s">
        <v>41</v>
      </c>
      <c r="FX45" s="93"/>
      <c r="FY45" s="93"/>
      <c r="FZ45" s="93"/>
      <c r="GA45" s="93"/>
      <c r="GB45" s="93"/>
      <c r="GC45" s="93"/>
      <c r="GD45" s="93"/>
      <c r="GE45" s="94"/>
      <c r="GF45" s="94" t="s">
        <v>26</v>
      </c>
      <c r="GG45" s="94"/>
      <c r="GH45" s="94" t="s">
        <v>41</v>
      </c>
      <c r="GI45" s="94"/>
      <c r="GJ45" s="94"/>
      <c r="GK45" s="94"/>
      <c r="GL45" s="93"/>
      <c r="GM45" s="93"/>
      <c r="GN45" s="93"/>
      <c r="GO45" s="93"/>
      <c r="GP45" s="93" t="s">
        <v>26</v>
      </c>
      <c r="GQ45" s="93" t="s">
        <v>41</v>
      </c>
      <c r="GR45" s="93"/>
      <c r="GS45" s="93"/>
      <c r="GT45" s="94"/>
      <c r="GU45" s="94"/>
      <c r="GV45" s="94"/>
      <c r="GW45" s="94"/>
      <c r="GX45" s="94"/>
      <c r="GY45" s="94"/>
      <c r="GZ45" s="94"/>
      <c r="HA45" s="93"/>
      <c r="HB45" s="93"/>
      <c r="HC45" s="93" t="s">
        <v>26</v>
      </c>
      <c r="HD45" s="93"/>
      <c r="HE45" s="93" t="s">
        <v>41</v>
      </c>
      <c r="HF45" s="93"/>
      <c r="HG45" s="93"/>
      <c r="HH45" s="93"/>
      <c r="HI45" s="93"/>
      <c r="HJ45" s="94"/>
      <c r="HK45" s="94"/>
      <c r="HL45" s="94"/>
      <c r="HM45" s="94"/>
      <c r="HN45" s="94" t="s">
        <v>26</v>
      </c>
      <c r="HO45" s="93"/>
      <c r="HP45" s="93"/>
      <c r="HQ45" s="93" t="s">
        <v>41</v>
      </c>
      <c r="HR45" s="93"/>
      <c r="HS45" s="93"/>
      <c r="HT45" s="93"/>
      <c r="HU45" s="93"/>
      <c r="HV45" s="94"/>
      <c r="HW45" s="94"/>
      <c r="HX45" s="94"/>
      <c r="HY45" s="94"/>
      <c r="HZ45" s="94"/>
      <c r="IA45" s="93" t="s">
        <v>26</v>
      </c>
      <c r="IB45" s="93"/>
      <c r="IC45" s="93" t="s">
        <v>41</v>
      </c>
      <c r="IE45" s="93"/>
      <c r="IF45" s="93"/>
      <c r="IG45" s="93"/>
      <c r="IH45" s="94"/>
      <c r="II45" s="94"/>
      <c r="IJ45" s="94"/>
      <c r="IK45" s="94"/>
      <c r="IL45" s="94"/>
      <c r="IM45" s="94"/>
      <c r="IN45" s="94"/>
      <c r="IO45" s="94"/>
      <c r="IP45" s="94" t="s">
        <v>26</v>
      </c>
      <c r="IQ45" s="93"/>
      <c r="IR45" s="93" t="s">
        <v>41</v>
      </c>
      <c r="IS45" s="93"/>
      <c r="IT45" s="93"/>
      <c r="IU45" s="93"/>
      <c r="IV45" s="93"/>
      <c r="IW45" s="94"/>
      <c r="IX45" s="94"/>
      <c r="IY45" s="94"/>
      <c r="IZ45" s="94"/>
      <c r="JA45" s="94"/>
      <c r="JB45" s="93" t="s">
        <v>26</v>
      </c>
      <c r="JC45" s="93"/>
      <c r="JD45" s="93" t="s">
        <v>41</v>
      </c>
      <c r="JE45" s="93"/>
      <c r="JF45" s="93"/>
      <c r="JG45" s="93"/>
      <c r="JH45" s="93"/>
      <c r="JI45" s="94"/>
      <c r="JJ45" s="94"/>
      <c r="JK45" s="94"/>
      <c r="JL45" s="94"/>
      <c r="JM45" s="94"/>
      <c r="JN45" s="93" t="s">
        <v>26</v>
      </c>
      <c r="JO45" s="93"/>
      <c r="JP45" s="93" t="s">
        <v>41</v>
      </c>
      <c r="JQ45" s="93"/>
      <c r="JR45" s="93"/>
      <c r="JS45" s="93"/>
      <c r="JT45" s="93"/>
      <c r="JU45" s="94"/>
      <c r="JV45" s="94"/>
      <c r="JW45" s="94"/>
      <c r="JX45" s="94"/>
      <c r="JY45" s="94"/>
      <c r="JZ45" s="93" t="s">
        <v>26</v>
      </c>
      <c r="KA45" s="93"/>
      <c r="KB45" s="93" t="s">
        <v>41</v>
      </c>
      <c r="KC45" s="93"/>
      <c r="KD45" s="93"/>
      <c r="KE45" s="93"/>
      <c r="KF45" s="93"/>
      <c r="KG45" s="94"/>
      <c r="KH45" s="94"/>
      <c r="KI45" s="94"/>
      <c r="KJ45" s="94"/>
      <c r="KK45" s="94"/>
      <c r="KL45" s="93" t="s">
        <v>26</v>
      </c>
      <c r="KM45" s="93"/>
      <c r="KN45" s="93" t="s">
        <v>41</v>
      </c>
      <c r="KO45" s="93"/>
      <c r="KP45" s="93"/>
      <c r="KQ45" s="93"/>
      <c r="KR45" s="93"/>
      <c r="KS45" s="94"/>
      <c r="KT45" s="94"/>
      <c r="KU45" s="94"/>
      <c r="KV45" s="94"/>
      <c r="KW45" s="94"/>
      <c r="KX45" s="93" t="s">
        <v>26</v>
      </c>
      <c r="KY45" s="93"/>
      <c r="KZ45" s="93" t="s">
        <v>41</v>
      </c>
      <c r="LA45" s="93"/>
      <c r="LB45" s="93"/>
      <c r="LC45" s="93"/>
      <c r="LD45" s="93"/>
      <c r="LE45" s="94"/>
      <c r="LF45" s="94"/>
      <c r="LG45" s="94"/>
      <c r="LH45" s="94"/>
      <c r="LI45" s="94"/>
      <c r="LJ45" s="93" t="s">
        <v>26</v>
      </c>
      <c r="LK45" s="93"/>
      <c r="LL45" s="93" t="s">
        <v>41</v>
      </c>
      <c r="LM45" s="93"/>
      <c r="LN45" s="93"/>
      <c r="LO45" s="93"/>
      <c r="LP45" s="93"/>
      <c r="LQ45" s="94"/>
      <c r="LR45" s="94"/>
      <c r="LS45" s="94"/>
      <c r="LT45" s="94"/>
      <c r="LU45" s="94"/>
      <c r="LV45" s="93" t="s">
        <v>26</v>
      </c>
      <c r="LW45" s="93"/>
      <c r="LX45" s="93" t="s">
        <v>41</v>
      </c>
      <c r="LY45" s="93"/>
      <c r="LZ45" s="93"/>
      <c r="MA45" s="94"/>
      <c r="MB45" s="94"/>
    </row>
    <row r="46" spans="1:340" s="50" customFormat="1" ht="31.5" hidden="1" customHeight="1" thickBot="1">
      <c r="A46" s="44">
        <v>1</v>
      </c>
      <c r="B46" s="107" t="s">
        <v>73</v>
      </c>
      <c r="C46" s="46" t="s">
        <v>82</v>
      </c>
      <c r="D46" s="105" t="s">
        <v>49</v>
      </c>
      <c r="E46" s="117" t="s">
        <v>78</v>
      </c>
      <c r="F46" s="106" t="s">
        <v>24</v>
      </c>
      <c r="G46" s="145"/>
      <c r="H46" s="131" t="s">
        <v>25</v>
      </c>
      <c r="I46" s="94"/>
      <c r="J46" s="94"/>
      <c r="K46" s="94"/>
      <c r="L46" s="94"/>
      <c r="M46" s="94" t="s">
        <v>41</v>
      </c>
      <c r="N46" s="94"/>
      <c r="O46" s="94"/>
      <c r="P46" s="94"/>
      <c r="Q46" s="94" t="s">
        <v>41</v>
      </c>
      <c r="R46" s="94"/>
      <c r="S46" s="94"/>
      <c r="T46" s="94"/>
      <c r="U46" s="94" t="s">
        <v>41</v>
      </c>
      <c r="V46" s="94"/>
      <c r="W46" s="94"/>
      <c r="X46" s="94"/>
      <c r="Y46" s="144"/>
      <c r="Z46" s="94" t="s">
        <v>41</v>
      </c>
      <c r="AA46" s="94"/>
      <c r="AB46" s="94"/>
      <c r="AC46" s="94"/>
      <c r="AD46" s="144"/>
      <c r="AE46" s="94" t="s">
        <v>41</v>
      </c>
      <c r="AF46" s="94"/>
      <c r="AG46" s="94"/>
      <c r="AH46" s="94"/>
      <c r="AI46" s="94" t="s">
        <v>41</v>
      </c>
      <c r="AJ46" s="94"/>
      <c r="AK46" s="94"/>
      <c r="AL46" s="94"/>
      <c r="AM46" s="94" t="s">
        <v>41</v>
      </c>
      <c r="AN46" s="94"/>
      <c r="AO46" s="94"/>
      <c r="AP46" s="94"/>
      <c r="AQ46" s="94" t="s">
        <v>41</v>
      </c>
      <c r="AR46" s="94"/>
      <c r="AS46" s="94"/>
      <c r="AT46" s="94" t="s">
        <v>41</v>
      </c>
      <c r="AU46" s="94"/>
      <c r="AV46" s="94"/>
      <c r="AW46" s="94"/>
      <c r="AX46" s="94" t="s">
        <v>41</v>
      </c>
      <c r="AY46" s="94"/>
      <c r="AZ46" s="94"/>
      <c r="BA46" s="94" t="s">
        <v>41</v>
      </c>
      <c r="BB46" s="94"/>
      <c r="BC46" s="94"/>
      <c r="BD46" s="94"/>
      <c r="BE46" s="94" t="s">
        <v>41</v>
      </c>
      <c r="BF46" s="94"/>
      <c r="BG46" s="94"/>
      <c r="BH46" s="94"/>
      <c r="BI46" s="94" t="s">
        <v>41</v>
      </c>
      <c r="BJ46" s="94"/>
      <c r="BK46" s="94"/>
      <c r="BL46" s="94"/>
      <c r="BM46" s="94"/>
      <c r="BN46" s="94"/>
      <c r="BO46" s="94"/>
      <c r="BP46" s="94"/>
      <c r="BQ46" s="94" t="s">
        <v>26</v>
      </c>
      <c r="BR46" s="131" t="s">
        <v>26</v>
      </c>
      <c r="BS46" s="131" t="s">
        <v>80</v>
      </c>
      <c r="BT46" s="131" t="s">
        <v>80</v>
      </c>
      <c r="BU46" s="131" t="s">
        <v>80</v>
      </c>
      <c r="BV46" s="131" t="s">
        <v>80</v>
      </c>
      <c r="BW46" s="131" t="s">
        <v>80</v>
      </c>
      <c r="BX46" s="131" t="s">
        <v>80</v>
      </c>
      <c r="BY46" s="131" t="s">
        <v>80</v>
      </c>
      <c r="BZ46" s="131" t="s">
        <v>80</v>
      </c>
      <c r="CA46" s="131" t="s">
        <v>80</v>
      </c>
      <c r="CB46" s="131" t="s">
        <v>80</v>
      </c>
      <c r="CC46" s="131" t="s">
        <v>80</v>
      </c>
      <c r="CD46" s="131" t="s">
        <v>80</v>
      </c>
      <c r="CE46" s="94"/>
      <c r="CF46" s="94"/>
      <c r="CG46" s="94" t="s">
        <v>41</v>
      </c>
      <c r="CH46" s="94"/>
      <c r="CI46" s="94"/>
      <c r="CJ46" s="94"/>
      <c r="CK46" s="94"/>
      <c r="CL46" s="94"/>
      <c r="CM46" s="94"/>
      <c r="CN46" s="94"/>
      <c r="CO46" s="94" t="s">
        <v>41</v>
      </c>
      <c r="CP46" s="94"/>
      <c r="CQ46" s="94"/>
      <c r="CR46" s="94"/>
      <c r="CS46" s="94"/>
      <c r="CT46" s="94"/>
      <c r="CU46" s="94"/>
      <c r="CV46" s="94"/>
      <c r="CW46" s="94"/>
      <c r="CX46" s="94"/>
      <c r="CY46" s="94"/>
      <c r="CZ46" s="94" t="s">
        <v>41</v>
      </c>
      <c r="DA46" s="94"/>
      <c r="DB46" s="94"/>
      <c r="DC46" s="94"/>
      <c r="DD46" s="94"/>
      <c r="DE46" s="94" t="s">
        <v>41</v>
      </c>
      <c r="DF46" s="94"/>
      <c r="DG46" s="94"/>
      <c r="DH46" s="94"/>
      <c r="DI46" s="94"/>
      <c r="DJ46" s="94"/>
      <c r="DK46" s="94" t="s">
        <v>41</v>
      </c>
      <c r="DL46" s="94"/>
      <c r="DM46" s="94"/>
      <c r="DN46" s="94"/>
      <c r="DO46" s="94"/>
      <c r="DP46" s="94"/>
      <c r="DQ46" s="94" t="s">
        <v>41</v>
      </c>
      <c r="DR46" s="94"/>
      <c r="DS46" s="94"/>
      <c r="DT46" s="94"/>
      <c r="DU46" s="94"/>
      <c r="DV46" s="94"/>
      <c r="DW46" s="94" t="s">
        <v>41</v>
      </c>
      <c r="DX46" s="94"/>
      <c r="DY46" s="94"/>
      <c r="DZ46" s="94"/>
      <c r="EA46" s="94"/>
      <c r="EB46" s="94"/>
      <c r="EC46" s="94" t="s">
        <v>41</v>
      </c>
      <c r="ED46" s="94"/>
      <c r="EE46" s="94"/>
      <c r="EF46" s="94"/>
      <c r="EG46" s="94"/>
      <c r="EH46" s="94" t="s">
        <v>41</v>
      </c>
      <c r="EI46" s="94"/>
      <c r="EJ46" s="94"/>
      <c r="EK46" s="94"/>
      <c r="EL46" s="94"/>
      <c r="EM46" s="94" t="s">
        <v>41</v>
      </c>
      <c r="EN46" s="94"/>
      <c r="EO46" s="94"/>
      <c r="EP46" s="94"/>
      <c r="EQ46" s="94"/>
      <c r="ER46" s="94"/>
      <c r="ES46" s="94" t="s">
        <v>41</v>
      </c>
      <c r="ET46" s="94"/>
      <c r="EU46" s="94"/>
      <c r="EV46" s="94"/>
      <c r="EW46" s="94"/>
      <c r="EX46" s="94"/>
      <c r="EY46" s="94" t="s">
        <v>41</v>
      </c>
      <c r="EZ46" s="94"/>
      <c r="FA46" s="94"/>
      <c r="FB46" s="94"/>
      <c r="FC46" s="94"/>
      <c r="FD46" s="94"/>
      <c r="FE46" s="94"/>
      <c r="FF46" s="94"/>
      <c r="FG46" s="94"/>
      <c r="FH46" s="94"/>
      <c r="FI46" s="94" t="s">
        <v>41</v>
      </c>
      <c r="FJ46" s="94"/>
      <c r="FK46" s="94"/>
      <c r="FL46" s="94"/>
      <c r="FM46" s="94"/>
      <c r="FN46" s="94" t="s">
        <v>41</v>
      </c>
      <c r="FO46" s="94"/>
      <c r="FP46" s="94"/>
      <c r="FQ46" s="94"/>
      <c r="FR46" s="94"/>
      <c r="FS46" s="94" t="s">
        <v>41</v>
      </c>
      <c r="FT46" s="94"/>
      <c r="FU46" s="94"/>
      <c r="FV46" s="94"/>
      <c r="FW46" s="94"/>
      <c r="FX46" s="94"/>
      <c r="FY46" s="94" t="s">
        <v>41</v>
      </c>
      <c r="FZ46" s="94"/>
      <c r="GA46" s="94"/>
      <c r="GB46" s="94"/>
      <c r="GC46" s="94"/>
      <c r="GD46" s="94"/>
      <c r="GE46" s="94" t="s">
        <v>41</v>
      </c>
      <c r="GF46" s="94"/>
      <c r="GG46" s="94"/>
      <c r="GH46" s="94"/>
      <c r="GI46" s="94"/>
      <c r="GJ46" s="94"/>
      <c r="GK46" s="94" t="s">
        <v>41</v>
      </c>
      <c r="GL46" s="94"/>
      <c r="GM46" s="94"/>
      <c r="GN46" s="94"/>
      <c r="GO46" s="94"/>
      <c r="GP46" s="94"/>
      <c r="GQ46" s="94"/>
      <c r="GR46" s="94"/>
      <c r="GS46" s="94" t="s">
        <v>41</v>
      </c>
      <c r="GT46" s="94"/>
      <c r="GU46" s="94"/>
      <c r="GV46" s="94"/>
      <c r="GW46" s="94"/>
      <c r="GX46" s="94"/>
      <c r="GY46" s="94" t="s">
        <v>41</v>
      </c>
      <c r="GZ46" s="94"/>
      <c r="HA46" s="94"/>
      <c r="HB46" s="94"/>
      <c r="HC46" s="94"/>
      <c r="HD46" s="94"/>
      <c r="HE46" s="94" t="s">
        <v>41</v>
      </c>
      <c r="HF46" s="94"/>
      <c r="HG46" s="94"/>
      <c r="HH46" s="94"/>
      <c r="HI46" s="94"/>
      <c r="HJ46" s="94"/>
      <c r="HK46" s="94" t="s">
        <v>41</v>
      </c>
      <c r="HL46" s="94"/>
      <c r="HM46" s="94"/>
      <c r="HN46" s="94"/>
      <c r="HO46" s="94"/>
      <c r="HP46" s="94" t="s">
        <v>42</v>
      </c>
      <c r="HQ46" s="94" t="s">
        <v>41</v>
      </c>
      <c r="HR46" s="94"/>
      <c r="HS46" s="94"/>
      <c r="HT46" s="94"/>
      <c r="HU46" s="94"/>
      <c r="HV46" s="94" t="s">
        <v>41</v>
      </c>
      <c r="HW46" s="94"/>
      <c r="HX46" s="94"/>
      <c r="HY46" s="94"/>
      <c r="HZ46" s="94"/>
      <c r="IA46" s="94" t="s">
        <v>41</v>
      </c>
      <c r="IB46" s="131"/>
      <c r="IC46" s="131"/>
      <c r="ID46" s="131"/>
      <c r="IE46" s="131"/>
      <c r="IF46" s="131"/>
      <c r="IG46" s="131"/>
      <c r="IH46" s="131"/>
      <c r="II46" s="131"/>
      <c r="IJ46" s="131"/>
      <c r="IK46" s="131"/>
      <c r="IL46" s="131"/>
      <c r="IM46" s="94"/>
      <c r="IN46" s="94"/>
      <c r="IO46" s="94" t="s">
        <v>26</v>
      </c>
      <c r="IP46" s="94"/>
      <c r="IQ46" s="94" t="s">
        <v>26</v>
      </c>
      <c r="IR46" s="94"/>
      <c r="IS46" s="94"/>
      <c r="IT46" s="94"/>
      <c r="IU46" s="94"/>
      <c r="IV46" s="94"/>
      <c r="IW46" s="94" t="s">
        <v>41</v>
      </c>
      <c r="IX46" s="94"/>
      <c r="IY46" s="94"/>
      <c r="IZ46" s="94"/>
      <c r="JA46" s="94"/>
      <c r="JB46" s="94"/>
      <c r="JC46" s="94" t="s">
        <v>41</v>
      </c>
      <c r="JD46" s="94"/>
      <c r="JE46" s="94"/>
      <c r="JF46" s="94"/>
      <c r="JG46" s="94"/>
      <c r="JH46" s="94"/>
      <c r="JI46" s="94" t="s">
        <v>41</v>
      </c>
      <c r="JJ46" s="94"/>
      <c r="JK46" s="94"/>
      <c r="JL46" s="94"/>
      <c r="JM46" s="94"/>
      <c r="JN46" s="94"/>
      <c r="JO46" s="94"/>
      <c r="JP46" s="94" t="s">
        <v>26</v>
      </c>
      <c r="JQ46" s="94" t="s">
        <v>26</v>
      </c>
      <c r="JR46" s="94" t="s">
        <v>26</v>
      </c>
      <c r="JS46" s="94" t="s">
        <v>26</v>
      </c>
      <c r="JT46" s="94" t="s">
        <v>26</v>
      </c>
      <c r="JU46" s="94"/>
      <c r="JV46" s="94"/>
      <c r="JW46" s="94"/>
      <c r="JX46" s="94"/>
      <c r="JY46" s="94"/>
      <c r="JZ46" s="94" t="s">
        <v>41</v>
      </c>
      <c r="KA46" s="94"/>
      <c r="KB46" s="94"/>
      <c r="KC46" s="94"/>
      <c r="KD46" s="94"/>
      <c r="KE46" s="94"/>
      <c r="KF46" s="94" t="s">
        <v>41</v>
      </c>
      <c r="KG46" s="94"/>
      <c r="KH46" s="94"/>
      <c r="KI46" s="94"/>
      <c r="KJ46" s="94"/>
      <c r="KK46" s="94"/>
      <c r="KL46" s="94" t="s">
        <v>41</v>
      </c>
      <c r="KM46" s="94"/>
      <c r="KN46" s="94"/>
      <c r="KO46" s="94"/>
      <c r="KP46" s="94"/>
      <c r="KQ46" s="94"/>
      <c r="KR46" s="94" t="s">
        <v>41</v>
      </c>
      <c r="KS46" s="94"/>
      <c r="KT46" s="94"/>
      <c r="KU46" s="94"/>
      <c r="KV46" s="94"/>
      <c r="KW46" s="94"/>
      <c r="KX46" s="94" t="s">
        <v>41</v>
      </c>
      <c r="KY46" s="94"/>
      <c r="KZ46" s="94"/>
      <c r="LA46" s="94"/>
      <c r="LB46" s="94" t="s">
        <v>26</v>
      </c>
      <c r="LC46" s="94" t="s">
        <v>26</v>
      </c>
      <c r="LD46" s="94" t="s">
        <v>26</v>
      </c>
      <c r="LE46" s="94" t="s">
        <v>26</v>
      </c>
      <c r="LF46" s="94" t="s">
        <v>26</v>
      </c>
      <c r="LG46" s="94"/>
      <c r="LH46" s="94"/>
      <c r="LI46" s="94"/>
      <c r="LJ46" s="94"/>
      <c r="LK46" s="94"/>
      <c r="LL46" s="94" t="s">
        <v>41</v>
      </c>
      <c r="LM46" s="94"/>
      <c r="LN46" s="94"/>
      <c r="LO46" s="94"/>
      <c r="LP46" s="94"/>
      <c r="LQ46" s="94"/>
      <c r="LR46" s="94" t="s">
        <v>41</v>
      </c>
      <c r="LS46" s="94"/>
      <c r="LT46" s="94"/>
      <c r="LU46" s="94"/>
      <c r="LV46" s="94"/>
      <c r="LW46" s="94"/>
      <c r="LX46" s="94" t="s">
        <v>41</v>
      </c>
      <c r="LY46" s="94"/>
      <c r="LZ46" s="94"/>
      <c r="MA46" s="94"/>
      <c r="MB46" s="94"/>
    </row>
    <row r="47" spans="1:340" s="50" customFormat="1" ht="31.5" hidden="1" customHeight="1">
      <c r="A47" s="44">
        <v>1</v>
      </c>
      <c r="B47" s="107" t="s">
        <v>83</v>
      </c>
      <c r="C47" s="46" t="s">
        <v>84</v>
      </c>
      <c r="D47" s="105" t="s">
        <v>45</v>
      </c>
      <c r="E47" s="117" t="s">
        <v>62</v>
      </c>
      <c r="F47" s="106" t="s">
        <v>24</v>
      </c>
      <c r="G47" s="145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6"/>
      <c r="Z47" s="131"/>
      <c r="AA47" s="131"/>
      <c r="AB47" s="131"/>
      <c r="AC47" s="131"/>
      <c r="AD47" s="136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1"/>
      <c r="BQ47" s="131"/>
      <c r="BR47" s="131"/>
      <c r="BS47" s="131"/>
      <c r="BT47" s="131"/>
      <c r="BU47" s="131"/>
      <c r="BV47" s="131"/>
      <c r="BW47" s="131"/>
      <c r="BX47" s="131"/>
      <c r="BY47" s="131"/>
      <c r="BZ47" s="131"/>
      <c r="CA47" s="131"/>
      <c r="CB47" s="131"/>
      <c r="CC47" s="131"/>
      <c r="CD47" s="131"/>
      <c r="CE47" s="131"/>
      <c r="CF47" s="131"/>
      <c r="CG47" s="131"/>
      <c r="CH47" s="131"/>
      <c r="CI47" s="131"/>
      <c r="CJ47" s="131"/>
      <c r="CK47" s="131"/>
      <c r="CL47" s="131"/>
      <c r="CM47" s="131"/>
      <c r="CN47" s="131"/>
      <c r="CO47" s="131"/>
      <c r="CP47" s="131"/>
      <c r="CQ47" s="131"/>
      <c r="CR47" s="131"/>
      <c r="CS47" s="131"/>
      <c r="CT47" s="131"/>
      <c r="CU47" s="131"/>
      <c r="CV47" s="131"/>
      <c r="CW47" s="131"/>
      <c r="CX47" s="131"/>
      <c r="CY47" s="131"/>
      <c r="CZ47" s="131"/>
      <c r="DA47" s="131"/>
      <c r="DB47" s="131"/>
      <c r="DC47" s="131"/>
      <c r="DD47" s="131"/>
      <c r="DE47" s="131"/>
      <c r="DF47" s="131"/>
      <c r="DG47" s="131"/>
      <c r="DH47" s="131"/>
      <c r="DI47" s="131"/>
      <c r="DJ47" s="131"/>
      <c r="DK47" s="131"/>
      <c r="DL47" s="131"/>
      <c r="DM47" s="131"/>
      <c r="DN47" s="131"/>
      <c r="DO47" s="131"/>
      <c r="DP47" s="131"/>
      <c r="DQ47" s="131"/>
      <c r="DR47" s="131"/>
      <c r="DS47" s="131"/>
      <c r="DT47" s="131"/>
      <c r="DU47" s="131"/>
      <c r="DV47" s="131"/>
      <c r="DW47" s="131"/>
      <c r="DX47" s="131"/>
      <c r="DY47" s="131"/>
      <c r="DZ47" s="131"/>
      <c r="EA47" s="131"/>
      <c r="EB47" s="131"/>
      <c r="EC47" s="131"/>
      <c r="ED47" s="131"/>
      <c r="EE47" s="131"/>
      <c r="EF47" s="131"/>
      <c r="EG47" s="131"/>
      <c r="EH47" s="131"/>
      <c r="EI47" s="131"/>
      <c r="EJ47" s="131"/>
      <c r="EK47" s="131"/>
      <c r="EL47" s="131"/>
      <c r="EM47" s="131"/>
      <c r="EN47" s="131"/>
      <c r="EO47" s="131"/>
      <c r="EP47" s="131"/>
      <c r="EQ47" s="131"/>
      <c r="ER47" s="131"/>
      <c r="ES47" s="131"/>
      <c r="ET47" s="131"/>
      <c r="EU47" s="131"/>
      <c r="EV47" s="131"/>
      <c r="EW47" s="131"/>
      <c r="EX47" s="131"/>
      <c r="EY47" s="131"/>
      <c r="EZ47" s="131"/>
      <c r="FA47" s="131"/>
      <c r="FB47" s="131"/>
      <c r="FC47" s="131"/>
      <c r="FD47" s="131"/>
      <c r="FE47" s="131"/>
      <c r="FF47" s="131"/>
      <c r="FG47" s="131"/>
      <c r="FH47" s="131"/>
      <c r="FI47" s="131"/>
      <c r="FJ47" s="131"/>
      <c r="FK47" s="131"/>
      <c r="FL47" s="131"/>
      <c r="FM47" s="131"/>
      <c r="FN47" s="131"/>
      <c r="FO47" s="131"/>
      <c r="FP47" s="131"/>
      <c r="FQ47" s="131"/>
      <c r="FR47" s="131"/>
      <c r="FS47" s="131"/>
      <c r="FT47" s="131"/>
      <c r="FU47" s="131"/>
      <c r="FV47" s="131"/>
      <c r="FW47" s="131"/>
      <c r="FX47" s="131"/>
      <c r="FY47" s="131"/>
      <c r="FZ47" s="131"/>
      <c r="GA47" s="131"/>
      <c r="GB47" s="131"/>
      <c r="GC47" s="131"/>
      <c r="GD47" s="131"/>
      <c r="GE47" s="131"/>
      <c r="GF47" s="131" t="s">
        <v>25</v>
      </c>
      <c r="GG47" s="94" t="s">
        <v>26</v>
      </c>
      <c r="GH47" s="94"/>
      <c r="GI47" s="94" t="s">
        <v>41</v>
      </c>
      <c r="GJ47" s="94"/>
      <c r="GK47" s="94" t="s">
        <v>26</v>
      </c>
      <c r="GL47" s="94" t="s">
        <v>41</v>
      </c>
      <c r="GM47" s="94"/>
      <c r="GN47" s="94"/>
      <c r="GO47" s="94"/>
      <c r="GP47" s="94" t="s">
        <v>26</v>
      </c>
      <c r="GQ47" s="94"/>
      <c r="GR47" s="94" t="s">
        <v>41</v>
      </c>
      <c r="GS47" s="94"/>
      <c r="GT47" s="94" t="s">
        <v>26</v>
      </c>
      <c r="GU47" s="94"/>
      <c r="GV47" s="94" t="s">
        <v>41</v>
      </c>
      <c r="GW47" s="94"/>
      <c r="GX47" s="94" t="s">
        <v>26</v>
      </c>
      <c r="GY47" s="94"/>
      <c r="GZ47" s="94" t="s">
        <v>41</v>
      </c>
      <c r="HA47" s="94"/>
      <c r="HB47" s="94" t="s">
        <v>26</v>
      </c>
      <c r="HC47" s="94"/>
      <c r="HD47" s="94"/>
      <c r="HE47" s="94"/>
      <c r="HF47" s="94" t="s">
        <v>27</v>
      </c>
      <c r="HG47" s="94" t="s">
        <v>26</v>
      </c>
      <c r="HH47" s="94"/>
      <c r="HI47" s="94"/>
      <c r="HJ47" s="94"/>
      <c r="HK47" s="94"/>
      <c r="HL47" s="94" t="s">
        <v>85</v>
      </c>
      <c r="HM47" s="94"/>
      <c r="HN47" s="94"/>
      <c r="HO47" s="94"/>
      <c r="HP47" s="94"/>
      <c r="HQ47" s="94" t="s">
        <v>85</v>
      </c>
      <c r="HR47" s="94"/>
      <c r="HS47" s="94"/>
      <c r="HT47" s="94"/>
      <c r="HU47" s="94" t="s">
        <v>27</v>
      </c>
      <c r="HV47" s="94" t="s">
        <v>26</v>
      </c>
      <c r="HW47" s="94"/>
      <c r="HX47" s="94"/>
      <c r="HY47" s="94" t="s">
        <v>27</v>
      </c>
      <c r="HZ47" s="94" t="s">
        <v>26</v>
      </c>
      <c r="IA47" s="94"/>
      <c r="IB47" s="94"/>
      <c r="IC47" s="94" t="s">
        <v>27</v>
      </c>
      <c r="ID47" s="94" t="s">
        <v>26</v>
      </c>
      <c r="IE47" s="94"/>
      <c r="IF47" s="94"/>
      <c r="IG47" s="94"/>
      <c r="IH47" s="94" t="s">
        <v>27</v>
      </c>
      <c r="II47" s="94" t="s">
        <v>26</v>
      </c>
      <c r="IJ47" s="94"/>
      <c r="IK47" s="94"/>
      <c r="IL47" s="94"/>
      <c r="IM47" s="94" t="s">
        <v>27</v>
      </c>
      <c r="IN47" s="94" t="s">
        <v>26</v>
      </c>
      <c r="IO47" s="94"/>
      <c r="IP47" s="94" t="s">
        <v>27</v>
      </c>
      <c r="IQ47" s="94" t="s">
        <v>26</v>
      </c>
      <c r="IR47" s="94"/>
      <c r="IS47" s="94"/>
      <c r="IT47" s="94" t="s">
        <v>27</v>
      </c>
      <c r="IU47" s="94" t="s">
        <v>26</v>
      </c>
      <c r="IV47" s="94"/>
      <c r="IW47" s="94"/>
      <c r="IX47" s="94" t="s">
        <v>27</v>
      </c>
      <c r="IY47" s="94" t="s">
        <v>26</v>
      </c>
      <c r="IZ47" s="94"/>
      <c r="JA47" s="94"/>
      <c r="JB47" s="94" t="s">
        <v>27</v>
      </c>
      <c r="JC47" s="94" t="s">
        <v>26</v>
      </c>
      <c r="JD47" s="94"/>
      <c r="JE47" s="94"/>
      <c r="JF47" s="94" t="s">
        <v>27</v>
      </c>
      <c r="JG47" s="94" t="s">
        <v>26</v>
      </c>
      <c r="JH47" s="94"/>
      <c r="JI47" s="94"/>
      <c r="JJ47" s="94" t="s">
        <v>27</v>
      </c>
      <c r="JK47" s="94" t="s">
        <v>26</v>
      </c>
      <c r="JL47" s="94"/>
      <c r="JM47" s="94"/>
      <c r="JN47" s="94" t="s">
        <v>27</v>
      </c>
      <c r="JO47" s="94" t="s">
        <v>26</v>
      </c>
      <c r="JP47" s="94"/>
      <c r="JQ47" s="94"/>
      <c r="JR47" s="94" t="s">
        <v>27</v>
      </c>
      <c r="JS47" s="94" t="s">
        <v>26</v>
      </c>
      <c r="JT47" s="94"/>
      <c r="JU47" s="94"/>
      <c r="JV47" s="94" t="s">
        <v>27</v>
      </c>
      <c r="JW47" s="94" t="s">
        <v>26</v>
      </c>
      <c r="JX47" s="94"/>
      <c r="JY47" s="94"/>
      <c r="JZ47" s="94" t="s">
        <v>27</v>
      </c>
      <c r="KA47" s="94" t="s">
        <v>26</v>
      </c>
      <c r="KB47" s="94"/>
      <c r="KC47" s="94"/>
      <c r="KD47" s="94" t="s">
        <v>27</v>
      </c>
      <c r="KE47" s="94" t="s">
        <v>26</v>
      </c>
      <c r="KF47" s="94"/>
      <c r="KG47" s="94"/>
      <c r="KH47" s="94" t="s">
        <v>27</v>
      </c>
      <c r="KI47" s="94" t="s">
        <v>26</v>
      </c>
      <c r="KJ47" s="94"/>
      <c r="KK47" s="94"/>
      <c r="KL47" s="94" t="s">
        <v>27</v>
      </c>
      <c r="KM47" s="94" t="s">
        <v>26</v>
      </c>
      <c r="KN47" s="94"/>
      <c r="KO47" s="94"/>
      <c r="KP47" s="94" t="s">
        <v>27</v>
      </c>
      <c r="KQ47" s="94" t="s">
        <v>26</v>
      </c>
      <c r="KR47" s="94"/>
      <c r="KS47" s="94"/>
      <c r="KT47" s="94" t="s">
        <v>27</v>
      </c>
      <c r="KU47" s="94" t="s">
        <v>26</v>
      </c>
      <c r="KV47" s="94"/>
      <c r="KW47" s="94"/>
      <c r="KX47" s="94" t="s">
        <v>27</v>
      </c>
      <c r="KY47" s="94" t="s">
        <v>26</v>
      </c>
      <c r="KZ47" s="94"/>
      <c r="LA47" s="94"/>
      <c r="LB47" s="94" t="s">
        <v>27</v>
      </c>
      <c r="LC47" s="94" t="s">
        <v>26</v>
      </c>
      <c r="LD47" s="94"/>
      <c r="LE47" s="94"/>
      <c r="LF47" s="94" t="s">
        <v>27</v>
      </c>
      <c r="LG47" s="94" t="s">
        <v>26</v>
      </c>
      <c r="LH47" s="94"/>
      <c r="LI47" s="94"/>
      <c r="LJ47" s="94" t="s">
        <v>27</v>
      </c>
      <c r="LK47" s="94" t="s">
        <v>26</v>
      </c>
      <c r="LL47" s="94"/>
      <c r="LM47" s="94"/>
      <c r="LN47" s="94" t="s">
        <v>27</v>
      </c>
      <c r="LO47" s="94" t="s">
        <v>26</v>
      </c>
      <c r="LP47" s="94"/>
      <c r="LQ47" s="94"/>
      <c r="LR47" s="94" t="s">
        <v>27</v>
      </c>
      <c r="LS47" s="94" t="s">
        <v>26</v>
      </c>
      <c r="LT47" s="94"/>
      <c r="LU47" s="94"/>
      <c r="LV47" s="94" t="s">
        <v>27</v>
      </c>
      <c r="LW47" s="94" t="s">
        <v>26</v>
      </c>
      <c r="LX47" s="94"/>
      <c r="LY47" s="94"/>
      <c r="LZ47" s="94" t="s">
        <v>27</v>
      </c>
      <c r="MA47" s="94" t="s">
        <v>26</v>
      </c>
      <c r="MB47" s="94"/>
    </row>
    <row r="48" spans="1:340" s="50" customFormat="1" ht="31.5" hidden="1" customHeight="1" thickBot="1">
      <c r="A48" s="44">
        <v>1</v>
      </c>
      <c r="B48" s="107" t="s">
        <v>86</v>
      </c>
      <c r="C48" s="46" t="s">
        <v>87</v>
      </c>
      <c r="D48" s="105" t="s">
        <v>45</v>
      </c>
      <c r="E48" s="117" t="s">
        <v>46</v>
      </c>
      <c r="F48" s="106" t="s">
        <v>24</v>
      </c>
      <c r="G48" s="145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6"/>
      <c r="Z48" s="131"/>
      <c r="AA48" s="131"/>
      <c r="AB48" s="131"/>
      <c r="AC48" s="131"/>
      <c r="AD48" s="136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1"/>
      <c r="BQ48" s="131"/>
      <c r="BR48" s="131"/>
      <c r="BS48" s="131"/>
      <c r="BT48" s="131"/>
      <c r="BU48" s="131"/>
      <c r="BV48" s="131"/>
      <c r="BW48" s="131"/>
      <c r="BX48" s="131"/>
      <c r="BY48" s="131"/>
      <c r="BZ48" s="131"/>
      <c r="CA48" s="131"/>
      <c r="CB48" s="131"/>
      <c r="CC48" s="131"/>
      <c r="CD48" s="131"/>
      <c r="CE48" s="131"/>
      <c r="CF48" s="131"/>
      <c r="CG48" s="131"/>
      <c r="CH48" s="131"/>
      <c r="CI48" s="131"/>
      <c r="CJ48" s="131"/>
      <c r="CK48" s="131"/>
      <c r="CL48" s="131"/>
      <c r="CM48" s="131"/>
      <c r="CN48" s="131"/>
      <c r="CO48" s="131"/>
      <c r="CP48" s="131"/>
      <c r="CQ48" s="131"/>
      <c r="CR48" s="131"/>
      <c r="CS48" s="131"/>
      <c r="CT48" s="131"/>
      <c r="CU48" s="131"/>
      <c r="CV48" s="131"/>
      <c r="CW48" s="131"/>
      <c r="CX48" s="131"/>
      <c r="CY48" s="131"/>
      <c r="CZ48" s="131"/>
      <c r="DA48" s="131"/>
      <c r="DB48" s="131"/>
      <c r="DC48" s="131"/>
      <c r="DD48" s="131"/>
      <c r="DE48" s="131"/>
      <c r="DF48" s="131"/>
      <c r="DG48" s="131"/>
      <c r="DH48" s="131"/>
      <c r="DI48" s="131"/>
      <c r="DJ48" s="131"/>
      <c r="DK48" s="131"/>
      <c r="DL48" s="131"/>
      <c r="DM48" s="131"/>
      <c r="DN48" s="131"/>
      <c r="DO48" s="131"/>
      <c r="DP48" s="131"/>
      <c r="DQ48" s="131"/>
      <c r="DR48" s="131"/>
      <c r="DS48" s="131"/>
      <c r="DT48" s="131"/>
      <c r="DU48" s="131"/>
      <c r="DV48" s="131"/>
      <c r="DW48" s="131"/>
      <c r="DX48" s="131"/>
      <c r="DY48" s="131"/>
      <c r="DZ48" s="131"/>
      <c r="EA48" s="131"/>
      <c r="EB48" s="131"/>
      <c r="EC48" s="131"/>
      <c r="ED48" s="131"/>
      <c r="EE48" s="131"/>
      <c r="EF48" s="131"/>
      <c r="EG48" s="131"/>
      <c r="EH48" s="131"/>
      <c r="EI48" s="131"/>
      <c r="EJ48" s="131"/>
      <c r="EK48" s="131"/>
      <c r="EL48" s="131"/>
      <c r="EM48" s="131"/>
      <c r="EN48" s="131"/>
      <c r="EO48" s="131"/>
      <c r="EP48" s="94" t="s">
        <v>25</v>
      </c>
      <c r="EQ48" s="94"/>
      <c r="ER48" s="94"/>
      <c r="ES48" s="94"/>
      <c r="ET48" s="94"/>
      <c r="EU48" s="94"/>
      <c r="EV48" s="94" t="s">
        <v>26</v>
      </c>
      <c r="EW48" s="94"/>
      <c r="EX48" s="94"/>
      <c r="EY48" s="94"/>
      <c r="EZ48" s="94"/>
      <c r="FA48" s="94" t="s">
        <v>41</v>
      </c>
      <c r="FB48" s="94"/>
      <c r="FC48" s="94"/>
      <c r="FD48" s="94" t="s">
        <v>57</v>
      </c>
      <c r="FE48" s="94"/>
      <c r="FF48" s="94" t="s">
        <v>26</v>
      </c>
      <c r="FG48" s="94"/>
      <c r="FH48" s="94"/>
      <c r="FI48" s="94"/>
      <c r="FJ48" s="94" t="s">
        <v>41</v>
      </c>
      <c r="FK48" s="94"/>
      <c r="FL48" s="94"/>
      <c r="FM48" s="94" t="s">
        <v>57</v>
      </c>
      <c r="FN48" s="94"/>
      <c r="FO48" s="94"/>
      <c r="FP48" s="94" t="s">
        <v>26</v>
      </c>
      <c r="FQ48" s="94"/>
      <c r="FR48" s="94"/>
      <c r="FS48" s="94"/>
      <c r="FU48" s="94" t="s">
        <v>41</v>
      </c>
      <c r="FV48" s="94"/>
      <c r="FW48" s="94"/>
      <c r="FY48" s="94" t="s">
        <v>57</v>
      </c>
      <c r="FZ48" s="94"/>
      <c r="GA48" s="94" t="s">
        <v>26</v>
      </c>
      <c r="GB48" s="94"/>
      <c r="GC48" s="94"/>
      <c r="GD48" s="94"/>
      <c r="GE48" s="94" t="s">
        <v>27</v>
      </c>
      <c r="GF48" s="94" t="s">
        <v>26</v>
      </c>
      <c r="GG48" s="94"/>
      <c r="GH48" s="94"/>
      <c r="GI48" s="94"/>
      <c r="GJ48" s="94" t="s">
        <v>27</v>
      </c>
      <c r="GK48" s="94"/>
      <c r="GL48" s="94"/>
      <c r="GM48" s="94" t="s">
        <v>26</v>
      </c>
      <c r="GN48" s="94"/>
      <c r="GO48" s="94"/>
      <c r="GP48" s="94"/>
      <c r="GQ48" s="94" t="s">
        <v>27</v>
      </c>
      <c r="GR48" s="94"/>
      <c r="GS48" s="94" t="s">
        <v>26</v>
      </c>
      <c r="GT48" s="94"/>
      <c r="GU48" s="94"/>
      <c r="GV48" s="94"/>
      <c r="GW48" s="94"/>
      <c r="GX48" s="94" t="s">
        <v>27</v>
      </c>
      <c r="GY48" s="94" t="s">
        <v>26</v>
      </c>
      <c r="GZ48" s="94"/>
      <c r="HA48" s="94"/>
      <c r="HB48" s="94"/>
      <c r="HC48" s="94" t="s">
        <v>27</v>
      </c>
      <c r="HD48" s="94" t="s">
        <v>26</v>
      </c>
      <c r="HE48" s="94"/>
      <c r="HF48" s="94" t="s">
        <v>41</v>
      </c>
      <c r="HG48" s="94"/>
      <c r="HH48" s="94"/>
      <c r="HI48" s="94" t="s">
        <v>57</v>
      </c>
      <c r="HJ48" s="94"/>
      <c r="HK48" s="94" t="s">
        <v>26</v>
      </c>
      <c r="HL48" s="94"/>
      <c r="HM48" s="94" t="s">
        <v>41</v>
      </c>
      <c r="HN48" s="94"/>
      <c r="HO48" s="94"/>
      <c r="HP48" s="94" t="s">
        <v>57</v>
      </c>
      <c r="HQ48" s="94"/>
      <c r="HR48" s="94" t="s">
        <v>26</v>
      </c>
      <c r="HS48" s="94"/>
      <c r="HT48" s="94"/>
      <c r="HU48" s="94" t="s">
        <v>41</v>
      </c>
      <c r="HV48" s="94"/>
      <c r="HW48" s="94" t="s">
        <v>57</v>
      </c>
      <c r="HX48" s="94"/>
      <c r="HY48" s="94" t="s">
        <v>26</v>
      </c>
      <c r="HZ48" s="94"/>
      <c r="IA48" s="94"/>
      <c r="IB48" s="94" t="s">
        <v>41</v>
      </c>
      <c r="IC48" s="94"/>
      <c r="ID48" s="94" t="s">
        <v>57</v>
      </c>
      <c r="IE48" s="94"/>
      <c r="IF48" s="94"/>
      <c r="IG48" s="94" t="s">
        <v>26</v>
      </c>
      <c r="IH48" s="94"/>
      <c r="II48" s="94" t="s">
        <v>41</v>
      </c>
      <c r="IJ48" s="94"/>
      <c r="IK48" s="94"/>
      <c r="IL48" s="94" t="s">
        <v>57</v>
      </c>
      <c r="IM48" s="94" t="s">
        <v>26</v>
      </c>
      <c r="IN48" s="94"/>
      <c r="IO48" s="94"/>
      <c r="IP48" s="94" t="s">
        <v>41</v>
      </c>
      <c r="IQ48" s="94"/>
      <c r="IR48" s="94"/>
      <c r="IS48" s="94" t="s">
        <v>57</v>
      </c>
      <c r="IT48" s="94"/>
      <c r="IU48" s="94" t="s">
        <v>26</v>
      </c>
      <c r="IV48" s="94"/>
      <c r="IW48" s="94"/>
      <c r="IX48" s="94" t="s">
        <v>41</v>
      </c>
      <c r="IY48" s="94"/>
      <c r="IZ48" s="94" t="s">
        <v>57</v>
      </c>
      <c r="JA48" s="94"/>
      <c r="JB48" s="94" t="s">
        <v>26</v>
      </c>
      <c r="JC48" s="94"/>
      <c r="JD48" s="94"/>
      <c r="JE48" s="94" t="s">
        <v>41</v>
      </c>
      <c r="JF48" s="94"/>
      <c r="JG48" s="94" t="s">
        <v>57</v>
      </c>
      <c r="JH48" s="94"/>
      <c r="JI48" s="94" t="s">
        <v>26</v>
      </c>
      <c r="JJ48" s="94"/>
      <c r="JK48" s="94"/>
      <c r="JL48" s="94" t="s">
        <v>41</v>
      </c>
      <c r="JM48" s="94"/>
      <c r="JN48" s="94" t="s">
        <v>57</v>
      </c>
      <c r="JO48" s="94"/>
      <c r="JP48" s="94" t="s">
        <v>26</v>
      </c>
      <c r="JQ48" s="94"/>
      <c r="JR48" s="94"/>
      <c r="JS48" s="94" t="s">
        <v>41</v>
      </c>
      <c r="JT48" s="94"/>
      <c r="JU48" s="94" t="s">
        <v>57</v>
      </c>
      <c r="JV48" s="94"/>
      <c r="JW48" s="94" t="s">
        <v>26</v>
      </c>
      <c r="JX48" s="94"/>
      <c r="JY48" s="94"/>
      <c r="JZ48" s="94" t="s">
        <v>41</v>
      </c>
      <c r="KA48" s="94"/>
      <c r="KB48" s="94" t="s">
        <v>57</v>
      </c>
      <c r="KC48" s="94"/>
      <c r="KD48" s="94" t="s">
        <v>26</v>
      </c>
      <c r="KE48" s="94"/>
      <c r="KF48" s="94"/>
      <c r="KG48" s="94" t="s">
        <v>41</v>
      </c>
      <c r="KH48" s="94"/>
      <c r="KI48" s="94" t="s">
        <v>57</v>
      </c>
      <c r="KJ48" s="94"/>
      <c r="KK48" s="94" t="s">
        <v>26</v>
      </c>
      <c r="KL48" s="94"/>
      <c r="KM48" s="94"/>
      <c r="KN48" s="94" t="s">
        <v>41</v>
      </c>
      <c r="KO48" s="94"/>
      <c r="KP48" s="94" t="s">
        <v>57</v>
      </c>
      <c r="KQ48" s="94"/>
      <c r="KR48" s="94" t="s">
        <v>26</v>
      </c>
      <c r="KS48" s="94"/>
      <c r="KT48" s="94"/>
      <c r="KU48" s="94" t="s">
        <v>41</v>
      </c>
      <c r="KV48" s="94"/>
      <c r="KW48" s="94" t="s">
        <v>57</v>
      </c>
      <c r="KX48" s="94"/>
      <c r="KY48" s="94" t="s">
        <v>26</v>
      </c>
      <c r="KZ48" s="94"/>
      <c r="LA48" s="94"/>
      <c r="LB48" s="94" t="s">
        <v>41</v>
      </c>
      <c r="LC48" s="94"/>
      <c r="LD48" s="94" t="s">
        <v>57</v>
      </c>
      <c r="LE48" s="94"/>
      <c r="LF48" s="94" t="s">
        <v>26</v>
      </c>
      <c r="LG48" s="94"/>
      <c r="LH48" s="94"/>
      <c r="LI48" s="94" t="s">
        <v>41</v>
      </c>
      <c r="LJ48" s="94"/>
      <c r="LK48" s="94" t="s">
        <v>57</v>
      </c>
      <c r="LL48" s="94"/>
      <c r="LM48" s="94" t="s">
        <v>26</v>
      </c>
      <c r="LN48" s="94"/>
      <c r="LO48" s="94"/>
      <c r="LP48" s="94" t="s">
        <v>41</v>
      </c>
      <c r="LQ48" s="94"/>
      <c r="LR48" s="94" t="s">
        <v>57</v>
      </c>
      <c r="LS48" s="94"/>
      <c r="LT48" s="94" t="s">
        <v>26</v>
      </c>
      <c r="LU48" s="94"/>
      <c r="LV48" s="94"/>
      <c r="LW48" s="94" t="s">
        <v>41</v>
      </c>
      <c r="LX48" s="94"/>
      <c r="LY48" s="94" t="s">
        <v>57</v>
      </c>
      <c r="LZ48" s="94"/>
      <c r="MA48" s="94" t="s">
        <v>26</v>
      </c>
      <c r="MB48" s="94"/>
    </row>
    <row r="49" spans="1:340" s="50" customFormat="1" ht="31.5" hidden="1" customHeight="1" thickBot="1">
      <c r="A49" s="44">
        <v>1</v>
      </c>
      <c r="B49" s="107" t="s">
        <v>86</v>
      </c>
      <c r="C49" s="46" t="s">
        <v>88</v>
      </c>
      <c r="D49" s="105" t="s">
        <v>45</v>
      </c>
      <c r="E49" s="117" t="s">
        <v>46</v>
      </c>
      <c r="F49" s="106" t="s">
        <v>24</v>
      </c>
      <c r="G49" s="145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6"/>
      <c r="Z49" s="131"/>
      <c r="AA49" s="131"/>
      <c r="AB49" s="131"/>
      <c r="AC49" s="131"/>
      <c r="AD49" s="136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1"/>
      <c r="BV49" s="131"/>
      <c r="BW49" s="131"/>
      <c r="BX49" s="131"/>
      <c r="BY49" s="131"/>
      <c r="BZ49" s="131"/>
      <c r="CA49" s="131"/>
      <c r="CB49" s="131"/>
      <c r="CC49" s="131"/>
      <c r="CD49" s="131"/>
      <c r="CE49" s="131"/>
      <c r="CF49" s="131"/>
      <c r="CG49" s="131"/>
      <c r="CH49" s="131"/>
      <c r="CI49" s="131"/>
      <c r="CJ49" s="131"/>
      <c r="CK49" s="131"/>
      <c r="CL49" s="131"/>
      <c r="CM49" s="131"/>
      <c r="CN49" s="131"/>
      <c r="CO49" s="131"/>
      <c r="CP49" s="131"/>
      <c r="CQ49" s="131"/>
      <c r="CR49" s="131"/>
      <c r="CS49" s="131"/>
      <c r="CT49" s="131"/>
      <c r="CU49" s="131"/>
      <c r="CV49" s="131"/>
      <c r="CW49" s="131"/>
      <c r="CX49" s="131"/>
      <c r="CY49" s="131"/>
      <c r="CZ49" s="131"/>
      <c r="DA49" s="131"/>
      <c r="DB49" s="131"/>
      <c r="DC49" s="131"/>
      <c r="DD49" s="131"/>
      <c r="DE49" s="131"/>
      <c r="DF49" s="131"/>
      <c r="DG49" s="131"/>
      <c r="DH49" s="131"/>
      <c r="DI49" s="131"/>
      <c r="DJ49" s="131"/>
      <c r="DK49" s="131"/>
      <c r="DL49" s="131"/>
      <c r="DM49" s="131"/>
      <c r="DN49" s="131"/>
      <c r="DO49" s="131"/>
      <c r="DP49" s="131"/>
      <c r="DQ49" s="131"/>
      <c r="DR49" s="131"/>
      <c r="DS49" s="131"/>
      <c r="DT49" s="131"/>
      <c r="DU49" s="131"/>
      <c r="DV49" s="131"/>
      <c r="DW49" s="131"/>
      <c r="DX49" s="131"/>
      <c r="DY49" s="131"/>
      <c r="DZ49" s="131"/>
      <c r="EA49" s="131"/>
      <c r="EB49" s="131"/>
      <c r="EC49" s="131"/>
      <c r="ED49" s="131"/>
      <c r="EE49" s="131"/>
      <c r="EF49" s="131"/>
      <c r="EG49" s="131"/>
      <c r="EH49" s="131"/>
      <c r="EI49" s="131"/>
      <c r="EJ49" s="131"/>
      <c r="EK49" s="131"/>
      <c r="EL49" s="131"/>
      <c r="EM49" s="131"/>
      <c r="EN49" s="131"/>
      <c r="EO49" s="131"/>
      <c r="EP49" s="94" t="s">
        <v>25</v>
      </c>
      <c r="EQ49" s="94"/>
      <c r="ER49" s="94"/>
      <c r="ES49" s="94"/>
      <c r="ET49" s="94"/>
      <c r="EU49" s="94"/>
      <c r="EV49" s="94"/>
      <c r="EW49" s="94"/>
      <c r="EX49" s="94"/>
      <c r="EY49" s="94" t="s">
        <v>26</v>
      </c>
      <c r="EZ49" s="94"/>
      <c r="FA49" s="94"/>
      <c r="FB49" s="94"/>
      <c r="FC49" s="94" t="s">
        <v>27</v>
      </c>
      <c r="FD49" s="94"/>
      <c r="FE49" s="94" t="s">
        <v>26</v>
      </c>
      <c r="FF49" s="94"/>
      <c r="FG49" s="94"/>
      <c r="FH49" s="94" t="s">
        <v>27</v>
      </c>
      <c r="FI49" s="94"/>
      <c r="FJ49" s="94" t="s">
        <v>26</v>
      </c>
      <c r="FK49" s="94"/>
      <c r="FL49" s="94"/>
      <c r="FN49" s="94" t="s">
        <v>27</v>
      </c>
      <c r="FO49" s="94" t="s">
        <v>26</v>
      </c>
      <c r="FP49" s="94"/>
      <c r="FQ49" s="94"/>
      <c r="FS49" s="94" t="s">
        <v>27</v>
      </c>
      <c r="FT49" s="94"/>
      <c r="FV49" s="94" t="s">
        <v>26</v>
      </c>
      <c r="FW49" s="94"/>
      <c r="FX49" s="94"/>
      <c r="FZ49" s="94" t="s">
        <v>27</v>
      </c>
      <c r="GA49" s="94" t="s">
        <v>26</v>
      </c>
      <c r="GB49" s="94"/>
      <c r="GC49" s="94"/>
      <c r="GE49" s="94" t="s">
        <v>27</v>
      </c>
      <c r="GF49" s="94"/>
      <c r="GG49" s="94" t="s">
        <v>26</v>
      </c>
      <c r="GH49" s="94"/>
      <c r="GI49" s="94"/>
      <c r="GJ49" s="94" t="s">
        <v>27</v>
      </c>
      <c r="GK49" s="94"/>
      <c r="GL49" s="94"/>
      <c r="GM49" s="94" t="s">
        <v>26</v>
      </c>
      <c r="GN49" s="94"/>
      <c r="GO49" s="94"/>
      <c r="GQ49" s="94" t="s">
        <v>27</v>
      </c>
      <c r="GR49" s="94" t="s">
        <v>26</v>
      </c>
      <c r="GS49" s="94"/>
      <c r="GT49" s="94"/>
      <c r="GU49" s="94"/>
      <c r="GV49" s="94"/>
      <c r="GW49" s="94" t="s">
        <v>27</v>
      </c>
      <c r="GX49" s="94" t="s">
        <v>26</v>
      </c>
      <c r="GY49" s="94"/>
      <c r="GZ49" s="94"/>
      <c r="HA49" s="94"/>
      <c r="HB49" s="94"/>
      <c r="HC49" s="94"/>
      <c r="HD49" s="94" t="s">
        <v>27</v>
      </c>
      <c r="HE49" s="94" t="s">
        <v>26</v>
      </c>
      <c r="HF49" s="94"/>
      <c r="HG49" s="94"/>
      <c r="HH49" s="94" t="s">
        <v>41</v>
      </c>
      <c r="HI49" s="94"/>
      <c r="HJ49" s="94" t="s">
        <v>27</v>
      </c>
      <c r="HK49" s="94" t="s">
        <v>26</v>
      </c>
      <c r="HL49" s="94"/>
      <c r="HM49" s="94" t="s">
        <v>41</v>
      </c>
      <c r="HN49" s="94"/>
      <c r="HP49" s="94" t="s">
        <v>57</v>
      </c>
      <c r="HQ49" s="94"/>
      <c r="HR49" s="94" t="s">
        <v>26</v>
      </c>
      <c r="HS49" s="94"/>
      <c r="HT49" s="94"/>
      <c r="HU49" s="94"/>
      <c r="HV49" s="94" t="s">
        <v>27</v>
      </c>
      <c r="HW49" s="94"/>
      <c r="HX49" s="94"/>
      <c r="HY49" s="94"/>
      <c r="HZ49" s="94"/>
      <c r="IA49" s="94"/>
      <c r="IB49" s="94"/>
      <c r="IC49" s="94"/>
      <c r="ID49" s="94"/>
      <c r="IE49" s="94"/>
      <c r="IF49" s="94"/>
      <c r="IG49" s="94"/>
      <c r="II49" s="94" t="s">
        <v>26</v>
      </c>
      <c r="IJ49" s="94"/>
      <c r="IK49" s="94"/>
      <c r="IL49" s="94" t="s">
        <v>27</v>
      </c>
      <c r="IM49" s="94"/>
      <c r="IN49" s="94" t="s">
        <v>26</v>
      </c>
      <c r="IO49" s="94"/>
      <c r="IP49" s="94" t="s">
        <v>41</v>
      </c>
      <c r="IQ49" s="94"/>
      <c r="IR49" s="94" t="s">
        <v>27</v>
      </c>
      <c r="IT49" s="94" t="s">
        <v>26</v>
      </c>
      <c r="IU49" s="94"/>
      <c r="IV49" s="94"/>
      <c r="IX49" s="94" t="s">
        <v>27</v>
      </c>
      <c r="IY49" s="94" t="s">
        <v>26</v>
      </c>
      <c r="IZ49" s="94"/>
      <c r="JA49" s="94"/>
      <c r="JC49" s="94" t="s">
        <v>27</v>
      </c>
      <c r="JD49" s="94" t="s">
        <v>26</v>
      </c>
      <c r="JE49" s="94"/>
      <c r="JF49" s="94"/>
      <c r="JH49" s="94" t="s">
        <v>27</v>
      </c>
      <c r="JI49" s="94" t="s">
        <v>26</v>
      </c>
      <c r="JJ49" s="94"/>
      <c r="JK49" s="94"/>
      <c r="JM49" s="94" t="s">
        <v>27</v>
      </c>
      <c r="JN49" s="94" t="s">
        <v>26</v>
      </c>
      <c r="JO49" s="94"/>
      <c r="JP49" s="94"/>
      <c r="JR49" s="94" t="s">
        <v>27</v>
      </c>
      <c r="JS49" s="94" t="s">
        <v>26</v>
      </c>
      <c r="JT49" s="94"/>
      <c r="JU49" s="94"/>
      <c r="JW49" s="94" t="s">
        <v>27</v>
      </c>
      <c r="JX49" s="94" t="s">
        <v>26</v>
      </c>
      <c r="JY49" s="94"/>
      <c r="JZ49" s="94"/>
      <c r="KB49" s="94" t="s">
        <v>27</v>
      </c>
      <c r="KC49" s="94" t="s">
        <v>26</v>
      </c>
      <c r="KD49" s="94"/>
      <c r="KE49" s="94"/>
      <c r="KG49" s="94" t="s">
        <v>27</v>
      </c>
      <c r="KH49" s="94" t="s">
        <v>26</v>
      </c>
      <c r="KI49" s="94"/>
      <c r="KJ49" s="94"/>
      <c r="KL49" s="94" t="s">
        <v>27</v>
      </c>
      <c r="KM49" s="94" t="s">
        <v>26</v>
      </c>
      <c r="KN49" s="94"/>
      <c r="KO49" s="94"/>
      <c r="KQ49" s="94" t="s">
        <v>27</v>
      </c>
      <c r="KR49" s="94" t="s">
        <v>26</v>
      </c>
      <c r="KS49" s="94"/>
      <c r="KT49" s="94"/>
      <c r="KV49" s="94" t="s">
        <v>27</v>
      </c>
      <c r="KW49" s="94" t="s">
        <v>26</v>
      </c>
      <c r="KX49" s="94"/>
      <c r="KY49" s="94"/>
      <c r="LA49" s="94" t="s">
        <v>27</v>
      </c>
      <c r="LB49" s="94" t="s">
        <v>26</v>
      </c>
      <c r="LC49" s="94"/>
      <c r="LD49" s="94"/>
      <c r="LF49" s="94" t="s">
        <v>27</v>
      </c>
      <c r="LG49" s="94" t="s">
        <v>26</v>
      </c>
      <c r="LH49" s="94"/>
      <c r="LI49" s="94"/>
      <c r="LK49" s="94" t="s">
        <v>27</v>
      </c>
      <c r="LL49" s="94" t="s">
        <v>26</v>
      </c>
      <c r="LM49" s="94"/>
      <c r="LN49" s="94"/>
      <c r="LP49" s="94" t="s">
        <v>27</v>
      </c>
      <c r="LQ49" s="94" t="s">
        <v>26</v>
      </c>
      <c r="LR49" s="94"/>
      <c r="LS49" s="94"/>
      <c r="LU49" s="94" t="s">
        <v>27</v>
      </c>
      <c r="LV49" s="94" t="s">
        <v>26</v>
      </c>
      <c r="LW49" s="94"/>
      <c r="LX49" s="94"/>
      <c r="LZ49" s="94" t="s">
        <v>27</v>
      </c>
      <c r="MA49" s="94" t="s">
        <v>26</v>
      </c>
      <c r="MB49" s="94"/>
    </row>
    <row r="50" spans="1:340" s="50" customFormat="1" ht="31.5" hidden="1" customHeight="1">
      <c r="A50" s="44">
        <v>1</v>
      </c>
      <c r="B50" s="107" t="s">
        <v>89</v>
      </c>
      <c r="C50" s="46" t="s">
        <v>90</v>
      </c>
      <c r="D50" s="105" t="s">
        <v>35</v>
      </c>
      <c r="E50" s="117" t="s">
        <v>36</v>
      </c>
      <c r="F50" s="106" t="s">
        <v>24</v>
      </c>
      <c r="G50" s="145"/>
      <c r="H50" s="131"/>
      <c r="I50" s="131"/>
      <c r="J50" s="131"/>
      <c r="K50" s="131"/>
      <c r="L50" s="131"/>
      <c r="M50" s="131"/>
      <c r="N50" s="131"/>
      <c r="O50" s="131" t="s">
        <v>41</v>
      </c>
      <c r="P50" s="131"/>
      <c r="Q50" s="131"/>
      <c r="R50" s="131"/>
      <c r="S50" s="131"/>
      <c r="T50" s="131"/>
      <c r="U50" s="131"/>
      <c r="V50" s="131"/>
      <c r="W50" s="131"/>
      <c r="X50" s="131"/>
      <c r="Y50" s="136"/>
      <c r="Z50" s="131"/>
      <c r="AA50" s="131"/>
      <c r="AB50" s="131"/>
      <c r="AC50" s="131" t="s">
        <v>41</v>
      </c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 t="s">
        <v>41</v>
      </c>
      <c r="AP50" s="131"/>
      <c r="AQ50" s="131"/>
      <c r="AR50" s="131"/>
      <c r="AS50" s="131"/>
      <c r="AT50" s="131"/>
      <c r="AU50" s="131"/>
      <c r="AV50" s="131"/>
      <c r="AW50" s="131" t="s">
        <v>41</v>
      </c>
      <c r="AX50" s="131"/>
      <c r="AY50" s="131"/>
      <c r="AZ50" s="131"/>
      <c r="BA50" s="136"/>
      <c r="BB50" s="131"/>
      <c r="BC50" s="131"/>
      <c r="BD50" s="131"/>
      <c r="BE50" s="131"/>
      <c r="BF50" s="131"/>
      <c r="BG50" s="131" t="s">
        <v>41</v>
      </c>
      <c r="BH50" s="131"/>
      <c r="BI50" s="131"/>
      <c r="BJ50" s="131"/>
      <c r="BK50" s="131"/>
      <c r="BL50" s="131"/>
      <c r="BM50" s="131"/>
      <c r="BN50" s="131"/>
      <c r="BO50" s="136"/>
      <c r="BP50" s="131"/>
      <c r="BQ50" s="131" t="s">
        <v>41</v>
      </c>
      <c r="BR50" s="131"/>
      <c r="BS50" s="131"/>
      <c r="BT50" s="131"/>
      <c r="BU50" s="131"/>
      <c r="BV50" s="131"/>
      <c r="BW50" s="131"/>
      <c r="BX50" s="131"/>
      <c r="BY50" s="131"/>
      <c r="BZ50" s="131" t="s">
        <v>41</v>
      </c>
      <c r="CA50" s="136"/>
      <c r="CB50" s="131"/>
      <c r="CC50" s="131"/>
      <c r="CD50" s="131"/>
      <c r="CE50" s="131"/>
      <c r="CF50" s="131"/>
      <c r="CG50" s="131" t="s">
        <v>41</v>
      </c>
      <c r="CH50" s="131"/>
      <c r="CI50" s="131"/>
      <c r="CJ50" s="131"/>
      <c r="CK50" s="131"/>
      <c r="CL50" s="131"/>
      <c r="CM50" s="131"/>
      <c r="CN50" s="131"/>
      <c r="CO50" s="131" t="s">
        <v>26</v>
      </c>
      <c r="CP50" s="131"/>
      <c r="CQ50" s="131" t="s">
        <v>41</v>
      </c>
      <c r="CR50" s="131" t="s">
        <v>37</v>
      </c>
      <c r="CS50" s="131"/>
      <c r="CT50" s="131"/>
      <c r="CU50" s="131"/>
      <c r="CV50" s="131"/>
      <c r="CW50" s="131"/>
      <c r="CX50" s="131"/>
      <c r="CY50" s="131"/>
      <c r="CZ50" s="131"/>
      <c r="DA50" s="131"/>
      <c r="DB50" s="131"/>
      <c r="DC50" s="131"/>
      <c r="DD50" s="131"/>
      <c r="DE50" s="131"/>
      <c r="DF50" s="131"/>
      <c r="DG50" s="131"/>
      <c r="DH50" s="131"/>
      <c r="DI50" s="131"/>
      <c r="DJ50" s="131"/>
      <c r="DK50" s="131"/>
      <c r="DL50" s="131"/>
      <c r="DM50" s="131"/>
      <c r="DN50" s="131"/>
      <c r="DO50" s="131"/>
      <c r="DP50" s="131"/>
      <c r="DQ50" s="131"/>
      <c r="DR50" s="131"/>
      <c r="DS50" s="131"/>
      <c r="DT50" s="131"/>
      <c r="DU50" s="131"/>
      <c r="DV50" s="131"/>
      <c r="DW50" s="131"/>
      <c r="DX50" s="131"/>
      <c r="DY50" s="131"/>
      <c r="DZ50" s="131"/>
      <c r="EA50" s="131"/>
      <c r="EB50" s="131"/>
      <c r="EC50" s="131"/>
      <c r="ED50" s="131"/>
      <c r="EE50" s="131"/>
      <c r="EF50" s="131"/>
      <c r="EG50" s="131"/>
      <c r="EH50" s="131"/>
      <c r="EI50" s="131"/>
      <c r="EJ50" s="131"/>
      <c r="EK50" s="131"/>
      <c r="EL50" s="131"/>
      <c r="EM50" s="131"/>
      <c r="EN50" s="131"/>
      <c r="EO50" s="131"/>
      <c r="EP50" s="131"/>
      <c r="EQ50" s="131"/>
      <c r="ER50" s="131"/>
      <c r="ES50" s="131"/>
      <c r="ET50" s="131"/>
      <c r="EU50" s="131"/>
      <c r="EV50" s="131"/>
      <c r="EW50" s="131"/>
      <c r="EX50" s="131"/>
      <c r="EY50" s="131"/>
      <c r="EZ50" s="131"/>
      <c r="FA50" s="131"/>
      <c r="FB50" s="131"/>
      <c r="FC50" s="131"/>
      <c r="FD50" s="131"/>
      <c r="FE50" s="131"/>
      <c r="FF50" s="131"/>
      <c r="FG50" s="131"/>
      <c r="FH50" s="131"/>
      <c r="FI50" s="131"/>
      <c r="FJ50" s="131"/>
      <c r="FK50" s="131"/>
      <c r="FL50" s="131"/>
      <c r="FM50" s="131"/>
      <c r="FN50" s="131"/>
      <c r="FO50" s="131"/>
      <c r="FP50" s="131"/>
      <c r="FQ50" s="131"/>
      <c r="FR50" s="131"/>
      <c r="FS50" s="131"/>
      <c r="FT50" s="131"/>
      <c r="FU50" s="131"/>
      <c r="FV50" s="131"/>
      <c r="FW50" s="131"/>
      <c r="FX50" s="131"/>
      <c r="FY50" s="131"/>
      <c r="FZ50" s="131"/>
      <c r="GA50" s="131"/>
      <c r="GB50" s="131"/>
      <c r="GC50" s="131"/>
      <c r="GD50" s="131"/>
      <c r="GE50" s="131"/>
      <c r="GF50" s="131"/>
      <c r="GG50" s="131"/>
      <c r="GH50" s="131"/>
      <c r="GI50" s="131"/>
      <c r="GJ50" s="131"/>
      <c r="GK50" s="131"/>
      <c r="GL50" s="131"/>
      <c r="GM50" s="131"/>
      <c r="GN50" s="131"/>
      <c r="GO50" s="131"/>
      <c r="GP50" s="131"/>
      <c r="GQ50" s="131"/>
      <c r="GR50" s="131"/>
      <c r="GS50" s="131"/>
      <c r="GT50" s="131"/>
      <c r="GU50" s="131"/>
      <c r="GV50" s="131"/>
      <c r="GW50" s="94" t="s">
        <v>25</v>
      </c>
      <c r="GX50" s="94"/>
      <c r="GY50" s="94" t="s">
        <v>41</v>
      </c>
      <c r="GZ50" s="94"/>
      <c r="HA50" s="94"/>
      <c r="HB50" s="94"/>
      <c r="HC50" s="94"/>
      <c r="HD50" s="94"/>
      <c r="HE50" s="94"/>
      <c r="HF50" s="94"/>
      <c r="HG50" s="94"/>
      <c r="HH50" s="94"/>
      <c r="HI50" s="94"/>
      <c r="HJ50" s="94"/>
      <c r="HK50" s="94" t="s">
        <v>41</v>
      </c>
      <c r="HL50" s="94"/>
      <c r="HM50" s="94"/>
      <c r="HN50" s="94"/>
      <c r="HO50" s="94"/>
      <c r="HP50" s="94"/>
      <c r="HQ50" s="94"/>
      <c r="HR50" s="94"/>
      <c r="HS50" s="94"/>
      <c r="HT50" s="94"/>
      <c r="HU50" s="94" t="s">
        <v>41</v>
      </c>
      <c r="HV50" s="94"/>
      <c r="HW50" s="94"/>
      <c r="HX50" s="94"/>
      <c r="HY50" s="94"/>
      <c r="HZ50" s="94"/>
      <c r="IA50" s="94"/>
      <c r="IB50" s="94"/>
      <c r="IC50" s="94"/>
      <c r="ID50" s="94"/>
      <c r="IE50" s="94"/>
      <c r="IF50" s="94"/>
      <c r="IG50" s="94" t="s">
        <v>41</v>
      </c>
      <c r="IH50" s="94"/>
      <c r="II50" s="94"/>
      <c r="IJ50" s="94"/>
      <c r="IK50" s="94"/>
      <c r="IL50" s="94"/>
      <c r="IM50" s="94"/>
      <c r="IN50" s="94"/>
      <c r="IO50" s="94"/>
      <c r="IP50" s="94"/>
      <c r="IQ50" s="94" t="s">
        <v>41</v>
      </c>
      <c r="IR50" s="94"/>
      <c r="IS50" s="94"/>
      <c r="IT50" s="94"/>
      <c r="IU50" s="94"/>
      <c r="IV50" s="94"/>
      <c r="IW50" s="94"/>
      <c r="IX50" s="94"/>
      <c r="IY50" s="94" t="s">
        <v>41</v>
      </c>
      <c r="IZ50" s="94"/>
      <c r="JA50" s="94"/>
      <c r="JB50" s="94"/>
      <c r="JC50" s="94"/>
      <c r="JD50" s="94"/>
      <c r="JE50" s="94"/>
      <c r="JF50" s="94"/>
      <c r="JG50" s="94"/>
      <c r="JH50" s="94" t="s">
        <v>41</v>
      </c>
      <c r="JI50" s="94"/>
      <c r="JJ50" s="94"/>
      <c r="JK50" s="94"/>
      <c r="JL50" s="94"/>
      <c r="JM50" s="94"/>
      <c r="JN50" s="94"/>
      <c r="JO50" s="94"/>
      <c r="JP50" s="94"/>
      <c r="JQ50" s="94"/>
      <c r="JR50" s="94"/>
      <c r="JS50" s="94"/>
      <c r="JT50" s="94" t="s">
        <v>41</v>
      </c>
      <c r="JU50" s="94"/>
      <c r="JV50" s="94"/>
      <c r="JW50" s="94"/>
      <c r="JX50" s="94"/>
      <c r="JY50" s="94"/>
      <c r="JZ50" s="94"/>
      <c r="KA50" s="94"/>
      <c r="KB50" s="94"/>
      <c r="KC50" s="94"/>
      <c r="KD50" s="94"/>
      <c r="KE50" s="94"/>
      <c r="KF50" s="94" t="s">
        <v>41</v>
      </c>
      <c r="KG50" s="94"/>
      <c r="KH50" s="94"/>
      <c r="KI50" s="94"/>
      <c r="KJ50" s="94"/>
      <c r="KK50" s="94"/>
      <c r="KL50" s="94"/>
      <c r="KM50" s="94"/>
      <c r="KN50" s="94"/>
      <c r="KO50" s="94"/>
      <c r="KP50" s="94"/>
      <c r="KQ50" s="94"/>
      <c r="KR50" s="94" t="s">
        <v>41</v>
      </c>
      <c r="KS50" s="94"/>
      <c r="KT50" s="94"/>
      <c r="KU50" s="94"/>
      <c r="KV50" s="94"/>
      <c r="KW50" s="94"/>
      <c r="KX50" s="94"/>
      <c r="KY50" s="94"/>
      <c r="KZ50" s="94"/>
      <c r="LA50" s="94"/>
      <c r="LB50" s="94"/>
      <c r="LC50" s="94"/>
      <c r="LD50" s="94" t="s">
        <v>41</v>
      </c>
      <c r="LE50" s="94"/>
      <c r="LF50" s="94"/>
      <c r="LG50" s="94"/>
      <c r="LH50" s="94"/>
      <c r="LI50" s="94"/>
      <c r="LJ50" s="94"/>
      <c r="LK50" s="94"/>
      <c r="LL50" s="94"/>
      <c r="LM50" s="94"/>
      <c r="LN50" s="94"/>
      <c r="LO50" s="94"/>
      <c r="LP50" s="94" t="s">
        <v>41</v>
      </c>
      <c r="LQ50" s="94"/>
      <c r="LR50" s="94"/>
      <c r="LS50" s="94"/>
      <c r="LT50" s="94"/>
      <c r="LU50" s="94"/>
      <c r="LV50" s="94"/>
      <c r="LW50" s="94"/>
      <c r="LX50" s="94"/>
      <c r="LY50" s="94"/>
      <c r="LZ50" s="94"/>
      <c r="MA50" s="94"/>
      <c r="MB50" s="94" t="s">
        <v>41</v>
      </c>
    </row>
    <row r="51" spans="1:340" s="50" customFormat="1" ht="31.5" hidden="1" customHeight="1" thickBot="1">
      <c r="A51" s="44">
        <v>1</v>
      </c>
      <c r="B51" s="107" t="s">
        <v>89</v>
      </c>
      <c r="C51" s="46" t="s">
        <v>91</v>
      </c>
      <c r="D51" s="105" t="s">
        <v>35</v>
      </c>
      <c r="E51" s="117" t="s">
        <v>36</v>
      </c>
      <c r="F51" s="106" t="s">
        <v>24</v>
      </c>
      <c r="G51" s="145"/>
      <c r="H51" s="131"/>
      <c r="I51" s="131"/>
      <c r="J51" s="131"/>
      <c r="K51" s="131"/>
      <c r="L51" s="131"/>
      <c r="M51" s="131"/>
      <c r="N51" s="131"/>
      <c r="O51" s="131" t="s">
        <v>41</v>
      </c>
      <c r="P51" s="131"/>
      <c r="Q51" s="131"/>
      <c r="R51" s="131"/>
      <c r="S51" s="131"/>
      <c r="T51" s="131"/>
      <c r="U51" s="131"/>
      <c r="V51" s="131"/>
      <c r="W51" s="131" t="s">
        <v>41</v>
      </c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 t="s">
        <v>41</v>
      </c>
      <c r="AO51" s="131"/>
      <c r="AP51" s="131"/>
      <c r="AQ51" s="131"/>
      <c r="AR51" s="131"/>
      <c r="AS51" s="131"/>
      <c r="AT51" s="131"/>
      <c r="AU51" s="131"/>
      <c r="AV51" s="131"/>
      <c r="AW51" s="131"/>
      <c r="AX51" s="136"/>
      <c r="AY51" s="131" t="s">
        <v>41</v>
      </c>
      <c r="AZ51" s="131"/>
      <c r="BA51" s="131"/>
      <c r="BB51" s="131"/>
      <c r="BC51" s="131"/>
      <c r="BD51" s="131"/>
      <c r="BE51" s="131"/>
      <c r="BF51" s="131"/>
      <c r="BG51" s="131"/>
      <c r="BH51" s="131" t="s">
        <v>41</v>
      </c>
      <c r="BI51" s="131"/>
      <c r="BJ51" s="131"/>
      <c r="BK51" s="131"/>
      <c r="BL51" s="131"/>
      <c r="BM51" s="131"/>
      <c r="BN51" s="131"/>
      <c r="BO51" s="131"/>
      <c r="BP51" s="131" t="s">
        <v>41</v>
      </c>
      <c r="BQ51" s="131"/>
      <c r="BR51" s="131"/>
      <c r="BS51" s="131"/>
      <c r="BT51" s="131"/>
      <c r="BU51" s="131"/>
      <c r="BV51" s="131"/>
      <c r="BW51" s="131"/>
      <c r="BX51" s="131" t="s">
        <v>41</v>
      </c>
      <c r="BY51" s="131"/>
      <c r="BZ51" s="131"/>
      <c r="CA51" s="131"/>
      <c r="CB51" s="131"/>
      <c r="CC51" s="131"/>
      <c r="CD51" s="131"/>
      <c r="CE51" s="131" t="s">
        <v>41</v>
      </c>
      <c r="CF51" s="131"/>
      <c r="CG51" s="131"/>
      <c r="CH51" s="131"/>
      <c r="CI51" s="131"/>
      <c r="CJ51" s="131"/>
      <c r="CK51" s="131"/>
      <c r="CL51" s="131" t="s">
        <v>41</v>
      </c>
      <c r="CM51" s="131"/>
      <c r="CN51" s="131"/>
      <c r="CO51" s="131"/>
      <c r="CP51" s="131"/>
      <c r="CQ51" s="131"/>
      <c r="CR51" s="131"/>
      <c r="CS51" s="131"/>
      <c r="CT51" s="131" t="s">
        <v>41</v>
      </c>
      <c r="CU51" s="131"/>
      <c r="CV51" s="131"/>
      <c r="CW51" s="131"/>
      <c r="CX51" s="131"/>
      <c r="CY51" s="131"/>
      <c r="CZ51" s="131" t="s">
        <v>41</v>
      </c>
      <c r="DA51" s="131" t="s">
        <v>37</v>
      </c>
      <c r="DB51" s="131"/>
      <c r="DC51" s="131"/>
      <c r="DD51" s="131"/>
      <c r="DE51" s="131"/>
      <c r="DF51" s="131"/>
      <c r="DG51" s="131"/>
      <c r="DH51" s="131"/>
      <c r="DI51" s="131"/>
      <c r="DJ51" s="131"/>
      <c r="DK51" s="131"/>
      <c r="DL51" s="131"/>
      <c r="DM51" s="131"/>
      <c r="DN51" s="131"/>
      <c r="DO51" s="131"/>
      <c r="DP51" s="131"/>
      <c r="DQ51" s="131"/>
      <c r="DR51" s="131"/>
      <c r="DS51" s="131"/>
      <c r="DT51" s="131"/>
      <c r="DU51" s="131"/>
      <c r="DV51" s="131"/>
      <c r="DW51" s="131"/>
      <c r="DX51" s="131"/>
      <c r="DY51" s="131"/>
      <c r="DZ51" s="131"/>
      <c r="EA51" s="131"/>
      <c r="EB51" s="131"/>
      <c r="EC51" s="131"/>
      <c r="ED51" s="131"/>
      <c r="EE51" s="131"/>
      <c r="EF51" s="131"/>
      <c r="EG51" s="131"/>
      <c r="EH51" s="131"/>
      <c r="EI51" s="131"/>
      <c r="EJ51" s="131"/>
      <c r="EK51" s="131"/>
      <c r="EL51" s="131"/>
      <c r="EM51" s="131"/>
      <c r="EN51" s="131"/>
      <c r="EO51" s="131"/>
      <c r="EP51" s="131"/>
      <c r="EQ51" s="131"/>
      <c r="ER51" s="131"/>
      <c r="ES51" s="131"/>
      <c r="ET51" s="131"/>
      <c r="EU51" s="131"/>
      <c r="EV51" s="131"/>
      <c r="EW51" s="131"/>
      <c r="EX51" s="131"/>
      <c r="EY51" s="131"/>
      <c r="EZ51" s="131"/>
      <c r="FA51" s="131"/>
      <c r="FB51" s="131"/>
      <c r="FC51" s="131"/>
      <c r="FD51" s="131"/>
      <c r="FE51" s="131"/>
      <c r="FF51" s="131"/>
      <c r="FG51" s="131"/>
      <c r="FH51" s="131"/>
      <c r="FI51" s="131"/>
      <c r="FJ51" s="131"/>
      <c r="FK51" s="131"/>
      <c r="FL51" s="131"/>
      <c r="FM51" s="131"/>
      <c r="FN51" s="131"/>
      <c r="FO51" s="131"/>
      <c r="FP51" s="131"/>
      <c r="FQ51" s="131"/>
      <c r="FR51" s="131"/>
      <c r="FS51" s="131"/>
      <c r="FT51" s="131"/>
      <c r="FU51" s="131"/>
      <c r="FV51" s="131"/>
      <c r="FW51" s="131"/>
      <c r="FX51" s="131"/>
      <c r="FY51" s="131"/>
      <c r="FZ51" s="131"/>
      <c r="GA51" s="131"/>
      <c r="GB51" s="131"/>
      <c r="GC51" s="131"/>
      <c r="GD51" s="131"/>
      <c r="GE51" s="131"/>
      <c r="GF51" s="131"/>
      <c r="GG51" s="131"/>
      <c r="GH51" s="131"/>
      <c r="GI51" s="131"/>
      <c r="GJ51" s="131"/>
      <c r="GK51" s="131"/>
      <c r="GL51" s="131"/>
      <c r="GM51" s="131"/>
      <c r="GN51" s="131"/>
      <c r="GO51" s="131"/>
      <c r="GP51" s="131" t="s">
        <v>25</v>
      </c>
      <c r="GQ51" s="94"/>
      <c r="GR51" s="94"/>
      <c r="GS51" s="94"/>
      <c r="GT51" s="94" t="s">
        <v>41</v>
      </c>
      <c r="GU51" s="94"/>
      <c r="GV51" s="94"/>
      <c r="GW51" s="94"/>
      <c r="GX51" s="94"/>
      <c r="GY51" s="94"/>
      <c r="GZ51" s="94"/>
      <c r="HA51" s="94"/>
      <c r="HB51" s="94"/>
      <c r="HC51" s="94" t="s">
        <v>41</v>
      </c>
      <c r="HD51" s="94"/>
      <c r="HE51" s="94"/>
      <c r="HF51" s="94"/>
      <c r="HG51" s="94"/>
      <c r="HH51" s="94"/>
      <c r="HI51" s="94"/>
      <c r="HJ51" s="94"/>
      <c r="HK51" s="94"/>
      <c r="HL51" s="94"/>
      <c r="HM51" s="94" t="s">
        <v>41</v>
      </c>
      <c r="HN51" s="94"/>
      <c r="HO51" s="94"/>
      <c r="HP51" s="94"/>
      <c r="HQ51" s="94"/>
      <c r="HR51" s="94"/>
      <c r="HS51" s="94"/>
      <c r="HT51" s="94"/>
      <c r="HU51" s="94"/>
      <c r="HV51" s="94"/>
      <c r="HW51" s="94"/>
      <c r="HX51" s="94"/>
      <c r="HY51" s="94"/>
      <c r="HZ51" s="94"/>
      <c r="IA51" s="94"/>
      <c r="IB51" s="94" t="s">
        <v>41</v>
      </c>
      <c r="IC51" s="94"/>
      <c r="ID51" s="94"/>
      <c r="IE51" s="94"/>
      <c r="IF51" s="94"/>
      <c r="IG51" s="94"/>
      <c r="IH51" s="94"/>
      <c r="II51" s="94"/>
      <c r="IJ51" s="94"/>
      <c r="IK51" s="94"/>
      <c r="IL51" s="94" t="s">
        <v>41</v>
      </c>
      <c r="IM51" s="94"/>
      <c r="IN51" s="94"/>
      <c r="IO51" s="94"/>
      <c r="IP51" s="94"/>
      <c r="IQ51" s="94"/>
      <c r="IR51" s="94"/>
      <c r="IS51" s="94"/>
      <c r="IT51" s="94"/>
      <c r="IU51" s="94" t="s">
        <v>41</v>
      </c>
      <c r="IV51" s="94"/>
      <c r="IW51" s="94"/>
      <c r="IX51" s="94"/>
      <c r="IY51" s="94"/>
      <c r="IZ51" s="94"/>
      <c r="JA51" s="94"/>
      <c r="JB51" s="94"/>
      <c r="JC51" s="94"/>
      <c r="JD51" s="94"/>
      <c r="JE51" s="94" t="s">
        <v>41</v>
      </c>
      <c r="JF51" s="94"/>
      <c r="JG51" s="94"/>
      <c r="JH51" s="94"/>
      <c r="JI51" s="94"/>
      <c r="JJ51" s="94"/>
      <c r="JK51" s="94"/>
      <c r="JL51" s="94"/>
      <c r="JM51" s="94"/>
      <c r="JN51" s="94"/>
      <c r="JO51" s="94" t="s">
        <v>41</v>
      </c>
      <c r="JP51" s="94"/>
      <c r="JQ51" s="94"/>
      <c r="JR51" s="94"/>
      <c r="JS51" s="94"/>
      <c r="JT51" s="94"/>
      <c r="JU51" s="94"/>
      <c r="JV51" s="94"/>
      <c r="JW51" s="94"/>
      <c r="JX51" s="94"/>
      <c r="JY51" s="94" t="s">
        <v>41</v>
      </c>
      <c r="JZ51" s="94"/>
      <c r="KA51" s="94"/>
      <c r="KB51" s="94"/>
      <c r="KC51" s="94"/>
      <c r="KD51" s="94"/>
      <c r="KE51" s="94"/>
      <c r="KF51" s="94"/>
      <c r="KG51" s="94"/>
      <c r="KH51" s="94"/>
      <c r="KI51" s="94" t="s">
        <v>41</v>
      </c>
      <c r="KJ51" s="94"/>
      <c r="KK51" s="94"/>
      <c r="KL51" s="94"/>
      <c r="KM51" s="94"/>
      <c r="KN51" s="94"/>
      <c r="KO51" s="94"/>
      <c r="KP51" s="94"/>
      <c r="KQ51" s="94"/>
      <c r="KR51" s="94"/>
      <c r="KS51" s="94" t="s">
        <v>41</v>
      </c>
      <c r="KT51" s="94"/>
      <c r="KU51" s="94"/>
      <c r="KV51" s="94"/>
      <c r="KW51" s="94"/>
      <c r="KX51" s="94"/>
      <c r="KY51" s="94"/>
      <c r="KZ51" s="94"/>
      <c r="LA51" s="94"/>
      <c r="LB51" s="94"/>
      <c r="LC51" s="94" t="s">
        <v>41</v>
      </c>
      <c r="LD51" s="94"/>
      <c r="LE51" s="94"/>
      <c r="LF51" s="94"/>
      <c r="LG51" s="94"/>
      <c r="LH51" s="94"/>
      <c r="LI51" s="94"/>
      <c r="LJ51" s="94"/>
      <c r="LK51" s="94"/>
      <c r="LL51" s="94"/>
      <c r="LM51" s="94" t="s">
        <v>41</v>
      </c>
      <c r="LN51" s="94"/>
      <c r="LO51" s="94"/>
      <c r="LP51" s="94"/>
      <c r="LQ51" s="94"/>
      <c r="LR51" s="94"/>
      <c r="LS51" s="94"/>
      <c r="LT51" s="94"/>
      <c r="LU51" s="94"/>
      <c r="LV51" s="94"/>
      <c r="LW51" s="94" t="s">
        <v>41</v>
      </c>
      <c r="LX51" s="94"/>
      <c r="LY51" s="94"/>
      <c r="LZ51" s="94"/>
      <c r="MA51" s="94"/>
      <c r="MB51" s="94"/>
    </row>
    <row r="52" spans="1:340" s="50" customFormat="1" ht="31.5" hidden="1" customHeight="1" thickBot="1">
      <c r="A52" s="44">
        <v>1</v>
      </c>
      <c r="B52" s="173" t="s">
        <v>89</v>
      </c>
      <c r="C52" s="89" t="s">
        <v>92</v>
      </c>
      <c r="D52" s="91" t="s">
        <v>35</v>
      </c>
      <c r="E52" s="116" t="s">
        <v>36</v>
      </c>
      <c r="F52" s="92" t="s">
        <v>24</v>
      </c>
      <c r="G52" s="145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 t="s">
        <v>41</v>
      </c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 t="s">
        <v>41</v>
      </c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 t="s">
        <v>41</v>
      </c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 t="s">
        <v>41</v>
      </c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1"/>
      <c r="BY52" s="131" t="s">
        <v>41</v>
      </c>
      <c r="BZ52" s="131"/>
      <c r="CA52" s="131"/>
      <c r="CB52" s="131"/>
      <c r="CC52" s="131"/>
      <c r="CD52" s="131"/>
      <c r="CE52" s="131"/>
      <c r="CF52" s="131"/>
      <c r="CG52" s="131"/>
      <c r="CH52" s="131"/>
      <c r="CI52" s="131"/>
      <c r="CJ52" s="131"/>
      <c r="CK52" s="131" t="s">
        <v>41</v>
      </c>
      <c r="CL52" s="131"/>
      <c r="CM52" s="131"/>
      <c r="CN52" s="131"/>
      <c r="CO52" s="131"/>
      <c r="CP52" s="131"/>
      <c r="CQ52" s="131"/>
      <c r="CR52" s="131"/>
      <c r="CS52" s="131"/>
      <c r="CT52" s="131"/>
      <c r="CU52" s="131"/>
      <c r="CV52" s="131"/>
      <c r="CW52" s="131" t="s">
        <v>41</v>
      </c>
      <c r="CX52" s="131" t="s">
        <v>37</v>
      </c>
      <c r="CY52" s="131"/>
      <c r="CZ52" s="131"/>
      <c r="DA52" s="131"/>
      <c r="DB52" s="131"/>
      <c r="DC52" s="131"/>
      <c r="DD52" s="131"/>
      <c r="DE52" s="131"/>
      <c r="DF52" s="131"/>
      <c r="DG52" s="131"/>
      <c r="DH52" s="131"/>
      <c r="DI52" s="131"/>
      <c r="DJ52" s="131"/>
      <c r="DK52" s="131"/>
      <c r="DL52" s="131"/>
      <c r="DM52" s="131"/>
      <c r="DN52" s="131"/>
      <c r="DO52" s="131"/>
      <c r="DP52" s="131"/>
      <c r="DQ52" s="131"/>
      <c r="DR52" s="131"/>
      <c r="DS52" s="131"/>
      <c r="DT52" s="131"/>
      <c r="DU52" s="131"/>
      <c r="DV52" s="131"/>
      <c r="DW52" s="131"/>
      <c r="DX52" s="131"/>
      <c r="DY52" s="131"/>
      <c r="DZ52" s="131"/>
      <c r="EA52" s="131"/>
      <c r="EB52" s="131"/>
      <c r="EC52" s="131"/>
      <c r="ED52" s="131"/>
      <c r="EE52" s="131"/>
      <c r="EF52" s="131"/>
      <c r="EG52" s="131"/>
      <c r="EH52" s="131"/>
      <c r="EI52" s="131"/>
      <c r="EJ52" s="131"/>
      <c r="EK52" s="131"/>
      <c r="EL52" s="131"/>
      <c r="EM52" s="131"/>
      <c r="EN52" s="131"/>
      <c r="EO52" s="131"/>
      <c r="EP52" s="131"/>
      <c r="EQ52" s="131"/>
      <c r="ER52" s="131"/>
      <c r="ES52" s="131"/>
      <c r="ET52" s="131"/>
      <c r="EU52" s="131"/>
      <c r="EV52" s="131"/>
      <c r="EW52" s="131"/>
      <c r="EX52" s="131"/>
      <c r="EY52" s="131"/>
      <c r="EZ52" s="131"/>
      <c r="FA52" s="131"/>
      <c r="FB52" s="131"/>
      <c r="FC52" s="131"/>
      <c r="FD52" s="131"/>
      <c r="FE52" s="131"/>
      <c r="FF52" s="131"/>
      <c r="FG52" s="131"/>
      <c r="FH52" s="131"/>
      <c r="FI52" s="131"/>
      <c r="FJ52" s="131"/>
      <c r="FK52" s="131"/>
      <c r="FL52" s="131"/>
      <c r="FM52" s="131"/>
      <c r="FN52" s="131"/>
      <c r="FO52" s="131"/>
      <c r="FP52" s="131"/>
      <c r="FQ52" s="131"/>
      <c r="FR52" s="131"/>
      <c r="FS52" s="131"/>
      <c r="FT52" s="131"/>
      <c r="FU52" s="131"/>
      <c r="FV52" s="131"/>
      <c r="FW52" s="131"/>
      <c r="FX52" s="131"/>
      <c r="FY52" s="131"/>
      <c r="FZ52" s="131"/>
      <c r="GA52" s="131"/>
      <c r="GB52" s="131"/>
      <c r="GC52" s="131"/>
      <c r="GD52" s="131"/>
      <c r="GE52" s="131"/>
      <c r="GF52" s="131"/>
      <c r="GG52" s="131"/>
      <c r="GH52" s="131"/>
      <c r="GI52" s="131"/>
      <c r="GJ52" s="131"/>
      <c r="GK52" s="131"/>
      <c r="GL52" s="131"/>
      <c r="GM52" s="131"/>
      <c r="GN52" s="131"/>
      <c r="GO52" s="131"/>
      <c r="GP52" s="131"/>
      <c r="GQ52" s="131"/>
      <c r="GR52" s="131"/>
      <c r="GS52" s="131"/>
      <c r="GT52" s="131"/>
      <c r="GU52" s="131"/>
      <c r="GV52" s="131"/>
      <c r="GW52" s="131"/>
      <c r="GX52" s="131"/>
      <c r="GY52" s="131"/>
      <c r="GZ52" s="131"/>
      <c r="HA52" s="131"/>
      <c r="HB52" s="131"/>
      <c r="HC52" s="131"/>
      <c r="HD52" s="131"/>
      <c r="HE52" s="131"/>
      <c r="HF52" s="131"/>
      <c r="HG52" s="131"/>
      <c r="HH52" s="131"/>
      <c r="HI52" s="131"/>
      <c r="HJ52" s="131"/>
      <c r="HK52" s="131"/>
      <c r="HL52" s="131"/>
      <c r="HM52" s="131"/>
      <c r="HN52" s="131"/>
      <c r="HO52" s="131"/>
      <c r="HP52" s="131"/>
      <c r="HQ52" s="131"/>
      <c r="HR52" s="131"/>
      <c r="HS52" s="131"/>
      <c r="HT52" s="131"/>
      <c r="HU52" s="131"/>
      <c r="HV52" s="131"/>
      <c r="HW52" s="131"/>
      <c r="HX52" s="131"/>
      <c r="HY52" s="131" t="s">
        <v>25</v>
      </c>
      <c r="HZ52" s="93"/>
      <c r="IA52" s="94"/>
      <c r="IB52" s="94" t="s">
        <v>41</v>
      </c>
      <c r="IC52" s="94"/>
      <c r="ID52" s="94"/>
      <c r="IE52" s="94"/>
      <c r="IF52" s="94"/>
      <c r="IG52" s="94"/>
      <c r="IH52" s="94"/>
      <c r="II52" s="94"/>
      <c r="IJ52" s="94"/>
      <c r="IK52" s="94"/>
      <c r="IL52" s="94"/>
      <c r="IM52" s="94"/>
      <c r="IN52" s="94"/>
      <c r="IO52" s="94" t="s">
        <v>41</v>
      </c>
      <c r="IP52" s="94"/>
      <c r="IQ52" s="94"/>
      <c r="IR52" s="94"/>
      <c r="IS52" s="94"/>
      <c r="IT52" s="94"/>
      <c r="IU52" s="94"/>
      <c r="IV52" s="94"/>
      <c r="IW52" s="94"/>
      <c r="IX52" s="94"/>
      <c r="IY52" s="94"/>
      <c r="IZ52" s="94"/>
      <c r="JA52" s="94"/>
      <c r="JB52" s="94" t="s">
        <v>41</v>
      </c>
      <c r="JC52" s="94"/>
      <c r="JD52" s="94"/>
      <c r="JE52" s="94"/>
      <c r="JF52" s="94"/>
      <c r="JG52" s="94"/>
      <c r="JH52" s="94"/>
      <c r="JI52" s="94"/>
      <c r="JJ52" s="94"/>
      <c r="JK52" s="94"/>
      <c r="JL52" s="94"/>
      <c r="JM52" s="94"/>
      <c r="JN52" s="94"/>
      <c r="JO52" s="94" t="s">
        <v>41</v>
      </c>
      <c r="JP52" s="94"/>
      <c r="JQ52" s="94"/>
      <c r="JR52" s="94"/>
      <c r="JS52" s="94"/>
      <c r="JT52" s="94"/>
      <c r="JU52" s="94"/>
      <c r="JV52" s="94"/>
      <c r="JW52" s="94"/>
      <c r="JX52" s="94"/>
      <c r="JY52" s="94"/>
      <c r="JZ52" s="94"/>
      <c r="KA52" s="94"/>
      <c r="KB52" s="94" t="s">
        <v>41</v>
      </c>
      <c r="KC52" s="94"/>
      <c r="KD52" s="94"/>
      <c r="KE52" s="94"/>
      <c r="KF52" s="94"/>
      <c r="KG52" s="94"/>
      <c r="KH52" s="94"/>
      <c r="KI52" s="94"/>
      <c r="KJ52" s="94"/>
      <c r="KK52" s="94"/>
      <c r="KL52" s="94"/>
      <c r="KM52" s="94"/>
      <c r="KN52" s="94"/>
      <c r="KO52" s="94" t="s">
        <v>41</v>
      </c>
      <c r="KP52" s="94"/>
      <c r="KQ52" s="94"/>
      <c r="KR52" s="94"/>
      <c r="KS52" s="94"/>
      <c r="KT52" s="94"/>
      <c r="KU52" s="94"/>
      <c r="KV52" s="94"/>
      <c r="KW52" s="94"/>
      <c r="KX52" s="94"/>
      <c r="KY52" s="94"/>
      <c r="KZ52" s="94"/>
      <c r="LA52" s="94"/>
      <c r="LB52" s="94" t="s">
        <v>41</v>
      </c>
      <c r="LC52" s="94"/>
      <c r="LD52" s="94"/>
      <c r="LE52" s="94"/>
      <c r="LF52" s="94"/>
      <c r="LG52" s="94"/>
      <c r="LH52" s="94"/>
      <c r="LI52" s="94"/>
      <c r="LJ52" s="94"/>
      <c r="LK52" s="94"/>
      <c r="LL52" s="94"/>
      <c r="LM52" s="94"/>
      <c r="LN52" s="94"/>
      <c r="LO52" s="94" t="s">
        <v>41</v>
      </c>
      <c r="LP52" s="94"/>
      <c r="LQ52" s="94"/>
      <c r="LR52" s="94"/>
      <c r="LS52" s="94"/>
      <c r="LT52" s="94"/>
      <c r="LU52" s="94"/>
      <c r="LV52" s="94"/>
      <c r="LW52" s="94"/>
      <c r="LX52" s="94"/>
      <c r="LY52" s="94"/>
      <c r="LZ52" s="94"/>
      <c r="MA52" s="94"/>
      <c r="MB52" s="94" t="s">
        <v>41</v>
      </c>
    </row>
    <row r="53" spans="1:340" s="50" customFormat="1" ht="31.5" hidden="1" customHeight="1" thickBot="1">
      <c r="A53" s="44">
        <v>1</v>
      </c>
      <c r="B53" s="107" t="s">
        <v>93</v>
      </c>
      <c r="C53" s="46" t="s">
        <v>94</v>
      </c>
      <c r="D53" s="105" t="s">
        <v>35</v>
      </c>
      <c r="E53" s="117" t="s">
        <v>36</v>
      </c>
      <c r="F53" s="106" t="s">
        <v>24</v>
      </c>
      <c r="G53" s="145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60"/>
      <c r="BM53" s="131"/>
      <c r="BN53" s="131"/>
      <c r="BO53" s="131"/>
      <c r="BP53" s="131"/>
      <c r="BQ53" s="131"/>
      <c r="BR53" s="131"/>
      <c r="BS53" s="131"/>
      <c r="BT53" s="131"/>
      <c r="BU53" s="131"/>
      <c r="BV53" s="131"/>
      <c r="BW53" s="131"/>
      <c r="BX53" s="131"/>
      <c r="BY53" s="131"/>
      <c r="BZ53" s="131"/>
      <c r="CA53" s="131"/>
      <c r="CB53" s="131"/>
      <c r="CC53" s="131"/>
      <c r="CD53" s="131"/>
      <c r="CE53" s="131"/>
      <c r="CF53" s="131"/>
      <c r="CG53" s="131"/>
      <c r="CH53" s="131"/>
      <c r="CI53" s="131"/>
      <c r="CJ53" s="131"/>
      <c r="CK53" s="131"/>
      <c r="CL53" s="131"/>
      <c r="CM53" s="131"/>
      <c r="CN53" s="131"/>
      <c r="CO53" s="131"/>
      <c r="CP53" s="131"/>
      <c r="CQ53" s="131"/>
      <c r="CR53" s="131"/>
      <c r="CS53" s="131"/>
      <c r="CT53" s="131"/>
      <c r="CU53" s="131"/>
      <c r="CV53" s="94" t="s">
        <v>25</v>
      </c>
      <c r="CW53" s="94" t="s">
        <v>26</v>
      </c>
      <c r="CX53" s="94"/>
      <c r="CY53" s="94"/>
      <c r="CZ53" s="94"/>
      <c r="DA53" s="94"/>
      <c r="DB53" s="94"/>
      <c r="DC53" s="94"/>
      <c r="DD53" s="94"/>
      <c r="DE53" s="94"/>
      <c r="DF53" s="94"/>
      <c r="DG53" s="94" t="s">
        <v>27</v>
      </c>
      <c r="DH53" s="94"/>
      <c r="DI53" s="94" t="s">
        <v>26</v>
      </c>
      <c r="DJ53" s="94"/>
      <c r="DK53" s="94"/>
      <c r="DL53" s="94"/>
      <c r="DM53" s="94"/>
      <c r="DN53" s="94"/>
      <c r="DO53" s="94"/>
      <c r="DP53" s="94"/>
      <c r="DQ53" s="94"/>
      <c r="DR53" s="94"/>
      <c r="DS53" s="94"/>
      <c r="DT53" s="94" t="s">
        <v>27</v>
      </c>
      <c r="DU53" s="94"/>
      <c r="DV53" s="94" t="s">
        <v>26</v>
      </c>
      <c r="DW53" s="94"/>
      <c r="DX53" s="94"/>
      <c r="DY53" s="94"/>
      <c r="DZ53" s="94"/>
      <c r="EA53" s="94"/>
      <c r="EB53" s="94"/>
      <c r="EC53" s="94"/>
      <c r="ED53" s="94"/>
      <c r="EE53" s="94" t="s">
        <v>27</v>
      </c>
      <c r="EF53" s="131"/>
      <c r="EG53" s="131"/>
      <c r="EH53" s="131"/>
      <c r="EI53" s="131"/>
      <c r="EJ53" s="131"/>
      <c r="EK53" s="131"/>
      <c r="EL53" s="131"/>
      <c r="EM53" s="131"/>
      <c r="EN53" s="131"/>
      <c r="EO53" s="131"/>
      <c r="EP53" s="131"/>
      <c r="EQ53" s="131"/>
      <c r="ER53" s="131"/>
      <c r="ES53" s="131"/>
      <c r="ET53" s="131"/>
      <c r="EU53" s="131"/>
      <c r="EV53" s="131"/>
      <c r="EW53" s="131"/>
      <c r="EX53" s="131"/>
      <c r="EY53" s="131"/>
      <c r="EZ53" s="131"/>
      <c r="FA53" s="131"/>
      <c r="FB53" s="94" t="s">
        <v>26</v>
      </c>
      <c r="FC53" s="94"/>
      <c r="FD53" s="94"/>
      <c r="FE53" s="94"/>
      <c r="FF53" s="94"/>
      <c r="FG53" s="94"/>
      <c r="FH53" s="94"/>
      <c r="FI53" s="94"/>
      <c r="FJ53" s="94" t="s">
        <v>27</v>
      </c>
      <c r="FK53" s="94"/>
      <c r="FL53" s="94" t="s">
        <v>26</v>
      </c>
      <c r="FM53" s="94"/>
      <c r="FN53" s="94"/>
      <c r="FO53" s="94"/>
      <c r="FP53" s="94"/>
      <c r="FQ53" s="94"/>
      <c r="FR53" s="94"/>
      <c r="FS53" s="94"/>
      <c r="FT53" s="94"/>
      <c r="FU53" s="94"/>
      <c r="FV53" s="142" t="s">
        <v>27</v>
      </c>
      <c r="FW53" s="94"/>
      <c r="FX53" s="94"/>
      <c r="FY53" s="94"/>
      <c r="FZ53" s="94"/>
      <c r="GA53" s="94"/>
      <c r="GB53" s="94"/>
      <c r="GC53" s="94"/>
      <c r="GD53" s="94"/>
      <c r="GE53" s="94"/>
      <c r="GF53" s="94"/>
      <c r="GG53" s="93"/>
      <c r="GH53" s="94"/>
      <c r="GI53" s="94"/>
      <c r="GK53" s="94"/>
      <c r="GL53" s="94"/>
      <c r="GM53" s="94"/>
      <c r="GN53" s="94"/>
      <c r="GO53" s="94"/>
      <c r="GP53" s="94"/>
      <c r="GQ53" s="94"/>
      <c r="GR53" s="94" t="s">
        <v>26</v>
      </c>
      <c r="GS53" s="94"/>
      <c r="GT53" s="94"/>
      <c r="GU53" s="94"/>
      <c r="GV53" s="94"/>
      <c r="GW53" s="93"/>
      <c r="GX53" s="94"/>
      <c r="GY53" s="94"/>
      <c r="GZ53" s="94" t="s">
        <v>27</v>
      </c>
      <c r="HA53" s="94"/>
      <c r="HB53" s="94"/>
      <c r="HC53" s="94" t="s">
        <v>26</v>
      </c>
      <c r="HD53" s="94"/>
      <c r="HE53" s="94"/>
      <c r="HF53" s="94"/>
      <c r="HG53" s="94"/>
      <c r="HH53" s="94"/>
      <c r="HI53" s="94"/>
      <c r="HJ53" s="94"/>
      <c r="HK53" s="94" t="s">
        <v>42</v>
      </c>
      <c r="HL53" s="94" t="s">
        <v>27</v>
      </c>
      <c r="HM53" s="94"/>
      <c r="HN53" s="94" t="s">
        <v>26</v>
      </c>
      <c r="HO53" s="94"/>
      <c r="HP53" s="94"/>
      <c r="HQ53" s="94"/>
      <c r="HR53" s="94"/>
      <c r="HS53" s="94"/>
      <c r="HT53" s="94"/>
      <c r="HU53" s="94"/>
      <c r="HV53" s="94"/>
      <c r="HW53" s="94" t="s">
        <v>27</v>
      </c>
      <c r="HX53" s="94"/>
      <c r="HY53" s="94"/>
      <c r="HZ53" s="94"/>
      <c r="IA53" s="94" t="s">
        <v>26</v>
      </c>
      <c r="IB53" s="94"/>
      <c r="IC53" s="94"/>
      <c r="ID53" s="94"/>
      <c r="IE53" s="94"/>
      <c r="IF53" s="94"/>
      <c r="IG53" s="94"/>
      <c r="IH53" s="94"/>
      <c r="II53" s="94" t="s">
        <v>27</v>
      </c>
      <c r="IJ53" s="94"/>
      <c r="IK53" s="94" t="s">
        <v>26</v>
      </c>
      <c r="IL53" s="94"/>
      <c r="IM53" s="94"/>
      <c r="IN53" s="94"/>
      <c r="IO53" s="94"/>
      <c r="IP53" s="94"/>
      <c r="IQ53" s="94"/>
      <c r="IR53" s="94"/>
      <c r="IS53" s="93"/>
      <c r="IT53" s="94" t="s">
        <v>27</v>
      </c>
      <c r="IU53" s="131" t="s">
        <v>37</v>
      </c>
      <c r="IV53" s="131"/>
      <c r="IW53" s="131"/>
      <c r="IX53" s="131"/>
      <c r="IY53" s="131"/>
      <c r="IZ53" s="131"/>
      <c r="JA53" s="131"/>
      <c r="JB53" s="131"/>
      <c r="JC53" s="131"/>
      <c r="JD53" s="131"/>
      <c r="JE53" s="131"/>
      <c r="JF53" s="131"/>
      <c r="JG53" s="131"/>
      <c r="JH53" s="131"/>
      <c r="JI53" s="131"/>
      <c r="JJ53" s="131"/>
      <c r="JK53" s="131"/>
      <c r="JL53" s="131"/>
      <c r="JM53" s="131"/>
      <c r="JN53" s="131"/>
      <c r="JO53" s="131"/>
      <c r="JP53" s="131"/>
      <c r="JQ53" s="131"/>
      <c r="JR53" s="131"/>
      <c r="JS53" s="131"/>
      <c r="JT53" s="131"/>
      <c r="JU53" s="131"/>
      <c r="JV53" s="131"/>
      <c r="JW53" s="131"/>
      <c r="JX53" s="131" t="s">
        <v>25</v>
      </c>
      <c r="JY53" s="94" t="s">
        <v>26</v>
      </c>
      <c r="JZ53" s="94"/>
      <c r="KA53" s="94"/>
      <c r="KB53" s="94"/>
      <c r="KC53" s="94"/>
      <c r="KD53" s="94"/>
      <c r="KE53" s="94"/>
      <c r="KF53" s="94" t="s">
        <v>27</v>
      </c>
      <c r="KG53" s="94"/>
      <c r="KH53" s="94" t="s">
        <v>26</v>
      </c>
      <c r="KI53" s="94"/>
      <c r="KJ53" s="94"/>
      <c r="KK53" s="94"/>
      <c r="KL53" s="94"/>
      <c r="KM53" s="94"/>
      <c r="KN53" s="94"/>
      <c r="KO53" s="94" t="s">
        <v>27</v>
      </c>
      <c r="KP53" s="94"/>
      <c r="KQ53" s="94" t="s">
        <v>26</v>
      </c>
      <c r="KR53" s="94"/>
      <c r="KS53" s="94"/>
      <c r="KT53" s="94"/>
      <c r="KU53" s="94"/>
      <c r="KV53" s="94"/>
      <c r="KW53" s="94"/>
      <c r="KX53" s="94" t="s">
        <v>27</v>
      </c>
      <c r="KY53" s="94"/>
      <c r="KZ53" s="94" t="s">
        <v>26</v>
      </c>
      <c r="LA53" s="94"/>
      <c r="LB53" s="94"/>
      <c r="LC53" s="94"/>
      <c r="LD53" s="94"/>
      <c r="LE53" s="94"/>
      <c r="LF53" s="94"/>
      <c r="LG53" s="94" t="s">
        <v>27</v>
      </c>
      <c r="LH53" s="94"/>
      <c r="LI53" s="94" t="s">
        <v>26</v>
      </c>
      <c r="LJ53" s="94"/>
      <c r="LK53" s="94"/>
      <c r="LL53" s="94"/>
      <c r="LM53" s="94"/>
      <c r="LN53" s="94"/>
      <c r="LO53" s="94"/>
      <c r="LP53" s="94" t="s">
        <v>27</v>
      </c>
      <c r="LQ53" s="94"/>
      <c r="LR53" s="94" t="s">
        <v>26</v>
      </c>
      <c r="LS53" s="94"/>
      <c r="LT53" s="94"/>
      <c r="LU53" s="94"/>
      <c r="LV53" s="94"/>
      <c r="LW53" s="94"/>
      <c r="LX53" s="94"/>
      <c r="LY53" s="94" t="s">
        <v>27</v>
      </c>
      <c r="LZ53" s="94"/>
      <c r="MA53" s="94" t="s">
        <v>26</v>
      </c>
      <c r="MB53" s="94"/>
    </row>
    <row r="54" spans="1:340" s="50" customFormat="1" ht="31.5" hidden="1" customHeight="1" thickBot="1">
      <c r="A54" s="44">
        <v>1</v>
      </c>
      <c r="B54" s="107" t="s">
        <v>95</v>
      </c>
      <c r="C54" s="46" t="s">
        <v>96</v>
      </c>
      <c r="D54" s="105" t="s">
        <v>45</v>
      </c>
      <c r="E54" s="117" t="s">
        <v>46</v>
      </c>
      <c r="F54" s="106" t="s">
        <v>24</v>
      </c>
      <c r="G54" s="145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60"/>
      <c r="BM54" s="131"/>
      <c r="BN54" s="131"/>
      <c r="BO54" s="131"/>
      <c r="BP54" s="131"/>
      <c r="BQ54" s="131"/>
      <c r="BR54" s="131"/>
      <c r="BS54" s="131"/>
      <c r="BT54" s="131"/>
      <c r="BU54" s="131"/>
      <c r="BV54" s="131"/>
      <c r="BW54" s="131"/>
      <c r="BX54" s="131"/>
      <c r="BY54" s="171"/>
      <c r="BZ54" s="131"/>
      <c r="CA54" s="131"/>
      <c r="CB54" s="131"/>
      <c r="CC54" s="131"/>
      <c r="CD54" s="131"/>
      <c r="CE54" s="131"/>
      <c r="CF54" s="131"/>
      <c r="CG54" s="131"/>
      <c r="CH54" s="131"/>
      <c r="CI54" s="131"/>
      <c r="CJ54" s="131"/>
      <c r="CK54" s="131"/>
      <c r="CL54" s="131"/>
      <c r="CM54" s="131"/>
      <c r="CN54" s="131"/>
      <c r="CO54" s="131"/>
      <c r="CP54" s="131"/>
      <c r="CQ54" s="131"/>
      <c r="CR54" s="131"/>
      <c r="CS54" s="131"/>
      <c r="CT54" s="131"/>
      <c r="CU54" s="131"/>
      <c r="CV54" s="131"/>
      <c r="CW54" s="131"/>
      <c r="CX54" s="131"/>
      <c r="CY54" s="131"/>
      <c r="CZ54" s="131"/>
      <c r="DA54" s="131"/>
      <c r="DB54" s="131"/>
      <c r="DC54" s="131"/>
      <c r="DD54" s="131"/>
      <c r="DE54" s="131"/>
      <c r="DF54" s="131"/>
      <c r="DG54" s="131"/>
      <c r="DH54" s="131"/>
      <c r="DI54" s="131"/>
      <c r="DJ54" s="131"/>
      <c r="DK54" s="131"/>
      <c r="DL54" s="131"/>
      <c r="DM54" s="131"/>
      <c r="DN54" s="131"/>
      <c r="DO54" s="131"/>
      <c r="DP54" s="131"/>
      <c r="DQ54" s="131"/>
      <c r="DR54" s="131"/>
      <c r="DS54" s="131"/>
      <c r="DT54" s="131"/>
      <c r="DU54" s="131"/>
      <c r="DV54" s="131"/>
      <c r="DW54" s="131"/>
      <c r="DX54" s="131"/>
      <c r="DY54" s="131"/>
      <c r="DZ54" s="131"/>
      <c r="EA54" s="131"/>
      <c r="EB54" s="131"/>
      <c r="EC54" s="131"/>
      <c r="ED54" s="131"/>
      <c r="EE54" s="131"/>
      <c r="EF54" s="131"/>
      <c r="EG54" s="131"/>
      <c r="EH54" s="131"/>
      <c r="EI54" s="131"/>
      <c r="EJ54" s="131"/>
      <c r="EK54" s="131"/>
      <c r="EL54" s="131"/>
      <c r="EM54" s="131"/>
      <c r="EN54" s="131"/>
      <c r="EO54" s="131"/>
      <c r="EP54" s="131"/>
      <c r="EQ54" s="131"/>
      <c r="ER54" s="131"/>
      <c r="ES54" s="131"/>
      <c r="ET54" s="131"/>
      <c r="EU54" s="131"/>
      <c r="EV54" s="131"/>
      <c r="EW54" s="131"/>
      <c r="EX54" s="131"/>
      <c r="EY54" s="131"/>
      <c r="EZ54" s="131"/>
      <c r="FA54" s="131"/>
      <c r="FB54" s="131"/>
      <c r="FC54" s="131"/>
      <c r="FD54" s="131"/>
      <c r="FE54" s="131"/>
      <c r="FF54" s="131"/>
      <c r="FG54" s="131"/>
      <c r="FH54" s="131"/>
      <c r="FI54" s="131"/>
      <c r="FJ54" s="131"/>
      <c r="FK54" s="131"/>
      <c r="FL54" s="131"/>
      <c r="FM54" s="131"/>
      <c r="FN54" s="131"/>
      <c r="FO54" s="131"/>
      <c r="FP54" s="131"/>
      <c r="FQ54" s="131"/>
      <c r="FR54" s="131"/>
      <c r="FS54" s="131"/>
      <c r="FT54" s="131"/>
      <c r="FU54" s="131"/>
      <c r="FV54" s="131"/>
      <c r="FW54" s="131"/>
      <c r="FX54" s="131"/>
      <c r="FY54" s="131"/>
      <c r="FZ54" s="131"/>
      <c r="GA54" s="94" t="s">
        <v>25</v>
      </c>
      <c r="GB54" s="94"/>
      <c r="GC54" s="94"/>
      <c r="GD54" s="94"/>
      <c r="GE54" s="94"/>
      <c r="GF54" s="94"/>
      <c r="GG54" s="94"/>
      <c r="GH54" s="94"/>
      <c r="GI54" s="94"/>
      <c r="GJ54" s="94"/>
      <c r="GK54" s="94"/>
      <c r="GL54" s="94"/>
      <c r="GM54" s="94"/>
      <c r="GN54" s="94" t="s">
        <v>26</v>
      </c>
      <c r="GO54" s="94"/>
      <c r="GP54" s="94"/>
      <c r="GQ54" s="94"/>
      <c r="GR54" s="94" t="s">
        <v>27</v>
      </c>
      <c r="GS54" s="94"/>
      <c r="GT54" s="94" t="s">
        <v>26</v>
      </c>
      <c r="GU54" s="94"/>
      <c r="GV54" s="94"/>
      <c r="GW54" s="94" t="s">
        <v>27</v>
      </c>
      <c r="GX54" s="94"/>
      <c r="GY54" s="94"/>
      <c r="GZ54" s="94"/>
      <c r="HA54" s="94" t="s">
        <v>26</v>
      </c>
      <c r="HB54" s="94"/>
      <c r="HC54" s="94"/>
      <c r="HD54" s="94"/>
      <c r="HE54" s="94" t="s">
        <v>27</v>
      </c>
      <c r="HF54" s="94" t="s">
        <v>26</v>
      </c>
      <c r="HG54" s="94"/>
      <c r="HH54" s="94"/>
      <c r="HI54" s="94"/>
      <c r="HJ54" s="94" t="s">
        <v>27</v>
      </c>
      <c r="HK54" s="94"/>
      <c r="HL54" s="94"/>
      <c r="HM54" s="94"/>
      <c r="HN54" s="94" t="s">
        <v>26</v>
      </c>
      <c r="HO54" s="94"/>
      <c r="HP54" s="94" t="s">
        <v>27</v>
      </c>
      <c r="HQ54" s="94" t="s">
        <v>26</v>
      </c>
      <c r="HR54" s="94"/>
      <c r="HS54" s="94"/>
      <c r="HT54" s="94" t="s">
        <v>27</v>
      </c>
      <c r="HU54" s="94" t="s">
        <v>26</v>
      </c>
      <c r="HV54" s="94"/>
      <c r="HW54" s="94"/>
      <c r="HX54" s="94" t="s">
        <v>27</v>
      </c>
      <c r="HY54" s="94" t="s">
        <v>26</v>
      </c>
      <c r="HZ54" s="94"/>
      <c r="IA54" s="94"/>
      <c r="IB54" s="94" t="s">
        <v>27</v>
      </c>
      <c r="IC54" s="94"/>
      <c r="ID54" s="94"/>
      <c r="IE54" s="94"/>
      <c r="IF54" s="94"/>
      <c r="IG54" s="94" t="s">
        <v>26</v>
      </c>
      <c r="IH54" s="94"/>
      <c r="II54" s="94"/>
      <c r="IJ54" s="94" t="s">
        <v>27</v>
      </c>
      <c r="IK54" s="94" t="s">
        <v>26</v>
      </c>
      <c r="IL54" s="94"/>
      <c r="IM54" s="94"/>
      <c r="IN54" s="94" t="s">
        <v>27</v>
      </c>
      <c r="IO54" s="94" t="s">
        <v>26</v>
      </c>
      <c r="IP54" s="94"/>
      <c r="IQ54" s="94"/>
      <c r="IR54" s="94" t="s">
        <v>27</v>
      </c>
      <c r="IS54" s="94" t="s">
        <v>26</v>
      </c>
      <c r="IT54" s="94"/>
      <c r="IU54" s="94"/>
      <c r="IV54" s="94" t="s">
        <v>27</v>
      </c>
      <c r="IW54" s="94" t="s">
        <v>26</v>
      </c>
      <c r="IX54" s="94"/>
      <c r="IY54" s="94"/>
      <c r="IZ54" s="94" t="s">
        <v>27</v>
      </c>
      <c r="JA54" s="94" t="s">
        <v>26</v>
      </c>
      <c r="JB54" s="94"/>
      <c r="JC54" s="94"/>
      <c r="JD54" s="94" t="s">
        <v>27</v>
      </c>
      <c r="JE54" s="94" t="s">
        <v>26</v>
      </c>
      <c r="JF54" s="94"/>
      <c r="JG54" s="94"/>
      <c r="JH54" s="94" t="s">
        <v>27</v>
      </c>
      <c r="JI54" s="94" t="s">
        <v>26</v>
      </c>
      <c r="JJ54" s="94"/>
      <c r="JK54" s="94"/>
      <c r="JL54" s="94" t="s">
        <v>27</v>
      </c>
      <c r="JM54" s="94" t="s">
        <v>26</v>
      </c>
      <c r="JN54" s="94"/>
      <c r="JO54" s="94"/>
      <c r="JP54" s="94" t="s">
        <v>27</v>
      </c>
      <c r="JQ54" s="94" t="s">
        <v>26</v>
      </c>
      <c r="JR54" s="94"/>
      <c r="JS54" s="94"/>
      <c r="JT54" s="94" t="s">
        <v>27</v>
      </c>
      <c r="JU54" s="94" t="s">
        <v>26</v>
      </c>
      <c r="JV54" s="94"/>
      <c r="JW54" s="94"/>
      <c r="JX54" s="94" t="s">
        <v>27</v>
      </c>
      <c r="JY54" s="94" t="s">
        <v>26</v>
      </c>
      <c r="JZ54" s="94"/>
      <c r="KA54" s="94"/>
      <c r="KB54" s="94" t="s">
        <v>27</v>
      </c>
      <c r="KC54" s="94" t="s">
        <v>26</v>
      </c>
      <c r="KD54" s="94"/>
      <c r="KE54" s="94"/>
      <c r="KF54" s="94" t="s">
        <v>27</v>
      </c>
      <c r="KG54" s="94" t="s">
        <v>26</v>
      </c>
      <c r="KH54" s="94"/>
      <c r="KI54" s="94"/>
      <c r="KJ54" s="94" t="s">
        <v>27</v>
      </c>
      <c r="KK54" s="94" t="s">
        <v>26</v>
      </c>
      <c r="KL54" s="94"/>
      <c r="KM54" s="94"/>
      <c r="KN54" s="94" t="s">
        <v>27</v>
      </c>
      <c r="KO54" s="94" t="s">
        <v>26</v>
      </c>
      <c r="KP54" s="94"/>
      <c r="KQ54" s="94"/>
      <c r="KR54" s="94" t="s">
        <v>27</v>
      </c>
      <c r="KS54" s="94" t="s">
        <v>26</v>
      </c>
      <c r="KT54" s="94"/>
      <c r="KU54" s="94"/>
      <c r="KV54" s="94" t="s">
        <v>27</v>
      </c>
      <c r="KW54" s="94" t="s">
        <v>26</v>
      </c>
      <c r="KX54" s="94"/>
      <c r="KY54" s="94"/>
      <c r="KZ54" s="94" t="s">
        <v>27</v>
      </c>
      <c r="LA54" s="94" t="s">
        <v>26</v>
      </c>
      <c r="LB54" s="94"/>
      <c r="LC54" s="94"/>
      <c r="LD54" s="94" t="s">
        <v>27</v>
      </c>
      <c r="LE54" s="94" t="s">
        <v>37</v>
      </c>
      <c r="LF54" s="131"/>
      <c r="LG54" s="131"/>
      <c r="LH54" s="131"/>
      <c r="LI54" s="131"/>
      <c r="LJ54" s="131"/>
      <c r="LK54" s="131"/>
      <c r="LL54" s="131"/>
      <c r="LM54" s="131"/>
      <c r="LN54" s="131"/>
      <c r="LO54" s="131"/>
      <c r="LP54" s="131"/>
      <c r="LQ54" s="131"/>
      <c r="LR54" s="131"/>
      <c r="LS54" s="131"/>
      <c r="LT54" s="131"/>
      <c r="LU54" s="131"/>
      <c r="LV54" s="131"/>
      <c r="LW54" s="131"/>
      <c r="LX54" s="131"/>
      <c r="LY54" s="131"/>
      <c r="LZ54" s="131"/>
      <c r="MA54" s="131"/>
      <c r="MB54" s="131"/>
    </row>
    <row r="55" spans="1:340" s="50" customFormat="1" ht="31.5" customHeight="1" thickBot="1">
      <c r="A55" s="44">
        <v>2</v>
      </c>
      <c r="B55" s="125" t="s">
        <v>97</v>
      </c>
      <c r="C55" s="51" t="s">
        <v>30</v>
      </c>
      <c r="D55" s="133" t="s">
        <v>22</v>
      </c>
      <c r="E55" s="134" t="s">
        <v>23</v>
      </c>
      <c r="F55" s="135" t="s">
        <v>24</v>
      </c>
      <c r="G55" s="145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60"/>
      <c r="BM55" s="131"/>
      <c r="BN55" s="131"/>
      <c r="BO55" s="131"/>
      <c r="BP55" s="131"/>
      <c r="BQ55" s="131"/>
      <c r="BR55" s="131"/>
      <c r="BS55" s="131"/>
      <c r="BT55" s="131"/>
      <c r="BU55" s="131"/>
      <c r="BV55" s="131"/>
      <c r="BW55" s="131"/>
      <c r="BX55" s="131"/>
      <c r="BY55" s="171"/>
      <c r="BZ55" s="131"/>
      <c r="CA55" s="131"/>
      <c r="CB55" s="131"/>
      <c r="CC55" s="131"/>
      <c r="CD55" s="131"/>
      <c r="CE55" s="131"/>
      <c r="CF55" s="131"/>
      <c r="CG55" s="131"/>
      <c r="CH55" s="131"/>
      <c r="CI55" s="131"/>
      <c r="CJ55" s="131"/>
      <c r="CK55" s="131"/>
      <c r="CL55" s="131"/>
      <c r="CM55" s="131"/>
      <c r="CN55" s="131"/>
      <c r="CO55" s="131"/>
      <c r="CP55" s="131"/>
      <c r="CQ55" s="131"/>
      <c r="CR55" s="131"/>
      <c r="CS55" s="131"/>
      <c r="CT55" s="131"/>
      <c r="CU55" s="131"/>
      <c r="CV55" s="131"/>
      <c r="CW55" s="131"/>
      <c r="CX55" s="131"/>
      <c r="CY55" s="131"/>
      <c r="CZ55" s="131"/>
      <c r="DA55" s="131"/>
      <c r="DB55" s="131"/>
      <c r="DC55" s="131"/>
      <c r="DD55" s="131"/>
      <c r="DE55" s="131"/>
      <c r="DF55" s="131"/>
      <c r="DG55" s="131"/>
      <c r="DH55" s="131"/>
      <c r="DI55" s="131"/>
      <c r="DJ55" s="131"/>
      <c r="DK55" s="131"/>
      <c r="DL55" s="131"/>
      <c r="DM55" s="131"/>
      <c r="DN55" s="131"/>
      <c r="DO55" s="131"/>
      <c r="DP55" s="131"/>
      <c r="DQ55" s="131"/>
      <c r="DR55" s="131"/>
      <c r="DS55" s="131"/>
      <c r="DT55" s="131"/>
      <c r="DU55" s="131"/>
      <c r="DV55" s="131"/>
      <c r="DW55" s="131"/>
      <c r="DX55" s="131"/>
      <c r="DY55" s="131"/>
      <c r="DZ55" s="131"/>
      <c r="EA55" s="131"/>
      <c r="EB55" s="131"/>
      <c r="EC55" s="131"/>
      <c r="ED55" s="131"/>
      <c r="EE55" s="131"/>
      <c r="EF55" s="131"/>
      <c r="EG55" s="131"/>
      <c r="EH55" s="131"/>
      <c r="EI55" s="131"/>
      <c r="EJ55" s="131"/>
      <c r="EK55" s="131"/>
      <c r="EL55" s="131"/>
      <c r="EM55" s="131"/>
      <c r="EN55" s="131"/>
      <c r="EO55" s="131"/>
      <c r="EP55" s="131"/>
      <c r="EQ55" s="131"/>
      <c r="ER55" s="131"/>
      <c r="ES55" s="131"/>
      <c r="ET55" s="131"/>
      <c r="EU55" s="131"/>
      <c r="EV55" s="131"/>
      <c r="EW55" s="131"/>
      <c r="EX55" s="131"/>
      <c r="EY55" s="131"/>
      <c r="EZ55" s="131"/>
      <c r="FA55" s="131"/>
      <c r="FB55" s="131"/>
      <c r="FC55" s="131"/>
      <c r="FD55" s="131"/>
      <c r="FE55" s="131"/>
      <c r="FF55" s="131"/>
      <c r="FG55" s="131"/>
      <c r="FH55" s="131"/>
      <c r="FI55" s="131"/>
      <c r="FJ55" s="131"/>
      <c r="FK55" s="131"/>
      <c r="FL55" s="131"/>
      <c r="FM55" s="131"/>
      <c r="FN55" s="131"/>
      <c r="FO55" s="131"/>
      <c r="FP55" s="131"/>
      <c r="FQ55" s="131"/>
      <c r="FR55" s="131"/>
      <c r="FS55" s="131"/>
      <c r="FT55" s="131"/>
      <c r="FU55" s="131"/>
      <c r="FV55" s="131"/>
      <c r="FW55" s="131"/>
      <c r="FX55" s="131"/>
      <c r="FY55" s="131"/>
      <c r="FZ55" s="131"/>
      <c r="GA55" s="131"/>
      <c r="GB55" s="131"/>
      <c r="GC55" s="131"/>
      <c r="GD55" s="131"/>
      <c r="GE55" s="131"/>
      <c r="GF55" s="131"/>
      <c r="GG55" s="131"/>
      <c r="GH55" s="131"/>
      <c r="GI55" s="131"/>
      <c r="GJ55" s="131"/>
      <c r="GK55" s="131"/>
      <c r="GL55" s="131"/>
      <c r="GM55" s="131"/>
      <c r="GN55" s="131"/>
      <c r="GO55" s="131"/>
      <c r="GP55" s="131"/>
      <c r="GQ55" s="131"/>
      <c r="GR55" s="131"/>
      <c r="GS55" s="131"/>
      <c r="GT55" s="131"/>
      <c r="GU55" s="131"/>
      <c r="GV55" s="131"/>
      <c r="GW55" s="131"/>
      <c r="GX55" s="131"/>
      <c r="GY55" s="131"/>
      <c r="GZ55" s="131"/>
      <c r="HA55" s="131"/>
      <c r="HB55" s="131"/>
      <c r="HC55" s="131"/>
      <c r="HD55" s="131"/>
      <c r="HE55" s="131"/>
      <c r="HF55" s="131"/>
      <c r="HG55" s="131"/>
      <c r="HH55" s="131"/>
      <c r="HI55" s="131"/>
      <c r="HJ55" s="131"/>
      <c r="HK55" s="131"/>
      <c r="HL55" s="131"/>
      <c r="HM55" s="131"/>
      <c r="HN55" s="131"/>
      <c r="HO55" s="131"/>
      <c r="HP55" s="131"/>
      <c r="HQ55" s="131"/>
      <c r="HR55" s="131"/>
      <c r="HS55" s="131"/>
      <c r="HT55" s="131"/>
      <c r="HU55" s="131"/>
      <c r="HV55" s="131"/>
      <c r="HW55" s="131"/>
      <c r="HX55" s="131"/>
      <c r="HY55" s="131"/>
      <c r="HZ55" s="131"/>
      <c r="IA55" s="131"/>
      <c r="IB55" s="131"/>
      <c r="IC55" s="131"/>
      <c r="ID55" s="131"/>
      <c r="IE55" s="131"/>
      <c r="IF55" s="131"/>
      <c r="IG55" s="131"/>
      <c r="IH55" s="131"/>
      <c r="II55" s="131"/>
      <c r="IJ55" s="131"/>
      <c r="IK55" s="131"/>
      <c r="IL55" s="131"/>
      <c r="IM55" s="131"/>
      <c r="IN55" s="131"/>
      <c r="IO55" s="131"/>
      <c r="IP55" s="131"/>
      <c r="IQ55" s="131"/>
      <c r="IR55" s="131"/>
      <c r="IS55" s="131"/>
      <c r="IT55" s="131"/>
      <c r="IU55" s="131"/>
      <c r="IV55" s="131"/>
      <c r="IW55" s="131"/>
      <c r="IX55" s="131"/>
      <c r="IY55" s="131"/>
      <c r="IZ55" s="131"/>
      <c r="JA55" s="131"/>
      <c r="JB55" s="131"/>
      <c r="JC55" s="131"/>
      <c r="JD55" s="131"/>
      <c r="JE55" s="131"/>
      <c r="JF55" s="131"/>
      <c r="JG55" s="131"/>
      <c r="JH55" s="131"/>
      <c r="JI55" s="131"/>
      <c r="JJ55" s="131"/>
      <c r="JK55" s="131"/>
      <c r="JL55" s="131"/>
      <c r="JM55" s="131"/>
      <c r="JN55" s="131"/>
      <c r="JO55" s="131"/>
      <c r="JP55" s="131"/>
      <c r="JQ55" s="131"/>
      <c r="JR55" s="131"/>
      <c r="JS55" s="131"/>
      <c r="JT55" s="94" t="s">
        <v>25</v>
      </c>
      <c r="JU55" s="94" t="s">
        <v>26</v>
      </c>
      <c r="JV55" s="94"/>
      <c r="JW55" s="94"/>
      <c r="JX55" s="94"/>
      <c r="JY55" s="94" t="s">
        <v>41</v>
      </c>
      <c r="JZ55" s="94"/>
      <c r="KA55" s="94"/>
      <c r="KB55" s="94"/>
      <c r="KC55" s="94"/>
      <c r="KD55" s="94"/>
      <c r="KE55" s="94"/>
      <c r="KF55" s="94" t="s">
        <v>57</v>
      </c>
      <c r="KG55" s="94"/>
      <c r="KH55" s="94" t="s">
        <v>26</v>
      </c>
      <c r="KI55" s="94"/>
      <c r="KJ55" s="94"/>
      <c r="KK55" s="94"/>
      <c r="KL55" s="94" t="s">
        <v>41</v>
      </c>
      <c r="KM55" s="94"/>
      <c r="KN55" s="94"/>
      <c r="KO55" s="94"/>
      <c r="KP55" s="94"/>
      <c r="KQ55" s="94"/>
      <c r="KR55" s="94"/>
      <c r="KS55" s="94" t="s">
        <v>57</v>
      </c>
      <c r="KT55" s="94"/>
      <c r="KU55" s="94" t="s">
        <v>26</v>
      </c>
      <c r="KV55" s="94"/>
      <c r="KW55" s="94"/>
      <c r="KX55" s="94"/>
      <c r="KY55" s="94"/>
      <c r="KZ55" s="94"/>
      <c r="LA55" s="94"/>
      <c r="LB55" s="94"/>
      <c r="LC55" s="94"/>
      <c r="LD55" s="94"/>
      <c r="LE55" s="94"/>
      <c r="LF55" s="94"/>
      <c r="LG55" s="94"/>
      <c r="LH55" s="94"/>
      <c r="LI55" s="94"/>
      <c r="LJ55" s="94"/>
      <c r="LK55" s="94"/>
      <c r="LL55" s="94"/>
      <c r="LM55" s="94"/>
      <c r="LN55" s="94"/>
      <c r="LO55" s="94"/>
      <c r="LP55" s="94"/>
      <c r="LQ55" s="94"/>
      <c r="LR55" s="94"/>
      <c r="LS55" s="94"/>
      <c r="LT55" s="94"/>
      <c r="LU55" s="94"/>
      <c r="LV55" s="94"/>
      <c r="LW55" s="94"/>
      <c r="LX55" s="94"/>
      <c r="LY55" s="94"/>
      <c r="LZ55" s="94"/>
      <c r="MA55" s="94"/>
      <c r="MB55" s="94"/>
    </row>
    <row r="56" spans="1:340" s="50" customFormat="1" ht="31.5" customHeight="1" thickBot="1">
      <c r="A56" s="44">
        <v>1</v>
      </c>
      <c r="B56" s="107" t="s">
        <v>98</v>
      </c>
      <c r="C56" s="46" t="s">
        <v>99</v>
      </c>
      <c r="D56" s="105" t="s">
        <v>22</v>
      </c>
      <c r="E56" s="117" t="s">
        <v>23</v>
      </c>
      <c r="F56" s="106" t="s">
        <v>24</v>
      </c>
      <c r="G56" s="145"/>
      <c r="H56" s="131"/>
      <c r="I56" s="131"/>
      <c r="J56" s="131"/>
      <c r="K56" s="131"/>
      <c r="L56" s="131"/>
      <c r="M56" s="131"/>
      <c r="N56" s="131"/>
      <c r="O56" s="94" t="s">
        <v>25</v>
      </c>
      <c r="P56" s="94"/>
      <c r="Q56" s="94"/>
      <c r="R56" s="94"/>
      <c r="S56" s="94"/>
      <c r="T56" s="94" t="s">
        <v>26</v>
      </c>
      <c r="U56" s="94"/>
      <c r="V56" s="94" t="s">
        <v>26</v>
      </c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 t="s">
        <v>41</v>
      </c>
      <c r="AH56" s="94"/>
      <c r="AI56" s="94"/>
      <c r="AJ56" s="94"/>
      <c r="AK56" s="94"/>
      <c r="AL56" s="94"/>
      <c r="AM56" s="94"/>
      <c r="AN56" s="144"/>
      <c r="AO56" s="94"/>
      <c r="AP56" s="94" t="s">
        <v>41</v>
      </c>
      <c r="AQ56" s="94"/>
      <c r="AR56" s="94"/>
      <c r="AS56" s="94"/>
      <c r="AT56" s="94"/>
      <c r="AU56" s="94"/>
      <c r="AV56" s="94"/>
      <c r="AW56" s="144"/>
      <c r="AX56" s="94" t="s">
        <v>57</v>
      </c>
      <c r="AY56" s="94"/>
      <c r="AZ56" s="94"/>
      <c r="BA56" s="94"/>
      <c r="BB56" s="94"/>
      <c r="BC56" s="94"/>
      <c r="BD56" s="94"/>
      <c r="BE56" s="94"/>
      <c r="BF56" s="94"/>
      <c r="BG56" s="94"/>
      <c r="BH56" s="94"/>
      <c r="BI56" s="94" t="s">
        <v>57</v>
      </c>
      <c r="BJ56" s="94"/>
      <c r="BK56" s="94"/>
      <c r="BL56" s="94"/>
      <c r="BM56" s="94"/>
      <c r="BN56" s="94"/>
      <c r="BO56" s="94"/>
      <c r="BP56" s="94"/>
      <c r="BQ56" s="94"/>
      <c r="BR56" s="94"/>
      <c r="BS56" s="94"/>
      <c r="BT56" s="94"/>
      <c r="BU56" s="94"/>
      <c r="BV56" s="94"/>
      <c r="BW56" s="94"/>
      <c r="BX56" s="94"/>
      <c r="BZ56" s="94" t="s">
        <v>26</v>
      </c>
      <c r="CA56" s="94"/>
      <c r="CB56" s="94" t="s">
        <v>26</v>
      </c>
      <c r="CC56" s="94" t="s">
        <v>26</v>
      </c>
      <c r="CD56" s="94" t="s">
        <v>26</v>
      </c>
      <c r="CE56" s="94"/>
      <c r="CF56" s="94"/>
      <c r="CG56" s="94"/>
      <c r="CH56" s="94"/>
      <c r="CI56" s="94"/>
      <c r="CJ56" s="94"/>
      <c r="CK56" s="94"/>
      <c r="CL56" s="94"/>
      <c r="CM56" s="94"/>
      <c r="CN56" s="94" t="s">
        <v>41</v>
      </c>
      <c r="CO56" s="94"/>
      <c r="CP56" s="94"/>
      <c r="CQ56" s="94"/>
      <c r="CR56" s="94"/>
      <c r="CS56" s="94"/>
      <c r="CT56" s="94"/>
      <c r="CU56" s="94"/>
      <c r="CV56" s="94"/>
      <c r="CW56" s="94"/>
      <c r="CX56" s="94"/>
      <c r="CY56" s="94" t="s">
        <v>41</v>
      </c>
      <c r="CZ56" s="94"/>
      <c r="DA56" s="94"/>
      <c r="DB56" s="94"/>
      <c r="DC56" s="94"/>
      <c r="DD56" s="94"/>
      <c r="DE56" s="94"/>
      <c r="DF56" s="94"/>
      <c r="DG56" s="94"/>
      <c r="DH56" s="94" t="s">
        <v>41</v>
      </c>
      <c r="DI56" s="94"/>
      <c r="DJ56" s="94"/>
      <c r="DK56" s="94"/>
      <c r="DL56" s="94"/>
      <c r="DM56" s="94"/>
      <c r="DN56" s="94"/>
      <c r="DO56" s="94"/>
      <c r="DP56" s="94"/>
      <c r="DQ56" s="94"/>
      <c r="DR56" s="94" t="s">
        <v>41</v>
      </c>
      <c r="DS56" s="94"/>
      <c r="DT56" s="94"/>
      <c r="DU56" s="94"/>
      <c r="DV56" s="94"/>
      <c r="DW56" s="94"/>
      <c r="DX56" s="94"/>
      <c r="DY56" s="94"/>
      <c r="DZ56" s="94"/>
      <c r="EA56" s="94"/>
      <c r="EB56" s="94"/>
      <c r="EC56" s="94"/>
      <c r="ED56" s="94" t="s">
        <v>42</v>
      </c>
      <c r="EE56" s="94" t="s">
        <v>42</v>
      </c>
      <c r="EF56" s="94"/>
      <c r="EG56" s="94"/>
      <c r="EH56" s="94"/>
      <c r="EI56" s="94"/>
      <c r="EJ56" s="94"/>
      <c r="EK56" s="94" t="s">
        <v>57</v>
      </c>
      <c r="EL56" s="94"/>
      <c r="EM56" s="94"/>
      <c r="EN56" s="94"/>
      <c r="EO56" s="94"/>
      <c r="EP56" s="94"/>
      <c r="EQ56" s="94"/>
      <c r="ER56" s="94"/>
      <c r="ES56" s="94"/>
      <c r="ET56" s="94"/>
      <c r="EU56" s="94"/>
      <c r="EV56" s="94"/>
      <c r="EW56" s="94"/>
      <c r="EX56" s="94" t="s">
        <v>57</v>
      </c>
      <c r="EY56" s="94"/>
      <c r="EZ56" s="94"/>
      <c r="FA56" s="94"/>
      <c r="FB56" s="94"/>
      <c r="FC56" s="94"/>
      <c r="FD56" s="94"/>
      <c r="FE56" s="94"/>
      <c r="FF56" s="94"/>
      <c r="FG56" s="94"/>
      <c r="FH56" s="94"/>
      <c r="FI56" s="94"/>
      <c r="FJ56" s="94"/>
      <c r="FK56" s="94"/>
      <c r="FL56" s="94" t="s">
        <v>57</v>
      </c>
      <c r="FM56" s="94"/>
      <c r="FN56" s="94"/>
      <c r="FO56" s="94"/>
      <c r="FP56" s="94"/>
      <c r="FQ56" s="94"/>
      <c r="FR56" s="94"/>
      <c r="FS56" s="94"/>
      <c r="FT56" s="94"/>
      <c r="FU56" s="94"/>
      <c r="FV56" s="94"/>
      <c r="FW56" s="94"/>
      <c r="FX56" s="94"/>
      <c r="FY56" s="94"/>
      <c r="FZ56" s="94"/>
      <c r="GA56" s="94"/>
      <c r="GB56" s="94"/>
      <c r="GC56" s="94"/>
      <c r="GD56" s="94"/>
      <c r="GE56" s="94"/>
      <c r="GF56" s="94"/>
      <c r="GG56" s="94"/>
      <c r="GH56" s="94"/>
      <c r="GI56" s="94"/>
      <c r="GJ56" s="94"/>
      <c r="GK56" s="94"/>
      <c r="GL56" s="94"/>
      <c r="GM56" s="94"/>
      <c r="GN56" s="94"/>
      <c r="GO56" s="94"/>
      <c r="GP56" s="94"/>
      <c r="GQ56" s="94"/>
      <c r="GR56" s="94"/>
      <c r="GS56" s="94" t="s">
        <v>57</v>
      </c>
      <c r="GT56" s="94"/>
      <c r="GU56" s="94"/>
      <c r="GV56" s="94"/>
      <c r="GW56" s="94"/>
      <c r="GX56" s="94"/>
      <c r="GY56" s="94"/>
      <c r="GZ56" s="94"/>
      <c r="HA56" s="94"/>
      <c r="HB56" s="94"/>
      <c r="HC56" s="94"/>
      <c r="HD56" s="94" t="s">
        <v>26</v>
      </c>
      <c r="HE56" s="94"/>
      <c r="HF56" s="94" t="s">
        <v>26</v>
      </c>
      <c r="HG56" s="94"/>
      <c r="HH56" s="94"/>
      <c r="HI56" s="94"/>
      <c r="HJ56" s="94"/>
      <c r="HK56" s="94"/>
      <c r="HL56" s="94"/>
      <c r="HM56" s="94"/>
      <c r="HN56" s="94"/>
      <c r="HO56" s="94"/>
      <c r="HP56" s="94" t="s">
        <v>41</v>
      </c>
      <c r="HQ56" s="94"/>
      <c r="HR56" s="94"/>
      <c r="HS56" s="94"/>
      <c r="HT56" s="94"/>
      <c r="HU56" s="94"/>
      <c r="HV56" s="94"/>
      <c r="HW56" s="94"/>
      <c r="HX56" s="94"/>
      <c r="HY56" s="94"/>
      <c r="HZ56" s="94" t="s">
        <v>41</v>
      </c>
      <c r="IA56" s="94"/>
      <c r="IB56" s="94"/>
      <c r="IC56" s="94"/>
      <c r="ID56" s="94"/>
      <c r="IE56" s="94"/>
      <c r="IF56" s="94"/>
      <c r="IG56" s="94"/>
      <c r="IH56" s="94"/>
      <c r="II56" s="94"/>
      <c r="IJ56" s="94"/>
      <c r="IK56" s="94"/>
      <c r="IL56" s="94"/>
      <c r="IM56" s="94" t="s">
        <v>57</v>
      </c>
      <c r="IN56" s="94"/>
      <c r="IO56" s="94"/>
      <c r="IP56" s="94"/>
      <c r="IQ56" s="94"/>
      <c r="IR56" s="94"/>
      <c r="IS56" s="94"/>
      <c r="IT56" s="94"/>
      <c r="IU56" s="94"/>
      <c r="IV56" s="94"/>
      <c r="IW56" s="94"/>
      <c r="IX56" s="94" t="s">
        <v>57</v>
      </c>
      <c r="IY56" s="94"/>
      <c r="IZ56" s="94"/>
      <c r="JA56" s="94"/>
      <c r="JB56" s="94"/>
      <c r="JC56" s="94"/>
      <c r="JD56" s="94"/>
      <c r="JE56" s="94"/>
      <c r="JF56" s="94"/>
      <c r="JG56" s="94"/>
      <c r="JH56" s="94" t="s">
        <v>57</v>
      </c>
      <c r="JI56" s="94"/>
      <c r="JJ56" s="94"/>
      <c r="JK56" s="94"/>
      <c r="JL56" s="94" t="s">
        <v>26</v>
      </c>
      <c r="JM56" s="94" t="s">
        <v>26</v>
      </c>
      <c r="JN56" s="94" t="s">
        <v>26</v>
      </c>
      <c r="JO56" s="94"/>
      <c r="JP56" s="94"/>
      <c r="JQ56" s="94"/>
      <c r="JR56" s="94"/>
      <c r="JS56" s="94"/>
      <c r="JT56" s="94"/>
      <c r="JU56" s="94" t="s">
        <v>41</v>
      </c>
      <c r="JV56" s="94"/>
      <c r="JW56" s="94"/>
      <c r="JX56" s="94"/>
      <c r="JY56" s="94"/>
      <c r="JZ56" s="94"/>
      <c r="KA56" s="94"/>
      <c r="KB56" s="94"/>
      <c r="KC56" s="94"/>
      <c r="KD56" s="94" t="s">
        <v>57</v>
      </c>
      <c r="KE56" s="94"/>
      <c r="KF56" s="94"/>
      <c r="KG56" s="94"/>
      <c r="KH56" s="94"/>
      <c r="KI56" s="94"/>
      <c r="KJ56" s="94"/>
      <c r="KK56" s="94"/>
      <c r="KL56" s="94"/>
      <c r="KM56" s="94"/>
      <c r="KN56" s="94" t="s">
        <v>41</v>
      </c>
      <c r="KO56" s="94"/>
      <c r="KP56" s="94"/>
      <c r="KQ56" s="94"/>
      <c r="KR56" s="94"/>
      <c r="KS56" s="94"/>
      <c r="KT56" s="94"/>
      <c r="KU56" s="94"/>
      <c r="KV56" s="94"/>
      <c r="KW56" s="94" t="s">
        <v>57</v>
      </c>
      <c r="KX56" s="94"/>
      <c r="KY56" s="94"/>
      <c r="KZ56" s="94"/>
      <c r="LA56" s="94"/>
      <c r="LB56" s="94"/>
      <c r="LC56" s="94"/>
      <c r="LD56" s="94"/>
      <c r="LE56" s="94"/>
      <c r="LF56" s="94"/>
      <c r="LG56" s="94" t="s">
        <v>41</v>
      </c>
      <c r="LH56" s="94"/>
      <c r="LI56" s="94"/>
      <c r="LJ56" s="94"/>
      <c r="LK56" s="94"/>
      <c r="LL56" s="94"/>
      <c r="LM56" s="94"/>
      <c r="LN56" s="94"/>
      <c r="LO56" s="94"/>
      <c r="LP56" s="94" t="s">
        <v>57</v>
      </c>
      <c r="LQ56" s="94"/>
      <c r="LR56" s="94"/>
      <c r="LS56" s="94"/>
      <c r="LT56" s="94"/>
      <c r="LU56" s="94" t="s">
        <v>26</v>
      </c>
      <c r="LV56" s="94" t="s">
        <v>26</v>
      </c>
      <c r="LW56" s="94" t="s">
        <v>26</v>
      </c>
      <c r="LX56" s="94"/>
      <c r="LY56" s="94"/>
      <c r="LZ56" s="94"/>
      <c r="MA56" s="94"/>
      <c r="MB56" s="94"/>
    </row>
    <row r="57" spans="1:340" s="50" customFormat="1" ht="31.5" customHeight="1" thickBot="1">
      <c r="A57" s="44">
        <v>2</v>
      </c>
      <c r="B57" s="125" t="s">
        <v>98</v>
      </c>
      <c r="C57" s="51" t="s">
        <v>30</v>
      </c>
      <c r="D57" s="133" t="s">
        <v>22</v>
      </c>
      <c r="E57" s="134" t="s">
        <v>23</v>
      </c>
      <c r="F57" s="135" t="s">
        <v>24</v>
      </c>
      <c r="G57" s="145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6"/>
      <c r="AO57" s="131"/>
      <c r="AP57" s="131"/>
      <c r="AQ57" s="131"/>
      <c r="AR57" s="131"/>
      <c r="AS57" s="131"/>
      <c r="AT57" s="131"/>
      <c r="AU57" s="131"/>
      <c r="AV57" s="131"/>
      <c r="AW57" s="136"/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1"/>
      <c r="BY57" s="160"/>
      <c r="BZ57" s="131"/>
      <c r="CA57" s="131"/>
      <c r="CB57" s="131"/>
      <c r="CC57" s="131"/>
      <c r="CD57" s="131"/>
      <c r="CE57" s="131"/>
      <c r="CF57" s="131"/>
      <c r="CG57" s="131"/>
      <c r="CH57" s="131"/>
      <c r="CI57" s="131"/>
      <c r="CJ57" s="131"/>
      <c r="CK57" s="131"/>
      <c r="CL57" s="131"/>
      <c r="CM57" s="131"/>
      <c r="CN57" s="131"/>
      <c r="CO57" s="131"/>
      <c r="CP57" s="131"/>
      <c r="CQ57" s="131"/>
      <c r="CR57" s="131"/>
      <c r="CS57" s="131"/>
      <c r="CT57" s="131"/>
      <c r="CU57" s="131"/>
      <c r="CV57" s="131"/>
      <c r="CW57" s="131"/>
      <c r="CX57" s="131"/>
      <c r="CY57" s="131"/>
      <c r="CZ57" s="131"/>
      <c r="DA57" s="131"/>
      <c r="DB57" s="131"/>
      <c r="DC57" s="131"/>
      <c r="DD57" s="131"/>
      <c r="DE57" s="131"/>
      <c r="DF57" s="131"/>
      <c r="DG57" s="131"/>
      <c r="DH57" s="131"/>
      <c r="DI57" s="131"/>
      <c r="DJ57" s="131"/>
      <c r="DK57" s="131"/>
      <c r="DL57" s="131"/>
      <c r="DM57" s="131"/>
      <c r="DN57" s="131"/>
      <c r="DO57" s="131"/>
      <c r="DP57" s="131"/>
      <c r="DQ57" s="131"/>
      <c r="DR57" s="131"/>
      <c r="DS57" s="131"/>
      <c r="DT57" s="131"/>
      <c r="DU57" s="131"/>
      <c r="DV57" s="131"/>
      <c r="DW57" s="131"/>
      <c r="DX57" s="131"/>
      <c r="DY57" s="131"/>
      <c r="DZ57" s="131"/>
      <c r="EA57" s="131"/>
      <c r="EB57" s="131"/>
      <c r="EC57" s="131"/>
      <c r="ED57" s="131"/>
      <c r="EE57" s="131"/>
      <c r="EF57" s="131"/>
      <c r="EG57" s="131"/>
      <c r="EH57" s="131"/>
      <c r="EI57" s="131"/>
      <c r="EJ57" s="131"/>
      <c r="EK57" s="131"/>
      <c r="EL57" s="131"/>
      <c r="EM57" s="131"/>
      <c r="EN57" s="131"/>
      <c r="EO57" s="131"/>
      <c r="EP57" s="131"/>
      <c r="EQ57" s="131"/>
      <c r="ER57" s="131"/>
      <c r="ES57" s="131"/>
      <c r="ET57" s="131"/>
      <c r="EU57" s="131"/>
      <c r="EV57" s="131"/>
      <c r="EW57" s="131"/>
      <c r="EX57" s="131"/>
      <c r="EY57" s="131"/>
      <c r="EZ57" s="131"/>
      <c r="FA57" s="131"/>
      <c r="FB57" s="131"/>
      <c r="FC57" s="131"/>
      <c r="FD57" s="131"/>
      <c r="FE57" s="131"/>
      <c r="FF57" s="131"/>
      <c r="FG57" s="131"/>
      <c r="FH57" s="131"/>
      <c r="FI57" s="131"/>
      <c r="FJ57" s="131"/>
      <c r="FK57" s="131"/>
      <c r="FL57" s="131"/>
      <c r="FM57" s="131"/>
      <c r="FN57" s="131"/>
      <c r="FO57" s="131"/>
      <c r="FP57" s="131"/>
      <c r="FQ57" s="131"/>
      <c r="FR57" s="131"/>
      <c r="FS57" s="131"/>
      <c r="FT57" s="131"/>
      <c r="FU57" s="131"/>
      <c r="FV57" s="131"/>
      <c r="FW57" s="131"/>
      <c r="FX57" s="131"/>
      <c r="FY57" s="131"/>
      <c r="FZ57" s="131"/>
      <c r="GA57" s="131"/>
      <c r="GB57" s="131"/>
      <c r="GC57" s="131"/>
      <c r="GD57" s="131"/>
      <c r="GE57" s="131"/>
      <c r="GF57" s="131"/>
      <c r="GG57" s="131"/>
      <c r="GH57" s="131"/>
      <c r="GI57" s="131"/>
      <c r="GJ57" s="131"/>
      <c r="GK57" s="131"/>
      <c r="GL57" s="131"/>
      <c r="GM57" s="131"/>
      <c r="GN57" s="131"/>
      <c r="GO57" s="131"/>
      <c r="GP57" s="131"/>
      <c r="GQ57" s="131"/>
      <c r="GR57" s="131"/>
      <c r="GS57" s="131"/>
      <c r="GT57" s="131"/>
      <c r="GU57" s="131"/>
      <c r="GV57" s="131"/>
      <c r="GW57" s="131"/>
      <c r="GX57" s="131"/>
      <c r="GY57" s="131"/>
      <c r="GZ57" s="131"/>
      <c r="HA57" s="131"/>
      <c r="HB57" s="131"/>
      <c r="HC57" s="131"/>
      <c r="HD57" s="131"/>
      <c r="HE57" s="131"/>
      <c r="HF57" s="131"/>
      <c r="HG57" s="131"/>
      <c r="HH57" s="131"/>
      <c r="HI57" s="131"/>
      <c r="HJ57" s="131"/>
      <c r="HK57" s="131"/>
      <c r="HL57" s="131"/>
      <c r="HM57" s="131"/>
      <c r="HN57" s="131"/>
      <c r="HO57" s="131"/>
      <c r="HP57" s="131"/>
      <c r="HQ57" s="131"/>
      <c r="HR57" s="131"/>
      <c r="HS57" s="131"/>
      <c r="HT57" s="131"/>
      <c r="HU57" s="131"/>
      <c r="HV57" s="131"/>
      <c r="HW57" s="131"/>
      <c r="HX57" s="131"/>
      <c r="HY57" s="131"/>
      <c r="HZ57" s="131"/>
      <c r="IA57" s="131"/>
      <c r="IB57" s="131"/>
      <c r="IC57" s="131"/>
      <c r="ID57" s="131"/>
      <c r="IE57" s="131"/>
      <c r="IF57" s="131"/>
      <c r="IG57" s="131"/>
      <c r="IH57" s="131"/>
      <c r="II57" s="131"/>
      <c r="IJ57" s="131"/>
      <c r="IK57" s="131"/>
      <c r="IL57" s="131"/>
      <c r="IM57" s="131"/>
      <c r="IN57" s="131"/>
      <c r="IO57" s="131"/>
      <c r="IP57" s="131"/>
      <c r="IQ57" s="131"/>
      <c r="IR57" s="131"/>
      <c r="IS57" s="131"/>
      <c r="IT57" s="131"/>
      <c r="IU57" s="131"/>
      <c r="IV57" s="131"/>
      <c r="IW57" s="131"/>
      <c r="IX57" s="131"/>
      <c r="IY57" s="131"/>
      <c r="IZ57" s="131"/>
      <c r="JA57" s="131"/>
      <c r="JB57" s="131"/>
      <c r="JC57" s="131"/>
      <c r="JD57" s="131"/>
      <c r="JE57" s="131"/>
      <c r="JF57" s="131"/>
      <c r="JG57" s="131"/>
      <c r="JH57" s="131"/>
      <c r="JI57" s="131"/>
      <c r="JJ57" s="131"/>
      <c r="JK57" s="131"/>
      <c r="JL57" s="131"/>
      <c r="JM57" s="131"/>
      <c r="JN57" s="131"/>
      <c r="JO57" s="131"/>
      <c r="JP57" s="131"/>
      <c r="JQ57" s="131"/>
      <c r="JR57" s="131"/>
      <c r="JS57" s="131"/>
      <c r="JT57" s="131"/>
      <c r="JU57" s="131"/>
      <c r="JV57" s="131"/>
      <c r="JW57" s="131"/>
      <c r="JX57" s="131"/>
      <c r="JY57" s="131"/>
      <c r="JZ57" s="131"/>
      <c r="KA57" s="131"/>
      <c r="KB57" s="131"/>
      <c r="KC57" s="131"/>
      <c r="KD57" s="131"/>
      <c r="KE57" s="131"/>
      <c r="KF57" s="131"/>
      <c r="KG57" s="131"/>
      <c r="KH57" s="131"/>
      <c r="KI57" s="131"/>
      <c r="KJ57" s="131"/>
      <c r="KK57" s="131"/>
      <c r="KL57" s="131"/>
      <c r="KM57" s="131"/>
      <c r="KN57" s="131"/>
      <c r="KO57" s="131"/>
      <c r="KP57" s="131"/>
      <c r="KQ57" s="131"/>
      <c r="KR57" s="131"/>
      <c r="KS57" s="131"/>
      <c r="KT57" s="131"/>
      <c r="KU57" s="131"/>
      <c r="KV57" s="131"/>
      <c r="KW57" s="131"/>
      <c r="KX57" s="131"/>
      <c r="KY57" s="131"/>
      <c r="KZ57" s="131"/>
      <c r="LA57" s="131"/>
      <c r="LB57" s="131"/>
      <c r="LC57" s="131"/>
      <c r="LD57" s="131"/>
      <c r="LE57" s="131"/>
      <c r="LF57" s="131"/>
      <c r="LG57" s="131"/>
      <c r="LH57" s="131"/>
      <c r="LI57" s="131"/>
      <c r="LJ57" s="131"/>
      <c r="LK57" s="131"/>
      <c r="LL57" s="131"/>
      <c r="LM57" s="131"/>
      <c r="LN57" s="131"/>
      <c r="LO57" s="131"/>
      <c r="LP57" s="131"/>
      <c r="LQ57" s="131"/>
      <c r="LR57" s="131"/>
      <c r="LS57" s="131"/>
      <c r="LT57" s="131"/>
      <c r="LU57" s="131"/>
      <c r="LV57" s="131"/>
      <c r="LW57" s="131"/>
      <c r="LX57" s="131"/>
      <c r="LY57" s="131"/>
      <c r="LZ57" s="131"/>
      <c r="MA57" s="131"/>
      <c r="MB57" s="131"/>
    </row>
    <row r="58" spans="1:340" s="50" customFormat="1" ht="31.5" hidden="1" customHeight="1" thickBot="1">
      <c r="A58" s="44">
        <v>1</v>
      </c>
      <c r="B58" s="107" t="s">
        <v>100</v>
      </c>
      <c r="C58" s="46" t="s">
        <v>101</v>
      </c>
      <c r="D58" s="105" t="s">
        <v>35</v>
      </c>
      <c r="E58" s="117" t="s">
        <v>40</v>
      </c>
      <c r="F58" s="106" t="s">
        <v>24</v>
      </c>
      <c r="G58" s="145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94" t="s">
        <v>25</v>
      </c>
      <c r="X58" s="94"/>
      <c r="Y58" s="94" t="s">
        <v>26</v>
      </c>
      <c r="Z58" s="94"/>
      <c r="AA58" s="94"/>
      <c r="AB58" s="94"/>
      <c r="AC58" s="94"/>
      <c r="AD58" s="94" t="s">
        <v>42</v>
      </c>
      <c r="AE58" s="94" t="s">
        <v>26</v>
      </c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14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3" t="s">
        <v>41</v>
      </c>
      <c r="BO58" s="93"/>
      <c r="BP58" s="93"/>
      <c r="BQ58" s="93"/>
      <c r="BR58" s="93"/>
      <c r="BS58" s="93"/>
      <c r="BT58" s="93"/>
      <c r="BU58" s="93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 t="s">
        <v>28</v>
      </c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 t="s">
        <v>41</v>
      </c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 t="s">
        <v>57</v>
      </c>
      <c r="EW58" s="94"/>
      <c r="EX58" s="94"/>
      <c r="EY58" s="94"/>
      <c r="EZ58" s="94"/>
      <c r="FA58" s="94"/>
      <c r="FB58" s="94"/>
      <c r="FC58" s="94"/>
      <c r="FD58" s="94"/>
      <c r="FE58" s="94"/>
      <c r="FF58" s="94" t="s">
        <v>57</v>
      </c>
      <c r="FG58" s="131"/>
      <c r="FH58" s="131"/>
      <c r="FI58" s="131"/>
      <c r="FJ58" s="131"/>
      <c r="FK58" s="131"/>
      <c r="FL58" s="131"/>
      <c r="FM58" s="131"/>
      <c r="FN58" s="131"/>
      <c r="FO58" s="131"/>
      <c r="FP58" s="131"/>
      <c r="FQ58" s="131"/>
      <c r="FR58" s="131"/>
      <c r="FS58" s="131"/>
      <c r="FT58" s="131"/>
      <c r="FU58" s="131"/>
      <c r="FV58" s="131"/>
      <c r="FW58" s="131"/>
      <c r="FX58" s="131" t="s">
        <v>28</v>
      </c>
      <c r="FY58" s="131"/>
      <c r="FZ58" s="131"/>
      <c r="GA58" s="131"/>
      <c r="GB58" s="131"/>
      <c r="GC58" s="131"/>
      <c r="GD58" s="131"/>
      <c r="GE58" s="131"/>
      <c r="GF58" s="131"/>
      <c r="GG58" s="131"/>
      <c r="GH58" s="131"/>
      <c r="GI58" s="131"/>
      <c r="GJ58" s="131"/>
      <c r="GK58" s="94"/>
      <c r="GL58" s="94" t="s">
        <v>42</v>
      </c>
      <c r="GM58" s="94"/>
      <c r="GN58" s="94" t="s">
        <v>42</v>
      </c>
      <c r="GO58" s="94" t="s">
        <v>57</v>
      </c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131"/>
      <c r="HM58" s="131"/>
      <c r="HN58" s="131"/>
      <c r="HO58" s="131"/>
      <c r="HP58" s="131"/>
      <c r="HQ58" s="131"/>
      <c r="HR58" s="131"/>
      <c r="HS58" s="131"/>
      <c r="HT58" s="131"/>
      <c r="HU58" s="131"/>
      <c r="HV58" s="131"/>
      <c r="HW58" s="131"/>
      <c r="HX58" s="131"/>
      <c r="HY58" s="131"/>
      <c r="HZ58" s="131"/>
      <c r="IA58" s="131"/>
      <c r="IB58" s="131"/>
      <c r="IC58" s="131"/>
      <c r="ID58" s="131"/>
      <c r="IE58" s="131"/>
      <c r="IF58" s="131"/>
      <c r="IG58" s="131"/>
      <c r="IH58" s="131"/>
      <c r="II58" s="131"/>
      <c r="IJ58" s="131"/>
      <c r="IK58" s="131"/>
      <c r="IL58" s="131"/>
      <c r="IM58" s="131"/>
      <c r="IN58" s="131"/>
      <c r="IO58" s="131"/>
      <c r="IP58" s="131"/>
      <c r="IQ58" s="131"/>
      <c r="IR58" s="131"/>
      <c r="IS58" s="131"/>
      <c r="IT58" s="131"/>
      <c r="IU58" s="131"/>
      <c r="IV58" s="131"/>
      <c r="IW58" s="131"/>
      <c r="IX58" s="131"/>
      <c r="IY58" s="131"/>
      <c r="IZ58" s="131"/>
      <c r="JA58" s="94"/>
      <c r="JB58" s="94"/>
      <c r="JC58" s="94" t="s">
        <v>26</v>
      </c>
      <c r="JD58" s="94" t="s">
        <v>26</v>
      </c>
      <c r="JE58" s="94" t="s">
        <v>26</v>
      </c>
      <c r="JF58" s="94"/>
      <c r="JG58" s="94"/>
      <c r="JH58" s="94"/>
      <c r="JI58" s="94"/>
      <c r="JJ58" s="94"/>
      <c r="JK58" s="94"/>
      <c r="JL58" s="94"/>
      <c r="JM58" s="94"/>
      <c r="JN58" s="94"/>
      <c r="JO58" s="94"/>
      <c r="JP58" s="94"/>
      <c r="JQ58" s="94"/>
      <c r="JR58" s="94"/>
      <c r="JS58" s="94"/>
      <c r="JT58" s="94"/>
      <c r="JU58" s="94"/>
      <c r="JV58" s="94"/>
      <c r="JW58" s="94"/>
      <c r="JX58" s="94"/>
      <c r="JY58" s="94"/>
      <c r="JZ58" s="94"/>
      <c r="KA58" s="94"/>
      <c r="KB58" s="94"/>
      <c r="KC58" s="94"/>
      <c r="KD58" s="94"/>
      <c r="KE58" s="94"/>
      <c r="KF58" s="94"/>
      <c r="KG58" s="94"/>
      <c r="KH58" s="94"/>
      <c r="KI58" s="94"/>
      <c r="KJ58" s="94"/>
      <c r="KK58" s="94"/>
      <c r="KL58" s="94"/>
      <c r="KM58" s="94"/>
      <c r="KN58" s="94"/>
      <c r="KO58" s="94"/>
      <c r="KP58" s="94"/>
      <c r="KQ58" s="94"/>
      <c r="KR58" s="94"/>
      <c r="KS58" s="94"/>
      <c r="KT58" s="94"/>
      <c r="KU58" s="94"/>
      <c r="KV58" s="94"/>
      <c r="KW58" s="94"/>
      <c r="KX58" s="94"/>
      <c r="KY58" s="94"/>
      <c r="KZ58" s="94"/>
      <c r="LA58" s="94"/>
      <c r="LB58" s="94"/>
      <c r="LC58" s="94"/>
      <c r="LD58" s="94"/>
      <c r="LE58" s="94"/>
      <c r="LF58" s="94"/>
      <c r="LG58" s="94"/>
      <c r="LH58" s="94"/>
      <c r="LI58" s="94"/>
      <c r="LJ58" s="94"/>
      <c r="LK58" s="94"/>
      <c r="LL58" s="94"/>
      <c r="LM58" s="94"/>
      <c r="LN58" s="94"/>
      <c r="LO58" s="94"/>
      <c r="LP58" s="94"/>
      <c r="LQ58" s="94"/>
      <c r="LR58" s="94"/>
      <c r="LS58" s="94"/>
      <c r="LT58" s="94"/>
      <c r="LU58" s="94"/>
      <c r="LV58" s="94"/>
      <c r="LW58" s="94"/>
      <c r="LX58" s="94"/>
      <c r="LY58" s="94"/>
      <c r="LZ58" s="94"/>
      <c r="MA58" s="94"/>
      <c r="MB58" s="94"/>
    </row>
    <row r="59" spans="1:340" s="50" customFormat="1" ht="31.5" customHeight="1" thickBot="1">
      <c r="A59" s="44">
        <v>1</v>
      </c>
      <c r="B59" s="107" t="s">
        <v>102</v>
      </c>
      <c r="C59" s="46" t="s">
        <v>103</v>
      </c>
      <c r="D59" s="105" t="s">
        <v>22</v>
      </c>
      <c r="E59" s="117" t="s">
        <v>23</v>
      </c>
      <c r="F59" s="106" t="s">
        <v>24</v>
      </c>
      <c r="G59" s="145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6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1"/>
      <c r="BY59" s="131"/>
      <c r="BZ59" s="131"/>
      <c r="CA59" s="131"/>
      <c r="CB59" s="131"/>
      <c r="CC59" s="131"/>
      <c r="CD59" s="131"/>
      <c r="CE59" s="131"/>
      <c r="CF59" s="131"/>
      <c r="CG59" s="131"/>
      <c r="CH59" s="131"/>
      <c r="CI59" s="131"/>
      <c r="CJ59" s="131"/>
      <c r="CK59" s="131"/>
      <c r="CL59" s="131"/>
      <c r="CM59" s="131"/>
      <c r="CN59" s="131"/>
      <c r="CO59" s="171"/>
      <c r="CP59" s="131"/>
      <c r="CQ59" s="131"/>
      <c r="CR59" s="131"/>
      <c r="CS59" s="131"/>
      <c r="CT59" s="131"/>
      <c r="CU59" s="131"/>
      <c r="CV59" s="131"/>
      <c r="CW59" s="131"/>
      <c r="CX59" s="131"/>
      <c r="CY59" s="131"/>
      <c r="CZ59" s="131"/>
      <c r="DA59" s="131"/>
      <c r="DB59" s="131"/>
      <c r="DC59" s="131"/>
      <c r="DD59" s="131"/>
      <c r="DE59" s="131"/>
      <c r="DF59" s="131"/>
      <c r="DG59" s="131"/>
      <c r="DH59" s="131"/>
      <c r="DI59" s="131"/>
      <c r="DJ59" s="131"/>
      <c r="DK59" s="131"/>
      <c r="DL59" s="131"/>
      <c r="DM59" s="131"/>
      <c r="DN59" s="131"/>
      <c r="DO59" s="131"/>
      <c r="DP59" s="131"/>
      <c r="DQ59" s="131"/>
      <c r="DR59" s="131"/>
      <c r="DS59" s="131"/>
      <c r="DT59" s="131"/>
      <c r="DU59" s="131"/>
      <c r="DV59" s="131"/>
      <c r="DW59" s="131"/>
      <c r="DX59" s="131"/>
      <c r="DY59" s="131"/>
      <c r="DZ59" s="131"/>
      <c r="EA59" s="131"/>
      <c r="EB59" s="131"/>
      <c r="EC59" s="131"/>
      <c r="ED59" s="131"/>
      <c r="EE59" s="131"/>
      <c r="EF59" s="131"/>
      <c r="EG59" s="131"/>
      <c r="EH59" s="131"/>
      <c r="EI59" s="131"/>
      <c r="EJ59" s="131"/>
      <c r="EK59" s="131"/>
      <c r="EL59" s="131"/>
      <c r="EM59" s="131"/>
      <c r="EN59" s="131"/>
      <c r="EO59" s="131"/>
      <c r="EP59" s="131"/>
      <c r="EQ59" s="131"/>
      <c r="ER59" s="131"/>
      <c r="ES59" s="131"/>
      <c r="ET59" s="131"/>
      <c r="EU59" s="131"/>
      <c r="EV59" s="131"/>
      <c r="EW59" s="131"/>
      <c r="EX59" s="131"/>
      <c r="EY59" s="131"/>
      <c r="EZ59" s="131"/>
      <c r="FA59" s="131"/>
      <c r="FB59" s="131"/>
      <c r="FC59" s="131"/>
      <c r="FD59" s="131"/>
      <c r="FE59" s="131"/>
      <c r="FF59" s="131"/>
      <c r="FG59" s="131"/>
      <c r="FH59" s="131"/>
      <c r="FI59" s="131"/>
      <c r="FJ59" s="131"/>
      <c r="FK59" s="131"/>
      <c r="FL59" s="131"/>
      <c r="FM59" s="131"/>
      <c r="FN59" s="131"/>
      <c r="FO59" s="131"/>
      <c r="FP59" s="131"/>
      <c r="FQ59" s="131"/>
      <c r="FR59" s="131"/>
      <c r="FS59" s="131"/>
      <c r="FT59" s="131"/>
      <c r="FU59" s="131"/>
      <c r="FV59" s="131"/>
      <c r="FW59" s="131"/>
      <c r="FX59" s="131"/>
      <c r="FY59" s="131"/>
      <c r="FZ59" s="131"/>
      <c r="GA59" s="131"/>
      <c r="GB59" s="131"/>
      <c r="GC59" s="131"/>
      <c r="GD59" s="131" t="s">
        <v>25</v>
      </c>
      <c r="GE59" s="94"/>
      <c r="GF59" s="94" t="s">
        <v>26</v>
      </c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 t="s">
        <v>27</v>
      </c>
      <c r="GS59" s="94"/>
      <c r="GT59" s="94"/>
      <c r="GU59" s="94"/>
      <c r="GV59" s="94"/>
      <c r="GW59" s="94" t="s">
        <v>26</v>
      </c>
      <c r="GX59" s="94"/>
      <c r="GY59" s="94"/>
      <c r="GZ59" s="94"/>
      <c r="HA59" s="94"/>
      <c r="HB59" s="94"/>
      <c r="HC59" s="94"/>
      <c r="HD59" s="94"/>
      <c r="HE59" s="94"/>
      <c r="HF59" s="94" t="s">
        <v>27</v>
      </c>
      <c r="HG59" s="94"/>
      <c r="HH59" s="94" t="s">
        <v>26</v>
      </c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 t="s">
        <v>27</v>
      </c>
      <c r="ID59" s="94"/>
      <c r="IE59" s="94" t="s">
        <v>26</v>
      </c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 t="s">
        <v>27</v>
      </c>
      <c r="IT59" s="94"/>
      <c r="IU59" s="94" t="s">
        <v>26</v>
      </c>
      <c r="IV59" s="94"/>
      <c r="IW59" s="94"/>
      <c r="IX59" s="94"/>
      <c r="IY59" s="94"/>
      <c r="IZ59" s="94"/>
      <c r="JA59" s="94"/>
      <c r="JB59" s="94"/>
      <c r="JC59" s="94"/>
      <c r="JD59" s="94"/>
      <c r="JE59" s="94"/>
      <c r="JF59" s="94" t="s">
        <v>27</v>
      </c>
      <c r="JG59" s="94"/>
      <c r="JH59" s="94" t="s">
        <v>26</v>
      </c>
      <c r="JI59" s="94"/>
      <c r="JJ59" s="94"/>
      <c r="JK59" s="94"/>
      <c r="JL59" s="94"/>
      <c r="JM59" s="94"/>
      <c r="JN59" s="94"/>
      <c r="JO59" s="94"/>
      <c r="JP59" s="94"/>
      <c r="JQ59" s="94"/>
      <c r="JR59" s="94"/>
      <c r="JS59" s="94"/>
      <c r="JT59" s="94"/>
      <c r="JU59" s="94"/>
      <c r="JV59" s="94" t="s">
        <v>27</v>
      </c>
      <c r="JW59" s="94"/>
      <c r="JX59" s="94" t="s">
        <v>26</v>
      </c>
      <c r="JY59" s="94"/>
      <c r="JZ59" s="94"/>
      <c r="KA59" s="94"/>
      <c r="KB59" s="94"/>
      <c r="KC59" s="94"/>
      <c r="KD59" s="94"/>
      <c r="KE59" s="94"/>
      <c r="KF59" s="94"/>
      <c r="KG59" s="94"/>
      <c r="KH59" s="94"/>
      <c r="KI59" s="94"/>
      <c r="KJ59" s="94"/>
      <c r="KK59" s="94"/>
      <c r="KL59" s="94" t="s">
        <v>27</v>
      </c>
      <c r="KM59" s="94"/>
      <c r="KN59" s="94" t="s">
        <v>26</v>
      </c>
      <c r="KO59" s="94"/>
      <c r="KP59" s="94"/>
      <c r="KQ59" s="94"/>
      <c r="KR59" s="94"/>
      <c r="KS59" s="94"/>
      <c r="KT59" s="94"/>
      <c r="KU59" s="94"/>
      <c r="KV59" s="94"/>
      <c r="KW59" s="94"/>
      <c r="KX59" s="94"/>
      <c r="KY59" s="94"/>
      <c r="KZ59" s="94"/>
      <c r="LA59" s="94"/>
      <c r="LB59" s="94" t="s">
        <v>27</v>
      </c>
      <c r="LC59" s="94"/>
      <c r="LD59" s="94" t="s">
        <v>26</v>
      </c>
      <c r="LE59" s="94"/>
      <c r="LF59" s="94"/>
      <c r="LG59" s="94"/>
      <c r="LH59" s="94"/>
      <c r="LI59" s="94"/>
      <c r="LJ59" s="94"/>
      <c r="LK59" s="94"/>
      <c r="LL59" s="94"/>
      <c r="LM59" s="94"/>
      <c r="LN59" s="94"/>
      <c r="LO59" s="94"/>
      <c r="LP59" s="94"/>
      <c r="LQ59" s="94"/>
      <c r="LR59" s="94" t="s">
        <v>27</v>
      </c>
      <c r="LS59" s="94"/>
      <c r="LT59" s="94" t="s">
        <v>26</v>
      </c>
      <c r="LU59" s="94"/>
      <c r="LV59" s="94"/>
      <c r="LW59" s="94"/>
      <c r="LX59" s="94"/>
      <c r="LY59" s="94"/>
      <c r="LZ59" s="94"/>
      <c r="MA59" s="94"/>
      <c r="MB59" s="94"/>
    </row>
    <row r="60" spans="1:340" s="50" customFormat="1" ht="31.5" hidden="1" customHeight="1" thickBot="1">
      <c r="A60" s="185">
        <v>1</v>
      </c>
      <c r="B60" s="104" t="s">
        <v>104</v>
      </c>
      <c r="C60" s="46" t="s">
        <v>105</v>
      </c>
      <c r="D60" s="105" t="s">
        <v>49</v>
      </c>
      <c r="E60" s="117" t="s">
        <v>78</v>
      </c>
      <c r="F60" s="106" t="s">
        <v>24</v>
      </c>
      <c r="G60" s="143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 t="s">
        <v>25</v>
      </c>
      <c r="EG60" s="94"/>
      <c r="EH60" s="94"/>
      <c r="EI60" s="94" t="s">
        <v>26</v>
      </c>
      <c r="EJ60" s="94"/>
      <c r="EK60" s="94"/>
      <c r="EL60" s="94" t="s">
        <v>41</v>
      </c>
      <c r="EM60" s="94" t="s">
        <v>26</v>
      </c>
      <c r="EN60" s="94"/>
      <c r="EO60" s="94"/>
      <c r="EP60" s="94" t="s">
        <v>41</v>
      </c>
      <c r="EQ60" s="94" t="s">
        <v>26</v>
      </c>
      <c r="ER60" s="94"/>
      <c r="ES60" s="94"/>
      <c r="ET60" s="94"/>
      <c r="EU60" s="94" t="s">
        <v>41</v>
      </c>
      <c r="EV60" s="94" t="s">
        <v>26</v>
      </c>
      <c r="EW60" s="94"/>
      <c r="EX60" s="94"/>
      <c r="EY60" s="94"/>
      <c r="EZ60" s="94" t="s">
        <v>41</v>
      </c>
      <c r="FA60" s="94" t="s">
        <v>26</v>
      </c>
      <c r="FB60" s="94"/>
      <c r="FC60" s="94" t="s">
        <v>41</v>
      </c>
      <c r="FD60" s="94" t="s">
        <v>26</v>
      </c>
      <c r="FE60" s="94" t="s">
        <v>41</v>
      </c>
      <c r="FF60" s="94"/>
      <c r="FG60" s="94" t="s">
        <v>26</v>
      </c>
      <c r="FH60" s="94"/>
      <c r="FI60" s="94" t="s">
        <v>41</v>
      </c>
      <c r="FJ60" s="94" t="s">
        <v>26</v>
      </c>
      <c r="FK60" s="94" t="s">
        <v>106</v>
      </c>
      <c r="FL60" s="94" t="s">
        <v>41</v>
      </c>
      <c r="FM60" s="94" t="s">
        <v>26</v>
      </c>
      <c r="FN60" s="94"/>
      <c r="FO60" s="94" t="s">
        <v>41</v>
      </c>
      <c r="FP60" s="94" t="s">
        <v>26</v>
      </c>
      <c r="FQ60" s="94"/>
      <c r="FR60" s="94" t="s">
        <v>41</v>
      </c>
      <c r="FS60" s="94"/>
      <c r="FT60" s="131"/>
      <c r="FU60" s="131"/>
      <c r="FV60" s="131"/>
      <c r="FW60" s="131"/>
      <c r="FX60" s="131"/>
      <c r="FY60" s="131"/>
      <c r="FZ60" s="131"/>
      <c r="GA60" s="131"/>
      <c r="GB60" s="131"/>
      <c r="GC60" s="131"/>
      <c r="GD60" s="131"/>
      <c r="GE60" s="131"/>
      <c r="GF60" s="131"/>
      <c r="GG60" s="131"/>
      <c r="GH60" s="131"/>
      <c r="GI60" s="131"/>
      <c r="GJ60" s="131"/>
      <c r="GK60" s="131"/>
      <c r="GL60" s="131"/>
      <c r="GM60" s="131"/>
      <c r="GN60" s="131"/>
      <c r="GO60" s="131"/>
      <c r="GP60" s="131"/>
      <c r="GQ60" s="131"/>
      <c r="GR60" s="131"/>
      <c r="GS60" s="131"/>
      <c r="GT60" s="131"/>
      <c r="GU60" s="131"/>
      <c r="GV60" s="131"/>
      <c r="GW60" s="131"/>
      <c r="GX60" s="131"/>
      <c r="GY60" s="131"/>
      <c r="GZ60" s="131"/>
      <c r="HA60" s="131"/>
      <c r="HB60" s="131"/>
      <c r="HC60" s="131"/>
      <c r="HD60" s="131"/>
      <c r="HE60" s="131"/>
      <c r="HF60" s="131"/>
      <c r="HG60" s="131"/>
      <c r="HH60" s="131"/>
      <c r="HI60" s="131"/>
      <c r="HJ60" s="131"/>
      <c r="HK60" s="131"/>
      <c r="HL60" s="131"/>
      <c r="HM60" s="131"/>
      <c r="HN60" s="131"/>
      <c r="HO60" s="131"/>
      <c r="HP60" s="131"/>
      <c r="HQ60" s="131"/>
      <c r="HR60" s="131"/>
      <c r="HS60" s="131"/>
      <c r="HT60" s="131"/>
      <c r="HU60" s="131"/>
      <c r="HV60" s="131"/>
      <c r="HW60" s="131"/>
      <c r="HX60" s="131"/>
      <c r="HY60" s="131"/>
      <c r="HZ60" s="131"/>
      <c r="IA60" s="131"/>
      <c r="IB60" s="131"/>
      <c r="IC60" s="131"/>
      <c r="ID60" s="131"/>
      <c r="IE60" s="131"/>
      <c r="IF60" s="131"/>
      <c r="IG60" s="131"/>
      <c r="IH60" s="131"/>
      <c r="II60" s="131" t="s">
        <v>25</v>
      </c>
      <c r="IJ60" s="94" t="s">
        <v>26</v>
      </c>
      <c r="IK60" s="94"/>
      <c r="IL60" s="94"/>
      <c r="IM60" s="94" t="s">
        <v>41</v>
      </c>
      <c r="IN60" s="94" t="s">
        <v>26</v>
      </c>
      <c r="IO60" s="94"/>
      <c r="IP60" s="94"/>
      <c r="IQ60" s="94" t="s">
        <v>41</v>
      </c>
      <c r="IR60" s="94" t="s">
        <v>26</v>
      </c>
      <c r="IS60" s="94"/>
      <c r="IT60" s="94"/>
      <c r="IU60" s="94" t="s">
        <v>41</v>
      </c>
      <c r="IV60" s="94" t="s">
        <v>26</v>
      </c>
      <c r="IW60" s="94"/>
      <c r="IX60" s="94"/>
      <c r="IY60" s="94" t="s">
        <v>41</v>
      </c>
      <c r="IZ60" s="131"/>
      <c r="JA60" s="131"/>
      <c r="JB60" s="131"/>
      <c r="JC60" s="131"/>
      <c r="JD60" s="131"/>
      <c r="JE60" s="131"/>
      <c r="JF60" s="131"/>
      <c r="JG60" s="131"/>
      <c r="JH60" s="131"/>
      <c r="JI60" s="131"/>
      <c r="JJ60" s="131"/>
      <c r="JK60" s="131"/>
      <c r="JL60" s="131"/>
      <c r="JM60" s="131"/>
      <c r="JN60" s="131"/>
      <c r="JO60" s="131"/>
      <c r="JP60" s="131"/>
      <c r="JQ60" s="131"/>
      <c r="JR60" s="131"/>
      <c r="JS60" s="131"/>
      <c r="JT60" s="94" t="s">
        <v>26</v>
      </c>
      <c r="JU60" s="94"/>
      <c r="JV60" s="94" t="s">
        <v>41</v>
      </c>
      <c r="JW60" s="94" t="s">
        <v>26</v>
      </c>
      <c r="JX60" s="94"/>
      <c r="JY60" s="94" t="s">
        <v>41</v>
      </c>
      <c r="JZ60" s="94" t="s">
        <v>26</v>
      </c>
      <c r="KA60" s="94"/>
      <c r="KB60" s="94" t="s">
        <v>41</v>
      </c>
      <c r="KC60" s="94" t="s">
        <v>26</v>
      </c>
      <c r="KD60" s="94"/>
      <c r="KE60" s="94" t="s">
        <v>41</v>
      </c>
      <c r="KF60" s="94" t="s">
        <v>26</v>
      </c>
      <c r="KG60" s="94"/>
      <c r="KH60" s="94" t="s">
        <v>41</v>
      </c>
      <c r="KI60" s="94" t="s">
        <v>26</v>
      </c>
      <c r="KJ60" s="94"/>
      <c r="KK60" s="94" t="s">
        <v>41</v>
      </c>
      <c r="KL60" s="94" t="s">
        <v>26</v>
      </c>
      <c r="KM60" s="94"/>
      <c r="KN60" s="94" t="s">
        <v>41</v>
      </c>
      <c r="KO60" s="94" t="s">
        <v>26</v>
      </c>
      <c r="KP60" s="94"/>
      <c r="KQ60" s="94" t="s">
        <v>41</v>
      </c>
      <c r="KR60" s="94" t="s">
        <v>26</v>
      </c>
      <c r="KS60" s="94"/>
      <c r="KT60" s="94" t="s">
        <v>41</v>
      </c>
      <c r="KU60" s="94" t="s">
        <v>26</v>
      </c>
      <c r="KV60" s="94"/>
      <c r="KW60" s="94" t="s">
        <v>41</v>
      </c>
      <c r="KX60" s="94" t="s">
        <v>37</v>
      </c>
      <c r="KY60" s="131"/>
      <c r="KZ60" s="131"/>
      <c r="LA60" s="131"/>
      <c r="LB60" s="131"/>
      <c r="LC60" s="131"/>
      <c r="LD60" s="131"/>
      <c r="LE60" s="131"/>
      <c r="LF60" s="131"/>
      <c r="LG60" s="131"/>
      <c r="LH60" s="131"/>
      <c r="LI60" s="131"/>
      <c r="LJ60" s="131"/>
      <c r="LK60" s="131"/>
      <c r="LL60" s="131"/>
      <c r="LM60" s="131"/>
      <c r="LN60" s="131"/>
      <c r="LO60" s="131"/>
      <c r="LP60" s="131"/>
      <c r="LQ60" s="131"/>
      <c r="LR60" s="131"/>
      <c r="LS60" s="131"/>
      <c r="LT60" s="131"/>
      <c r="LU60" s="131"/>
      <c r="LV60" s="131"/>
      <c r="LW60" s="131"/>
      <c r="LX60" s="131"/>
      <c r="LY60" s="131"/>
      <c r="LZ60" s="131"/>
      <c r="MA60" s="131"/>
      <c r="MB60" s="131"/>
    </row>
    <row r="61" spans="1:340" s="50" customFormat="1" ht="31.5" hidden="1" customHeight="1" thickBot="1">
      <c r="A61" s="44">
        <v>1</v>
      </c>
      <c r="B61" s="107" t="s">
        <v>107</v>
      </c>
      <c r="C61" s="46" t="s">
        <v>108</v>
      </c>
      <c r="D61" s="105" t="s">
        <v>35</v>
      </c>
      <c r="E61" s="117" t="s">
        <v>40</v>
      </c>
      <c r="F61" s="106" t="s">
        <v>24</v>
      </c>
      <c r="G61" s="143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  <c r="AV61" s="94"/>
      <c r="AW61" s="94"/>
      <c r="AX61" s="94"/>
      <c r="AY61" s="94"/>
      <c r="AZ61" s="94"/>
      <c r="BA61" s="94"/>
      <c r="BB61" s="94"/>
      <c r="BC61" s="94"/>
      <c r="BD61" s="94"/>
      <c r="BE61" s="94"/>
      <c r="BF61" s="94"/>
      <c r="BG61" s="94"/>
      <c r="BH61" s="94"/>
      <c r="BI61" s="94"/>
      <c r="BJ61" s="94"/>
      <c r="BK61" s="94"/>
      <c r="BL61" s="94"/>
      <c r="BM61" s="94"/>
      <c r="BN61" s="94"/>
      <c r="BO61" s="94"/>
      <c r="BP61" s="94"/>
      <c r="BQ61" s="94"/>
      <c r="BR61" s="94"/>
      <c r="BS61" s="94"/>
      <c r="BT61" s="94"/>
      <c r="BU61" s="94"/>
      <c r="BV61" s="94"/>
      <c r="BW61" s="94"/>
      <c r="BX61" s="94"/>
      <c r="BY61" s="94"/>
      <c r="BZ61" s="94"/>
      <c r="CA61" s="94"/>
      <c r="CB61" s="94"/>
      <c r="CC61" s="94"/>
      <c r="CD61" s="94"/>
      <c r="CE61" s="94"/>
      <c r="CF61" s="94"/>
      <c r="CG61" s="94"/>
      <c r="CH61" s="94"/>
      <c r="CI61" s="94"/>
      <c r="CJ61" s="94"/>
      <c r="CK61" s="94"/>
      <c r="CL61" s="94"/>
      <c r="CM61" s="94"/>
      <c r="CN61" s="94"/>
      <c r="CO61" s="94"/>
      <c r="CP61" s="94"/>
      <c r="CQ61" s="94"/>
      <c r="CR61" s="94"/>
      <c r="CS61" s="94"/>
      <c r="CT61" s="94"/>
      <c r="CU61" s="94"/>
      <c r="CV61" s="94"/>
      <c r="CW61" s="94"/>
      <c r="CX61" s="94"/>
      <c r="CY61" s="94"/>
      <c r="CZ61" s="94"/>
      <c r="DA61" s="94"/>
      <c r="DB61" s="94"/>
      <c r="DC61" s="94"/>
      <c r="DD61" s="94"/>
      <c r="DE61" s="94"/>
      <c r="DF61" s="94"/>
      <c r="DG61" s="94"/>
      <c r="DH61" s="94"/>
      <c r="DI61" s="94"/>
      <c r="DJ61" s="94"/>
      <c r="DK61" s="94"/>
      <c r="DL61" s="94"/>
      <c r="DM61" s="94"/>
      <c r="DN61" s="94"/>
      <c r="DO61" s="94"/>
      <c r="DP61" s="94"/>
      <c r="DQ61" s="94"/>
      <c r="DR61" s="94"/>
      <c r="DS61" s="94"/>
      <c r="DT61" s="94"/>
      <c r="DU61" s="94"/>
      <c r="DV61" s="94"/>
      <c r="DW61" s="94"/>
      <c r="DX61" s="94"/>
      <c r="DY61" s="94"/>
      <c r="DZ61" s="94"/>
      <c r="EA61" s="94"/>
      <c r="EB61" s="94"/>
      <c r="EC61" s="94"/>
      <c r="ED61" s="94"/>
      <c r="EE61" s="94"/>
      <c r="EF61" s="94"/>
      <c r="EG61" s="94"/>
      <c r="EH61" s="94"/>
      <c r="EI61" s="94"/>
      <c r="EJ61" s="94"/>
      <c r="EK61" s="94" t="s">
        <v>25</v>
      </c>
      <c r="EL61" s="94"/>
      <c r="EM61" s="94" t="s">
        <v>26</v>
      </c>
      <c r="EN61" s="94"/>
      <c r="EO61" s="94"/>
      <c r="EP61" s="94"/>
      <c r="EQ61" s="94"/>
      <c r="ER61" s="94" t="s">
        <v>27</v>
      </c>
      <c r="ES61" s="94"/>
      <c r="ET61" s="94" t="s">
        <v>26</v>
      </c>
      <c r="EU61" s="94"/>
      <c r="EV61" s="94"/>
      <c r="EW61" s="94"/>
      <c r="EX61" s="94"/>
      <c r="EY61" s="94" t="s">
        <v>27</v>
      </c>
      <c r="EZ61" s="94"/>
      <c r="FA61" s="94" t="s">
        <v>26</v>
      </c>
      <c r="FB61" s="94"/>
      <c r="FC61" s="94"/>
      <c r="FD61" s="94"/>
      <c r="FE61" s="94"/>
      <c r="FF61" s="94"/>
      <c r="FG61" s="94"/>
      <c r="FH61" s="94"/>
      <c r="FI61" s="94" t="s">
        <v>27</v>
      </c>
      <c r="FJ61" s="94"/>
      <c r="FK61" s="94" t="s">
        <v>26</v>
      </c>
      <c r="FL61" s="94"/>
      <c r="FM61" s="94"/>
      <c r="FN61" s="94"/>
      <c r="FO61" s="94"/>
      <c r="FP61" s="94"/>
      <c r="FQ61" s="94"/>
      <c r="FR61" s="94"/>
      <c r="FS61" s="94"/>
      <c r="FT61" s="94"/>
      <c r="FU61" s="94" t="s">
        <v>28</v>
      </c>
      <c r="FV61" s="94"/>
      <c r="FW61" s="94"/>
      <c r="FX61" s="94"/>
      <c r="FY61" s="94"/>
      <c r="FZ61" s="94"/>
      <c r="GA61" s="94"/>
      <c r="GB61" s="94" t="s">
        <v>27</v>
      </c>
      <c r="GC61" s="94"/>
      <c r="GD61" s="94" t="s">
        <v>26</v>
      </c>
      <c r="GE61" s="94"/>
      <c r="GF61" s="94"/>
      <c r="GG61" s="94"/>
      <c r="GH61" s="94"/>
      <c r="GI61" s="94" t="s">
        <v>27</v>
      </c>
      <c r="GJ61" s="94"/>
      <c r="GK61" s="94"/>
      <c r="GL61" s="94"/>
      <c r="GM61" s="94" t="s">
        <v>26</v>
      </c>
      <c r="GN61" s="94"/>
      <c r="GO61" s="94"/>
      <c r="GP61" s="94"/>
      <c r="GQ61" s="94"/>
      <c r="GR61" s="94" t="s">
        <v>27</v>
      </c>
      <c r="GS61" s="94"/>
      <c r="GT61" s="94"/>
      <c r="GU61" s="94" t="s">
        <v>26</v>
      </c>
      <c r="GV61" s="94"/>
      <c r="GW61" s="94"/>
      <c r="GX61" s="94"/>
      <c r="GY61" s="94"/>
      <c r="GZ61" s="94" t="s">
        <v>27</v>
      </c>
      <c r="HA61" s="94"/>
      <c r="HB61" s="94" t="s">
        <v>26</v>
      </c>
      <c r="HC61" s="94"/>
      <c r="HD61" s="94"/>
      <c r="HE61" s="94"/>
      <c r="HF61" s="94"/>
      <c r="HG61" s="94" t="s">
        <v>27</v>
      </c>
      <c r="HH61" s="94"/>
      <c r="HI61" s="94" t="s">
        <v>26</v>
      </c>
      <c r="HJ61" s="94"/>
      <c r="HK61" s="94"/>
      <c r="HL61" s="94"/>
      <c r="HM61" s="94"/>
      <c r="HN61" s="94" t="s">
        <v>27</v>
      </c>
      <c r="HO61" s="94"/>
      <c r="HP61" s="94"/>
      <c r="HQ61" s="94" t="s">
        <v>26</v>
      </c>
      <c r="HR61" s="94"/>
      <c r="HS61" s="94"/>
      <c r="HT61" s="94"/>
      <c r="HU61" s="94"/>
      <c r="HV61" s="94"/>
      <c r="HW61" s="94" t="s">
        <v>27</v>
      </c>
      <c r="HX61" s="131"/>
      <c r="HY61" s="131"/>
      <c r="HZ61" s="131"/>
      <c r="IA61" s="131"/>
      <c r="IB61" s="131"/>
      <c r="IC61" s="131"/>
      <c r="ID61" s="131"/>
      <c r="IE61" s="131"/>
      <c r="IF61" s="131"/>
      <c r="IG61" s="131"/>
      <c r="IH61" s="131"/>
      <c r="II61" s="131"/>
      <c r="IJ61" s="131"/>
      <c r="IK61" s="131"/>
      <c r="IL61" s="131"/>
      <c r="IM61" s="131"/>
      <c r="IN61" s="131"/>
      <c r="IO61" s="131"/>
      <c r="IP61" s="131"/>
      <c r="IQ61" s="131"/>
      <c r="IR61" s="131"/>
      <c r="IS61" s="131"/>
      <c r="IT61" s="131" t="s">
        <v>26</v>
      </c>
      <c r="IU61" s="94"/>
      <c r="IV61" s="94"/>
      <c r="IW61" s="94"/>
      <c r="IX61" s="94"/>
      <c r="IY61" s="94"/>
      <c r="IZ61" s="94" t="s">
        <v>27</v>
      </c>
      <c r="JB61" s="94" t="s">
        <v>26</v>
      </c>
      <c r="JC61" s="94"/>
      <c r="JD61" s="94"/>
      <c r="JE61" s="94"/>
      <c r="JF61" s="94"/>
      <c r="JG61" s="94"/>
      <c r="JH61" s="94" t="s">
        <v>27</v>
      </c>
      <c r="JI61" s="94"/>
      <c r="JJ61" s="94" t="s">
        <v>26</v>
      </c>
      <c r="JK61" s="94"/>
      <c r="JL61" s="94"/>
      <c r="JM61" s="94"/>
      <c r="JN61" s="94"/>
      <c r="JO61" s="94"/>
      <c r="JP61" s="94" t="s">
        <v>27</v>
      </c>
      <c r="JQ61" s="94"/>
      <c r="JR61" s="94" t="s">
        <v>26</v>
      </c>
      <c r="JS61" s="94"/>
      <c r="JT61" s="94"/>
      <c r="JU61" s="94"/>
      <c r="JV61" s="94"/>
      <c r="JW61" s="94"/>
      <c r="JX61" s="94" t="s">
        <v>27</v>
      </c>
      <c r="JY61" s="94" t="s">
        <v>37</v>
      </c>
      <c r="JZ61" s="131"/>
      <c r="KA61" s="131"/>
      <c r="KB61" s="131"/>
      <c r="KC61" s="131"/>
      <c r="KD61" s="131"/>
      <c r="KE61" s="131"/>
      <c r="KF61" s="131"/>
      <c r="KG61" s="131"/>
      <c r="KH61" s="131"/>
      <c r="KI61" s="131"/>
      <c r="KJ61" s="131"/>
      <c r="KK61" s="131"/>
      <c r="KL61" s="131"/>
      <c r="KM61" s="131"/>
      <c r="KN61" s="131"/>
      <c r="KO61" s="131"/>
      <c r="KP61" s="131"/>
      <c r="KQ61" s="131"/>
      <c r="KR61" s="131"/>
      <c r="KS61" s="131"/>
      <c r="KT61" s="131"/>
      <c r="KU61" s="131"/>
      <c r="KV61" s="131"/>
      <c r="KW61" s="131"/>
      <c r="KX61" s="131"/>
      <c r="KY61" s="131"/>
      <c r="KZ61" s="131"/>
      <c r="LA61" s="131"/>
      <c r="LB61" s="131"/>
      <c r="LC61" s="131"/>
      <c r="LD61" s="131"/>
      <c r="LE61" s="131"/>
      <c r="LF61" s="131"/>
      <c r="LG61" s="131"/>
      <c r="LH61" s="131"/>
      <c r="LI61" s="131"/>
      <c r="LJ61" s="131"/>
      <c r="LK61" s="131"/>
      <c r="LL61" s="131"/>
      <c r="LM61" s="131"/>
      <c r="LN61" s="131"/>
      <c r="LO61" s="131"/>
      <c r="LP61" s="131"/>
      <c r="LQ61" s="131"/>
      <c r="LR61" s="131"/>
      <c r="LS61" s="131"/>
      <c r="LT61" s="131"/>
      <c r="LU61" s="131"/>
      <c r="LV61" s="131"/>
      <c r="LW61" s="131"/>
      <c r="LX61" s="131"/>
      <c r="LY61" s="131"/>
      <c r="LZ61" s="131"/>
      <c r="MA61" s="131"/>
      <c r="MB61" s="131"/>
    </row>
    <row r="62" spans="1:340" s="90" customFormat="1" ht="31.5" hidden="1" customHeight="1" thickBot="1">
      <c r="A62" s="44">
        <v>1</v>
      </c>
      <c r="B62" s="107" t="s">
        <v>109</v>
      </c>
      <c r="C62" s="46" t="s">
        <v>110</v>
      </c>
      <c r="D62" s="105" t="s">
        <v>45</v>
      </c>
      <c r="E62" s="117" t="s">
        <v>46</v>
      </c>
      <c r="F62" s="106" t="s">
        <v>24</v>
      </c>
      <c r="G62" s="145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  <c r="BE62" s="131"/>
      <c r="BF62" s="131"/>
      <c r="BG62" s="131"/>
      <c r="BH62" s="131"/>
      <c r="BI62" s="131"/>
      <c r="BJ62" s="131"/>
      <c r="BK62" s="131"/>
      <c r="BL62" s="131"/>
      <c r="BM62" s="131"/>
      <c r="BN62" s="131"/>
      <c r="BO62" s="131"/>
      <c r="BP62" s="131"/>
      <c r="BQ62" s="131"/>
      <c r="BR62" s="131"/>
      <c r="BS62" s="131"/>
      <c r="BT62" s="131"/>
      <c r="BU62" s="131"/>
      <c r="BV62" s="131"/>
      <c r="BW62" s="131"/>
      <c r="BX62" s="131"/>
      <c r="BY62" s="131"/>
      <c r="BZ62" s="131"/>
      <c r="CA62" s="131"/>
      <c r="CB62" s="131"/>
      <c r="CC62" s="131"/>
      <c r="CD62" s="131"/>
      <c r="CE62" s="131"/>
      <c r="CF62" s="131"/>
      <c r="CG62" s="131"/>
      <c r="CH62" s="131"/>
      <c r="CI62" s="131"/>
      <c r="CJ62" s="131"/>
      <c r="CK62" s="131"/>
      <c r="CL62" s="131"/>
      <c r="CM62" s="131"/>
      <c r="CN62" s="131"/>
      <c r="CO62" s="131"/>
      <c r="CP62" s="131"/>
      <c r="CQ62" s="131"/>
      <c r="CR62" s="131"/>
      <c r="CS62" s="131"/>
      <c r="CT62" s="131"/>
      <c r="CU62" s="131"/>
      <c r="CV62" s="131"/>
      <c r="CW62" s="131"/>
      <c r="CX62" s="131"/>
      <c r="CY62" s="131"/>
      <c r="CZ62" s="131"/>
      <c r="DA62" s="131"/>
      <c r="DB62" s="131"/>
      <c r="DC62" s="131"/>
      <c r="DD62" s="131"/>
      <c r="DE62" s="131"/>
      <c r="DF62" s="131"/>
      <c r="DG62" s="131"/>
      <c r="DH62" s="131"/>
      <c r="DI62" s="131"/>
      <c r="DJ62" s="131"/>
      <c r="DK62" s="131"/>
      <c r="DL62" s="131"/>
      <c r="DM62" s="131"/>
      <c r="DN62" s="131"/>
      <c r="DO62" s="131"/>
      <c r="DP62" s="131"/>
      <c r="DQ62" s="131"/>
      <c r="DR62" s="131"/>
      <c r="DS62" s="131"/>
      <c r="DT62" s="131"/>
      <c r="DU62" s="131"/>
      <c r="DV62" s="131"/>
      <c r="DW62" s="131"/>
      <c r="DX62" s="131"/>
      <c r="DY62" s="131"/>
      <c r="DZ62" s="131"/>
      <c r="EA62" s="131"/>
      <c r="EB62" s="131"/>
      <c r="EC62" s="131"/>
      <c r="ED62" s="131"/>
      <c r="EE62" s="131"/>
      <c r="EF62" s="131"/>
      <c r="EG62" s="131"/>
      <c r="EH62" s="131"/>
      <c r="EI62" s="131"/>
      <c r="EJ62" s="131"/>
      <c r="EK62" s="131" t="s">
        <v>25</v>
      </c>
      <c r="EL62" s="131"/>
      <c r="EM62" s="131"/>
      <c r="EN62" s="131" t="s">
        <v>27</v>
      </c>
      <c r="EO62" s="131"/>
      <c r="EP62" s="131" t="s">
        <v>27</v>
      </c>
      <c r="EQ62" s="131"/>
      <c r="ER62" s="131"/>
      <c r="ES62" s="131" t="s">
        <v>27</v>
      </c>
      <c r="ET62" s="131"/>
      <c r="EU62" s="131"/>
      <c r="EV62" s="131" t="s">
        <v>27</v>
      </c>
      <c r="EW62" s="131"/>
      <c r="EX62" s="131"/>
      <c r="EY62" s="131" t="s">
        <v>27</v>
      </c>
      <c r="EZ62" s="131"/>
      <c r="FA62" s="131" t="s">
        <v>27</v>
      </c>
      <c r="FB62" s="131"/>
      <c r="FC62" s="131"/>
      <c r="FD62" s="131" t="s">
        <v>27</v>
      </c>
      <c r="FE62" s="131"/>
      <c r="FF62" s="131"/>
      <c r="FG62" s="131"/>
      <c r="FH62" s="131"/>
      <c r="FI62" s="131" t="s">
        <v>27</v>
      </c>
      <c r="FJ62" s="131"/>
      <c r="FK62" s="131" t="s">
        <v>27</v>
      </c>
      <c r="FL62" s="131"/>
      <c r="FM62" s="131" t="s">
        <v>27</v>
      </c>
      <c r="FN62" s="131"/>
      <c r="FO62" s="131" t="s">
        <v>27</v>
      </c>
      <c r="FP62" s="131"/>
      <c r="FQ62" s="131"/>
      <c r="FR62" s="131"/>
      <c r="FS62" s="131"/>
      <c r="FT62" s="131"/>
      <c r="FU62" s="131"/>
      <c r="FV62" s="131"/>
      <c r="FW62" s="131"/>
      <c r="FX62" s="131"/>
      <c r="FY62" s="131"/>
      <c r="FZ62" s="131"/>
      <c r="GA62" s="131"/>
      <c r="GB62" s="131"/>
      <c r="GC62" s="131" t="s">
        <v>27</v>
      </c>
      <c r="GD62" s="131"/>
      <c r="GE62" s="131"/>
      <c r="GF62" s="131"/>
      <c r="GG62" s="131" t="s">
        <v>27</v>
      </c>
      <c r="GH62" s="131"/>
      <c r="GI62" s="131"/>
      <c r="GJ62" s="131" t="s">
        <v>27</v>
      </c>
      <c r="GK62" s="131"/>
      <c r="GL62" s="131"/>
      <c r="GM62" s="131"/>
      <c r="GN62" s="131"/>
      <c r="GO62" s="131"/>
      <c r="GP62" s="131"/>
      <c r="GQ62" s="131"/>
      <c r="GR62" s="131"/>
      <c r="GS62" s="131"/>
      <c r="GT62" s="131"/>
      <c r="GU62" s="131" t="s">
        <v>27</v>
      </c>
      <c r="GV62" s="131"/>
      <c r="GW62" s="131"/>
      <c r="GX62" s="131"/>
      <c r="GY62" s="131" t="s">
        <v>27</v>
      </c>
      <c r="GZ62" s="131"/>
      <c r="HA62" s="131"/>
      <c r="HB62" s="131"/>
      <c r="HC62" s="131"/>
      <c r="HD62" s="131" t="s">
        <v>27</v>
      </c>
      <c r="HE62" s="131" t="s">
        <v>37</v>
      </c>
      <c r="HF62" s="131"/>
      <c r="HG62" s="131"/>
      <c r="HH62" s="131"/>
      <c r="HI62" s="131"/>
      <c r="HJ62" s="131"/>
      <c r="HK62" s="131"/>
      <c r="HL62" s="131"/>
      <c r="HM62" s="131"/>
      <c r="HN62" s="131"/>
      <c r="HO62" s="131"/>
      <c r="HP62" s="131"/>
      <c r="HQ62" s="131"/>
      <c r="HR62" s="131"/>
      <c r="HS62" s="131"/>
      <c r="HT62" s="131"/>
      <c r="HU62" s="131"/>
      <c r="HV62" s="131"/>
      <c r="HW62" s="131"/>
      <c r="HX62" s="131"/>
      <c r="HY62" s="131"/>
      <c r="HZ62" s="131"/>
      <c r="IA62" s="131"/>
      <c r="IB62" s="131"/>
      <c r="IC62" s="131" t="s">
        <v>25</v>
      </c>
      <c r="ID62" s="131" t="s">
        <v>27</v>
      </c>
      <c r="IE62" s="94"/>
      <c r="IF62" s="94" t="s">
        <v>27</v>
      </c>
      <c r="IG62" s="94"/>
      <c r="IH62" s="94"/>
      <c r="II62" s="94" t="s">
        <v>27</v>
      </c>
      <c r="IJ62" s="94"/>
      <c r="IK62" s="94"/>
      <c r="IL62" s="94" t="s">
        <v>27</v>
      </c>
      <c r="IM62" s="94"/>
      <c r="IN62" s="94"/>
      <c r="IO62" s="94" t="s">
        <v>27</v>
      </c>
      <c r="IP62" s="94"/>
      <c r="IQ62" s="94"/>
      <c r="IR62" s="94" t="s">
        <v>27</v>
      </c>
      <c r="IS62" s="94"/>
      <c r="IT62" s="94"/>
      <c r="IU62" s="94" t="s">
        <v>27</v>
      </c>
      <c r="IV62" s="94"/>
      <c r="IW62" s="94"/>
      <c r="IX62" s="94" t="s">
        <v>27</v>
      </c>
      <c r="IY62" s="94"/>
      <c r="IZ62" s="94"/>
      <c r="JA62" s="94" t="s">
        <v>27</v>
      </c>
      <c r="JB62" s="94"/>
      <c r="JC62" s="94"/>
      <c r="JD62" s="94" t="s">
        <v>27</v>
      </c>
      <c r="JE62" s="94"/>
      <c r="JF62" s="94"/>
      <c r="JG62" s="94" t="s">
        <v>27</v>
      </c>
      <c r="JH62" s="94"/>
      <c r="JI62" s="94"/>
      <c r="JJ62" s="94" t="s">
        <v>27</v>
      </c>
      <c r="JK62" s="94"/>
      <c r="JL62" s="94"/>
      <c r="JM62" s="94" t="s">
        <v>27</v>
      </c>
      <c r="JN62" s="94"/>
      <c r="JO62" s="94"/>
      <c r="JP62" s="94" t="s">
        <v>27</v>
      </c>
      <c r="JQ62" s="94"/>
      <c r="JR62" s="94"/>
      <c r="JS62" s="94" t="s">
        <v>27</v>
      </c>
      <c r="JT62" s="94"/>
      <c r="JU62" s="94"/>
      <c r="JV62" s="94" t="s">
        <v>27</v>
      </c>
      <c r="JW62" s="94"/>
      <c r="JX62" s="94"/>
      <c r="JY62" s="94" t="s">
        <v>27</v>
      </c>
      <c r="JZ62" s="94"/>
      <c r="KA62" s="94"/>
      <c r="KB62" s="94" t="s">
        <v>27</v>
      </c>
      <c r="KC62" s="94"/>
      <c r="KD62" s="94"/>
      <c r="KE62" s="94" t="s">
        <v>27</v>
      </c>
      <c r="KF62" s="94"/>
      <c r="KG62" s="94"/>
      <c r="KH62" s="94" t="s">
        <v>27</v>
      </c>
      <c r="KI62" s="94"/>
      <c r="KJ62" s="94"/>
      <c r="KK62" s="94" t="s">
        <v>27</v>
      </c>
      <c r="KL62" s="94"/>
      <c r="KM62" s="94"/>
      <c r="KN62" s="94" t="s">
        <v>27</v>
      </c>
      <c r="KO62" s="94" t="s">
        <v>37</v>
      </c>
      <c r="KP62" s="131"/>
      <c r="KQ62" s="131"/>
      <c r="KR62" s="131"/>
      <c r="KS62" s="131"/>
      <c r="KT62" s="131"/>
      <c r="KU62" s="131"/>
      <c r="KV62" s="131"/>
      <c r="KW62" s="131"/>
      <c r="KX62" s="131"/>
      <c r="KY62" s="131"/>
      <c r="KZ62" s="131"/>
      <c r="LA62" s="131"/>
      <c r="LB62" s="131"/>
      <c r="LC62" s="131"/>
      <c r="LD62" s="131"/>
      <c r="LE62" s="131"/>
      <c r="LF62" s="131"/>
      <c r="LG62" s="131"/>
      <c r="LH62" s="131"/>
      <c r="LI62" s="131"/>
      <c r="LJ62" s="131"/>
      <c r="LK62" s="131"/>
      <c r="LL62" s="131"/>
      <c r="LM62" s="131"/>
      <c r="LN62" s="131"/>
      <c r="LO62" s="131"/>
      <c r="LP62" s="131"/>
      <c r="LQ62" s="131"/>
      <c r="LR62" s="131"/>
      <c r="LS62" s="131"/>
      <c r="LT62" s="131"/>
      <c r="LU62" s="131"/>
      <c r="LV62" s="131"/>
      <c r="LW62" s="131"/>
      <c r="LX62" s="131"/>
      <c r="LY62" s="131"/>
      <c r="LZ62" s="131"/>
      <c r="MA62" s="131"/>
      <c r="MB62" s="131"/>
    </row>
    <row r="63" spans="1:340" s="50" customFormat="1" ht="31.5" hidden="1" customHeight="1">
      <c r="A63" s="44">
        <v>1</v>
      </c>
      <c r="B63" s="107" t="s">
        <v>111</v>
      </c>
      <c r="C63" s="46" t="s">
        <v>112</v>
      </c>
      <c r="D63" s="105" t="s">
        <v>35</v>
      </c>
      <c r="E63" s="117" t="s">
        <v>40</v>
      </c>
      <c r="F63" s="106" t="s">
        <v>24</v>
      </c>
      <c r="G63" s="145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  <c r="BE63" s="131"/>
      <c r="BF63" s="131"/>
      <c r="BG63" s="131"/>
      <c r="BH63" s="131"/>
      <c r="BI63" s="131"/>
      <c r="BJ63" s="131"/>
      <c r="BK63" s="131"/>
      <c r="BL63" s="131"/>
      <c r="BM63" s="131"/>
      <c r="BN63" s="131"/>
      <c r="BO63" s="131"/>
      <c r="BP63" s="131"/>
      <c r="BQ63" s="131"/>
      <c r="BR63" s="131"/>
      <c r="BS63" s="131"/>
      <c r="BT63" s="131"/>
      <c r="BU63" s="131"/>
      <c r="BV63" s="131"/>
      <c r="BW63" s="131"/>
      <c r="BX63" s="131"/>
      <c r="BY63" s="131"/>
      <c r="BZ63" s="131"/>
      <c r="CA63" s="131"/>
      <c r="CB63" s="131"/>
      <c r="CC63" s="131"/>
      <c r="CD63" s="131"/>
      <c r="CE63" s="131"/>
      <c r="CF63" s="131"/>
      <c r="CG63" s="131"/>
      <c r="CH63" s="131"/>
      <c r="CI63" s="131"/>
      <c r="CJ63" s="131"/>
      <c r="CK63" s="131"/>
      <c r="CL63" s="131"/>
      <c r="CM63" s="131"/>
      <c r="CN63" s="131"/>
      <c r="CO63" s="131"/>
      <c r="CP63" s="131"/>
      <c r="CQ63" s="131"/>
      <c r="CR63" s="131"/>
      <c r="CS63" s="131"/>
      <c r="CT63" s="131"/>
      <c r="CU63" s="131"/>
      <c r="CV63" s="131"/>
      <c r="CW63" s="131"/>
      <c r="CX63" s="131"/>
      <c r="CY63" s="131"/>
      <c r="CZ63" s="131"/>
      <c r="DA63" s="131"/>
      <c r="DB63" s="131"/>
      <c r="DC63" s="131"/>
      <c r="DD63" s="131"/>
      <c r="DE63" s="131"/>
      <c r="DF63" s="131"/>
      <c r="DG63" s="131"/>
      <c r="DH63" s="131"/>
      <c r="DI63" s="131"/>
      <c r="DJ63" s="131"/>
      <c r="DK63" s="131"/>
      <c r="DL63" s="131"/>
      <c r="DM63" s="131"/>
      <c r="DN63" s="131"/>
      <c r="DO63" s="131"/>
      <c r="DP63" s="131"/>
      <c r="DQ63" s="131"/>
      <c r="DR63" s="131"/>
      <c r="DS63" s="131"/>
      <c r="DT63" s="131"/>
      <c r="DU63" s="131"/>
      <c r="DV63" s="131"/>
      <c r="DW63" s="131"/>
      <c r="DX63" s="131"/>
      <c r="DY63" s="131"/>
      <c r="DZ63" s="131"/>
      <c r="EA63" s="131"/>
      <c r="EB63" s="131"/>
      <c r="EC63" s="131"/>
      <c r="ED63" s="131"/>
      <c r="EE63" s="131"/>
      <c r="EF63" s="131"/>
      <c r="EG63" s="131"/>
      <c r="EH63" s="131"/>
      <c r="EI63" s="131"/>
      <c r="EJ63" s="131"/>
      <c r="EK63" s="131"/>
      <c r="EL63" s="131"/>
      <c r="EM63" s="131"/>
      <c r="EN63" s="131"/>
      <c r="EO63" s="131"/>
      <c r="EP63" s="131"/>
      <c r="EQ63" s="131"/>
      <c r="ER63" s="131"/>
      <c r="ES63" s="131"/>
      <c r="ET63" s="131"/>
      <c r="EU63" s="131"/>
      <c r="EV63" s="131"/>
      <c r="EW63" s="131"/>
      <c r="EX63" s="131"/>
      <c r="EY63" s="131"/>
      <c r="EZ63" s="131"/>
      <c r="FA63" s="131"/>
      <c r="FB63" s="131"/>
      <c r="FC63" s="131"/>
      <c r="FD63" s="131"/>
      <c r="FE63" s="131"/>
      <c r="FF63" s="131"/>
      <c r="FG63" s="131"/>
      <c r="FH63" s="131"/>
      <c r="FI63" s="131"/>
      <c r="FJ63" s="131"/>
      <c r="FK63" s="131"/>
      <c r="FL63" s="131"/>
      <c r="FM63" s="131"/>
      <c r="FN63" s="131"/>
      <c r="FO63" s="131"/>
      <c r="FP63" s="131"/>
      <c r="FQ63" s="131"/>
      <c r="FR63" s="131"/>
      <c r="FS63" s="131"/>
      <c r="FT63" s="131"/>
      <c r="FU63" s="131"/>
      <c r="FV63" s="131"/>
      <c r="FW63" s="131"/>
      <c r="FX63" s="131"/>
      <c r="FY63" s="131"/>
      <c r="FZ63" s="131"/>
      <c r="GA63" s="131"/>
      <c r="GB63" s="94" t="s">
        <v>25</v>
      </c>
      <c r="GC63" s="94"/>
      <c r="GD63" s="94"/>
      <c r="GE63" s="94"/>
      <c r="GF63" s="94"/>
      <c r="GG63" s="94"/>
      <c r="GH63" s="94"/>
      <c r="GI63" s="94"/>
      <c r="GJ63" s="94"/>
      <c r="GK63" s="94"/>
      <c r="GL63" s="94"/>
      <c r="GM63" s="94"/>
      <c r="GN63" s="94"/>
      <c r="GO63" s="94"/>
      <c r="GP63" s="94"/>
      <c r="GQ63" s="94"/>
      <c r="GR63" s="94"/>
      <c r="GS63" s="94"/>
      <c r="GT63" s="94" t="s">
        <v>26</v>
      </c>
      <c r="GU63" s="94"/>
      <c r="GV63" s="94"/>
      <c r="GW63" s="94"/>
      <c r="GX63" s="94"/>
      <c r="GY63" s="94" t="s">
        <v>41</v>
      </c>
      <c r="GZ63" s="94"/>
      <c r="HA63" s="94"/>
      <c r="HB63" s="94"/>
      <c r="HC63" s="94"/>
      <c r="HD63" s="94"/>
      <c r="HE63" s="94"/>
      <c r="HF63" s="94"/>
      <c r="HG63" s="94"/>
      <c r="HH63" s="94"/>
      <c r="HI63" s="94"/>
      <c r="HJ63" s="94"/>
      <c r="HK63" s="94"/>
      <c r="HL63" s="94" t="s">
        <v>57</v>
      </c>
      <c r="HM63" s="94"/>
      <c r="HN63" s="94"/>
      <c r="HO63" s="94"/>
      <c r="HP63" s="94" t="s">
        <v>26</v>
      </c>
      <c r="HQ63" s="94"/>
      <c r="HR63" s="94"/>
      <c r="HS63" s="94"/>
      <c r="HT63" s="94"/>
      <c r="HU63" s="94" t="s">
        <v>42</v>
      </c>
      <c r="HV63" s="94" t="s">
        <v>41</v>
      </c>
      <c r="HW63" s="94"/>
      <c r="HX63" s="94"/>
      <c r="HY63" s="94"/>
      <c r="HZ63" s="94"/>
      <c r="IA63" s="94"/>
      <c r="IB63" s="94"/>
      <c r="IC63" s="94"/>
      <c r="ID63" s="94"/>
      <c r="IE63" s="94"/>
      <c r="IF63" s="94" t="s">
        <v>57</v>
      </c>
      <c r="IG63" s="94"/>
      <c r="IH63" s="94"/>
      <c r="II63" s="94"/>
      <c r="IJ63" s="94" t="s">
        <v>26</v>
      </c>
      <c r="IK63" s="94"/>
      <c r="IL63" s="94"/>
      <c r="IM63" s="94"/>
      <c r="IN63" s="94"/>
      <c r="IO63" s="94" t="s">
        <v>41</v>
      </c>
      <c r="IP63" s="94"/>
      <c r="IQ63" s="94"/>
      <c r="IR63" s="94"/>
      <c r="IS63" s="94"/>
      <c r="IT63" s="94"/>
      <c r="IU63" s="94"/>
      <c r="IV63" s="94"/>
      <c r="IW63" s="94" t="s">
        <v>57</v>
      </c>
      <c r="IX63" s="94"/>
      <c r="IY63" s="94" t="s">
        <v>26</v>
      </c>
      <c r="IZ63" s="94"/>
      <c r="JA63" s="94"/>
      <c r="JB63" s="94"/>
      <c r="JC63" s="94"/>
      <c r="JD63" s="94" t="s">
        <v>41</v>
      </c>
      <c r="JE63" s="94"/>
      <c r="JF63" s="94"/>
      <c r="JG63" s="94"/>
      <c r="JH63" s="94"/>
      <c r="JI63" s="94"/>
      <c r="JJ63" s="94"/>
      <c r="JK63" s="94"/>
      <c r="JL63" s="94"/>
      <c r="JM63" s="94" t="s">
        <v>57</v>
      </c>
      <c r="JN63" s="94"/>
      <c r="JO63" s="94" t="s">
        <v>26</v>
      </c>
      <c r="JP63" s="94"/>
      <c r="JQ63" s="94"/>
      <c r="JR63" s="94"/>
      <c r="JS63" s="94"/>
      <c r="JT63" s="94" t="s">
        <v>41</v>
      </c>
      <c r="JU63" s="94"/>
      <c r="JV63" s="94"/>
      <c r="JW63" s="94"/>
      <c r="JX63" s="94"/>
      <c r="JY63" s="94"/>
      <c r="JZ63" s="94"/>
      <c r="KA63" s="94"/>
      <c r="KB63" s="94"/>
      <c r="KC63" s="94" t="s">
        <v>57</v>
      </c>
      <c r="KD63" s="94"/>
      <c r="KE63" s="94" t="s">
        <v>26</v>
      </c>
      <c r="KF63" s="94"/>
      <c r="KG63" s="94"/>
      <c r="KH63" s="94"/>
      <c r="KI63" s="94"/>
      <c r="KJ63" s="94" t="s">
        <v>41</v>
      </c>
      <c r="KK63" s="94"/>
      <c r="KL63" s="94"/>
      <c r="KM63" s="94"/>
      <c r="KN63" s="94"/>
      <c r="KO63" s="94"/>
      <c r="KP63" s="94"/>
      <c r="KQ63" s="94"/>
      <c r="KR63" s="94"/>
      <c r="KS63" s="94" t="s">
        <v>57</v>
      </c>
      <c r="KT63" s="94" t="s">
        <v>37</v>
      </c>
      <c r="KU63" s="131"/>
      <c r="KV63" s="131"/>
      <c r="KW63" s="131"/>
      <c r="KX63" s="131"/>
      <c r="KY63" s="131"/>
      <c r="KZ63" s="131"/>
      <c r="LA63" s="131"/>
      <c r="LB63" s="131"/>
      <c r="LC63" s="131"/>
      <c r="LD63" s="131"/>
      <c r="LE63" s="131"/>
      <c r="LF63" s="131"/>
      <c r="LG63" s="131"/>
      <c r="LH63" s="131"/>
      <c r="LI63" s="131"/>
      <c r="LJ63" s="131"/>
      <c r="LK63" s="131"/>
      <c r="LL63" s="131"/>
      <c r="LM63" s="131"/>
      <c r="LN63" s="131"/>
      <c r="LO63" s="131"/>
      <c r="LP63" s="131"/>
      <c r="LQ63" s="131"/>
      <c r="LR63" s="131"/>
      <c r="LS63" s="131"/>
      <c r="LT63" s="131"/>
      <c r="LU63" s="131"/>
      <c r="LV63" s="131"/>
      <c r="LW63" s="131"/>
      <c r="LX63" s="131"/>
      <c r="LY63" s="131"/>
      <c r="LZ63" s="131"/>
      <c r="MA63" s="131"/>
      <c r="MB63" s="131"/>
    </row>
    <row r="64" spans="1:340" s="90" customFormat="1" ht="31.5" customHeight="1" thickBot="1">
      <c r="A64" s="44">
        <v>1</v>
      </c>
      <c r="B64" s="107" t="s">
        <v>113</v>
      </c>
      <c r="C64" s="46" t="s">
        <v>114</v>
      </c>
      <c r="D64" s="105" t="s">
        <v>22</v>
      </c>
      <c r="E64" s="117" t="s">
        <v>23</v>
      </c>
      <c r="F64" s="106" t="s">
        <v>53</v>
      </c>
      <c r="G64" s="143"/>
      <c r="H64" s="94"/>
      <c r="I64" s="94"/>
      <c r="J64" s="94"/>
      <c r="K64" s="94"/>
      <c r="L64" s="94" t="s">
        <v>26</v>
      </c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 t="s">
        <v>27</v>
      </c>
      <c r="AH64" s="144"/>
      <c r="AI64" s="94" t="s">
        <v>26</v>
      </c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 t="s">
        <v>27</v>
      </c>
      <c r="AV64" s="94"/>
      <c r="AW64" s="94" t="s">
        <v>26</v>
      </c>
      <c r="AX64" s="94"/>
      <c r="AY64" s="94"/>
      <c r="AZ64" s="94"/>
      <c r="BA64" s="94"/>
      <c r="BB64" s="94"/>
      <c r="BC64" s="94"/>
      <c r="BD64" s="94"/>
      <c r="BE64" s="94"/>
      <c r="BF64" s="94"/>
      <c r="BG64" s="94"/>
      <c r="BH64" s="94"/>
      <c r="BI64" s="94"/>
      <c r="BJ64" s="94"/>
      <c r="BK64" s="94"/>
      <c r="BL64" s="94" t="s">
        <v>27</v>
      </c>
      <c r="BM64" s="94"/>
      <c r="BN64" s="94" t="s">
        <v>26</v>
      </c>
      <c r="BO64" s="94"/>
      <c r="BP64" s="94"/>
      <c r="BQ64" s="94"/>
      <c r="BR64" s="94"/>
      <c r="BS64" s="94"/>
      <c r="BT64" s="94"/>
      <c r="BU64" s="94"/>
      <c r="BV64" s="94"/>
      <c r="BW64" s="94"/>
      <c r="BX64" s="94"/>
      <c r="BY64" s="94"/>
      <c r="BZ64" s="94"/>
      <c r="CA64" s="94"/>
      <c r="CB64" s="94" t="s">
        <v>27</v>
      </c>
      <c r="CC64" s="94"/>
      <c r="CD64" s="94"/>
      <c r="CE64" s="94"/>
      <c r="CF64" s="94"/>
      <c r="CG64" s="94"/>
      <c r="CH64" s="94"/>
      <c r="CI64" s="94"/>
      <c r="CJ64" s="94" t="s">
        <v>26</v>
      </c>
      <c r="CK64" s="94"/>
      <c r="CL64" s="94"/>
      <c r="CM64" s="94"/>
      <c r="CN64" s="94"/>
      <c r="CO64" s="94"/>
      <c r="CP64" s="94"/>
      <c r="CQ64" s="94"/>
      <c r="CR64" s="94"/>
      <c r="CS64" s="94"/>
      <c r="CT64" s="94" t="s">
        <v>41</v>
      </c>
      <c r="CU64" s="94"/>
      <c r="CV64" s="94"/>
      <c r="CW64" s="94"/>
      <c r="CX64" s="94"/>
      <c r="CY64" s="94"/>
      <c r="CZ64" s="94"/>
      <c r="DA64" s="94"/>
      <c r="DB64" s="94" t="s">
        <v>41</v>
      </c>
      <c r="DC64" s="94"/>
      <c r="DD64" s="94"/>
      <c r="DE64" s="94" t="s">
        <v>26</v>
      </c>
      <c r="DF64" s="94"/>
      <c r="DG64" s="94"/>
      <c r="DH64" s="94"/>
      <c r="DI64" s="94"/>
      <c r="DJ64" s="94"/>
      <c r="DK64" s="94"/>
      <c r="DL64" s="94"/>
      <c r="DM64" s="94"/>
      <c r="DN64" s="94"/>
      <c r="DO64" s="94"/>
      <c r="DP64" s="94"/>
      <c r="DQ64" s="94" t="s">
        <v>41</v>
      </c>
      <c r="DR64" s="94"/>
      <c r="DS64" s="94"/>
      <c r="DT64" s="94"/>
      <c r="DU64" s="94"/>
      <c r="DV64" s="94"/>
      <c r="DW64" s="94"/>
      <c r="DX64" s="94"/>
      <c r="DY64" s="94"/>
      <c r="DZ64" s="94"/>
      <c r="EA64" s="94"/>
      <c r="EB64" s="94"/>
      <c r="EC64" s="94"/>
      <c r="ED64" s="94"/>
      <c r="EE64" s="94"/>
      <c r="EF64" s="94" t="s">
        <v>57</v>
      </c>
      <c r="EG64" s="94"/>
      <c r="EH64" s="94"/>
      <c r="EI64" s="94" t="s">
        <v>26</v>
      </c>
      <c r="EJ64" s="94"/>
      <c r="EK64" s="94"/>
      <c r="EL64" s="94"/>
      <c r="EM64" s="94"/>
      <c r="EN64" s="94"/>
      <c r="EO64" s="94"/>
      <c r="EP64" s="94"/>
      <c r="EQ64" s="94"/>
      <c r="ER64" s="94" t="s">
        <v>41</v>
      </c>
      <c r="ES64" s="94"/>
      <c r="ET64" s="94"/>
      <c r="EU64" s="94"/>
      <c r="EV64" s="94"/>
      <c r="EW64" s="94"/>
      <c r="EX64" s="94"/>
      <c r="EY64" s="94"/>
      <c r="EZ64" s="94"/>
      <c r="FA64" s="94"/>
      <c r="FB64" s="94"/>
      <c r="FC64" s="94"/>
      <c r="FD64" s="94"/>
      <c r="FE64" s="94"/>
      <c r="FF64" s="94"/>
      <c r="FG64" s="94"/>
      <c r="FH64" s="94"/>
      <c r="FI64" s="94"/>
      <c r="FJ64" s="94"/>
      <c r="FK64" s="94" t="s">
        <v>57</v>
      </c>
      <c r="FL64" s="94"/>
      <c r="FM64" s="94"/>
      <c r="FN64" s="94" t="s">
        <v>26</v>
      </c>
      <c r="FO64" s="94"/>
      <c r="FP64" s="94"/>
      <c r="FQ64" s="94"/>
      <c r="FR64" s="94"/>
      <c r="FS64" s="94"/>
      <c r="FT64" s="94"/>
      <c r="FU64" s="94"/>
      <c r="FV64" s="94"/>
      <c r="FW64" s="94" t="s">
        <v>41</v>
      </c>
      <c r="FX64" s="94"/>
      <c r="FY64" s="94"/>
      <c r="FZ64" s="94"/>
      <c r="GA64" s="94"/>
      <c r="GB64" s="94"/>
      <c r="GC64" s="94"/>
      <c r="GD64" s="94"/>
      <c r="GE64" s="94"/>
      <c r="GF64" s="94"/>
      <c r="GG64" s="94"/>
      <c r="GH64" s="94"/>
      <c r="GI64" s="94"/>
      <c r="GJ64" s="94" t="s">
        <v>57</v>
      </c>
      <c r="GK64" s="94"/>
      <c r="GL64" s="94"/>
      <c r="GM64" s="94" t="s">
        <v>26</v>
      </c>
      <c r="GN64" s="94"/>
      <c r="GO64" s="94"/>
      <c r="GP64" s="94"/>
      <c r="GQ64" s="94"/>
      <c r="GR64" s="94"/>
      <c r="GS64" s="94"/>
      <c r="GT64" s="94"/>
      <c r="GU64" s="94"/>
      <c r="GV64" s="94"/>
      <c r="GW64" s="94" t="s">
        <v>41</v>
      </c>
      <c r="GX64" s="94"/>
      <c r="GY64" s="94"/>
      <c r="GZ64" s="94"/>
      <c r="HA64" s="94"/>
      <c r="HB64" s="94"/>
      <c r="HC64" s="94"/>
      <c r="HD64" s="94"/>
      <c r="HE64" s="94"/>
      <c r="HF64" s="94"/>
      <c r="HG64" s="94"/>
      <c r="HH64" s="94"/>
      <c r="HI64" s="94" t="s">
        <v>42</v>
      </c>
      <c r="HJ64" s="94"/>
      <c r="HK64" s="94"/>
      <c r="HL64" s="94"/>
      <c r="HM64" s="94"/>
      <c r="HN64" s="94"/>
      <c r="HO64" s="94" t="s">
        <v>42</v>
      </c>
      <c r="HP64" s="94"/>
      <c r="HQ64" s="94"/>
      <c r="HR64" s="94"/>
      <c r="HS64" s="94"/>
      <c r="HT64" s="94"/>
      <c r="HU64" s="94"/>
      <c r="HV64" s="94"/>
      <c r="HW64" s="94"/>
      <c r="HX64" s="94"/>
      <c r="HY64" s="94" t="s">
        <v>57</v>
      </c>
      <c r="HZ64" s="94"/>
      <c r="IA64" s="94"/>
      <c r="IB64" s="94"/>
      <c r="IC64" s="94"/>
      <c r="ID64" s="94"/>
      <c r="IE64" s="94" t="s">
        <v>26</v>
      </c>
      <c r="IF64" s="94"/>
      <c r="IG64" s="94" t="s">
        <v>26</v>
      </c>
      <c r="IH64" s="94"/>
      <c r="II64" s="94" t="s">
        <v>26</v>
      </c>
      <c r="IJ64" s="94"/>
      <c r="IK64" s="94" t="s">
        <v>26</v>
      </c>
      <c r="IL64" s="94"/>
      <c r="IM64" s="94"/>
      <c r="IN64" s="94"/>
      <c r="IO64" s="94"/>
      <c r="IP64" s="94"/>
      <c r="IQ64" s="94"/>
      <c r="IR64" s="94"/>
      <c r="IS64" s="94"/>
      <c r="IT64" s="94"/>
      <c r="IU64" s="94"/>
      <c r="IV64" s="94"/>
      <c r="IW64" s="94"/>
      <c r="IX64" s="94"/>
      <c r="IY64" s="94"/>
      <c r="IZ64" s="94"/>
      <c r="JA64" s="94"/>
      <c r="JB64" s="94"/>
      <c r="JC64" s="94"/>
      <c r="JD64" s="94"/>
      <c r="JE64" s="94"/>
      <c r="JF64" s="94"/>
      <c r="JG64" s="94"/>
      <c r="JH64" s="94"/>
      <c r="JI64" s="94"/>
      <c r="JJ64" s="94"/>
      <c r="JK64" s="94"/>
      <c r="JL64" s="94"/>
      <c r="JM64" s="94"/>
      <c r="JN64" s="94"/>
      <c r="JO64" s="94"/>
      <c r="JP64" s="94"/>
      <c r="JQ64" s="94"/>
      <c r="JR64" s="94"/>
      <c r="JS64" s="94"/>
      <c r="JT64" s="94"/>
      <c r="JU64" s="94"/>
      <c r="JV64" s="94"/>
      <c r="JW64" s="94"/>
      <c r="JX64" s="94"/>
      <c r="JY64" s="94"/>
      <c r="JZ64" s="94"/>
      <c r="KA64" s="94"/>
      <c r="KB64" s="94"/>
      <c r="KC64" s="94"/>
      <c r="KD64" s="94"/>
      <c r="KE64" s="94"/>
      <c r="KF64" s="94"/>
      <c r="KG64" s="94"/>
      <c r="KH64" s="94"/>
      <c r="KI64" s="94"/>
      <c r="KJ64" s="94"/>
      <c r="KK64" s="94"/>
      <c r="KL64" s="94"/>
      <c r="KM64" s="94"/>
      <c r="KN64" s="94"/>
      <c r="KO64" s="94"/>
      <c r="KP64" s="94"/>
      <c r="KQ64" s="94"/>
      <c r="KR64" s="94"/>
      <c r="KS64" s="94"/>
      <c r="KT64" s="94"/>
      <c r="KU64" s="94"/>
      <c r="KV64" s="94"/>
      <c r="KW64" s="94"/>
      <c r="KX64" s="94"/>
      <c r="KY64" s="94"/>
      <c r="KZ64" s="94"/>
      <c r="LA64" s="94"/>
      <c r="LB64" s="94"/>
      <c r="LC64" s="94"/>
      <c r="LD64" s="94"/>
      <c r="LE64" s="94"/>
      <c r="LF64" s="94"/>
      <c r="LG64" s="94"/>
      <c r="LH64" s="94"/>
      <c r="LI64" s="94"/>
      <c r="LJ64" s="94"/>
      <c r="LK64" s="94"/>
      <c r="LL64" s="94"/>
      <c r="LM64" s="94"/>
      <c r="LN64" s="94"/>
      <c r="LO64" s="94"/>
      <c r="LP64" s="94"/>
      <c r="LQ64" s="94"/>
      <c r="LR64" s="94"/>
      <c r="LS64" s="94"/>
      <c r="LT64" s="94"/>
      <c r="LU64" s="94"/>
      <c r="LV64" s="94"/>
      <c r="LW64" s="94"/>
      <c r="LX64" s="94"/>
      <c r="LY64" s="94"/>
      <c r="LZ64" s="94"/>
      <c r="MA64" s="94"/>
      <c r="MB64" s="94"/>
    </row>
    <row r="65" spans="1:342" s="50" customFormat="1" ht="31.5" customHeight="1" thickBot="1">
      <c r="A65" s="44">
        <v>1</v>
      </c>
      <c r="B65" s="107" t="s">
        <v>115</v>
      </c>
      <c r="C65" s="46" t="s">
        <v>116</v>
      </c>
      <c r="D65" s="105" t="s">
        <v>22</v>
      </c>
      <c r="E65" s="117" t="s">
        <v>76</v>
      </c>
      <c r="F65" s="106" t="s">
        <v>53</v>
      </c>
      <c r="G65" s="143" t="s">
        <v>27</v>
      </c>
      <c r="H65" s="94" t="s">
        <v>26</v>
      </c>
      <c r="I65" s="144"/>
      <c r="J65" s="94"/>
      <c r="K65" s="94"/>
      <c r="L65" s="94"/>
      <c r="M65" s="94"/>
      <c r="N65" s="94"/>
      <c r="O65" s="94"/>
      <c r="P65" s="94"/>
      <c r="Q65" s="94"/>
      <c r="R65" s="94"/>
      <c r="S65" s="144"/>
      <c r="T65" s="94" t="s">
        <v>27</v>
      </c>
      <c r="U65" s="94"/>
      <c r="V65" s="94"/>
      <c r="W65" s="94"/>
      <c r="X65" s="94" t="s">
        <v>42</v>
      </c>
      <c r="Y65" s="94" t="s">
        <v>26</v>
      </c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 t="s">
        <v>27</v>
      </c>
      <c r="AK65" s="94"/>
      <c r="AL65" s="94" t="s">
        <v>26</v>
      </c>
      <c r="AM65" s="94"/>
      <c r="AN65" s="94"/>
      <c r="AO65" s="94"/>
      <c r="AP65" s="94"/>
      <c r="AQ65" s="94"/>
      <c r="AR65" s="94"/>
      <c r="AS65" s="94"/>
      <c r="AT65" s="94"/>
      <c r="AU65" s="144"/>
      <c r="AV65" s="94" t="s">
        <v>27</v>
      </c>
      <c r="AW65" s="94" t="s">
        <v>26</v>
      </c>
      <c r="AX65" s="94"/>
      <c r="AY65" s="94"/>
      <c r="AZ65" s="94"/>
      <c r="BA65" s="94"/>
      <c r="BB65" s="94"/>
      <c r="BC65" s="94"/>
      <c r="BD65" s="94"/>
      <c r="BE65" s="94"/>
      <c r="BF65" s="94"/>
      <c r="BG65" s="94"/>
      <c r="BH65" s="94" t="s">
        <v>27</v>
      </c>
      <c r="BI65" s="94"/>
      <c r="BJ65" s="94" t="s">
        <v>26</v>
      </c>
      <c r="BK65" s="94"/>
      <c r="BL65" s="94"/>
      <c r="BM65" s="94"/>
      <c r="BN65" s="94"/>
      <c r="BO65" s="94"/>
      <c r="BP65" s="94"/>
      <c r="BQ65" s="94"/>
      <c r="BR65" s="94"/>
      <c r="BS65" s="94" t="s">
        <v>27</v>
      </c>
      <c r="BT65" s="94"/>
      <c r="BU65" s="94"/>
      <c r="BV65" s="94" t="s">
        <v>26</v>
      </c>
      <c r="BW65" s="94"/>
      <c r="BX65" s="94"/>
      <c r="BY65" s="94"/>
      <c r="BZ65" s="94"/>
      <c r="CA65" s="94"/>
      <c r="CB65" s="94"/>
      <c r="CC65" s="94"/>
      <c r="CD65" s="94"/>
      <c r="CE65" s="94" t="s">
        <v>27</v>
      </c>
      <c r="CF65" s="94"/>
      <c r="CG65" s="94" t="s">
        <v>26</v>
      </c>
      <c r="CH65" s="94"/>
      <c r="CI65" s="94"/>
      <c r="CJ65" s="94"/>
      <c r="CK65" s="94"/>
      <c r="CL65" s="94"/>
      <c r="CM65" s="94"/>
      <c r="CN65" s="94" t="s">
        <v>27</v>
      </c>
      <c r="CO65" s="94"/>
      <c r="CP65" s="94" t="s">
        <v>26</v>
      </c>
      <c r="CQ65" s="94"/>
      <c r="CR65" s="94"/>
      <c r="CS65" s="94"/>
      <c r="CT65" s="94"/>
      <c r="CU65" s="94"/>
      <c r="CV65" s="94"/>
      <c r="CW65" s="94" t="s">
        <v>27</v>
      </c>
      <c r="CX65" s="94" t="s">
        <v>26</v>
      </c>
      <c r="CY65" s="94"/>
      <c r="CZ65" s="94"/>
      <c r="DA65" s="94"/>
      <c r="DB65" s="94"/>
      <c r="DC65" s="94"/>
      <c r="DD65" s="94"/>
      <c r="DE65" s="94"/>
      <c r="DF65" s="94" t="s">
        <v>27</v>
      </c>
      <c r="DG65" s="94" t="s">
        <v>26</v>
      </c>
      <c r="DH65" s="94"/>
      <c r="DI65" s="94"/>
      <c r="DJ65" s="94"/>
      <c r="DK65" s="94"/>
      <c r="DL65" s="94"/>
      <c r="DM65" s="94" t="s">
        <v>27</v>
      </c>
      <c r="DN65" s="94"/>
      <c r="DO65" s="94" t="s">
        <v>26</v>
      </c>
      <c r="DP65" s="94"/>
      <c r="DQ65" s="94"/>
      <c r="DR65" s="94"/>
      <c r="DS65" s="94"/>
      <c r="DT65" s="94"/>
      <c r="DU65" s="94"/>
      <c r="DV65" s="94" t="s">
        <v>27</v>
      </c>
      <c r="DW65" s="94"/>
      <c r="DX65" s="94" t="s">
        <v>26</v>
      </c>
      <c r="DY65" s="94"/>
      <c r="DZ65" s="94"/>
      <c r="EA65" s="94"/>
      <c r="EB65" s="94"/>
      <c r="EC65" s="94"/>
      <c r="ED65" s="94"/>
      <c r="EE65" s="94" t="s">
        <v>27</v>
      </c>
      <c r="EF65" s="94"/>
      <c r="EG65" s="94"/>
      <c r="EH65" s="94"/>
      <c r="EI65" s="94"/>
      <c r="EJ65" s="94"/>
      <c r="EK65" s="94" t="s">
        <v>26</v>
      </c>
      <c r="EL65" s="94"/>
      <c r="EM65" s="94"/>
      <c r="EN65" s="94"/>
      <c r="EO65" s="94"/>
      <c r="EP65" s="94"/>
      <c r="EQ65" s="94"/>
      <c r="ER65" s="94"/>
      <c r="ES65" s="94"/>
      <c r="ET65" s="94"/>
      <c r="EU65" s="94" t="s">
        <v>27</v>
      </c>
      <c r="EV65" s="94"/>
      <c r="EW65" s="94" t="s">
        <v>26</v>
      </c>
      <c r="EX65" s="94"/>
      <c r="EY65" s="94"/>
      <c r="EZ65" s="94"/>
      <c r="FA65" s="94"/>
      <c r="FB65" s="94"/>
      <c r="FC65" s="94"/>
      <c r="FD65" s="94"/>
      <c r="FE65" s="94" t="s">
        <v>27</v>
      </c>
      <c r="FF65" s="94" t="s">
        <v>26</v>
      </c>
      <c r="FG65" s="94"/>
      <c r="FH65" s="94"/>
      <c r="FI65" s="94"/>
      <c r="FJ65" s="94"/>
      <c r="FK65" s="94"/>
      <c r="FL65" s="94"/>
      <c r="FM65" s="94"/>
      <c r="FN65" s="94"/>
      <c r="FO65" s="94"/>
      <c r="FP65" s="94"/>
      <c r="FQ65" s="94"/>
      <c r="FR65" s="94"/>
      <c r="FS65" s="94"/>
      <c r="FT65" s="94"/>
      <c r="FU65" s="94"/>
      <c r="FV65" s="94"/>
      <c r="FW65" s="94" t="s">
        <v>27</v>
      </c>
      <c r="FX65" s="94" t="s">
        <v>26</v>
      </c>
      <c r="FY65" s="94"/>
      <c r="FZ65" s="94"/>
      <c r="GA65" s="94"/>
      <c r="GB65" s="94"/>
      <c r="GC65" s="94"/>
      <c r="GD65" s="94"/>
      <c r="GE65" s="94"/>
      <c r="GF65" s="94"/>
      <c r="GG65" s="94"/>
      <c r="GH65" s="94"/>
      <c r="GI65" s="94"/>
      <c r="GJ65" s="94"/>
      <c r="GK65" s="94" t="s">
        <v>27</v>
      </c>
      <c r="GL65" s="94"/>
      <c r="GM65" s="93"/>
      <c r="GN65" s="93"/>
      <c r="GO65" s="94" t="s">
        <v>26</v>
      </c>
      <c r="GP65" s="94"/>
      <c r="GQ65" s="94"/>
      <c r="GR65" s="94"/>
      <c r="GS65" s="94"/>
      <c r="GT65" s="94" t="s">
        <v>28</v>
      </c>
      <c r="GU65" s="94"/>
      <c r="GV65" s="94"/>
      <c r="GW65" s="94"/>
      <c r="GX65" s="94"/>
      <c r="GY65" s="94"/>
      <c r="GZ65" s="94"/>
      <c r="HA65" s="94"/>
      <c r="HB65" s="94"/>
      <c r="HC65" s="94"/>
      <c r="HD65" s="94"/>
      <c r="HE65" s="94"/>
      <c r="HF65" s="94"/>
      <c r="HG65" s="94"/>
      <c r="HH65" s="94" t="s">
        <v>27</v>
      </c>
      <c r="HI65" s="94" t="s">
        <v>26</v>
      </c>
      <c r="HJ65" s="94"/>
      <c r="HK65" s="94"/>
      <c r="HL65" s="94"/>
      <c r="HM65" s="94"/>
      <c r="HN65" s="94"/>
      <c r="HO65" s="94"/>
      <c r="HP65" s="94"/>
      <c r="HQ65" s="94"/>
      <c r="HR65" s="94"/>
      <c r="HS65" s="94" t="s">
        <v>27</v>
      </c>
      <c r="HT65" s="94" t="s">
        <v>26</v>
      </c>
      <c r="HU65" s="94"/>
      <c r="HV65" s="94"/>
      <c r="HW65" s="94"/>
      <c r="HX65" s="94"/>
      <c r="HY65" s="94"/>
      <c r="HZ65" s="94"/>
      <c r="IA65" s="94"/>
      <c r="IB65" s="94"/>
      <c r="IC65" s="94"/>
      <c r="ID65" s="94"/>
      <c r="IE65" s="94"/>
      <c r="IF65" s="94"/>
      <c r="IG65" s="94" t="s">
        <v>27</v>
      </c>
      <c r="IH65" s="94"/>
      <c r="II65" s="94"/>
      <c r="IJ65" s="94"/>
      <c r="IK65" s="94" t="s">
        <v>26</v>
      </c>
      <c r="IL65" s="94"/>
      <c r="IM65" s="94"/>
      <c r="IN65" s="94"/>
      <c r="IO65" s="94"/>
      <c r="IP65" s="94"/>
      <c r="IQ65" s="94"/>
      <c r="IR65" s="94"/>
      <c r="IS65" s="94"/>
      <c r="IT65" s="94"/>
      <c r="IU65" s="94"/>
      <c r="IV65" s="94"/>
      <c r="IW65" s="94"/>
      <c r="IX65" s="94" t="s">
        <v>27</v>
      </c>
      <c r="IY65" s="94"/>
      <c r="IZ65" s="94"/>
      <c r="JA65" s="94" t="s">
        <v>26</v>
      </c>
      <c r="JB65" s="94"/>
      <c r="JC65" s="94"/>
      <c r="JD65" s="94"/>
      <c r="JE65" s="94"/>
      <c r="JF65" s="94"/>
      <c r="JG65" s="94"/>
      <c r="JH65" s="94"/>
      <c r="JI65" s="94"/>
      <c r="JJ65" s="94"/>
      <c r="JK65" s="94"/>
      <c r="JL65" s="94"/>
      <c r="JM65" s="94"/>
      <c r="JN65" s="94" t="s">
        <v>27</v>
      </c>
      <c r="JO65" s="94"/>
      <c r="JP65" s="94"/>
      <c r="JQ65" s="94" t="s">
        <v>26</v>
      </c>
      <c r="JR65" s="94"/>
      <c r="JS65" s="94"/>
      <c r="JT65" s="94"/>
      <c r="JU65" s="94"/>
      <c r="JV65" s="94"/>
      <c r="JW65" s="94"/>
      <c r="JX65" s="94"/>
      <c r="JY65" s="94"/>
      <c r="JZ65" s="94"/>
      <c r="KA65" s="94"/>
      <c r="KB65" s="94"/>
      <c r="KC65" s="94"/>
      <c r="KD65" s="94" t="s">
        <v>27</v>
      </c>
      <c r="KE65" s="94"/>
      <c r="KF65" s="94"/>
      <c r="KG65" s="94" t="s">
        <v>26</v>
      </c>
      <c r="KH65" s="94"/>
      <c r="KI65" s="94"/>
      <c r="KJ65" s="94"/>
      <c r="KK65" s="94"/>
      <c r="KL65" s="94"/>
      <c r="KM65" s="94"/>
      <c r="KN65" s="94"/>
      <c r="KO65" s="94"/>
      <c r="KP65" s="94"/>
      <c r="KQ65" s="94"/>
      <c r="KR65" s="94"/>
      <c r="KS65" s="94"/>
      <c r="KT65" s="94" t="s">
        <v>27</v>
      </c>
      <c r="KU65" s="94"/>
      <c r="KV65" s="94"/>
      <c r="KW65" s="94" t="s">
        <v>26</v>
      </c>
      <c r="KX65" s="94"/>
      <c r="KY65" s="94"/>
      <c r="KZ65" s="94"/>
      <c r="LA65" s="94"/>
      <c r="LB65" s="94"/>
      <c r="LC65" s="94"/>
      <c r="LD65" s="94"/>
      <c r="LE65" s="94"/>
      <c r="LF65" s="94"/>
      <c r="LG65" s="94"/>
      <c r="LH65" s="94"/>
      <c r="LI65" s="94"/>
      <c r="LJ65" s="94" t="s">
        <v>27</v>
      </c>
      <c r="LK65" s="94"/>
      <c r="LL65" s="94"/>
      <c r="LM65" s="94" t="s">
        <v>26</v>
      </c>
      <c r="LN65" s="94"/>
      <c r="LO65" s="94"/>
      <c r="LP65" s="94"/>
      <c r="LQ65" s="94"/>
      <c r="LR65" s="94"/>
      <c r="LS65" s="94"/>
      <c r="LT65" s="94"/>
      <c r="LU65" s="94"/>
      <c r="LV65" s="94"/>
      <c r="LW65" s="94"/>
      <c r="LX65" s="94"/>
      <c r="LY65" s="94"/>
      <c r="LZ65" s="94" t="s">
        <v>27</v>
      </c>
      <c r="MA65" s="94"/>
      <c r="MB65" s="94"/>
    </row>
    <row r="66" spans="1:342" s="50" customFormat="1" ht="31.5" customHeight="1" thickBot="1">
      <c r="A66" s="44">
        <v>1</v>
      </c>
      <c r="B66" s="107" t="s">
        <v>115</v>
      </c>
      <c r="C66" s="46" t="s">
        <v>117</v>
      </c>
      <c r="D66" s="105" t="s">
        <v>22</v>
      </c>
      <c r="E66" s="117" t="s">
        <v>76</v>
      </c>
      <c r="F66" s="106" t="s">
        <v>24</v>
      </c>
      <c r="G66" s="145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31"/>
      <c r="BZ66" s="131"/>
      <c r="CA66" s="131"/>
      <c r="CB66" s="131"/>
      <c r="CC66" s="131"/>
      <c r="CD66" s="131" t="s">
        <v>25</v>
      </c>
      <c r="CE66" s="94"/>
      <c r="CF66" s="94"/>
      <c r="CG66" s="94"/>
      <c r="CH66" s="94" t="s">
        <v>26</v>
      </c>
      <c r="CI66" s="94"/>
      <c r="CJ66" s="94"/>
      <c r="CK66" s="94"/>
      <c r="CL66" s="94"/>
      <c r="CM66" s="94"/>
      <c r="CN66" s="94"/>
      <c r="CO66" s="94"/>
      <c r="CP66" s="94" t="s">
        <v>27</v>
      </c>
      <c r="CQ66" s="94"/>
      <c r="CR66" s="94" t="s">
        <v>26</v>
      </c>
      <c r="CS66" s="94"/>
      <c r="CT66" s="94"/>
      <c r="CU66" s="94"/>
      <c r="CV66" s="94"/>
      <c r="CW66" s="94"/>
      <c r="CX66" s="94"/>
      <c r="CY66" s="94"/>
      <c r="CZ66" s="94"/>
      <c r="DA66" s="94" t="s">
        <v>27</v>
      </c>
      <c r="DB66" s="94"/>
      <c r="DC66" s="94" t="s">
        <v>26</v>
      </c>
      <c r="DD66" s="94"/>
      <c r="DE66" s="94"/>
      <c r="DF66" s="94"/>
      <c r="DG66" s="94"/>
      <c r="DH66" s="94"/>
      <c r="DI66" s="94" t="s">
        <v>27</v>
      </c>
      <c r="DJ66" s="94"/>
      <c r="DK66" s="94"/>
      <c r="DL66" s="94" t="s">
        <v>26</v>
      </c>
      <c r="DM66" s="94"/>
      <c r="DN66" s="94"/>
      <c r="DO66" s="94"/>
      <c r="DP66" s="94"/>
      <c r="DQ66" s="94"/>
      <c r="DR66" s="94"/>
      <c r="DT66" s="94" t="s">
        <v>27</v>
      </c>
      <c r="DU66" s="94"/>
      <c r="DV66" s="94" t="s">
        <v>26</v>
      </c>
      <c r="DW66" s="94"/>
      <c r="DX66" s="94"/>
      <c r="DY66" s="94"/>
      <c r="DZ66" s="94"/>
      <c r="EA66" s="94"/>
      <c r="EB66" s="94" t="s">
        <v>26</v>
      </c>
      <c r="EC66" s="94"/>
      <c r="ED66" s="94"/>
      <c r="EE66" s="94"/>
      <c r="EF66" s="94" t="s">
        <v>41</v>
      </c>
      <c r="EG66" s="94"/>
      <c r="EH66" s="94"/>
      <c r="EI66" s="94"/>
      <c r="EJ66" s="94"/>
      <c r="EK66" s="94"/>
      <c r="EL66" s="94"/>
      <c r="EM66" s="94"/>
      <c r="EN66" s="94"/>
      <c r="EO66" s="94"/>
      <c r="EP66" s="94"/>
      <c r="EQ66" s="94"/>
      <c r="ER66" s="94"/>
      <c r="ES66" s="94"/>
      <c r="ET66" s="94"/>
      <c r="EU66" s="94" t="s">
        <v>27</v>
      </c>
      <c r="EV66" s="94"/>
      <c r="EW66" s="93" t="s">
        <v>26</v>
      </c>
      <c r="EX66" s="94"/>
      <c r="EY66" s="94"/>
      <c r="EZ66" s="94"/>
      <c r="FA66" s="94"/>
      <c r="FB66" s="94"/>
      <c r="FC66" s="94"/>
      <c r="FD66" s="94"/>
      <c r="FE66" s="94"/>
      <c r="FF66" s="94"/>
      <c r="FG66" s="94"/>
      <c r="FH66" s="94"/>
      <c r="FI66" s="94"/>
      <c r="FJ66" s="94"/>
      <c r="FL66" s="94" t="s">
        <v>27</v>
      </c>
      <c r="FM66" s="94" t="s">
        <v>26</v>
      </c>
      <c r="FN66" s="94"/>
      <c r="FO66" s="94"/>
      <c r="FP66" s="94"/>
      <c r="FQ66" s="94"/>
      <c r="FR66" s="94"/>
      <c r="FS66" s="94"/>
      <c r="FT66" s="94"/>
      <c r="FU66" s="94"/>
      <c r="FV66" s="94"/>
      <c r="FW66" s="94"/>
      <c r="FX66" s="94"/>
      <c r="FY66" s="94"/>
      <c r="FZ66" s="94"/>
      <c r="GA66" s="94"/>
      <c r="GB66" s="94"/>
      <c r="GC66" s="94"/>
      <c r="GD66" s="94"/>
      <c r="GE66" s="94"/>
      <c r="GF66" s="94"/>
      <c r="GG66" s="94"/>
      <c r="GH66" s="94"/>
      <c r="GI66" s="94"/>
      <c r="GJ66" s="94" t="s">
        <v>27</v>
      </c>
      <c r="GK66" s="94"/>
      <c r="GL66" s="94" t="s">
        <v>26</v>
      </c>
      <c r="GM66" s="94"/>
      <c r="GN66" s="94"/>
      <c r="GO66" s="94"/>
      <c r="GP66" s="94"/>
      <c r="GQ66" s="94"/>
      <c r="GR66" s="94"/>
      <c r="GS66" s="94"/>
      <c r="GT66" s="94"/>
      <c r="GU66" s="94"/>
      <c r="GV66" s="94"/>
      <c r="GW66" s="94"/>
      <c r="GX66" s="94"/>
      <c r="GY66" s="94" t="s">
        <v>27</v>
      </c>
      <c r="GZ66" s="94"/>
      <c r="HA66" s="94"/>
      <c r="HB66" s="94"/>
      <c r="HC66" s="94" t="s">
        <v>26</v>
      </c>
      <c r="HD66" s="94"/>
      <c r="HE66" s="94"/>
      <c r="HF66" s="94"/>
      <c r="HG66" s="94"/>
      <c r="HH66" s="94"/>
      <c r="HI66" s="94"/>
      <c r="HJ66" s="94"/>
      <c r="HK66" s="94" t="s">
        <v>27</v>
      </c>
      <c r="HL66" s="94" t="s">
        <v>26</v>
      </c>
      <c r="HM66" s="94"/>
      <c r="HN66" s="94"/>
      <c r="HO66" s="94"/>
      <c r="HP66" s="94"/>
      <c r="HQ66" s="94"/>
      <c r="HR66" s="94"/>
      <c r="HS66" s="94"/>
      <c r="HT66" s="94" t="s">
        <v>118</v>
      </c>
      <c r="HU66" s="94"/>
      <c r="HV66" s="94" t="s">
        <v>26</v>
      </c>
      <c r="HW66" s="94"/>
      <c r="HX66" s="94"/>
      <c r="HY66" s="94"/>
      <c r="HZ66" s="94"/>
      <c r="IA66" s="94"/>
      <c r="IB66" s="94"/>
      <c r="IC66" s="94"/>
      <c r="ID66" s="94"/>
      <c r="IE66" s="94"/>
      <c r="IF66" s="94" t="s">
        <v>27</v>
      </c>
      <c r="IG66" s="94" t="s">
        <v>26</v>
      </c>
      <c r="IH66" s="94"/>
      <c r="II66" s="94"/>
      <c r="IJ66" s="94"/>
      <c r="IK66" s="94"/>
      <c r="IL66" s="94"/>
      <c r="IM66" s="94"/>
      <c r="IN66" s="94"/>
      <c r="IO66" s="94" t="s">
        <v>27</v>
      </c>
      <c r="IP66" s="94"/>
      <c r="IQ66" s="94" t="s">
        <v>26</v>
      </c>
      <c r="IR66" s="94"/>
      <c r="IS66" s="94"/>
      <c r="IT66" s="94"/>
      <c r="IU66" s="94"/>
      <c r="IV66" s="94"/>
      <c r="IW66" s="94"/>
      <c r="IX66" s="94"/>
      <c r="IY66" s="94"/>
      <c r="IZ66" s="94"/>
      <c r="JA66" s="94"/>
      <c r="JB66" s="94"/>
      <c r="JC66" s="94"/>
      <c r="JD66" s="94" t="s">
        <v>27</v>
      </c>
      <c r="JE66" s="94"/>
      <c r="JF66" s="94" t="s">
        <v>26</v>
      </c>
      <c r="JG66" s="94"/>
      <c r="JH66" s="94"/>
      <c r="JI66" s="94"/>
      <c r="JJ66" s="94"/>
      <c r="JK66" s="94"/>
      <c r="JL66" s="94"/>
      <c r="JM66" s="94"/>
      <c r="JN66" s="94"/>
      <c r="JO66" s="94"/>
      <c r="JP66" s="94"/>
      <c r="JQ66" s="94"/>
      <c r="JR66" s="94"/>
      <c r="JS66" s="94" t="s">
        <v>27</v>
      </c>
      <c r="JT66" s="94"/>
      <c r="JU66" s="94" t="s">
        <v>26</v>
      </c>
      <c r="JV66" s="94"/>
      <c r="JW66" s="94"/>
      <c r="JX66" s="94"/>
      <c r="JY66" s="94"/>
      <c r="JZ66" s="94"/>
      <c r="KA66" s="94"/>
      <c r="KB66" s="94"/>
      <c r="KC66" s="94"/>
      <c r="KD66" s="94"/>
      <c r="KE66" s="94"/>
      <c r="KF66" s="94"/>
      <c r="KG66" s="94"/>
      <c r="KH66" s="94" t="s">
        <v>27</v>
      </c>
      <c r="KI66" s="94"/>
      <c r="KJ66" s="94" t="s">
        <v>26</v>
      </c>
      <c r="KK66" s="94"/>
      <c r="KL66" s="94"/>
      <c r="KM66" s="94"/>
      <c r="KN66" s="94"/>
      <c r="KO66" s="94"/>
      <c r="KP66" s="94"/>
      <c r="KQ66" s="94"/>
      <c r="KR66" s="94"/>
      <c r="KS66" s="94"/>
      <c r="KT66" s="94"/>
      <c r="KU66" s="94"/>
      <c r="KV66" s="94"/>
      <c r="KW66" s="94" t="s">
        <v>27</v>
      </c>
      <c r="KX66" s="94"/>
      <c r="KY66" s="94" t="s">
        <v>26</v>
      </c>
      <c r="KZ66" s="94"/>
      <c r="LA66" s="94"/>
      <c r="LB66" s="94"/>
      <c r="LC66" s="94"/>
      <c r="LD66" s="94"/>
      <c r="LE66" s="94"/>
      <c r="LF66" s="94"/>
      <c r="LG66" s="94"/>
      <c r="LH66" s="94"/>
      <c r="LI66" s="94"/>
      <c r="LJ66" s="94"/>
      <c r="LK66" s="94"/>
      <c r="LL66" s="94" t="s">
        <v>27</v>
      </c>
      <c r="LM66" s="94"/>
      <c r="LN66" s="94" t="s">
        <v>26</v>
      </c>
      <c r="LO66" s="94"/>
      <c r="LP66" s="94"/>
      <c r="LQ66" s="94"/>
      <c r="LR66" s="94"/>
      <c r="LS66" s="94"/>
      <c r="LT66" s="94"/>
      <c r="LU66" s="94"/>
      <c r="LV66" s="94"/>
      <c r="LW66" s="94"/>
      <c r="LX66" s="94"/>
      <c r="LY66" s="94"/>
      <c r="LZ66" s="94"/>
      <c r="MA66" s="94" t="s">
        <v>27</v>
      </c>
      <c r="MB66" s="94"/>
    </row>
    <row r="67" spans="1:342" s="50" customFormat="1" ht="31.5" customHeight="1" thickBot="1">
      <c r="A67" s="44">
        <v>1</v>
      </c>
      <c r="B67" s="107" t="s">
        <v>119</v>
      </c>
      <c r="C67" s="46" t="s">
        <v>120</v>
      </c>
      <c r="D67" s="105" t="s">
        <v>22</v>
      </c>
      <c r="E67" s="117" t="s">
        <v>23</v>
      </c>
      <c r="F67" s="106" t="s">
        <v>53</v>
      </c>
      <c r="G67" s="143"/>
      <c r="H67" s="94"/>
      <c r="I67" s="94"/>
      <c r="J67" s="94" t="s">
        <v>27</v>
      </c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 t="s">
        <v>27</v>
      </c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144"/>
      <c r="BC67" s="94"/>
      <c r="BD67" s="94" t="s">
        <v>27</v>
      </c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 t="s">
        <v>27</v>
      </c>
      <c r="BW67" s="94"/>
      <c r="BX67" s="94"/>
      <c r="BY67" s="94"/>
      <c r="BZ67" s="94"/>
      <c r="CA67" s="94"/>
      <c r="CB67" s="94"/>
      <c r="CC67" s="94"/>
      <c r="CD67" s="94"/>
      <c r="CE67" s="94"/>
      <c r="CF67" s="94" t="s">
        <v>26</v>
      </c>
      <c r="CG67" s="94"/>
      <c r="CH67" s="94" t="s">
        <v>26</v>
      </c>
      <c r="CJ67" s="94" t="s">
        <v>26</v>
      </c>
      <c r="CK67" s="94" t="s">
        <v>26</v>
      </c>
      <c r="CL67" s="94"/>
      <c r="CM67" s="94"/>
      <c r="CN67" s="94"/>
      <c r="CO67" s="94"/>
      <c r="CP67" s="94"/>
      <c r="CQ67" s="94"/>
      <c r="CR67" s="94"/>
      <c r="CS67" s="94"/>
      <c r="CT67" s="94"/>
      <c r="CU67" s="94"/>
      <c r="CV67" s="94"/>
      <c r="CW67" s="94"/>
      <c r="CX67" s="94"/>
      <c r="CY67" s="94"/>
      <c r="CZ67" s="94"/>
      <c r="DA67" s="94"/>
      <c r="DB67" s="94"/>
      <c r="DC67" s="94"/>
      <c r="DD67" s="94" t="s">
        <v>27</v>
      </c>
      <c r="DE67" s="94"/>
      <c r="DF67" s="94"/>
      <c r="DG67" s="94"/>
      <c r="DH67" s="94"/>
      <c r="DI67" s="94"/>
      <c r="DJ67" s="94"/>
      <c r="DK67" s="94"/>
      <c r="DL67" s="94"/>
      <c r="DM67" s="94"/>
      <c r="DN67" s="94"/>
      <c r="DO67" s="94"/>
      <c r="DP67" s="94"/>
      <c r="DQ67" s="94"/>
      <c r="DR67" s="94"/>
      <c r="DS67" s="94"/>
      <c r="DT67" s="94"/>
      <c r="DU67" s="94"/>
      <c r="DV67" s="94"/>
      <c r="DW67" s="94"/>
      <c r="DX67" s="94"/>
      <c r="DY67" s="94" t="s">
        <v>27</v>
      </c>
      <c r="DZ67" s="94"/>
      <c r="EA67" s="94"/>
      <c r="EB67" s="94"/>
      <c r="EC67" s="94"/>
      <c r="ED67" s="94"/>
      <c r="EE67" s="94"/>
      <c r="EF67" s="94"/>
      <c r="EG67" s="94"/>
      <c r="EH67" s="94"/>
      <c r="EI67" s="94"/>
      <c r="EJ67" s="94"/>
      <c r="EK67" s="94"/>
      <c r="EL67" s="94"/>
      <c r="EM67" s="94"/>
      <c r="EN67" s="94"/>
      <c r="EO67" s="94"/>
      <c r="EP67" s="94"/>
      <c r="EQ67" s="94"/>
      <c r="ER67" s="94"/>
      <c r="ES67" s="94" t="s">
        <v>27</v>
      </c>
      <c r="ET67" s="94"/>
      <c r="EU67" s="94"/>
      <c r="EV67" s="94"/>
      <c r="EW67" s="94"/>
      <c r="EX67" s="94"/>
      <c r="EY67" s="94"/>
      <c r="EZ67" s="94"/>
      <c r="FA67" s="94"/>
      <c r="FB67" s="94"/>
      <c r="FC67" s="94"/>
      <c r="FD67" s="94"/>
      <c r="FE67" s="94"/>
      <c r="FF67" s="94"/>
      <c r="FG67" s="94"/>
      <c r="FH67" s="94"/>
      <c r="FI67" s="94"/>
      <c r="FJ67" s="94" t="s">
        <v>27</v>
      </c>
      <c r="FK67" s="94"/>
      <c r="FL67" s="94"/>
      <c r="FM67" s="94"/>
      <c r="FN67" s="94"/>
      <c r="FO67" s="94"/>
      <c r="FP67" s="94"/>
      <c r="FQ67" s="94"/>
      <c r="FR67" s="94"/>
      <c r="FS67" s="94"/>
      <c r="FT67" s="94"/>
      <c r="FU67" s="94" t="s">
        <v>26</v>
      </c>
      <c r="FV67" s="94" t="s">
        <v>26</v>
      </c>
      <c r="FW67" s="94" t="s">
        <v>26</v>
      </c>
      <c r="FX67" s="94" t="s">
        <v>26</v>
      </c>
      <c r="FY67" s="94"/>
      <c r="FZ67" s="94"/>
      <c r="GA67" s="94"/>
      <c r="GB67" s="94"/>
      <c r="GC67" s="94"/>
      <c r="GD67" s="94"/>
      <c r="GE67" s="94"/>
      <c r="GF67" s="94"/>
      <c r="GG67" s="94"/>
      <c r="GH67" s="94"/>
      <c r="GI67" s="94"/>
      <c r="GJ67" s="94"/>
      <c r="GK67" s="94"/>
      <c r="GL67" s="94"/>
      <c r="GM67" s="94"/>
      <c r="GN67" s="94"/>
      <c r="GO67" s="94"/>
      <c r="GP67" s="94" t="s">
        <v>27</v>
      </c>
      <c r="GQ67" s="94"/>
      <c r="GR67" s="94"/>
      <c r="GS67" s="94"/>
      <c r="GT67" s="94"/>
      <c r="GU67" s="94"/>
      <c r="GV67" s="94"/>
      <c r="GW67" s="94"/>
      <c r="GX67" s="94"/>
      <c r="GY67" s="94"/>
      <c r="GZ67" s="94"/>
      <c r="HA67" s="94"/>
      <c r="HB67" s="94"/>
      <c r="HC67" s="94"/>
      <c r="HD67" s="94"/>
      <c r="HE67" s="94"/>
      <c r="HF67" s="94"/>
      <c r="HG67" s="94"/>
      <c r="HH67" s="94" t="s">
        <v>27</v>
      </c>
      <c r="HI67" s="94"/>
      <c r="HJ67" s="94"/>
      <c r="HK67" s="94"/>
      <c r="HL67" s="94"/>
      <c r="HM67" s="94"/>
      <c r="HN67" s="94" t="s">
        <v>28</v>
      </c>
      <c r="HO67" s="94"/>
      <c r="HP67" s="94"/>
      <c r="HQ67" s="94"/>
      <c r="HR67" s="94"/>
      <c r="HS67" s="94"/>
      <c r="HT67" s="94"/>
      <c r="HU67" s="94"/>
      <c r="HV67" s="94" t="s">
        <v>28</v>
      </c>
      <c r="HW67" s="94"/>
      <c r="HX67" s="94" t="s">
        <v>27</v>
      </c>
      <c r="HY67" s="94"/>
      <c r="HZ67" s="94"/>
      <c r="IA67" s="94"/>
      <c r="IB67" s="94"/>
      <c r="IC67" s="94"/>
      <c r="ID67" s="94"/>
      <c r="IE67" s="94"/>
      <c r="IF67" s="94"/>
      <c r="IG67" s="94"/>
      <c r="IH67" s="94"/>
      <c r="II67" s="94"/>
      <c r="IJ67" s="94"/>
      <c r="IK67" s="94"/>
      <c r="IL67" s="94"/>
      <c r="IM67" s="94"/>
      <c r="IN67" s="94"/>
      <c r="IO67" s="94"/>
      <c r="IP67" s="94"/>
      <c r="IQ67" s="94"/>
      <c r="IR67" s="94" t="s">
        <v>27</v>
      </c>
      <c r="IS67" s="94"/>
      <c r="IT67" s="94"/>
      <c r="IU67" s="94"/>
      <c r="IV67" s="94" t="s">
        <v>26</v>
      </c>
      <c r="IW67" s="94" t="s">
        <v>26</v>
      </c>
      <c r="IX67" s="94" t="s">
        <v>26</v>
      </c>
      <c r="IY67" s="94" t="s">
        <v>26</v>
      </c>
      <c r="IZ67" s="94"/>
      <c r="JA67" s="94"/>
      <c r="JB67" s="94"/>
      <c r="JC67" s="94"/>
      <c r="JD67" s="94"/>
      <c r="JE67" s="94"/>
      <c r="JF67" s="94"/>
      <c r="JG67" s="94"/>
      <c r="JH67" s="94"/>
      <c r="JI67" s="94"/>
      <c r="JJ67" s="94"/>
      <c r="JK67" s="94"/>
      <c r="JL67" s="94"/>
      <c r="JM67" s="94"/>
      <c r="JN67" s="94"/>
      <c r="JO67" s="94"/>
      <c r="JP67" s="94"/>
      <c r="JQ67" s="94" t="s">
        <v>27</v>
      </c>
      <c r="JR67" s="94"/>
      <c r="JS67" s="94"/>
      <c r="JT67" s="94"/>
      <c r="JU67" s="94"/>
      <c r="JV67" s="94"/>
      <c r="JW67" s="94"/>
      <c r="JX67" s="94"/>
      <c r="JY67" s="94"/>
      <c r="JZ67" s="94"/>
      <c r="KA67" s="94"/>
      <c r="KB67" s="94"/>
      <c r="KC67" s="94"/>
      <c r="KD67" s="94"/>
      <c r="KE67" s="94"/>
      <c r="KF67" s="94"/>
      <c r="KG67" s="94"/>
      <c r="KH67" s="94"/>
      <c r="KI67" s="94" t="s">
        <v>27</v>
      </c>
      <c r="KJ67" s="94"/>
      <c r="KK67" s="94"/>
      <c r="KL67" s="94"/>
      <c r="KM67" s="94"/>
      <c r="KN67" s="94"/>
      <c r="KO67" s="94"/>
      <c r="KP67" s="94"/>
      <c r="KQ67" s="94"/>
      <c r="KR67" s="94"/>
      <c r="KS67" s="94"/>
      <c r="KT67" s="94"/>
      <c r="KU67" s="94"/>
      <c r="KV67" s="94"/>
      <c r="KW67" s="94"/>
      <c r="KX67" s="94"/>
      <c r="KY67" s="94"/>
      <c r="KZ67" s="94"/>
      <c r="LA67" s="94" t="s">
        <v>27</v>
      </c>
      <c r="LB67" s="94"/>
      <c r="LC67" s="94"/>
      <c r="LD67" s="94"/>
      <c r="LE67" s="94"/>
      <c r="LF67" s="94"/>
      <c r="LG67" s="94"/>
      <c r="LH67" s="94"/>
      <c r="LI67" s="94"/>
      <c r="LJ67" s="94"/>
      <c r="LK67" s="94"/>
      <c r="LL67" s="94"/>
      <c r="LM67" s="94"/>
      <c r="LN67" s="94"/>
      <c r="LO67" s="94"/>
      <c r="LP67" s="94"/>
      <c r="LQ67" s="94"/>
      <c r="LR67" s="94"/>
      <c r="LS67" s="94" t="s">
        <v>27</v>
      </c>
      <c r="LT67" s="94"/>
      <c r="LU67" s="94"/>
      <c r="LV67" s="94"/>
      <c r="LW67" s="94" t="s">
        <v>26</v>
      </c>
      <c r="LX67" s="94" t="s">
        <v>26</v>
      </c>
      <c r="LY67" s="94" t="s">
        <v>26</v>
      </c>
      <c r="LZ67" s="94" t="s">
        <v>26</v>
      </c>
      <c r="MA67" s="94" t="s">
        <v>26</v>
      </c>
      <c r="MB67" s="94"/>
    </row>
    <row r="68" spans="1:342" s="50" customFormat="1" ht="31.5" customHeight="1" thickBot="1">
      <c r="A68" s="44">
        <v>1</v>
      </c>
      <c r="B68" s="107" t="s">
        <v>119</v>
      </c>
      <c r="C68" s="46" t="s">
        <v>121</v>
      </c>
      <c r="D68" s="105" t="s">
        <v>22</v>
      </c>
      <c r="E68" s="117" t="s">
        <v>23</v>
      </c>
      <c r="F68" s="106" t="s">
        <v>53</v>
      </c>
      <c r="G68" s="145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6"/>
      <c r="BC68" s="131"/>
      <c r="BD68" s="131"/>
      <c r="BE68" s="131"/>
      <c r="BF68" s="131"/>
      <c r="BG68" s="131"/>
      <c r="BH68" s="131"/>
      <c r="BI68" s="131"/>
      <c r="BJ68" s="131"/>
      <c r="BK68" s="131"/>
      <c r="BL68" s="131"/>
      <c r="BM68" s="131"/>
      <c r="BN68" s="131"/>
      <c r="BO68" s="131"/>
      <c r="BP68" s="131"/>
      <c r="BQ68" s="131"/>
      <c r="BR68" s="131"/>
      <c r="BS68" s="131"/>
      <c r="BT68" s="131"/>
      <c r="BU68" s="131"/>
      <c r="BV68" s="131"/>
      <c r="BW68" s="131"/>
      <c r="BX68" s="131"/>
      <c r="BY68" s="131"/>
      <c r="BZ68" s="131"/>
      <c r="CA68" s="131"/>
      <c r="CB68" s="131"/>
      <c r="CC68" s="131"/>
      <c r="CD68" s="131"/>
      <c r="CE68" s="131"/>
      <c r="CF68" s="131"/>
      <c r="CG68" s="131"/>
      <c r="CH68" s="131"/>
      <c r="CI68" s="160"/>
      <c r="CJ68" s="131"/>
      <c r="CK68" s="131"/>
      <c r="CL68" s="131"/>
      <c r="CM68" s="131"/>
      <c r="CN68" s="131"/>
      <c r="CO68" s="131"/>
      <c r="CP68" s="131"/>
      <c r="CQ68" s="131"/>
      <c r="CR68" s="131"/>
      <c r="CS68" s="131"/>
      <c r="CT68" s="131"/>
      <c r="CU68" s="131"/>
      <c r="CV68" s="131"/>
      <c r="CW68" s="131"/>
      <c r="CX68" s="131"/>
      <c r="CY68" s="131"/>
      <c r="CZ68" s="131"/>
      <c r="DA68" s="131"/>
      <c r="DB68" s="131"/>
      <c r="DC68" s="131"/>
      <c r="DD68" s="131"/>
      <c r="DE68" s="131"/>
      <c r="DF68" s="131"/>
      <c r="DG68" s="131"/>
      <c r="DH68" s="131"/>
      <c r="DI68" s="131"/>
      <c r="DJ68" s="171"/>
      <c r="DK68" s="131"/>
      <c r="DL68" s="131"/>
      <c r="DM68" s="131"/>
      <c r="DN68" s="131"/>
      <c r="DO68" s="131"/>
      <c r="DP68" s="131"/>
      <c r="DQ68" s="131"/>
      <c r="DR68" s="131"/>
      <c r="DS68" s="131"/>
      <c r="DT68" s="131"/>
      <c r="DU68" s="131"/>
      <c r="DV68" s="131"/>
      <c r="DW68" s="131"/>
      <c r="DX68" s="131"/>
      <c r="DY68" s="131"/>
      <c r="DZ68" s="131"/>
      <c r="EA68" s="171"/>
      <c r="EB68" s="131"/>
      <c r="EC68" s="131"/>
      <c r="ED68" s="131"/>
      <c r="EE68" s="131"/>
      <c r="EF68" s="131"/>
      <c r="EG68" s="131"/>
      <c r="EH68" s="131"/>
      <c r="EI68" s="131"/>
      <c r="EJ68" s="131"/>
      <c r="EK68" s="131"/>
      <c r="EL68" s="131"/>
      <c r="EM68" s="131"/>
      <c r="EN68" s="131"/>
      <c r="EO68" s="131"/>
      <c r="EP68" s="131"/>
      <c r="EQ68" s="131"/>
      <c r="ER68" s="131"/>
      <c r="ES68" s="131"/>
      <c r="ET68" s="131"/>
      <c r="EU68" s="131"/>
      <c r="EV68" s="131"/>
      <c r="EW68" s="131"/>
      <c r="EX68" s="131"/>
      <c r="EY68" s="131"/>
      <c r="EZ68" s="131"/>
      <c r="FA68" s="131"/>
      <c r="FB68" s="131"/>
      <c r="FC68" s="131"/>
      <c r="FD68" s="131"/>
      <c r="FE68" s="131"/>
      <c r="FF68" s="131"/>
      <c r="FG68" s="131"/>
      <c r="FH68" s="131"/>
      <c r="FI68" s="131"/>
      <c r="FJ68" s="131"/>
      <c r="FK68" s="131"/>
      <c r="FL68" s="131"/>
      <c r="FM68" s="131"/>
      <c r="FN68" s="131"/>
      <c r="FO68" s="131"/>
      <c r="FP68" s="131"/>
      <c r="FQ68" s="131"/>
      <c r="FR68" s="131"/>
      <c r="FS68" s="131"/>
      <c r="FT68" s="131"/>
      <c r="FU68" s="131"/>
      <c r="FV68" s="94" t="s">
        <v>25</v>
      </c>
      <c r="FW68" s="94"/>
      <c r="FX68" s="94" t="s">
        <v>26</v>
      </c>
      <c r="FY68" s="94"/>
      <c r="FZ68" s="94"/>
      <c r="GA68" s="94"/>
      <c r="GB68" s="94"/>
      <c r="GC68" s="94"/>
      <c r="GD68" s="94"/>
      <c r="GF68" s="94"/>
      <c r="GG68" s="94"/>
      <c r="GH68" s="94"/>
      <c r="GI68" s="94"/>
      <c r="GJ68" s="94"/>
      <c r="GK68" s="94"/>
      <c r="GL68" s="94"/>
      <c r="GM68" s="94"/>
      <c r="GN68" s="94"/>
      <c r="GO68" s="94"/>
      <c r="GP68" s="94"/>
      <c r="GQ68" s="94" t="s">
        <v>41</v>
      </c>
      <c r="GR68" s="94"/>
      <c r="GS68" s="94"/>
      <c r="GT68" s="94"/>
      <c r="GU68" s="94"/>
      <c r="GV68" s="94"/>
      <c r="GW68" s="94"/>
      <c r="GX68" s="94"/>
      <c r="GY68" s="94"/>
      <c r="GZ68" s="94"/>
      <c r="HA68" s="94"/>
      <c r="HB68" s="94"/>
      <c r="HC68" s="94"/>
      <c r="HD68" s="94"/>
      <c r="HE68" s="94"/>
      <c r="HF68" s="94"/>
      <c r="HG68" s="94"/>
      <c r="HH68" s="94"/>
      <c r="HI68" s="94" t="s">
        <v>26</v>
      </c>
      <c r="HJ68" s="94"/>
      <c r="HK68" s="94" t="s">
        <v>26</v>
      </c>
      <c r="HL68" s="94"/>
      <c r="HM68" s="94" t="s">
        <v>26</v>
      </c>
      <c r="HN68" s="94" t="s">
        <v>26</v>
      </c>
      <c r="HO68" s="94" t="s">
        <v>26</v>
      </c>
      <c r="HP68" s="94"/>
      <c r="HQ68" s="94"/>
      <c r="HR68" s="94"/>
      <c r="HS68" s="94"/>
      <c r="HT68" s="94"/>
      <c r="HU68" s="94"/>
      <c r="HV68" s="94"/>
      <c r="HW68" s="94"/>
      <c r="HX68" s="94"/>
      <c r="HY68" s="94"/>
      <c r="HZ68" s="94" t="s">
        <v>41</v>
      </c>
      <c r="IA68" s="94"/>
      <c r="IB68" s="94"/>
      <c r="IC68" s="94"/>
      <c r="ID68" s="94"/>
      <c r="IE68" s="94"/>
      <c r="IF68" s="94"/>
      <c r="IG68" s="94"/>
      <c r="IH68" s="94"/>
      <c r="II68" s="94"/>
      <c r="IJ68" s="94"/>
      <c r="IK68" s="94" t="s">
        <v>57</v>
      </c>
      <c r="IL68" s="94"/>
      <c r="IM68" s="94"/>
      <c r="IN68" s="94"/>
      <c r="IO68" s="94"/>
      <c r="IP68" s="94"/>
      <c r="IQ68" s="94"/>
      <c r="IR68" s="94"/>
      <c r="IS68" s="94"/>
      <c r="IT68" s="94" t="s">
        <v>41</v>
      </c>
      <c r="IU68" s="94"/>
      <c r="IV68" s="94"/>
      <c r="IW68" s="94"/>
      <c r="IX68" s="94"/>
      <c r="IY68" s="94"/>
      <c r="IZ68" s="94"/>
      <c r="JA68" s="94"/>
      <c r="JB68" s="94" t="s">
        <v>57</v>
      </c>
      <c r="JC68" s="94"/>
      <c r="JD68" s="94"/>
      <c r="JE68" s="94"/>
      <c r="JF68" s="94"/>
      <c r="JG68" s="94"/>
      <c r="JH68" s="94"/>
      <c r="JI68" s="94"/>
      <c r="JJ68" s="94"/>
      <c r="JK68" s="94"/>
      <c r="JL68" s="94"/>
      <c r="JM68" s="94" t="s">
        <v>41</v>
      </c>
      <c r="JN68" s="94"/>
      <c r="JO68" s="94"/>
      <c r="JP68" s="94"/>
      <c r="JQ68" s="94"/>
      <c r="JR68" s="94"/>
      <c r="JS68" s="94"/>
      <c r="JT68" s="94"/>
      <c r="JU68" s="94" t="s">
        <v>57</v>
      </c>
      <c r="JV68" s="94"/>
      <c r="JW68" s="94"/>
      <c r="JX68" s="94"/>
      <c r="JY68" s="94"/>
      <c r="JZ68" s="94"/>
      <c r="KA68" s="94"/>
      <c r="KB68" s="94"/>
      <c r="KC68" s="94"/>
      <c r="KD68" s="94"/>
      <c r="KE68" s="94"/>
      <c r="KF68" s="94" t="s">
        <v>41</v>
      </c>
      <c r="KG68" s="94"/>
      <c r="KH68" s="94"/>
      <c r="KI68" s="94"/>
      <c r="KJ68" s="94"/>
      <c r="KK68" s="94"/>
      <c r="KL68" s="94"/>
      <c r="KM68" s="94"/>
      <c r="KN68" s="94" t="s">
        <v>57</v>
      </c>
      <c r="KO68" s="94" t="s">
        <v>37</v>
      </c>
      <c r="KP68" s="131"/>
      <c r="KQ68" s="131"/>
      <c r="KR68" s="131"/>
      <c r="KS68" s="131"/>
      <c r="KT68" s="131"/>
      <c r="KU68" s="131"/>
      <c r="KV68" s="131"/>
      <c r="KW68" s="131"/>
      <c r="KX68" s="131"/>
      <c r="KY68" s="131"/>
      <c r="KZ68" s="131"/>
      <c r="LA68" s="131"/>
      <c r="LB68" s="131"/>
      <c r="LC68" s="131"/>
      <c r="LD68" s="131"/>
      <c r="LE68" s="131"/>
      <c r="LF68" s="131"/>
      <c r="LG68" s="131"/>
      <c r="LH68" s="131"/>
      <c r="LI68" s="131"/>
      <c r="LJ68" s="131"/>
      <c r="LK68" s="131"/>
      <c r="LL68" s="131"/>
      <c r="LM68" s="131"/>
      <c r="LN68" s="131"/>
      <c r="LO68" s="131"/>
      <c r="LP68" s="131"/>
      <c r="LQ68" s="131"/>
      <c r="LR68" s="131"/>
      <c r="LS68" s="131"/>
      <c r="LT68" s="131"/>
      <c r="LU68" s="131"/>
      <c r="LV68" s="131"/>
      <c r="LW68" s="131"/>
      <c r="LX68" s="131"/>
      <c r="LY68" s="131"/>
      <c r="LZ68" s="131"/>
      <c r="MA68" s="131"/>
      <c r="MB68" s="131"/>
    </row>
    <row r="69" spans="1:342" s="50" customFormat="1" ht="31.5" customHeight="1" thickBot="1">
      <c r="A69" s="44">
        <v>1</v>
      </c>
      <c r="B69" s="107" t="s">
        <v>122</v>
      </c>
      <c r="C69" s="46" t="s">
        <v>123</v>
      </c>
      <c r="D69" s="105" t="s">
        <v>22</v>
      </c>
      <c r="E69" s="117" t="s">
        <v>23</v>
      </c>
      <c r="F69" s="106" t="s">
        <v>53</v>
      </c>
      <c r="G69" s="145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6"/>
      <c r="BC69" s="131"/>
      <c r="BD69" s="131"/>
      <c r="BE69" s="131"/>
      <c r="BF69" s="131"/>
      <c r="BG69" s="131"/>
      <c r="BH69" s="131"/>
      <c r="BI69" s="131"/>
      <c r="BJ69" s="131"/>
      <c r="BK69" s="131"/>
      <c r="BL69" s="131"/>
      <c r="BM69" s="131"/>
      <c r="BN69" s="131"/>
      <c r="BO69" s="131"/>
      <c r="BP69" s="131"/>
      <c r="BQ69" s="131"/>
      <c r="BR69" s="131"/>
      <c r="BS69" s="131"/>
      <c r="BT69" s="131"/>
      <c r="BU69" s="131"/>
      <c r="BV69" s="131"/>
      <c r="BW69" s="131"/>
      <c r="BX69" s="131"/>
      <c r="BY69" s="131"/>
      <c r="BZ69" s="131"/>
      <c r="CA69" s="131"/>
      <c r="CB69" s="131"/>
      <c r="CC69" s="131"/>
      <c r="CD69" s="131" t="s">
        <v>25</v>
      </c>
      <c r="CE69" s="94"/>
      <c r="CF69" s="94" t="s">
        <v>26</v>
      </c>
      <c r="CG69" s="94"/>
      <c r="CH69" s="94" t="s">
        <v>26</v>
      </c>
      <c r="CI69" s="94" t="s">
        <v>26</v>
      </c>
      <c r="CJ69" s="94"/>
      <c r="CK69" s="94" t="s">
        <v>26</v>
      </c>
      <c r="CL69" s="94"/>
      <c r="CM69" s="94"/>
      <c r="CN69" s="94"/>
      <c r="CO69" s="94"/>
      <c r="CP69" s="94"/>
      <c r="CQ69" s="94"/>
      <c r="CR69" s="94"/>
      <c r="CS69" s="94"/>
      <c r="CT69" s="94"/>
      <c r="CU69" s="94"/>
      <c r="CV69" s="94"/>
      <c r="CW69" s="94"/>
      <c r="CX69" s="94"/>
      <c r="CY69" s="94"/>
      <c r="CZ69" s="94"/>
      <c r="DA69" s="94"/>
      <c r="DB69" s="94"/>
      <c r="DC69" s="94"/>
      <c r="DD69" s="94"/>
      <c r="DE69" s="94"/>
      <c r="DF69" s="94"/>
      <c r="DG69" s="94"/>
      <c r="DH69" s="94"/>
      <c r="DI69" s="94"/>
      <c r="DK69" s="94" t="s">
        <v>27</v>
      </c>
      <c r="DL69" s="94"/>
      <c r="DM69" s="94"/>
      <c r="DN69" s="94"/>
      <c r="DO69" s="94"/>
      <c r="DP69" s="94"/>
      <c r="DQ69" s="94"/>
      <c r="DR69" s="94"/>
      <c r="DS69" s="94"/>
      <c r="DT69" s="94"/>
      <c r="DU69" s="94"/>
      <c r="DV69" s="94"/>
      <c r="DW69" s="94"/>
      <c r="DX69" s="94"/>
      <c r="DY69" s="94" t="s">
        <v>27</v>
      </c>
      <c r="DZ69" s="94"/>
      <c r="EB69" s="94"/>
      <c r="EC69" s="94"/>
      <c r="ED69" s="94"/>
      <c r="EE69" s="94"/>
      <c r="EF69" s="94"/>
      <c r="EG69" s="94"/>
      <c r="EH69" s="94"/>
      <c r="EI69" s="94"/>
      <c r="EJ69" s="94"/>
      <c r="EK69" s="94"/>
      <c r="EL69" s="94"/>
      <c r="EM69" s="94"/>
      <c r="EN69" s="94"/>
      <c r="EO69" s="94"/>
      <c r="EP69" s="94"/>
      <c r="EQ69" s="94"/>
      <c r="ER69" s="94" t="s">
        <v>27</v>
      </c>
      <c r="ES69" s="94"/>
      <c r="ET69" s="94"/>
      <c r="EU69" s="94"/>
      <c r="EV69" s="94"/>
      <c r="EW69" s="94"/>
      <c r="EX69" s="94"/>
      <c r="EY69" s="94"/>
      <c r="EZ69" s="94"/>
      <c r="FA69" s="94"/>
      <c r="FB69" s="94"/>
      <c r="FC69" s="94"/>
      <c r="FD69" s="94"/>
      <c r="FE69" s="94"/>
      <c r="FF69" s="94"/>
      <c r="FG69" s="94"/>
      <c r="FH69" s="94"/>
      <c r="FI69" s="94"/>
      <c r="FJ69" s="94"/>
      <c r="FK69" s="94"/>
      <c r="FL69" s="94"/>
      <c r="FM69" s="94" t="s">
        <v>27</v>
      </c>
      <c r="FN69" s="94"/>
      <c r="FO69" s="94"/>
      <c r="FP69" s="94"/>
      <c r="FQ69" s="94"/>
      <c r="FR69" s="94"/>
      <c r="FS69" s="94"/>
      <c r="FT69" s="94"/>
      <c r="FU69" s="94" t="s">
        <v>26</v>
      </c>
      <c r="FV69" s="94"/>
      <c r="FW69" s="94" t="s">
        <v>26</v>
      </c>
      <c r="FX69" s="94" t="s">
        <v>26</v>
      </c>
      <c r="FY69" s="94" t="s">
        <v>26</v>
      </c>
      <c r="FZ69" s="94"/>
      <c r="GA69" s="94"/>
      <c r="GB69" s="94"/>
      <c r="GC69" s="94"/>
      <c r="GD69" s="94"/>
      <c r="GE69" s="94"/>
      <c r="GF69" s="94"/>
      <c r="GG69" s="94"/>
      <c r="GH69" s="94"/>
      <c r="GI69" s="94"/>
      <c r="GJ69" s="94"/>
      <c r="GK69" s="94"/>
      <c r="GL69" s="94"/>
      <c r="GM69" s="94"/>
      <c r="GN69" s="94"/>
      <c r="GO69" s="94" t="s">
        <v>27</v>
      </c>
      <c r="GP69" s="94"/>
      <c r="GQ69" s="94"/>
      <c r="GR69" s="94"/>
      <c r="GS69" s="94"/>
      <c r="GT69" s="94"/>
      <c r="GU69" s="94"/>
      <c r="GV69" s="94"/>
      <c r="GW69" s="94"/>
      <c r="GX69" s="94"/>
      <c r="GY69" s="94"/>
      <c r="GZ69" s="94"/>
      <c r="HA69" s="94"/>
      <c r="HB69" s="94"/>
      <c r="HC69" s="94"/>
      <c r="HD69" s="94"/>
      <c r="HE69" s="94" t="s">
        <v>27</v>
      </c>
      <c r="HF69" s="94"/>
      <c r="HG69" s="94"/>
      <c r="HH69" s="94"/>
      <c r="HI69" s="94"/>
      <c r="HJ69" s="94"/>
      <c r="HK69" s="94"/>
      <c r="HL69" s="94"/>
      <c r="HM69" s="94"/>
      <c r="HN69" s="94"/>
      <c r="HO69" s="94"/>
      <c r="HP69" s="94"/>
      <c r="HQ69" s="94"/>
      <c r="HR69" s="94"/>
      <c r="HS69" s="94" t="s">
        <v>27</v>
      </c>
      <c r="HT69" s="94"/>
      <c r="HU69" s="94"/>
      <c r="HV69" s="94"/>
      <c r="HW69" s="94" t="s">
        <v>28</v>
      </c>
      <c r="HX69" s="94"/>
      <c r="HY69" s="94"/>
      <c r="HZ69" s="94"/>
      <c r="IA69" s="94" t="s">
        <v>28</v>
      </c>
      <c r="IB69" s="94"/>
      <c r="IC69" s="94" t="s">
        <v>28</v>
      </c>
      <c r="ID69" s="94"/>
      <c r="IE69" s="94"/>
      <c r="IF69" s="94"/>
      <c r="IG69" s="94"/>
      <c r="IH69" s="94"/>
      <c r="II69" s="94"/>
      <c r="IJ69" s="94"/>
      <c r="IK69" s="94"/>
      <c r="IL69" s="94"/>
      <c r="IM69" s="94"/>
      <c r="IN69" s="94"/>
      <c r="IO69" s="94"/>
      <c r="IP69" s="94" t="s">
        <v>27</v>
      </c>
      <c r="IQ69" s="94"/>
      <c r="IR69" s="94"/>
      <c r="IS69" s="94"/>
      <c r="IT69" s="94"/>
      <c r="IU69" s="94"/>
      <c r="IV69" s="94"/>
      <c r="IW69" s="94"/>
      <c r="IX69" s="94"/>
      <c r="IY69" s="94"/>
      <c r="IZ69" s="94"/>
      <c r="JA69" s="94"/>
      <c r="JB69" s="94"/>
      <c r="JC69" s="94"/>
      <c r="JD69" s="94" t="s">
        <v>27</v>
      </c>
      <c r="JE69" s="94"/>
      <c r="JF69" s="94"/>
      <c r="JG69" s="94"/>
      <c r="JH69" s="94" t="s">
        <v>26</v>
      </c>
      <c r="JI69" s="94" t="s">
        <v>26</v>
      </c>
      <c r="JJ69" s="94" t="s">
        <v>26</v>
      </c>
      <c r="JK69" s="94" t="s">
        <v>26</v>
      </c>
      <c r="JL69" s="94"/>
      <c r="JM69" s="94"/>
      <c r="JN69" s="94"/>
      <c r="JO69" s="94"/>
      <c r="JP69" s="94"/>
      <c r="JQ69" s="94"/>
      <c r="JR69" s="94"/>
      <c r="JS69" s="94"/>
      <c r="JT69" s="94"/>
      <c r="JU69" s="94"/>
      <c r="JV69" s="94"/>
      <c r="JW69" s="94"/>
      <c r="JX69" s="94"/>
      <c r="JY69" s="94"/>
      <c r="JZ69" s="94"/>
      <c r="KA69" s="94" t="s">
        <v>27</v>
      </c>
      <c r="KB69" s="94"/>
      <c r="KC69" s="94"/>
      <c r="KD69" s="94"/>
      <c r="KE69" s="94"/>
      <c r="KF69" s="94"/>
      <c r="KG69" s="94"/>
      <c r="KH69" s="94"/>
      <c r="KI69" s="94"/>
      <c r="KJ69" s="94"/>
      <c r="KK69" s="94"/>
      <c r="KL69" s="94"/>
      <c r="KM69" s="94"/>
      <c r="KN69" s="94"/>
      <c r="KO69" s="94"/>
      <c r="KP69" s="94"/>
      <c r="KQ69" s="94" t="s">
        <v>27</v>
      </c>
      <c r="KR69" s="94"/>
      <c r="KS69" s="94"/>
      <c r="KT69" s="94"/>
      <c r="KU69" s="94"/>
      <c r="KV69" s="94"/>
      <c r="KW69" s="94"/>
      <c r="KX69" s="94"/>
      <c r="KY69" s="94"/>
      <c r="KZ69" s="94"/>
      <c r="LA69" s="94"/>
      <c r="LB69" s="94"/>
      <c r="LC69" s="94"/>
      <c r="LD69" s="94"/>
      <c r="LE69" s="94"/>
      <c r="LF69" s="94"/>
      <c r="LG69" s="94" t="s">
        <v>27</v>
      </c>
      <c r="LH69" s="94"/>
      <c r="LI69" s="94"/>
      <c r="LJ69" s="94"/>
      <c r="LK69" s="94"/>
      <c r="LL69" s="94"/>
      <c r="LM69" s="94"/>
      <c r="LN69" s="94"/>
      <c r="LO69" s="94"/>
      <c r="LP69" s="94"/>
      <c r="LQ69" s="94"/>
      <c r="LR69" s="94"/>
      <c r="LS69" s="94"/>
      <c r="LT69" s="94"/>
      <c r="LU69" s="94"/>
      <c r="LV69" s="94"/>
      <c r="LW69" s="94" t="s">
        <v>27</v>
      </c>
      <c r="LX69" s="94"/>
      <c r="LY69" s="94"/>
      <c r="LZ69" s="94"/>
      <c r="MA69" s="94" t="s">
        <v>26</v>
      </c>
      <c r="MB69" s="94" t="s">
        <v>26</v>
      </c>
    </row>
    <row r="70" spans="1:342" s="50" customFormat="1" ht="31.5" customHeight="1" thickBot="1">
      <c r="A70" s="44">
        <v>1</v>
      </c>
      <c r="B70" s="107" t="s">
        <v>119</v>
      </c>
      <c r="C70" s="46" t="s">
        <v>124</v>
      </c>
      <c r="D70" s="105" t="s">
        <v>22</v>
      </c>
      <c r="E70" s="117" t="s">
        <v>23</v>
      </c>
      <c r="F70" s="106" t="s">
        <v>53</v>
      </c>
      <c r="G70" s="145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  <c r="BE70" s="131"/>
      <c r="BF70" s="131"/>
      <c r="BG70" s="131"/>
      <c r="BH70" s="131"/>
      <c r="BI70" s="131"/>
      <c r="BJ70" s="131"/>
      <c r="BK70" s="131"/>
      <c r="BL70" s="131"/>
      <c r="BM70" s="131"/>
      <c r="BN70" s="131" t="s">
        <v>25</v>
      </c>
      <c r="BO70" s="94"/>
      <c r="BP70" s="94" t="s">
        <v>26</v>
      </c>
      <c r="BQ70" s="94"/>
      <c r="BR70" s="94" t="s">
        <v>26</v>
      </c>
      <c r="BS70" s="94"/>
      <c r="BT70" s="94" t="s">
        <v>26</v>
      </c>
      <c r="BU70" s="94"/>
      <c r="BV70" s="94" t="s">
        <v>26</v>
      </c>
      <c r="BW70" s="94"/>
      <c r="BX70" s="94" t="s">
        <v>26</v>
      </c>
      <c r="BY70" s="94"/>
      <c r="BZ70" s="94"/>
      <c r="CA70" s="94"/>
      <c r="CB70" s="94"/>
      <c r="CC70" s="94"/>
      <c r="CD70" s="94"/>
      <c r="CE70" s="94"/>
      <c r="CF70" s="94"/>
      <c r="CG70" s="94"/>
      <c r="CH70" s="94" t="s">
        <v>41</v>
      </c>
      <c r="CI70" s="94"/>
      <c r="CJ70" s="94"/>
      <c r="CK70" s="94"/>
      <c r="CL70" s="94"/>
      <c r="CM70" s="94"/>
      <c r="CN70" s="94"/>
      <c r="CO70" s="94"/>
      <c r="CP70" s="94"/>
      <c r="CQ70" s="94"/>
      <c r="CR70" s="94"/>
      <c r="CS70" s="94"/>
      <c r="CT70" s="94"/>
      <c r="CU70" s="94"/>
      <c r="CV70" s="94"/>
      <c r="CW70" s="94"/>
      <c r="CX70" s="94" t="s">
        <v>57</v>
      </c>
      <c r="CY70" s="94"/>
      <c r="CZ70" s="94"/>
      <c r="DA70" s="94"/>
      <c r="DB70" s="94"/>
      <c r="DC70" s="94"/>
      <c r="DD70" s="94"/>
      <c r="DE70" s="94"/>
      <c r="DF70" s="94"/>
      <c r="DG70" s="94" t="s">
        <v>41</v>
      </c>
      <c r="DH70" s="94"/>
      <c r="DI70" s="94"/>
      <c r="DJ70" s="94"/>
      <c r="DK70" s="94"/>
      <c r="DL70" s="94"/>
      <c r="DM70" s="94"/>
      <c r="DN70" s="94"/>
      <c r="DO70" s="94"/>
      <c r="DP70" s="94"/>
      <c r="DQ70" s="94"/>
      <c r="DR70" s="94"/>
      <c r="DS70" s="94"/>
      <c r="DT70" s="94"/>
      <c r="DU70" s="94" t="s">
        <v>57</v>
      </c>
      <c r="DV70" s="94"/>
      <c r="DW70" s="94"/>
      <c r="DX70" s="94"/>
      <c r="DY70" s="94"/>
      <c r="DZ70" s="94"/>
      <c r="EA70" s="94" t="s">
        <v>28</v>
      </c>
      <c r="EB70" s="94"/>
      <c r="EC70" s="94"/>
      <c r="ED70" s="94"/>
      <c r="EE70" s="94"/>
      <c r="EF70" s="94"/>
      <c r="EG70" s="94"/>
      <c r="EH70" s="94"/>
      <c r="EI70" s="94"/>
      <c r="EJ70" s="94"/>
      <c r="EK70" s="94" t="s">
        <v>41</v>
      </c>
      <c r="EL70" s="94"/>
      <c r="EM70" s="94"/>
      <c r="EN70" s="94"/>
      <c r="EO70" s="94"/>
      <c r="EP70" s="94"/>
      <c r="EQ70" s="94"/>
      <c r="ER70" s="94"/>
      <c r="ES70" s="94"/>
      <c r="ET70" s="94"/>
      <c r="EU70" s="94"/>
      <c r="EV70" s="94"/>
      <c r="EW70" s="94"/>
      <c r="EX70" s="94"/>
      <c r="EY70" s="94" t="s">
        <v>57</v>
      </c>
      <c r="EZ70" s="94"/>
      <c r="FA70" s="94"/>
      <c r="FB70" s="94"/>
      <c r="FC70" s="94"/>
      <c r="FD70" s="94"/>
      <c r="FE70" s="94"/>
      <c r="FF70" s="94"/>
      <c r="FG70" s="94"/>
      <c r="FH70" s="94"/>
      <c r="FI70" s="94" t="s">
        <v>41</v>
      </c>
      <c r="FJ70" s="94"/>
      <c r="FK70" s="94"/>
      <c r="FL70" s="94"/>
      <c r="FM70" s="94"/>
      <c r="FN70" s="94"/>
      <c r="FO70" s="94"/>
      <c r="FP70" s="94"/>
      <c r="FQ70" s="94"/>
      <c r="FR70" s="94"/>
      <c r="FS70" s="94"/>
      <c r="FT70" s="94"/>
      <c r="FU70" s="94"/>
      <c r="FW70" s="94" t="s">
        <v>57</v>
      </c>
      <c r="FX70" s="94"/>
      <c r="FY70" s="94"/>
      <c r="FZ70" s="94"/>
      <c r="GA70" s="94"/>
      <c r="GB70" s="94"/>
      <c r="GC70" s="94"/>
      <c r="GD70" s="94"/>
      <c r="GE70" s="94"/>
      <c r="GF70" s="94" t="s">
        <v>41</v>
      </c>
      <c r="GG70" s="94"/>
      <c r="GH70" s="94"/>
      <c r="GI70" s="94"/>
      <c r="GJ70" s="94"/>
      <c r="GK70" s="94"/>
      <c r="GL70" s="94"/>
      <c r="GM70" s="94"/>
      <c r="GN70" s="94"/>
      <c r="GO70" s="94"/>
      <c r="GP70" s="94"/>
      <c r="GQ70" s="94"/>
      <c r="GR70" s="94"/>
      <c r="GS70" s="94"/>
      <c r="GT70" s="94" t="s">
        <v>57</v>
      </c>
      <c r="GU70" s="94"/>
      <c r="GV70" s="94"/>
      <c r="GW70" s="94"/>
      <c r="GX70" s="94"/>
      <c r="GY70" s="94"/>
      <c r="GZ70" s="94"/>
      <c r="HA70" s="94"/>
      <c r="HB70" s="94"/>
      <c r="HC70" s="94"/>
      <c r="HD70" s="94"/>
      <c r="HE70" s="94"/>
      <c r="HF70" s="94"/>
      <c r="HG70" s="94"/>
      <c r="HH70" s="94"/>
      <c r="HI70" s="94"/>
      <c r="HJ70" s="94"/>
      <c r="HK70" s="94"/>
      <c r="HL70" s="94"/>
      <c r="HM70" s="94"/>
      <c r="HN70" s="94"/>
      <c r="HO70" s="94"/>
      <c r="HP70" s="94"/>
      <c r="HQ70" s="94"/>
      <c r="HR70" s="94"/>
      <c r="HS70" s="94"/>
      <c r="HT70" s="94"/>
      <c r="HU70" s="94"/>
      <c r="HV70" s="94"/>
      <c r="HW70" s="94"/>
      <c r="HX70" s="94"/>
      <c r="HY70" s="94"/>
      <c r="HZ70" s="94"/>
      <c r="IA70" s="94" t="s">
        <v>26</v>
      </c>
      <c r="IB70" s="94" t="s">
        <v>26</v>
      </c>
      <c r="ID70" s="94" t="s">
        <v>26</v>
      </c>
      <c r="IE70" s="94" t="s">
        <v>26</v>
      </c>
      <c r="IF70" s="94"/>
      <c r="IG70" s="94"/>
      <c r="IH70" s="94"/>
      <c r="II70" s="94"/>
      <c r="IJ70" s="94"/>
      <c r="IK70" s="94"/>
      <c r="IL70" s="94"/>
      <c r="IM70" s="94"/>
      <c r="IN70" s="94"/>
      <c r="IO70" s="94" t="s">
        <v>41</v>
      </c>
      <c r="IP70" s="94"/>
      <c r="IQ70" s="94"/>
      <c r="IR70" s="94"/>
      <c r="IS70" s="94"/>
      <c r="IT70" s="94"/>
      <c r="IU70" s="94"/>
      <c r="IV70" s="94"/>
      <c r="IW70" s="94"/>
      <c r="IX70" s="94"/>
      <c r="IY70" s="94"/>
      <c r="IZ70" s="94"/>
      <c r="JA70" s="94"/>
      <c r="JB70" s="94"/>
      <c r="JC70" s="94"/>
      <c r="JD70" s="94"/>
      <c r="JE70" s="94" t="s">
        <v>57</v>
      </c>
      <c r="JF70" s="94"/>
      <c r="JG70" s="94"/>
      <c r="JH70" s="94"/>
      <c r="JI70" s="94"/>
      <c r="JJ70" s="94"/>
      <c r="JK70" s="94"/>
      <c r="JL70" s="94"/>
      <c r="JM70" s="94"/>
      <c r="JN70" s="94"/>
      <c r="JO70" s="94" t="s">
        <v>41</v>
      </c>
      <c r="JP70" s="94"/>
      <c r="JQ70" s="94"/>
      <c r="JR70" s="94"/>
      <c r="JS70" s="94"/>
      <c r="JT70" s="94"/>
      <c r="JU70" s="94"/>
      <c r="JV70" s="94"/>
      <c r="JW70" s="94"/>
      <c r="JX70" s="94"/>
      <c r="JY70" s="94"/>
      <c r="JZ70" s="94"/>
      <c r="KA70" s="94"/>
      <c r="KB70" s="94"/>
      <c r="KC70" s="94"/>
      <c r="KD70" s="94"/>
      <c r="KE70" s="94" t="s">
        <v>57</v>
      </c>
      <c r="KF70" s="94"/>
      <c r="KG70" s="94"/>
      <c r="KH70" s="94"/>
      <c r="KI70" s="94"/>
      <c r="KJ70" s="94"/>
      <c r="KK70" s="94"/>
      <c r="KL70" s="94"/>
      <c r="KM70" s="94"/>
      <c r="KN70" s="94"/>
      <c r="KO70" s="94" t="s">
        <v>41</v>
      </c>
      <c r="KP70" s="94"/>
      <c r="KQ70" s="94"/>
      <c r="KR70" s="94"/>
      <c r="KS70" s="94"/>
      <c r="KT70" s="94"/>
      <c r="KU70" s="94"/>
      <c r="KV70" s="94"/>
      <c r="KW70" s="94"/>
      <c r="KX70" s="94"/>
      <c r="KY70" s="94"/>
      <c r="KZ70" s="94"/>
      <c r="LA70" s="94"/>
      <c r="LB70" s="94"/>
      <c r="LC70" s="94"/>
      <c r="LD70" s="94"/>
      <c r="LE70" s="94" t="s">
        <v>57</v>
      </c>
      <c r="LF70" s="94"/>
      <c r="LG70" s="94"/>
      <c r="LH70" s="94"/>
      <c r="LI70" s="94"/>
      <c r="LJ70" s="94"/>
      <c r="LK70" s="94"/>
      <c r="LL70" s="94"/>
      <c r="LM70" s="94"/>
      <c r="LN70" s="94"/>
      <c r="LO70" s="94" t="s">
        <v>41</v>
      </c>
      <c r="LP70" s="94"/>
      <c r="LQ70" s="94"/>
      <c r="LR70" s="94"/>
      <c r="LS70" s="94"/>
      <c r="LT70" s="94"/>
      <c r="LU70" s="94"/>
      <c r="LV70" s="94"/>
      <c r="LW70" s="94"/>
      <c r="LX70" s="94"/>
      <c r="LY70" s="94"/>
      <c r="LZ70" s="94"/>
      <c r="MA70" s="94"/>
      <c r="MB70" s="94"/>
    </row>
    <row r="71" spans="1:342" s="50" customFormat="1" ht="31.5" customHeight="1" thickBot="1">
      <c r="A71" s="44">
        <v>1</v>
      </c>
      <c r="B71" s="107" t="s">
        <v>125</v>
      </c>
      <c r="C71" s="46" t="s">
        <v>126</v>
      </c>
      <c r="D71" s="105" t="s">
        <v>22</v>
      </c>
      <c r="E71" s="117" t="s">
        <v>76</v>
      </c>
      <c r="F71" s="106" t="s">
        <v>53</v>
      </c>
      <c r="G71" s="143"/>
      <c r="H71" s="94"/>
      <c r="I71" s="94"/>
      <c r="J71" s="94"/>
      <c r="K71" s="94"/>
      <c r="L71" s="94"/>
      <c r="M71" s="94"/>
      <c r="N71" s="94"/>
      <c r="O71" s="94"/>
      <c r="P71" s="94" t="s">
        <v>27</v>
      </c>
      <c r="Q71" s="94"/>
      <c r="R71" s="94"/>
      <c r="S71" s="94"/>
      <c r="T71" s="94"/>
      <c r="U71" s="94"/>
      <c r="V71" s="94"/>
      <c r="W71" s="94"/>
      <c r="X71" s="94"/>
      <c r="Y71" s="94"/>
      <c r="Z71" s="94" t="s">
        <v>27</v>
      </c>
      <c r="AA71" s="94"/>
      <c r="AB71" s="94"/>
      <c r="AC71" s="94"/>
      <c r="AD71" s="94"/>
      <c r="AE71" s="94"/>
      <c r="AF71" s="94"/>
      <c r="AG71" s="94"/>
      <c r="AH71" s="94"/>
      <c r="AI71" s="94"/>
      <c r="AJ71" s="94" t="s">
        <v>26</v>
      </c>
      <c r="AK71" s="94"/>
      <c r="AL71" s="94" t="s">
        <v>26</v>
      </c>
      <c r="AM71" s="94"/>
      <c r="AN71" s="94" t="s">
        <v>26</v>
      </c>
      <c r="AO71" s="94" t="s">
        <v>26</v>
      </c>
      <c r="AP71" s="94"/>
      <c r="AQ71" s="94" t="s">
        <v>26</v>
      </c>
      <c r="AR71" s="94" t="s">
        <v>26</v>
      </c>
      <c r="AS71" s="94" t="s">
        <v>26</v>
      </c>
      <c r="AT71" s="94" t="s">
        <v>26</v>
      </c>
      <c r="AU71" s="94" t="s">
        <v>26</v>
      </c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 t="s">
        <v>27</v>
      </c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 t="s">
        <v>27</v>
      </c>
      <c r="CA71" s="94"/>
      <c r="CB71" s="94"/>
      <c r="CC71" s="94"/>
      <c r="CD71" s="94"/>
      <c r="CE71" s="94"/>
      <c r="CF71" s="94"/>
      <c r="CG71" s="94"/>
      <c r="CH71" s="94"/>
      <c r="CI71" s="94"/>
      <c r="CJ71" s="94"/>
      <c r="CK71" s="94"/>
      <c r="CL71" s="94"/>
      <c r="CM71" s="94"/>
      <c r="CN71" s="94"/>
      <c r="CO71" s="94" t="s">
        <v>27</v>
      </c>
      <c r="CP71" s="94"/>
      <c r="CQ71" s="94"/>
      <c r="CR71" s="94"/>
      <c r="CS71" s="94"/>
      <c r="CT71" s="94"/>
      <c r="CU71" s="94"/>
      <c r="CV71" s="94"/>
      <c r="CW71" s="94"/>
      <c r="CX71" s="94"/>
      <c r="CY71" s="94"/>
      <c r="CZ71" s="94"/>
      <c r="DA71" s="94"/>
      <c r="DB71" s="94"/>
      <c r="DC71" s="94"/>
      <c r="DD71" s="94" t="s">
        <v>27</v>
      </c>
      <c r="DE71" s="94"/>
      <c r="DF71" s="94"/>
      <c r="DG71" s="94"/>
      <c r="DH71" s="94"/>
      <c r="DI71" s="94"/>
      <c r="DJ71" s="94"/>
      <c r="DK71" s="94"/>
      <c r="DL71" s="94"/>
      <c r="DM71" s="94"/>
      <c r="DN71" s="94"/>
      <c r="DO71" s="94"/>
      <c r="DP71" s="94" t="s">
        <v>27</v>
      </c>
      <c r="DQ71" s="94"/>
      <c r="DR71" s="94"/>
      <c r="DS71" s="94"/>
      <c r="DT71" s="94"/>
      <c r="DU71" s="94"/>
      <c r="DV71" s="94"/>
      <c r="DW71" s="94"/>
      <c r="DX71" s="94"/>
      <c r="DY71" s="94"/>
      <c r="DZ71" s="94"/>
      <c r="EA71" s="94"/>
      <c r="EB71" s="94"/>
      <c r="EC71" s="94"/>
      <c r="ED71" s="94" t="s">
        <v>27</v>
      </c>
      <c r="EE71" s="94"/>
      <c r="EF71" s="94"/>
      <c r="EG71" s="94"/>
      <c r="EH71" s="94"/>
      <c r="EI71" s="94"/>
      <c r="EJ71" s="94"/>
      <c r="EK71" s="94"/>
      <c r="EL71" s="94"/>
      <c r="EM71" s="94"/>
      <c r="EN71" s="94"/>
      <c r="EO71" s="94"/>
      <c r="EP71" s="94"/>
      <c r="EQ71" s="94"/>
      <c r="ER71" s="94"/>
      <c r="ES71" s="94"/>
      <c r="ET71" s="94"/>
      <c r="EU71" s="94"/>
      <c r="EV71" s="94" t="s">
        <v>27</v>
      </c>
      <c r="EW71" s="94"/>
      <c r="EX71" s="94"/>
      <c r="EY71" s="94"/>
      <c r="EZ71" s="94"/>
      <c r="FA71" s="94"/>
      <c r="FB71" s="94"/>
      <c r="FC71" s="94"/>
      <c r="FD71" s="94"/>
      <c r="FE71" s="94"/>
      <c r="FF71" s="94"/>
      <c r="FG71" s="94"/>
      <c r="FH71" s="94"/>
      <c r="FI71" s="94"/>
      <c r="FJ71" s="94"/>
      <c r="FK71" s="94" t="s">
        <v>27</v>
      </c>
      <c r="FL71" s="94"/>
      <c r="FM71" s="94"/>
      <c r="FN71" s="94"/>
      <c r="FO71" s="94"/>
      <c r="FP71" s="94"/>
      <c r="FQ71" s="94"/>
      <c r="FR71" s="94"/>
      <c r="FS71" s="94"/>
      <c r="FT71" s="94"/>
      <c r="FU71" s="94"/>
      <c r="FV71" s="94"/>
      <c r="FW71" s="94"/>
      <c r="FX71" s="94"/>
      <c r="FY71" s="94"/>
      <c r="FZ71" s="94"/>
      <c r="GA71" s="94"/>
      <c r="GB71" s="94"/>
      <c r="GC71" s="94"/>
      <c r="GD71" s="94"/>
      <c r="GE71" s="94"/>
      <c r="GG71" s="94" t="s">
        <v>26</v>
      </c>
      <c r="GI71" s="94" t="s">
        <v>26</v>
      </c>
      <c r="GJ71" s="94"/>
      <c r="GK71" s="94" t="s">
        <v>26</v>
      </c>
      <c r="GL71" s="94"/>
      <c r="GM71" s="94" t="s">
        <v>26</v>
      </c>
      <c r="GN71" s="94" t="s">
        <v>26</v>
      </c>
      <c r="GO71" s="94" t="s">
        <v>28</v>
      </c>
      <c r="GP71" s="94"/>
      <c r="GQ71" s="94"/>
      <c r="GR71" s="94"/>
      <c r="GS71" s="94"/>
      <c r="GT71" s="94"/>
      <c r="GU71" s="94"/>
      <c r="GV71" s="94"/>
      <c r="GW71" s="94"/>
      <c r="GX71" s="94"/>
      <c r="GY71" s="94"/>
      <c r="GZ71" s="94"/>
      <c r="HA71" s="94"/>
      <c r="HB71" s="94"/>
      <c r="HC71" s="94"/>
      <c r="HD71" s="94"/>
      <c r="HE71" s="94"/>
      <c r="HF71" s="94"/>
      <c r="HG71" s="94" t="s">
        <v>27</v>
      </c>
      <c r="HH71" s="94"/>
      <c r="HI71" s="94"/>
      <c r="HJ71" s="94"/>
      <c r="HK71" s="94"/>
      <c r="HL71" s="94"/>
      <c r="HM71" s="94"/>
      <c r="HN71" s="94"/>
      <c r="HO71" s="94"/>
      <c r="HP71" s="94"/>
      <c r="HQ71" s="94"/>
      <c r="HR71" s="94"/>
      <c r="HS71" s="94"/>
      <c r="HT71" s="94"/>
      <c r="HU71" s="94" t="s">
        <v>27</v>
      </c>
      <c r="HV71" s="94"/>
      <c r="HW71" s="94"/>
      <c r="HX71" s="94"/>
      <c r="HY71" s="94"/>
      <c r="HZ71" s="94"/>
      <c r="IA71" s="94"/>
      <c r="IB71" s="94"/>
      <c r="IC71" s="94"/>
      <c r="ID71" s="94"/>
      <c r="IE71" s="94"/>
      <c r="IF71" s="94"/>
      <c r="IG71" s="94"/>
      <c r="IH71" s="94"/>
      <c r="II71" s="94" t="s">
        <v>27</v>
      </c>
      <c r="IJ71" s="94"/>
      <c r="IK71" s="94"/>
      <c r="IL71" s="94"/>
      <c r="IM71" s="94"/>
      <c r="IN71" s="94"/>
      <c r="IO71" s="94"/>
      <c r="IP71" s="94"/>
      <c r="IQ71" s="94"/>
      <c r="IR71" s="94"/>
      <c r="IS71" s="94"/>
      <c r="IT71" s="94" t="s">
        <v>27</v>
      </c>
      <c r="IU71" s="94"/>
      <c r="IV71" s="94"/>
      <c r="IW71" s="94"/>
      <c r="IX71" s="94"/>
      <c r="IY71" s="94"/>
      <c r="IZ71" s="94"/>
      <c r="JA71" s="94"/>
      <c r="JB71" s="94"/>
      <c r="JC71" s="94"/>
      <c r="JD71" s="94"/>
      <c r="JE71" s="94"/>
      <c r="JF71" s="94" t="s">
        <v>27</v>
      </c>
      <c r="JG71" s="94"/>
      <c r="JH71" s="94"/>
      <c r="JI71" s="94"/>
      <c r="JJ71" s="94"/>
      <c r="JK71" s="94"/>
      <c r="JL71" s="94"/>
      <c r="JM71" s="94" t="s">
        <v>26</v>
      </c>
      <c r="JN71" s="94" t="s">
        <v>26</v>
      </c>
      <c r="JO71" s="94" t="s">
        <v>26</v>
      </c>
      <c r="JP71" s="94" t="s">
        <v>26</v>
      </c>
      <c r="JQ71" s="94" t="s">
        <v>26</v>
      </c>
      <c r="JR71" s="94"/>
      <c r="JS71" s="94"/>
      <c r="JT71" s="94"/>
      <c r="JU71" s="94"/>
      <c r="JV71" s="94"/>
      <c r="JW71" s="94"/>
      <c r="JX71" s="94"/>
      <c r="JY71" s="94"/>
      <c r="JZ71" s="94"/>
      <c r="KA71" s="94"/>
      <c r="KB71" s="94"/>
      <c r="KC71" s="94" t="s">
        <v>27</v>
      </c>
      <c r="KD71" s="94"/>
      <c r="KE71" s="94"/>
      <c r="KF71" s="94"/>
      <c r="KG71" s="94"/>
      <c r="KH71" s="94"/>
      <c r="KI71" s="94"/>
      <c r="KJ71" s="94"/>
      <c r="KK71" s="94"/>
      <c r="KL71" s="94"/>
      <c r="KM71" s="94"/>
      <c r="KN71" s="94"/>
      <c r="KO71" s="94" t="s">
        <v>27</v>
      </c>
      <c r="KP71" s="94"/>
      <c r="KQ71" s="94"/>
      <c r="KR71" s="94"/>
      <c r="KS71" s="94"/>
      <c r="KT71" s="94"/>
      <c r="KU71" s="94"/>
      <c r="KV71" s="94"/>
      <c r="KW71" s="94"/>
      <c r="KX71" s="94"/>
      <c r="KY71" s="94"/>
      <c r="KZ71" s="94"/>
      <c r="LA71" s="94" t="s">
        <v>27</v>
      </c>
      <c r="LB71" s="94"/>
      <c r="LC71" s="94"/>
      <c r="LD71" s="94"/>
      <c r="LE71" s="94"/>
      <c r="LF71" s="94"/>
      <c r="LG71" s="94"/>
      <c r="LH71" s="94"/>
      <c r="LI71" s="94"/>
      <c r="LJ71" s="94"/>
      <c r="LK71" s="94"/>
      <c r="LL71" s="94"/>
      <c r="LM71" s="94" t="s">
        <v>27</v>
      </c>
      <c r="LN71" s="94"/>
      <c r="LO71" s="94"/>
      <c r="LP71" s="94"/>
      <c r="LQ71" s="94"/>
      <c r="LR71" s="94"/>
      <c r="LS71" s="94"/>
      <c r="LT71" s="94"/>
      <c r="LU71" s="94"/>
      <c r="LV71" s="94"/>
      <c r="LW71" s="94"/>
      <c r="LX71" s="94"/>
      <c r="LY71" s="94" t="s">
        <v>27</v>
      </c>
      <c r="LZ71" s="94"/>
      <c r="MA71" s="94"/>
      <c r="MB71" s="94"/>
    </row>
    <row r="72" spans="1:342" s="50" customFormat="1" ht="31.5" customHeight="1" thickBot="1">
      <c r="A72" s="44">
        <v>1</v>
      </c>
      <c r="B72" s="107" t="s">
        <v>125</v>
      </c>
      <c r="C72" s="46" t="s">
        <v>127</v>
      </c>
      <c r="D72" s="105" t="s">
        <v>22</v>
      </c>
      <c r="E72" s="117" t="s">
        <v>76</v>
      </c>
      <c r="F72" s="106" t="s">
        <v>53</v>
      </c>
      <c r="G72" s="145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  <c r="BE72" s="131"/>
      <c r="BF72" s="131"/>
      <c r="BG72" s="131"/>
      <c r="BH72" s="131"/>
      <c r="BI72" s="131"/>
      <c r="BJ72" s="131"/>
      <c r="BK72" s="131"/>
      <c r="BL72" s="131"/>
      <c r="BM72" s="131"/>
      <c r="BN72" s="131"/>
      <c r="BO72" s="131"/>
      <c r="BP72" s="131"/>
      <c r="BQ72" s="131"/>
      <c r="BR72" s="131"/>
      <c r="BS72" s="131"/>
      <c r="BT72" s="131"/>
      <c r="BU72" s="131"/>
      <c r="BV72" s="131"/>
      <c r="BW72" s="131"/>
      <c r="BX72" s="131"/>
      <c r="BY72" s="131"/>
      <c r="BZ72" s="131"/>
      <c r="CA72" s="131"/>
      <c r="CB72" s="131"/>
      <c r="CC72" s="131"/>
      <c r="CD72" s="131"/>
      <c r="CE72" s="131"/>
      <c r="CF72" s="131"/>
      <c r="CG72" s="131"/>
      <c r="CH72" s="131"/>
      <c r="CI72" s="131"/>
      <c r="CJ72" s="131"/>
      <c r="CK72" s="131"/>
      <c r="CL72" s="131"/>
      <c r="CM72" s="131"/>
      <c r="CN72" s="131"/>
      <c r="CO72" s="131"/>
      <c r="CP72" s="131"/>
      <c r="CQ72" s="131"/>
      <c r="CR72" s="131"/>
      <c r="CS72" s="131"/>
      <c r="CT72" s="131"/>
      <c r="CU72" s="131"/>
      <c r="CV72" s="131"/>
      <c r="CW72" s="131"/>
      <c r="CX72" s="131"/>
      <c r="CY72" s="131"/>
      <c r="CZ72" s="131"/>
      <c r="DA72" s="131"/>
      <c r="DB72" s="131"/>
      <c r="DC72" s="131"/>
      <c r="DD72" s="131"/>
      <c r="DE72" s="131"/>
      <c r="DF72" s="131"/>
      <c r="DG72" s="131"/>
      <c r="DH72" s="131"/>
      <c r="DI72" s="131"/>
      <c r="DJ72" s="94" t="s">
        <v>25</v>
      </c>
      <c r="DK72" s="94"/>
      <c r="DL72" s="94"/>
      <c r="DM72" s="94"/>
      <c r="DN72" s="94"/>
      <c r="DO72" s="94"/>
      <c r="DP72" s="94" t="s">
        <v>28</v>
      </c>
      <c r="DQ72" s="94" t="s">
        <v>26</v>
      </c>
      <c r="DR72" s="94" t="s">
        <v>26</v>
      </c>
      <c r="DS72" s="94" t="s">
        <v>28</v>
      </c>
      <c r="DT72" s="94" t="s">
        <v>26</v>
      </c>
      <c r="DU72" s="94" t="s">
        <v>26</v>
      </c>
      <c r="DV72" s="94" t="s">
        <v>26</v>
      </c>
      <c r="DW72" s="94" t="s">
        <v>26</v>
      </c>
      <c r="DX72" s="94" t="s">
        <v>26</v>
      </c>
      <c r="DY72" s="94" t="s">
        <v>26</v>
      </c>
      <c r="DZ72" s="94" t="s">
        <v>26</v>
      </c>
      <c r="EA72" s="94" t="s">
        <v>26</v>
      </c>
      <c r="EB72" s="94" t="s">
        <v>26</v>
      </c>
      <c r="EC72" s="94" t="s">
        <v>28</v>
      </c>
      <c r="ED72" s="94"/>
      <c r="EE72" s="94"/>
      <c r="EF72" s="94"/>
      <c r="EG72" s="94"/>
      <c r="EH72" s="94"/>
      <c r="EI72" s="94"/>
      <c r="EJ72" s="94"/>
      <c r="EK72" s="94"/>
      <c r="EL72" s="94"/>
      <c r="EM72" s="94" t="s">
        <v>27</v>
      </c>
      <c r="EN72" s="94"/>
      <c r="EO72" s="94"/>
      <c r="EP72" s="94"/>
      <c r="EQ72" s="94"/>
      <c r="ER72" s="94"/>
      <c r="ES72" s="94"/>
      <c r="ET72" s="94"/>
      <c r="EU72" s="94" t="s">
        <v>27</v>
      </c>
      <c r="EV72" s="94"/>
      <c r="EW72" s="94"/>
      <c r="EX72" s="94"/>
      <c r="EY72" s="94"/>
      <c r="EZ72" s="94"/>
      <c r="FA72" s="94"/>
      <c r="FB72" s="94"/>
      <c r="FC72" s="94"/>
      <c r="FD72" s="94"/>
      <c r="FE72" s="94" t="s">
        <v>27</v>
      </c>
      <c r="FF72" s="94"/>
      <c r="FG72" s="94"/>
      <c r="FH72" s="94"/>
      <c r="FI72" s="94"/>
      <c r="FJ72" s="94"/>
      <c r="FK72" s="94"/>
      <c r="FL72" s="94"/>
      <c r="FM72" s="94"/>
      <c r="FN72" s="94"/>
      <c r="FO72" s="94"/>
      <c r="FP72" s="94"/>
      <c r="FQ72" s="94"/>
      <c r="FR72" s="94"/>
      <c r="FS72" s="94"/>
      <c r="FT72" s="94"/>
      <c r="FU72" s="94"/>
      <c r="FV72" s="94"/>
      <c r="FW72" s="94"/>
      <c r="FX72" s="94"/>
      <c r="FY72" s="94"/>
      <c r="FZ72" s="94"/>
      <c r="GA72" s="94" t="s">
        <v>27</v>
      </c>
      <c r="GB72" s="94"/>
      <c r="GC72" s="94"/>
      <c r="GD72" s="94"/>
      <c r="GE72" s="94"/>
      <c r="GF72" s="94"/>
      <c r="GG72" s="94"/>
      <c r="GH72" s="94"/>
      <c r="GI72" s="94"/>
      <c r="GJ72" s="94"/>
      <c r="GK72" s="94"/>
      <c r="GL72" s="94"/>
      <c r="GM72" s="94"/>
      <c r="GN72" s="94"/>
      <c r="GO72" s="94"/>
      <c r="GP72" s="94"/>
      <c r="GQ72" s="94"/>
      <c r="GR72" s="94" t="s">
        <v>42</v>
      </c>
      <c r="GS72" s="94" t="s">
        <v>42</v>
      </c>
      <c r="GT72" s="94"/>
      <c r="GU72" s="94" t="s">
        <v>27</v>
      </c>
      <c r="GV72" s="94"/>
      <c r="GW72" s="94"/>
      <c r="GX72" s="94"/>
      <c r="GY72" s="94"/>
      <c r="GZ72" s="94"/>
      <c r="HA72" s="94"/>
      <c r="HB72" s="94"/>
      <c r="HC72" s="94"/>
      <c r="HD72" s="94"/>
      <c r="HE72" s="94"/>
      <c r="HF72" s="94"/>
      <c r="HG72" s="94"/>
      <c r="HH72" s="94"/>
      <c r="HI72" s="94"/>
      <c r="HJ72" s="94" t="s">
        <v>27</v>
      </c>
      <c r="HK72" s="94"/>
      <c r="HL72" s="94"/>
      <c r="HM72" s="94"/>
      <c r="HN72" s="94"/>
      <c r="HO72" s="94"/>
      <c r="HP72" s="94"/>
      <c r="HQ72" s="94"/>
      <c r="HR72" s="94"/>
      <c r="HS72" s="94"/>
      <c r="HT72" s="94"/>
      <c r="HU72" s="94"/>
      <c r="HV72" s="94"/>
      <c r="HW72" s="94"/>
      <c r="HX72" s="94"/>
      <c r="HY72" s="94" t="s">
        <v>27</v>
      </c>
      <c r="HZ72" s="94"/>
      <c r="IA72" s="94"/>
      <c r="IB72" s="94"/>
      <c r="IC72" s="94"/>
      <c r="ID72" s="94"/>
      <c r="IE72" s="94"/>
      <c r="IF72" s="94"/>
      <c r="IG72" s="94"/>
      <c r="IH72" s="94"/>
      <c r="II72" s="94"/>
      <c r="IJ72" s="94"/>
      <c r="IK72" s="94"/>
      <c r="IL72" s="94" t="s">
        <v>27</v>
      </c>
      <c r="IM72" s="94"/>
      <c r="IN72" s="94"/>
      <c r="IO72" s="94"/>
      <c r="IP72" s="94"/>
      <c r="IQ72" s="94"/>
      <c r="IR72" s="94"/>
      <c r="IS72" s="94"/>
      <c r="IT72" s="94"/>
      <c r="IU72" s="94"/>
      <c r="IV72" s="94"/>
      <c r="IW72" s="94"/>
      <c r="IX72" s="94" t="s">
        <v>27</v>
      </c>
      <c r="IY72" s="94"/>
      <c r="IZ72" s="94"/>
      <c r="JA72" s="94"/>
      <c r="JB72" s="94"/>
      <c r="JC72" s="94"/>
      <c r="JD72" s="94"/>
      <c r="JE72" s="94"/>
      <c r="JF72" s="94"/>
      <c r="JG72" s="94"/>
      <c r="JH72" s="94"/>
      <c r="JI72" s="94"/>
      <c r="JJ72" s="94" t="s">
        <v>27</v>
      </c>
      <c r="JK72" s="94"/>
      <c r="JL72" s="94"/>
      <c r="JM72" s="94"/>
      <c r="JN72" s="94"/>
      <c r="JO72" s="94"/>
      <c r="JP72" s="94"/>
      <c r="JQ72" s="94"/>
      <c r="JR72" s="94"/>
      <c r="JS72" s="94"/>
      <c r="JT72" s="94"/>
      <c r="JU72" s="94" t="s">
        <v>27</v>
      </c>
      <c r="JV72" s="94"/>
      <c r="JW72" s="94"/>
      <c r="JX72" s="94"/>
      <c r="JY72" s="94"/>
      <c r="JZ72" s="94"/>
      <c r="KA72" s="94"/>
      <c r="KB72" s="94"/>
      <c r="KC72" s="94"/>
      <c r="KD72" s="94"/>
      <c r="KE72" s="94"/>
      <c r="KF72" s="94"/>
      <c r="KG72" s="94"/>
      <c r="KH72" s="94" t="s">
        <v>27</v>
      </c>
      <c r="KI72" s="94"/>
      <c r="KJ72" s="94"/>
      <c r="KK72" s="94"/>
      <c r="KL72" s="94"/>
      <c r="KM72" s="94"/>
      <c r="KN72" s="94"/>
      <c r="KO72" s="94"/>
      <c r="KP72" s="94"/>
      <c r="KQ72" s="94"/>
      <c r="KR72" s="94"/>
      <c r="KS72" s="94"/>
      <c r="KT72" s="94"/>
      <c r="KU72" s="94" t="s">
        <v>27</v>
      </c>
      <c r="KV72" s="94"/>
      <c r="KW72" s="94"/>
      <c r="KX72" s="94"/>
      <c r="KY72" s="94"/>
      <c r="KZ72" s="94"/>
      <c r="LA72" s="94"/>
      <c r="LB72" s="94"/>
      <c r="LC72" s="94"/>
      <c r="LD72" s="94"/>
      <c r="LE72" s="94"/>
      <c r="LF72" s="94"/>
      <c r="LG72" s="94"/>
      <c r="LH72" s="94" t="s">
        <v>27</v>
      </c>
      <c r="LI72" s="94"/>
      <c r="LJ72" s="94"/>
      <c r="LK72" s="94"/>
      <c r="LL72" s="94"/>
      <c r="LM72" s="94"/>
      <c r="LN72" s="94"/>
      <c r="LO72" s="94"/>
      <c r="LP72" s="94"/>
      <c r="LQ72" s="94"/>
      <c r="LR72" s="94"/>
      <c r="LS72" s="94"/>
      <c r="LT72" s="94"/>
      <c r="LU72" s="94" t="s">
        <v>27</v>
      </c>
      <c r="LV72" s="94"/>
      <c r="LW72" s="94"/>
      <c r="LX72" s="94"/>
      <c r="LY72" s="94"/>
      <c r="LZ72" s="94"/>
      <c r="MA72" s="94"/>
      <c r="MB72" s="94"/>
    </row>
    <row r="73" spans="1:342" s="50" customFormat="1" ht="31.5" hidden="1" customHeight="1" thickBot="1">
      <c r="A73" s="44">
        <v>1</v>
      </c>
      <c r="B73" s="107" t="s">
        <v>128</v>
      </c>
      <c r="C73" s="46" t="s">
        <v>129</v>
      </c>
      <c r="D73" s="105" t="s">
        <v>35</v>
      </c>
      <c r="E73" s="117" t="s">
        <v>40</v>
      </c>
      <c r="F73" s="106" t="s">
        <v>24</v>
      </c>
      <c r="G73" s="145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  <c r="BE73" s="131"/>
      <c r="BF73" s="131"/>
      <c r="BG73" s="131"/>
      <c r="BH73" s="131"/>
      <c r="BI73" s="131"/>
      <c r="BJ73" s="131"/>
      <c r="BK73" s="131"/>
      <c r="BL73" s="131"/>
      <c r="BM73" s="131"/>
      <c r="BN73" s="131"/>
      <c r="BO73" s="131"/>
      <c r="BP73" s="131"/>
      <c r="BQ73" s="131"/>
      <c r="BR73" s="131"/>
      <c r="BS73" s="131"/>
      <c r="BT73" s="131"/>
      <c r="BU73" s="131"/>
      <c r="BV73" s="131"/>
      <c r="BW73" s="131"/>
      <c r="BX73" s="131"/>
      <c r="BY73" s="131"/>
      <c r="BZ73" s="131"/>
      <c r="CA73" s="131"/>
      <c r="CB73" s="131"/>
      <c r="CC73" s="131"/>
      <c r="CD73" s="131"/>
      <c r="CE73" s="131"/>
      <c r="CF73" s="131"/>
      <c r="CG73" s="131"/>
      <c r="CH73" s="131"/>
      <c r="CI73" s="131"/>
      <c r="CJ73" s="131"/>
      <c r="CK73" s="131"/>
      <c r="CL73" s="131"/>
      <c r="CM73" s="131"/>
      <c r="CN73" s="131"/>
      <c r="CO73" s="131"/>
      <c r="CP73" s="131"/>
      <c r="CQ73" s="131"/>
      <c r="CR73" s="131"/>
      <c r="CS73" s="131"/>
      <c r="CT73" s="131"/>
      <c r="CU73" s="131"/>
      <c r="CV73" s="131"/>
      <c r="CW73" s="131"/>
      <c r="CX73" s="131"/>
      <c r="CY73" s="131"/>
      <c r="CZ73" s="131"/>
      <c r="DA73" s="131"/>
      <c r="DB73" s="131"/>
      <c r="DC73" s="131"/>
      <c r="DD73" s="131"/>
      <c r="DE73" s="131"/>
      <c r="DF73" s="131"/>
      <c r="DG73" s="131"/>
      <c r="DH73" s="131"/>
      <c r="DI73" s="131"/>
      <c r="DJ73" s="131"/>
      <c r="DK73" s="131"/>
      <c r="DL73" s="131"/>
      <c r="DM73" s="131"/>
      <c r="DN73" s="131"/>
      <c r="DO73" s="131"/>
      <c r="DP73" s="131"/>
      <c r="DQ73" s="131"/>
      <c r="DR73" s="131"/>
      <c r="DS73" s="131"/>
      <c r="DT73" s="131"/>
      <c r="DU73" s="131"/>
      <c r="DV73" s="131"/>
      <c r="DW73" s="131"/>
      <c r="DX73" s="131"/>
      <c r="DY73" s="131"/>
      <c r="DZ73" s="131"/>
      <c r="EA73" s="131"/>
      <c r="EB73" s="131"/>
      <c r="EC73" s="131"/>
      <c r="ED73" s="131"/>
      <c r="EE73" s="131"/>
      <c r="EF73" s="131"/>
      <c r="EG73" s="131"/>
      <c r="EH73" s="131"/>
      <c r="EI73" s="131"/>
      <c r="EJ73" s="131"/>
      <c r="EK73" s="131"/>
      <c r="EL73" s="131"/>
      <c r="EM73" s="131"/>
      <c r="EN73" s="131"/>
      <c r="EO73" s="131"/>
      <c r="EP73" s="131"/>
      <c r="EQ73" s="131"/>
      <c r="ER73" s="131"/>
      <c r="ES73" s="131"/>
      <c r="ET73" s="131"/>
      <c r="EU73" s="131"/>
      <c r="EV73" s="131"/>
      <c r="EW73" s="131"/>
      <c r="EX73" s="131"/>
      <c r="EY73" s="131"/>
      <c r="EZ73" s="131"/>
      <c r="FA73" s="131"/>
      <c r="FB73" s="131"/>
      <c r="FC73" s="131"/>
      <c r="FD73" s="131"/>
      <c r="FE73" s="131"/>
      <c r="FF73" s="131"/>
      <c r="FG73" s="131"/>
      <c r="FH73" s="131"/>
      <c r="FI73" s="131"/>
      <c r="FJ73" s="131"/>
      <c r="FK73" s="131"/>
      <c r="FL73" s="131"/>
      <c r="FM73" s="131"/>
      <c r="FN73" s="131"/>
      <c r="FO73" s="131"/>
      <c r="FP73" s="131"/>
      <c r="FQ73" s="131"/>
      <c r="FR73" s="131"/>
      <c r="FS73" s="131"/>
      <c r="FT73" s="131"/>
      <c r="FU73" s="131"/>
      <c r="FV73" s="131"/>
      <c r="FW73" s="131"/>
      <c r="FX73" s="131"/>
      <c r="FY73" s="131"/>
      <c r="FZ73" s="131"/>
      <c r="GA73" s="131"/>
      <c r="GB73" s="94" t="s">
        <v>25</v>
      </c>
      <c r="GC73" s="93"/>
      <c r="GD73" s="93"/>
      <c r="GE73" s="94"/>
      <c r="GG73" s="94" t="s">
        <v>26</v>
      </c>
      <c r="GH73" s="94"/>
      <c r="GI73" s="94"/>
      <c r="GJ73" s="94"/>
      <c r="GK73" s="94"/>
      <c r="GL73" s="94"/>
      <c r="GM73" s="94"/>
      <c r="GN73" s="94"/>
      <c r="GO73" s="94" t="s">
        <v>28</v>
      </c>
      <c r="GP73" s="94" t="s">
        <v>28</v>
      </c>
      <c r="GQ73" s="94"/>
      <c r="GR73" s="94"/>
      <c r="GS73" s="94"/>
      <c r="GT73" s="94"/>
      <c r="GU73" s="94"/>
      <c r="GV73" s="94"/>
      <c r="GW73" s="94"/>
      <c r="GX73" s="94"/>
      <c r="GY73" s="94"/>
      <c r="GZ73" s="94"/>
      <c r="HA73" s="94"/>
      <c r="HB73" s="94"/>
      <c r="HC73" s="94"/>
      <c r="HD73" s="94"/>
      <c r="HE73" s="94"/>
      <c r="HF73" s="94"/>
      <c r="HG73" s="94"/>
      <c r="HH73" s="94"/>
      <c r="HI73" s="94"/>
      <c r="HJ73" s="94"/>
      <c r="HK73" s="94"/>
      <c r="HL73" s="94"/>
      <c r="HM73" s="94"/>
      <c r="HN73" s="94"/>
      <c r="HO73" s="94"/>
      <c r="HP73" s="94" t="s">
        <v>28</v>
      </c>
      <c r="HQ73" s="94" t="s">
        <v>28</v>
      </c>
      <c r="HR73" s="94"/>
      <c r="HS73" s="94"/>
      <c r="HT73" s="94"/>
      <c r="HU73" s="94"/>
      <c r="HV73" s="94"/>
      <c r="HW73" s="94"/>
      <c r="HX73" s="94"/>
      <c r="HY73" s="94"/>
      <c r="HZ73" s="94"/>
      <c r="IA73" s="94"/>
      <c r="IB73" s="94"/>
      <c r="IC73" s="94" t="s">
        <v>27</v>
      </c>
      <c r="ID73" s="94"/>
      <c r="IE73" s="94"/>
      <c r="IF73" s="94" t="s">
        <v>26</v>
      </c>
      <c r="IG73" s="94"/>
      <c r="IH73" s="94"/>
      <c r="II73" s="94"/>
      <c r="IJ73" s="94"/>
      <c r="IK73" s="94"/>
      <c r="IL73" s="94"/>
      <c r="IM73" s="94"/>
      <c r="IN73" s="94"/>
      <c r="IO73" s="94"/>
      <c r="IP73" s="94"/>
      <c r="IQ73" s="94"/>
      <c r="IR73" s="94" t="s">
        <v>27</v>
      </c>
      <c r="IS73" s="94"/>
      <c r="IT73" s="94" t="s">
        <v>26</v>
      </c>
      <c r="IU73" s="94"/>
      <c r="IV73" s="94"/>
      <c r="IW73" s="94"/>
      <c r="IX73" s="94"/>
      <c r="IY73" s="94"/>
      <c r="IZ73" s="94"/>
      <c r="JA73" s="94"/>
      <c r="JB73" s="94"/>
      <c r="JC73" s="94"/>
      <c r="JD73" s="94"/>
      <c r="JE73" s="94" t="s">
        <v>27</v>
      </c>
      <c r="JF73" s="94"/>
      <c r="JG73" s="94" t="s">
        <v>26</v>
      </c>
      <c r="JH73" s="94"/>
      <c r="JI73" s="94"/>
      <c r="JJ73" s="94"/>
      <c r="JK73" s="94"/>
      <c r="JL73" s="94"/>
      <c r="JM73" s="94"/>
      <c r="JN73" s="94"/>
      <c r="JO73" s="94"/>
      <c r="JP73" s="94"/>
      <c r="JQ73" s="94"/>
      <c r="JR73" s="94"/>
      <c r="JS73" s="94"/>
      <c r="JT73" s="94"/>
      <c r="JU73" s="94"/>
      <c r="JV73" s="94"/>
      <c r="JW73" s="94"/>
      <c r="JX73" s="94" t="s">
        <v>27</v>
      </c>
      <c r="JY73" s="94"/>
      <c r="JZ73" s="94" t="s">
        <v>26</v>
      </c>
      <c r="KA73" s="94"/>
      <c r="KB73" s="94"/>
      <c r="KC73" s="94"/>
      <c r="KD73" s="94"/>
      <c r="KE73" s="94"/>
      <c r="KF73" s="94"/>
      <c r="KG73" s="94"/>
      <c r="KH73" s="94"/>
      <c r="KI73" s="94"/>
      <c r="KJ73" s="94"/>
      <c r="KK73" s="94"/>
      <c r="KL73" s="94"/>
      <c r="KM73" s="94"/>
      <c r="KN73" s="94"/>
      <c r="KO73" s="94"/>
      <c r="KP73" s="94"/>
      <c r="KQ73" s="94" t="s">
        <v>27</v>
      </c>
      <c r="KR73" s="94"/>
      <c r="KS73" s="94" t="s">
        <v>26</v>
      </c>
      <c r="KT73" s="94"/>
      <c r="KU73" s="94"/>
      <c r="KV73" s="94"/>
      <c r="KW73" s="94"/>
      <c r="KX73" s="94"/>
      <c r="KY73" s="94"/>
      <c r="KZ73" s="94"/>
      <c r="LA73" s="94"/>
      <c r="LB73" s="94"/>
      <c r="LC73" s="94"/>
      <c r="LD73" s="94"/>
      <c r="LE73" s="94"/>
      <c r="LF73" s="94"/>
      <c r="LG73" s="94"/>
      <c r="LH73" s="94"/>
      <c r="LI73" s="94"/>
      <c r="LJ73" s="94" t="s">
        <v>27</v>
      </c>
      <c r="LK73" s="94"/>
      <c r="LL73" s="94" t="s">
        <v>26</v>
      </c>
      <c r="LM73" s="94"/>
      <c r="LN73" s="94"/>
      <c r="LO73" s="94"/>
      <c r="LP73" s="94"/>
      <c r="LQ73" s="94"/>
      <c r="LR73" s="94"/>
      <c r="LS73" s="94"/>
      <c r="LT73" s="94"/>
      <c r="LU73" s="94"/>
      <c r="LV73" s="94"/>
      <c r="LW73" s="94"/>
      <c r="LX73" s="94"/>
      <c r="LY73" s="94"/>
      <c r="LZ73" s="94"/>
      <c r="MA73" s="94"/>
      <c r="MB73" s="94"/>
    </row>
    <row r="74" spans="1:342" s="50" customFormat="1" ht="31.5" hidden="1" customHeight="1" thickBot="1">
      <c r="A74" s="44">
        <v>1</v>
      </c>
      <c r="B74" s="107" t="s">
        <v>128</v>
      </c>
      <c r="C74" s="46" t="s">
        <v>130</v>
      </c>
      <c r="D74" s="105" t="s">
        <v>35</v>
      </c>
      <c r="E74" s="117" t="s">
        <v>40</v>
      </c>
      <c r="F74" s="106" t="s">
        <v>24</v>
      </c>
      <c r="G74" s="145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  <c r="BE74" s="131"/>
      <c r="BF74" s="131"/>
      <c r="BG74" s="131"/>
      <c r="BH74" s="131"/>
      <c r="BI74" s="131"/>
      <c r="BJ74" s="131"/>
      <c r="BK74" s="131"/>
      <c r="BL74" s="131"/>
      <c r="BM74" s="131"/>
      <c r="BN74" s="131"/>
      <c r="BO74" s="131"/>
      <c r="BP74" s="131"/>
      <c r="BQ74" s="131"/>
      <c r="BR74" s="131"/>
      <c r="BS74" s="131"/>
      <c r="BT74" s="131"/>
      <c r="BU74" s="131"/>
      <c r="BV74" s="131"/>
      <c r="BW74" s="131"/>
      <c r="BX74" s="131"/>
      <c r="BY74" s="131"/>
      <c r="BZ74" s="131"/>
      <c r="CA74" s="131"/>
      <c r="CB74" s="131"/>
      <c r="CC74" s="131"/>
      <c r="CD74" s="131"/>
      <c r="CE74" s="131"/>
      <c r="CF74" s="131"/>
      <c r="CG74" s="131"/>
      <c r="CH74" s="131"/>
      <c r="CI74" s="131"/>
      <c r="CJ74" s="131"/>
      <c r="CK74" s="131"/>
      <c r="CL74" s="131"/>
      <c r="CM74" s="131"/>
      <c r="CN74" s="131"/>
      <c r="CO74" s="131"/>
      <c r="CP74" s="131"/>
      <c r="CQ74" s="131"/>
      <c r="CR74" s="131"/>
      <c r="CS74" s="131"/>
      <c r="CT74" s="131"/>
      <c r="CU74" s="131"/>
      <c r="CV74" s="131"/>
      <c r="CW74" s="131"/>
      <c r="CX74" s="131"/>
      <c r="CY74" s="131"/>
      <c r="CZ74" s="131"/>
      <c r="DA74" s="131"/>
      <c r="DB74" s="131"/>
      <c r="DC74" s="131"/>
      <c r="DD74" s="131"/>
      <c r="DE74" s="131"/>
      <c r="DF74" s="131"/>
      <c r="DG74" s="131"/>
      <c r="DH74" s="131"/>
      <c r="DI74" s="131"/>
      <c r="DJ74" s="131"/>
      <c r="DK74" s="131"/>
      <c r="DL74" s="131"/>
      <c r="DM74" s="131"/>
      <c r="DN74" s="131"/>
      <c r="DO74" s="131"/>
      <c r="DP74" s="131"/>
      <c r="DQ74" s="131"/>
      <c r="DR74" s="131"/>
      <c r="DS74" s="131"/>
      <c r="DT74" s="131"/>
      <c r="DU74" s="131"/>
      <c r="DV74" s="131"/>
      <c r="DW74" s="131"/>
      <c r="DX74" s="131"/>
      <c r="DY74" s="131"/>
      <c r="DZ74" s="131"/>
      <c r="EA74" s="131"/>
      <c r="EB74" s="131"/>
      <c r="EC74" s="131"/>
      <c r="ED74" s="131"/>
      <c r="EE74" s="131"/>
      <c r="EF74" s="131"/>
      <c r="EG74" s="131"/>
      <c r="EH74" s="131"/>
      <c r="EI74" s="131"/>
      <c r="EJ74" s="131"/>
      <c r="EK74" s="131"/>
      <c r="EL74" s="131"/>
      <c r="EM74" s="131"/>
      <c r="EN74" s="131"/>
      <c r="EO74" s="131"/>
      <c r="EP74" s="131"/>
      <c r="EQ74" s="131"/>
      <c r="ER74" s="131"/>
      <c r="ES74" s="131"/>
      <c r="ET74" s="131"/>
      <c r="EU74" s="131"/>
      <c r="EV74" s="131"/>
      <c r="EW74" s="131"/>
      <c r="EX74" s="131"/>
      <c r="EY74" s="131"/>
      <c r="EZ74" s="131"/>
      <c r="FA74" s="131"/>
      <c r="FB74" s="131"/>
      <c r="FC74" s="131"/>
      <c r="FD74" s="131"/>
      <c r="FE74" s="131"/>
      <c r="FF74" s="131"/>
      <c r="FG74" s="131"/>
      <c r="FH74" s="131"/>
      <c r="FI74" s="131"/>
      <c r="FJ74" s="131"/>
      <c r="FK74" s="131"/>
      <c r="FL74" s="131"/>
      <c r="FM74" s="131"/>
      <c r="FN74" s="131"/>
      <c r="FO74" s="131"/>
      <c r="FP74" s="131"/>
      <c r="FQ74" s="131"/>
      <c r="FR74" s="131"/>
      <c r="FS74" s="131"/>
      <c r="FT74" s="131"/>
      <c r="FU74" s="131"/>
      <c r="FV74" s="131"/>
      <c r="FW74" s="131"/>
      <c r="FX74" s="131"/>
      <c r="FY74" s="131"/>
      <c r="FZ74" s="131"/>
      <c r="GA74" s="131"/>
      <c r="GB74" s="94" t="s">
        <v>25</v>
      </c>
      <c r="GC74" s="93"/>
      <c r="GD74" s="94"/>
      <c r="GE74" s="94" t="s">
        <v>26</v>
      </c>
      <c r="GF74" s="94"/>
      <c r="GG74" s="94"/>
      <c r="GH74" s="94"/>
      <c r="GI74" s="94"/>
      <c r="GJ74" s="94"/>
      <c r="GK74" s="94"/>
      <c r="GL74" s="94"/>
      <c r="GM74" s="94"/>
      <c r="GN74" s="94"/>
      <c r="GO74" s="94"/>
      <c r="GP74" s="94" t="s">
        <v>27</v>
      </c>
      <c r="GQ74" s="94"/>
      <c r="GR74" s="94" t="s">
        <v>26</v>
      </c>
      <c r="GS74" s="94"/>
      <c r="GT74" s="94"/>
      <c r="GU74" s="94"/>
      <c r="GV74" s="94"/>
      <c r="GW74" s="94"/>
      <c r="GX74" s="94"/>
      <c r="GY74" s="94"/>
      <c r="GZ74" s="94"/>
      <c r="HA74" s="94" t="s">
        <v>27</v>
      </c>
      <c r="HB74" s="94"/>
      <c r="HC74" s="94" t="s">
        <v>26</v>
      </c>
      <c r="HD74" s="94"/>
      <c r="HE74" s="94"/>
      <c r="HF74" s="94"/>
      <c r="HG74" s="94"/>
      <c r="HH74" s="94"/>
      <c r="HI74" s="94"/>
      <c r="HJ74" s="94"/>
      <c r="HK74" s="94"/>
      <c r="HL74" s="94"/>
      <c r="HM74" s="94" t="s">
        <v>27</v>
      </c>
      <c r="HN74" s="94"/>
      <c r="HO74" s="94" t="s">
        <v>26</v>
      </c>
      <c r="HP74" s="94"/>
      <c r="HQ74" s="94"/>
      <c r="HR74" s="94"/>
      <c r="HS74" s="94"/>
      <c r="HT74" s="94"/>
      <c r="HU74" s="94"/>
      <c r="HV74" s="94"/>
      <c r="HW74" s="94"/>
      <c r="HX74" s="94"/>
      <c r="HY74" s="94" t="s">
        <v>27</v>
      </c>
      <c r="HZ74" s="94"/>
      <c r="IA74" s="94"/>
      <c r="IB74" s="94" t="s">
        <v>26</v>
      </c>
      <c r="IC74" s="94"/>
      <c r="ID74" s="94"/>
      <c r="IE74" s="94"/>
      <c r="IF74" s="94"/>
      <c r="IG74" s="94"/>
      <c r="IH74" s="94"/>
      <c r="II74" s="94"/>
      <c r="IJ74" s="94"/>
      <c r="IK74" s="94"/>
      <c r="IM74" s="94" t="s">
        <v>27</v>
      </c>
      <c r="IN74" s="94"/>
      <c r="IO74" s="94"/>
      <c r="IP74" s="94"/>
      <c r="IQ74" s="94" t="s">
        <v>26</v>
      </c>
      <c r="IR74" s="94"/>
      <c r="IS74" s="94"/>
      <c r="IT74" s="94"/>
      <c r="IU74" s="94"/>
      <c r="IV74" s="94"/>
      <c r="IW74" s="94"/>
      <c r="IX74" s="94"/>
      <c r="IY74" s="94" t="s">
        <v>27</v>
      </c>
      <c r="IZ74" s="94"/>
      <c r="JA74" s="94" t="s">
        <v>26</v>
      </c>
      <c r="JB74" s="94"/>
      <c r="JC74" s="94"/>
      <c r="JD74" s="94"/>
      <c r="JE74" s="94"/>
      <c r="JF74" s="94"/>
      <c r="JG74" s="94"/>
      <c r="JH74" s="94"/>
      <c r="JI74" s="94"/>
      <c r="JJ74" s="94" t="s">
        <v>27</v>
      </c>
      <c r="JK74" s="94"/>
      <c r="JL74" s="94" t="s">
        <v>26</v>
      </c>
      <c r="JM74" s="94"/>
      <c r="JN74" s="94"/>
      <c r="JO74" s="94"/>
      <c r="JP74" s="94"/>
      <c r="JQ74" s="94"/>
      <c r="JR74" s="94"/>
      <c r="JS74" s="94"/>
      <c r="JT74" s="94"/>
      <c r="JU74" s="94" t="s">
        <v>27</v>
      </c>
      <c r="JV74" s="94" t="s">
        <v>37</v>
      </c>
      <c r="JW74" s="131"/>
      <c r="JX74" s="131"/>
      <c r="JY74" s="131"/>
      <c r="JZ74" s="131"/>
      <c r="KA74" s="131"/>
      <c r="KB74" s="131"/>
      <c r="KC74" s="131"/>
      <c r="KD74" s="131"/>
      <c r="KE74" s="131"/>
      <c r="KF74" s="131"/>
      <c r="KG74" s="131"/>
      <c r="KH74" s="131"/>
      <c r="KI74" s="131"/>
      <c r="KJ74" s="131"/>
      <c r="KK74" s="131"/>
      <c r="KL74" s="131"/>
      <c r="KM74" s="131"/>
      <c r="KN74" s="131"/>
      <c r="KO74" s="131"/>
      <c r="KP74" s="131"/>
      <c r="KQ74" s="131"/>
      <c r="KR74" s="131"/>
      <c r="KS74" s="131"/>
      <c r="KT74" s="131"/>
      <c r="KU74" s="131"/>
      <c r="KV74" s="131"/>
      <c r="KW74" s="131"/>
      <c r="KX74" s="131"/>
      <c r="KY74" s="131"/>
      <c r="KZ74" s="131"/>
      <c r="LA74" s="131"/>
      <c r="LB74" s="131"/>
      <c r="LC74" s="131"/>
      <c r="LD74" s="131"/>
      <c r="LE74" s="131"/>
      <c r="LF74" s="131"/>
      <c r="LG74" s="131"/>
      <c r="LH74" s="131"/>
      <c r="LI74" s="131"/>
      <c r="LJ74" s="131"/>
      <c r="LK74" s="131"/>
      <c r="LL74" s="131"/>
      <c r="LM74" s="131"/>
      <c r="LN74" s="131"/>
      <c r="LO74" s="131"/>
      <c r="LP74" s="131"/>
      <c r="LQ74" s="131"/>
      <c r="LR74" s="131"/>
      <c r="LS74" s="131"/>
      <c r="LT74" s="131"/>
      <c r="LU74" s="131"/>
      <c r="LV74" s="131"/>
      <c r="LW74" s="131"/>
      <c r="LX74" s="131"/>
      <c r="LY74" s="131"/>
      <c r="LZ74" s="131"/>
      <c r="MA74" s="131"/>
      <c r="MB74" s="131"/>
    </row>
    <row r="75" spans="1:342" s="50" customFormat="1" ht="31.5" hidden="1" customHeight="1" thickBot="1">
      <c r="A75" s="44">
        <v>1</v>
      </c>
      <c r="B75" s="107" t="s">
        <v>131</v>
      </c>
      <c r="C75" s="46" t="s">
        <v>132</v>
      </c>
      <c r="D75" s="105" t="s">
        <v>35</v>
      </c>
      <c r="E75" s="117" t="s">
        <v>40</v>
      </c>
      <c r="F75" s="106" t="s">
        <v>24</v>
      </c>
      <c r="G75" s="143"/>
      <c r="H75" s="94"/>
      <c r="I75" s="94"/>
      <c r="J75" s="94"/>
      <c r="K75" s="94"/>
      <c r="L75" s="94" t="s">
        <v>26</v>
      </c>
      <c r="M75" s="94"/>
      <c r="N75" s="94"/>
      <c r="O75" s="94" t="s">
        <v>41</v>
      </c>
      <c r="P75" s="94"/>
      <c r="Q75" s="94"/>
      <c r="R75" s="94"/>
      <c r="S75" s="94"/>
      <c r="T75" s="94"/>
      <c r="U75" s="94"/>
      <c r="V75" s="94"/>
      <c r="W75" s="94"/>
      <c r="X75" s="94"/>
      <c r="Y75" s="94" t="s">
        <v>28</v>
      </c>
      <c r="Z75" s="94"/>
      <c r="AA75" s="94" t="s">
        <v>26</v>
      </c>
      <c r="AB75" s="94"/>
      <c r="AC75" s="94"/>
      <c r="AD75" s="94" t="s">
        <v>41</v>
      </c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 t="s">
        <v>27</v>
      </c>
      <c r="AP75" s="94"/>
      <c r="AQ75" s="94" t="s">
        <v>26</v>
      </c>
      <c r="AR75" s="94"/>
      <c r="AS75" s="94"/>
      <c r="AT75" s="94" t="s">
        <v>41</v>
      </c>
      <c r="AU75" s="94"/>
      <c r="AV75" s="94"/>
      <c r="AW75" s="94"/>
      <c r="AX75" s="94"/>
      <c r="AY75" s="94"/>
      <c r="AZ75" s="94"/>
      <c r="BA75" s="94"/>
      <c r="BB75" s="94"/>
      <c r="BC75" s="94" t="s">
        <v>28</v>
      </c>
      <c r="BD75" s="94" t="s">
        <v>28</v>
      </c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 t="s">
        <v>26</v>
      </c>
      <c r="BR75" s="94"/>
      <c r="BS75" s="94"/>
      <c r="BT75" s="94"/>
      <c r="BU75" s="94" t="s">
        <v>41</v>
      </c>
      <c r="BV75" s="94"/>
      <c r="BW75" s="94"/>
      <c r="BX75" s="94"/>
      <c r="BY75" s="94"/>
      <c r="BZ75" s="94"/>
      <c r="CA75" s="94"/>
      <c r="CB75" s="94"/>
      <c r="CC75" s="94"/>
      <c r="CD75" s="94"/>
      <c r="CE75" s="94" t="s">
        <v>26</v>
      </c>
      <c r="CF75" s="94"/>
      <c r="CG75" s="94"/>
      <c r="CH75" s="94" t="s">
        <v>41</v>
      </c>
      <c r="CI75" s="94"/>
      <c r="CJ75" s="94"/>
      <c r="CK75" s="94"/>
      <c r="CL75" s="94"/>
      <c r="CM75" s="94"/>
      <c r="CN75" s="94"/>
      <c r="CO75" s="94"/>
      <c r="CP75" s="94"/>
      <c r="CQ75" s="94"/>
      <c r="CR75" s="94"/>
      <c r="CS75" s="94"/>
      <c r="CT75" s="94"/>
      <c r="CU75" s="94"/>
      <c r="CV75" s="94"/>
      <c r="CW75" s="94" t="s">
        <v>27</v>
      </c>
      <c r="CX75" s="94"/>
      <c r="CY75" s="94" t="s">
        <v>26</v>
      </c>
      <c r="CZ75" s="94"/>
      <c r="DA75" s="94"/>
      <c r="DB75" s="94"/>
      <c r="DC75" s="94" t="s">
        <v>41</v>
      </c>
      <c r="DD75" s="94"/>
      <c r="DE75" s="93"/>
      <c r="DF75" s="93"/>
      <c r="DG75" s="93"/>
      <c r="DH75" s="93"/>
      <c r="DI75" s="93"/>
      <c r="DJ75" s="93"/>
      <c r="DK75" s="94"/>
      <c r="DL75" s="94"/>
      <c r="DM75" s="94"/>
      <c r="DN75" s="94"/>
      <c r="DO75" s="94"/>
      <c r="DP75" s="94"/>
      <c r="DQ75" s="94" t="s">
        <v>27</v>
      </c>
      <c r="DR75" s="94"/>
      <c r="DS75" s="94" t="s">
        <v>26</v>
      </c>
      <c r="DT75" s="94"/>
      <c r="DU75" s="94"/>
      <c r="DV75" s="94"/>
      <c r="DW75" s="93" t="s">
        <v>41</v>
      </c>
      <c r="DX75" s="93"/>
      <c r="DY75" s="93"/>
      <c r="DZ75" s="93"/>
      <c r="EA75" s="93"/>
      <c r="EB75" s="93"/>
      <c r="EC75" s="94"/>
      <c r="ED75" s="94"/>
      <c r="EE75" s="94"/>
      <c r="EF75" s="94" t="s">
        <v>26</v>
      </c>
      <c r="EG75" s="93"/>
      <c r="EH75" s="94"/>
      <c r="EI75" s="94" t="s">
        <v>41</v>
      </c>
      <c r="EJ75" s="94"/>
      <c r="EK75" s="94"/>
      <c r="EL75" s="94"/>
      <c r="EM75" s="94"/>
      <c r="EN75" s="94"/>
      <c r="EO75" s="93"/>
      <c r="EP75" s="93"/>
      <c r="EQ75" s="93"/>
      <c r="ER75" s="93"/>
      <c r="ES75" s="93"/>
      <c r="ET75" s="93"/>
      <c r="EU75" s="94"/>
      <c r="EV75" s="93" t="s">
        <v>27</v>
      </c>
      <c r="EW75" s="94"/>
      <c r="EX75" s="94"/>
      <c r="EY75" s="94"/>
      <c r="EZ75" s="94" t="s">
        <v>26</v>
      </c>
      <c r="FA75" s="94"/>
      <c r="FB75" s="94"/>
      <c r="FC75" s="94"/>
      <c r="FD75" s="94" t="s">
        <v>41</v>
      </c>
      <c r="FE75" s="94"/>
      <c r="FF75" s="93"/>
      <c r="FG75" s="93" t="s">
        <v>28</v>
      </c>
      <c r="FH75" s="93"/>
      <c r="FI75" s="93"/>
      <c r="FJ75" s="93"/>
      <c r="FK75" s="93"/>
      <c r="FL75" s="94"/>
      <c r="FM75" s="94"/>
      <c r="FN75" s="94"/>
      <c r="FO75" s="94"/>
      <c r="FP75" s="93"/>
      <c r="FQ75" s="93" t="s">
        <v>28</v>
      </c>
      <c r="FR75" s="94" t="s">
        <v>26</v>
      </c>
      <c r="FS75" s="94"/>
      <c r="FT75" s="94"/>
      <c r="FU75" s="94" t="s">
        <v>41</v>
      </c>
      <c r="FV75" s="94"/>
      <c r="FW75" s="94"/>
      <c r="FX75" s="93"/>
      <c r="FY75" s="93"/>
      <c r="FZ75" s="93"/>
      <c r="GA75" s="93" t="s">
        <v>28</v>
      </c>
      <c r="GB75" s="93"/>
      <c r="GC75" s="93"/>
      <c r="GD75" s="94"/>
      <c r="GE75" s="94"/>
      <c r="GF75" s="94"/>
      <c r="GG75" s="94"/>
      <c r="GH75" s="94"/>
      <c r="GI75" s="94"/>
      <c r="GJ75" s="94"/>
      <c r="GK75" s="94"/>
      <c r="GL75" s="94" t="s">
        <v>27</v>
      </c>
      <c r="GM75" s="94"/>
      <c r="GN75" s="94"/>
      <c r="GO75" s="94"/>
      <c r="GP75" s="94"/>
      <c r="GQ75" s="94" t="s">
        <v>26</v>
      </c>
      <c r="GR75" s="94"/>
      <c r="GS75" s="94"/>
      <c r="GT75" s="94" t="s">
        <v>41</v>
      </c>
      <c r="GU75" s="94"/>
      <c r="GV75" s="94"/>
      <c r="GW75" s="94"/>
      <c r="GX75" s="94"/>
      <c r="GY75" s="94"/>
      <c r="GZ75" s="94"/>
      <c r="HA75" s="94"/>
      <c r="HB75" s="94"/>
      <c r="HC75" s="94"/>
      <c r="HD75" s="94"/>
      <c r="HF75" s="94"/>
      <c r="HG75" s="94"/>
      <c r="HH75" s="94"/>
      <c r="HI75" s="94" t="s">
        <v>26</v>
      </c>
      <c r="HJ75" s="94"/>
      <c r="HK75" s="94"/>
      <c r="HL75" s="94"/>
      <c r="HM75" s="94" t="s">
        <v>41</v>
      </c>
      <c r="HN75" s="94"/>
      <c r="HO75" s="94"/>
      <c r="HP75" s="94"/>
      <c r="HQ75" s="94"/>
      <c r="HR75" s="94"/>
      <c r="HS75" s="94"/>
      <c r="HT75" s="94"/>
      <c r="HU75" s="94"/>
      <c r="HV75" s="94"/>
      <c r="HX75" s="94"/>
      <c r="HY75" s="94"/>
      <c r="HZ75" s="94"/>
      <c r="IA75" s="94" t="s">
        <v>27</v>
      </c>
      <c r="IB75" s="94"/>
      <c r="IC75" s="94"/>
      <c r="ID75" s="94"/>
      <c r="IE75" s="94" t="s">
        <v>26</v>
      </c>
      <c r="IF75" s="94"/>
      <c r="IG75" s="94"/>
      <c r="IH75" s="94"/>
      <c r="II75" s="94" t="s">
        <v>41</v>
      </c>
      <c r="IJ75" s="94"/>
      <c r="IK75" s="94"/>
      <c r="IL75" s="94"/>
      <c r="IM75" s="94"/>
      <c r="IN75" s="94"/>
      <c r="IP75" s="94"/>
      <c r="IQ75" s="94" t="s">
        <v>27</v>
      </c>
      <c r="IR75" s="94"/>
      <c r="IS75" s="94" t="s">
        <v>26</v>
      </c>
      <c r="IT75" s="94"/>
      <c r="IU75" s="94"/>
      <c r="IV75" s="94" t="s">
        <v>41</v>
      </c>
      <c r="IW75" s="94"/>
      <c r="IX75" s="94"/>
      <c r="IY75" s="94"/>
      <c r="IZ75" s="94"/>
      <c r="JA75" s="94"/>
      <c r="JB75" s="94"/>
      <c r="JC75" s="94"/>
      <c r="JD75" s="94"/>
      <c r="JE75" s="94"/>
      <c r="JF75" s="94"/>
      <c r="JH75" s="94" t="s">
        <v>27</v>
      </c>
      <c r="JI75" s="94"/>
      <c r="JJ75" s="94"/>
      <c r="JK75" s="94" t="s">
        <v>26</v>
      </c>
      <c r="JL75" s="94"/>
      <c r="JM75" s="94"/>
      <c r="JN75" s="94" t="s">
        <v>41</v>
      </c>
      <c r="JO75" s="94"/>
      <c r="JP75" s="94"/>
      <c r="JQ75" s="94"/>
      <c r="JR75" s="94"/>
      <c r="JS75" s="94"/>
      <c r="JT75" s="94"/>
      <c r="JU75" s="94"/>
      <c r="JV75" s="94"/>
      <c r="JW75" s="94"/>
      <c r="JX75" s="94"/>
      <c r="JZ75" s="94" t="s">
        <v>27</v>
      </c>
      <c r="KA75" s="94"/>
      <c r="KB75" s="94"/>
      <c r="KC75" s="94" t="s">
        <v>26</v>
      </c>
      <c r="KD75" s="94"/>
      <c r="KE75" s="94"/>
      <c r="KF75" s="94" t="s">
        <v>41</v>
      </c>
      <c r="KG75" s="94"/>
      <c r="KH75" s="94"/>
      <c r="KI75" s="94"/>
      <c r="KJ75" s="94"/>
      <c r="KK75" s="94"/>
      <c r="KL75" s="94"/>
      <c r="KM75" s="94"/>
      <c r="KN75" s="94"/>
      <c r="KO75" s="94"/>
      <c r="KP75" s="94"/>
      <c r="KR75" s="94" t="s">
        <v>27</v>
      </c>
      <c r="KS75" s="94"/>
      <c r="KT75" s="94" t="s">
        <v>26</v>
      </c>
      <c r="KU75" s="94"/>
      <c r="KV75" s="94"/>
      <c r="KW75" s="94" t="s">
        <v>41</v>
      </c>
      <c r="KX75" s="94"/>
      <c r="KY75" s="94"/>
      <c r="KZ75" s="94"/>
      <c r="LA75" s="94"/>
      <c r="LB75" s="94"/>
      <c r="LC75" s="94"/>
      <c r="LD75" s="94"/>
      <c r="LE75" s="94"/>
      <c r="LF75" s="94"/>
      <c r="LG75" s="94"/>
      <c r="LI75" s="94" t="s">
        <v>27</v>
      </c>
      <c r="LJ75" s="94"/>
      <c r="LK75" s="94" t="s">
        <v>26</v>
      </c>
      <c r="LL75" s="94"/>
      <c r="LM75" s="94"/>
      <c r="LN75" s="94" t="s">
        <v>41</v>
      </c>
      <c r="LO75" s="94"/>
      <c r="LP75" s="94"/>
      <c r="LQ75" s="94"/>
      <c r="LR75" s="94"/>
      <c r="LS75" s="94"/>
      <c r="LT75" s="94"/>
      <c r="LU75" s="94"/>
      <c r="LV75" s="94"/>
      <c r="LW75" s="94"/>
      <c r="LX75" s="94"/>
      <c r="LZ75" s="94" t="s">
        <v>27</v>
      </c>
      <c r="MA75" s="94"/>
      <c r="MB75" s="94" t="s">
        <v>26</v>
      </c>
    </row>
    <row r="76" spans="1:342" s="50" customFormat="1" ht="31.5" hidden="1" customHeight="1" thickBot="1">
      <c r="A76" s="44">
        <v>1</v>
      </c>
      <c r="B76" s="107" t="s">
        <v>131</v>
      </c>
      <c r="C76" s="46" t="s">
        <v>133</v>
      </c>
      <c r="D76" s="105" t="s">
        <v>35</v>
      </c>
      <c r="E76" s="117" t="s">
        <v>36</v>
      </c>
      <c r="F76" s="106" t="s">
        <v>24</v>
      </c>
      <c r="G76" s="147"/>
      <c r="H76" s="132"/>
      <c r="I76" s="132"/>
      <c r="J76" s="132"/>
      <c r="K76" s="132" t="s">
        <v>41</v>
      </c>
      <c r="L76" s="144"/>
      <c r="M76" s="132"/>
      <c r="N76" s="132"/>
      <c r="O76" s="132"/>
      <c r="P76" s="132"/>
      <c r="Q76" s="132"/>
      <c r="R76" s="132"/>
      <c r="S76" s="132"/>
      <c r="T76" s="144"/>
      <c r="U76" s="132"/>
      <c r="V76" s="132"/>
      <c r="W76" s="132"/>
      <c r="X76" s="132" t="s">
        <v>26</v>
      </c>
      <c r="Y76" s="132"/>
      <c r="Z76" s="132"/>
      <c r="AA76" s="132"/>
      <c r="AB76" s="132"/>
      <c r="AC76" s="132" t="s">
        <v>41</v>
      </c>
      <c r="AD76" s="144"/>
      <c r="AE76" s="132"/>
      <c r="AF76" s="132"/>
      <c r="AG76" s="132"/>
      <c r="AH76" s="132"/>
      <c r="AI76" s="132"/>
      <c r="AJ76" s="132"/>
      <c r="AK76" s="132"/>
      <c r="AL76" s="144"/>
      <c r="AM76" s="132"/>
      <c r="AN76" s="132" t="s">
        <v>26</v>
      </c>
      <c r="AO76" s="132"/>
      <c r="AP76" s="132"/>
      <c r="AQ76" s="132"/>
      <c r="AR76" s="132"/>
      <c r="AS76" s="132" t="s">
        <v>41</v>
      </c>
      <c r="AT76" s="132"/>
      <c r="AU76" s="132"/>
      <c r="AV76" s="132"/>
      <c r="AW76" s="132"/>
      <c r="AX76" s="144"/>
      <c r="AY76" s="132" t="s">
        <v>28</v>
      </c>
      <c r="AZ76" s="132"/>
      <c r="BA76" s="132" t="s">
        <v>28</v>
      </c>
      <c r="BB76" s="132"/>
      <c r="BC76" s="132"/>
      <c r="BD76" s="132"/>
      <c r="BE76" s="132"/>
      <c r="BF76" s="132"/>
      <c r="BG76" s="132"/>
      <c r="BH76" s="132"/>
      <c r="BI76" s="132"/>
      <c r="BJ76" s="132"/>
      <c r="BK76" s="132"/>
      <c r="BL76" s="132" t="s">
        <v>27</v>
      </c>
      <c r="BM76" s="132"/>
      <c r="BO76" s="132"/>
      <c r="BP76" s="132" t="s">
        <v>26</v>
      </c>
      <c r="BQ76" s="132"/>
      <c r="BR76" s="132"/>
      <c r="BS76" s="132"/>
      <c r="BT76" s="132" t="s">
        <v>41</v>
      </c>
      <c r="BU76" s="132"/>
      <c r="BV76" s="132"/>
      <c r="BW76" s="132"/>
      <c r="BX76" s="132"/>
      <c r="BY76" s="132"/>
      <c r="BZ76" s="132"/>
      <c r="CA76" s="132"/>
      <c r="CB76" s="144"/>
      <c r="CC76" s="132" t="s">
        <v>26</v>
      </c>
      <c r="CD76" s="132"/>
      <c r="CE76" s="132"/>
      <c r="CF76" s="132"/>
      <c r="CG76" s="132" t="s">
        <v>41</v>
      </c>
      <c r="CH76" s="132"/>
      <c r="CI76" s="132"/>
      <c r="CJ76" s="132"/>
      <c r="CK76" s="132" t="s">
        <v>28</v>
      </c>
      <c r="CL76" s="132"/>
      <c r="CM76" s="132"/>
      <c r="CN76" s="132"/>
      <c r="CO76" s="132"/>
      <c r="CP76" s="132"/>
      <c r="CQ76" s="132"/>
      <c r="CR76" s="132"/>
      <c r="CS76" s="132"/>
      <c r="CT76" s="132"/>
      <c r="CU76" s="132" t="s">
        <v>26</v>
      </c>
      <c r="CV76" s="132"/>
      <c r="CW76" s="132"/>
      <c r="CX76" s="132" t="s">
        <v>41</v>
      </c>
      <c r="CY76" s="132"/>
      <c r="CZ76" s="132"/>
      <c r="DA76" s="132"/>
      <c r="DB76" s="132"/>
      <c r="DC76" s="132"/>
      <c r="DD76" s="132"/>
      <c r="DE76" s="132"/>
      <c r="DF76" s="132"/>
      <c r="DG76" s="132"/>
      <c r="DH76" s="132"/>
      <c r="DI76" s="132"/>
      <c r="DJ76" s="132"/>
      <c r="DK76" s="132"/>
      <c r="DL76" s="132"/>
      <c r="DM76" s="132"/>
      <c r="DN76" s="132" t="s">
        <v>26</v>
      </c>
      <c r="DO76" s="132"/>
      <c r="DP76" s="132"/>
      <c r="DQ76" s="132"/>
      <c r="DR76" s="132"/>
      <c r="DS76" s="132" t="s">
        <v>41</v>
      </c>
      <c r="DT76" s="132"/>
      <c r="DU76" s="132"/>
      <c r="DV76" s="132"/>
      <c r="DW76" s="132"/>
      <c r="DX76" s="132"/>
      <c r="DY76" s="132"/>
      <c r="DZ76" s="132"/>
      <c r="EA76" s="132"/>
      <c r="EB76" s="132"/>
      <c r="EC76" s="132"/>
      <c r="ED76" s="132"/>
      <c r="EE76" s="132" t="s">
        <v>26</v>
      </c>
      <c r="EF76" s="94"/>
      <c r="EG76" s="94"/>
      <c r="EH76" s="94" t="s">
        <v>41</v>
      </c>
      <c r="EI76" s="94"/>
      <c r="EJ76" s="94"/>
      <c r="EK76" s="94"/>
      <c r="EL76" s="94"/>
      <c r="EM76" s="94"/>
      <c r="EN76" s="94"/>
      <c r="EO76" s="94"/>
      <c r="EP76" s="94"/>
      <c r="EQ76" s="94"/>
      <c r="ER76" s="94"/>
      <c r="ES76" s="94"/>
      <c r="ET76" s="94"/>
      <c r="EU76" s="94"/>
      <c r="EV76" s="94"/>
      <c r="EW76" s="94"/>
      <c r="EX76" s="94" t="s">
        <v>27</v>
      </c>
      <c r="EY76" s="94"/>
      <c r="EZ76" s="94"/>
      <c r="FA76" s="132" t="s">
        <v>26</v>
      </c>
      <c r="FB76" s="94"/>
      <c r="FC76" s="94"/>
      <c r="FD76" s="94"/>
      <c r="FE76" s="94" t="s">
        <v>41</v>
      </c>
      <c r="FF76" s="94"/>
      <c r="FG76" s="94"/>
      <c r="FH76" s="94"/>
      <c r="FI76" s="94"/>
      <c r="FJ76" s="94"/>
      <c r="FK76" s="94"/>
      <c r="FL76" s="94"/>
      <c r="FM76" s="94"/>
      <c r="FN76" s="94"/>
      <c r="FO76" s="94"/>
      <c r="FP76" s="132" t="s">
        <v>26</v>
      </c>
      <c r="FQ76" s="94"/>
      <c r="FR76" s="94"/>
      <c r="FS76" s="94" t="s">
        <v>41</v>
      </c>
      <c r="FT76" s="94"/>
      <c r="FU76" s="94"/>
      <c r="FV76" s="94"/>
      <c r="FW76" s="94"/>
      <c r="FX76" s="94"/>
      <c r="FY76" s="94"/>
      <c r="FZ76" s="94"/>
      <c r="GA76" s="94"/>
      <c r="GB76" s="94"/>
      <c r="GC76" s="94"/>
      <c r="GD76" s="132"/>
      <c r="GE76" s="132"/>
      <c r="GF76" s="132"/>
      <c r="GG76" s="132"/>
      <c r="GH76" s="94" t="s">
        <v>26</v>
      </c>
      <c r="GI76" s="94"/>
      <c r="GJ76" s="94"/>
      <c r="GK76" s="94"/>
      <c r="GL76" s="94" t="s">
        <v>28</v>
      </c>
      <c r="GM76" s="94" t="s">
        <v>28</v>
      </c>
      <c r="GN76" s="94"/>
      <c r="GO76" s="94" t="s">
        <v>28</v>
      </c>
      <c r="GP76" s="94" t="s">
        <v>28</v>
      </c>
      <c r="GQ76" s="94"/>
      <c r="GR76" s="94"/>
      <c r="GS76" s="132" t="s">
        <v>26</v>
      </c>
      <c r="GT76" s="94"/>
      <c r="GU76" s="94"/>
      <c r="GV76" s="94"/>
      <c r="GW76" s="94"/>
      <c r="GX76" s="94" t="s">
        <v>41</v>
      </c>
      <c r="GY76" s="94"/>
      <c r="GZ76" s="94"/>
      <c r="HA76" s="94"/>
      <c r="HB76" s="94"/>
      <c r="HC76" s="94"/>
      <c r="HD76" s="94"/>
      <c r="HE76" s="94"/>
      <c r="HF76" s="94"/>
      <c r="HG76" s="94"/>
      <c r="HH76" s="94"/>
      <c r="HI76" s="132"/>
      <c r="HJ76" s="94"/>
      <c r="HK76" s="94"/>
      <c r="HL76" s="94"/>
      <c r="HM76" s="94"/>
      <c r="HN76" s="94" t="s">
        <v>26</v>
      </c>
      <c r="HO76" s="94"/>
      <c r="HP76" s="94"/>
      <c r="HQ76" s="94"/>
      <c r="HR76" s="94" t="s">
        <v>41</v>
      </c>
      <c r="HS76" s="94"/>
      <c r="HT76" s="94"/>
      <c r="HU76" s="94"/>
      <c r="HV76" s="94"/>
      <c r="HW76" s="94"/>
      <c r="HX76" s="132"/>
      <c r="HY76" s="94"/>
      <c r="HZ76" s="94"/>
      <c r="IA76" s="94" t="s">
        <v>27</v>
      </c>
      <c r="IB76" s="94"/>
      <c r="IC76" s="94"/>
      <c r="ID76" s="94" t="s">
        <v>26</v>
      </c>
      <c r="IE76" s="94"/>
      <c r="IF76" s="94"/>
      <c r="IG76" s="94"/>
      <c r="IH76" s="94"/>
      <c r="II76" s="94" t="s">
        <v>41</v>
      </c>
      <c r="IJ76" s="94"/>
      <c r="IK76" s="94"/>
      <c r="IL76" s="94"/>
      <c r="IM76" s="94"/>
      <c r="IN76" s="132"/>
      <c r="IO76" s="94"/>
      <c r="IP76" s="94"/>
      <c r="IQ76" s="94"/>
      <c r="IR76" s="94"/>
      <c r="IS76" s="94"/>
      <c r="IT76" s="94"/>
      <c r="IU76" s="94" t="s">
        <v>27</v>
      </c>
      <c r="IV76" s="94"/>
      <c r="IW76" s="94" t="s">
        <v>26</v>
      </c>
      <c r="IX76" s="94"/>
      <c r="IY76" s="94"/>
      <c r="IZ76" s="94"/>
      <c r="JA76" s="94"/>
      <c r="JB76" s="94" t="s">
        <v>41</v>
      </c>
      <c r="JC76" s="94"/>
      <c r="JD76" s="132"/>
      <c r="JE76" s="94"/>
      <c r="JF76" s="94"/>
      <c r="JG76" s="94"/>
      <c r="JH76" s="94"/>
      <c r="JI76" s="94"/>
      <c r="JJ76" s="94"/>
      <c r="JK76" s="94" t="s">
        <v>27</v>
      </c>
      <c r="JL76" s="94"/>
      <c r="JM76" s="94" t="s">
        <v>26</v>
      </c>
      <c r="JN76" s="94"/>
      <c r="JO76" s="94"/>
      <c r="JP76" s="94"/>
      <c r="JQ76" s="94"/>
      <c r="JR76" s="94" t="s">
        <v>41</v>
      </c>
      <c r="JS76" s="94"/>
      <c r="JT76" s="132"/>
      <c r="JU76" s="94"/>
      <c r="JV76" s="94"/>
      <c r="JW76" s="94"/>
      <c r="JX76" s="94"/>
      <c r="JY76" s="94"/>
      <c r="JZ76" s="94"/>
      <c r="KA76" s="94" t="s">
        <v>27</v>
      </c>
      <c r="KB76" s="94"/>
      <c r="KC76" s="94" t="s">
        <v>26</v>
      </c>
      <c r="KD76" s="94"/>
      <c r="KE76" s="94"/>
      <c r="KF76" s="94"/>
      <c r="KG76" s="94"/>
      <c r="KH76" s="94" t="s">
        <v>41</v>
      </c>
      <c r="KI76" s="94"/>
      <c r="KJ76" s="132"/>
      <c r="KK76" s="94"/>
      <c r="KL76" s="94"/>
      <c r="KM76" s="94"/>
      <c r="KN76" s="94"/>
      <c r="KO76" s="94"/>
      <c r="KP76" s="94"/>
      <c r="KQ76" s="94" t="s">
        <v>27</v>
      </c>
      <c r="KR76" s="94"/>
      <c r="KS76" s="94" t="s">
        <v>26</v>
      </c>
      <c r="KT76" s="94"/>
      <c r="KU76" s="94"/>
      <c r="KV76" s="94"/>
      <c r="KW76" s="94"/>
      <c r="KX76" s="94" t="s">
        <v>41</v>
      </c>
      <c r="KY76" s="94"/>
      <c r="KZ76" s="132"/>
      <c r="LA76" s="94"/>
      <c r="LB76" s="94"/>
      <c r="LC76" s="94"/>
      <c r="LD76" s="94"/>
      <c r="LE76" s="94"/>
      <c r="LF76" s="94"/>
      <c r="LG76" s="94" t="s">
        <v>27</v>
      </c>
      <c r="LH76" s="94"/>
      <c r="LI76" s="94" t="s">
        <v>26</v>
      </c>
      <c r="LJ76" s="94"/>
      <c r="LK76" s="94"/>
      <c r="LL76" s="94"/>
      <c r="LM76" s="94"/>
      <c r="LN76" s="94" t="s">
        <v>41</v>
      </c>
      <c r="LO76" s="94"/>
      <c r="LP76" s="132"/>
      <c r="LQ76" s="94"/>
      <c r="LR76" s="94"/>
      <c r="LS76" s="94"/>
      <c r="LT76" s="94"/>
      <c r="LU76" s="94"/>
      <c r="LV76" s="94"/>
      <c r="LW76" s="94" t="s">
        <v>27</v>
      </c>
      <c r="LX76" s="94"/>
      <c r="LY76" s="94" t="s">
        <v>26</v>
      </c>
      <c r="LZ76" s="94"/>
      <c r="MA76" s="94"/>
      <c r="MB76" s="94"/>
      <c r="MD76" s="50" t="s">
        <v>41</v>
      </c>
    </row>
    <row r="77" spans="1:342" s="50" customFormat="1" ht="31.5" hidden="1" customHeight="1" thickBot="1">
      <c r="A77" s="44">
        <v>1</v>
      </c>
      <c r="B77" s="107" t="s">
        <v>131</v>
      </c>
      <c r="C77" s="46" t="s">
        <v>134</v>
      </c>
      <c r="D77" s="105" t="s">
        <v>35</v>
      </c>
      <c r="E77" s="117" t="s">
        <v>36</v>
      </c>
      <c r="F77" s="106" t="s">
        <v>24</v>
      </c>
      <c r="G77" s="147" t="s">
        <v>26</v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 t="s">
        <v>27</v>
      </c>
      <c r="R77" s="132"/>
      <c r="S77" s="132" t="s">
        <v>26</v>
      </c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 t="s">
        <v>27</v>
      </c>
      <c r="AF77" s="132"/>
      <c r="AG77" s="132"/>
      <c r="AH77" s="132" t="s">
        <v>26</v>
      </c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 t="s">
        <v>27</v>
      </c>
      <c r="AU77" s="132"/>
      <c r="AV77" s="132" t="s">
        <v>26</v>
      </c>
      <c r="AW77" s="132"/>
      <c r="AX77" s="132"/>
      <c r="AY77" s="132"/>
      <c r="AZ77" s="132"/>
      <c r="BA77" s="132"/>
      <c r="BB77" s="132"/>
      <c r="BC77" s="132"/>
      <c r="BD77" s="132"/>
      <c r="BE77" s="132"/>
      <c r="BF77" s="132"/>
      <c r="BG77" s="132" t="s">
        <v>27</v>
      </c>
      <c r="BH77" s="132"/>
      <c r="BI77" s="132"/>
      <c r="BJ77" s="132"/>
      <c r="BK77" s="132" t="s">
        <v>26</v>
      </c>
      <c r="BL77" s="132"/>
      <c r="BM77" s="132"/>
      <c r="BN77" s="132"/>
      <c r="BO77" s="132"/>
      <c r="BP77" s="132"/>
      <c r="BQ77" s="132"/>
      <c r="BR77" s="132"/>
      <c r="BS77" s="132"/>
      <c r="BT77" s="132"/>
      <c r="BU77" s="132" t="s">
        <v>27</v>
      </c>
      <c r="BV77" s="132"/>
      <c r="BW77" s="132" t="s">
        <v>26</v>
      </c>
      <c r="BX77" s="132"/>
      <c r="BY77" s="132"/>
      <c r="BZ77" s="132"/>
      <c r="CA77" s="132"/>
      <c r="CB77" s="132"/>
      <c r="CC77" s="132"/>
      <c r="CD77" s="132"/>
      <c r="CE77" s="132"/>
      <c r="CF77" s="132"/>
      <c r="CG77" s="132"/>
      <c r="CH77" s="132" t="s">
        <v>27</v>
      </c>
      <c r="CI77" s="132" t="s">
        <v>26</v>
      </c>
      <c r="CJ77" s="132"/>
      <c r="CK77" s="132"/>
      <c r="CL77" s="132"/>
      <c r="CM77" s="132"/>
      <c r="CN77" s="132"/>
      <c r="CO77" s="132"/>
      <c r="CP77" s="132"/>
      <c r="CQ77" s="132"/>
      <c r="CR77" s="132"/>
      <c r="CS77" s="132"/>
      <c r="CT77" s="132" t="s">
        <v>27</v>
      </c>
      <c r="CU77" s="132"/>
      <c r="CV77" s="132"/>
      <c r="CW77" s="132"/>
      <c r="CX77" s="132"/>
      <c r="CY77" s="132" t="s">
        <v>26</v>
      </c>
      <c r="CZ77" s="132"/>
      <c r="DA77" s="132"/>
      <c r="DB77" s="132"/>
      <c r="DC77" s="132"/>
      <c r="DD77" s="132"/>
      <c r="DE77" s="132"/>
      <c r="DF77" s="132" t="s">
        <v>41</v>
      </c>
      <c r="DG77" s="94"/>
      <c r="DH77" s="94"/>
      <c r="DI77" s="94"/>
      <c r="DJ77" s="94"/>
      <c r="DK77" s="94"/>
      <c r="DL77" s="94"/>
      <c r="DM77" s="94"/>
      <c r="DN77" s="94"/>
      <c r="DO77" s="94"/>
      <c r="DP77" s="94"/>
      <c r="DQ77" s="94"/>
      <c r="DR77" s="94"/>
      <c r="DS77" s="94"/>
      <c r="DT77" s="94"/>
      <c r="DU77" s="94" t="s">
        <v>26</v>
      </c>
      <c r="DW77" s="94"/>
      <c r="DX77" s="94"/>
      <c r="DY77" s="94"/>
      <c r="DZ77" s="94"/>
      <c r="EA77" s="94"/>
      <c r="EB77" s="94"/>
      <c r="EC77" s="94" t="s">
        <v>41</v>
      </c>
      <c r="ED77" s="94"/>
      <c r="EE77" s="94"/>
      <c r="EF77" s="94"/>
      <c r="EG77" s="94"/>
      <c r="EH77" s="94"/>
      <c r="EI77" s="94"/>
      <c r="EJ77" s="94"/>
      <c r="EK77" s="94"/>
      <c r="EL77" s="94" t="s">
        <v>26</v>
      </c>
      <c r="EM77" s="94"/>
      <c r="EN77" s="94"/>
      <c r="EO77" s="94"/>
      <c r="EP77" s="94"/>
      <c r="EQ77" s="94"/>
      <c r="ER77" s="94" t="s">
        <v>41</v>
      </c>
      <c r="ES77" s="94"/>
      <c r="ET77" s="94"/>
      <c r="EU77" s="94"/>
      <c r="EV77" s="94"/>
      <c r="EW77" s="94"/>
      <c r="EX77" s="94"/>
      <c r="EY77" s="94"/>
      <c r="EZ77" s="94"/>
      <c r="FA77" s="94"/>
      <c r="FB77" s="94" t="s">
        <v>26</v>
      </c>
      <c r="FC77" s="94"/>
      <c r="FE77" s="94"/>
      <c r="FF77" s="94"/>
      <c r="FG77" s="94" t="s">
        <v>41</v>
      </c>
      <c r="FH77" s="94"/>
      <c r="FI77" s="94"/>
      <c r="FJ77" s="94"/>
      <c r="FK77" s="94"/>
      <c r="FL77" s="94"/>
      <c r="FM77" s="94"/>
      <c r="FN77" s="94"/>
      <c r="FO77" s="94"/>
      <c r="FP77" s="94"/>
      <c r="FQ77" s="94" t="s">
        <v>26</v>
      </c>
      <c r="FR77" s="94"/>
      <c r="FS77" s="94"/>
      <c r="FT77" s="94"/>
      <c r="FU77" s="94"/>
      <c r="FV77" s="94"/>
      <c r="FW77" s="94"/>
      <c r="FX77" s="94" t="s">
        <v>41</v>
      </c>
      <c r="FY77" s="94"/>
      <c r="FZ77" s="94"/>
      <c r="GA77" s="94"/>
      <c r="GB77" s="94"/>
      <c r="GC77" s="94"/>
      <c r="GD77" s="94"/>
      <c r="GE77" s="94"/>
      <c r="GF77" s="94" t="s">
        <v>26</v>
      </c>
      <c r="GH77" s="94"/>
      <c r="GI77" s="94"/>
      <c r="GJ77" s="94"/>
      <c r="GK77" s="94"/>
      <c r="GL77" s="94"/>
      <c r="GM77" s="94"/>
      <c r="GN77" s="94" t="s">
        <v>41</v>
      </c>
      <c r="GO77" s="94"/>
      <c r="GP77" s="94"/>
      <c r="GQ77" s="94"/>
      <c r="GR77" s="94"/>
      <c r="GS77" s="94"/>
      <c r="GT77" s="94"/>
      <c r="GU77" s="94" t="s">
        <v>26</v>
      </c>
      <c r="GV77" s="94"/>
      <c r="GW77" s="94"/>
      <c r="GX77" s="94"/>
      <c r="GZ77" s="94"/>
      <c r="HA77" s="94" t="s">
        <v>41</v>
      </c>
      <c r="HB77" s="94"/>
      <c r="HC77" s="94"/>
      <c r="HD77" s="94"/>
      <c r="HE77" s="94"/>
      <c r="HF77" s="94"/>
      <c r="HG77" s="94"/>
      <c r="HH77" s="94"/>
      <c r="HI77" s="94"/>
      <c r="HJ77" s="94"/>
      <c r="HK77" s="94"/>
      <c r="HL77" s="94" t="s">
        <v>26</v>
      </c>
      <c r="HM77" s="94"/>
      <c r="HN77" s="94"/>
      <c r="HP77" s="94"/>
      <c r="HQ77" s="94"/>
      <c r="HR77" s="94" t="s">
        <v>41</v>
      </c>
      <c r="HS77" s="94"/>
      <c r="HT77" s="94"/>
      <c r="HU77" s="94"/>
      <c r="HV77" s="94"/>
      <c r="HW77" s="94"/>
      <c r="HX77" s="94"/>
      <c r="HY77" s="94"/>
      <c r="HZ77" s="94"/>
      <c r="IA77" s="94" t="s">
        <v>26</v>
      </c>
      <c r="IB77" s="94"/>
      <c r="IC77" s="94"/>
      <c r="IE77" s="94"/>
      <c r="IF77" s="94"/>
      <c r="IG77" s="94"/>
      <c r="IH77" s="94" t="s">
        <v>41</v>
      </c>
      <c r="II77" s="94"/>
      <c r="IJ77" s="94"/>
      <c r="IK77" s="94"/>
      <c r="IL77" s="94" t="s">
        <v>28</v>
      </c>
      <c r="IM77" s="94"/>
      <c r="IN77" s="94"/>
      <c r="IO77" s="94"/>
      <c r="IP77" s="94"/>
      <c r="IQ77" s="94"/>
      <c r="IR77" s="94"/>
      <c r="IT77" s="94"/>
      <c r="IU77" s="94"/>
      <c r="IV77" s="94" t="s">
        <v>27</v>
      </c>
      <c r="IW77" s="94"/>
      <c r="IX77" s="94" t="s">
        <v>26</v>
      </c>
      <c r="IY77" s="94"/>
      <c r="IZ77" s="94"/>
      <c r="JA77" s="94"/>
      <c r="JB77" s="94"/>
      <c r="JC77" s="94"/>
      <c r="JD77" s="94"/>
      <c r="JE77" s="94"/>
      <c r="JF77" s="94" t="s">
        <v>26</v>
      </c>
      <c r="JG77" s="94"/>
      <c r="JI77" s="94"/>
      <c r="JJ77" s="94"/>
      <c r="JK77" s="94" t="s">
        <v>41</v>
      </c>
      <c r="JL77" s="94"/>
      <c r="JM77" s="94"/>
      <c r="JN77" s="94"/>
      <c r="JO77" s="94"/>
      <c r="JP77" s="94"/>
      <c r="JQ77" s="94"/>
      <c r="JR77" s="94"/>
      <c r="JS77" s="94"/>
      <c r="JT77" s="94"/>
      <c r="JU77" s="94" t="s">
        <v>26</v>
      </c>
      <c r="JV77" s="94"/>
      <c r="JX77" s="94"/>
      <c r="JY77" s="94"/>
      <c r="JZ77" s="94" t="s">
        <v>41</v>
      </c>
      <c r="KA77" s="94"/>
      <c r="KB77" s="94"/>
      <c r="KC77" s="94"/>
      <c r="KD77" s="94"/>
      <c r="KE77" s="94"/>
      <c r="KF77" s="94"/>
      <c r="KG77" s="94"/>
      <c r="KH77" s="94"/>
      <c r="KI77" s="94"/>
      <c r="KJ77" s="94" t="s">
        <v>26</v>
      </c>
      <c r="KK77" s="94"/>
      <c r="KM77" s="94"/>
      <c r="KN77" s="94"/>
      <c r="KO77" s="94" t="s">
        <v>41</v>
      </c>
      <c r="KP77" s="94"/>
      <c r="KQ77" s="94"/>
      <c r="KR77" s="94"/>
      <c r="KS77" s="94"/>
      <c r="KT77" s="94"/>
      <c r="KU77" s="94"/>
      <c r="KV77" s="94"/>
      <c r="KW77" s="94"/>
      <c r="KX77" s="94"/>
      <c r="KY77" s="94" t="s">
        <v>26</v>
      </c>
      <c r="KZ77" s="94"/>
      <c r="LB77" s="94"/>
      <c r="LC77" s="94"/>
      <c r="LD77" s="94" t="s">
        <v>41</v>
      </c>
      <c r="LE77" s="94"/>
      <c r="LF77" s="94"/>
      <c r="LG77" s="94"/>
      <c r="LH77" s="94"/>
      <c r="LI77" s="94"/>
      <c r="LJ77" s="94"/>
      <c r="LK77" s="94"/>
      <c r="LL77" s="94"/>
      <c r="LM77" s="94"/>
      <c r="LN77" s="94" t="s">
        <v>26</v>
      </c>
      <c r="LO77" s="94"/>
      <c r="LQ77" s="94"/>
      <c r="LR77" s="94"/>
      <c r="LS77" s="94" t="s">
        <v>41</v>
      </c>
      <c r="LT77" s="94"/>
      <c r="LU77" s="94"/>
      <c r="LV77" s="94"/>
      <c r="LW77" s="94"/>
      <c r="LX77" s="94"/>
      <c r="LY77" s="94"/>
      <c r="LZ77" s="94"/>
      <c r="MA77" s="94"/>
      <c r="MB77" s="94"/>
    </row>
    <row r="78" spans="1:342" s="50" customFormat="1" ht="31.5" hidden="1" customHeight="1" thickBot="1">
      <c r="A78" s="44">
        <v>1</v>
      </c>
      <c r="B78" s="107" t="s">
        <v>131</v>
      </c>
      <c r="C78" s="46" t="s">
        <v>135</v>
      </c>
      <c r="D78" s="105" t="s">
        <v>35</v>
      </c>
      <c r="E78" s="117" t="s">
        <v>36</v>
      </c>
      <c r="F78" s="106" t="s">
        <v>24</v>
      </c>
      <c r="G78" s="147"/>
      <c r="H78" s="132"/>
      <c r="I78" s="132" t="s">
        <v>28</v>
      </c>
      <c r="J78" s="132"/>
      <c r="K78" s="132"/>
      <c r="L78" s="132"/>
      <c r="M78" s="132"/>
      <c r="N78" s="132"/>
      <c r="O78" s="132"/>
      <c r="P78" s="132" t="s">
        <v>41</v>
      </c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44"/>
      <c r="AD78" s="132" t="s">
        <v>26</v>
      </c>
      <c r="AE78" s="132"/>
      <c r="AF78" s="132"/>
      <c r="AG78" s="132"/>
      <c r="AH78" s="132"/>
      <c r="AI78" s="132" t="s">
        <v>41</v>
      </c>
      <c r="AJ78" s="132"/>
      <c r="AK78" s="132"/>
      <c r="AL78" s="132"/>
      <c r="AM78" s="132"/>
      <c r="AN78" s="132" t="s">
        <v>26</v>
      </c>
      <c r="AO78" s="132"/>
      <c r="AP78" s="132"/>
      <c r="AQ78" s="132" t="s">
        <v>26</v>
      </c>
      <c r="AR78" s="132"/>
      <c r="AS78" s="132"/>
      <c r="AT78" s="132"/>
      <c r="AU78" s="132"/>
      <c r="AV78" s="132" t="s">
        <v>41</v>
      </c>
      <c r="AW78" s="132"/>
      <c r="AX78" s="132"/>
      <c r="AY78" s="132"/>
      <c r="AZ78" s="132"/>
      <c r="BA78" s="132"/>
      <c r="BB78" s="132"/>
      <c r="BC78" s="132" t="s">
        <v>26</v>
      </c>
      <c r="BD78" s="132"/>
      <c r="BE78" s="132"/>
      <c r="BF78" s="132"/>
      <c r="BG78" s="132"/>
      <c r="BH78" s="132" t="s">
        <v>41</v>
      </c>
      <c r="BI78" s="132"/>
      <c r="BJ78" s="132"/>
      <c r="BK78" s="132"/>
      <c r="BL78" s="132"/>
      <c r="BM78" s="132"/>
      <c r="BN78" s="132"/>
      <c r="BO78" s="132"/>
      <c r="BP78" s="132"/>
      <c r="BQ78" s="132"/>
      <c r="BR78" s="132"/>
      <c r="BS78" s="132"/>
      <c r="BT78" s="132"/>
      <c r="BU78" s="132"/>
      <c r="BV78" s="132"/>
      <c r="BW78" s="132"/>
      <c r="BX78" s="132"/>
      <c r="BY78" s="132" t="s">
        <v>26</v>
      </c>
      <c r="BZ78" s="132"/>
      <c r="CA78" s="132"/>
      <c r="CB78" s="132"/>
      <c r="CC78" s="132"/>
      <c r="CD78" s="132"/>
      <c r="CE78" s="132" t="s">
        <v>41</v>
      </c>
      <c r="CF78" s="132"/>
      <c r="CG78" s="132"/>
      <c r="CH78" s="132"/>
      <c r="CI78" s="132"/>
      <c r="CJ78" s="132"/>
      <c r="CK78" s="132"/>
      <c r="CL78" s="132"/>
      <c r="CM78" s="132" t="s">
        <v>28</v>
      </c>
      <c r="CN78" s="132" t="s">
        <v>28</v>
      </c>
      <c r="CO78" s="132" t="s">
        <v>26</v>
      </c>
      <c r="CP78" s="132"/>
      <c r="CQ78" s="132"/>
      <c r="CR78" s="132"/>
      <c r="CS78" s="132"/>
      <c r="CT78" s="132" t="s">
        <v>41</v>
      </c>
      <c r="CU78" s="132"/>
      <c r="CV78" s="132"/>
      <c r="CW78" s="132"/>
      <c r="CX78" s="132"/>
      <c r="CY78" s="132"/>
      <c r="CZ78" s="132" t="s">
        <v>26</v>
      </c>
      <c r="DA78" s="132"/>
      <c r="DB78" s="132"/>
      <c r="DC78" s="132"/>
      <c r="DD78" s="132"/>
      <c r="DE78" s="132"/>
      <c r="DF78" s="132" t="s">
        <v>41</v>
      </c>
      <c r="DG78" s="132"/>
      <c r="DH78" s="132"/>
      <c r="DI78" s="132"/>
      <c r="DJ78" s="132"/>
      <c r="DK78" s="132"/>
      <c r="DL78" s="132"/>
      <c r="DM78" s="132"/>
      <c r="DN78" s="132"/>
      <c r="DO78" s="132"/>
      <c r="DP78" s="132"/>
      <c r="DQ78" s="132" t="s">
        <v>28</v>
      </c>
      <c r="DR78" s="132" t="s">
        <v>26</v>
      </c>
      <c r="DS78" s="132"/>
      <c r="DT78" s="132"/>
      <c r="DU78" s="132"/>
      <c r="DV78" s="132"/>
      <c r="DW78" s="132"/>
      <c r="DX78" s="132"/>
      <c r="DY78" s="132" t="s">
        <v>41</v>
      </c>
      <c r="DZ78" s="132"/>
      <c r="EA78" s="132"/>
      <c r="EB78" s="132"/>
      <c r="EC78" s="132"/>
      <c r="ED78" s="132"/>
      <c r="EE78" s="132"/>
      <c r="EF78" s="132"/>
      <c r="EG78" s="132"/>
      <c r="EH78" s="132"/>
      <c r="EI78" s="132"/>
      <c r="EJ78" s="132"/>
      <c r="EK78" s="132"/>
      <c r="EL78" s="132"/>
      <c r="EM78" s="132"/>
      <c r="EN78" s="132" t="s">
        <v>26</v>
      </c>
      <c r="EO78" s="132"/>
      <c r="EP78" s="132"/>
      <c r="EQ78" s="132"/>
      <c r="ER78" s="132"/>
      <c r="ES78" s="132"/>
      <c r="ET78" s="132" t="s">
        <v>41</v>
      </c>
      <c r="EU78" s="132"/>
      <c r="EV78" s="132"/>
      <c r="EW78" s="132"/>
      <c r="EX78" s="132"/>
      <c r="EY78" s="132"/>
      <c r="EZ78" s="132"/>
      <c r="FA78" s="132"/>
      <c r="FB78" s="132"/>
      <c r="FC78" s="132"/>
      <c r="FD78" s="132"/>
      <c r="FE78" s="132"/>
      <c r="FF78" s="132"/>
      <c r="FG78" s="132"/>
      <c r="FH78" s="132" t="s">
        <v>26</v>
      </c>
      <c r="FI78" s="132"/>
      <c r="FJ78" s="132"/>
      <c r="FK78" s="132"/>
      <c r="FL78" s="132"/>
      <c r="FM78" s="132"/>
      <c r="FN78" s="132"/>
      <c r="FO78" s="132" t="s">
        <v>41</v>
      </c>
      <c r="FP78" s="132"/>
      <c r="FQ78" s="132"/>
      <c r="FR78" s="132"/>
      <c r="FS78" s="132"/>
      <c r="FT78" s="132"/>
      <c r="FU78" s="132"/>
      <c r="FV78" s="132"/>
      <c r="FW78" s="132"/>
      <c r="FX78" s="132"/>
      <c r="FZ78" s="132"/>
      <c r="GA78" s="132"/>
      <c r="GB78" s="132"/>
      <c r="GC78" s="132"/>
      <c r="GD78" s="132"/>
      <c r="GE78" s="132"/>
      <c r="GF78" s="132"/>
      <c r="GG78" s="132"/>
      <c r="GH78" s="132" t="s">
        <v>26</v>
      </c>
      <c r="GI78" s="132"/>
      <c r="GJ78" s="132"/>
      <c r="GK78" s="132" t="s">
        <v>41</v>
      </c>
      <c r="GL78" s="132"/>
      <c r="GM78" s="132"/>
      <c r="GN78" s="132"/>
      <c r="GO78" s="132"/>
      <c r="GP78" s="132"/>
      <c r="GQ78" s="132"/>
      <c r="GR78" s="132"/>
      <c r="GS78" s="132"/>
      <c r="GT78" s="132"/>
      <c r="GU78" s="132"/>
      <c r="GV78" s="132"/>
      <c r="GW78" s="132"/>
      <c r="GX78" s="132"/>
      <c r="GY78" s="132" t="s">
        <v>27</v>
      </c>
      <c r="GZ78" s="132"/>
      <c r="HA78" s="132" t="s">
        <v>26</v>
      </c>
      <c r="HB78" s="132"/>
      <c r="HC78" s="132"/>
      <c r="HD78" s="132"/>
      <c r="HE78" s="132"/>
      <c r="HF78" s="132"/>
      <c r="HG78" s="132" t="s">
        <v>41</v>
      </c>
      <c r="HH78" s="132"/>
      <c r="HI78" s="132"/>
      <c r="HJ78" s="132"/>
      <c r="HK78" s="132"/>
      <c r="HL78" s="132"/>
      <c r="HM78" s="132"/>
      <c r="HN78" s="132"/>
      <c r="HO78" s="132"/>
      <c r="HP78" s="132"/>
      <c r="HQ78" s="132"/>
      <c r="HR78" s="132"/>
      <c r="HS78" s="132"/>
      <c r="HT78" s="132"/>
      <c r="HU78" s="132"/>
      <c r="HV78" s="132"/>
      <c r="HW78" s="132"/>
      <c r="HX78" s="132"/>
      <c r="HY78" s="132" t="s">
        <v>26</v>
      </c>
      <c r="HZ78" s="132"/>
      <c r="IA78" s="132"/>
      <c r="IB78" s="132"/>
      <c r="IC78" s="132" t="s">
        <v>41</v>
      </c>
      <c r="ID78" s="132"/>
      <c r="IE78" s="132"/>
      <c r="IF78" s="132"/>
      <c r="IG78" s="132"/>
      <c r="IH78" s="132"/>
      <c r="II78" s="132"/>
      <c r="IJ78" s="132"/>
      <c r="IK78" s="132"/>
      <c r="IL78" s="132"/>
      <c r="IM78" s="132"/>
      <c r="IN78" s="132"/>
      <c r="IO78" s="132"/>
      <c r="IP78" s="132"/>
      <c r="IQ78" s="132"/>
      <c r="IR78" s="132"/>
      <c r="IS78" s="132"/>
      <c r="IT78" s="132"/>
      <c r="IU78" s="132" t="s">
        <v>27</v>
      </c>
      <c r="IV78" s="132"/>
      <c r="IW78" s="132" t="s">
        <v>26</v>
      </c>
      <c r="IX78" s="132"/>
      <c r="IY78" s="132"/>
      <c r="IZ78" s="132" t="s">
        <v>41</v>
      </c>
      <c r="JA78" s="132"/>
      <c r="JB78" s="132"/>
      <c r="JC78" s="132"/>
      <c r="JD78" s="132"/>
      <c r="JE78" s="132"/>
      <c r="JF78" s="132"/>
      <c r="JG78" s="132" t="s">
        <v>26</v>
      </c>
      <c r="JH78" s="132"/>
      <c r="JI78" s="132"/>
      <c r="JJ78" s="132"/>
      <c r="JK78" s="132"/>
      <c r="JL78" s="132"/>
      <c r="JM78" s="132" t="s">
        <v>41</v>
      </c>
      <c r="JN78" s="132"/>
      <c r="JO78" s="132"/>
      <c r="JP78" s="132"/>
      <c r="JQ78" s="132"/>
      <c r="JR78" s="132"/>
      <c r="JS78" s="132"/>
      <c r="JT78" s="132"/>
      <c r="JU78" s="132"/>
      <c r="JV78" s="132" t="s">
        <v>26</v>
      </c>
      <c r="JW78" s="132"/>
      <c r="JX78" s="132"/>
      <c r="JY78" s="132"/>
      <c r="JZ78" s="132"/>
      <c r="KA78" s="132"/>
      <c r="KB78" s="132" t="s">
        <v>41</v>
      </c>
      <c r="KC78" s="132"/>
      <c r="KD78" s="132"/>
      <c r="KE78" s="132"/>
      <c r="KF78" s="132"/>
      <c r="KG78" s="132"/>
      <c r="KH78" s="132"/>
      <c r="KI78" s="132"/>
      <c r="KJ78" s="132"/>
      <c r="KK78" s="132" t="s">
        <v>26</v>
      </c>
      <c r="KL78" s="132"/>
      <c r="KM78" s="132"/>
      <c r="KN78" s="132"/>
      <c r="KO78" s="132"/>
      <c r="KP78" s="132"/>
      <c r="KQ78" s="132" t="s">
        <v>41</v>
      </c>
      <c r="KR78" s="132"/>
      <c r="KS78" s="132"/>
      <c r="KT78" s="132"/>
      <c r="KU78" s="132"/>
      <c r="KV78" s="132"/>
      <c r="KW78" s="132"/>
      <c r="KX78" s="132"/>
      <c r="KY78" s="132"/>
      <c r="KZ78" s="132" t="s">
        <v>26</v>
      </c>
      <c r="LA78" s="132"/>
      <c r="LB78" s="132"/>
      <c r="LC78" s="132"/>
      <c r="LD78" s="132"/>
      <c r="LE78" s="132"/>
      <c r="LF78" s="132" t="s">
        <v>41</v>
      </c>
      <c r="LG78" s="132"/>
      <c r="LH78" s="132"/>
      <c r="LI78" s="132"/>
      <c r="LJ78" s="132"/>
      <c r="LK78" s="132"/>
      <c r="LL78" s="132"/>
      <c r="LM78" s="132"/>
      <c r="LN78" s="132"/>
      <c r="LO78" s="132" t="s">
        <v>26</v>
      </c>
      <c r="LP78" s="132"/>
      <c r="LQ78" s="132"/>
      <c r="LR78" s="132"/>
      <c r="LS78" s="132"/>
      <c r="LT78" s="132"/>
      <c r="LU78" s="132" t="s">
        <v>41</v>
      </c>
      <c r="LV78" s="132"/>
      <c r="LW78" s="132"/>
      <c r="LX78" s="132"/>
      <c r="LY78" s="132"/>
      <c r="LZ78" s="132"/>
      <c r="MA78" s="132"/>
      <c r="MB78" s="132"/>
      <c r="MD78" s="50" t="s">
        <v>26</v>
      </c>
    </row>
    <row r="79" spans="1:342" s="50" customFormat="1" ht="31.5" hidden="1" customHeight="1">
      <c r="A79" s="44">
        <v>1</v>
      </c>
      <c r="B79" s="107" t="s">
        <v>131</v>
      </c>
      <c r="C79" s="46" t="s">
        <v>136</v>
      </c>
      <c r="D79" s="105" t="s">
        <v>35</v>
      </c>
      <c r="E79" s="117" t="s">
        <v>36</v>
      </c>
      <c r="F79" s="106" t="s">
        <v>24</v>
      </c>
      <c r="G79" s="147"/>
      <c r="H79" s="132" t="s">
        <v>26</v>
      </c>
      <c r="I79" s="132"/>
      <c r="J79" s="132"/>
      <c r="K79" s="132"/>
      <c r="L79" s="132" t="s">
        <v>41</v>
      </c>
      <c r="M79" s="132"/>
      <c r="N79" s="132"/>
      <c r="O79" s="132"/>
      <c r="P79" s="132"/>
      <c r="Q79" s="132"/>
      <c r="R79" s="132"/>
      <c r="S79" s="132"/>
      <c r="T79" s="132" t="s">
        <v>27</v>
      </c>
      <c r="U79" s="132"/>
      <c r="V79" s="132"/>
      <c r="W79" s="132"/>
      <c r="X79" s="132" t="s">
        <v>26</v>
      </c>
      <c r="Y79" s="132"/>
      <c r="Z79" s="132"/>
      <c r="AA79" s="132"/>
      <c r="AB79" s="132"/>
      <c r="AC79" s="132" t="s">
        <v>41</v>
      </c>
      <c r="AD79" s="132"/>
      <c r="AE79" s="132"/>
      <c r="AF79" s="132"/>
      <c r="AG79" s="132"/>
      <c r="AH79" s="132"/>
      <c r="AI79" s="132"/>
      <c r="AJ79" s="132" t="s">
        <v>27</v>
      </c>
      <c r="AK79" s="132"/>
      <c r="AL79" s="132"/>
      <c r="AM79" s="132" t="s">
        <v>26</v>
      </c>
      <c r="AN79" s="132"/>
      <c r="AO79" s="132"/>
      <c r="AP79" s="132" t="s">
        <v>41</v>
      </c>
      <c r="AQ79" s="132"/>
      <c r="AR79" s="132"/>
      <c r="AS79" s="132"/>
      <c r="AT79" s="132"/>
      <c r="AU79" s="132"/>
      <c r="AV79" s="132" t="s">
        <v>28</v>
      </c>
      <c r="AW79" s="132" t="s">
        <v>28</v>
      </c>
      <c r="AX79" s="132"/>
      <c r="AY79" s="132"/>
      <c r="AZ79" s="132"/>
      <c r="BA79" s="132"/>
      <c r="BB79" s="132"/>
      <c r="BC79" s="132"/>
      <c r="BD79" s="132"/>
      <c r="BE79" s="132"/>
      <c r="BF79" s="132" t="s">
        <v>27</v>
      </c>
      <c r="BG79" s="132"/>
      <c r="BH79" s="132"/>
      <c r="BI79" s="132" t="s">
        <v>26</v>
      </c>
      <c r="BJ79" s="132"/>
      <c r="BK79" s="132"/>
      <c r="BL79" s="132"/>
      <c r="BM79" s="132" t="s">
        <v>41</v>
      </c>
      <c r="BN79" s="132"/>
      <c r="BO79" s="132"/>
      <c r="BP79" s="132"/>
      <c r="BQ79" s="132"/>
      <c r="BR79" s="132"/>
      <c r="BS79" s="132"/>
      <c r="BT79" s="132" t="s">
        <v>27</v>
      </c>
      <c r="BU79" s="132"/>
      <c r="BV79" s="132" t="s">
        <v>26</v>
      </c>
      <c r="BW79" s="132"/>
      <c r="BX79" s="132"/>
      <c r="BY79" s="132"/>
      <c r="BZ79" s="132" t="s">
        <v>41</v>
      </c>
      <c r="CA79" s="132"/>
      <c r="CB79" s="132"/>
      <c r="CC79" s="132"/>
      <c r="CD79" s="132"/>
      <c r="CE79" s="132"/>
      <c r="CF79" s="132"/>
      <c r="CG79" s="132"/>
      <c r="CH79" s="132"/>
      <c r="CI79" s="132" t="s">
        <v>27</v>
      </c>
      <c r="CJ79" s="132"/>
      <c r="CK79" s="132"/>
      <c r="CL79" s="132" t="s">
        <v>26</v>
      </c>
      <c r="CM79" s="132"/>
      <c r="CN79" s="132"/>
      <c r="CO79" s="132" t="s">
        <v>41</v>
      </c>
      <c r="CP79" s="132"/>
      <c r="CQ79" s="132"/>
      <c r="CR79" s="132"/>
      <c r="CS79" s="132"/>
      <c r="CT79" s="132"/>
      <c r="CU79" s="132"/>
      <c r="CV79" s="132"/>
      <c r="CW79" s="132" t="s">
        <v>27</v>
      </c>
      <c r="CX79" s="132" t="s">
        <v>26</v>
      </c>
      <c r="CY79" s="132"/>
      <c r="CZ79" s="132"/>
      <c r="DA79" s="132"/>
      <c r="DB79" s="132" t="s">
        <v>41</v>
      </c>
      <c r="DC79" s="132"/>
      <c r="DD79" s="132"/>
      <c r="DE79" s="132"/>
      <c r="DF79" s="132"/>
      <c r="DG79" s="132"/>
      <c r="DH79" s="132" t="s">
        <v>28</v>
      </c>
      <c r="DI79" s="132"/>
      <c r="DJ79" s="132"/>
      <c r="DK79" s="132"/>
      <c r="DL79" s="132"/>
      <c r="DM79" s="132"/>
      <c r="DN79" s="132"/>
      <c r="DO79" s="132"/>
      <c r="DP79" s="132" t="s">
        <v>27</v>
      </c>
      <c r="DQ79" s="132" t="s">
        <v>37</v>
      </c>
      <c r="DR79" s="131"/>
      <c r="DS79" s="131"/>
      <c r="DT79" s="131"/>
      <c r="DU79" s="131"/>
      <c r="DV79" s="131"/>
      <c r="DW79" s="131"/>
      <c r="DX79" s="131"/>
      <c r="DY79" s="131"/>
      <c r="DZ79" s="131"/>
      <c r="EA79" s="131"/>
      <c r="EB79" s="131"/>
      <c r="EC79" s="131"/>
      <c r="ED79" s="131"/>
      <c r="EE79" s="131"/>
      <c r="EF79" s="131"/>
      <c r="EG79" s="131"/>
      <c r="EH79" s="131"/>
      <c r="EI79" s="131"/>
      <c r="EJ79" s="131"/>
      <c r="EK79" s="131"/>
      <c r="EL79" s="131"/>
      <c r="EM79" s="131"/>
      <c r="EN79" s="131"/>
      <c r="EO79" s="131"/>
      <c r="EP79" s="131"/>
      <c r="EQ79" s="131"/>
      <c r="ER79" s="131"/>
      <c r="ES79" s="131"/>
      <c r="ET79" s="131"/>
      <c r="EU79" s="131"/>
      <c r="EV79" s="131"/>
      <c r="EW79" s="131"/>
      <c r="EX79" s="131"/>
      <c r="EY79" s="131"/>
      <c r="EZ79" s="131"/>
      <c r="FA79" s="131"/>
      <c r="FB79" s="142"/>
      <c r="FC79" s="131"/>
      <c r="FD79" s="94" t="s">
        <v>25</v>
      </c>
      <c r="FE79" s="94"/>
      <c r="FF79" s="94" t="s">
        <v>26</v>
      </c>
      <c r="FG79" s="93"/>
      <c r="FH79" s="94"/>
      <c r="FI79" s="94"/>
      <c r="FJ79" s="94"/>
      <c r="FK79" s="94" t="s">
        <v>41</v>
      </c>
      <c r="FL79" s="94"/>
      <c r="FM79" s="94"/>
      <c r="FN79" s="94"/>
      <c r="FO79" s="94"/>
      <c r="FP79" s="94"/>
      <c r="FQ79" s="94"/>
      <c r="FR79" s="94"/>
      <c r="FS79" s="94"/>
      <c r="FT79" s="94"/>
      <c r="FU79" s="94"/>
      <c r="FV79" s="94"/>
      <c r="FW79" s="94"/>
      <c r="FX79" s="93" t="s">
        <v>26</v>
      </c>
      <c r="FY79" s="132"/>
      <c r="FZ79" s="94"/>
      <c r="GA79" s="94"/>
      <c r="GB79" s="94"/>
      <c r="GC79" s="94"/>
      <c r="GD79" s="94" t="s">
        <v>42</v>
      </c>
      <c r="GE79" s="94" t="s">
        <v>41</v>
      </c>
      <c r="GF79" s="94"/>
      <c r="GG79" s="94"/>
      <c r="GH79" s="94"/>
      <c r="GI79" s="94"/>
      <c r="GJ79" s="94" t="s">
        <v>26</v>
      </c>
      <c r="GK79" s="94"/>
      <c r="GL79" s="94"/>
      <c r="GM79" s="94"/>
      <c r="GN79" s="94"/>
      <c r="GO79" s="94"/>
      <c r="GP79" s="94"/>
      <c r="GQ79" s="94" t="s">
        <v>41</v>
      </c>
      <c r="GR79" s="94"/>
      <c r="GS79" s="94"/>
      <c r="GT79" s="94"/>
      <c r="GU79" s="94"/>
      <c r="GV79" s="94"/>
      <c r="GW79" s="94"/>
      <c r="GX79" s="94"/>
      <c r="GY79" s="94"/>
      <c r="GZ79" s="94" t="s">
        <v>26</v>
      </c>
      <c r="HA79" s="94"/>
      <c r="HB79" s="94"/>
      <c r="HC79" s="94"/>
      <c r="HD79" s="94"/>
      <c r="HE79" s="94" t="s">
        <v>41</v>
      </c>
      <c r="HF79" s="94"/>
      <c r="HG79" s="94"/>
      <c r="HH79" s="94"/>
      <c r="HI79" s="94"/>
      <c r="HJ79" s="94"/>
      <c r="HK79" s="94"/>
      <c r="HL79" s="94"/>
      <c r="HM79" s="94"/>
      <c r="HN79" s="94"/>
      <c r="HO79" s="94" t="s">
        <v>26</v>
      </c>
      <c r="HP79" s="94"/>
      <c r="HQ79" s="93"/>
      <c r="HR79" s="94" t="s">
        <v>28</v>
      </c>
      <c r="HS79" s="94" t="s">
        <v>26</v>
      </c>
      <c r="HT79" s="94"/>
      <c r="HU79" s="94"/>
      <c r="HV79" s="94"/>
      <c r="HW79" s="94" t="s">
        <v>41</v>
      </c>
      <c r="HX79" s="94"/>
      <c r="HY79" s="94"/>
      <c r="HZ79" s="94"/>
      <c r="IA79" s="94"/>
      <c r="IB79" s="94"/>
      <c r="IC79" s="94"/>
      <c r="ID79" s="93"/>
      <c r="IE79" s="94"/>
      <c r="IF79" s="94"/>
      <c r="IG79" s="94"/>
      <c r="IH79" s="94"/>
      <c r="II79" s="94"/>
      <c r="IJ79" s="94"/>
      <c r="IK79" s="94"/>
      <c r="IL79" s="94"/>
      <c r="IM79" s="94"/>
      <c r="IN79" s="94"/>
      <c r="IO79" s="94"/>
      <c r="IP79" s="94"/>
      <c r="IQ79" s="93"/>
      <c r="IR79" s="94" t="s">
        <v>27</v>
      </c>
      <c r="IS79" s="94"/>
      <c r="IT79" s="94"/>
      <c r="IU79" s="94" t="s">
        <v>26</v>
      </c>
      <c r="IV79" s="94"/>
      <c r="IW79" s="94"/>
      <c r="IX79" s="94"/>
      <c r="IY79" s="94"/>
      <c r="IZ79" s="94"/>
      <c r="JA79" s="94" t="s">
        <v>41</v>
      </c>
      <c r="JB79" s="94"/>
      <c r="JC79" s="94"/>
      <c r="JD79" s="93"/>
      <c r="JE79" s="94"/>
      <c r="JF79" s="94"/>
      <c r="JG79" s="94"/>
      <c r="JH79" s="94"/>
      <c r="JI79" s="94" t="s">
        <v>26</v>
      </c>
      <c r="JJ79" s="94"/>
      <c r="JK79" s="94"/>
      <c r="JL79" s="94"/>
      <c r="JM79" s="94"/>
      <c r="JN79" s="94" t="s">
        <v>41</v>
      </c>
      <c r="JO79" s="94"/>
      <c r="JP79" s="94"/>
      <c r="JQ79" s="93"/>
      <c r="JR79" s="94"/>
      <c r="JS79" s="94"/>
      <c r="JT79" s="94"/>
      <c r="JU79" s="94"/>
      <c r="JV79" s="94" t="s">
        <v>26</v>
      </c>
      <c r="JW79" s="94"/>
      <c r="JX79" s="94"/>
      <c r="JY79" s="94"/>
      <c r="JZ79" s="94"/>
      <c r="KA79" s="94" t="s">
        <v>41</v>
      </c>
      <c r="KB79" s="94"/>
      <c r="KC79" s="94"/>
      <c r="KD79" s="93"/>
      <c r="KE79" s="94"/>
      <c r="KF79" s="94"/>
      <c r="KG79" s="94"/>
      <c r="KH79" s="94"/>
      <c r="KI79" s="94" t="s">
        <v>26</v>
      </c>
      <c r="KJ79" s="94"/>
      <c r="KK79" s="94"/>
      <c r="KL79" s="94"/>
      <c r="KM79" s="94"/>
      <c r="KN79" s="94" t="s">
        <v>41</v>
      </c>
      <c r="KO79" s="94"/>
      <c r="KP79" s="94"/>
      <c r="KQ79" s="93"/>
      <c r="KR79" s="94"/>
      <c r="KS79" s="94"/>
      <c r="KT79" s="94"/>
      <c r="KU79" s="94"/>
      <c r="KV79" s="94" t="s">
        <v>26</v>
      </c>
      <c r="KW79" s="94"/>
      <c r="KX79" s="94"/>
      <c r="KY79" s="94"/>
      <c r="KZ79" s="94"/>
      <c r="LA79" s="94" t="s">
        <v>41</v>
      </c>
      <c r="LB79" s="94"/>
      <c r="LC79" s="94"/>
      <c r="LD79" s="93"/>
      <c r="LE79" s="94"/>
      <c r="LF79" s="94"/>
      <c r="LG79" s="94"/>
      <c r="LH79" s="94"/>
      <c r="LI79" s="94" t="s">
        <v>26</v>
      </c>
      <c r="LJ79" s="94"/>
      <c r="LK79" s="94"/>
      <c r="LL79" s="94"/>
      <c r="LM79" s="94"/>
      <c r="LN79" s="94" t="s">
        <v>41</v>
      </c>
      <c r="LO79" s="94"/>
      <c r="LP79" s="94"/>
      <c r="LQ79" s="93"/>
      <c r="LR79" s="94"/>
      <c r="LS79" s="94"/>
      <c r="LT79" s="94"/>
      <c r="LU79" s="94"/>
      <c r="LV79" s="94" t="s">
        <v>26</v>
      </c>
      <c r="LW79" s="94"/>
      <c r="LX79" s="94"/>
      <c r="LY79" s="94"/>
      <c r="LZ79" s="94"/>
      <c r="MA79" s="94" t="s">
        <v>41</v>
      </c>
      <c r="MB79" s="94"/>
    </row>
    <row r="80" spans="1:342" s="50" customFormat="1" ht="31.5" customHeight="1" thickBot="1">
      <c r="A80" s="44">
        <v>1</v>
      </c>
      <c r="B80" s="107" t="s">
        <v>137</v>
      </c>
      <c r="C80" s="46" t="s">
        <v>138</v>
      </c>
      <c r="D80" s="105" t="s">
        <v>22</v>
      </c>
      <c r="E80" s="117" t="s">
        <v>23</v>
      </c>
      <c r="F80" s="106" t="s">
        <v>24</v>
      </c>
      <c r="G80" s="147" t="s">
        <v>26</v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 t="s">
        <v>27</v>
      </c>
      <c r="V80" s="144"/>
      <c r="W80" s="132" t="s">
        <v>26</v>
      </c>
      <c r="X80" s="132"/>
      <c r="Y80" s="132"/>
      <c r="Z80" s="132"/>
      <c r="AA80" s="132"/>
      <c r="AB80" s="132"/>
      <c r="AC80" s="132"/>
      <c r="AD80" s="132"/>
      <c r="AE80" s="132"/>
      <c r="AF80" s="132"/>
      <c r="AG80" s="144"/>
      <c r="AH80" s="132"/>
      <c r="AI80" s="132"/>
      <c r="AJ80" s="132" t="s">
        <v>27</v>
      </c>
      <c r="AK80" s="132" t="s">
        <v>42</v>
      </c>
      <c r="AL80" s="132" t="s">
        <v>26</v>
      </c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44"/>
      <c r="AX80" s="132" t="s">
        <v>27</v>
      </c>
      <c r="AY80" s="144"/>
      <c r="AZ80" s="132" t="s">
        <v>26</v>
      </c>
      <c r="BA80" s="132"/>
      <c r="BB80" s="132"/>
      <c r="BC80" s="132"/>
      <c r="BD80" s="132"/>
      <c r="BE80" s="132"/>
      <c r="BF80" s="132"/>
      <c r="BG80" s="132"/>
      <c r="BH80" s="132"/>
      <c r="BI80" s="132"/>
      <c r="BJ80" s="132"/>
      <c r="BK80" s="132"/>
      <c r="BL80" s="132"/>
      <c r="BM80" s="132"/>
      <c r="BN80" s="132"/>
      <c r="BO80" s="132"/>
      <c r="BP80" s="132" t="s">
        <v>27</v>
      </c>
      <c r="BQ80" s="144"/>
      <c r="BR80" s="132"/>
      <c r="BS80" s="132"/>
      <c r="BT80" s="132" t="s">
        <v>26</v>
      </c>
      <c r="BU80" s="132"/>
      <c r="BV80" s="132"/>
      <c r="BW80" s="132"/>
      <c r="BX80" s="132"/>
      <c r="BY80" s="132"/>
      <c r="BZ80" s="132"/>
      <c r="CA80" s="132"/>
      <c r="CB80" s="132"/>
      <c r="CC80" s="132"/>
      <c r="CD80" s="132"/>
      <c r="CE80" s="132"/>
      <c r="CF80" s="132" t="s">
        <v>27</v>
      </c>
      <c r="CG80" s="144"/>
      <c r="CH80" s="132" t="s">
        <v>26</v>
      </c>
      <c r="CI80" s="132"/>
      <c r="CJ80" s="132"/>
      <c r="CK80" s="132"/>
      <c r="CL80" s="132"/>
      <c r="CM80" s="132"/>
      <c r="CN80" s="132"/>
      <c r="CO80" s="132"/>
      <c r="CP80" s="132"/>
      <c r="CQ80" s="132"/>
      <c r="CR80" s="132"/>
      <c r="CS80" s="132"/>
      <c r="CT80" s="132"/>
      <c r="CU80" s="132"/>
      <c r="CV80" s="132" t="s">
        <v>27</v>
      </c>
      <c r="CW80" s="94"/>
      <c r="CX80" s="94"/>
      <c r="CY80" s="132"/>
      <c r="CZ80" s="132" t="s">
        <v>26</v>
      </c>
      <c r="DA80" s="132"/>
      <c r="DB80" s="132"/>
      <c r="DC80" s="132"/>
      <c r="DD80" s="132"/>
      <c r="DE80" s="132"/>
      <c r="DF80" s="132"/>
      <c r="DG80" s="132"/>
      <c r="DH80" s="132"/>
      <c r="DI80" s="132"/>
      <c r="DJ80" s="132"/>
      <c r="DK80" s="132" t="s">
        <v>27</v>
      </c>
      <c r="DL80" s="132"/>
      <c r="DM80" s="132" t="s">
        <v>26</v>
      </c>
      <c r="DN80" s="132"/>
      <c r="DO80" s="132"/>
      <c r="DP80" s="132"/>
      <c r="DQ80" s="144"/>
      <c r="DR80" s="132"/>
      <c r="DS80" s="132"/>
      <c r="DT80" s="132"/>
      <c r="DU80" s="132"/>
      <c r="DV80" s="132"/>
      <c r="DW80" s="132"/>
      <c r="DX80" s="132"/>
      <c r="DY80" s="132"/>
      <c r="DZ80" s="132" t="s">
        <v>27</v>
      </c>
      <c r="EA80" s="132" t="s">
        <v>26</v>
      </c>
      <c r="EB80" s="132"/>
      <c r="EC80" s="132"/>
      <c r="ED80" s="132"/>
      <c r="EE80" s="132"/>
      <c r="EF80" s="132"/>
      <c r="EG80" s="144"/>
      <c r="EH80" s="132"/>
      <c r="EI80" s="132"/>
      <c r="EJ80" s="132"/>
      <c r="EK80" s="132"/>
      <c r="EL80" s="132"/>
      <c r="EM80" s="132"/>
      <c r="EN80" s="132"/>
      <c r="EO80" s="132"/>
      <c r="EP80" s="132"/>
      <c r="EQ80" s="132"/>
      <c r="ER80" s="132" t="s">
        <v>27</v>
      </c>
      <c r="ES80" s="132"/>
      <c r="ET80" s="132"/>
      <c r="EU80" s="132"/>
      <c r="EV80" s="132" t="s">
        <v>26</v>
      </c>
      <c r="EW80" s="132"/>
      <c r="EX80" s="132"/>
      <c r="EY80" s="144"/>
      <c r="EZ80" s="132"/>
      <c r="FA80" s="132"/>
      <c r="FB80" s="132"/>
      <c r="FC80" s="132"/>
      <c r="FD80" s="132"/>
      <c r="FE80" s="132"/>
      <c r="FF80" s="132"/>
      <c r="FG80" s="132" t="s">
        <v>27</v>
      </c>
      <c r="FH80" s="132"/>
      <c r="FI80" s="132" t="s">
        <v>26</v>
      </c>
      <c r="FJ80" s="132"/>
      <c r="FK80" s="132"/>
      <c r="FL80" s="132"/>
      <c r="FM80" s="132"/>
      <c r="FN80" s="132"/>
      <c r="FO80" s="132"/>
      <c r="FP80" s="132"/>
      <c r="FQ80" s="144"/>
      <c r="FR80" s="132"/>
      <c r="FS80" s="132"/>
      <c r="FT80" s="132"/>
      <c r="FU80" s="132" t="s">
        <v>27</v>
      </c>
      <c r="FV80" s="132"/>
      <c r="FW80" s="132" t="s">
        <v>26</v>
      </c>
      <c r="FX80" s="132"/>
      <c r="FY80" s="132"/>
      <c r="FZ80" s="132"/>
      <c r="GA80" s="132"/>
      <c r="GB80" s="132"/>
      <c r="GC80" s="132"/>
      <c r="GD80" s="132"/>
      <c r="GE80" s="132"/>
      <c r="GF80" s="132"/>
      <c r="GG80" s="132" t="s">
        <v>27</v>
      </c>
      <c r="GH80" s="132"/>
      <c r="GI80" s="132"/>
      <c r="GJ80" s="132" t="s">
        <v>26</v>
      </c>
      <c r="GK80" s="144"/>
      <c r="GL80" s="132"/>
      <c r="GM80" s="132"/>
      <c r="GN80" s="132"/>
      <c r="GO80" s="132"/>
      <c r="GP80" s="132"/>
      <c r="GQ80" s="132"/>
      <c r="GR80" s="132"/>
      <c r="GS80" s="132"/>
      <c r="GT80" s="132"/>
      <c r="GU80" s="132" t="s">
        <v>27</v>
      </c>
      <c r="GV80" s="144"/>
      <c r="GW80" s="144"/>
      <c r="GX80" s="144"/>
      <c r="GY80" s="132"/>
      <c r="GZ80" s="93"/>
      <c r="HA80" s="93"/>
      <c r="HB80" s="132"/>
      <c r="HC80" s="132"/>
      <c r="HD80" s="132"/>
      <c r="HE80" s="132" t="s">
        <v>26</v>
      </c>
      <c r="HF80" s="132"/>
      <c r="HG80" s="132"/>
      <c r="HH80" s="132"/>
      <c r="HI80" s="132"/>
      <c r="HJ80" s="132"/>
      <c r="HK80" s="132"/>
      <c r="HL80" s="132"/>
      <c r="HM80" s="132"/>
      <c r="HN80" s="132"/>
      <c r="HO80" s="132"/>
      <c r="HP80" s="132" t="s">
        <v>27</v>
      </c>
      <c r="HQ80" s="132" t="s">
        <v>26</v>
      </c>
      <c r="HR80" s="132"/>
      <c r="HS80" s="132"/>
      <c r="HT80" s="132"/>
      <c r="HU80" s="132"/>
      <c r="HV80" s="132"/>
      <c r="HW80" s="132"/>
      <c r="HX80" s="132"/>
      <c r="HY80" s="132"/>
      <c r="HZ80" s="132" t="s">
        <v>27</v>
      </c>
      <c r="IA80" s="132" t="s">
        <v>26</v>
      </c>
      <c r="IB80" s="132"/>
      <c r="IC80" s="132"/>
      <c r="ID80" s="132"/>
      <c r="IE80" s="132"/>
      <c r="IF80" s="132"/>
      <c r="IG80" s="132"/>
      <c r="IH80" s="132"/>
      <c r="II80" s="132"/>
      <c r="IJ80" s="132"/>
      <c r="IK80" s="132"/>
      <c r="IL80" s="132"/>
      <c r="IM80" s="132" t="s">
        <v>27</v>
      </c>
      <c r="IN80" s="144"/>
      <c r="IO80" s="132"/>
      <c r="IP80" s="132" t="s">
        <v>26</v>
      </c>
      <c r="IQ80" s="132"/>
      <c r="IR80" s="132"/>
      <c r="IS80" s="132"/>
      <c r="IT80" s="132"/>
      <c r="IU80" s="132"/>
      <c r="IV80" s="132"/>
      <c r="IW80" s="132"/>
      <c r="IX80" s="132"/>
      <c r="IY80" s="132" t="s">
        <v>27</v>
      </c>
      <c r="IZ80" s="144"/>
      <c r="JA80" s="132" t="s">
        <v>26</v>
      </c>
      <c r="JB80" s="132"/>
      <c r="JC80" s="132"/>
      <c r="JD80" s="132"/>
      <c r="JE80" s="132"/>
      <c r="JF80" s="132"/>
      <c r="JG80" s="132"/>
      <c r="JH80" s="132"/>
      <c r="JI80" s="132"/>
      <c r="JJ80" s="132"/>
      <c r="JK80" s="132" t="s">
        <v>27</v>
      </c>
      <c r="JL80" s="144"/>
      <c r="JM80" s="132" t="s">
        <v>26</v>
      </c>
      <c r="JN80" s="132"/>
      <c r="JO80" s="132"/>
      <c r="JP80" s="132"/>
      <c r="JQ80" s="132"/>
      <c r="JR80" s="132"/>
      <c r="JS80" s="132"/>
      <c r="JT80" s="132"/>
      <c r="JU80" s="132"/>
      <c r="JV80" s="132"/>
      <c r="JW80" s="132" t="s">
        <v>27</v>
      </c>
      <c r="JX80" s="144"/>
      <c r="JY80" s="132" t="s">
        <v>26</v>
      </c>
      <c r="JZ80" s="132"/>
      <c r="KA80" s="132"/>
      <c r="KB80" s="132"/>
      <c r="KC80" s="132"/>
      <c r="KD80" s="132"/>
      <c r="KE80" s="132"/>
      <c r="KF80" s="132"/>
      <c r="KG80" s="132"/>
      <c r="KH80" s="132"/>
      <c r="KI80" s="132" t="s">
        <v>27</v>
      </c>
      <c r="KJ80" s="144"/>
      <c r="KK80" s="132" t="s">
        <v>26</v>
      </c>
      <c r="KL80" s="132"/>
      <c r="KM80" s="132"/>
      <c r="KN80" s="132"/>
      <c r="KO80" s="132"/>
      <c r="KP80" s="132"/>
      <c r="KQ80" s="132"/>
      <c r="KR80" s="132"/>
      <c r="KS80" s="132"/>
      <c r="KT80" s="132"/>
      <c r="KU80" s="132" t="s">
        <v>27</v>
      </c>
      <c r="KV80" s="144"/>
      <c r="KW80" s="132" t="s">
        <v>26</v>
      </c>
      <c r="KX80" s="132"/>
      <c r="KY80" s="132"/>
      <c r="KZ80" s="132"/>
      <c r="LA80" s="132"/>
      <c r="LB80" s="132"/>
      <c r="LC80" s="132"/>
      <c r="LD80" s="132"/>
      <c r="LE80" s="132"/>
      <c r="LF80" s="132"/>
      <c r="LG80" s="132" t="s">
        <v>27</v>
      </c>
      <c r="LH80" s="144"/>
      <c r="LI80" s="132" t="s">
        <v>26</v>
      </c>
      <c r="LJ80" s="132"/>
      <c r="LK80" s="132"/>
      <c r="LL80" s="132"/>
      <c r="LM80" s="132"/>
      <c r="LN80" s="132"/>
      <c r="LO80" s="132"/>
      <c r="LP80" s="132"/>
      <c r="LQ80" s="132"/>
      <c r="LR80" s="132"/>
      <c r="LS80" s="132" t="s">
        <v>27</v>
      </c>
      <c r="LT80" s="144"/>
      <c r="LU80" s="132" t="s">
        <v>26</v>
      </c>
      <c r="LV80" s="132"/>
      <c r="LW80" s="132"/>
      <c r="LX80" s="132"/>
      <c r="LY80" s="132"/>
      <c r="LZ80" s="132"/>
      <c r="MA80" s="132"/>
      <c r="MB80" s="132"/>
    </row>
    <row r="81" spans="1:340" s="50" customFormat="1" ht="31.5" hidden="1" customHeight="1" thickBot="1">
      <c r="A81" s="44">
        <v>1</v>
      </c>
      <c r="B81" s="173" t="s">
        <v>139</v>
      </c>
      <c r="C81" s="89" t="s">
        <v>140</v>
      </c>
      <c r="D81" s="91" t="s">
        <v>35</v>
      </c>
      <c r="E81" s="116" t="s">
        <v>36</v>
      </c>
      <c r="F81" s="92" t="s">
        <v>24</v>
      </c>
      <c r="G81" s="145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6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131"/>
      <c r="BQ81" s="131"/>
      <c r="BR81" s="131"/>
      <c r="BS81" s="131"/>
      <c r="BT81" s="131"/>
      <c r="BU81" s="131"/>
      <c r="BV81" s="131"/>
      <c r="BW81" s="131"/>
      <c r="BX81" s="131"/>
      <c r="BY81" s="131"/>
      <c r="BZ81" s="131"/>
      <c r="CA81" s="131"/>
      <c r="CB81" s="131"/>
      <c r="CC81" s="131"/>
      <c r="CD81" s="131"/>
      <c r="CE81" s="131"/>
      <c r="CF81" s="131"/>
      <c r="CG81" s="131"/>
      <c r="CH81" s="131"/>
      <c r="CI81" s="131"/>
      <c r="CJ81" s="131"/>
      <c r="CK81" s="131"/>
      <c r="CL81" s="131"/>
      <c r="CM81" s="131"/>
      <c r="CN81" s="131"/>
      <c r="CO81" s="131"/>
      <c r="CP81" s="131"/>
      <c r="CQ81" s="131"/>
      <c r="CR81" s="131"/>
      <c r="CS81" s="131"/>
      <c r="CT81" s="131"/>
      <c r="CU81" s="131"/>
      <c r="CV81" s="131"/>
      <c r="CW81" s="131"/>
      <c r="CX81" s="131"/>
      <c r="CY81" s="131"/>
      <c r="CZ81" s="131"/>
      <c r="DA81" s="131"/>
      <c r="DB81" s="131"/>
      <c r="DC81" s="131"/>
      <c r="DD81" s="131"/>
      <c r="DE81" s="131"/>
      <c r="DF81" s="131"/>
      <c r="DG81" s="131"/>
      <c r="DH81" s="131"/>
      <c r="DI81" s="131"/>
      <c r="DJ81" s="131"/>
      <c r="DK81" s="131"/>
      <c r="DL81" s="131"/>
      <c r="DM81" s="131"/>
      <c r="DN81" s="131"/>
      <c r="DO81" s="131"/>
      <c r="DP81" s="131"/>
      <c r="DQ81" s="131"/>
      <c r="DR81" s="131"/>
      <c r="DS81" s="131"/>
      <c r="DT81" s="131"/>
      <c r="DU81" s="131"/>
      <c r="DV81" s="131"/>
      <c r="DW81" s="131"/>
      <c r="DX81" s="131"/>
      <c r="DY81" s="131"/>
      <c r="DZ81" s="131"/>
      <c r="EA81" s="131"/>
      <c r="EB81" s="131"/>
      <c r="EC81" s="131"/>
      <c r="ED81" s="131"/>
      <c r="EE81" s="131"/>
      <c r="EF81" s="131"/>
      <c r="EG81" s="131"/>
      <c r="EH81" s="131"/>
      <c r="EI81" s="131"/>
      <c r="EJ81" s="131"/>
      <c r="EK81" s="131"/>
      <c r="EL81" s="131"/>
      <c r="EM81" s="131"/>
      <c r="EN81" s="131"/>
      <c r="EO81" s="131"/>
      <c r="EP81" s="131"/>
      <c r="EQ81" s="131"/>
      <c r="ER81" s="131"/>
      <c r="ES81" s="131"/>
      <c r="ET81" s="131"/>
      <c r="EU81" s="131"/>
      <c r="EV81" s="131"/>
      <c r="EW81" s="131"/>
      <c r="EX81" s="131"/>
      <c r="EY81" s="131"/>
      <c r="EZ81" s="131"/>
      <c r="FA81" s="131"/>
      <c r="FB81" s="131"/>
      <c r="FC81" s="131"/>
      <c r="FD81" s="93" t="s">
        <v>25</v>
      </c>
      <c r="FE81" s="93" t="s">
        <v>26</v>
      </c>
      <c r="FF81" s="93"/>
      <c r="FG81" s="93"/>
      <c r="FH81" s="93"/>
      <c r="FI81" s="93" t="s">
        <v>41</v>
      </c>
      <c r="FJ81" s="93"/>
      <c r="FK81" s="93"/>
      <c r="FL81" s="93"/>
      <c r="FM81" s="93"/>
      <c r="FN81" s="93"/>
      <c r="FO81" s="93"/>
      <c r="FP81" s="93"/>
      <c r="FQ81" s="93" t="s">
        <v>26</v>
      </c>
      <c r="FR81" s="93"/>
      <c r="FS81" s="93"/>
      <c r="FT81" s="93"/>
      <c r="FU81" s="93" t="s">
        <v>41</v>
      </c>
      <c r="FV81" s="93"/>
      <c r="FW81" s="93"/>
      <c r="FX81" s="93"/>
      <c r="FY81" s="93"/>
      <c r="FZ81" s="93"/>
      <c r="GA81" s="93"/>
      <c r="GB81" s="93"/>
      <c r="GC81" s="93"/>
      <c r="GD81" s="93" t="s">
        <v>26</v>
      </c>
      <c r="GE81" s="93"/>
      <c r="GF81" s="93"/>
      <c r="GG81" s="93" t="s">
        <v>41</v>
      </c>
      <c r="GH81" s="93"/>
      <c r="GI81" s="93"/>
      <c r="GJ81" s="93"/>
      <c r="GK81" s="93"/>
      <c r="GL81" s="93"/>
      <c r="GM81" s="93" t="s">
        <v>26</v>
      </c>
      <c r="GN81" s="93"/>
      <c r="GO81" s="93"/>
      <c r="GP81" s="93" t="s">
        <v>41</v>
      </c>
      <c r="GQ81" s="93"/>
      <c r="GR81" s="93"/>
      <c r="GS81" s="93"/>
      <c r="GT81" s="93"/>
      <c r="GU81" s="93"/>
      <c r="GV81" s="93"/>
      <c r="GW81" s="93"/>
      <c r="GX81" s="93"/>
      <c r="GY81" s="93" t="s">
        <v>26</v>
      </c>
      <c r="GZ81" s="93"/>
      <c r="HA81" s="93"/>
      <c r="HB81" s="93"/>
      <c r="HC81" s="93"/>
      <c r="HD81" s="93"/>
      <c r="HE81" s="93"/>
      <c r="HF81" s="93" t="s">
        <v>27</v>
      </c>
      <c r="HG81" s="93"/>
      <c r="HH81" s="93" t="s">
        <v>26</v>
      </c>
      <c r="HI81" s="93"/>
      <c r="HJ81" s="93"/>
      <c r="HK81" s="93"/>
      <c r="HL81" s="93"/>
      <c r="HM81" s="93"/>
      <c r="HN81" s="93"/>
      <c r="HO81" s="93"/>
      <c r="HP81" s="93" t="s">
        <v>27</v>
      </c>
      <c r="HQ81" s="93"/>
      <c r="HR81" s="93" t="s">
        <v>26</v>
      </c>
      <c r="HS81" s="93"/>
      <c r="HT81" s="93"/>
      <c r="HU81" s="93"/>
      <c r="HV81" s="93"/>
      <c r="HW81" s="93"/>
      <c r="HX81" s="93"/>
      <c r="HY81" s="93" t="s">
        <v>27</v>
      </c>
      <c r="HZ81" s="93"/>
      <c r="IA81" s="93" t="s">
        <v>26</v>
      </c>
      <c r="IB81" s="93"/>
      <c r="IC81" s="93"/>
      <c r="ID81" s="93"/>
      <c r="IE81" s="93"/>
      <c r="IF81" s="93"/>
      <c r="IG81" s="93"/>
      <c r="IH81" s="93" t="s">
        <v>27</v>
      </c>
      <c r="II81" s="93"/>
      <c r="IJ81" s="93" t="s">
        <v>26</v>
      </c>
      <c r="IK81" s="93"/>
      <c r="IL81" s="93"/>
      <c r="IM81" s="93"/>
      <c r="IN81" s="93"/>
      <c r="IO81" s="93"/>
      <c r="IP81" s="93"/>
      <c r="IQ81" s="93"/>
      <c r="IR81" s="93" t="s">
        <v>27</v>
      </c>
      <c r="IS81" s="93" t="s">
        <v>26</v>
      </c>
      <c r="IT81" s="93"/>
      <c r="IU81" s="93"/>
      <c r="IV81" s="93"/>
      <c r="IW81" s="93"/>
      <c r="IX81" s="93"/>
      <c r="IY81" s="93"/>
      <c r="IZ81" s="93" t="s">
        <v>27</v>
      </c>
      <c r="JA81" s="93"/>
      <c r="JB81" s="93" t="s">
        <v>26</v>
      </c>
      <c r="JC81" s="93"/>
      <c r="JD81" s="93"/>
      <c r="JE81" s="93"/>
      <c r="JF81" s="93"/>
      <c r="JG81" s="93"/>
      <c r="JH81" s="93"/>
      <c r="JI81" s="93" t="s">
        <v>27</v>
      </c>
      <c r="JJ81" s="93"/>
      <c r="JK81" s="93" t="s">
        <v>26</v>
      </c>
      <c r="JL81" s="93"/>
      <c r="JM81" s="93"/>
      <c r="JN81" s="93"/>
      <c r="JO81" s="93"/>
      <c r="JP81" s="93"/>
      <c r="JQ81" s="93"/>
      <c r="JR81" s="93" t="s">
        <v>27</v>
      </c>
      <c r="JS81" s="93" t="s">
        <v>37</v>
      </c>
      <c r="JT81" s="131"/>
      <c r="JU81" s="131"/>
      <c r="JV81" s="131"/>
      <c r="JW81" s="131"/>
      <c r="JX81" s="131"/>
      <c r="JY81" s="131"/>
      <c r="JZ81" s="131"/>
      <c r="KA81" s="131"/>
      <c r="KB81" s="131"/>
      <c r="KC81" s="131"/>
      <c r="KD81" s="131"/>
      <c r="KE81" s="131"/>
      <c r="KF81" s="131"/>
      <c r="KG81" s="131"/>
      <c r="KH81" s="131"/>
      <c r="KI81" s="131"/>
      <c r="KJ81" s="131"/>
      <c r="KK81" s="131"/>
      <c r="KL81" s="131"/>
      <c r="KM81" s="131"/>
      <c r="KN81" s="131"/>
      <c r="KO81" s="131"/>
      <c r="KP81" s="131"/>
      <c r="KQ81" s="131"/>
      <c r="KR81" s="131"/>
      <c r="KS81" s="131"/>
      <c r="KT81" s="131"/>
      <c r="KU81" s="131"/>
      <c r="KV81" s="131"/>
      <c r="KW81" s="131"/>
      <c r="KX81" s="131"/>
      <c r="KY81" s="131"/>
      <c r="KZ81" s="131"/>
      <c r="LA81" s="131"/>
      <c r="LB81" s="131"/>
      <c r="LC81" s="131"/>
      <c r="LD81" s="131"/>
      <c r="LE81" s="131"/>
      <c r="LF81" s="131"/>
      <c r="LG81" s="131"/>
      <c r="LH81" s="131"/>
      <c r="LI81" s="131"/>
      <c r="LJ81" s="131"/>
      <c r="LK81" s="131"/>
      <c r="LL81" s="131"/>
      <c r="LM81" s="131"/>
      <c r="LN81" s="131"/>
      <c r="LO81" s="131"/>
      <c r="LP81" s="131"/>
      <c r="LQ81" s="131"/>
      <c r="LR81" s="131"/>
      <c r="LS81" s="131"/>
      <c r="LT81" s="131"/>
      <c r="LU81" s="131"/>
      <c r="LV81" s="131"/>
      <c r="LW81" s="131"/>
      <c r="LX81" s="131"/>
      <c r="LY81" s="131"/>
      <c r="LZ81" s="131"/>
      <c r="MA81" s="131"/>
      <c r="MB81" s="131"/>
    </row>
    <row r="82" spans="1:340" s="50" customFormat="1" ht="31.5" hidden="1" customHeight="1" thickBot="1">
      <c r="A82" s="44">
        <v>2</v>
      </c>
      <c r="B82" s="125" t="s">
        <v>139</v>
      </c>
      <c r="C82" s="51" t="s">
        <v>30</v>
      </c>
      <c r="D82" s="133" t="s">
        <v>35</v>
      </c>
      <c r="E82" s="134" t="s">
        <v>40</v>
      </c>
      <c r="F82" s="135" t="s">
        <v>24</v>
      </c>
      <c r="G82" s="145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6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  <c r="BE82" s="131"/>
      <c r="BF82" s="131"/>
      <c r="BG82" s="131"/>
      <c r="BH82" s="131"/>
      <c r="BI82" s="131"/>
      <c r="BJ82" s="131"/>
      <c r="BK82" s="131"/>
      <c r="BL82" s="131"/>
      <c r="BM82" s="131"/>
      <c r="BN82" s="131"/>
      <c r="BO82" s="171"/>
      <c r="BP82" s="131"/>
      <c r="BQ82" s="131"/>
      <c r="BR82" s="131"/>
      <c r="BS82" s="131"/>
      <c r="BT82" s="131"/>
      <c r="BU82" s="131"/>
      <c r="BV82" s="131"/>
      <c r="BW82" s="131"/>
      <c r="BX82" s="131"/>
      <c r="BY82" s="131"/>
      <c r="BZ82" s="131"/>
      <c r="CA82" s="131"/>
      <c r="CB82" s="131"/>
      <c r="CC82" s="131"/>
      <c r="CD82" s="131"/>
      <c r="CE82" s="131"/>
      <c r="CF82" s="131"/>
      <c r="CG82" s="131"/>
      <c r="CH82" s="131"/>
      <c r="CI82" s="131"/>
      <c r="CJ82" s="131"/>
      <c r="CK82" s="131"/>
      <c r="CL82" s="131"/>
      <c r="CM82" s="131"/>
      <c r="CN82" s="131"/>
      <c r="CO82" s="131"/>
      <c r="CP82" s="131"/>
      <c r="CQ82" s="131"/>
      <c r="CR82" s="131"/>
      <c r="CS82" s="131"/>
      <c r="CT82" s="131"/>
      <c r="CU82" s="131"/>
      <c r="CV82" s="131"/>
      <c r="CW82" s="131"/>
      <c r="CX82" s="131"/>
      <c r="CY82" s="131"/>
      <c r="CZ82" s="131"/>
      <c r="DA82" s="131"/>
      <c r="DB82" s="131"/>
      <c r="DC82" s="131"/>
      <c r="DD82" s="131"/>
      <c r="DE82" s="131"/>
      <c r="DF82" s="131"/>
      <c r="DG82" s="131"/>
      <c r="DH82" s="131"/>
      <c r="DI82" s="131"/>
      <c r="DJ82" s="131"/>
      <c r="DK82" s="131"/>
      <c r="DL82" s="131"/>
      <c r="DM82" s="131"/>
      <c r="DN82" s="131"/>
      <c r="DO82" s="131"/>
      <c r="DP82" s="131"/>
      <c r="DQ82" s="131"/>
      <c r="DR82" s="131"/>
      <c r="DS82" s="131"/>
      <c r="DT82" s="131"/>
      <c r="DU82" s="131"/>
      <c r="DV82" s="131"/>
      <c r="DW82" s="131"/>
      <c r="DX82" s="131"/>
      <c r="DY82" s="131"/>
      <c r="DZ82" s="131"/>
      <c r="EA82" s="131"/>
      <c r="EB82" s="131"/>
      <c r="EC82" s="131"/>
      <c r="ED82" s="131"/>
      <c r="EE82" s="131"/>
      <c r="EF82" s="131"/>
      <c r="EG82" s="131"/>
      <c r="EH82" s="131"/>
      <c r="EI82" s="131"/>
      <c r="EJ82" s="131"/>
      <c r="EK82" s="131"/>
      <c r="EL82" s="131"/>
      <c r="EM82" s="131"/>
      <c r="EN82" s="131"/>
      <c r="EO82" s="131"/>
      <c r="EP82" s="131"/>
      <c r="EQ82" s="131"/>
      <c r="ER82" s="131"/>
      <c r="ES82" s="131"/>
      <c r="ET82" s="131"/>
      <c r="EU82" s="131"/>
      <c r="EV82" s="131"/>
      <c r="EW82" s="131"/>
      <c r="EX82" s="131"/>
      <c r="EY82" s="131"/>
      <c r="EZ82" s="131"/>
      <c r="FA82" s="131"/>
      <c r="FB82" s="131"/>
      <c r="FC82" s="131"/>
      <c r="FD82" s="131"/>
      <c r="FE82" s="131"/>
      <c r="FF82" s="131"/>
      <c r="FG82" s="131"/>
      <c r="FH82" s="131"/>
      <c r="FI82" s="131"/>
      <c r="FJ82" s="131"/>
      <c r="FK82" s="131"/>
      <c r="FL82" s="131"/>
      <c r="FM82" s="131"/>
      <c r="FN82" s="131"/>
      <c r="FO82" s="131"/>
      <c r="FP82" s="131"/>
      <c r="FQ82" s="131"/>
      <c r="FR82" s="131"/>
      <c r="FS82" s="131"/>
      <c r="FT82" s="131"/>
      <c r="FU82" s="131"/>
      <c r="FV82" s="131"/>
      <c r="FW82" s="131"/>
      <c r="FX82" s="131"/>
      <c r="FY82" s="131"/>
      <c r="FZ82" s="131"/>
      <c r="GA82" s="131"/>
      <c r="GB82" s="131"/>
      <c r="GC82" s="131"/>
      <c r="GD82" s="131"/>
      <c r="GE82" s="131"/>
      <c r="GF82" s="131"/>
      <c r="GG82" s="131"/>
      <c r="GH82" s="131"/>
      <c r="GI82" s="131"/>
      <c r="GJ82" s="131"/>
      <c r="GK82" s="131"/>
      <c r="GL82" s="131"/>
      <c r="GM82" s="131"/>
      <c r="GN82" s="131"/>
      <c r="GO82" s="131"/>
      <c r="GP82" s="131"/>
      <c r="GQ82" s="131"/>
      <c r="GR82" s="131"/>
      <c r="GS82" s="131"/>
      <c r="GT82" s="131"/>
      <c r="GU82" s="131"/>
      <c r="GV82" s="131"/>
      <c r="GW82" s="131"/>
      <c r="GX82" s="131"/>
      <c r="GY82" s="131"/>
      <c r="GZ82" s="131"/>
      <c r="HA82" s="131"/>
      <c r="HB82" s="131"/>
      <c r="HC82" s="131"/>
      <c r="HD82" s="131"/>
      <c r="HE82" s="131"/>
      <c r="HF82" s="131"/>
      <c r="HG82" s="131"/>
      <c r="HH82" s="131"/>
      <c r="HI82" s="131"/>
      <c r="HJ82" s="131"/>
      <c r="HK82" s="131"/>
      <c r="HL82" s="131"/>
      <c r="HM82" s="131"/>
      <c r="HN82" s="131"/>
      <c r="HO82" s="131"/>
      <c r="HP82" s="131"/>
      <c r="HQ82" s="131"/>
      <c r="HR82" s="131"/>
      <c r="HS82" s="131"/>
      <c r="HT82" s="131"/>
      <c r="HU82" s="131"/>
      <c r="HV82" s="131"/>
      <c r="HW82" s="131"/>
      <c r="HX82" s="131"/>
      <c r="HY82" s="131"/>
      <c r="HZ82" s="131"/>
      <c r="IA82" s="131"/>
      <c r="IB82" s="131"/>
      <c r="IC82" s="131"/>
      <c r="ID82" s="131"/>
      <c r="IE82" s="131"/>
      <c r="IF82" s="131"/>
      <c r="IG82" s="131"/>
      <c r="IH82" s="131"/>
      <c r="II82" s="131"/>
      <c r="IJ82" s="131"/>
      <c r="IK82" s="131"/>
      <c r="IL82" s="131"/>
      <c r="IM82" s="131"/>
      <c r="IN82" s="131"/>
      <c r="IO82" s="131"/>
      <c r="IP82" s="131"/>
      <c r="IQ82" s="131"/>
      <c r="IR82" s="131"/>
      <c r="IS82" s="131"/>
      <c r="IT82" s="131"/>
      <c r="IU82" s="131"/>
      <c r="IV82" s="131"/>
      <c r="IW82" s="131"/>
      <c r="IX82" s="131"/>
      <c r="IY82" s="131"/>
      <c r="IZ82" s="131"/>
      <c r="JA82" s="131"/>
      <c r="JB82" s="131"/>
      <c r="JC82" s="131"/>
      <c r="JD82" s="131"/>
      <c r="JE82" s="131"/>
      <c r="JF82" s="131"/>
      <c r="JG82" s="131"/>
      <c r="JH82" s="131"/>
      <c r="JI82" s="131"/>
      <c r="JJ82" s="131"/>
      <c r="JK82" s="131"/>
      <c r="JL82" s="131"/>
      <c r="JM82" s="131"/>
      <c r="JN82" s="131"/>
      <c r="JO82" s="131"/>
      <c r="JP82" s="131"/>
      <c r="JQ82" s="131"/>
      <c r="JR82" s="131"/>
      <c r="JS82" s="131"/>
      <c r="JT82" s="131"/>
      <c r="JU82" s="131"/>
      <c r="JV82" s="131"/>
      <c r="JW82" s="131"/>
      <c r="JX82" s="131"/>
      <c r="JY82" s="131"/>
      <c r="JZ82" s="131"/>
      <c r="KA82" s="131"/>
      <c r="KB82" s="131"/>
      <c r="KC82" s="131"/>
      <c r="KD82" s="131"/>
      <c r="KE82" s="131"/>
      <c r="KF82" s="131"/>
      <c r="KG82" s="131"/>
      <c r="KH82" s="94" t="s">
        <v>25</v>
      </c>
      <c r="KI82" s="94" t="s">
        <v>26</v>
      </c>
      <c r="KJ82" s="94"/>
      <c r="KK82" s="94"/>
      <c r="KL82" s="94"/>
      <c r="KM82" s="94"/>
      <c r="KN82" s="94"/>
      <c r="KO82" s="94"/>
      <c r="KP82" s="94"/>
      <c r="KQ82" s="94"/>
      <c r="KR82" s="94"/>
      <c r="KS82" s="94"/>
      <c r="KT82" s="94"/>
      <c r="KU82" s="94" t="s">
        <v>27</v>
      </c>
      <c r="KV82" s="94"/>
      <c r="KW82" s="94" t="s">
        <v>26</v>
      </c>
      <c r="KX82" s="94"/>
      <c r="KY82" s="94"/>
      <c r="KZ82" s="94"/>
      <c r="LA82" s="94"/>
      <c r="LB82" s="94"/>
      <c r="LC82" s="94"/>
      <c r="LD82" s="94"/>
      <c r="LE82" s="94"/>
      <c r="LF82" s="94"/>
      <c r="LG82" s="94"/>
      <c r="LH82" s="94"/>
      <c r="LI82" s="94" t="s">
        <v>27</v>
      </c>
      <c r="LJ82" s="94"/>
      <c r="LK82" s="94" t="s">
        <v>26</v>
      </c>
      <c r="LL82" s="94"/>
      <c r="LM82" s="94"/>
      <c r="LN82" s="94"/>
      <c r="LO82" s="94"/>
      <c r="LP82" s="94"/>
      <c r="LQ82" s="94"/>
      <c r="LR82" s="94"/>
      <c r="LS82" s="94"/>
      <c r="LT82" s="94"/>
      <c r="LU82" s="94"/>
      <c r="LV82" s="94"/>
      <c r="LW82" s="94" t="s">
        <v>27</v>
      </c>
      <c r="LX82" s="94" t="s">
        <v>37</v>
      </c>
      <c r="LY82" s="131"/>
      <c r="LZ82" s="131"/>
      <c r="MA82" s="131"/>
      <c r="MB82" s="131"/>
    </row>
    <row r="83" spans="1:340" s="50" customFormat="1" ht="31.5" customHeight="1" thickBot="1">
      <c r="A83" s="44">
        <v>2</v>
      </c>
      <c r="B83" s="125" t="s">
        <v>139</v>
      </c>
      <c r="C83" s="51" t="s">
        <v>30</v>
      </c>
      <c r="D83" s="133" t="s">
        <v>22</v>
      </c>
      <c r="E83" s="134" t="s">
        <v>23</v>
      </c>
      <c r="F83" s="135" t="s">
        <v>24</v>
      </c>
      <c r="G83" s="145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6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6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6"/>
      <c r="AX83" s="131"/>
      <c r="AY83" s="136"/>
      <c r="AZ83" s="131"/>
      <c r="BA83" s="131"/>
      <c r="BB83" s="131"/>
      <c r="BC83" s="131"/>
      <c r="BD83" s="131"/>
      <c r="BE83" s="131"/>
      <c r="BF83" s="131"/>
      <c r="BG83" s="131"/>
      <c r="BH83" s="131"/>
      <c r="BI83" s="131"/>
      <c r="BJ83" s="131"/>
      <c r="BK83" s="131"/>
      <c r="BL83" s="131"/>
      <c r="BM83" s="131"/>
      <c r="BN83" s="131"/>
      <c r="BO83" s="160"/>
      <c r="BP83" s="131"/>
      <c r="BQ83" s="136"/>
      <c r="BR83" s="131"/>
      <c r="BS83" s="131"/>
      <c r="BT83" s="131"/>
      <c r="BU83" s="131"/>
      <c r="BV83" s="131"/>
      <c r="BW83" s="131"/>
      <c r="BX83" s="131"/>
      <c r="BY83" s="131"/>
      <c r="BZ83" s="131"/>
      <c r="CA83" s="131"/>
      <c r="CB83" s="131"/>
      <c r="CC83" s="131"/>
      <c r="CD83" s="131"/>
      <c r="CE83" s="131"/>
      <c r="CF83" s="131"/>
      <c r="CG83" s="136"/>
      <c r="CH83" s="131"/>
      <c r="CI83" s="131"/>
      <c r="CJ83" s="131"/>
      <c r="CK83" s="131"/>
      <c r="CL83" s="131"/>
      <c r="CM83" s="131"/>
      <c r="CN83" s="131"/>
      <c r="CO83" s="131"/>
      <c r="CP83" s="131"/>
      <c r="CQ83" s="131"/>
      <c r="CR83" s="131"/>
      <c r="CS83" s="131"/>
      <c r="CT83" s="131"/>
      <c r="CU83" s="131"/>
      <c r="CV83" s="131"/>
      <c r="CW83" s="131"/>
      <c r="CX83" s="131"/>
      <c r="CY83" s="131"/>
      <c r="CZ83" s="131"/>
      <c r="DA83" s="131"/>
      <c r="DB83" s="131"/>
      <c r="DC83" s="131"/>
      <c r="DD83" s="131"/>
      <c r="DE83" s="131"/>
      <c r="DF83" s="131"/>
      <c r="DG83" s="131"/>
      <c r="DH83" s="131"/>
      <c r="DI83" s="131"/>
      <c r="DJ83" s="131"/>
      <c r="DK83" s="131"/>
      <c r="DL83" s="131"/>
      <c r="DM83" s="131"/>
      <c r="DN83" s="131"/>
      <c r="DO83" s="131"/>
      <c r="DP83" s="131"/>
      <c r="DQ83" s="136"/>
      <c r="DR83" s="131"/>
      <c r="DS83" s="131"/>
      <c r="DT83" s="131"/>
      <c r="DU83" s="131"/>
      <c r="DV83" s="131"/>
      <c r="DW83" s="131"/>
      <c r="DX83" s="131"/>
      <c r="DY83" s="131"/>
      <c r="DZ83" s="131"/>
      <c r="EA83" s="131"/>
      <c r="EB83" s="131"/>
      <c r="EC83" s="131"/>
      <c r="ED83" s="131"/>
      <c r="EE83" s="131"/>
      <c r="EF83" s="131"/>
      <c r="EG83" s="136"/>
      <c r="EH83" s="131"/>
      <c r="EI83" s="131"/>
      <c r="EJ83" s="131"/>
      <c r="EK83" s="131"/>
      <c r="EL83" s="131"/>
      <c r="EM83" s="131"/>
      <c r="EN83" s="131"/>
      <c r="EO83" s="131"/>
      <c r="EP83" s="131"/>
      <c r="EQ83" s="131"/>
      <c r="ER83" s="131"/>
      <c r="ES83" s="131"/>
      <c r="ET83" s="131"/>
      <c r="EU83" s="131"/>
      <c r="EV83" s="131"/>
      <c r="EW83" s="136"/>
      <c r="EX83" s="131"/>
      <c r="EY83" s="131"/>
      <c r="EZ83" s="131"/>
      <c r="FA83" s="131"/>
      <c r="FB83" s="131"/>
      <c r="FC83" s="131"/>
      <c r="FD83" s="131"/>
      <c r="FE83" s="131"/>
      <c r="FF83" s="131"/>
      <c r="FG83" s="131"/>
      <c r="FH83" s="131"/>
      <c r="FI83" s="131"/>
      <c r="FJ83" s="131"/>
      <c r="FK83" s="131"/>
      <c r="FL83" s="131"/>
      <c r="FM83" s="131"/>
      <c r="FN83" s="131"/>
      <c r="FO83" s="131"/>
      <c r="FP83" s="131"/>
      <c r="FQ83" s="131"/>
      <c r="FR83" s="131"/>
      <c r="FS83" s="131"/>
      <c r="FT83" s="131"/>
      <c r="FU83" s="131"/>
      <c r="FV83" s="131"/>
      <c r="FW83" s="131"/>
      <c r="FX83" s="131"/>
      <c r="FY83" s="131"/>
      <c r="FZ83" s="131"/>
      <c r="GA83" s="131"/>
      <c r="GB83" s="131"/>
      <c r="GC83" s="131"/>
      <c r="GD83" s="131"/>
      <c r="GE83" s="131"/>
      <c r="GF83" s="131"/>
      <c r="GG83" s="131"/>
      <c r="GH83" s="131"/>
      <c r="GI83" s="131"/>
      <c r="GJ83" s="131"/>
      <c r="GK83" s="131"/>
      <c r="GL83" s="131"/>
      <c r="GM83" s="131"/>
      <c r="GN83" s="131"/>
      <c r="GO83" s="131"/>
      <c r="GP83" s="131"/>
      <c r="GQ83" s="131"/>
      <c r="GR83" s="131"/>
      <c r="GS83" s="131"/>
      <c r="GT83" s="131"/>
      <c r="GU83" s="131"/>
      <c r="GV83" s="131"/>
      <c r="GW83" s="131"/>
      <c r="GX83" s="131"/>
      <c r="GY83" s="131"/>
      <c r="GZ83" s="131"/>
      <c r="HA83" s="131"/>
      <c r="HB83" s="131"/>
      <c r="HC83" s="131"/>
      <c r="HD83" s="131"/>
      <c r="HE83" s="131"/>
      <c r="HF83" s="131"/>
      <c r="HG83" s="131"/>
      <c r="HH83" s="131"/>
      <c r="HI83" s="131"/>
      <c r="HJ83" s="131"/>
      <c r="HK83" s="131"/>
      <c r="HL83" s="131"/>
      <c r="HM83" s="131"/>
      <c r="HN83" s="131"/>
      <c r="HO83" s="131"/>
      <c r="HP83" s="131"/>
      <c r="HQ83" s="131"/>
      <c r="HR83" s="131"/>
      <c r="HS83" s="131"/>
      <c r="HT83" s="131"/>
      <c r="HU83" s="131"/>
      <c r="HV83" s="131"/>
      <c r="HW83" s="131"/>
      <c r="HX83" s="131"/>
      <c r="HY83" s="131"/>
      <c r="HZ83" s="131"/>
      <c r="IA83" s="131"/>
      <c r="IB83" s="131"/>
      <c r="IC83" s="131"/>
      <c r="ID83" s="131"/>
      <c r="IE83" s="131"/>
      <c r="IF83" s="131"/>
      <c r="IG83" s="131"/>
      <c r="IH83" s="131"/>
      <c r="II83" s="131"/>
      <c r="IJ83" s="131"/>
      <c r="IK83" s="131"/>
      <c r="IL83" s="131"/>
      <c r="IM83" s="131"/>
      <c r="IN83" s="131"/>
      <c r="IO83" s="131"/>
      <c r="IP83" s="131"/>
      <c r="IQ83" s="131"/>
      <c r="IR83" s="131"/>
      <c r="IS83" s="131"/>
      <c r="IT83" s="131"/>
      <c r="IU83" s="131"/>
      <c r="IV83" s="131"/>
      <c r="IW83" s="131"/>
      <c r="IX83" s="131"/>
      <c r="IY83" s="131"/>
      <c r="IZ83" s="131"/>
      <c r="JA83" s="131"/>
      <c r="JB83" s="131"/>
      <c r="JC83" s="131"/>
      <c r="JD83" s="131"/>
      <c r="JE83" s="131"/>
      <c r="JF83" s="131"/>
      <c r="JG83" s="131"/>
      <c r="JH83" s="131"/>
      <c r="JI83" s="131"/>
      <c r="JJ83" s="131"/>
      <c r="JK83" s="131"/>
      <c r="JL83" s="131"/>
      <c r="JM83" s="131"/>
      <c r="JN83" s="131"/>
      <c r="JO83" s="131"/>
      <c r="JP83" s="131"/>
      <c r="JQ83" s="131"/>
      <c r="JR83" s="131"/>
      <c r="JS83" s="131"/>
      <c r="JT83" s="131"/>
      <c r="JU83" s="131"/>
      <c r="JV83" s="131"/>
      <c r="JW83" s="131"/>
      <c r="JX83" s="131"/>
      <c r="JY83" s="131"/>
      <c r="JZ83" s="131"/>
      <c r="KA83" s="131"/>
      <c r="KB83" s="131"/>
      <c r="KC83" s="131"/>
      <c r="KD83" s="131"/>
      <c r="KE83" s="131"/>
      <c r="KF83" s="131"/>
      <c r="KG83" s="131"/>
      <c r="KH83" s="131"/>
      <c r="KI83" s="131"/>
      <c r="KJ83" s="131"/>
      <c r="KK83" s="131"/>
      <c r="KL83" s="131"/>
      <c r="KM83" s="131"/>
      <c r="KN83" s="131"/>
      <c r="KO83" s="131"/>
      <c r="KP83" s="131"/>
      <c r="KQ83" s="131"/>
      <c r="KR83" s="131"/>
      <c r="KS83" s="131"/>
      <c r="KT83" s="131"/>
      <c r="KU83" s="131"/>
      <c r="KV83" s="131"/>
      <c r="KW83" s="131"/>
      <c r="KX83" s="131"/>
      <c r="KY83" s="131"/>
      <c r="KZ83" s="131"/>
      <c r="LA83" s="131"/>
      <c r="LB83" s="131"/>
      <c r="LC83" s="131"/>
      <c r="LD83" s="131"/>
      <c r="LE83" s="131"/>
      <c r="LF83" s="131"/>
      <c r="LG83" s="131"/>
      <c r="LH83" s="131"/>
      <c r="LI83" s="131"/>
      <c r="LJ83" s="131"/>
      <c r="LK83" s="131"/>
      <c r="LL83" s="131"/>
      <c r="LM83" s="131"/>
      <c r="LN83" s="131"/>
      <c r="LO83" s="131"/>
      <c r="LP83" s="131"/>
      <c r="LQ83" s="131"/>
      <c r="LR83" s="131"/>
      <c r="LS83" s="131"/>
      <c r="LT83" s="131"/>
      <c r="LU83" s="131"/>
      <c r="LV83" s="131"/>
      <c r="LW83" s="131"/>
      <c r="LX83" s="131"/>
      <c r="LY83" s="131"/>
      <c r="LZ83" s="131"/>
      <c r="MA83" s="131"/>
      <c r="MB83" s="131"/>
    </row>
    <row r="84" spans="1:340" s="50" customFormat="1" ht="31.5" hidden="1" customHeight="1" thickBot="1">
      <c r="A84" s="44">
        <v>1</v>
      </c>
      <c r="B84" s="107" t="s">
        <v>141</v>
      </c>
      <c r="C84" s="46" t="s">
        <v>142</v>
      </c>
      <c r="D84" s="105" t="s">
        <v>49</v>
      </c>
      <c r="E84" s="117" t="s">
        <v>50</v>
      </c>
      <c r="F84" s="106" t="s">
        <v>24</v>
      </c>
      <c r="G84" s="145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6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131"/>
      <c r="CG84" s="131"/>
      <c r="CH84" s="131"/>
      <c r="CI84" s="131"/>
      <c r="CJ84" s="131"/>
      <c r="CK84" s="131"/>
      <c r="CL84" s="131"/>
      <c r="CM84" s="131"/>
      <c r="CN84" s="131"/>
      <c r="CO84" s="131"/>
      <c r="CP84" s="131"/>
      <c r="CQ84" s="131"/>
      <c r="CR84" s="131"/>
      <c r="CS84" s="131"/>
      <c r="CT84" s="131"/>
      <c r="CU84" s="131"/>
      <c r="CV84" s="131"/>
      <c r="CW84" s="131"/>
      <c r="CX84" s="131"/>
      <c r="CY84" s="131"/>
      <c r="CZ84" s="131"/>
      <c r="DA84" s="131"/>
      <c r="DB84" s="131"/>
      <c r="DC84" s="131"/>
      <c r="DD84" s="131"/>
      <c r="DE84" s="131"/>
      <c r="DF84" s="131"/>
      <c r="DG84" s="131"/>
      <c r="DH84" s="131"/>
      <c r="DI84" s="131"/>
      <c r="DJ84" s="131"/>
      <c r="DK84" s="131"/>
      <c r="DL84" s="131"/>
      <c r="DM84" s="131"/>
      <c r="DN84" s="131"/>
      <c r="DO84" s="131"/>
      <c r="DP84" s="131"/>
      <c r="DQ84" s="131"/>
      <c r="DR84" s="131"/>
      <c r="DS84" s="131"/>
      <c r="DT84" s="131"/>
      <c r="DU84" s="131"/>
      <c r="DV84" s="131"/>
      <c r="DW84" s="131"/>
      <c r="DX84" s="131"/>
      <c r="DY84" s="131"/>
      <c r="DZ84" s="131"/>
      <c r="EA84" s="131"/>
      <c r="EB84" s="131"/>
      <c r="EC84" s="131"/>
      <c r="ED84" s="131"/>
      <c r="EE84" s="131"/>
      <c r="EF84" s="131"/>
      <c r="EG84" s="131"/>
      <c r="EH84" s="131"/>
      <c r="EI84" s="131"/>
      <c r="EJ84" s="131"/>
      <c r="EK84" s="131"/>
      <c r="EL84" s="131"/>
      <c r="EM84" s="131"/>
      <c r="EN84" s="131"/>
      <c r="EO84" s="131"/>
      <c r="EP84" s="131"/>
      <c r="EQ84" s="131"/>
      <c r="ER84" s="131"/>
      <c r="ES84" s="131"/>
      <c r="ET84" s="131"/>
      <c r="EU84" s="131"/>
      <c r="EV84" s="131"/>
      <c r="EW84" s="131"/>
      <c r="EX84" s="131"/>
      <c r="EY84" s="131"/>
      <c r="EZ84" s="131" t="s">
        <v>25</v>
      </c>
      <c r="FA84" s="93"/>
      <c r="FB84" s="93"/>
      <c r="FC84" s="93"/>
      <c r="FD84" s="94" t="s">
        <v>26</v>
      </c>
      <c r="FE84" s="94"/>
      <c r="FF84" s="94"/>
      <c r="FG84" s="94" t="s">
        <v>41</v>
      </c>
      <c r="FH84" s="94"/>
      <c r="FI84" s="94"/>
      <c r="FJ84" s="94"/>
      <c r="FK84" s="94"/>
      <c r="FL84" s="94"/>
      <c r="FM84" s="94"/>
      <c r="FN84" s="94"/>
      <c r="FO84" s="94"/>
      <c r="FP84" s="94"/>
      <c r="FQ84" s="94"/>
      <c r="FR84" s="94"/>
      <c r="FS84" s="94"/>
      <c r="FT84" s="94"/>
      <c r="FU84" s="94"/>
      <c r="FV84" s="94" t="s">
        <v>26</v>
      </c>
      <c r="FW84" s="94"/>
      <c r="FX84" s="94"/>
      <c r="FY84" s="94"/>
      <c r="FZ84" s="94"/>
      <c r="GA84" s="94"/>
      <c r="GB84" s="94"/>
      <c r="GC84" s="94"/>
      <c r="GD84" s="94"/>
      <c r="GE84" s="94"/>
      <c r="GF84" s="94"/>
      <c r="GG84" s="94" t="s">
        <v>28</v>
      </c>
      <c r="GH84" s="94"/>
      <c r="GI84" s="94" t="s">
        <v>41</v>
      </c>
      <c r="GJ84" s="94"/>
      <c r="GK84" s="94"/>
      <c r="GL84" s="94"/>
      <c r="GM84" s="94"/>
      <c r="GN84" s="94"/>
      <c r="GO84" s="94"/>
      <c r="GP84" s="94"/>
      <c r="GQ84" s="94"/>
      <c r="GR84" s="94"/>
      <c r="GS84" s="94" t="s">
        <v>41</v>
      </c>
      <c r="GT84" s="94"/>
      <c r="GU84" s="94"/>
      <c r="GV84" s="94"/>
      <c r="GW84" s="94"/>
      <c r="GX84" s="94"/>
      <c r="GY84" s="94"/>
      <c r="GZ84" s="94"/>
      <c r="HA84" s="94"/>
      <c r="HB84" s="94"/>
      <c r="HC84" s="94" t="s">
        <v>41</v>
      </c>
      <c r="HD84" s="94"/>
      <c r="HE84" s="94"/>
      <c r="HF84" s="94"/>
      <c r="HG84" s="94"/>
      <c r="HH84" s="94"/>
      <c r="HI84" s="94"/>
      <c r="HJ84" s="94"/>
      <c r="HK84" s="94"/>
      <c r="HL84" s="94"/>
      <c r="HM84" s="94"/>
      <c r="HN84" s="94"/>
      <c r="HO84" s="94"/>
      <c r="HP84" s="94"/>
      <c r="HQ84" s="94"/>
      <c r="HR84" s="94" t="s">
        <v>28</v>
      </c>
      <c r="HS84" s="94"/>
      <c r="HT84" s="94" t="s">
        <v>41</v>
      </c>
      <c r="HU84" s="94"/>
      <c r="HV84" s="94"/>
      <c r="HW84" s="94"/>
      <c r="HX84" s="94"/>
      <c r="HY84" s="94"/>
      <c r="HZ84" s="94"/>
      <c r="IA84" s="94"/>
      <c r="IB84" s="94"/>
      <c r="IC84" s="94"/>
      <c r="ID84" s="94"/>
      <c r="IE84" s="94"/>
      <c r="IF84" s="94"/>
      <c r="IG84" s="94"/>
      <c r="IH84" s="94"/>
      <c r="II84" s="94"/>
      <c r="IJ84" s="94"/>
      <c r="IK84" s="94"/>
      <c r="IL84" s="94" t="s">
        <v>26</v>
      </c>
      <c r="IM84" s="94"/>
      <c r="IN84" s="94" t="s">
        <v>27</v>
      </c>
      <c r="IO84" s="94"/>
      <c r="IP84" s="94"/>
      <c r="IQ84" s="94" t="s">
        <v>26</v>
      </c>
      <c r="IR84" s="94"/>
      <c r="IS84" s="94" t="s">
        <v>27</v>
      </c>
      <c r="IT84" s="94"/>
      <c r="IU84" s="94"/>
      <c r="IV84" s="94"/>
      <c r="IW84" s="94"/>
      <c r="IX84" s="94"/>
      <c r="IY84" s="94"/>
      <c r="IZ84" s="94"/>
      <c r="JA84" s="94" t="s">
        <v>26</v>
      </c>
      <c r="JB84" s="94"/>
      <c r="JC84" s="94" t="s">
        <v>41</v>
      </c>
      <c r="JD84" s="94"/>
      <c r="JE84" s="94"/>
      <c r="JF84" s="94"/>
      <c r="JG84" s="94"/>
      <c r="JH84" s="94"/>
      <c r="JI84" s="94"/>
      <c r="JJ84" s="94"/>
      <c r="JK84" s="94"/>
      <c r="JL84" s="94"/>
      <c r="JM84" s="94"/>
      <c r="JN84" s="94"/>
      <c r="JO84" s="94"/>
      <c r="JP84" s="94" t="s">
        <v>26</v>
      </c>
      <c r="JQ84" s="94"/>
      <c r="JR84" s="94" t="s">
        <v>41</v>
      </c>
      <c r="JS84" s="94" t="s">
        <v>37</v>
      </c>
      <c r="JT84" s="131"/>
      <c r="JU84" s="131"/>
      <c r="JV84" s="131"/>
      <c r="JW84" s="131"/>
      <c r="JX84" s="131"/>
      <c r="JY84" s="131"/>
      <c r="JZ84" s="131"/>
      <c r="KA84" s="131"/>
      <c r="KB84" s="131"/>
      <c r="KC84" s="131"/>
      <c r="KD84" s="131"/>
      <c r="KE84" s="131"/>
      <c r="KF84" s="131"/>
      <c r="KG84" s="131"/>
      <c r="KH84" s="131"/>
      <c r="KI84" s="131"/>
      <c r="KJ84" s="131"/>
      <c r="KK84" s="131"/>
      <c r="KL84" s="131"/>
      <c r="KM84" s="131"/>
      <c r="KN84" s="131"/>
      <c r="KO84" s="131"/>
      <c r="KP84" s="131"/>
      <c r="KQ84" s="131"/>
      <c r="KR84" s="131"/>
      <c r="KS84" s="131"/>
      <c r="KT84" s="131"/>
      <c r="KU84" s="131"/>
      <c r="KV84" s="131"/>
      <c r="KW84" s="131"/>
      <c r="KX84" s="131"/>
      <c r="KY84" s="131"/>
      <c r="KZ84" s="131"/>
      <c r="LA84" s="131"/>
      <c r="LB84" s="131"/>
      <c r="LC84" s="131"/>
      <c r="LD84" s="131"/>
      <c r="LE84" s="131"/>
      <c r="LF84" s="131"/>
      <c r="LG84" s="131"/>
      <c r="LH84" s="131"/>
      <c r="LI84" s="131"/>
      <c r="LJ84" s="131"/>
      <c r="LK84" s="131"/>
      <c r="LL84" s="131"/>
      <c r="LM84" s="131"/>
      <c r="LN84" s="131"/>
      <c r="LO84" s="131"/>
      <c r="LP84" s="131"/>
      <c r="LQ84" s="131"/>
      <c r="LR84" s="131"/>
      <c r="LS84" s="131"/>
      <c r="LT84" s="131"/>
      <c r="LU84" s="131"/>
      <c r="LV84" s="131"/>
      <c r="LW84" s="131"/>
      <c r="LX84" s="131"/>
      <c r="LY84" s="131"/>
      <c r="LZ84" s="131"/>
      <c r="MA84" s="131"/>
      <c r="MB84" s="131"/>
    </row>
    <row r="85" spans="1:340" s="50" customFormat="1" ht="31.7" hidden="1" customHeight="1" thickBot="1">
      <c r="A85" s="44">
        <v>1</v>
      </c>
      <c r="B85" s="107" t="s">
        <v>143</v>
      </c>
      <c r="C85" s="46" t="s">
        <v>144</v>
      </c>
      <c r="D85" s="105" t="s">
        <v>49</v>
      </c>
      <c r="E85" s="117" t="s">
        <v>78</v>
      </c>
      <c r="F85" s="106" t="s">
        <v>24</v>
      </c>
      <c r="G85" s="139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153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  <c r="BJ85" s="68"/>
      <c r="BK85" s="68"/>
      <c r="BL85" s="68"/>
      <c r="BM85" s="68"/>
      <c r="BN85" s="68"/>
      <c r="BO85" s="68"/>
      <c r="BP85" s="68"/>
      <c r="BQ85" s="68"/>
      <c r="BR85" s="68"/>
      <c r="BS85" s="68"/>
      <c r="BT85" s="68"/>
      <c r="BU85" s="68"/>
      <c r="BV85" s="68"/>
      <c r="BW85" s="68"/>
      <c r="BX85" s="68"/>
      <c r="BY85" s="68"/>
      <c r="BZ85" s="68"/>
      <c r="CA85" s="68"/>
      <c r="CB85" s="68"/>
      <c r="CC85" s="68"/>
      <c r="CD85" s="68"/>
      <c r="CE85" s="68"/>
      <c r="CF85" s="68"/>
      <c r="CG85" s="68"/>
      <c r="CH85" s="68"/>
      <c r="CI85" s="68"/>
      <c r="CJ85" s="68"/>
      <c r="CK85" s="68"/>
      <c r="CL85" s="68"/>
      <c r="CM85" s="68"/>
      <c r="CN85" s="68"/>
      <c r="CO85" s="68"/>
      <c r="CP85" s="68"/>
      <c r="CQ85" s="68"/>
      <c r="CR85" s="68"/>
      <c r="CS85" s="68"/>
      <c r="CT85" s="68"/>
      <c r="CU85" s="68"/>
      <c r="CV85" s="68"/>
      <c r="CW85" s="68"/>
      <c r="CX85" s="68"/>
      <c r="CY85" s="68"/>
      <c r="CZ85" s="68"/>
      <c r="DA85" s="68"/>
      <c r="DB85" s="68"/>
      <c r="DC85" s="68"/>
      <c r="DD85" s="68"/>
      <c r="DE85" s="68"/>
      <c r="DF85" s="68"/>
      <c r="DG85" s="68"/>
      <c r="DH85" s="68"/>
      <c r="DI85" s="68"/>
      <c r="DJ85" s="68"/>
      <c r="DK85" s="68"/>
      <c r="DL85" s="68"/>
      <c r="DM85" s="68"/>
      <c r="DN85" s="68"/>
      <c r="DO85" s="68"/>
      <c r="DP85" s="68"/>
      <c r="DQ85" s="68"/>
      <c r="DR85" s="68"/>
      <c r="DS85" s="68"/>
      <c r="DT85" s="68"/>
      <c r="DU85" s="68"/>
      <c r="DV85" s="68"/>
      <c r="DW85" s="68"/>
      <c r="DX85" s="68"/>
      <c r="DY85" s="68"/>
      <c r="DZ85" s="68"/>
      <c r="EA85" s="68"/>
      <c r="EB85" s="68"/>
      <c r="EC85" s="68"/>
      <c r="ED85" s="68"/>
      <c r="EE85" s="68"/>
      <c r="EF85" s="68"/>
      <c r="EG85" s="68"/>
      <c r="EH85" s="68"/>
      <c r="EI85" s="68"/>
      <c r="EJ85" s="68"/>
      <c r="EK85" s="68"/>
      <c r="EL85" s="68"/>
      <c r="EM85" s="68"/>
      <c r="EN85" s="68"/>
      <c r="EO85" s="68"/>
      <c r="EP85" s="68"/>
      <c r="EQ85" s="68"/>
      <c r="ER85" s="68"/>
      <c r="ES85" s="68"/>
      <c r="ET85" s="68"/>
      <c r="EU85" s="68"/>
      <c r="EV85" s="68"/>
      <c r="EW85" s="68"/>
      <c r="EX85" s="68"/>
      <c r="EY85" s="68" t="s">
        <v>25</v>
      </c>
      <c r="EZ85" s="68" t="s">
        <v>26</v>
      </c>
      <c r="FA85" s="68"/>
      <c r="FB85" s="68"/>
      <c r="FC85" s="68" t="s">
        <v>41</v>
      </c>
      <c r="FD85" s="68"/>
      <c r="FE85" s="68" t="s">
        <v>26</v>
      </c>
      <c r="FF85" s="68"/>
      <c r="FG85" s="68" t="s">
        <v>41</v>
      </c>
      <c r="FH85" s="68"/>
      <c r="FI85" s="68"/>
      <c r="FJ85" s="68"/>
      <c r="FK85" s="68"/>
      <c r="FL85" s="68"/>
      <c r="FM85" s="68"/>
      <c r="FN85" s="68"/>
      <c r="FO85" s="68"/>
      <c r="FP85" s="68"/>
      <c r="FQ85" s="68"/>
      <c r="FR85" s="68"/>
      <c r="FS85" s="68"/>
      <c r="FT85" s="68"/>
      <c r="FU85" s="68" t="s">
        <v>26</v>
      </c>
      <c r="FV85" s="68"/>
      <c r="FW85" s="68"/>
      <c r="FX85" s="68" t="s">
        <v>41</v>
      </c>
      <c r="FY85" s="68"/>
      <c r="FZ85" s="68"/>
      <c r="GA85" s="68"/>
      <c r="GB85" s="68"/>
      <c r="GC85" s="68"/>
      <c r="GD85" s="68"/>
      <c r="GE85" s="68"/>
      <c r="GF85" s="68"/>
      <c r="GG85" s="68"/>
      <c r="GH85" s="68"/>
      <c r="GI85" s="68"/>
      <c r="GJ85" s="68"/>
      <c r="GK85" s="68"/>
      <c r="GL85" s="68" t="s">
        <v>26</v>
      </c>
      <c r="GM85" s="68"/>
      <c r="GN85" s="68" t="s">
        <v>27</v>
      </c>
      <c r="GO85" s="68" t="s">
        <v>26</v>
      </c>
      <c r="GP85" s="68"/>
      <c r="GQ85" s="68" t="s">
        <v>27</v>
      </c>
      <c r="GR85" s="68"/>
      <c r="GS85" s="68"/>
      <c r="GT85" s="68"/>
      <c r="GU85" s="68"/>
      <c r="GV85" s="68"/>
      <c r="GW85" s="68"/>
      <c r="GX85" s="68"/>
      <c r="GY85" s="68"/>
      <c r="GZ85" s="68"/>
      <c r="HA85" s="68" t="s">
        <v>26</v>
      </c>
      <c r="HB85" s="68"/>
      <c r="HC85" s="68" t="s">
        <v>41</v>
      </c>
      <c r="HD85" s="68"/>
      <c r="HE85" s="68"/>
      <c r="HF85" s="68"/>
      <c r="HG85" s="68"/>
      <c r="HH85" s="68"/>
      <c r="HI85" s="68"/>
      <c r="HJ85" s="68"/>
      <c r="HK85" s="68" t="s">
        <v>42</v>
      </c>
      <c r="HL85" s="68" t="s">
        <v>26</v>
      </c>
      <c r="HM85" s="68" t="s">
        <v>27</v>
      </c>
      <c r="HN85" s="94"/>
      <c r="HO85" s="94"/>
      <c r="HP85" s="94"/>
      <c r="HQ85" s="94"/>
      <c r="HR85" s="94"/>
      <c r="HS85" s="94"/>
      <c r="HT85" s="94"/>
      <c r="HU85" s="94"/>
      <c r="HV85" s="94"/>
      <c r="HW85" s="94"/>
      <c r="HX85" s="94"/>
      <c r="HY85" s="94"/>
      <c r="HZ85" s="94"/>
      <c r="IA85" s="94"/>
      <c r="IB85" s="94"/>
      <c r="IC85" s="94"/>
      <c r="ID85" s="94"/>
      <c r="IE85" s="94"/>
      <c r="IF85" s="94"/>
      <c r="IG85" s="94"/>
      <c r="IH85" s="94"/>
      <c r="II85" s="94"/>
      <c r="IJ85" s="94" t="s">
        <v>26</v>
      </c>
      <c r="IK85" s="94"/>
      <c r="IL85" s="94" t="s">
        <v>27</v>
      </c>
      <c r="IM85" s="94"/>
      <c r="IN85" s="94"/>
      <c r="IO85" s="94"/>
      <c r="IP85" s="94"/>
      <c r="IQ85" s="94" t="s">
        <v>26</v>
      </c>
      <c r="IR85" s="94"/>
      <c r="IS85" s="94" t="s">
        <v>41</v>
      </c>
      <c r="IT85" s="94"/>
      <c r="IU85" s="94"/>
      <c r="IV85" s="94"/>
      <c r="IW85" s="94"/>
      <c r="IX85" s="94"/>
      <c r="IY85" s="94"/>
      <c r="IZ85" s="94"/>
      <c r="JA85" s="94"/>
      <c r="JB85" s="94"/>
      <c r="JC85" s="94" t="s">
        <v>26</v>
      </c>
      <c r="JD85" s="94"/>
      <c r="JE85" s="94" t="s">
        <v>41</v>
      </c>
      <c r="JF85" s="94"/>
      <c r="JG85" s="94"/>
      <c r="JH85" s="94"/>
      <c r="JI85" s="94"/>
      <c r="JJ85" s="94"/>
      <c r="JK85" s="94"/>
      <c r="JL85" s="94"/>
      <c r="JM85" s="94"/>
      <c r="JN85" s="94"/>
      <c r="JO85" s="94"/>
      <c r="JP85" s="94"/>
      <c r="JQ85" s="94"/>
      <c r="JR85" s="94"/>
      <c r="JS85" s="94" t="s">
        <v>26</v>
      </c>
      <c r="JT85" s="94"/>
      <c r="JU85" s="94" t="s">
        <v>41</v>
      </c>
      <c r="JV85" s="94"/>
      <c r="JW85" s="94"/>
      <c r="JX85" s="94"/>
      <c r="JY85" s="94"/>
      <c r="JZ85" s="94"/>
      <c r="KA85" s="94"/>
      <c r="KB85" s="94"/>
      <c r="KC85" s="94"/>
      <c r="KD85" s="94"/>
      <c r="KE85" s="94"/>
      <c r="KF85" s="94"/>
      <c r="KG85" s="94"/>
      <c r="KH85" s="94"/>
      <c r="KI85" s="94" t="s">
        <v>26</v>
      </c>
      <c r="KJ85" s="94"/>
      <c r="KK85" s="94" t="s">
        <v>41</v>
      </c>
      <c r="KL85" s="94"/>
      <c r="KM85" s="94"/>
      <c r="KN85" s="94"/>
      <c r="KO85" s="94"/>
      <c r="KP85" s="94"/>
      <c r="KQ85" s="94"/>
      <c r="KR85" s="94"/>
      <c r="KS85" s="94"/>
      <c r="KT85" s="94"/>
      <c r="KU85" s="94"/>
      <c r="KV85" s="94"/>
      <c r="KW85" s="94"/>
      <c r="KX85" s="94"/>
      <c r="KY85" s="94" t="s">
        <v>26</v>
      </c>
      <c r="KZ85" s="94"/>
      <c r="LA85" s="94" t="s">
        <v>41</v>
      </c>
      <c r="LB85" s="94"/>
      <c r="LC85" s="94"/>
      <c r="LD85" s="94"/>
      <c r="LE85" s="94"/>
      <c r="LF85" s="94"/>
      <c r="LG85" s="94"/>
      <c r="LH85" s="94"/>
      <c r="LI85" s="94"/>
      <c r="LJ85" s="94"/>
      <c r="LK85" s="94"/>
      <c r="LL85" s="94"/>
      <c r="LM85" s="94"/>
      <c r="LN85" s="94"/>
      <c r="LO85" s="94" t="s">
        <v>26</v>
      </c>
      <c r="LP85" s="94"/>
      <c r="LQ85" s="94" t="s">
        <v>41</v>
      </c>
      <c r="LR85" s="94"/>
      <c r="LS85" s="94"/>
      <c r="LT85" s="94"/>
      <c r="LU85" s="94"/>
      <c r="LV85" s="94"/>
      <c r="LW85" s="94"/>
      <c r="LX85" s="94"/>
      <c r="LY85" s="94"/>
      <c r="LZ85" s="94"/>
      <c r="MA85" s="94"/>
      <c r="MB85" s="94"/>
    </row>
    <row r="86" spans="1:340" s="50" customFormat="1" ht="31.5" hidden="1" customHeight="1">
      <c r="A86" s="44">
        <v>1</v>
      </c>
      <c r="B86" s="107" t="s">
        <v>143</v>
      </c>
      <c r="C86" s="46" t="s">
        <v>145</v>
      </c>
      <c r="D86" s="105" t="s">
        <v>35</v>
      </c>
      <c r="E86" s="117" t="s">
        <v>36</v>
      </c>
      <c r="F86" s="106" t="s">
        <v>24</v>
      </c>
      <c r="G86" s="143"/>
      <c r="H86" s="94"/>
      <c r="I86" s="94"/>
      <c r="J86" s="94" t="s">
        <v>41</v>
      </c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 t="s">
        <v>26</v>
      </c>
      <c r="AC86" s="94"/>
      <c r="AD86" s="94" t="s">
        <v>41</v>
      </c>
      <c r="AE86" s="94"/>
      <c r="AF86" s="94"/>
      <c r="AG86" s="94"/>
      <c r="AH86" s="94"/>
      <c r="AI86" s="94"/>
      <c r="AJ86" s="94"/>
      <c r="AK86" s="94"/>
      <c r="AL86" s="94"/>
      <c r="AM86" s="144"/>
      <c r="AN86" s="94" t="s">
        <v>26</v>
      </c>
      <c r="AO86" s="94"/>
      <c r="AP86" s="94" t="s">
        <v>41</v>
      </c>
      <c r="AQ86" s="94"/>
      <c r="AR86" s="94"/>
      <c r="AS86" s="94"/>
      <c r="AT86" s="94"/>
      <c r="AU86" s="94"/>
      <c r="AV86" s="94"/>
      <c r="AW86" s="94"/>
      <c r="AX86" s="94"/>
      <c r="AY86" s="94" t="s">
        <v>26</v>
      </c>
      <c r="AZ86" s="94"/>
      <c r="BA86" s="94" t="s">
        <v>41</v>
      </c>
      <c r="BB86" s="94"/>
      <c r="BC86" s="94"/>
      <c r="BD86" s="94"/>
      <c r="BE86" s="94"/>
      <c r="BF86" s="94"/>
      <c r="BG86" s="94"/>
      <c r="BH86" s="144"/>
      <c r="BI86" s="94"/>
      <c r="BJ86" s="94" t="s">
        <v>26</v>
      </c>
      <c r="BK86" s="94"/>
      <c r="BL86" s="94" t="s">
        <v>41</v>
      </c>
      <c r="BM86" s="94"/>
      <c r="BN86" s="94"/>
      <c r="BO86" s="94"/>
      <c r="BP86" s="94"/>
      <c r="BQ86" s="94"/>
      <c r="BR86" s="94"/>
      <c r="BS86" s="94"/>
      <c r="BT86" s="94"/>
      <c r="BU86" s="94"/>
      <c r="BV86" s="94" t="s">
        <v>26</v>
      </c>
      <c r="BW86" s="94"/>
      <c r="BX86" s="94"/>
      <c r="BY86" s="94" t="s">
        <v>41</v>
      </c>
      <c r="BZ86" s="94"/>
      <c r="CA86" s="94"/>
      <c r="CB86" s="94"/>
      <c r="CC86" s="94"/>
      <c r="CD86" s="94"/>
      <c r="CE86" s="94"/>
      <c r="CF86" s="94"/>
      <c r="CG86" s="94"/>
      <c r="CH86" s="94"/>
      <c r="CI86" s="94"/>
      <c r="CJ86" s="94"/>
      <c r="CK86" s="94"/>
      <c r="CL86" s="94" t="s">
        <v>26</v>
      </c>
      <c r="CM86" s="94"/>
      <c r="CN86" s="94" t="s">
        <v>41</v>
      </c>
      <c r="CO86" s="94"/>
      <c r="CP86" s="94"/>
      <c r="CQ86" s="94"/>
      <c r="CR86" s="94"/>
      <c r="CS86" s="94"/>
      <c r="CT86" s="94"/>
      <c r="CU86" s="94"/>
      <c r="CV86" s="94"/>
      <c r="CW86" s="94"/>
      <c r="CX86" s="131" t="s">
        <v>26</v>
      </c>
      <c r="CY86" s="131" t="s">
        <v>41</v>
      </c>
      <c r="CZ86" s="131" t="s">
        <v>37</v>
      </c>
      <c r="DA86" s="131"/>
      <c r="DB86" s="131"/>
      <c r="DC86" s="131"/>
      <c r="DD86" s="131"/>
      <c r="DE86" s="131"/>
      <c r="DF86" s="131"/>
      <c r="DG86" s="131"/>
      <c r="DH86" s="131"/>
      <c r="DI86" s="131"/>
      <c r="DJ86" s="131"/>
      <c r="DK86" s="131"/>
      <c r="DL86" s="131"/>
      <c r="DM86" s="131"/>
      <c r="DN86" s="131"/>
      <c r="DO86" s="131"/>
      <c r="DP86" s="131"/>
      <c r="DQ86" s="131"/>
      <c r="DR86" s="131"/>
      <c r="DS86" s="131"/>
      <c r="DT86" s="131"/>
      <c r="DU86" s="131"/>
      <c r="DV86" s="131"/>
      <c r="DW86" s="131"/>
      <c r="DX86" s="131"/>
      <c r="DY86" s="131"/>
      <c r="DZ86" s="131"/>
      <c r="EA86" s="131"/>
      <c r="EB86" s="131"/>
      <c r="EC86" s="131"/>
      <c r="ED86" s="131"/>
      <c r="EE86" s="131"/>
      <c r="EF86" s="131"/>
      <c r="EG86" s="131"/>
      <c r="EH86" s="131"/>
      <c r="EI86" s="131"/>
      <c r="EJ86" s="131"/>
      <c r="EK86" s="131"/>
      <c r="EL86" s="131"/>
      <c r="EM86" s="131"/>
      <c r="EN86" s="131"/>
      <c r="EO86" s="131"/>
      <c r="EP86" s="131" t="s">
        <v>25</v>
      </c>
      <c r="EQ86" s="131" t="s">
        <v>26</v>
      </c>
      <c r="ER86" s="93"/>
      <c r="ES86" s="93" t="s">
        <v>41</v>
      </c>
      <c r="ET86" s="93"/>
      <c r="EU86" s="93"/>
      <c r="EV86" s="93"/>
      <c r="EW86" s="93"/>
      <c r="EX86" s="93"/>
      <c r="EY86" s="93"/>
      <c r="EZ86" s="93"/>
      <c r="FA86" s="93"/>
      <c r="FB86" s="94" t="s">
        <v>26</v>
      </c>
      <c r="FC86" s="94"/>
      <c r="FD86" s="94" t="s">
        <v>41</v>
      </c>
      <c r="FE86" s="94"/>
      <c r="FF86" s="94"/>
      <c r="FG86" s="94"/>
      <c r="FH86" s="94"/>
      <c r="FI86" s="94"/>
      <c r="FJ86" s="94"/>
      <c r="FK86" s="94"/>
      <c r="FL86" s="94"/>
      <c r="FM86" s="94"/>
      <c r="FN86" s="94" t="s">
        <v>26</v>
      </c>
      <c r="FO86" s="94"/>
      <c r="FP86" s="94" t="s">
        <v>41</v>
      </c>
      <c r="FQ86" s="94"/>
      <c r="FR86" s="94"/>
      <c r="FS86" s="94"/>
      <c r="FT86" s="94"/>
      <c r="FU86" s="94"/>
      <c r="FV86" s="94"/>
      <c r="FW86" s="94"/>
      <c r="FX86" s="94"/>
      <c r="FY86" s="94"/>
      <c r="FZ86" s="94"/>
      <c r="GA86" s="94"/>
      <c r="GB86" s="94" t="s">
        <v>26</v>
      </c>
      <c r="GC86" s="94"/>
      <c r="GD86" s="94" t="s">
        <v>41</v>
      </c>
      <c r="GE86" s="94"/>
      <c r="GF86" s="94"/>
      <c r="GG86" s="94"/>
      <c r="GH86" s="94"/>
      <c r="GI86" s="94"/>
      <c r="GJ86" s="94"/>
      <c r="GK86" s="94"/>
      <c r="GL86" s="94"/>
      <c r="GM86" s="94"/>
      <c r="GN86" s="94"/>
      <c r="GO86" s="94"/>
      <c r="GP86" s="94"/>
      <c r="GQ86" s="94" t="s">
        <v>26</v>
      </c>
      <c r="GR86" s="94"/>
      <c r="GS86" s="94"/>
      <c r="GT86" s="94"/>
      <c r="GU86" s="94" t="s">
        <v>28</v>
      </c>
      <c r="GV86" s="94" t="s">
        <v>26</v>
      </c>
      <c r="GW86" s="94"/>
      <c r="GX86" s="94" t="s">
        <v>41</v>
      </c>
      <c r="GY86" s="94"/>
      <c r="GZ86" s="94"/>
      <c r="HA86" s="94"/>
      <c r="HB86" s="94"/>
      <c r="HC86" s="94"/>
      <c r="HD86" s="94"/>
      <c r="HE86" s="94"/>
      <c r="HF86" s="94"/>
      <c r="HG86" s="94"/>
      <c r="HH86" s="94"/>
      <c r="HI86" s="94" t="s">
        <v>26</v>
      </c>
      <c r="HJ86" s="94" t="s">
        <v>41</v>
      </c>
      <c r="HK86" s="94"/>
      <c r="HL86" s="94"/>
      <c r="HM86" s="94"/>
      <c r="HN86" s="94"/>
      <c r="HO86" s="94"/>
      <c r="HP86" s="94"/>
      <c r="HQ86" s="94"/>
      <c r="HR86" s="94"/>
      <c r="HS86" s="94"/>
      <c r="HT86" s="94" t="s">
        <v>26</v>
      </c>
      <c r="HU86" s="94"/>
      <c r="HV86" s="94" t="s">
        <v>41</v>
      </c>
      <c r="HW86" s="94"/>
      <c r="HX86" s="94"/>
      <c r="HY86" s="94"/>
      <c r="HZ86" s="94"/>
      <c r="IA86" s="94"/>
      <c r="IB86" s="94"/>
      <c r="IC86" s="94"/>
      <c r="ID86" s="94"/>
      <c r="IE86" s="94"/>
      <c r="IF86" s="94"/>
      <c r="IG86" s="94" t="s">
        <v>26</v>
      </c>
      <c r="IH86" s="94"/>
      <c r="II86" s="94" t="s">
        <v>41</v>
      </c>
      <c r="IJ86" s="94"/>
      <c r="IK86" s="94"/>
      <c r="IL86" s="94"/>
      <c r="IM86" s="94"/>
      <c r="IN86" s="94"/>
      <c r="IO86" s="94"/>
      <c r="IP86" s="94"/>
      <c r="IQ86" s="94"/>
      <c r="IR86" s="94"/>
      <c r="IS86" s="94"/>
      <c r="IT86" s="94" t="s">
        <v>26</v>
      </c>
      <c r="IU86" s="94"/>
      <c r="IV86" s="94" t="s">
        <v>41</v>
      </c>
      <c r="IW86" s="94"/>
      <c r="IX86" s="94"/>
      <c r="IY86" s="94"/>
      <c r="IZ86" s="94"/>
      <c r="JA86" s="94"/>
      <c r="JB86" s="94"/>
      <c r="JC86" s="94"/>
      <c r="JD86" s="94"/>
      <c r="JE86" s="94"/>
      <c r="JF86" s="94"/>
      <c r="JG86" s="94" t="s">
        <v>26</v>
      </c>
      <c r="JH86" s="94"/>
      <c r="JI86" s="94" t="s">
        <v>41</v>
      </c>
      <c r="JJ86" s="94"/>
      <c r="JK86" s="94"/>
      <c r="JL86" s="94"/>
      <c r="JM86" s="94"/>
      <c r="JN86" s="94"/>
      <c r="JO86" s="94"/>
      <c r="JP86" s="94"/>
      <c r="JQ86" s="94"/>
      <c r="JR86" s="94"/>
      <c r="JS86" s="94"/>
      <c r="JT86" s="94" t="s">
        <v>26</v>
      </c>
      <c r="JU86" s="94"/>
      <c r="JV86" s="94" t="s">
        <v>41</v>
      </c>
      <c r="JW86" s="94"/>
      <c r="JX86" s="94"/>
      <c r="JY86" s="94"/>
      <c r="JZ86" s="94"/>
      <c r="KA86" s="94"/>
      <c r="KB86" s="94"/>
      <c r="KC86" s="94"/>
      <c r="KD86" s="94"/>
      <c r="KE86" s="94"/>
      <c r="KF86" s="94"/>
      <c r="KG86" s="94" t="s">
        <v>26</v>
      </c>
      <c r="KH86" s="94"/>
      <c r="KI86" s="94" t="s">
        <v>41</v>
      </c>
      <c r="KJ86" s="94"/>
      <c r="KK86" s="94"/>
      <c r="KL86" s="94"/>
      <c r="KM86" s="94"/>
      <c r="KN86" s="94"/>
      <c r="KO86" s="94"/>
      <c r="KP86" s="94"/>
      <c r="KQ86" s="94"/>
      <c r="KR86" s="94"/>
      <c r="KS86" s="94"/>
      <c r="KT86" s="94" t="s">
        <v>26</v>
      </c>
      <c r="KU86" s="94"/>
      <c r="KV86" s="94" t="s">
        <v>41</v>
      </c>
      <c r="KW86" s="94"/>
      <c r="KX86" s="94"/>
      <c r="KY86" s="94"/>
      <c r="KZ86" s="94"/>
      <c r="LA86" s="94"/>
      <c r="LB86" s="94"/>
      <c r="LC86" s="94"/>
      <c r="LD86" s="94"/>
      <c r="LE86" s="94"/>
      <c r="LF86" s="94"/>
      <c r="LG86" s="94" t="s">
        <v>26</v>
      </c>
      <c r="LH86" s="94"/>
      <c r="LI86" s="94" t="s">
        <v>41</v>
      </c>
      <c r="LJ86" s="94"/>
      <c r="LK86" s="94"/>
      <c r="LL86" s="94"/>
      <c r="LM86" s="94"/>
      <c r="LN86" s="94"/>
      <c r="LO86" s="94"/>
      <c r="LP86" s="94"/>
      <c r="LQ86" s="94"/>
      <c r="LR86" s="94"/>
      <c r="LS86" s="94"/>
      <c r="LT86" s="94" t="s">
        <v>26</v>
      </c>
      <c r="LU86" s="94"/>
      <c r="LV86" s="94" t="s">
        <v>41</v>
      </c>
      <c r="LW86" s="94"/>
      <c r="LX86" s="94"/>
      <c r="LY86" s="94"/>
      <c r="LZ86" s="94"/>
      <c r="MA86" s="94"/>
      <c r="MB86" s="94"/>
    </row>
    <row r="87" spans="1:340" s="50" customFormat="1" ht="31.5" hidden="1" customHeight="1" thickBot="1">
      <c r="A87" s="44">
        <v>1</v>
      </c>
      <c r="B87" s="107" t="s">
        <v>143</v>
      </c>
      <c r="C87" s="46" t="s">
        <v>146</v>
      </c>
      <c r="D87" s="105" t="s">
        <v>49</v>
      </c>
      <c r="E87" s="117" t="s">
        <v>50</v>
      </c>
      <c r="F87" s="106" t="s">
        <v>24</v>
      </c>
      <c r="G87" s="175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6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  <c r="BE87" s="131"/>
      <c r="BF87" s="131"/>
      <c r="BG87" s="131"/>
      <c r="BH87" s="136"/>
      <c r="BI87" s="131"/>
      <c r="BJ87" s="131"/>
      <c r="BK87" s="131"/>
      <c r="BL87" s="131"/>
      <c r="BM87" s="131"/>
      <c r="BN87" s="131"/>
      <c r="BO87" s="131"/>
      <c r="BP87" s="131"/>
      <c r="BQ87" s="131"/>
      <c r="BR87" s="131"/>
      <c r="BS87" s="131"/>
      <c r="BT87" s="131"/>
      <c r="BU87" s="131"/>
      <c r="BV87" s="131"/>
      <c r="BW87" s="131"/>
      <c r="BX87" s="131"/>
      <c r="BY87" s="131"/>
      <c r="BZ87" s="131"/>
      <c r="CA87" s="131"/>
      <c r="CB87" s="131"/>
      <c r="CC87" s="131"/>
      <c r="CD87" s="131"/>
      <c r="CE87" s="131"/>
      <c r="CF87" s="131"/>
      <c r="CG87" s="131"/>
      <c r="CH87" s="131"/>
      <c r="CI87" s="131"/>
      <c r="CJ87" s="131"/>
      <c r="CK87" s="131"/>
      <c r="CL87" s="131"/>
      <c r="CM87" s="131"/>
      <c r="CN87" s="131"/>
      <c r="CO87" s="131"/>
      <c r="CP87" s="131"/>
      <c r="CQ87" s="131"/>
      <c r="CR87" s="131"/>
      <c r="CS87" s="131"/>
      <c r="CT87" s="131"/>
      <c r="CU87" s="131"/>
      <c r="CV87" s="131"/>
      <c r="CW87" s="131"/>
      <c r="CX87" s="131"/>
      <c r="CY87" s="131"/>
      <c r="CZ87" s="131"/>
      <c r="DA87" s="131"/>
      <c r="DB87" s="131"/>
      <c r="DC87" s="131"/>
      <c r="DD87" s="131"/>
      <c r="DE87" s="131"/>
      <c r="DF87" s="131"/>
      <c r="DG87" s="131"/>
      <c r="DH87" s="131"/>
      <c r="DI87" s="131"/>
      <c r="DJ87" s="131"/>
      <c r="DK87" s="131"/>
      <c r="DL87" s="131"/>
      <c r="DM87" s="131"/>
      <c r="DN87" s="131"/>
      <c r="DO87" s="131"/>
      <c r="DP87" s="131"/>
      <c r="DQ87" s="131"/>
      <c r="DR87" s="131"/>
      <c r="DS87" s="131"/>
      <c r="DT87" s="131"/>
      <c r="DU87" s="131"/>
      <c r="DV87" s="131"/>
      <c r="DW87" s="131"/>
      <c r="DX87" s="131"/>
      <c r="DY87" s="131"/>
      <c r="DZ87" s="131"/>
      <c r="EA87" s="131"/>
      <c r="EB87" s="131"/>
      <c r="EC87" s="131"/>
      <c r="ED87" s="131"/>
      <c r="EE87" s="131"/>
      <c r="EF87" s="131"/>
      <c r="EG87" s="131"/>
      <c r="EH87" s="131"/>
      <c r="EI87" s="131"/>
      <c r="EJ87" s="131"/>
      <c r="EK87" s="131"/>
      <c r="EL87" s="131"/>
      <c r="EM87" s="131"/>
      <c r="EN87" s="131"/>
      <c r="EO87" s="131"/>
      <c r="EP87" s="131"/>
      <c r="EQ87" s="131"/>
      <c r="ER87" s="131"/>
      <c r="ES87" s="131"/>
      <c r="ET87" s="131"/>
      <c r="EU87" s="131"/>
      <c r="EV87" s="131"/>
      <c r="EW87" s="131"/>
      <c r="EX87" s="131"/>
      <c r="EY87" s="131"/>
      <c r="EZ87" s="131"/>
      <c r="FA87" s="131"/>
      <c r="FB87" s="131"/>
      <c r="FC87" s="131"/>
      <c r="FD87" s="131"/>
      <c r="FE87" s="131"/>
      <c r="FF87" s="131"/>
      <c r="FG87" s="131"/>
      <c r="FH87" s="131"/>
      <c r="FI87" s="131"/>
      <c r="FJ87" s="131"/>
      <c r="FK87" s="131"/>
      <c r="FL87" s="131"/>
      <c r="FM87" s="131"/>
      <c r="FN87" s="160"/>
      <c r="FO87" s="131"/>
      <c r="FP87" s="131"/>
      <c r="FQ87" s="131"/>
      <c r="FR87" s="131"/>
      <c r="FS87" s="131"/>
      <c r="FT87" s="131"/>
      <c r="FU87" s="131"/>
      <c r="FV87" s="131"/>
      <c r="FW87" s="94" t="s">
        <v>25</v>
      </c>
      <c r="FX87" s="94"/>
      <c r="FY87" s="94"/>
      <c r="FZ87" s="94" t="s">
        <v>26</v>
      </c>
      <c r="GA87" s="94"/>
      <c r="GB87" s="94"/>
      <c r="GC87" s="94" t="s">
        <v>28</v>
      </c>
      <c r="GD87" s="94"/>
      <c r="GE87" s="94"/>
      <c r="GG87" s="94" t="s">
        <v>41</v>
      </c>
      <c r="GH87" s="94"/>
      <c r="GI87" s="94"/>
      <c r="GJ87" s="94"/>
      <c r="GK87" s="94"/>
      <c r="GL87" s="94"/>
      <c r="GM87" s="94"/>
      <c r="GN87" s="94"/>
      <c r="GO87" s="94"/>
      <c r="GP87" s="94"/>
      <c r="GQ87" s="94" t="s">
        <v>26</v>
      </c>
      <c r="GR87" s="94"/>
      <c r="GS87" s="94" t="s">
        <v>41</v>
      </c>
      <c r="GT87" s="94"/>
      <c r="GU87" s="94"/>
      <c r="GV87" s="94"/>
      <c r="GW87" s="94"/>
      <c r="GX87" s="94"/>
      <c r="GY87" s="94"/>
      <c r="GZ87" s="94"/>
      <c r="HA87" s="94"/>
      <c r="HB87" s="94"/>
      <c r="HC87" s="94"/>
      <c r="HD87" s="94"/>
      <c r="HE87" s="94"/>
      <c r="HF87" s="94"/>
      <c r="HG87" s="94" t="s">
        <v>26</v>
      </c>
      <c r="HH87" s="94"/>
      <c r="HI87" s="94" t="s">
        <v>41</v>
      </c>
      <c r="HJ87" s="94"/>
      <c r="HK87" s="94"/>
      <c r="HL87" s="94"/>
      <c r="HM87" s="94"/>
      <c r="HN87" s="94"/>
      <c r="HO87" s="94"/>
      <c r="HP87" s="94"/>
      <c r="HQ87" s="94"/>
      <c r="HR87" s="94"/>
      <c r="HS87" s="94"/>
      <c r="HT87" s="94"/>
      <c r="HU87" s="94"/>
      <c r="HV87" s="94"/>
      <c r="HW87" s="94" t="s">
        <v>41</v>
      </c>
      <c r="HX87" s="94"/>
      <c r="HY87" s="94"/>
      <c r="HZ87" s="94"/>
      <c r="IA87" s="94"/>
      <c r="IB87" s="94"/>
      <c r="IC87" s="94"/>
      <c r="ID87" s="94"/>
      <c r="IE87" s="94"/>
      <c r="IF87" s="94"/>
      <c r="IG87" s="94"/>
      <c r="IH87" s="94"/>
      <c r="II87" s="94"/>
      <c r="IJ87" s="94"/>
      <c r="IK87" s="94"/>
      <c r="IL87" s="94"/>
      <c r="IM87" s="94"/>
      <c r="IN87" s="94"/>
      <c r="IO87" s="94"/>
      <c r="IP87" s="94"/>
      <c r="IQ87" s="94" t="s">
        <v>26</v>
      </c>
      <c r="IR87" s="94"/>
      <c r="IS87" s="94" t="s">
        <v>41</v>
      </c>
      <c r="IT87" s="94"/>
      <c r="IU87" s="94"/>
      <c r="IV87" s="94"/>
      <c r="IW87" s="94"/>
      <c r="IX87" s="94"/>
      <c r="IY87" s="94"/>
      <c r="IZ87" s="94"/>
      <c r="JA87" s="94"/>
      <c r="JB87" s="94"/>
      <c r="JC87" s="94"/>
      <c r="JD87" s="94"/>
      <c r="JE87" s="94"/>
      <c r="JF87" s="94"/>
      <c r="JG87" s="94"/>
      <c r="JH87" s="94" t="s">
        <v>26</v>
      </c>
      <c r="JI87" s="94"/>
      <c r="JJ87" s="94" t="s">
        <v>41</v>
      </c>
      <c r="JK87" s="94"/>
      <c r="JL87" s="94"/>
      <c r="JM87" s="94"/>
      <c r="JN87" s="94"/>
      <c r="JO87" s="94"/>
      <c r="JP87" s="94"/>
      <c r="JQ87" s="94"/>
      <c r="JR87" s="94"/>
      <c r="JS87" s="94"/>
      <c r="JT87" s="94"/>
      <c r="JU87" s="94"/>
      <c r="JV87" s="94"/>
      <c r="JW87" s="94"/>
      <c r="JX87" s="94"/>
      <c r="JY87" s="94" t="s">
        <v>26</v>
      </c>
      <c r="JZ87" s="94"/>
      <c r="KA87" s="94" t="s">
        <v>41</v>
      </c>
      <c r="KB87" s="94"/>
      <c r="KC87" s="94"/>
      <c r="KD87" s="94"/>
      <c r="KE87" s="94"/>
      <c r="KF87" s="94"/>
      <c r="KG87" s="94"/>
      <c r="KH87" s="94"/>
      <c r="KI87" s="94"/>
      <c r="KJ87" s="94"/>
      <c r="KK87" s="94"/>
      <c r="KL87" s="94"/>
      <c r="KM87" s="94"/>
      <c r="KN87" s="94"/>
      <c r="KO87" s="94"/>
      <c r="KP87" s="94" t="s">
        <v>26</v>
      </c>
      <c r="KQ87" s="94"/>
      <c r="KR87" s="94" t="s">
        <v>41</v>
      </c>
      <c r="KS87" s="94"/>
      <c r="KT87" s="94"/>
      <c r="KU87" s="94"/>
      <c r="KV87" s="94"/>
      <c r="KW87" s="94"/>
      <c r="KX87" s="94"/>
      <c r="KY87" s="94"/>
      <c r="KZ87" s="94"/>
      <c r="LA87" s="94"/>
      <c r="LB87" s="94"/>
      <c r="LC87" s="94"/>
      <c r="LD87" s="94"/>
      <c r="LE87" s="94"/>
      <c r="LF87" s="94"/>
      <c r="LG87" s="94" t="s">
        <v>26</v>
      </c>
      <c r="LH87" s="94"/>
      <c r="LI87" s="94" t="s">
        <v>41</v>
      </c>
      <c r="LJ87" s="94"/>
      <c r="LK87" s="94"/>
      <c r="LL87" s="94"/>
      <c r="LM87" s="94"/>
      <c r="LN87" s="94"/>
      <c r="LO87" s="94"/>
      <c r="LP87" s="94"/>
      <c r="LQ87" s="94"/>
      <c r="LR87" s="94"/>
      <c r="LS87" s="94"/>
      <c r="LT87" s="94"/>
      <c r="LU87" s="94"/>
      <c r="LV87" s="94"/>
      <c r="LW87" s="94"/>
      <c r="LX87" s="94" t="s">
        <v>26</v>
      </c>
      <c r="LY87" s="94"/>
      <c r="LZ87" s="94" t="s">
        <v>41</v>
      </c>
      <c r="MA87" s="94"/>
      <c r="MB87" s="94"/>
    </row>
    <row r="88" spans="1:340" s="50" customFormat="1" ht="31.5" customHeight="1" thickBot="1">
      <c r="A88" s="44">
        <v>1</v>
      </c>
      <c r="B88" s="107" t="s">
        <v>147</v>
      </c>
      <c r="C88" s="46" t="s">
        <v>148</v>
      </c>
      <c r="D88" s="105" t="s">
        <v>22</v>
      </c>
      <c r="E88" s="117" t="s">
        <v>23</v>
      </c>
      <c r="F88" s="106" t="s">
        <v>24</v>
      </c>
      <c r="G88" s="145"/>
      <c r="H88" s="131"/>
      <c r="I88" s="131"/>
      <c r="J88" s="131"/>
      <c r="K88" s="131"/>
      <c r="L88" s="131"/>
      <c r="M88" s="131"/>
      <c r="N88" s="131"/>
      <c r="O88" s="131" t="s">
        <v>25</v>
      </c>
      <c r="P88" s="131"/>
      <c r="Q88" s="131" t="s">
        <v>26</v>
      </c>
      <c r="R88" s="131"/>
      <c r="S88" s="131"/>
      <c r="T88" s="131"/>
      <c r="U88" s="131"/>
      <c r="V88" s="131"/>
      <c r="W88" s="131"/>
      <c r="X88" s="131" t="s">
        <v>41</v>
      </c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 t="s">
        <v>57</v>
      </c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 t="s">
        <v>26</v>
      </c>
      <c r="AX88" s="131"/>
      <c r="AY88" s="131"/>
      <c r="AZ88" s="131"/>
      <c r="BA88" s="131"/>
      <c r="BB88" s="131"/>
      <c r="BC88" s="131"/>
      <c r="BD88" s="131"/>
      <c r="BE88" s="131" t="s">
        <v>41</v>
      </c>
      <c r="BF88" s="131"/>
      <c r="BG88" s="131"/>
      <c r="BH88" s="131"/>
      <c r="BI88" s="131"/>
      <c r="BJ88" s="131"/>
      <c r="BK88" s="131"/>
      <c r="BL88" s="131"/>
      <c r="BM88" s="131"/>
      <c r="BN88" s="131"/>
      <c r="BO88" s="131"/>
      <c r="BP88" s="131" t="s">
        <v>57</v>
      </c>
      <c r="BQ88" s="131"/>
      <c r="BR88" s="131"/>
      <c r="BS88" s="131"/>
      <c r="BT88" s="160"/>
      <c r="BU88" s="131" t="s">
        <v>26</v>
      </c>
      <c r="BV88" s="131"/>
      <c r="BW88" s="131"/>
      <c r="BX88" s="131"/>
      <c r="BY88" s="131"/>
      <c r="BZ88" s="131"/>
      <c r="CA88" s="131"/>
      <c r="CB88" s="131"/>
      <c r="CC88" s="131"/>
      <c r="CD88" s="131" t="s">
        <v>41</v>
      </c>
      <c r="CE88" s="131"/>
      <c r="CF88" s="131"/>
      <c r="CG88" s="131"/>
      <c r="CH88" s="131"/>
      <c r="CI88" s="131"/>
      <c r="CJ88" s="131"/>
      <c r="CK88" s="131"/>
      <c r="CL88" s="131"/>
      <c r="CM88" s="131"/>
      <c r="CN88" s="131"/>
      <c r="CO88" s="131"/>
      <c r="CP88" s="131" t="s">
        <v>57</v>
      </c>
      <c r="CQ88" s="131"/>
      <c r="CR88" s="131"/>
      <c r="CS88" s="131"/>
      <c r="CT88" s="131" t="s">
        <v>26</v>
      </c>
      <c r="CU88" s="131"/>
      <c r="CV88" s="131"/>
      <c r="CW88" s="131"/>
      <c r="CX88" s="131"/>
      <c r="CY88" s="131"/>
      <c r="CZ88" s="131" t="s">
        <v>41</v>
      </c>
      <c r="DA88" s="131"/>
      <c r="DB88" s="131"/>
      <c r="DC88" s="131"/>
      <c r="DD88" s="131"/>
      <c r="DE88" s="131"/>
      <c r="DF88" s="131"/>
      <c r="DG88" s="131"/>
      <c r="DH88" s="131"/>
      <c r="DI88" s="131"/>
      <c r="DJ88" s="131"/>
      <c r="DK88" s="131" t="s">
        <v>57</v>
      </c>
      <c r="DL88" s="131" t="s">
        <v>37</v>
      </c>
      <c r="DM88" s="131"/>
      <c r="DN88" s="131"/>
      <c r="DO88" s="131"/>
      <c r="DP88" s="131"/>
      <c r="DQ88" s="131"/>
      <c r="DR88" s="131"/>
      <c r="DS88" s="131"/>
      <c r="DT88" s="131"/>
      <c r="DU88" s="131"/>
      <c r="DV88" s="131"/>
      <c r="DW88" s="131"/>
      <c r="DX88" s="131"/>
      <c r="DY88" s="131"/>
      <c r="DZ88" s="131"/>
      <c r="EA88" s="131"/>
      <c r="EB88" s="131"/>
      <c r="EC88" s="131"/>
      <c r="ED88" s="131"/>
      <c r="EE88" s="131"/>
      <c r="EF88" s="131"/>
      <c r="EG88" s="131"/>
      <c r="EH88" s="131"/>
      <c r="EI88" s="131"/>
      <c r="EJ88" s="131"/>
      <c r="EK88" s="131"/>
      <c r="EL88" s="131"/>
      <c r="EM88" s="131"/>
      <c r="EN88" s="131"/>
      <c r="EO88" s="131"/>
      <c r="EP88" s="131"/>
      <c r="EQ88" s="131"/>
      <c r="ER88" s="131"/>
      <c r="ES88" s="131"/>
      <c r="ET88" s="131"/>
      <c r="EU88" s="131"/>
      <c r="EV88" s="131"/>
      <c r="EW88" s="131"/>
      <c r="EX88" s="131"/>
      <c r="EY88" s="131"/>
      <c r="EZ88" s="131"/>
      <c r="FA88" s="131"/>
      <c r="FB88" s="131"/>
      <c r="FC88" s="131"/>
      <c r="FD88" s="131"/>
      <c r="FE88" s="131"/>
      <c r="FF88" s="131"/>
      <c r="FG88" s="131"/>
      <c r="FH88" s="131"/>
      <c r="FI88" s="131"/>
      <c r="FJ88" s="131"/>
      <c r="FK88" s="131"/>
      <c r="FL88" s="131"/>
      <c r="FM88" s="131"/>
      <c r="FN88" s="131"/>
      <c r="FO88" s="131"/>
      <c r="FP88" s="131"/>
      <c r="FQ88" s="131"/>
      <c r="FR88" s="131"/>
      <c r="FS88" s="131"/>
      <c r="FT88" s="131"/>
      <c r="FU88" s="131"/>
      <c r="FV88" s="131"/>
      <c r="FW88" s="131"/>
      <c r="FX88" s="131"/>
      <c r="FY88" s="131"/>
      <c r="FZ88" s="131"/>
      <c r="GA88" s="131"/>
      <c r="GB88" s="131"/>
      <c r="GC88" s="131"/>
      <c r="GD88" s="131"/>
      <c r="GE88" s="131"/>
      <c r="GF88" s="131"/>
      <c r="GG88" s="131"/>
      <c r="GH88" s="131"/>
      <c r="GI88" s="131"/>
      <c r="GJ88" s="131"/>
      <c r="GK88" s="131"/>
      <c r="GL88" s="131"/>
      <c r="GM88" s="131"/>
      <c r="GN88" s="131"/>
      <c r="GO88" s="131"/>
      <c r="GP88" s="131"/>
      <c r="GQ88" s="131"/>
      <c r="GR88" s="131"/>
      <c r="GS88" s="131"/>
      <c r="GT88" s="131"/>
      <c r="GU88" s="131"/>
      <c r="GV88" s="131"/>
      <c r="GW88" s="131"/>
      <c r="GX88" s="131"/>
      <c r="GY88" s="131"/>
      <c r="GZ88" s="131"/>
      <c r="HA88" s="131"/>
      <c r="HB88" s="131"/>
      <c r="HC88" s="131"/>
      <c r="HD88" s="131"/>
      <c r="HE88" s="131"/>
      <c r="HF88" s="131"/>
      <c r="HG88" s="131"/>
      <c r="HH88" s="131"/>
      <c r="HI88" s="131"/>
      <c r="HJ88" s="131"/>
      <c r="HK88" s="131"/>
      <c r="HL88" s="131"/>
      <c r="HM88" s="131"/>
      <c r="HN88" s="131"/>
      <c r="HO88" s="131"/>
      <c r="HP88" s="131"/>
      <c r="HQ88" s="131"/>
      <c r="HR88" s="94" t="s">
        <v>25</v>
      </c>
      <c r="HS88" s="94"/>
      <c r="HT88" s="94"/>
      <c r="HU88" s="94"/>
      <c r="HV88" s="94" t="s">
        <v>26</v>
      </c>
      <c r="HW88" s="94"/>
      <c r="HX88" s="94"/>
      <c r="HY88" s="94"/>
      <c r="HZ88" s="94"/>
      <c r="IA88" s="94"/>
      <c r="IB88" s="94"/>
      <c r="IC88" s="94"/>
      <c r="ID88" s="94" t="s">
        <v>41</v>
      </c>
      <c r="IE88" s="94"/>
      <c r="IF88" s="94"/>
      <c r="IG88" s="94"/>
      <c r="IH88" s="94"/>
      <c r="II88" s="94"/>
      <c r="IJ88" s="94"/>
      <c r="IK88" s="94"/>
      <c r="IL88" s="94"/>
      <c r="IM88" s="94" t="s">
        <v>57</v>
      </c>
      <c r="IN88" s="94"/>
      <c r="IO88" s="94"/>
      <c r="IP88" s="94"/>
      <c r="IQ88" s="94"/>
      <c r="IR88" s="94"/>
      <c r="IS88" s="94"/>
      <c r="IT88" s="94"/>
      <c r="IU88" s="94"/>
      <c r="IV88" s="94"/>
      <c r="IW88" s="94"/>
      <c r="IX88" s="94" t="s">
        <v>26</v>
      </c>
      <c r="IY88" s="94"/>
      <c r="IZ88" s="94"/>
      <c r="JA88" s="94"/>
      <c r="JB88" s="94"/>
      <c r="JC88" s="94"/>
      <c r="JD88" s="94"/>
      <c r="JE88" s="94"/>
      <c r="JF88" s="94" t="s">
        <v>41</v>
      </c>
      <c r="JG88" s="94"/>
      <c r="JH88" s="93"/>
      <c r="JI88" s="93"/>
      <c r="JJ88" s="93"/>
      <c r="JK88" s="93"/>
      <c r="JL88" s="93"/>
      <c r="JM88" s="93"/>
      <c r="JN88" s="93" t="s">
        <v>57</v>
      </c>
      <c r="JO88" s="93" t="s">
        <v>37</v>
      </c>
      <c r="JP88" s="131"/>
      <c r="JQ88" s="131"/>
      <c r="JR88" s="131"/>
      <c r="JS88" s="131"/>
      <c r="JT88" s="131"/>
      <c r="JU88" s="131"/>
      <c r="JV88" s="131"/>
      <c r="JW88" s="131"/>
      <c r="JX88" s="131"/>
      <c r="JY88" s="131"/>
      <c r="JZ88" s="131"/>
      <c r="KA88" s="131"/>
      <c r="KB88" s="131"/>
      <c r="KC88" s="131"/>
      <c r="KD88" s="131"/>
      <c r="KE88" s="131"/>
      <c r="KF88" s="131"/>
      <c r="KG88" s="131"/>
      <c r="KH88" s="131"/>
      <c r="KI88" s="131"/>
      <c r="KJ88" s="131"/>
      <c r="KK88" s="131"/>
      <c r="KL88" s="131"/>
      <c r="KM88" s="131"/>
      <c r="KN88" s="131"/>
      <c r="KO88" s="131"/>
      <c r="KP88" s="131"/>
      <c r="KQ88" s="131"/>
      <c r="KR88" s="131"/>
      <c r="KS88" s="131"/>
      <c r="KT88" s="131"/>
      <c r="KU88" s="131"/>
      <c r="KV88" s="131"/>
      <c r="KW88" s="131"/>
      <c r="KX88" s="131"/>
      <c r="KY88" s="131"/>
      <c r="KZ88" s="131"/>
      <c r="LA88" s="131"/>
      <c r="LB88" s="131"/>
      <c r="LC88" s="131"/>
      <c r="LD88" s="131"/>
      <c r="LE88" s="131"/>
      <c r="LF88" s="131"/>
      <c r="LG88" s="131"/>
      <c r="LH88" s="131"/>
      <c r="LI88" s="131"/>
      <c r="LJ88" s="131"/>
      <c r="LK88" s="131"/>
      <c r="LL88" s="131"/>
      <c r="LM88" s="131"/>
      <c r="LN88" s="131"/>
      <c r="LO88" s="131"/>
      <c r="LP88" s="131"/>
      <c r="LQ88" s="131"/>
      <c r="LR88" s="131"/>
      <c r="LS88" s="131"/>
      <c r="LT88" s="131"/>
      <c r="LU88" s="131"/>
      <c r="LV88" s="131"/>
      <c r="LW88" s="131"/>
      <c r="LX88" s="131"/>
      <c r="LY88" s="131"/>
      <c r="LZ88" s="131"/>
      <c r="MA88" s="131"/>
      <c r="MB88" s="131"/>
    </row>
    <row r="89" spans="1:340" s="50" customFormat="1" ht="31.5" customHeight="1" thickBot="1">
      <c r="A89" s="44">
        <v>1</v>
      </c>
      <c r="B89" s="107" t="s">
        <v>149</v>
      </c>
      <c r="C89" s="46" t="s">
        <v>150</v>
      </c>
      <c r="D89" s="105" t="s">
        <v>22</v>
      </c>
      <c r="E89" s="117" t="s">
        <v>23</v>
      </c>
      <c r="F89" s="106" t="s">
        <v>24</v>
      </c>
      <c r="G89" s="143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144"/>
      <c r="W89" s="94" t="s">
        <v>27</v>
      </c>
      <c r="X89" s="94"/>
      <c r="Y89" s="94"/>
      <c r="Z89" s="94"/>
      <c r="AA89" s="94"/>
      <c r="AB89" s="94"/>
      <c r="AC89" s="94"/>
      <c r="AD89" s="94"/>
      <c r="AE89" s="94" t="s">
        <v>41</v>
      </c>
      <c r="AF89" s="94"/>
      <c r="AG89" s="94"/>
      <c r="AH89" s="94"/>
      <c r="AI89" s="94"/>
      <c r="AJ89" s="94"/>
      <c r="AK89" s="94"/>
      <c r="AL89" s="94"/>
      <c r="AM89" s="94"/>
      <c r="AN89" s="94"/>
      <c r="AO89" s="94"/>
      <c r="AP89" s="144"/>
      <c r="AQ89" s="94"/>
      <c r="AR89" s="94" t="s">
        <v>42</v>
      </c>
      <c r="AS89" s="94" t="s">
        <v>27</v>
      </c>
      <c r="AT89" s="94"/>
      <c r="AU89" s="94"/>
      <c r="AV89" s="94"/>
      <c r="AW89" s="94"/>
      <c r="AX89" s="94"/>
      <c r="AY89" s="94"/>
      <c r="AZ89" s="94" t="s">
        <v>41</v>
      </c>
      <c r="BA89" s="94"/>
      <c r="BB89" s="94"/>
      <c r="BC89" s="94"/>
      <c r="BD89" s="94"/>
      <c r="BE89" s="94"/>
      <c r="BF89" s="94"/>
      <c r="BG89" s="94"/>
      <c r="BH89" s="94"/>
      <c r="BI89" s="94"/>
      <c r="BJ89" s="94"/>
      <c r="BK89" s="94"/>
      <c r="BL89" s="94"/>
      <c r="BM89" s="94" t="s">
        <v>27</v>
      </c>
      <c r="BN89" s="94"/>
      <c r="BO89" s="94"/>
      <c r="BP89" s="94"/>
      <c r="BQ89" s="94"/>
      <c r="BR89" s="94"/>
      <c r="BS89" s="94" t="s">
        <v>26</v>
      </c>
      <c r="BT89" s="94" t="s">
        <v>26</v>
      </c>
      <c r="BU89" s="94"/>
      <c r="BV89" s="94"/>
      <c r="BW89" s="94"/>
      <c r="BX89" s="94"/>
      <c r="BY89" s="94"/>
      <c r="CA89" s="94"/>
      <c r="CB89" s="94"/>
      <c r="CC89" s="94" t="s">
        <v>41</v>
      </c>
      <c r="CD89" s="94"/>
      <c r="CE89" s="94"/>
      <c r="CF89" s="94"/>
      <c r="CG89" s="94"/>
      <c r="CH89" s="94"/>
      <c r="CI89" s="94"/>
      <c r="CJ89" s="94"/>
      <c r="CK89" s="94"/>
      <c r="CL89" s="94"/>
      <c r="CM89" s="94"/>
      <c r="CN89" s="94"/>
      <c r="CO89" s="94"/>
      <c r="CP89" s="94"/>
      <c r="CQ89" s="94"/>
      <c r="CR89" s="94"/>
      <c r="CS89" s="94"/>
      <c r="CT89" s="94"/>
      <c r="CU89" s="94"/>
      <c r="CV89" s="94"/>
      <c r="CW89" s="94"/>
      <c r="CX89" s="94"/>
      <c r="CY89" s="94"/>
      <c r="CZ89" s="94"/>
      <c r="DA89" s="94"/>
      <c r="DB89" s="94"/>
      <c r="DC89" s="94"/>
      <c r="DD89" s="94"/>
      <c r="DE89" s="94" t="s">
        <v>28</v>
      </c>
      <c r="DF89" s="94"/>
      <c r="DG89" s="94"/>
      <c r="DH89" s="94" t="s">
        <v>41</v>
      </c>
      <c r="DI89" s="94"/>
      <c r="DJ89" s="94"/>
      <c r="DK89" s="94"/>
      <c r="DL89" s="94"/>
      <c r="DM89" s="94"/>
      <c r="DN89" s="94"/>
      <c r="DO89" s="94"/>
      <c r="DP89" s="94"/>
      <c r="DQ89" s="94"/>
      <c r="DR89" s="94"/>
      <c r="DS89" s="94"/>
      <c r="DT89" s="94"/>
      <c r="DU89" s="94"/>
      <c r="DV89" s="94"/>
      <c r="DW89" s="94"/>
      <c r="DX89" s="94"/>
      <c r="DY89" s="94"/>
      <c r="DZ89" s="94"/>
      <c r="EA89" s="94" t="s">
        <v>26</v>
      </c>
      <c r="EB89" s="94" t="s">
        <v>26</v>
      </c>
      <c r="EC89" s="94"/>
      <c r="ED89" s="94" t="s">
        <v>26</v>
      </c>
      <c r="EE89" s="94"/>
      <c r="EF89" s="94"/>
      <c r="EG89" s="94"/>
      <c r="EH89" s="94"/>
      <c r="EI89" s="94"/>
      <c r="EJ89" s="94"/>
      <c r="EK89" s="94"/>
      <c r="EL89" s="94"/>
      <c r="EM89" s="94" t="s">
        <v>41</v>
      </c>
      <c r="EN89" s="94"/>
      <c r="EO89" s="94"/>
      <c r="EP89" s="94"/>
      <c r="EQ89" s="94"/>
      <c r="ER89" s="94"/>
      <c r="ES89" s="94"/>
      <c r="ET89" s="94"/>
      <c r="EU89" s="94"/>
      <c r="EV89" s="94"/>
      <c r="EW89" s="94"/>
      <c r="EX89" s="94"/>
      <c r="EY89" s="94"/>
      <c r="EZ89" s="94"/>
      <c r="FA89" s="94"/>
      <c r="FB89" s="94"/>
      <c r="FC89" s="94"/>
      <c r="FD89" s="94"/>
      <c r="FE89" s="94"/>
      <c r="FF89" s="94" t="s">
        <v>41</v>
      </c>
      <c r="FG89" s="94"/>
      <c r="FH89" s="94"/>
      <c r="FI89" s="94"/>
      <c r="FJ89" s="94"/>
      <c r="FK89" s="94"/>
      <c r="FL89" s="94"/>
      <c r="FM89" s="94"/>
      <c r="FN89" s="94"/>
      <c r="FO89" s="94"/>
      <c r="FP89" s="94"/>
      <c r="FQ89" s="94"/>
      <c r="FR89" s="94"/>
      <c r="FS89" s="94" t="s">
        <v>27</v>
      </c>
      <c r="FT89" s="94"/>
      <c r="FU89" s="94"/>
      <c r="FV89" s="94"/>
      <c r="FW89" s="94"/>
      <c r="FX89" s="94"/>
      <c r="FY89" s="94"/>
      <c r="FZ89" s="94"/>
      <c r="GA89" s="94"/>
      <c r="GB89" s="94"/>
      <c r="GC89" s="94"/>
      <c r="GD89" s="94" t="s">
        <v>41</v>
      </c>
      <c r="GE89" s="94"/>
      <c r="GF89" s="94"/>
      <c r="GG89" s="94"/>
      <c r="GH89" s="94"/>
      <c r="GI89" s="94"/>
      <c r="GJ89" s="94"/>
      <c r="GK89" s="94"/>
      <c r="GL89" s="94"/>
      <c r="GM89" s="94"/>
      <c r="GN89" s="94"/>
      <c r="GO89" s="94"/>
      <c r="GP89" s="94"/>
      <c r="GQ89" s="94"/>
      <c r="GS89" s="94"/>
      <c r="GT89" s="94"/>
      <c r="GU89" s="94"/>
      <c r="GV89" s="94" t="s">
        <v>27</v>
      </c>
      <c r="GW89" s="94"/>
      <c r="GX89" s="94"/>
      <c r="GY89" s="94"/>
      <c r="GZ89" s="94"/>
      <c r="HA89" s="94"/>
      <c r="HB89" s="94" t="s">
        <v>26</v>
      </c>
      <c r="HC89" s="94" t="s">
        <v>26</v>
      </c>
      <c r="HD89" s="94"/>
      <c r="HE89" s="94" t="s">
        <v>26</v>
      </c>
      <c r="HF89" s="94"/>
      <c r="HG89" s="94"/>
      <c r="HH89" s="94"/>
      <c r="HI89" s="94"/>
      <c r="HJ89" s="94"/>
      <c r="HK89" s="94"/>
      <c r="HL89" s="94"/>
      <c r="HM89" s="94"/>
      <c r="HN89" s="94"/>
      <c r="HO89" s="94" t="s">
        <v>41</v>
      </c>
      <c r="HP89" s="94"/>
      <c r="HQ89" s="94"/>
      <c r="HR89" s="94"/>
      <c r="HS89" s="94"/>
      <c r="HT89" s="94"/>
      <c r="HU89" s="94"/>
      <c r="HV89" s="94"/>
      <c r="HW89" s="94"/>
      <c r="HX89" s="94"/>
      <c r="HY89" s="94"/>
      <c r="HZ89" s="94"/>
      <c r="IA89" s="94"/>
      <c r="IB89" s="94"/>
      <c r="IC89" s="94" t="s">
        <v>27</v>
      </c>
      <c r="ID89" s="94"/>
      <c r="IE89" s="94"/>
      <c r="IF89" s="94"/>
      <c r="IG89" s="94"/>
      <c r="IH89" s="94"/>
      <c r="II89" s="94"/>
      <c r="IJ89" s="94"/>
      <c r="IK89" s="94"/>
      <c r="IL89" s="94"/>
      <c r="IM89" s="94"/>
      <c r="IN89" s="94" t="s">
        <v>41</v>
      </c>
      <c r="IO89" s="94"/>
      <c r="IP89" s="94"/>
      <c r="IQ89" s="94"/>
      <c r="IR89" s="94"/>
      <c r="IS89" s="94"/>
      <c r="IT89" s="94"/>
      <c r="IU89" s="94"/>
      <c r="IV89" s="94"/>
      <c r="IW89" s="94"/>
      <c r="IX89" s="94"/>
      <c r="IY89" s="94"/>
      <c r="IZ89" s="94"/>
      <c r="JA89" s="94"/>
      <c r="JB89" s="94"/>
      <c r="JC89" s="94"/>
      <c r="JD89" s="94"/>
      <c r="JE89" s="94" t="s">
        <v>27</v>
      </c>
      <c r="JF89" s="94"/>
      <c r="JG89" s="94"/>
      <c r="JH89" s="94"/>
      <c r="JI89" s="94"/>
      <c r="JJ89" s="94"/>
      <c r="JK89" s="94"/>
      <c r="JL89" s="94"/>
      <c r="JM89" s="94"/>
      <c r="JN89" s="94"/>
      <c r="JO89" s="94"/>
      <c r="JP89" s="94"/>
      <c r="JQ89" s="94"/>
      <c r="JR89" s="94"/>
      <c r="JS89" s="94"/>
      <c r="JT89" s="94"/>
      <c r="JU89" s="94"/>
      <c r="JV89" s="94"/>
      <c r="JW89" s="94"/>
      <c r="JX89" s="94" t="s">
        <v>27</v>
      </c>
      <c r="JY89" s="94"/>
      <c r="JZ89" s="94"/>
      <c r="KA89" s="94"/>
      <c r="KB89" s="94"/>
      <c r="KC89" s="94"/>
      <c r="KD89" s="94"/>
      <c r="KE89" s="94"/>
      <c r="KF89" s="94"/>
      <c r="KG89" s="94"/>
      <c r="KH89" s="94"/>
      <c r="KI89" s="94"/>
      <c r="KJ89" s="94"/>
      <c r="KK89" s="94"/>
      <c r="KL89" s="94"/>
      <c r="KM89" s="94"/>
      <c r="KN89" s="94"/>
      <c r="KO89" s="94"/>
      <c r="KP89" s="94"/>
      <c r="KQ89" s="94" t="s">
        <v>27</v>
      </c>
      <c r="KR89" s="94"/>
      <c r="KS89" s="94"/>
      <c r="KT89" s="94"/>
      <c r="KU89" s="94" t="s">
        <v>26</v>
      </c>
      <c r="KV89" s="94" t="s">
        <v>26</v>
      </c>
      <c r="KW89" s="94" t="s">
        <v>26</v>
      </c>
      <c r="KX89" s="94"/>
      <c r="KY89" s="94"/>
      <c r="KZ89" s="94"/>
      <c r="LA89" s="94"/>
      <c r="LB89" s="94"/>
      <c r="LC89" s="94"/>
      <c r="LD89" s="94"/>
      <c r="LE89" s="94"/>
      <c r="LF89" s="94"/>
      <c r="LG89" s="94"/>
      <c r="LH89" s="94"/>
      <c r="LI89" s="94"/>
      <c r="LJ89" s="94"/>
      <c r="LK89" s="94"/>
      <c r="LL89" s="94"/>
      <c r="LM89" s="94"/>
      <c r="LN89" s="94"/>
      <c r="LO89" s="94"/>
      <c r="LP89" s="94" t="s">
        <v>27</v>
      </c>
      <c r="LQ89" s="94"/>
      <c r="LR89" s="94"/>
      <c r="LS89" s="94"/>
      <c r="LT89" s="94"/>
      <c r="LU89" s="94"/>
      <c r="LV89" s="94"/>
      <c r="LW89" s="94"/>
      <c r="LX89" s="94"/>
      <c r="LY89" s="94"/>
      <c r="LZ89" s="94"/>
      <c r="MA89" s="94"/>
      <c r="MB89" s="94"/>
    </row>
    <row r="90" spans="1:340" s="50" customFormat="1" ht="31.5" hidden="1" customHeight="1" thickBot="1">
      <c r="A90" s="44">
        <v>2</v>
      </c>
      <c r="B90" s="125" t="s">
        <v>151</v>
      </c>
      <c r="C90" s="51" t="s">
        <v>152</v>
      </c>
      <c r="D90" s="133" t="s">
        <v>45</v>
      </c>
      <c r="E90" s="134" t="s">
        <v>46</v>
      </c>
      <c r="F90" s="135" t="s">
        <v>24</v>
      </c>
      <c r="G90" s="145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6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6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  <c r="BE90" s="131"/>
      <c r="BF90" s="131"/>
      <c r="BG90" s="131"/>
      <c r="BH90" s="131"/>
      <c r="BI90" s="131"/>
      <c r="BJ90" s="131"/>
      <c r="BK90" s="131"/>
      <c r="BL90" s="131"/>
      <c r="BM90" s="131"/>
      <c r="BN90" s="131"/>
      <c r="BO90" s="131"/>
      <c r="BP90" s="131"/>
      <c r="BQ90" s="131"/>
      <c r="BR90" s="131"/>
      <c r="BS90" s="131"/>
      <c r="BT90" s="131"/>
      <c r="BU90" s="131"/>
      <c r="BV90" s="131"/>
      <c r="BW90" s="131"/>
      <c r="BX90" s="131"/>
      <c r="BY90" s="131"/>
      <c r="BZ90" s="160"/>
      <c r="CA90" s="131"/>
      <c r="CB90" s="131"/>
      <c r="CC90" s="131"/>
      <c r="CD90" s="131"/>
      <c r="CE90" s="131"/>
      <c r="CF90" s="131"/>
      <c r="CG90" s="131"/>
      <c r="CH90" s="131"/>
      <c r="CI90" s="131"/>
      <c r="CJ90" s="131"/>
      <c r="CK90" s="131"/>
      <c r="CL90" s="131"/>
      <c r="CM90" s="131"/>
      <c r="CN90" s="131"/>
      <c r="CO90" s="131"/>
      <c r="CP90" s="131"/>
      <c r="CQ90" s="131"/>
      <c r="CR90" s="131"/>
      <c r="CS90" s="131"/>
      <c r="CT90" s="131"/>
      <c r="CU90" s="131"/>
      <c r="CV90" s="171"/>
      <c r="CW90" s="131"/>
      <c r="CX90" s="131"/>
      <c r="CY90" s="131"/>
      <c r="CZ90" s="131"/>
      <c r="DA90" s="131"/>
      <c r="DB90" s="131"/>
      <c r="DC90" s="131"/>
      <c r="DD90" s="131"/>
      <c r="DE90" s="131"/>
      <c r="DF90" s="131"/>
      <c r="DG90" s="131"/>
      <c r="DH90" s="131"/>
      <c r="DI90" s="131"/>
      <c r="DJ90" s="131"/>
      <c r="DK90" s="131"/>
      <c r="DL90" s="131"/>
      <c r="DM90" s="131"/>
      <c r="DN90" s="131"/>
      <c r="DO90" s="131"/>
      <c r="DP90" s="131"/>
      <c r="DQ90" s="131"/>
      <c r="DR90" s="131"/>
      <c r="DS90" s="131"/>
      <c r="DT90" s="131"/>
      <c r="DU90" s="131"/>
      <c r="DV90" s="131"/>
      <c r="DW90" s="131"/>
      <c r="DX90" s="131"/>
      <c r="DY90" s="131"/>
      <c r="DZ90" s="131"/>
      <c r="EA90" s="131"/>
      <c r="EB90" s="131"/>
      <c r="EC90" s="131"/>
      <c r="ED90" s="131"/>
      <c r="EE90" s="131"/>
      <c r="EF90" s="131"/>
      <c r="EG90" s="131"/>
      <c r="EH90" s="131"/>
      <c r="EI90" s="131"/>
      <c r="EJ90" s="131"/>
      <c r="EK90" s="131"/>
      <c r="EL90" s="131"/>
      <c r="EM90" s="131"/>
      <c r="EN90" s="131"/>
      <c r="EO90" s="131"/>
      <c r="EP90" s="131"/>
      <c r="EQ90" s="131"/>
      <c r="ER90" s="131"/>
      <c r="ES90" s="131"/>
      <c r="ET90" s="131"/>
      <c r="EU90" s="131"/>
      <c r="EV90" s="131"/>
      <c r="EW90" s="131"/>
      <c r="EX90" s="131"/>
      <c r="EY90" s="131"/>
      <c r="EZ90" s="131"/>
      <c r="FA90" s="131"/>
      <c r="FB90" s="131"/>
      <c r="FC90" s="131"/>
      <c r="FD90" s="131"/>
      <c r="FE90" s="131"/>
      <c r="FF90" s="131"/>
      <c r="FG90" s="131"/>
      <c r="FH90" s="131"/>
      <c r="FI90" s="131"/>
      <c r="FJ90" s="131"/>
      <c r="FK90" s="131"/>
      <c r="FL90" s="131"/>
      <c r="FM90" s="131"/>
      <c r="FN90" s="131"/>
      <c r="FO90" s="131"/>
      <c r="FP90" s="131"/>
      <c r="FQ90" s="131"/>
      <c r="FR90" s="131"/>
      <c r="FS90" s="131"/>
      <c r="FT90" s="131"/>
      <c r="FU90" s="131"/>
      <c r="FV90" s="131"/>
      <c r="FW90" s="131"/>
      <c r="FX90" s="131"/>
      <c r="FY90" s="131"/>
      <c r="FZ90" s="131"/>
      <c r="GA90" s="131"/>
      <c r="GB90" s="131"/>
      <c r="GC90" s="131"/>
      <c r="GD90" s="131"/>
      <c r="GE90" s="131"/>
      <c r="GF90" s="131"/>
      <c r="GG90" s="131"/>
      <c r="GH90" s="131"/>
      <c r="GI90" s="131"/>
      <c r="GJ90" s="131"/>
      <c r="GK90" s="131"/>
      <c r="GL90" s="131"/>
      <c r="GM90" s="131"/>
      <c r="GN90" s="131"/>
      <c r="GO90" s="131"/>
      <c r="GP90" s="131"/>
      <c r="GQ90" s="131"/>
      <c r="GR90" s="160"/>
      <c r="GS90" s="131"/>
      <c r="GT90" s="131"/>
      <c r="GU90" s="131"/>
      <c r="GV90" s="131"/>
      <c r="GW90" s="131"/>
      <c r="GX90" s="131"/>
      <c r="GY90" s="131"/>
      <c r="GZ90" s="131"/>
      <c r="HA90" s="131"/>
      <c r="HB90" s="171"/>
      <c r="HC90" s="131"/>
      <c r="HD90" s="131"/>
      <c r="HE90" s="131"/>
      <c r="HF90" s="131"/>
      <c r="HG90" s="131"/>
      <c r="HH90" s="131"/>
      <c r="HI90" s="131"/>
      <c r="HJ90" s="131"/>
      <c r="HK90" s="131"/>
      <c r="HL90" s="131"/>
      <c r="HM90" s="131"/>
      <c r="HN90" s="131"/>
      <c r="HO90" s="131"/>
      <c r="HP90" s="131"/>
      <c r="HQ90" s="131"/>
      <c r="HR90" s="131"/>
      <c r="HS90" s="131"/>
      <c r="HT90" s="131"/>
      <c r="HU90" s="131"/>
      <c r="HV90" s="131"/>
      <c r="HW90" s="131"/>
      <c r="HX90" s="131"/>
      <c r="HY90" s="131"/>
      <c r="HZ90" s="131"/>
      <c r="IA90" s="131"/>
      <c r="IB90" s="171"/>
      <c r="IC90" s="131"/>
      <c r="ID90" s="131"/>
      <c r="IE90" s="131"/>
      <c r="IF90" s="131"/>
      <c r="IG90" s="131"/>
      <c r="IH90" s="131"/>
      <c r="II90" s="131"/>
      <c r="IJ90" s="131"/>
      <c r="IK90" s="131"/>
      <c r="IL90" s="131"/>
      <c r="IM90" s="131"/>
      <c r="IN90" s="131"/>
      <c r="IO90" s="131"/>
      <c r="IP90" s="131"/>
      <c r="IQ90" s="131"/>
      <c r="IR90" s="131"/>
      <c r="IS90" s="171"/>
      <c r="IT90" s="94" t="s">
        <v>25</v>
      </c>
      <c r="IU90" s="94" t="s">
        <v>26</v>
      </c>
      <c r="IV90" s="94"/>
      <c r="IW90" s="94"/>
      <c r="IX90" s="94"/>
      <c r="IY90" s="94"/>
      <c r="IZ90" s="94"/>
      <c r="JA90" s="94"/>
      <c r="JB90" s="94" t="s">
        <v>27</v>
      </c>
      <c r="JC90" s="94" t="s">
        <v>26</v>
      </c>
      <c r="JD90" s="94"/>
      <c r="JE90" s="94"/>
      <c r="JF90" s="94"/>
      <c r="JG90" s="94"/>
      <c r="JH90" s="94"/>
      <c r="JI90" s="94"/>
      <c r="JJ90" s="94" t="s">
        <v>27</v>
      </c>
      <c r="JK90" s="94" t="s">
        <v>26</v>
      </c>
      <c r="JL90" s="94"/>
      <c r="JM90" s="94"/>
      <c r="JN90" s="94"/>
      <c r="JO90" s="94"/>
      <c r="JP90" s="94"/>
      <c r="JQ90" s="94"/>
      <c r="JR90" s="94" t="s">
        <v>27</v>
      </c>
      <c r="JS90" s="172" t="s">
        <v>37</v>
      </c>
      <c r="JT90" s="131"/>
      <c r="JU90" s="131"/>
      <c r="JV90" s="131"/>
      <c r="JW90" s="131"/>
      <c r="JX90" s="131"/>
      <c r="JY90" s="131"/>
      <c r="JZ90" s="131"/>
      <c r="KA90" s="131"/>
      <c r="KB90" s="131"/>
      <c r="KC90" s="131"/>
      <c r="KD90" s="131"/>
      <c r="KE90" s="131"/>
      <c r="KF90" s="171"/>
      <c r="KG90" s="131"/>
      <c r="KH90" s="131"/>
      <c r="KI90" s="131"/>
      <c r="KJ90" s="131"/>
      <c r="KK90" s="131"/>
      <c r="KL90" s="131"/>
      <c r="KM90" s="131"/>
      <c r="KN90" s="131"/>
      <c r="KO90" s="131"/>
      <c r="KP90" s="131"/>
      <c r="KQ90" s="131"/>
      <c r="KR90" s="131"/>
      <c r="KS90" s="171"/>
      <c r="KT90" s="131"/>
      <c r="KU90" s="131"/>
      <c r="KV90" s="131"/>
      <c r="KW90" s="131"/>
      <c r="KX90" s="131"/>
      <c r="KY90" s="131"/>
      <c r="KZ90" s="131"/>
      <c r="LA90" s="131"/>
      <c r="LB90" s="131"/>
      <c r="LC90" s="131"/>
      <c r="LD90" s="131"/>
      <c r="LE90" s="131"/>
      <c r="LF90" s="131"/>
      <c r="LG90" s="131"/>
      <c r="LH90" s="131"/>
      <c r="LI90" s="131"/>
      <c r="LJ90" s="131"/>
      <c r="LK90" s="131"/>
      <c r="LL90" s="131"/>
      <c r="LM90" s="131"/>
      <c r="LN90" s="131"/>
      <c r="LO90" s="131"/>
      <c r="LP90" s="131"/>
      <c r="LQ90" s="131"/>
      <c r="LR90" s="131"/>
      <c r="LS90" s="131"/>
      <c r="LT90" s="131"/>
      <c r="LU90" s="131"/>
      <c r="LV90" s="131"/>
      <c r="LW90" s="131"/>
      <c r="LX90" s="131"/>
      <c r="LY90" s="131"/>
      <c r="LZ90" s="131"/>
      <c r="MA90" s="131"/>
      <c r="MB90" s="131"/>
    </row>
    <row r="91" spans="1:340" s="50" customFormat="1" ht="31.5" hidden="1" customHeight="1" thickBot="1">
      <c r="A91" s="44">
        <v>2</v>
      </c>
      <c r="B91" s="125" t="s">
        <v>153</v>
      </c>
      <c r="C91" s="51" t="s">
        <v>154</v>
      </c>
      <c r="D91" s="133" t="s">
        <v>35</v>
      </c>
      <c r="E91" s="134" t="s">
        <v>36</v>
      </c>
      <c r="F91" s="135" t="s">
        <v>24</v>
      </c>
      <c r="G91" s="145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6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6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  <c r="BE91" s="131"/>
      <c r="BF91" s="131"/>
      <c r="BG91" s="131"/>
      <c r="BH91" s="131"/>
      <c r="BI91" s="131"/>
      <c r="BJ91" s="131"/>
      <c r="BK91" s="131"/>
      <c r="BL91" s="131"/>
      <c r="BM91" s="131"/>
      <c r="BN91" s="131"/>
      <c r="BO91" s="131"/>
      <c r="BP91" s="131"/>
      <c r="BQ91" s="131"/>
      <c r="BR91" s="131"/>
      <c r="BS91" s="131"/>
      <c r="BT91" s="131"/>
      <c r="BU91" s="131"/>
      <c r="BV91" s="131"/>
      <c r="BW91" s="131"/>
      <c r="BX91" s="131"/>
      <c r="BY91" s="131"/>
      <c r="BZ91" s="160"/>
      <c r="CA91" s="131"/>
      <c r="CB91" s="131"/>
      <c r="CC91" s="131"/>
      <c r="CD91" s="131"/>
      <c r="CE91" s="131"/>
      <c r="CF91" s="131"/>
      <c r="CG91" s="131"/>
      <c r="CH91" s="131"/>
      <c r="CI91" s="131"/>
      <c r="CJ91" s="131"/>
      <c r="CK91" s="131"/>
      <c r="CL91" s="131"/>
      <c r="CM91" s="131"/>
      <c r="CN91" s="131"/>
      <c r="CO91" s="131"/>
      <c r="CP91" s="131"/>
      <c r="CQ91" s="131"/>
      <c r="CR91" s="131"/>
      <c r="CS91" s="131"/>
      <c r="CT91" s="131"/>
      <c r="CU91" s="131"/>
      <c r="CV91" s="171"/>
      <c r="CW91" s="131"/>
      <c r="CX91" s="131"/>
      <c r="CY91" s="131"/>
      <c r="CZ91" s="131"/>
      <c r="DA91" s="131"/>
      <c r="DB91" s="131"/>
      <c r="DC91" s="131"/>
      <c r="DD91" s="131"/>
      <c r="DE91" s="131"/>
      <c r="DF91" s="131"/>
      <c r="DG91" s="131"/>
      <c r="DH91" s="131"/>
      <c r="DI91" s="131"/>
      <c r="DJ91" s="131"/>
      <c r="DK91" s="131"/>
      <c r="DL91" s="131"/>
      <c r="DM91" s="131"/>
      <c r="DN91" s="131"/>
      <c r="DO91" s="131"/>
      <c r="DP91" s="131"/>
      <c r="DQ91" s="131"/>
      <c r="DR91" s="131"/>
      <c r="DS91" s="131"/>
      <c r="DT91" s="131"/>
      <c r="DU91" s="131"/>
      <c r="DV91" s="131"/>
      <c r="DW91" s="131"/>
      <c r="DX91" s="131"/>
      <c r="DY91" s="131"/>
      <c r="DZ91" s="131"/>
      <c r="EA91" s="131"/>
      <c r="EB91" s="131"/>
      <c r="EC91" s="131"/>
      <c r="ED91" s="131"/>
      <c r="EE91" s="131"/>
      <c r="EF91" s="131"/>
      <c r="EG91" s="131"/>
      <c r="EH91" s="131"/>
      <c r="EI91" s="131"/>
      <c r="EJ91" s="131"/>
      <c r="EK91" s="131"/>
      <c r="EL91" s="131"/>
      <c r="EM91" s="131"/>
      <c r="EN91" s="131"/>
      <c r="EO91" s="131"/>
      <c r="EP91" s="131"/>
      <c r="EQ91" s="131"/>
      <c r="ER91" s="131"/>
      <c r="ES91" s="131"/>
      <c r="ET91" s="131"/>
      <c r="EU91" s="131"/>
      <c r="EV91" s="131"/>
      <c r="EW91" s="131"/>
      <c r="EX91" s="131"/>
      <c r="EY91" s="131"/>
      <c r="EZ91" s="131"/>
      <c r="FA91" s="131"/>
      <c r="FB91" s="131"/>
      <c r="FC91" s="131"/>
      <c r="FD91" s="131"/>
      <c r="FE91" s="131"/>
      <c r="FF91" s="131"/>
      <c r="FG91" s="131"/>
      <c r="FH91" s="131"/>
      <c r="FI91" s="131"/>
      <c r="FJ91" s="131"/>
      <c r="FK91" s="131"/>
      <c r="FL91" s="131"/>
      <c r="FM91" s="131"/>
      <c r="FN91" s="131"/>
      <c r="FO91" s="131"/>
      <c r="FP91" s="131"/>
      <c r="FQ91" s="131"/>
      <c r="FR91" s="131"/>
      <c r="FS91" s="131"/>
      <c r="FT91" s="131"/>
      <c r="FU91" s="131"/>
      <c r="FV91" s="131"/>
      <c r="FW91" s="131"/>
      <c r="FX91" s="131"/>
      <c r="FY91" s="131"/>
      <c r="FZ91" s="131"/>
      <c r="GA91" s="131"/>
      <c r="GB91" s="131"/>
      <c r="GC91" s="131"/>
      <c r="GD91" s="131"/>
      <c r="GE91" s="131"/>
      <c r="GF91" s="131"/>
      <c r="GG91" s="131"/>
      <c r="GH91" s="131"/>
      <c r="GI91" s="131"/>
      <c r="GJ91" s="131"/>
      <c r="GK91" s="131"/>
      <c r="GL91" s="131"/>
      <c r="GM91" s="131"/>
      <c r="GN91" s="131"/>
      <c r="GO91" s="131"/>
      <c r="GP91" s="131"/>
      <c r="GQ91" s="131"/>
      <c r="GR91" s="160"/>
      <c r="GS91" s="131"/>
      <c r="GT91" s="131"/>
      <c r="GU91" s="131"/>
      <c r="GV91" s="131"/>
      <c r="GW91" s="131"/>
      <c r="GX91" s="131"/>
      <c r="GY91" s="131"/>
      <c r="GZ91" s="131"/>
      <c r="HA91" s="131"/>
      <c r="HB91" s="171"/>
      <c r="HC91" s="131"/>
      <c r="HD91" s="131"/>
      <c r="HE91" s="131"/>
      <c r="HF91" s="131"/>
      <c r="HG91" s="131"/>
      <c r="HH91" s="131"/>
      <c r="HI91" s="131"/>
      <c r="HJ91" s="131"/>
      <c r="HK91" s="131"/>
      <c r="HL91" s="131"/>
      <c r="HM91" s="131"/>
      <c r="HN91" s="131"/>
      <c r="HO91" s="131"/>
      <c r="HP91" s="131"/>
      <c r="HQ91" s="131"/>
      <c r="HR91" s="131"/>
      <c r="HS91" s="131"/>
      <c r="HT91" s="131"/>
      <c r="HU91" s="131"/>
      <c r="HV91" s="131"/>
      <c r="HW91" s="131"/>
      <c r="HX91" s="131"/>
      <c r="HY91" s="131"/>
      <c r="HZ91" s="131"/>
      <c r="IA91" s="131"/>
      <c r="IB91" s="171"/>
      <c r="IC91" s="131"/>
      <c r="ID91" s="131"/>
      <c r="IE91" s="131"/>
      <c r="IF91" s="131"/>
      <c r="IG91" s="131"/>
      <c r="IH91" s="131"/>
      <c r="II91" s="131"/>
      <c r="IJ91" s="131"/>
      <c r="IK91" s="131"/>
      <c r="IL91" s="131"/>
      <c r="IM91" s="131"/>
      <c r="IN91" s="131"/>
      <c r="IO91" s="131"/>
      <c r="IP91" s="131"/>
      <c r="IQ91" s="131"/>
      <c r="IR91" s="131"/>
      <c r="IS91" s="131"/>
      <c r="IT91" s="94" t="s">
        <v>25</v>
      </c>
      <c r="IU91" s="94" t="s">
        <v>26</v>
      </c>
      <c r="IV91" s="94"/>
      <c r="IW91" s="94"/>
      <c r="IX91" s="94" t="s">
        <v>41</v>
      </c>
      <c r="IY91" s="94"/>
      <c r="IZ91" s="94"/>
      <c r="JA91" s="94"/>
      <c r="JB91" s="94"/>
      <c r="JC91" s="94"/>
      <c r="JD91" s="94" t="s">
        <v>57</v>
      </c>
      <c r="JE91" s="94" t="s">
        <v>37</v>
      </c>
      <c r="JF91" s="131"/>
      <c r="JG91" s="131"/>
      <c r="JH91" s="131"/>
      <c r="JI91" s="131"/>
      <c r="JJ91" s="131"/>
      <c r="JK91" s="131"/>
      <c r="JL91" s="131"/>
      <c r="JM91" s="131"/>
      <c r="JN91" s="131"/>
      <c r="JO91" s="131"/>
      <c r="JP91" s="131"/>
      <c r="JQ91" s="131"/>
      <c r="JR91" s="131"/>
      <c r="JS91" s="131"/>
      <c r="JT91" s="131"/>
      <c r="JU91" s="131"/>
      <c r="JV91" s="131"/>
      <c r="JW91" s="131"/>
      <c r="JX91" s="131"/>
      <c r="JY91" s="131"/>
      <c r="JZ91" s="131"/>
      <c r="KA91" s="131"/>
      <c r="KB91" s="131"/>
      <c r="KC91" s="131"/>
      <c r="KD91" s="131"/>
      <c r="KE91" s="131"/>
      <c r="KF91" s="131"/>
      <c r="KG91" s="131"/>
      <c r="KH91" s="131"/>
      <c r="KI91" s="131"/>
      <c r="KJ91" s="131"/>
      <c r="KK91" s="131"/>
      <c r="KL91" s="131"/>
      <c r="KM91" s="131"/>
      <c r="KN91" s="131"/>
      <c r="KO91" s="131"/>
      <c r="KP91" s="131"/>
      <c r="KQ91" s="131"/>
      <c r="KR91" s="131"/>
      <c r="KS91" s="131"/>
      <c r="KT91" s="131"/>
      <c r="KU91" s="131"/>
      <c r="KV91" s="131"/>
      <c r="KW91" s="131"/>
      <c r="KX91" s="131"/>
      <c r="KY91" s="131"/>
      <c r="KZ91" s="131"/>
      <c r="LA91" s="131"/>
      <c r="LB91" s="131"/>
      <c r="LC91" s="131"/>
      <c r="LD91" s="131"/>
      <c r="LE91" s="131"/>
      <c r="LF91" s="131"/>
      <c r="LG91" s="131"/>
      <c r="LH91" s="131"/>
      <c r="LI91" s="131"/>
      <c r="LJ91" s="131"/>
      <c r="LK91" s="131"/>
      <c r="LL91" s="131"/>
      <c r="LM91" s="131"/>
      <c r="LN91" s="131"/>
      <c r="LO91" s="131"/>
      <c r="LP91" s="131"/>
      <c r="LQ91" s="131"/>
      <c r="LR91" s="131"/>
      <c r="LS91" s="131"/>
      <c r="LT91" s="131"/>
      <c r="LU91" s="131"/>
      <c r="LV91" s="131"/>
      <c r="LW91" s="131"/>
      <c r="LX91" s="131"/>
      <c r="LY91" s="131"/>
      <c r="LZ91" s="131"/>
      <c r="MA91" s="131"/>
      <c r="MB91" s="131"/>
    </row>
    <row r="92" spans="1:340" s="50" customFormat="1" ht="31.5" hidden="1" customHeight="1" thickBot="1">
      <c r="A92" s="44">
        <v>1</v>
      </c>
      <c r="B92" s="107" t="s">
        <v>155</v>
      </c>
      <c r="C92" s="46" t="s">
        <v>156</v>
      </c>
      <c r="D92" s="105" t="s">
        <v>35</v>
      </c>
      <c r="E92" s="117" t="s">
        <v>36</v>
      </c>
      <c r="F92" s="106" t="s">
        <v>24</v>
      </c>
      <c r="G92" s="145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6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6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  <c r="BE92" s="131"/>
      <c r="BF92" s="131"/>
      <c r="BG92" s="131"/>
      <c r="BH92" s="131"/>
      <c r="BI92" s="131"/>
      <c r="BJ92" s="131"/>
      <c r="BK92" s="131"/>
      <c r="BL92" s="131"/>
      <c r="BM92" s="131"/>
      <c r="BN92" s="131"/>
      <c r="BO92" s="131"/>
      <c r="BP92" s="131"/>
      <c r="BQ92" s="131"/>
      <c r="BR92" s="131"/>
      <c r="BS92" s="131"/>
      <c r="BT92" s="131"/>
      <c r="BU92" s="131"/>
      <c r="BV92" s="131"/>
      <c r="BW92" s="131"/>
      <c r="BX92" s="131"/>
      <c r="BY92" s="131"/>
      <c r="BZ92" s="160"/>
      <c r="CA92" s="131"/>
      <c r="CB92" s="131"/>
      <c r="CC92" s="131"/>
      <c r="CD92" s="131"/>
      <c r="CE92" s="131"/>
      <c r="CF92" s="131"/>
      <c r="CG92" s="131"/>
      <c r="CH92" s="131"/>
      <c r="CI92" s="131"/>
      <c r="CJ92" s="131"/>
      <c r="CK92" s="131"/>
      <c r="CL92" s="131"/>
      <c r="CM92" s="131"/>
      <c r="CN92" s="131"/>
      <c r="CO92" s="131"/>
      <c r="CP92" s="131"/>
      <c r="CQ92" s="131"/>
      <c r="CR92" s="131"/>
      <c r="CS92" s="131"/>
      <c r="CT92" s="131"/>
      <c r="CU92" s="131"/>
      <c r="CV92" s="171"/>
      <c r="CW92" s="131"/>
      <c r="CX92" s="131"/>
      <c r="CY92" s="131"/>
      <c r="CZ92" s="131"/>
      <c r="DA92" s="131"/>
      <c r="DB92" s="131"/>
      <c r="DC92" s="131"/>
      <c r="DD92" s="131"/>
      <c r="DE92" s="131"/>
      <c r="DF92" s="131"/>
      <c r="DG92" s="131"/>
      <c r="DH92" s="131"/>
      <c r="DI92" s="131"/>
      <c r="DJ92" s="131"/>
      <c r="DK92" s="131"/>
      <c r="DL92" s="131"/>
      <c r="DM92" s="131"/>
      <c r="DN92" s="131"/>
      <c r="DO92" s="131"/>
      <c r="DP92" s="131"/>
      <c r="DQ92" s="131"/>
      <c r="DR92" s="131"/>
      <c r="DS92" s="131"/>
      <c r="DT92" s="131"/>
      <c r="DU92" s="131"/>
      <c r="DV92" s="131"/>
      <c r="DW92" s="131"/>
      <c r="DX92" s="131"/>
      <c r="DY92" s="131"/>
      <c r="DZ92" s="131"/>
      <c r="EA92" s="131"/>
      <c r="EB92" s="131"/>
      <c r="EC92" s="131"/>
      <c r="ED92" s="131"/>
      <c r="EE92" s="131"/>
      <c r="EF92" s="131"/>
      <c r="EG92" s="131"/>
      <c r="EH92" s="131"/>
      <c r="EI92" s="131"/>
      <c r="EJ92" s="131"/>
      <c r="EK92" s="131"/>
      <c r="EL92" s="131"/>
      <c r="EM92" s="131"/>
      <c r="EN92" s="131"/>
      <c r="EO92" s="131"/>
      <c r="EP92" s="131"/>
      <c r="EQ92" s="131"/>
      <c r="ER92" s="131"/>
      <c r="ES92" s="131"/>
      <c r="ET92" s="131"/>
      <c r="EU92" s="131"/>
      <c r="EV92" s="131"/>
      <c r="EW92" s="131"/>
      <c r="EX92" s="131"/>
      <c r="EY92" s="131"/>
      <c r="EZ92" s="131"/>
      <c r="FA92" s="131"/>
      <c r="FB92" s="131"/>
      <c r="FC92" s="131"/>
      <c r="FD92" s="131"/>
      <c r="FE92" s="131"/>
      <c r="FF92" s="131"/>
      <c r="FG92" s="131"/>
      <c r="FH92" s="131"/>
      <c r="FI92" s="131"/>
      <c r="FJ92" s="131"/>
      <c r="FK92" s="131"/>
      <c r="FL92" s="131"/>
      <c r="FM92" s="131"/>
      <c r="FN92" s="131"/>
      <c r="FO92" s="131"/>
      <c r="FP92" s="131"/>
      <c r="FQ92" s="131"/>
      <c r="FR92" s="131"/>
      <c r="FS92" s="131"/>
      <c r="FT92" s="131"/>
      <c r="FU92" s="131"/>
      <c r="FV92" s="131"/>
      <c r="FW92" s="131"/>
      <c r="FX92" s="131"/>
      <c r="FY92" s="131"/>
      <c r="FZ92" s="131"/>
      <c r="GA92" s="131"/>
      <c r="GB92" s="131"/>
      <c r="GC92" s="131"/>
      <c r="GD92" s="131"/>
      <c r="GE92" s="131"/>
      <c r="GF92" s="131"/>
      <c r="GG92" s="131"/>
      <c r="GH92" s="131"/>
      <c r="GI92" s="131"/>
      <c r="GJ92" s="131"/>
      <c r="GK92" s="131"/>
      <c r="GL92" s="131" t="s">
        <v>25</v>
      </c>
      <c r="GM92" s="93"/>
      <c r="GN92" s="94"/>
      <c r="GO92" s="94"/>
      <c r="GP92" s="94"/>
      <c r="GQ92" s="94"/>
      <c r="GR92" s="94" t="s">
        <v>26</v>
      </c>
      <c r="GS92" s="94"/>
      <c r="GT92" s="94"/>
      <c r="GU92" s="94"/>
      <c r="GV92" s="94"/>
      <c r="GW92" s="94"/>
      <c r="GX92" s="94"/>
      <c r="GY92" s="94"/>
      <c r="GZ92" s="94"/>
      <c r="HA92" s="94"/>
      <c r="HC92" s="94" t="s">
        <v>27</v>
      </c>
      <c r="HD92" s="94"/>
      <c r="HE92" s="94"/>
      <c r="HF92" s="94" t="s">
        <v>26</v>
      </c>
      <c r="HG92" s="94"/>
      <c r="HH92" s="94"/>
      <c r="HI92" s="94"/>
      <c r="HJ92" s="94"/>
      <c r="HK92" s="94"/>
      <c r="HL92" s="94"/>
      <c r="HM92" s="94"/>
      <c r="HN92" s="94"/>
      <c r="HO92" s="94"/>
      <c r="HP92" s="94"/>
      <c r="HQ92" s="94"/>
      <c r="HR92" s="94" t="s">
        <v>27</v>
      </c>
      <c r="HS92" s="94"/>
      <c r="HT92" s="94"/>
      <c r="HU92" s="94" t="s">
        <v>28</v>
      </c>
      <c r="HV92" s="94" t="s">
        <v>26</v>
      </c>
      <c r="HW92" s="94"/>
      <c r="HX92" s="94"/>
      <c r="HY92" s="94"/>
      <c r="HZ92" s="94"/>
      <c r="IA92" s="94" t="s">
        <v>41</v>
      </c>
      <c r="IB92" s="94"/>
      <c r="IC92" s="94"/>
      <c r="ID92" s="94"/>
      <c r="IE92" s="94" t="s">
        <v>28</v>
      </c>
      <c r="IF92" s="94"/>
      <c r="IG92" s="94"/>
      <c r="IH92" s="94"/>
      <c r="II92" s="94"/>
      <c r="IJ92" s="94" t="s">
        <v>28</v>
      </c>
      <c r="IK92" s="94"/>
      <c r="IL92" s="94"/>
      <c r="IM92" s="94"/>
      <c r="IN92" s="94"/>
      <c r="IO92" s="94"/>
      <c r="IP92" s="94"/>
      <c r="IQ92" s="94"/>
      <c r="IR92" s="94" t="s">
        <v>27</v>
      </c>
      <c r="IS92" s="49"/>
      <c r="IT92" s="94" t="s">
        <v>26</v>
      </c>
      <c r="IU92" s="94"/>
      <c r="IV92" s="94"/>
      <c r="IW92" s="94"/>
      <c r="IX92" s="94"/>
      <c r="IY92" s="94"/>
      <c r="IZ92" s="94"/>
      <c r="JA92" s="94"/>
      <c r="JB92" s="94"/>
      <c r="JC92" s="94" t="s">
        <v>27</v>
      </c>
      <c r="JD92" s="94"/>
      <c r="JE92" s="94" t="s">
        <v>26</v>
      </c>
      <c r="JF92" s="94"/>
      <c r="JG92" s="94"/>
      <c r="JH92" s="94"/>
      <c r="JI92" s="94"/>
      <c r="JJ92" s="94"/>
      <c r="JK92" s="94"/>
      <c r="JL92" s="94"/>
      <c r="JM92" s="94"/>
      <c r="JN92" s="94"/>
      <c r="JO92" s="94"/>
      <c r="JP92" s="94" t="s">
        <v>27</v>
      </c>
      <c r="JQ92" s="94"/>
      <c r="JR92" s="94" t="s">
        <v>26</v>
      </c>
      <c r="JS92" s="94"/>
      <c r="JT92" s="94"/>
      <c r="JU92" s="94"/>
      <c r="JV92" s="94"/>
      <c r="JW92" s="94"/>
      <c r="JX92" s="94"/>
      <c r="JY92" s="94"/>
      <c r="JZ92" s="94"/>
      <c r="KA92" s="94"/>
      <c r="KB92" s="94"/>
      <c r="KC92" s="94" t="s">
        <v>27</v>
      </c>
      <c r="KD92" s="94"/>
      <c r="KE92" s="94" t="s">
        <v>26</v>
      </c>
      <c r="KF92" s="94"/>
      <c r="KG92" s="94"/>
      <c r="KH92" s="94"/>
      <c r="KI92" s="94"/>
      <c r="KJ92" s="94"/>
      <c r="KK92" s="94"/>
      <c r="KL92" s="94"/>
      <c r="KM92" s="94"/>
      <c r="KN92" s="94"/>
      <c r="KO92" s="94"/>
      <c r="KP92" s="94" t="s">
        <v>27</v>
      </c>
      <c r="KQ92" s="94"/>
      <c r="KR92" s="94" t="s">
        <v>26</v>
      </c>
      <c r="KS92" s="94"/>
      <c r="KT92" s="94"/>
      <c r="KU92" s="94"/>
      <c r="KV92" s="94"/>
      <c r="KW92" s="94"/>
      <c r="KX92" s="94"/>
      <c r="KY92" s="94"/>
      <c r="KZ92" s="94"/>
      <c r="LA92" s="94"/>
      <c r="LB92" s="94"/>
      <c r="LC92" s="94" t="s">
        <v>27</v>
      </c>
      <c r="LD92" s="94"/>
      <c r="LE92" s="94" t="s">
        <v>26</v>
      </c>
      <c r="LF92" s="94"/>
      <c r="LG92" s="94"/>
      <c r="LH92" s="94"/>
      <c r="LI92" s="94"/>
      <c r="LJ92" s="94"/>
      <c r="LK92" s="94"/>
      <c r="LL92" s="94"/>
      <c r="LM92" s="94"/>
      <c r="LN92" s="94"/>
      <c r="LO92" s="94"/>
      <c r="LP92" s="94" t="s">
        <v>27</v>
      </c>
      <c r="LQ92" s="94"/>
      <c r="LR92" s="94" t="s">
        <v>26</v>
      </c>
      <c r="LS92" s="94"/>
      <c r="LT92" s="94"/>
      <c r="LU92" s="94"/>
      <c r="LV92" s="94"/>
      <c r="LW92" s="94"/>
      <c r="LX92" s="94"/>
      <c r="LY92" s="94"/>
      <c r="LZ92" s="94"/>
      <c r="MA92" s="94"/>
      <c r="MB92" s="94"/>
    </row>
    <row r="93" spans="1:340" s="50" customFormat="1" ht="31.5" customHeight="1" thickBot="1">
      <c r="A93" s="44">
        <v>1</v>
      </c>
      <c r="B93" s="107" t="s">
        <v>157</v>
      </c>
      <c r="C93" s="46" t="s">
        <v>158</v>
      </c>
      <c r="D93" s="105" t="s">
        <v>22</v>
      </c>
      <c r="E93" s="117" t="s">
        <v>76</v>
      </c>
      <c r="F93" s="106" t="s">
        <v>24</v>
      </c>
      <c r="G93" s="145"/>
      <c r="H93" s="131"/>
      <c r="I93" s="144"/>
      <c r="J93" s="94"/>
      <c r="K93" s="144"/>
      <c r="L93" s="94" t="s">
        <v>26</v>
      </c>
      <c r="M93" s="94" t="s">
        <v>26</v>
      </c>
      <c r="N93" s="94" t="s">
        <v>26</v>
      </c>
      <c r="O93" s="94" t="s">
        <v>26</v>
      </c>
      <c r="P93" s="94" t="s">
        <v>26</v>
      </c>
      <c r="Q93" s="94" t="s">
        <v>26</v>
      </c>
      <c r="R93" s="94"/>
      <c r="S93" s="94"/>
      <c r="T93" s="94"/>
      <c r="U93" s="94"/>
      <c r="V93" s="94"/>
      <c r="W93" s="94" t="s">
        <v>27</v>
      </c>
      <c r="X93" s="94"/>
      <c r="Y93" s="94"/>
      <c r="Z93" s="94"/>
      <c r="AA93" s="94"/>
      <c r="AB93" s="94" t="s">
        <v>27</v>
      </c>
      <c r="AC93" s="94"/>
      <c r="AD93" s="94"/>
      <c r="AE93" s="94"/>
      <c r="AF93" s="94" t="s">
        <v>27</v>
      </c>
      <c r="AG93" s="94"/>
      <c r="AH93" s="94"/>
      <c r="AI93" s="94"/>
      <c r="AJ93" s="94"/>
      <c r="AK93" s="94" t="s">
        <v>27</v>
      </c>
      <c r="AL93" s="94"/>
      <c r="AM93" s="94"/>
      <c r="AN93" s="94"/>
      <c r="AO93" s="94"/>
      <c r="AP93" s="94" t="s">
        <v>27</v>
      </c>
      <c r="AQ93" s="94"/>
      <c r="AR93" s="94"/>
      <c r="AS93" s="94"/>
      <c r="AT93" s="94"/>
      <c r="AU93" s="94" t="s">
        <v>27</v>
      </c>
      <c r="AV93" s="94"/>
      <c r="AW93" s="94"/>
      <c r="AX93" s="94"/>
      <c r="AY93" s="94"/>
      <c r="AZ93" s="94"/>
      <c r="BA93" s="94" t="s">
        <v>26</v>
      </c>
      <c r="BB93" s="94"/>
      <c r="BC93" s="94"/>
      <c r="BD93" s="94"/>
      <c r="BE93" s="94" t="s">
        <v>28</v>
      </c>
      <c r="BF93" s="94"/>
      <c r="BG93" s="94"/>
      <c r="BH93" s="94"/>
      <c r="BI93" s="94"/>
      <c r="BJ93" s="94"/>
      <c r="BK93" s="94"/>
      <c r="BL93" s="94" t="s">
        <v>41</v>
      </c>
      <c r="BM93" s="94"/>
      <c r="BN93" s="94" t="s">
        <v>57</v>
      </c>
      <c r="BO93" s="94"/>
      <c r="BP93" s="94"/>
      <c r="BQ93" s="94" t="s">
        <v>26</v>
      </c>
      <c r="BR93" s="94" t="s">
        <v>26</v>
      </c>
      <c r="BS93" s="94" t="s">
        <v>26</v>
      </c>
      <c r="BT93" s="94" t="s">
        <v>26</v>
      </c>
      <c r="BU93" s="94" t="s">
        <v>26</v>
      </c>
      <c r="BV93" s="94" t="s">
        <v>26</v>
      </c>
      <c r="BW93" s="94" t="s">
        <v>26</v>
      </c>
      <c r="BX93" s="94" t="s">
        <v>26</v>
      </c>
      <c r="BY93" s="94" t="s">
        <v>26</v>
      </c>
      <c r="BZ93" s="94" t="s">
        <v>26</v>
      </c>
      <c r="CA93" s="94" t="s">
        <v>26</v>
      </c>
      <c r="CB93" s="94" t="s">
        <v>26</v>
      </c>
      <c r="CC93" s="94"/>
      <c r="CD93" s="94"/>
      <c r="CE93" s="94"/>
      <c r="CF93" s="94"/>
      <c r="CG93" s="94" t="s">
        <v>41</v>
      </c>
      <c r="CH93" s="94"/>
      <c r="CI93" s="94"/>
      <c r="CJ93" s="94"/>
      <c r="CK93" s="94"/>
      <c r="CL93" s="94" t="s">
        <v>27</v>
      </c>
      <c r="CM93" s="94"/>
      <c r="CN93" s="94"/>
      <c r="CO93" s="94"/>
      <c r="CP93" s="94"/>
      <c r="CQ93" s="94" t="s">
        <v>41</v>
      </c>
      <c r="CR93" s="94"/>
      <c r="CS93" s="94"/>
      <c r="CT93" s="94"/>
      <c r="CU93" s="94"/>
      <c r="CW93" s="94" t="s">
        <v>27</v>
      </c>
      <c r="CX93" s="94"/>
      <c r="CY93" s="94"/>
      <c r="CZ93" s="94"/>
      <c r="DA93" s="94" t="s">
        <v>41</v>
      </c>
      <c r="DB93" s="94"/>
      <c r="DC93" s="94"/>
      <c r="DD93" s="94"/>
      <c r="DE93" s="94"/>
      <c r="DF93" s="94" t="s">
        <v>27</v>
      </c>
      <c r="DG93" s="94"/>
      <c r="DH93" s="94"/>
      <c r="DI93" s="94"/>
      <c r="DJ93" s="94"/>
      <c r="DK93" s="94" t="s">
        <v>41</v>
      </c>
      <c r="DL93" s="94"/>
      <c r="DM93" s="94"/>
      <c r="DN93" s="94"/>
      <c r="DO93" s="94"/>
      <c r="DP93" s="94" t="s">
        <v>27</v>
      </c>
      <c r="DQ93" s="94"/>
      <c r="DR93" s="94"/>
      <c r="DS93" s="94"/>
      <c r="DT93" s="94" t="s">
        <v>41</v>
      </c>
      <c r="DU93" s="94"/>
      <c r="DV93" s="94"/>
      <c r="DW93" s="94"/>
      <c r="DX93" s="94"/>
      <c r="DY93" s="94"/>
      <c r="DZ93" s="94" t="s">
        <v>27</v>
      </c>
      <c r="EA93" s="94"/>
      <c r="EB93" s="94"/>
      <c r="EC93" s="94"/>
      <c r="ED93" s="94" t="s">
        <v>41</v>
      </c>
      <c r="EE93" s="94"/>
      <c r="EF93" s="94"/>
      <c r="EG93" s="94"/>
      <c r="EH93" s="94" t="s">
        <v>27</v>
      </c>
      <c r="EI93" s="94"/>
      <c r="EJ93" s="94"/>
      <c r="EK93" s="94"/>
      <c r="EL93" s="94" t="s">
        <v>41</v>
      </c>
      <c r="EM93" s="94"/>
      <c r="EN93" s="94"/>
      <c r="EO93" s="94"/>
      <c r="EP93" s="94"/>
      <c r="EQ93" s="94" t="s">
        <v>27</v>
      </c>
      <c r="ER93" s="94"/>
      <c r="ES93" s="94"/>
      <c r="ET93" s="94"/>
      <c r="EU93" s="94"/>
      <c r="EV93" s="94"/>
      <c r="EW93" s="94"/>
      <c r="EX93" s="94" t="s">
        <v>41</v>
      </c>
      <c r="EY93" s="94"/>
      <c r="EZ93" s="94"/>
      <c r="FA93" s="94"/>
      <c r="FB93" s="94" t="s">
        <v>27</v>
      </c>
      <c r="FC93" s="94"/>
      <c r="FD93" s="94"/>
      <c r="FE93" s="94"/>
      <c r="FF93" s="94" t="s">
        <v>41</v>
      </c>
      <c r="FG93" s="94"/>
      <c r="FH93" s="94"/>
      <c r="FI93" s="94"/>
      <c r="FJ93" s="94"/>
      <c r="FK93" s="94" t="s">
        <v>27</v>
      </c>
      <c r="FL93" s="94"/>
      <c r="FM93" s="94"/>
      <c r="FN93" s="94"/>
      <c r="FO93" s="94" t="s">
        <v>41</v>
      </c>
      <c r="FP93" s="94"/>
      <c r="FQ93" s="94"/>
      <c r="FR93" s="94"/>
      <c r="FS93" s="94"/>
      <c r="FT93" s="94" t="s">
        <v>27</v>
      </c>
      <c r="FU93" s="94"/>
      <c r="FV93" s="94"/>
      <c r="FW93" s="94"/>
      <c r="FX93" s="94"/>
      <c r="FY93" s="94" t="s">
        <v>41</v>
      </c>
      <c r="FZ93" s="94"/>
      <c r="GA93" s="94"/>
      <c r="GB93" s="94"/>
      <c r="GC93" s="94"/>
      <c r="GD93" s="94"/>
      <c r="GE93" s="94" t="s">
        <v>27</v>
      </c>
      <c r="GF93" s="94"/>
      <c r="GG93" s="94"/>
      <c r="GH93" s="94"/>
      <c r="GI93" s="94"/>
      <c r="GJ93" s="94" t="s">
        <v>41</v>
      </c>
      <c r="GK93" s="94"/>
      <c r="GL93" s="94"/>
      <c r="GM93" s="94"/>
      <c r="GN93" s="94"/>
      <c r="GO93" s="94"/>
      <c r="GP93" s="94" t="s">
        <v>27</v>
      </c>
      <c r="GQ93" s="94"/>
      <c r="GR93" s="94"/>
      <c r="GS93" s="94"/>
      <c r="GT93" s="94"/>
      <c r="GU93" s="94" t="s">
        <v>26</v>
      </c>
      <c r="GV93" s="94" t="s">
        <v>26</v>
      </c>
      <c r="GW93" s="94" t="s">
        <v>26</v>
      </c>
      <c r="GX93" s="94" t="s">
        <v>26</v>
      </c>
      <c r="GY93" s="94" t="s">
        <v>26</v>
      </c>
      <c r="GZ93" s="94" t="s">
        <v>26</v>
      </c>
      <c r="HA93" s="94" t="s">
        <v>26</v>
      </c>
      <c r="HB93" s="94" t="s">
        <v>26</v>
      </c>
      <c r="HC93" s="94" t="s">
        <v>26</v>
      </c>
      <c r="HD93" s="94"/>
      <c r="HE93" s="94"/>
      <c r="HF93" s="94"/>
      <c r="HG93" s="94"/>
      <c r="HH93" s="94"/>
      <c r="HJ93" s="94"/>
      <c r="HK93" s="94" t="s">
        <v>27</v>
      </c>
      <c r="HL93" s="94"/>
      <c r="HM93" s="94"/>
      <c r="HN93" s="94"/>
      <c r="HO93" s="94"/>
      <c r="HQ93" s="94"/>
      <c r="HR93" s="94" t="s">
        <v>27</v>
      </c>
      <c r="HS93" s="94"/>
      <c r="HT93" s="94"/>
      <c r="HU93" s="94"/>
      <c r="HV93" s="94"/>
      <c r="HX93" s="94"/>
      <c r="HY93" s="94" t="s">
        <v>27</v>
      </c>
      <c r="HZ93" s="94"/>
      <c r="IA93" s="94"/>
      <c r="IB93" s="94"/>
      <c r="IC93" s="94"/>
      <c r="IE93" s="94"/>
      <c r="IF93" s="94" t="s">
        <v>27</v>
      </c>
      <c r="IG93" s="94"/>
      <c r="IH93" s="94"/>
      <c r="II93" s="94"/>
      <c r="IJ93" s="94"/>
      <c r="IK93" s="94"/>
      <c r="IL93" s="94"/>
      <c r="IM93" s="94" t="s">
        <v>27</v>
      </c>
      <c r="IN93" s="94"/>
      <c r="IO93" s="94"/>
      <c r="IP93" s="94"/>
      <c r="IQ93" s="94"/>
      <c r="IR93" s="186"/>
      <c r="IS93" s="189" t="s">
        <v>27</v>
      </c>
      <c r="IT93" s="187"/>
      <c r="IU93" s="94"/>
      <c r="IV93" s="94"/>
      <c r="IW93" s="94"/>
      <c r="IX93" s="94"/>
      <c r="IY93" s="94"/>
      <c r="JA93" s="94" t="s">
        <v>27</v>
      </c>
      <c r="JB93" s="94"/>
      <c r="JC93" s="94"/>
      <c r="JD93" s="94"/>
      <c r="JE93" s="94"/>
      <c r="JF93" s="94"/>
      <c r="JH93" s="94" t="s">
        <v>27</v>
      </c>
      <c r="JI93" s="94"/>
      <c r="JJ93" s="94"/>
      <c r="JK93" s="94" t="s">
        <v>26</v>
      </c>
      <c r="JL93" s="94" t="s">
        <v>26</v>
      </c>
      <c r="JM93" s="94" t="s">
        <v>26</v>
      </c>
      <c r="JN93" s="94" t="s">
        <v>26</v>
      </c>
      <c r="JO93" s="94" t="s">
        <v>26</v>
      </c>
      <c r="JP93" s="94" t="s">
        <v>26</v>
      </c>
      <c r="JQ93" s="94" t="s">
        <v>26</v>
      </c>
      <c r="JR93" s="94" t="s">
        <v>26</v>
      </c>
      <c r="JS93" s="94" t="s">
        <v>26</v>
      </c>
      <c r="JT93" s="94"/>
      <c r="JU93" s="94"/>
      <c r="JV93" s="94"/>
      <c r="JW93" s="94"/>
      <c r="JX93" s="94"/>
      <c r="JY93" s="94" t="s">
        <v>27</v>
      </c>
      <c r="JZ93" s="94"/>
      <c r="KA93" s="94"/>
      <c r="KB93" s="94"/>
      <c r="KC93" s="94"/>
      <c r="KD93" s="94"/>
      <c r="KE93" s="94" t="s">
        <v>27</v>
      </c>
      <c r="KF93" s="94"/>
      <c r="KG93" s="94"/>
      <c r="KH93" s="94"/>
      <c r="KI93" s="94"/>
      <c r="KJ93" s="94"/>
      <c r="KK93" s="94" t="s">
        <v>27</v>
      </c>
      <c r="KL93" s="94"/>
      <c r="KM93" s="94"/>
      <c r="KN93" s="94"/>
      <c r="KO93" s="94"/>
      <c r="KP93" s="94"/>
      <c r="KQ93" s="94" t="s">
        <v>27</v>
      </c>
      <c r="KR93" s="94"/>
      <c r="KS93" s="94"/>
      <c r="KT93" s="94"/>
      <c r="KU93" s="94"/>
      <c r="KV93" s="94"/>
      <c r="KW93" s="94" t="s">
        <v>27</v>
      </c>
      <c r="KX93" s="94"/>
      <c r="KY93" s="94"/>
      <c r="KZ93" s="94"/>
      <c r="LA93" s="94"/>
      <c r="LB93" s="94"/>
      <c r="LC93" s="94"/>
      <c r="LD93" s="94"/>
      <c r="LE93" s="94"/>
      <c r="LF93" s="94"/>
      <c r="LG93" s="94"/>
      <c r="LH93" s="94"/>
      <c r="LI93" s="94"/>
      <c r="LJ93" s="94"/>
      <c r="LK93" s="94"/>
      <c r="LL93" s="94"/>
      <c r="LM93" s="94"/>
      <c r="LN93" s="94"/>
      <c r="LO93" s="94"/>
      <c r="LP93" s="94"/>
      <c r="LQ93" s="94"/>
      <c r="LR93" s="94"/>
      <c r="LS93" s="94"/>
      <c r="LT93" s="94"/>
      <c r="LU93" s="94"/>
      <c r="LV93" s="94"/>
      <c r="LW93" s="94"/>
      <c r="LX93" s="94"/>
      <c r="LY93" s="94"/>
      <c r="LZ93" s="94"/>
      <c r="MA93" s="94"/>
      <c r="MB93" s="94"/>
    </row>
    <row r="94" spans="1:340" s="50" customFormat="1" ht="31.5" customHeight="1" thickBot="1">
      <c r="A94" s="44">
        <v>1</v>
      </c>
      <c r="B94" s="107" t="s">
        <v>155</v>
      </c>
      <c r="C94" s="46" t="s">
        <v>159</v>
      </c>
      <c r="D94" s="105" t="s">
        <v>22</v>
      </c>
      <c r="E94" s="117" t="s">
        <v>23</v>
      </c>
      <c r="F94" s="106" t="s">
        <v>24</v>
      </c>
      <c r="G94" s="145"/>
      <c r="H94" s="131"/>
      <c r="I94" s="131"/>
      <c r="J94" s="94" t="s">
        <v>26</v>
      </c>
      <c r="K94" s="94"/>
      <c r="L94" s="94" t="s">
        <v>26</v>
      </c>
      <c r="M94" s="94" t="s">
        <v>26</v>
      </c>
      <c r="N94" s="94"/>
      <c r="O94" s="94"/>
      <c r="P94" s="94" t="s">
        <v>41</v>
      </c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 t="s">
        <v>27</v>
      </c>
      <c r="AB94" s="94"/>
      <c r="AC94" s="94"/>
      <c r="AD94" s="94"/>
      <c r="AE94" s="94"/>
      <c r="AF94" s="94"/>
      <c r="AG94" s="144"/>
      <c r="AH94" s="94" t="s">
        <v>27</v>
      </c>
      <c r="AI94" s="94"/>
      <c r="AJ94" s="94"/>
      <c r="AK94" s="94"/>
      <c r="AL94" s="94" t="s">
        <v>26</v>
      </c>
      <c r="AM94" s="94" t="s">
        <v>26</v>
      </c>
      <c r="AN94" s="94" t="s">
        <v>26</v>
      </c>
      <c r="AO94" s="94"/>
      <c r="AP94" s="94"/>
      <c r="AQ94" s="94"/>
      <c r="AR94" s="94"/>
      <c r="AS94" s="94"/>
      <c r="AT94" s="94"/>
      <c r="AU94" s="94"/>
      <c r="AV94" s="94"/>
      <c r="AW94" s="94"/>
      <c r="AX94" s="94" t="s">
        <v>27</v>
      </c>
      <c r="AY94" s="94"/>
      <c r="AZ94" s="94"/>
      <c r="BA94" s="94"/>
      <c r="BB94" s="94"/>
      <c r="BC94" s="94"/>
      <c r="BD94" s="94"/>
      <c r="BE94" s="94" t="s">
        <v>28</v>
      </c>
      <c r="BF94" s="94"/>
      <c r="BG94" s="94"/>
      <c r="BI94" s="94" t="s">
        <v>27</v>
      </c>
      <c r="BJ94" s="94"/>
      <c r="BK94" s="94"/>
      <c r="BL94" s="94"/>
      <c r="BM94" s="94"/>
      <c r="BN94" s="94"/>
      <c r="BO94" s="94"/>
      <c r="BP94" s="94"/>
      <c r="BR94" s="94"/>
      <c r="BS94" s="94"/>
      <c r="BT94" s="94" t="s">
        <v>27</v>
      </c>
      <c r="BU94" s="94"/>
      <c r="BV94" s="94"/>
      <c r="BW94" s="94"/>
      <c r="BX94" s="94" t="s">
        <v>26</v>
      </c>
      <c r="BY94" s="94" t="s">
        <v>26</v>
      </c>
      <c r="BZ94" s="94" t="s">
        <v>26</v>
      </c>
      <c r="CA94" s="94"/>
      <c r="CB94" s="94"/>
      <c r="CC94" s="94"/>
      <c r="CD94" s="94"/>
      <c r="CE94" s="94"/>
      <c r="CF94" s="94"/>
      <c r="CG94" s="94"/>
      <c r="CH94" s="94"/>
      <c r="CI94" s="94"/>
      <c r="CJ94" s="94" t="s">
        <v>27</v>
      </c>
      <c r="CK94" s="94" t="s">
        <v>37</v>
      </c>
      <c r="CL94" s="131"/>
      <c r="CM94" s="131"/>
      <c r="CN94" s="131"/>
      <c r="CO94" s="131"/>
      <c r="CP94" s="131"/>
      <c r="CQ94" s="131"/>
      <c r="CR94" s="131"/>
      <c r="CS94" s="131"/>
      <c r="CT94" s="131"/>
      <c r="CU94" s="131"/>
      <c r="CV94" s="131"/>
      <c r="CW94" s="131"/>
      <c r="CX94" s="131"/>
      <c r="CY94" s="131"/>
      <c r="CZ94" s="131"/>
      <c r="DA94" s="131"/>
      <c r="DB94" s="131"/>
      <c r="DC94" s="131"/>
      <c r="DD94" s="131"/>
      <c r="DE94" s="131"/>
      <c r="DF94" s="131"/>
      <c r="DG94" s="131"/>
      <c r="DH94" s="131"/>
      <c r="DI94" s="131"/>
      <c r="DJ94" s="131"/>
      <c r="DK94" s="131"/>
      <c r="DL94" s="131"/>
      <c r="DM94" s="131"/>
      <c r="DN94" s="131"/>
      <c r="DO94" s="131"/>
      <c r="DP94" s="131"/>
      <c r="DQ94" s="131"/>
      <c r="DR94" s="131"/>
      <c r="DS94" s="131"/>
      <c r="DT94" s="131"/>
      <c r="DU94" s="131"/>
      <c r="DV94" s="131"/>
      <c r="DW94" s="131"/>
      <c r="DX94" s="131"/>
      <c r="DY94" s="131"/>
      <c r="DZ94" s="131"/>
      <c r="EA94" s="131"/>
      <c r="EB94" s="131"/>
      <c r="EC94" s="131"/>
      <c r="ED94" s="131"/>
      <c r="EE94" s="131"/>
      <c r="EF94" s="131"/>
      <c r="EG94" s="131"/>
      <c r="EH94" s="131"/>
      <c r="EI94" s="131"/>
      <c r="EJ94" s="131"/>
      <c r="EK94" s="131"/>
      <c r="EL94" s="131"/>
      <c r="EM94" s="131"/>
      <c r="EN94" s="131"/>
      <c r="EO94" s="131"/>
      <c r="EP94" s="131"/>
      <c r="EQ94" s="131"/>
      <c r="ER94" s="131"/>
      <c r="ES94" s="131"/>
      <c r="ET94" s="131"/>
      <c r="EU94" s="131"/>
      <c r="EV94" s="131"/>
      <c r="EW94" s="131"/>
      <c r="EX94" s="131"/>
      <c r="EY94" s="131"/>
      <c r="EZ94" s="131"/>
      <c r="FA94" s="131"/>
      <c r="FB94" s="131"/>
      <c r="FC94" s="131"/>
      <c r="FD94" s="131"/>
      <c r="FE94" s="131"/>
      <c r="FF94" s="131"/>
      <c r="FG94" s="131"/>
      <c r="FH94" s="131"/>
      <c r="FI94" s="131"/>
      <c r="FJ94" s="131"/>
      <c r="FK94" s="131"/>
      <c r="FL94" s="131"/>
      <c r="FM94" s="131" t="s">
        <v>25</v>
      </c>
      <c r="FN94" s="94"/>
      <c r="FO94" s="94"/>
      <c r="FP94" s="94"/>
      <c r="FQ94" s="94"/>
      <c r="FR94" s="94" t="s">
        <v>27</v>
      </c>
      <c r="FS94" s="94"/>
      <c r="FT94" s="94"/>
      <c r="FU94" s="94"/>
      <c r="FV94" s="94"/>
      <c r="FW94" s="94"/>
      <c r="FX94" s="94"/>
      <c r="FY94" s="94"/>
      <c r="FZ94" s="94"/>
      <c r="GA94" s="94" t="s">
        <v>27</v>
      </c>
      <c r="GB94" s="94"/>
      <c r="GC94" s="94"/>
      <c r="GD94" s="94"/>
      <c r="GE94" s="94"/>
      <c r="GF94" s="94"/>
      <c r="GG94" s="94"/>
      <c r="GH94" s="94"/>
      <c r="GI94" s="94"/>
      <c r="GJ94" s="94" t="s">
        <v>80</v>
      </c>
      <c r="GK94" s="94" t="s">
        <v>26</v>
      </c>
      <c r="GL94" s="94"/>
      <c r="GM94" s="94"/>
      <c r="GN94" s="94"/>
      <c r="GO94" s="94"/>
      <c r="GP94" s="94"/>
      <c r="GQ94" s="94"/>
      <c r="GR94" s="94"/>
      <c r="GS94" s="94"/>
      <c r="GT94" s="94"/>
      <c r="GU94" s="94"/>
      <c r="GV94" s="94"/>
      <c r="GW94" s="94" t="s">
        <v>27</v>
      </c>
      <c r="GX94" s="94"/>
      <c r="GY94" s="94"/>
      <c r="GZ94" s="94"/>
      <c r="HA94" s="94"/>
      <c r="HB94" s="94"/>
      <c r="HC94" s="94"/>
      <c r="HD94" s="94"/>
      <c r="HE94" s="94" t="s">
        <v>27</v>
      </c>
      <c r="HF94" s="94"/>
      <c r="HG94" s="94"/>
      <c r="HH94" s="94"/>
      <c r="HI94" s="94"/>
      <c r="HJ94" s="94" t="s">
        <v>42</v>
      </c>
      <c r="HK94" s="94" t="s">
        <v>27</v>
      </c>
      <c r="HL94" s="94"/>
      <c r="HM94" s="94"/>
      <c r="HN94" s="94"/>
      <c r="HO94" s="94" t="s">
        <v>26</v>
      </c>
      <c r="HP94" s="94"/>
      <c r="HQ94" s="94" t="s">
        <v>26</v>
      </c>
      <c r="HR94" s="94" t="s">
        <v>26</v>
      </c>
      <c r="HS94" s="94" t="s">
        <v>26</v>
      </c>
      <c r="HT94" s="94" t="s">
        <v>26</v>
      </c>
      <c r="HU94" s="94" t="s">
        <v>26</v>
      </c>
      <c r="HV94" s="94" t="s">
        <v>26</v>
      </c>
      <c r="HW94" s="94"/>
      <c r="HX94" s="94"/>
      <c r="HY94" s="94"/>
      <c r="HZ94" s="94"/>
      <c r="IA94" s="94"/>
      <c r="IB94" s="94" t="s">
        <v>27</v>
      </c>
      <c r="IC94" s="94"/>
      <c r="ID94" s="94"/>
      <c r="IE94" s="94"/>
      <c r="IF94" s="94"/>
      <c r="IG94" s="94"/>
      <c r="IH94" s="94"/>
      <c r="II94" s="94"/>
      <c r="IJ94" s="94"/>
      <c r="IK94" s="94"/>
      <c r="IL94" s="94" t="s">
        <v>27</v>
      </c>
      <c r="IM94" s="94"/>
      <c r="IN94" s="94"/>
      <c r="IO94" s="94"/>
      <c r="IP94" s="94"/>
      <c r="IQ94" s="94"/>
      <c r="IR94" s="94"/>
      <c r="IS94" s="188"/>
      <c r="IT94" s="94"/>
      <c r="IU94" s="94"/>
      <c r="IV94" s="94"/>
      <c r="IW94" s="94"/>
      <c r="IX94" s="94" t="s">
        <v>27</v>
      </c>
      <c r="IY94" s="94"/>
      <c r="IZ94" s="94"/>
      <c r="JA94" s="94"/>
      <c r="JB94" s="94"/>
      <c r="JC94" s="94"/>
      <c r="JD94" s="94"/>
      <c r="JE94" s="94"/>
      <c r="JF94" s="94"/>
      <c r="JG94" s="94"/>
      <c r="JH94" s="94" t="s">
        <v>27</v>
      </c>
      <c r="JI94" s="94"/>
      <c r="JJ94" s="94"/>
      <c r="JK94" s="94"/>
      <c r="JL94" s="94"/>
      <c r="JM94" s="94"/>
      <c r="JN94" s="94"/>
      <c r="JO94" s="94"/>
      <c r="JP94" s="94"/>
      <c r="JQ94" s="94"/>
      <c r="JR94" s="94" t="s">
        <v>27</v>
      </c>
      <c r="JS94" s="94"/>
      <c r="JT94" s="94"/>
      <c r="JU94" s="94"/>
      <c r="JV94" s="94"/>
      <c r="JW94" s="94"/>
      <c r="JX94" s="94"/>
      <c r="JY94" s="94" t="s">
        <v>27</v>
      </c>
      <c r="JZ94" s="94"/>
      <c r="KA94" s="94"/>
      <c r="KB94" s="94"/>
      <c r="KC94" s="94"/>
      <c r="KD94" s="94"/>
      <c r="KE94" s="94"/>
      <c r="KF94" s="94" t="s">
        <v>27</v>
      </c>
      <c r="KG94" s="94"/>
      <c r="KH94" s="94"/>
      <c r="KI94" s="94"/>
      <c r="KJ94" s="94" t="s">
        <v>26</v>
      </c>
      <c r="KK94" s="94" t="s">
        <v>26</v>
      </c>
      <c r="KL94" s="94" t="s">
        <v>26</v>
      </c>
      <c r="KM94" s="94" t="s">
        <v>26</v>
      </c>
      <c r="KN94" s="94"/>
      <c r="KO94" s="94"/>
      <c r="KP94" s="94"/>
      <c r="KQ94" s="94"/>
      <c r="KR94" s="94"/>
      <c r="KS94" s="94"/>
      <c r="KT94" s="94"/>
      <c r="KU94" s="94"/>
      <c r="KV94" s="94"/>
      <c r="KW94" s="94" t="s">
        <v>27</v>
      </c>
      <c r="KX94" s="94"/>
      <c r="KY94" s="94"/>
      <c r="KZ94" s="94"/>
      <c r="LA94" s="94"/>
      <c r="LB94" s="94"/>
      <c r="LC94" s="94"/>
      <c r="LD94" s="94"/>
      <c r="LE94" s="94"/>
      <c r="LF94" s="94"/>
      <c r="LG94" s="94" t="s">
        <v>27</v>
      </c>
      <c r="LH94" s="94"/>
      <c r="LI94" s="94"/>
      <c r="LJ94" s="94"/>
      <c r="LK94" s="94"/>
      <c r="LL94" s="94"/>
      <c r="LM94" s="94"/>
      <c r="LN94" s="94"/>
      <c r="LO94" s="94"/>
      <c r="LP94" s="94"/>
      <c r="LQ94" s="94" t="s">
        <v>27</v>
      </c>
      <c r="LR94" s="94"/>
      <c r="LS94" s="94"/>
      <c r="LT94" s="94"/>
      <c r="LU94" s="94"/>
      <c r="LV94" s="94"/>
      <c r="LW94" s="94"/>
      <c r="LX94" s="94"/>
      <c r="LY94" s="94"/>
      <c r="LZ94" s="94"/>
      <c r="MA94" s="94" t="s">
        <v>27</v>
      </c>
      <c r="MB94" s="94"/>
    </row>
    <row r="95" spans="1:340" s="50" customFormat="1" ht="31.5" customHeight="1" thickBot="1">
      <c r="A95" s="44">
        <v>1</v>
      </c>
      <c r="B95" s="107" t="s">
        <v>157</v>
      </c>
      <c r="C95" s="46" t="s">
        <v>160</v>
      </c>
      <c r="D95" s="105" t="s">
        <v>22</v>
      </c>
      <c r="E95" s="117" t="s">
        <v>76</v>
      </c>
      <c r="F95" s="106" t="s">
        <v>24</v>
      </c>
      <c r="G95" s="143"/>
      <c r="H95" s="94"/>
      <c r="I95" s="94"/>
      <c r="J95" s="94"/>
      <c r="K95" s="94"/>
      <c r="L95" s="94"/>
      <c r="M95" s="94"/>
      <c r="N95" s="144"/>
      <c r="O95" s="94" t="s">
        <v>27</v>
      </c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144"/>
      <c r="AA95" s="94"/>
      <c r="AB95" s="94"/>
      <c r="AC95" s="94"/>
      <c r="AD95" s="94" t="s">
        <v>27</v>
      </c>
      <c r="AE95" s="94"/>
      <c r="AF95" s="94"/>
      <c r="AG95" s="94"/>
      <c r="AH95" s="94"/>
      <c r="AI95" s="94"/>
      <c r="AJ95" s="94"/>
      <c r="AK95" s="94"/>
      <c r="AL95" s="94"/>
      <c r="AM95" s="94"/>
      <c r="AN95" s="94"/>
      <c r="AO95" s="94"/>
      <c r="AP95" s="94" t="s">
        <v>27</v>
      </c>
      <c r="AQ95" s="94"/>
      <c r="AR95" s="94"/>
      <c r="AS95" s="94"/>
      <c r="AT95" s="94"/>
      <c r="AU95" s="94"/>
      <c r="AV95" s="94"/>
      <c r="AW95" s="94"/>
      <c r="AX95" s="94"/>
      <c r="AY95" s="94"/>
      <c r="AZ95" s="94" t="s">
        <v>27</v>
      </c>
      <c r="BA95" s="94"/>
      <c r="BB95" s="94"/>
      <c r="BC95" s="94"/>
      <c r="BD95" s="94"/>
      <c r="BE95" s="94"/>
      <c r="BF95" s="94"/>
      <c r="BG95" s="94"/>
      <c r="BH95" s="94"/>
      <c r="BI95" s="94" t="s">
        <v>27</v>
      </c>
      <c r="BJ95" s="94"/>
      <c r="BK95" s="94"/>
      <c r="BL95" s="94"/>
      <c r="BM95" s="94"/>
      <c r="BN95" s="94"/>
      <c r="BO95" s="94"/>
      <c r="BP95" s="94"/>
      <c r="BQ95" s="94"/>
      <c r="BR95" s="94" t="s">
        <v>27</v>
      </c>
      <c r="BS95" s="94"/>
      <c r="BT95" s="94" t="s">
        <v>27</v>
      </c>
      <c r="BU95" s="94"/>
      <c r="BV95" s="94"/>
      <c r="BW95" s="94"/>
      <c r="BX95" s="94"/>
      <c r="BY95" s="94"/>
      <c r="BZ95" s="94"/>
      <c r="CA95" s="94"/>
      <c r="CB95" s="94"/>
      <c r="CC95" s="94" t="s">
        <v>27</v>
      </c>
      <c r="CD95" s="94"/>
      <c r="CE95" s="94"/>
      <c r="CF95" s="94"/>
      <c r="CG95" s="94"/>
      <c r="CH95" s="94"/>
      <c r="CI95" s="94"/>
      <c r="CJ95" s="94"/>
      <c r="CK95" s="94"/>
      <c r="CL95" s="94" t="s">
        <v>27</v>
      </c>
      <c r="CM95" s="94"/>
      <c r="CN95" s="94"/>
      <c r="CO95" s="94"/>
      <c r="CP95" s="94"/>
      <c r="CQ95" s="94"/>
      <c r="CR95" s="94"/>
      <c r="CS95" s="94"/>
      <c r="CT95" s="94"/>
      <c r="CU95" s="94"/>
      <c r="CV95" s="94"/>
      <c r="CW95" s="94" t="s">
        <v>27</v>
      </c>
      <c r="CX95" s="93"/>
      <c r="CY95" s="93"/>
      <c r="CZ95" s="93"/>
      <c r="DA95" s="93"/>
      <c r="DB95" s="93"/>
      <c r="DC95" s="94" t="s">
        <v>26</v>
      </c>
      <c r="DD95" s="94" t="s">
        <v>26</v>
      </c>
      <c r="DE95" s="94" t="s">
        <v>80</v>
      </c>
      <c r="DF95" s="94" t="s">
        <v>26</v>
      </c>
      <c r="DG95" s="94" t="s">
        <v>80</v>
      </c>
      <c r="DH95" s="94"/>
      <c r="DI95" s="94"/>
      <c r="DJ95" s="94"/>
      <c r="DK95" s="94"/>
      <c r="DL95" s="94"/>
      <c r="DM95" s="94"/>
      <c r="DN95" s="94"/>
      <c r="DO95" s="94" t="s">
        <v>27</v>
      </c>
      <c r="DP95" s="94"/>
      <c r="DQ95" s="94"/>
      <c r="DR95" s="94"/>
      <c r="DS95" s="94"/>
      <c r="DT95" s="94"/>
      <c r="DU95" s="94"/>
      <c r="DV95" s="94"/>
      <c r="DW95" s="94" t="s">
        <v>27</v>
      </c>
      <c r="DX95" s="94"/>
      <c r="DY95" s="94"/>
      <c r="DZ95" s="94"/>
      <c r="EA95" s="94"/>
      <c r="EB95" s="94"/>
      <c r="EC95" s="94"/>
      <c r="ED95" s="94" t="s">
        <v>27</v>
      </c>
      <c r="EE95" s="94"/>
      <c r="EF95" s="94"/>
      <c r="EG95" s="94"/>
      <c r="EH95" s="94"/>
      <c r="EI95" s="94"/>
      <c r="EJ95" s="94"/>
      <c r="EK95" s="94" t="s">
        <v>27</v>
      </c>
      <c r="EL95" s="94"/>
      <c r="EM95" s="94"/>
      <c r="EN95" s="94"/>
      <c r="EO95" s="94"/>
      <c r="EP95" s="94"/>
      <c r="EQ95" s="94"/>
      <c r="ER95" s="94" t="s">
        <v>27</v>
      </c>
      <c r="ES95" s="94"/>
      <c r="ET95" s="94"/>
      <c r="EU95" s="94"/>
      <c r="EV95" s="94"/>
      <c r="EW95" s="94"/>
      <c r="EX95" s="94"/>
      <c r="EY95" s="94"/>
      <c r="EZ95" s="94"/>
      <c r="FA95" s="94"/>
      <c r="FB95" s="94"/>
      <c r="FC95" s="94"/>
      <c r="FD95" s="94" t="s">
        <v>27</v>
      </c>
      <c r="FE95" s="94"/>
      <c r="FF95" s="94"/>
      <c r="FG95" s="94"/>
      <c r="FH95" s="94"/>
      <c r="FI95" s="94"/>
      <c r="FJ95" s="94"/>
      <c r="FK95" s="94"/>
      <c r="FL95" s="94" t="s">
        <v>27</v>
      </c>
      <c r="FM95" s="94"/>
      <c r="FN95" s="94"/>
      <c r="FO95" s="94" t="s">
        <v>26</v>
      </c>
      <c r="FP95" s="94" t="s">
        <v>26</v>
      </c>
      <c r="FQ95" s="94" t="s">
        <v>26</v>
      </c>
      <c r="FR95" s="94" t="s">
        <v>26</v>
      </c>
      <c r="FS95" s="94" t="s">
        <v>26</v>
      </c>
      <c r="FT95" s="94" t="s">
        <v>80</v>
      </c>
      <c r="FU95" s="94" t="s">
        <v>26</v>
      </c>
      <c r="FV95" s="94" t="s">
        <v>26</v>
      </c>
      <c r="FW95" s="94"/>
      <c r="FX95" s="94"/>
      <c r="FY95" s="94"/>
      <c r="FZ95" s="94"/>
      <c r="GA95" s="94"/>
      <c r="GB95" s="94" t="s">
        <v>27</v>
      </c>
      <c r="GC95" s="94"/>
      <c r="GD95" s="94"/>
      <c r="GE95" s="94"/>
      <c r="GF95" s="94"/>
      <c r="GG95" s="94"/>
      <c r="GH95" s="94"/>
      <c r="GI95" s="94" t="s">
        <v>27</v>
      </c>
      <c r="GJ95" s="94"/>
      <c r="GK95" s="94"/>
      <c r="GL95" s="94"/>
      <c r="GM95" s="94"/>
      <c r="GN95" s="94"/>
      <c r="GO95" s="94" t="s">
        <v>27</v>
      </c>
      <c r="GP95" s="94"/>
      <c r="GQ95" s="94"/>
      <c r="GR95" s="94"/>
      <c r="GS95" s="94"/>
      <c r="GT95" s="94" t="s">
        <v>27</v>
      </c>
      <c r="GU95" s="94"/>
      <c r="GV95" s="94"/>
      <c r="GW95" s="94"/>
      <c r="GX95" s="94"/>
      <c r="GY95" s="94"/>
      <c r="GZ95" s="94" t="s">
        <v>27</v>
      </c>
      <c r="HA95" s="94"/>
      <c r="HB95" s="94"/>
      <c r="HC95" s="94"/>
      <c r="HD95" s="94"/>
      <c r="HE95" s="94"/>
      <c r="HF95" s="94" t="s">
        <v>27</v>
      </c>
      <c r="HG95" s="94"/>
      <c r="HH95" s="94"/>
      <c r="HI95" s="94"/>
      <c r="HJ95" s="94"/>
      <c r="HK95" s="94"/>
      <c r="HL95" s="94" t="s">
        <v>27</v>
      </c>
      <c r="HM95" s="94"/>
      <c r="HN95" s="94"/>
      <c r="HO95" s="94"/>
      <c r="HP95" s="94"/>
      <c r="HQ95" s="94"/>
      <c r="HR95" s="94"/>
      <c r="HS95" s="94" t="s">
        <v>27</v>
      </c>
      <c r="HT95" s="94"/>
      <c r="HU95" s="94"/>
      <c r="HV95" s="94"/>
      <c r="HW95" s="94"/>
      <c r="HX95" s="94"/>
      <c r="HY95" s="94" t="s">
        <v>27</v>
      </c>
      <c r="HZ95" s="94"/>
      <c r="IA95" s="94"/>
      <c r="IB95" s="94"/>
      <c r="IC95" s="94" t="s">
        <v>26</v>
      </c>
      <c r="ID95" s="94"/>
      <c r="IE95" s="94" t="s">
        <v>26</v>
      </c>
      <c r="IF95" s="94" t="s">
        <v>26</v>
      </c>
      <c r="IG95" s="94"/>
      <c r="IH95" s="94"/>
      <c r="II95" s="94"/>
      <c r="IJ95" s="94"/>
      <c r="IK95" s="94"/>
      <c r="IL95" s="94"/>
      <c r="IM95" s="94"/>
      <c r="IN95" s="94" t="s">
        <v>27</v>
      </c>
      <c r="IO95" s="94"/>
      <c r="IP95" s="94"/>
      <c r="IQ95" s="94"/>
      <c r="IR95" s="94"/>
      <c r="IS95" s="94"/>
      <c r="IT95" s="94" t="s">
        <v>27</v>
      </c>
      <c r="IU95" s="94"/>
      <c r="IV95" s="94"/>
      <c r="IW95" s="94"/>
      <c r="IX95" s="94"/>
      <c r="IY95" s="94"/>
      <c r="IZ95" s="94" t="s">
        <v>27</v>
      </c>
      <c r="JA95" s="94"/>
      <c r="JB95" s="94"/>
      <c r="JC95" s="94"/>
      <c r="JD95" s="94"/>
      <c r="JE95" s="94" t="s">
        <v>26</v>
      </c>
      <c r="JF95" s="94" t="s">
        <v>26</v>
      </c>
      <c r="JG95" s="94" t="s">
        <v>26</v>
      </c>
      <c r="JH95" s="94" t="s">
        <v>26</v>
      </c>
      <c r="JI95" s="94"/>
      <c r="JJ95" s="94"/>
      <c r="JK95" s="94"/>
      <c r="JL95" s="94"/>
      <c r="JM95" s="94"/>
      <c r="JN95" s="94"/>
      <c r="JO95" s="94" t="s">
        <v>27</v>
      </c>
      <c r="JP95" s="94"/>
      <c r="JQ95" s="94"/>
      <c r="JR95" s="94"/>
      <c r="JS95" s="94"/>
      <c r="JT95" s="94"/>
      <c r="JU95" s="94"/>
      <c r="JV95" s="94"/>
      <c r="JW95" s="94"/>
      <c r="JX95" s="94" t="s">
        <v>27</v>
      </c>
      <c r="JY95" s="94"/>
      <c r="JZ95" s="94"/>
      <c r="KA95" s="94"/>
      <c r="KB95" s="94"/>
      <c r="KC95" s="94"/>
      <c r="KD95" s="94" t="s">
        <v>27</v>
      </c>
      <c r="KE95" s="94"/>
      <c r="KF95" s="94"/>
      <c r="KG95" s="94" t="s">
        <v>26</v>
      </c>
      <c r="KH95" s="94" t="s">
        <v>26</v>
      </c>
      <c r="KI95" s="94" t="s">
        <v>26</v>
      </c>
      <c r="KJ95" s="94" t="s">
        <v>26</v>
      </c>
      <c r="KK95" s="94" t="s">
        <v>26</v>
      </c>
      <c r="KL95" s="94" t="s">
        <v>26</v>
      </c>
      <c r="KM95" s="94" t="s">
        <v>26</v>
      </c>
      <c r="KN95" s="94" t="s">
        <v>26</v>
      </c>
      <c r="KO95" s="94"/>
      <c r="KP95" s="94"/>
      <c r="KQ95" s="94"/>
      <c r="KR95" s="94"/>
      <c r="KS95" s="94"/>
      <c r="KT95" s="94" t="s">
        <v>27</v>
      </c>
      <c r="KU95" s="94"/>
      <c r="KV95" s="94"/>
      <c r="KW95" s="94"/>
      <c r="KX95" s="94"/>
      <c r="KY95" s="94"/>
      <c r="KZ95" s="94" t="s">
        <v>27</v>
      </c>
      <c r="LA95" s="94"/>
      <c r="LB95" s="94"/>
      <c r="LC95" s="94"/>
      <c r="LD95" s="94"/>
      <c r="LE95" s="94"/>
      <c r="LF95" s="94" t="s">
        <v>27</v>
      </c>
      <c r="LG95" s="94"/>
      <c r="LH95" s="94"/>
      <c r="LI95" s="94"/>
      <c r="LJ95" s="94"/>
      <c r="LK95" s="94"/>
      <c r="LL95" s="94" t="s">
        <v>27</v>
      </c>
      <c r="LM95" s="94"/>
      <c r="LN95" s="94"/>
      <c r="LO95" s="94"/>
      <c r="LP95" s="94"/>
      <c r="LQ95" s="94"/>
      <c r="LR95" s="94" t="s">
        <v>27</v>
      </c>
      <c r="LS95" s="94"/>
      <c r="LT95" s="94"/>
      <c r="LU95" s="94"/>
      <c r="LV95" s="94"/>
      <c r="LW95" s="94"/>
      <c r="LX95" s="94" t="s">
        <v>27</v>
      </c>
      <c r="LY95" s="94"/>
      <c r="LZ95" s="94"/>
      <c r="MA95" s="94"/>
      <c r="MB95" s="94"/>
    </row>
    <row r="96" spans="1:340" s="50" customFormat="1" ht="31.5" customHeight="1" thickBot="1">
      <c r="A96" s="44">
        <v>1</v>
      </c>
      <c r="B96" s="107" t="s">
        <v>157</v>
      </c>
      <c r="C96" s="46" t="s">
        <v>161</v>
      </c>
      <c r="D96" s="105" t="s">
        <v>22</v>
      </c>
      <c r="E96" s="117" t="s">
        <v>76</v>
      </c>
      <c r="F96" s="106" t="s">
        <v>24</v>
      </c>
      <c r="G96" s="148"/>
      <c r="H96" s="93"/>
      <c r="I96" s="93" t="s">
        <v>27</v>
      </c>
      <c r="J96" s="93"/>
      <c r="K96" s="93"/>
      <c r="L96" s="93"/>
      <c r="M96" s="93"/>
      <c r="N96" s="93"/>
      <c r="O96" s="93"/>
      <c r="P96" s="93" t="s">
        <v>27</v>
      </c>
      <c r="Q96" s="93"/>
      <c r="R96" s="93"/>
      <c r="S96" s="93"/>
      <c r="T96" s="93"/>
      <c r="U96" s="93"/>
      <c r="V96" s="93" t="s">
        <v>27</v>
      </c>
      <c r="W96" s="93"/>
      <c r="X96" s="93"/>
      <c r="Y96" s="93"/>
      <c r="Z96" s="93"/>
      <c r="AA96" s="93"/>
      <c r="AB96" s="93"/>
      <c r="AC96" s="93"/>
      <c r="AD96" s="93"/>
      <c r="AE96" s="93" t="s">
        <v>27</v>
      </c>
      <c r="AF96" s="93"/>
      <c r="AG96" s="93"/>
      <c r="AH96" s="93"/>
      <c r="AI96" s="132"/>
      <c r="AJ96" s="132"/>
      <c r="AK96" s="132" t="s">
        <v>27</v>
      </c>
      <c r="AL96" s="132"/>
      <c r="AM96" s="132"/>
      <c r="AN96" s="132"/>
      <c r="AO96" s="132"/>
      <c r="AP96" s="132"/>
      <c r="AQ96" s="132"/>
      <c r="AR96" s="132"/>
      <c r="AS96" s="93" t="s">
        <v>27</v>
      </c>
      <c r="AT96" s="93"/>
      <c r="AU96" s="93"/>
      <c r="AV96" s="93"/>
      <c r="AW96" s="93"/>
      <c r="AX96" s="93"/>
      <c r="AY96" s="93"/>
      <c r="AZ96" s="93" t="s">
        <v>27</v>
      </c>
      <c r="BA96" s="93"/>
      <c r="BB96" s="144"/>
      <c r="BC96" s="93"/>
      <c r="BD96" s="93"/>
      <c r="BE96" s="93" t="s">
        <v>26</v>
      </c>
      <c r="BF96" s="93"/>
      <c r="BG96" s="93"/>
      <c r="BH96" s="93"/>
      <c r="BI96" s="93"/>
      <c r="BJ96" s="93"/>
      <c r="BK96" s="93"/>
      <c r="BL96" s="93"/>
      <c r="BM96" s="93" t="s">
        <v>28</v>
      </c>
      <c r="BN96" s="93"/>
      <c r="BO96" s="93"/>
      <c r="BP96" s="93"/>
      <c r="BQ96" s="93"/>
      <c r="BR96" s="93"/>
      <c r="BS96" s="93"/>
      <c r="BT96" s="93"/>
      <c r="BU96" s="93"/>
      <c r="BV96" s="93"/>
      <c r="BW96" s="93"/>
      <c r="BX96" s="93" t="s">
        <v>27</v>
      </c>
      <c r="BY96" s="93"/>
      <c r="BZ96" s="93" t="s">
        <v>26</v>
      </c>
      <c r="CA96" s="93" t="s">
        <v>26</v>
      </c>
      <c r="CB96" s="93" t="s">
        <v>26</v>
      </c>
      <c r="CC96" s="93"/>
      <c r="CD96" s="93"/>
      <c r="CE96" s="93"/>
      <c r="CF96" s="93"/>
      <c r="CG96" s="93"/>
      <c r="CH96" s="93"/>
      <c r="CI96" s="93"/>
      <c r="CJ96" s="93"/>
      <c r="CK96" s="93" t="s">
        <v>27</v>
      </c>
      <c r="CL96" s="93"/>
      <c r="CM96" s="93"/>
      <c r="CN96" s="93"/>
      <c r="CO96" s="93"/>
      <c r="CP96" s="93"/>
      <c r="CQ96" s="93"/>
      <c r="CR96" s="93" t="s">
        <v>27</v>
      </c>
      <c r="CS96" s="93"/>
      <c r="CT96" s="93"/>
      <c r="CU96" s="93"/>
      <c r="CV96" s="93"/>
      <c r="CW96" s="93"/>
      <c r="CX96" s="93"/>
      <c r="CY96" s="93" t="s">
        <v>27</v>
      </c>
      <c r="CZ96" s="93"/>
      <c r="DA96" s="93"/>
      <c r="DB96" s="94"/>
      <c r="DC96" s="94"/>
      <c r="DD96" s="94"/>
      <c r="DE96" s="94" t="s">
        <v>26</v>
      </c>
      <c r="DF96" s="94" t="s">
        <v>26</v>
      </c>
      <c r="DG96" s="94" t="s">
        <v>26</v>
      </c>
      <c r="DH96" s="94" t="s">
        <v>80</v>
      </c>
      <c r="DI96" s="94" t="s">
        <v>26</v>
      </c>
      <c r="DJ96" s="94" t="s">
        <v>26</v>
      </c>
      <c r="DK96" s="94" t="s">
        <v>26</v>
      </c>
      <c r="DL96" s="94" t="s">
        <v>26</v>
      </c>
      <c r="DM96" s="94" t="s">
        <v>26</v>
      </c>
      <c r="DN96" s="94" t="s">
        <v>26</v>
      </c>
      <c r="DO96" s="94"/>
      <c r="DP96" s="94"/>
      <c r="DQ96" s="94"/>
      <c r="DR96" s="94"/>
      <c r="DS96" s="94"/>
      <c r="DT96" s="94"/>
      <c r="DU96" s="94"/>
      <c r="DV96" s="94" t="s">
        <v>27</v>
      </c>
      <c r="DW96" s="94"/>
      <c r="DX96" s="94"/>
      <c r="DY96" s="94"/>
      <c r="DZ96" s="94"/>
      <c r="EA96" s="94"/>
      <c r="EB96" s="94"/>
      <c r="EC96" s="94"/>
      <c r="ED96" s="94"/>
      <c r="EE96" s="94"/>
      <c r="EF96" s="94" t="s">
        <v>27</v>
      </c>
      <c r="EG96" s="94"/>
      <c r="EH96" s="94"/>
      <c r="EI96" s="94"/>
      <c r="EJ96" s="94"/>
      <c r="EK96" s="94"/>
      <c r="EL96" s="94"/>
      <c r="EM96" s="94"/>
      <c r="EN96" s="94"/>
      <c r="EO96" s="94"/>
      <c r="EP96" s="94"/>
      <c r="EQ96" s="94" t="s">
        <v>27</v>
      </c>
      <c r="ER96" s="94"/>
      <c r="ES96" s="94"/>
      <c r="ET96" s="94"/>
      <c r="EU96" s="94"/>
      <c r="EV96" s="94"/>
      <c r="EW96" s="94" t="s">
        <v>27</v>
      </c>
      <c r="EX96" s="94"/>
      <c r="EY96" s="94"/>
      <c r="EZ96" s="94"/>
      <c r="FA96" s="94"/>
      <c r="FB96" s="94" t="s">
        <v>27</v>
      </c>
      <c r="FC96" s="94"/>
      <c r="FD96" s="94"/>
      <c r="FE96" s="94"/>
      <c r="FF96" s="94"/>
      <c r="FG96" s="94"/>
      <c r="FH96" s="94"/>
      <c r="FI96" s="94"/>
      <c r="FJ96" s="94"/>
      <c r="FK96" s="94"/>
      <c r="FL96" s="94" t="s">
        <v>27</v>
      </c>
      <c r="FM96" s="94"/>
      <c r="FN96" s="94"/>
      <c r="FO96" s="94"/>
      <c r="FP96" s="94"/>
      <c r="FQ96" s="94"/>
      <c r="FR96" s="94"/>
      <c r="FS96" s="94"/>
      <c r="FT96" s="94"/>
      <c r="FU96" s="94" t="s">
        <v>27</v>
      </c>
      <c r="FV96" s="94"/>
      <c r="FW96" s="94"/>
      <c r="FX96" s="94"/>
      <c r="FY96" s="94"/>
      <c r="FZ96" s="94"/>
      <c r="GA96" s="94"/>
      <c r="GB96" s="94"/>
      <c r="GC96" s="94"/>
      <c r="GD96" s="94" t="s">
        <v>27</v>
      </c>
      <c r="GE96" s="94"/>
      <c r="GF96" s="94"/>
      <c r="GG96" s="94"/>
      <c r="GH96" s="94"/>
      <c r="GI96" s="94"/>
      <c r="GJ96" s="94"/>
      <c r="GK96" s="94"/>
      <c r="GL96" s="94"/>
      <c r="GM96" s="94" t="s">
        <v>27</v>
      </c>
      <c r="GN96" s="94"/>
      <c r="GO96" s="94"/>
      <c r="GP96" s="94"/>
      <c r="GQ96" s="94"/>
      <c r="GR96" s="94"/>
      <c r="GS96" s="94"/>
      <c r="GT96" s="94"/>
      <c r="GU96" s="94"/>
      <c r="GV96" s="94" t="s">
        <v>27</v>
      </c>
      <c r="GW96" s="94"/>
      <c r="GX96" s="94"/>
      <c r="GY96" s="94"/>
      <c r="GZ96" s="94"/>
      <c r="HB96" s="94"/>
      <c r="HC96" s="94"/>
      <c r="HD96" s="94"/>
      <c r="HE96" s="94"/>
      <c r="HF96" s="94"/>
      <c r="HG96" s="94" t="s">
        <v>27</v>
      </c>
      <c r="HH96" s="94"/>
      <c r="HI96" s="94"/>
      <c r="HJ96" s="94"/>
      <c r="HK96" s="94" t="s">
        <v>26</v>
      </c>
      <c r="HL96" s="94"/>
      <c r="HM96" s="94"/>
      <c r="HN96" s="94"/>
      <c r="HO96" s="94"/>
      <c r="HP96" s="94"/>
      <c r="HQ96" s="94"/>
      <c r="HR96" s="94"/>
      <c r="HS96" s="94"/>
      <c r="HT96" s="94"/>
      <c r="HU96" s="94"/>
      <c r="HV96" s="94" t="s">
        <v>27</v>
      </c>
      <c r="HW96" s="94" t="s">
        <v>26</v>
      </c>
      <c r="HX96" s="94" t="s">
        <v>26</v>
      </c>
      <c r="HY96" s="94" t="s">
        <v>26</v>
      </c>
      <c r="HZ96" s="94"/>
      <c r="IA96" s="94"/>
      <c r="IB96" s="94"/>
      <c r="IC96" s="94"/>
      <c r="ID96" s="94"/>
      <c r="IE96" s="94"/>
      <c r="IF96" s="94" t="s">
        <v>27</v>
      </c>
      <c r="IG96" s="94"/>
      <c r="IH96" s="94"/>
      <c r="II96" s="94"/>
      <c r="IJ96" s="94"/>
      <c r="IK96" s="94"/>
      <c r="IL96" s="94" t="s">
        <v>27</v>
      </c>
      <c r="IM96" s="94"/>
      <c r="IN96" s="94"/>
      <c r="IO96" s="94"/>
      <c r="IP96" s="94"/>
      <c r="IQ96" s="94"/>
      <c r="IR96" s="94"/>
      <c r="IS96" s="94" t="s">
        <v>27</v>
      </c>
      <c r="IT96" s="94"/>
      <c r="IU96" s="94"/>
      <c r="IV96" s="94"/>
      <c r="IW96" s="94"/>
      <c r="IX96" s="94" t="s">
        <v>26</v>
      </c>
      <c r="IY96" s="94" t="s">
        <v>26</v>
      </c>
      <c r="IZ96" s="94" t="s">
        <v>26</v>
      </c>
      <c r="JA96" s="94"/>
      <c r="JB96" s="94"/>
      <c r="JC96" s="94"/>
      <c r="JD96" s="94"/>
      <c r="JE96" s="94"/>
      <c r="JF96" s="94"/>
      <c r="JG96" s="94"/>
      <c r="JH96" s="94" t="s">
        <v>27</v>
      </c>
      <c r="JI96" s="94"/>
      <c r="JJ96" s="94"/>
      <c r="JK96" s="94"/>
      <c r="JL96" s="94"/>
      <c r="JM96" s="94"/>
      <c r="JN96" s="94"/>
      <c r="JO96" s="94"/>
      <c r="JP96" s="94" t="s">
        <v>27</v>
      </c>
      <c r="JQ96" s="94"/>
      <c r="JR96" s="94"/>
      <c r="JS96" s="94"/>
      <c r="JT96" s="94"/>
      <c r="JU96" s="94"/>
      <c r="JV96" s="94"/>
      <c r="JW96" s="94"/>
      <c r="JX96" s="94" t="s">
        <v>27</v>
      </c>
      <c r="JY96" s="94"/>
      <c r="JZ96" s="94"/>
      <c r="KA96" s="94"/>
      <c r="KB96" s="94" t="s">
        <v>26</v>
      </c>
      <c r="KC96" s="94" t="s">
        <v>26</v>
      </c>
      <c r="KD96" s="94" t="s">
        <v>26</v>
      </c>
      <c r="KE96" s="94"/>
      <c r="KF96" s="94"/>
      <c r="KG96" s="94"/>
      <c r="KH96" s="94"/>
      <c r="KI96" s="94"/>
      <c r="KJ96" s="94"/>
      <c r="KK96" s="94"/>
      <c r="KL96" s="94" t="s">
        <v>27</v>
      </c>
      <c r="KM96" s="94"/>
      <c r="KN96" s="94"/>
      <c r="KO96" s="94"/>
      <c r="KP96" s="94"/>
      <c r="KQ96" s="94"/>
      <c r="KR96" s="94"/>
      <c r="KS96" s="94"/>
      <c r="KT96" s="94" t="s">
        <v>27</v>
      </c>
      <c r="KU96" s="94"/>
      <c r="KV96" s="94"/>
      <c r="KW96" s="94"/>
      <c r="KX96" s="94"/>
      <c r="KY96" s="94"/>
      <c r="KZ96" s="94"/>
      <c r="LA96" s="94"/>
      <c r="LB96" s="94" t="s">
        <v>27</v>
      </c>
      <c r="LC96" s="94"/>
      <c r="LD96" s="94"/>
      <c r="LE96" s="94"/>
      <c r="LF96" s="94"/>
      <c r="LG96" s="94" t="s">
        <v>26</v>
      </c>
      <c r="LH96" s="94" t="s">
        <v>26</v>
      </c>
      <c r="LI96" s="94" t="s">
        <v>26</v>
      </c>
      <c r="LJ96" s="94"/>
      <c r="LK96" s="94"/>
      <c r="LL96" s="94"/>
      <c r="LM96" s="94"/>
      <c r="LN96" s="94"/>
      <c r="LO96" s="94"/>
      <c r="LP96" s="94"/>
      <c r="LQ96" s="94" t="s">
        <v>27</v>
      </c>
      <c r="LR96" s="94"/>
      <c r="LS96" s="94"/>
      <c r="LT96" s="94"/>
      <c r="LU96" s="94"/>
      <c r="LV96" s="94"/>
      <c r="LW96" s="94"/>
      <c r="LX96" s="94"/>
      <c r="LY96" s="94" t="s">
        <v>27</v>
      </c>
      <c r="LZ96" s="94"/>
      <c r="MA96" s="94"/>
      <c r="MB96" s="94"/>
    </row>
    <row r="97" spans="1:340" s="50" customFormat="1" ht="31.5" hidden="1" customHeight="1" thickBot="1">
      <c r="A97" s="44">
        <v>1</v>
      </c>
      <c r="B97" s="107" t="s">
        <v>155</v>
      </c>
      <c r="C97" s="46" t="s">
        <v>162</v>
      </c>
      <c r="D97" s="105" t="s">
        <v>35</v>
      </c>
      <c r="E97" s="117" t="s">
        <v>36</v>
      </c>
      <c r="F97" s="106" t="s">
        <v>24</v>
      </c>
      <c r="G97" s="145"/>
      <c r="H97" s="131"/>
      <c r="I97" s="131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14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I97" s="94"/>
      <c r="BJ97" s="94"/>
      <c r="BK97" s="172"/>
      <c r="BL97" s="94"/>
      <c r="BM97" s="94"/>
      <c r="BN97" s="94"/>
      <c r="BO97" s="94"/>
      <c r="BP97" s="94"/>
      <c r="BR97" s="94"/>
      <c r="BS97" s="94"/>
      <c r="BT97" s="94"/>
      <c r="BU97" s="94"/>
      <c r="BV97" s="94"/>
      <c r="BW97" s="94"/>
      <c r="BX97" s="94"/>
      <c r="BY97" s="94"/>
      <c r="BZ97" s="94"/>
      <c r="CA97" s="94"/>
      <c r="CB97" s="172"/>
      <c r="CC97" s="94"/>
      <c r="CD97" s="94"/>
      <c r="CE97" s="94"/>
      <c r="CF97" s="94"/>
      <c r="CG97" s="94"/>
      <c r="CH97" s="94"/>
      <c r="CI97" s="94"/>
      <c r="CJ97" s="94"/>
      <c r="CK97" s="94"/>
      <c r="CL97" s="131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1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1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1"/>
      <c r="FA97" s="131"/>
      <c r="FB97" s="131"/>
      <c r="FC97" s="131"/>
      <c r="FD97" s="131"/>
      <c r="FE97" s="131"/>
      <c r="FF97" s="131"/>
      <c r="FG97" s="131"/>
      <c r="FH97" s="131"/>
      <c r="FI97" s="131"/>
      <c r="FJ97" s="131"/>
      <c r="FK97" s="94" t="s">
        <v>25</v>
      </c>
      <c r="FL97" s="94"/>
      <c r="FM97" s="94"/>
      <c r="FN97" s="94" t="s">
        <v>26</v>
      </c>
      <c r="FO97" s="94" t="s">
        <v>26</v>
      </c>
      <c r="FP97" s="94" t="s">
        <v>26</v>
      </c>
      <c r="FQ97" s="94"/>
      <c r="FR97" s="94"/>
      <c r="FS97" s="94"/>
      <c r="FT97" s="94"/>
      <c r="FU97" s="94"/>
      <c r="FV97" s="94"/>
      <c r="FW97" s="94"/>
      <c r="FX97" s="94"/>
      <c r="FY97" s="94"/>
      <c r="FZ97" s="94"/>
      <c r="GA97" s="94"/>
      <c r="GB97" s="94"/>
      <c r="GC97" s="94" t="s">
        <v>27</v>
      </c>
      <c r="GD97" s="94"/>
      <c r="GE97" s="94"/>
      <c r="GF97" s="94"/>
      <c r="GG97" s="94"/>
      <c r="GH97" s="94"/>
      <c r="GI97" s="94"/>
      <c r="GJ97" s="94"/>
      <c r="GK97" s="94" t="s">
        <v>27</v>
      </c>
      <c r="GL97" s="94"/>
      <c r="GM97" s="94"/>
      <c r="GN97" s="94"/>
      <c r="GO97" s="94"/>
      <c r="GP97" s="94"/>
      <c r="GQ97" s="94"/>
      <c r="GR97" s="94"/>
      <c r="GS97" s="94"/>
      <c r="GT97" s="94" t="s">
        <v>27</v>
      </c>
      <c r="GU97" s="94"/>
      <c r="GV97" s="94"/>
      <c r="GW97" s="94"/>
      <c r="GX97" s="94"/>
      <c r="GY97" s="94"/>
      <c r="GZ97" s="94" t="s">
        <v>42</v>
      </c>
      <c r="HA97" s="94" t="s">
        <v>26</v>
      </c>
      <c r="HB97" s="94"/>
      <c r="HC97" s="94" t="s">
        <v>26</v>
      </c>
      <c r="HD97" s="94"/>
      <c r="HE97" s="94" t="s">
        <v>26</v>
      </c>
      <c r="HF97" s="94" t="s">
        <v>26</v>
      </c>
      <c r="HG97" s="94"/>
      <c r="HH97" s="94"/>
      <c r="HI97" s="94"/>
      <c r="HJ97" s="94"/>
      <c r="HK97" s="94"/>
      <c r="HL97" s="94"/>
      <c r="HM97" s="94" t="s">
        <v>27</v>
      </c>
      <c r="HN97" s="94"/>
      <c r="HO97" s="94"/>
      <c r="HP97" s="94"/>
      <c r="HQ97" s="94"/>
      <c r="HR97" s="94"/>
      <c r="HS97" s="94"/>
      <c r="HT97" s="94" t="s">
        <v>27</v>
      </c>
      <c r="HU97" s="94"/>
      <c r="HV97" s="94"/>
      <c r="HW97" s="94"/>
      <c r="HX97" s="94"/>
      <c r="HY97" s="94"/>
      <c r="HZ97" s="94"/>
      <c r="IA97" s="94"/>
      <c r="IB97" s="94"/>
      <c r="IC97" s="94"/>
      <c r="ID97" s="94" t="s">
        <v>27</v>
      </c>
      <c r="IE97" s="94"/>
      <c r="IF97" s="94"/>
      <c r="IG97" s="94"/>
      <c r="IH97" s="94"/>
      <c r="II97" s="94"/>
      <c r="IJ97" s="94"/>
      <c r="IK97" s="94"/>
      <c r="IL97" s="94" t="s">
        <v>27</v>
      </c>
      <c r="IM97" s="94"/>
      <c r="IN97" s="94"/>
      <c r="IO97" s="94"/>
      <c r="IP97" s="94"/>
      <c r="IQ97" s="94"/>
      <c r="IR97" s="94" t="s">
        <v>26</v>
      </c>
      <c r="IS97" s="94"/>
      <c r="IT97" s="94"/>
      <c r="IU97" s="94"/>
      <c r="IV97" s="94"/>
      <c r="IW97" s="94"/>
      <c r="IX97" s="94"/>
      <c r="IY97" s="94"/>
      <c r="IZ97" s="94"/>
      <c r="JA97" s="94"/>
      <c r="JB97" s="94"/>
      <c r="JC97" s="94" t="s">
        <v>27</v>
      </c>
      <c r="JD97" s="94" t="s">
        <v>26</v>
      </c>
      <c r="JE97" s="94" t="s">
        <v>26</v>
      </c>
      <c r="JF97" s="94"/>
      <c r="JG97" s="94"/>
      <c r="JH97" s="94"/>
      <c r="JI97" s="94"/>
      <c r="JJ97" s="94"/>
      <c r="JK97" s="94"/>
      <c r="JL97" s="94"/>
      <c r="JM97" s="94"/>
      <c r="JN97" s="94"/>
      <c r="JO97" s="94"/>
      <c r="JP97" s="94"/>
      <c r="JQ97" s="94"/>
      <c r="JR97" s="94"/>
      <c r="JS97" s="94"/>
      <c r="JT97" s="94"/>
      <c r="JU97" s="94"/>
      <c r="JV97" s="94"/>
      <c r="JW97" s="94"/>
      <c r="JX97" s="94"/>
      <c r="JY97" s="94"/>
      <c r="JZ97" s="94"/>
      <c r="KA97" s="94"/>
      <c r="KB97" s="94"/>
      <c r="KC97" s="94"/>
      <c r="KD97" s="94"/>
      <c r="KE97" s="94"/>
      <c r="KF97" s="94"/>
      <c r="KG97" s="94"/>
      <c r="KH97" s="94"/>
      <c r="KI97" s="94"/>
      <c r="KJ97" s="94"/>
      <c r="KK97" s="94"/>
      <c r="KL97" s="94"/>
      <c r="KM97" s="94"/>
      <c r="KN97" s="94"/>
      <c r="KO97" s="94"/>
      <c r="KP97" s="94"/>
      <c r="KQ97" s="94"/>
      <c r="KR97" s="94"/>
      <c r="KS97" s="94"/>
      <c r="KT97" s="94"/>
      <c r="KU97" s="94"/>
      <c r="KV97" s="94"/>
      <c r="KW97" s="94"/>
      <c r="KX97" s="94"/>
      <c r="KY97" s="94"/>
      <c r="KZ97" s="94"/>
      <c r="LA97" s="94"/>
      <c r="LB97" s="94"/>
      <c r="LC97" s="94"/>
      <c r="LD97" s="94"/>
      <c r="LE97" s="94"/>
      <c r="LF97" s="94"/>
      <c r="LG97" s="94"/>
      <c r="LH97" s="94"/>
      <c r="LI97" s="94"/>
      <c r="LJ97" s="94"/>
      <c r="LK97" s="94"/>
      <c r="LL97" s="94"/>
      <c r="LM97" s="94"/>
      <c r="LN97" s="94"/>
      <c r="LO97" s="94"/>
      <c r="LP97" s="94"/>
      <c r="LQ97" s="94"/>
      <c r="LR97" s="94"/>
      <c r="LS97" s="94"/>
      <c r="LT97" s="94"/>
      <c r="LU97" s="94"/>
      <c r="LV97" s="94"/>
      <c r="LW97" s="94"/>
      <c r="LX97" s="94"/>
      <c r="LY97" s="94"/>
      <c r="LZ97" s="94"/>
      <c r="MA97" s="94"/>
      <c r="MB97" s="94"/>
    </row>
    <row r="98" spans="1:340" s="50" customFormat="1" ht="31.5" customHeight="1" thickBot="1">
      <c r="A98" s="44">
        <v>1</v>
      </c>
      <c r="B98" s="107" t="s">
        <v>155</v>
      </c>
      <c r="C98" s="46" t="s">
        <v>163</v>
      </c>
      <c r="D98" s="105" t="s">
        <v>22</v>
      </c>
      <c r="E98" s="117" t="s">
        <v>76</v>
      </c>
      <c r="F98" s="106" t="s">
        <v>24</v>
      </c>
      <c r="G98" s="145"/>
      <c r="H98" s="131"/>
      <c r="I98" s="131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144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  <c r="AX98" s="94"/>
      <c r="AY98" s="94"/>
      <c r="AZ98" s="94"/>
      <c r="BA98" s="94"/>
      <c r="BB98" s="94"/>
      <c r="BC98" s="94"/>
      <c r="BD98" s="94"/>
      <c r="BE98" s="94"/>
      <c r="BF98" s="94"/>
      <c r="BG98" s="94"/>
      <c r="BI98" s="94"/>
      <c r="BJ98" s="94"/>
      <c r="BK98" s="172"/>
      <c r="BL98" s="94"/>
      <c r="BM98" s="94"/>
      <c r="BN98" s="94"/>
      <c r="BO98" s="94"/>
      <c r="BP98" s="94"/>
      <c r="BR98" s="94"/>
      <c r="BS98" s="94"/>
      <c r="BT98" s="94"/>
      <c r="BU98" s="94"/>
      <c r="BV98" s="94"/>
      <c r="BW98" s="94"/>
      <c r="BX98" s="94"/>
      <c r="BY98" s="94"/>
      <c r="BZ98" s="94"/>
      <c r="CA98" s="94"/>
      <c r="CB98" s="172"/>
      <c r="CC98" s="94"/>
      <c r="CD98" s="94"/>
      <c r="CE98" s="94"/>
      <c r="CF98" s="94"/>
      <c r="CG98" s="94"/>
      <c r="CH98" s="94"/>
      <c r="CI98" s="94"/>
      <c r="CJ98" s="94"/>
      <c r="CK98" s="94"/>
      <c r="CL98" s="131"/>
      <c r="CM98" s="131"/>
      <c r="CN98" s="131"/>
      <c r="CO98" s="131"/>
      <c r="CP98" s="131"/>
      <c r="CQ98" s="131"/>
      <c r="CR98" s="131"/>
      <c r="CS98" s="131"/>
      <c r="CT98" s="131"/>
      <c r="CU98" s="131"/>
      <c r="CV98" s="131"/>
      <c r="CW98" s="131"/>
      <c r="CX98" s="131"/>
      <c r="CY98" s="131"/>
      <c r="CZ98" s="131"/>
      <c r="DA98" s="131"/>
      <c r="DB98" s="131"/>
      <c r="DC98" s="131"/>
      <c r="DD98" s="131"/>
      <c r="DE98" s="131"/>
      <c r="DF98" s="131"/>
      <c r="DG98" s="131"/>
      <c r="DH98" s="131"/>
      <c r="DI98" s="131"/>
      <c r="DJ98" s="131"/>
      <c r="DK98" s="131"/>
      <c r="DL98" s="131"/>
      <c r="DM98" s="131"/>
      <c r="DN98" s="131"/>
      <c r="DO98" s="131"/>
      <c r="DP98" s="131"/>
      <c r="DQ98" s="131"/>
      <c r="DR98" s="131"/>
      <c r="DS98" s="131"/>
      <c r="DT98" s="131"/>
      <c r="DU98" s="131"/>
      <c r="DV98" s="131"/>
      <c r="DW98" s="131"/>
      <c r="DX98" s="131"/>
      <c r="DY98" s="131"/>
      <c r="DZ98" s="131"/>
      <c r="EA98" s="131"/>
      <c r="EB98" s="131"/>
      <c r="EC98" s="131"/>
      <c r="ED98" s="131"/>
      <c r="EE98" s="131"/>
      <c r="EF98" s="131"/>
      <c r="EG98" s="131"/>
      <c r="EH98" s="131"/>
      <c r="EI98" s="131"/>
      <c r="EJ98" s="131"/>
      <c r="EK98" s="131"/>
      <c r="EL98" s="131"/>
      <c r="EM98" s="131"/>
      <c r="EN98" s="131"/>
      <c r="EO98" s="131"/>
      <c r="EP98" s="131"/>
      <c r="EQ98" s="131"/>
      <c r="ER98" s="131"/>
      <c r="ES98" s="131"/>
      <c r="ET98" s="131"/>
      <c r="EU98" s="131"/>
      <c r="EV98" s="131"/>
      <c r="EW98" s="131"/>
      <c r="EX98" s="131"/>
      <c r="EY98" s="131"/>
      <c r="EZ98" s="131"/>
      <c r="FA98" s="131"/>
      <c r="FB98" s="131"/>
      <c r="FC98" s="131"/>
      <c r="FD98" s="131"/>
      <c r="FE98" s="131"/>
      <c r="FF98" s="131"/>
      <c r="FG98" s="131"/>
      <c r="FH98" s="131"/>
      <c r="FI98" s="131"/>
      <c r="FJ98" s="131"/>
      <c r="FK98" s="131"/>
      <c r="FL98" s="131"/>
      <c r="FM98" s="131"/>
      <c r="FN98" s="131"/>
      <c r="FO98" s="131"/>
      <c r="FP98" s="131"/>
      <c r="FQ98" s="131"/>
      <c r="FR98" s="131"/>
      <c r="FS98" s="131"/>
      <c r="FT98" s="131"/>
      <c r="FU98" s="131"/>
      <c r="FV98" s="131"/>
      <c r="FW98" s="131"/>
      <c r="FX98" s="131"/>
      <c r="FY98" s="131"/>
      <c r="FZ98" s="131"/>
      <c r="GA98" s="131"/>
      <c r="GB98" s="131"/>
      <c r="GC98" s="131"/>
      <c r="GD98" s="131"/>
      <c r="GE98" s="131"/>
      <c r="GF98" s="131"/>
      <c r="GG98" s="131"/>
      <c r="GH98" s="131"/>
      <c r="GI98" s="131"/>
      <c r="GJ98" s="131"/>
      <c r="GK98" s="131"/>
      <c r="GL98" s="131"/>
      <c r="GM98" s="131"/>
      <c r="GN98" s="131"/>
      <c r="GO98" s="131"/>
      <c r="GP98" s="131"/>
      <c r="GQ98" s="131"/>
      <c r="GR98" s="131"/>
      <c r="GS98" s="131"/>
      <c r="GT98" s="131"/>
      <c r="GU98" s="131"/>
      <c r="GV98" s="131"/>
      <c r="GW98" s="131"/>
      <c r="GX98" s="131"/>
      <c r="GY98" s="131"/>
      <c r="GZ98" s="131"/>
      <c r="HA98" s="131"/>
      <c r="HB98" s="131"/>
      <c r="HC98" s="131"/>
      <c r="HD98" s="131"/>
      <c r="HE98" s="131"/>
      <c r="HF98" s="131"/>
      <c r="HG98" s="131"/>
      <c r="HH98" s="131"/>
      <c r="HI98" s="131"/>
      <c r="HJ98" s="131"/>
      <c r="HK98" s="131"/>
      <c r="HL98" s="131"/>
      <c r="HM98" s="131"/>
      <c r="HN98" s="131"/>
      <c r="HO98" s="131"/>
      <c r="HP98" s="131"/>
      <c r="HQ98" s="131"/>
      <c r="HR98" s="131"/>
      <c r="HS98" s="131"/>
      <c r="HT98" s="131"/>
      <c r="HU98" s="131"/>
      <c r="HV98" s="131"/>
      <c r="HW98" s="131"/>
      <c r="HX98" s="131"/>
      <c r="HY98" s="131"/>
      <c r="HZ98" s="131"/>
      <c r="IA98" s="131"/>
      <c r="IB98" s="94" t="s">
        <v>25</v>
      </c>
      <c r="IC98" s="94"/>
      <c r="ID98" s="94"/>
      <c r="IE98" s="94"/>
      <c r="IF98" s="94"/>
      <c r="IG98" s="94" t="s">
        <v>26</v>
      </c>
      <c r="IH98" s="94"/>
      <c r="II98" s="94"/>
      <c r="IJ98" s="94"/>
      <c r="IK98" s="94"/>
      <c r="IL98" s="94"/>
      <c r="IM98" s="94"/>
      <c r="IN98" s="94"/>
      <c r="IP98" s="94"/>
      <c r="IQ98" s="94"/>
      <c r="IR98" s="94" t="s">
        <v>27</v>
      </c>
      <c r="IS98" s="94"/>
      <c r="IT98" s="94"/>
      <c r="IU98" s="94" t="s">
        <v>26</v>
      </c>
      <c r="IV98" s="94" t="s">
        <v>26</v>
      </c>
      <c r="IW98" s="94" t="s">
        <v>26</v>
      </c>
      <c r="IX98" s="94"/>
      <c r="IY98" s="94"/>
      <c r="IZ98" s="94"/>
      <c r="JA98" s="94"/>
      <c r="JB98" s="94"/>
      <c r="JC98" s="94" t="s">
        <v>27</v>
      </c>
      <c r="JD98" s="94"/>
      <c r="JE98" s="94"/>
      <c r="JF98" s="94"/>
      <c r="JG98" s="94"/>
      <c r="JH98" s="94"/>
      <c r="JI98" s="94"/>
      <c r="JJ98" s="94" t="s">
        <v>27</v>
      </c>
      <c r="JK98" s="94"/>
      <c r="JL98" s="93"/>
      <c r="JM98" s="93"/>
      <c r="JN98" s="93"/>
      <c r="JO98" s="93"/>
      <c r="JP98" s="93"/>
      <c r="JQ98" s="93" t="s">
        <v>27</v>
      </c>
      <c r="JR98" s="94"/>
      <c r="JS98" s="94"/>
      <c r="JT98" s="94"/>
      <c r="JU98" s="94"/>
      <c r="JV98" s="94"/>
      <c r="JW98" s="94"/>
      <c r="JX98" s="94"/>
      <c r="JY98" s="94"/>
      <c r="JZ98" s="94"/>
      <c r="KA98" s="94"/>
      <c r="KB98" s="94"/>
      <c r="KC98" s="94"/>
      <c r="KD98" s="94"/>
      <c r="KE98" s="94"/>
      <c r="KF98" s="94"/>
      <c r="KG98" s="94"/>
      <c r="KH98" s="94"/>
      <c r="KI98" s="94"/>
      <c r="KJ98" s="94"/>
      <c r="KK98" s="94"/>
      <c r="KL98" s="94"/>
      <c r="KM98" s="94"/>
      <c r="KN98" s="94"/>
      <c r="KO98" s="94"/>
      <c r="KP98" s="94"/>
      <c r="KQ98" s="94"/>
      <c r="KR98" s="94"/>
      <c r="KS98" s="94"/>
      <c r="KT98" s="94"/>
      <c r="KU98" s="94"/>
      <c r="KV98" s="94"/>
      <c r="KW98" s="94"/>
      <c r="KX98" s="94"/>
      <c r="KY98" s="94"/>
      <c r="KZ98" s="94"/>
      <c r="LA98" s="94"/>
      <c r="LB98" s="94"/>
      <c r="LC98" s="94"/>
      <c r="LD98" s="94"/>
      <c r="LE98" s="94"/>
      <c r="LF98" s="94"/>
      <c r="LG98" s="94"/>
      <c r="LH98" s="94"/>
      <c r="LI98" s="94"/>
      <c r="LJ98" s="94"/>
      <c r="LK98" s="94"/>
      <c r="LL98" s="94"/>
      <c r="LM98" s="94"/>
      <c r="LN98" s="94"/>
      <c r="LO98" s="94"/>
      <c r="LP98" s="94"/>
      <c r="LQ98" s="94"/>
      <c r="LR98" s="94"/>
      <c r="LS98" s="94"/>
      <c r="LT98" s="94"/>
      <c r="LU98" s="94"/>
      <c r="LV98" s="94"/>
      <c r="LW98" s="94"/>
      <c r="LX98" s="94"/>
      <c r="LY98" s="94"/>
      <c r="LZ98" s="94"/>
      <c r="MA98" s="94"/>
      <c r="MB98" s="94"/>
    </row>
    <row r="99" spans="1:340" s="50" customFormat="1" ht="31.5" hidden="1" customHeight="1" thickBot="1">
      <c r="A99" s="44">
        <v>1</v>
      </c>
      <c r="B99" s="107" t="s">
        <v>155</v>
      </c>
      <c r="C99" s="46" t="s">
        <v>164</v>
      </c>
      <c r="D99" s="105" t="s">
        <v>35</v>
      </c>
      <c r="E99" s="117" t="s">
        <v>36</v>
      </c>
      <c r="F99" s="106" t="s">
        <v>24</v>
      </c>
      <c r="G99" s="145"/>
      <c r="H99" s="131"/>
      <c r="I99" s="131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14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I99" s="94"/>
      <c r="BJ99" s="94"/>
      <c r="BK99" s="172"/>
      <c r="BL99" s="94"/>
      <c r="BM99" s="94"/>
      <c r="BN99" s="94"/>
      <c r="BO99" s="94"/>
      <c r="BP99" s="94"/>
      <c r="BR99" s="94"/>
      <c r="BS99" s="94"/>
      <c r="BT99" s="94"/>
      <c r="BU99" s="94"/>
      <c r="BV99" s="94"/>
      <c r="BW99" s="94"/>
      <c r="BX99" s="94"/>
      <c r="BY99" s="94"/>
      <c r="BZ99" s="94"/>
      <c r="CA99" s="94"/>
      <c r="CB99" s="172"/>
      <c r="CC99" s="94"/>
      <c r="CD99" s="94"/>
      <c r="CE99" s="94"/>
      <c r="CF99" s="94"/>
      <c r="CG99" s="94"/>
      <c r="CH99" s="94"/>
      <c r="CI99" s="94"/>
      <c r="CJ99" s="94"/>
      <c r="CK99" s="94"/>
      <c r="CL99" s="131"/>
      <c r="CM99" s="131"/>
      <c r="CN99" s="131"/>
      <c r="CO99" s="131"/>
      <c r="CP99" s="131"/>
      <c r="CQ99" s="131"/>
      <c r="CR99" s="131"/>
      <c r="CS99" s="131"/>
      <c r="CT99" s="131"/>
      <c r="CU99" s="131"/>
      <c r="CV99" s="131"/>
      <c r="CW99" s="131"/>
      <c r="CX99" s="131"/>
      <c r="CY99" s="131"/>
      <c r="CZ99" s="131"/>
      <c r="DA99" s="131"/>
      <c r="DB99" s="131"/>
      <c r="DC99" s="131"/>
      <c r="DD99" s="131"/>
      <c r="DE99" s="131"/>
      <c r="DF99" s="131"/>
      <c r="DG99" s="131"/>
      <c r="DH99" s="131"/>
      <c r="DI99" s="131"/>
      <c r="DJ99" s="131"/>
      <c r="DK99" s="131"/>
      <c r="DL99" s="131"/>
      <c r="DM99" s="131"/>
      <c r="DN99" s="131"/>
      <c r="DO99" s="131"/>
      <c r="DP99" s="131"/>
      <c r="DQ99" s="131"/>
      <c r="DR99" s="131"/>
      <c r="DS99" s="131"/>
      <c r="DT99" s="131"/>
      <c r="DU99" s="131"/>
      <c r="DV99" s="131"/>
      <c r="DW99" s="131"/>
      <c r="DX99" s="131"/>
      <c r="DY99" s="131"/>
      <c r="DZ99" s="131"/>
      <c r="EA99" s="131"/>
      <c r="EB99" s="131"/>
      <c r="EC99" s="131"/>
      <c r="ED99" s="131"/>
      <c r="EE99" s="131"/>
      <c r="EF99" s="131"/>
      <c r="EG99" s="131"/>
      <c r="EH99" s="131"/>
      <c r="EI99" s="131"/>
      <c r="EJ99" s="131"/>
      <c r="EK99" s="131"/>
      <c r="EL99" s="131"/>
      <c r="EM99" s="131"/>
      <c r="EN99" s="131"/>
      <c r="EO99" s="131"/>
      <c r="EP99" s="131"/>
      <c r="EQ99" s="131"/>
      <c r="ER99" s="131"/>
      <c r="ES99" s="131"/>
      <c r="ET99" s="131"/>
      <c r="EU99" s="131"/>
      <c r="EV99" s="131"/>
      <c r="EW99" s="131"/>
      <c r="EX99" s="131"/>
      <c r="EY99" s="131"/>
      <c r="EZ99" s="131"/>
      <c r="FA99" s="131"/>
      <c r="FB99" s="131"/>
      <c r="FC99" s="131"/>
      <c r="FD99" s="131"/>
      <c r="FE99" s="131"/>
      <c r="FF99" s="131"/>
      <c r="FG99" s="131"/>
      <c r="FH99" s="131"/>
      <c r="FI99" s="131"/>
      <c r="FJ99" s="131"/>
      <c r="FK99" s="131"/>
      <c r="FL99" s="131"/>
      <c r="FM99" s="94" t="s">
        <v>25</v>
      </c>
      <c r="FN99" s="94"/>
      <c r="FO99" s="94"/>
      <c r="FP99" s="94"/>
      <c r="FQ99" s="94" t="s">
        <v>26</v>
      </c>
      <c r="FR99" s="94" t="s">
        <v>26</v>
      </c>
      <c r="FS99" s="94" t="s">
        <v>26</v>
      </c>
      <c r="FT99" s="94"/>
      <c r="FU99" s="94" t="s">
        <v>26</v>
      </c>
      <c r="FV99" s="94"/>
      <c r="FW99" s="94"/>
      <c r="FX99" s="94"/>
      <c r="FY99" s="94"/>
      <c r="FZ99" s="94" t="s">
        <v>41</v>
      </c>
      <c r="GA99" s="94"/>
      <c r="GB99" s="94"/>
      <c r="GC99" s="94"/>
      <c r="GD99" s="94"/>
      <c r="GE99" s="94"/>
      <c r="GF99" s="94" t="s">
        <v>41</v>
      </c>
      <c r="GG99" s="94"/>
      <c r="GH99" s="94"/>
      <c r="GI99" s="94"/>
      <c r="GJ99" s="94"/>
      <c r="GK99" s="94"/>
      <c r="GL99" s="94"/>
      <c r="GM99" s="94"/>
      <c r="GN99" s="94"/>
      <c r="GO99" s="94" t="s">
        <v>41</v>
      </c>
      <c r="GP99" s="94"/>
      <c r="GQ99" s="94"/>
      <c r="GR99" s="94"/>
      <c r="GS99" s="94"/>
      <c r="GT99" s="94"/>
      <c r="GU99" s="94"/>
      <c r="GV99" s="94"/>
      <c r="GW99" s="94"/>
      <c r="GX99" s="94"/>
      <c r="GY99" s="94"/>
      <c r="GZ99" s="94"/>
      <c r="HA99" s="94"/>
      <c r="HB99" s="94"/>
      <c r="HC99" s="94"/>
      <c r="HD99" s="94"/>
      <c r="HE99" s="94"/>
      <c r="HF99" s="94" t="s">
        <v>27</v>
      </c>
      <c r="HG99" s="94"/>
      <c r="HH99" s="94"/>
      <c r="HI99" s="94"/>
      <c r="HJ99" s="94"/>
      <c r="HK99" s="94"/>
      <c r="HL99" s="94"/>
      <c r="HM99" s="94"/>
      <c r="HN99" s="94"/>
      <c r="HO99" s="94"/>
      <c r="HP99" s="94" t="s">
        <v>27</v>
      </c>
      <c r="HQ99" s="94"/>
      <c r="HR99" s="94"/>
      <c r="HS99" s="94"/>
      <c r="HT99" s="94"/>
      <c r="HU99" s="94"/>
      <c r="HV99" s="94"/>
      <c r="HW99" s="94"/>
      <c r="HX99" s="94" t="s">
        <v>27</v>
      </c>
      <c r="HY99" s="94"/>
      <c r="HZ99" s="94"/>
      <c r="IB99" s="94"/>
      <c r="IC99" s="94"/>
      <c r="ID99" s="94"/>
      <c r="IE99" s="94"/>
      <c r="IF99" s="94"/>
      <c r="IG99" s="94"/>
      <c r="IH99" s="94"/>
      <c r="II99" s="94" t="s">
        <v>27</v>
      </c>
      <c r="IJ99" s="94"/>
      <c r="IK99" s="94"/>
      <c r="IL99" s="94"/>
      <c r="IM99" s="94"/>
      <c r="IN99" s="94" t="s">
        <v>26</v>
      </c>
      <c r="IO99" s="94" t="s">
        <v>26</v>
      </c>
      <c r="IP99" s="94"/>
      <c r="IQ99" s="94"/>
      <c r="IR99" s="94" t="s">
        <v>41</v>
      </c>
      <c r="IS99" s="94"/>
      <c r="IT99" s="94"/>
      <c r="IU99" s="94"/>
      <c r="IV99" s="94"/>
      <c r="IW99" s="94"/>
      <c r="IX99" s="94"/>
      <c r="IY99" s="94"/>
      <c r="IZ99" s="94"/>
      <c r="JA99" s="94" t="s">
        <v>27</v>
      </c>
      <c r="JB99" s="94"/>
      <c r="JC99" s="94"/>
      <c r="JD99" s="94"/>
      <c r="JE99" s="94"/>
      <c r="JF99" s="94"/>
      <c r="JG99" s="94"/>
      <c r="JH99" s="94"/>
      <c r="JI99" s="94"/>
      <c r="JJ99" s="94"/>
      <c r="JK99" s="94"/>
      <c r="JL99" s="94" t="s">
        <v>27</v>
      </c>
      <c r="JM99" s="94"/>
      <c r="JN99" s="94"/>
      <c r="JO99" s="94"/>
      <c r="JP99" s="94"/>
      <c r="JQ99" s="94"/>
      <c r="JR99" s="94"/>
      <c r="JS99" s="94"/>
      <c r="JT99" s="94"/>
      <c r="JU99" s="94"/>
      <c r="JV99" s="94"/>
      <c r="JW99" s="94" t="s">
        <v>27</v>
      </c>
      <c r="JX99" s="94"/>
      <c r="JY99" s="94"/>
      <c r="JZ99" s="94"/>
      <c r="KA99" s="94"/>
      <c r="KB99" s="94"/>
      <c r="KC99" s="94"/>
      <c r="KD99" s="94"/>
      <c r="KE99" s="94"/>
      <c r="KF99" s="94"/>
      <c r="KG99" s="94"/>
      <c r="KH99" s="94"/>
      <c r="KI99" s="94"/>
      <c r="KJ99" s="94"/>
      <c r="KK99" s="94"/>
      <c r="KL99" s="94"/>
      <c r="KM99" s="94"/>
      <c r="KN99" s="94"/>
      <c r="KO99" s="94"/>
      <c r="KP99" s="94"/>
      <c r="KQ99" s="94"/>
      <c r="KR99" s="94"/>
      <c r="KS99" s="94"/>
      <c r="KT99" s="94"/>
      <c r="KU99" s="94"/>
      <c r="KV99" s="94"/>
      <c r="KW99" s="94"/>
      <c r="KX99" s="94"/>
      <c r="KY99" s="94"/>
      <c r="KZ99" s="94"/>
      <c r="LA99" s="94"/>
      <c r="LB99" s="94"/>
      <c r="LC99" s="94"/>
      <c r="LD99" s="94"/>
      <c r="LE99" s="94"/>
      <c r="LF99" s="94"/>
      <c r="LG99" s="94"/>
      <c r="LH99" s="94"/>
      <c r="LI99" s="94"/>
      <c r="LJ99" s="94"/>
      <c r="LK99" s="94"/>
      <c r="LL99" s="94"/>
      <c r="LM99" s="94"/>
      <c r="LN99" s="94"/>
      <c r="LO99" s="94"/>
      <c r="LP99" s="94"/>
      <c r="LQ99" s="94"/>
      <c r="LR99" s="94"/>
      <c r="LS99" s="94"/>
      <c r="LT99" s="94"/>
      <c r="LU99" s="94"/>
      <c r="LV99" s="94"/>
      <c r="LW99" s="94"/>
      <c r="LX99" s="94"/>
      <c r="LY99" s="94"/>
      <c r="LZ99" s="94"/>
      <c r="MA99" s="94"/>
      <c r="MB99" s="94"/>
    </row>
    <row r="100" spans="1:340" s="50" customFormat="1" ht="31.5" hidden="1" customHeight="1">
      <c r="A100" s="44">
        <v>1</v>
      </c>
      <c r="B100" s="107" t="s">
        <v>155</v>
      </c>
      <c r="C100" s="46" t="s">
        <v>165</v>
      </c>
      <c r="D100" s="105" t="s">
        <v>35</v>
      </c>
      <c r="E100" s="117" t="s">
        <v>36</v>
      </c>
      <c r="F100" s="106" t="s">
        <v>24</v>
      </c>
      <c r="G100" s="145"/>
      <c r="H100" s="131"/>
      <c r="I100" s="131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144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  <c r="AX100" s="94"/>
      <c r="AY100" s="94"/>
      <c r="AZ100" s="94"/>
      <c r="BA100" s="94"/>
      <c r="BB100" s="94"/>
      <c r="BC100" s="94"/>
      <c r="BD100" s="94"/>
      <c r="BE100" s="94"/>
      <c r="BF100" s="94"/>
      <c r="BG100" s="94"/>
      <c r="BI100" s="94"/>
      <c r="BJ100" s="94"/>
      <c r="BK100" s="172"/>
      <c r="BL100" s="94"/>
      <c r="BM100" s="94"/>
      <c r="BN100" s="94"/>
      <c r="BO100" s="94"/>
      <c r="BP100" s="94"/>
      <c r="BR100" s="94"/>
      <c r="BS100" s="94"/>
      <c r="BT100" s="94"/>
      <c r="BU100" s="94"/>
      <c r="BV100" s="94"/>
      <c r="BW100" s="94"/>
      <c r="BX100" s="94"/>
      <c r="BY100" s="94"/>
      <c r="BZ100" s="94"/>
      <c r="CA100" s="94"/>
      <c r="CB100" s="172"/>
      <c r="CC100" s="94"/>
      <c r="CD100" s="94"/>
      <c r="CE100" s="94"/>
      <c r="CF100" s="94"/>
      <c r="CG100" s="94"/>
      <c r="CH100" s="94"/>
      <c r="CI100" s="94"/>
      <c r="CJ100" s="94"/>
      <c r="CK100" s="94"/>
      <c r="CL100" s="131"/>
      <c r="CM100" s="131"/>
      <c r="CN100" s="131"/>
      <c r="CO100" s="131"/>
      <c r="CP100" s="131"/>
      <c r="CQ100" s="131"/>
      <c r="CR100" s="131"/>
      <c r="CS100" s="131"/>
      <c r="CT100" s="131"/>
      <c r="CU100" s="131"/>
      <c r="CV100" s="131"/>
      <c r="CW100" s="131"/>
      <c r="CX100" s="131"/>
      <c r="CY100" s="131"/>
      <c r="CZ100" s="131"/>
      <c r="DA100" s="131"/>
      <c r="DB100" s="131"/>
      <c r="DC100" s="131"/>
      <c r="DD100" s="131"/>
      <c r="DE100" s="131"/>
      <c r="DF100" s="131"/>
      <c r="DG100" s="131"/>
      <c r="DH100" s="131"/>
      <c r="DI100" s="131"/>
      <c r="DJ100" s="131"/>
      <c r="DK100" s="131"/>
      <c r="DL100" s="131"/>
      <c r="DM100" s="131"/>
      <c r="DN100" s="131"/>
      <c r="DO100" s="131"/>
      <c r="DP100" s="131"/>
      <c r="DQ100" s="131"/>
      <c r="DR100" s="131"/>
      <c r="DS100" s="131"/>
      <c r="DT100" s="131"/>
      <c r="DU100" s="131"/>
      <c r="DV100" s="131"/>
      <c r="DW100" s="131"/>
      <c r="DX100" s="131"/>
      <c r="DY100" s="131"/>
      <c r="DZ100" s="131"/>
      <c r="EA100" s="131"/>
      <c r="EB100" s="131"/>
      <c r="EC100" s="131"/>
      <c r="ED100" s="131"/>
      <c r="EE100" s="131"/>
      <c r="EF100" s="131"/>
      <c r="EG100" s="131"/>
      <c r="EH100" s="131"/>
      <c r="EI100" s="131"/>
      <c r="EJ100" s="131"/>
      <c r="EK100" s="131"/>
      <c r="EL100" s="131"/>
      <c r="EM100" s="131"/>
      <c r="EN100" s="131"/>
      <c r="EO100" s="131"/>
      <c r="EP100" s="131"/>
      <c r="EQ100" s="131"/>
      <c r="ER100" s="131"/>
      <c r="ES100" s="131"/>
      <c r="ET100" s="131"/>
      <c r="EU100" s="131"/>
      <c r="EV100" s="131"/>
      <c r="EW100" s="131"/>
      <c r="EX100" s="131"/>
      <c r="EY100" s="131"/>
      <c r="EZ100" s="131"/>
      <c r="FA100" s="131"/>
      <c r="FB100" s="131"/>
      <c r="FC100" s="131"/>
      <c r="FD100" s="131"/>
      <c r="FE100" s="131"/>
      <c r="FF100" s="131"/>
      <c r="FG100" s="131"/>
      <c r="FH100" s="131"/>
      <c r="FI100" s="131"/>
      <c r="FJ100" s="131"/>
      <c r="FK100" s="131"/>
      <c r="FL100" s="131"/>
      <c r="FM100" s="131"/>
      <c r="FN100" s="131"/>
      <c r="FO100" s="131"/>
      <c r="FP100" s="131"/>
      <c r="FQ100" s="131"/>
      <c r="FR100" s="131"/>
      <c r="FS100" s="131"/>
      <c r="FT100" s="131"/>
      <c r="FU100" s="131"/>
      <c r="FV100" s="131"/>
      <c r="FW100" s="131"/>
      <c r="FX100" s="131"/>
      <c r="FY100" s="131"/>
      <c r="FZ100" s="131"/>
      <c r="GA100" s="131"/>
      <c r="GB100" s="131"/>
      <c r="GC100" s="131"/>
      <c r="GD100" s="131"/>
      <c r="GE100" s="131"/>
      <c r="GF100" s="131"/>
      <c r="GG100" s="131"/>
      <c r="GH100" s="131"/>
      <c r="GI100" s="131"/>
      <c r="GJ100" s="131"/>
      <c r="GK100" s="131"/>
      <c r="GL100" s="131"/>
      <c r="GM100" s="131" t="s">
        <v>25</v>
      </c>
      <c r="GN100" s="94"/>
      <c r="GO100" s="94"/>
      <c r="GP100" s="94"/>
      <c r="GQ100" s="94"/>
      <c r="GR100" s="94"/>
      <c r="GS100" s="94" t="s">
        <v>26</v>
      </c>
      <c r="GT100" s="94"/>
      <c r="GU100" s="94" t="s">
        <v>26</v>
      </c>
      <c r="GV100" s="94"/>
      <c r="GW100" s="94" t="s">
        <v>26</v>
      </c>
      <c r="GX100" s="94"/>
      <c r="GY100" s="94"/>
      <c r="GZ100" s="94"/>
      <c r="HA100" s="94"/>
      <c r="HB100" s="94"/>
      <c r="HC100" s="94" t="s">
        <v>41</v>
      </c>
      <c r="HD100" s="94"/>
      <c r="HE100" s="94"/>
      <c r="HF100" s="94"/>
      <c r="HG100" s="94"/>
      <c r="HH100" s="94" t="s">
        <v>41</v>
      </c>
      <c r="HI100" s="94"/>
      <c r="HJ100" s="94"/>
      <c r="HK100" s="94"/>
      <c r="HL100" s="94"/>
      <c r="HM100" s="94"/>
      <c r="HN100" s="94" t="s">
        <v>41</v>
      </c>
      <c r="HO100" s="94"/>
      <c r="HP100" s="94"/>
      <c r="HQ100" s="94"/>
      <c r="HR100" s="94"/>
      <c r="HS100" s="94"/>
      <c r="HT100" s="94"/>
      <c r="HU100" s="94"/>
      <c r="HV100" s="94"/>
      <c r="HW100" s="94"/>
      <c r="HX100" s="94"/>
      <c r="HY100" s="94" t="s">
        <v>27</v>
      </c>
      <c r="HZ100" s="94"/>
      <c r="IA100" s="94"/>
      <c r="IB100" s="94"/>
      <c r="IC100" s="94"/>
      <c r="ID100" s="94"/>
      <c r="IE100" s="94"/>
      <c r="IF100" s="94"/>
      <c r="IG100" s="94"/>
      <c r="IH100" s="94"/>
      <c r="II100" s="94"/>
      <c r="IJ100" s="94"/>
      <c r="IK100" s="94"/>
      <c r="IL100" s="94"/>
      <c r="IM100" s="94"/>
      <c r="IN100" s="94"/>
      <c r="IO100" s="94"/>
      <c r="IP100" s="94" t="s">
        <v>27</v>
      </c>
      <c r="IQ100" s="94"/>
      <c r="IR100" s="94"/>
      <c r="IS100" s="94"/>
      <c r="IT100" s="94"/>
      <c r="IU100" s="94"/>
      <c r="IV100" s="94"/>
      <c r="IW100" s="94"/>
      <c r="IX100" s="94"/>
      <c r="IY100" s="94"/>
      <c r="IZ100" s="94"/>
      <c r="JA100" s="94"/>
      <c r="JB100" s="94"/>
      <c r="JC100" s="131" t="s">
        <v>27</v>
      </c>
      <c r="JD100" s="94"/>
      <c r="JE100" s="94"/>
      <c r="JF100" s="94"/>
      <c r="JG100" s="94"/>
      <c r="JH100" s="94"/>
      <c r="JI100" s="94"/>
      <c r="JJ100" s="94"/>
      <c r="JK100" s="94"/>
      <c r="JL100" s="94"/>
      <c r="JM100" s="94"/>
      <c r="JN100" s="94"/>
      <c r="JO100" s="94"/>
      <c r="JP100" s="94"/>
      <c r="JQ100" s="94"/>
      <c r="JR100" s="94"/>
      <c r="JS100" s="94"/>
      <c r="JT100" s="94"/>
      <c r="JU100" s="94"/>
      <c r="JV100" s="94"/>
      <c r="JW100" s="94"/>
      <c r="JX100" s="94"/>
      <c r="JY100" s="94"/>
      <c r="JZ100" s="94"/>
      <c r="KA100" s="94"/>
      <c r="KB100" s="94"/>
      <c r="KC100" s="94"/>
      <c r="KD100" s="94"/>
      <c r="KE100" s="94"/>
      <c r="KF100" s="94"/>
      <c r="KG100" s="94"/>
      <c r="KH100" s="94"/>
      <c r="KI100" s="94"/>
      <c r="KJ100" s="94"/>
      <c r="KK100" s="94"/>
      <c r="KL100" s="94"/>
      <c r="KM100" s="94"/>
      <c r="KN100" s="94"/>
      <c r="KO100" s="94"/>
      <c r="KP100" s="94"/>
      <c r="KQ100" s="94"/>
      <c r="KR100" s="94"/>
      <c r="KS100" s="94"/>
      <c r="KT100" s="94"/>
      <c r="KU100" s="94"/>
      <c r="KV100" s="94"/>
      <c r="KW100" s="94"/>
      <c r="KX100" s="94"/>
      <c r="KY100" s="94"/>
      <c r="KZ100" s="94"/>
      <c r="LA100" s="94"/>
      <c r="LB100" s="94"/>
      <c r="LC100" s="94"/>
      <c r="LD100" s="94"/>
      <c r="LE100" s="94"/>
      <c r="LF100" s="94"/>
      <c r="LG100" s="94"/>
      <c r="LH100" s="94"/>
      <c r="LI100" s="94"/>
      <c r="LJ100" s="94"/>
      <c r="LK100" s="94"/>
      <c r="LL100" s="94"/>
      <c r="LM100" s="94"/>
      <c r="LN100" s="94"/>
      <c r="LO100" s="94"/>
      <c r="LP100" s="94"/>
      <c r="LQ100" s="94"/>
      <c r="LR100" s="94"/>
      <c r="LS100" s="94"/>
      <c r="LT100" s="94"/>
      <c r="LU100" s="94"/>
      <c r="LV100" s="94"/>
      <c r="LW100" s="94"/>
      <c r="LX100" s="94"/>
      <c r="LY100" s="94"/>
      <c r="LZ100" s="94"/>
      <c r="MA100" s="94"/>
      <c r="MB100" s="94"/>
    </row>
    <row r="101" spans="1:340" s="50" customFormat="1" ht="31.5" hidden="1" customHeight="1">
      <c r="A101" s="44">
        <v>1</v>
      </c>
      <c r="B101" s="107" t="s">
        <v>155</v>
      </c>
      <c r="C101" s="46" t="s">
        <v>166</v>
      </c>
      <c r="D101" s="105" t="s">
        <v>35</v>
      </c>
      <c r="E101" s="117" t="s">
        <v>36</v>
      </c>
      <c r="F101" s="106" t="s">
        <v>24</v>
      </c>
      <c r="G101" s="145"/>
      <c r="H101" s="131"/>
      <c r="I101" s="131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14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I101" s="94"/>
      <c r="BJ101" s="94"/>
      <c r="BK101" s="172"/>
      <c r="BL101" s="94"/>
      <c r="BM101" s="94"/>
      <c r="BN101" s="94"/>
      <c r="BO101" s="94"/>
      <c r="BP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172"/>
      <c r="CC101" s="94"/>
      <c r="CD101" s="94"/>
      <c r="CE101" s="94"/>
      <c r="CF101" s="94"/>
      <c r="CG101" s="94"/>
      <c r="CH101" s="94"/>
      <c r="CI101" s="94"/>
      <c r="CJ101" s="94"/>
      <c r="CK101" s="94"/>
      <c r="CL101" s="131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1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1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1"/>
      <c r="FA101" s="131"/>
      <c r="FB101" s="131"/>
      <c r="FC101" s="131"/>
      <c r="FD101" s="131"/>
      <c r="FE101" s="131"/>
      <c r="FF101" s="131"/>
      <c r="FG101" s="131"/>
      <c r="FH101" s="131"/>
      <c r="FI101" s="131"/>
      <c r="FJ101" s="131"/>
      <c r="FK101" s="142"/>
      <c r="FL101" s="142"/>
      <c r="FM101" s="142"/>
      <c r="FN101" s="142"/>
      <c r="FO101" s="142"/>
      <c r="FP101" s="142"/>
      <c r="FQ101" s="142"/>
      <c r="FR101" s="142"/>
      <c r="FS101" s="142"/>
      <c r="FT101" s="142"/>
      <c r="FU101" s="142"/>
      <c r="FV101" s="142"/>
      <c r="FW101" s="142"/>
      <c r="FX101" s="142"/>
      <c r="FY101" s="142"/>
      <c r="FZ101" s="142"/>
      <c r="GA101" s="142"/>
      <c r="GB101" s="142"/>
      <c r="GC101" s="142"/>
      <c r="GD101" s="142"/>
      <c r="GE101" s="142"/>
      <c r="GF101" s="142"/>
      <c r="GG101" s="142"/>
      <c r="GH101" s="142"/>
      <c r="GI101" s="94" t="s">
        <v>25</v>
      </c>
      <c r="GJ101" s="94"/>
      <c r="GL101" s="94" t="s">
        <v>26</v>
      </c>
      <c r="GM101" s="94" t="s">
        <v>26</v>
      </c>
      <c r="GN101" s="94" t="s">
        <v>26</v>
      </c>
      <c r="GO101" s="94"/>
      <c r="GP101" s="94"/>
      <c r="GQ101" s="94"/>
      <c r="GR101" s="94" t="s">
        <v>41</v>
      </c>
      <c r="GS101" s="94"/>
      <c r="GT101" s="94"/>
      <c r="GU101" s="94"/>
      <c r="GV101" s="94" t="s">
        <v>41</v>
      </c>
      <c r="GW101" s="94"/>
      <c r="GX101" s="94"/>
      <c r="GY101" s="94"/>
      <c r="GZ101" s="94"/>
      <c r="HA101" s="94"/>
      <c r="HB101" s="94"/>
      <c r="HC101" s="94"/>
      <c r="HD101" s="94"/>
      <c r="HE101" s="94"/>
      <c r="HF101" s="94"/>
      <c r="HG101" s="94" t="s">
        <v>27</v>
      </c>
      <c r="HH101" s="94"/>
      <c r="HI101" s="94"/>
      <c r="HJ101" s="94"/>
      <c r="HK101" s="94" t="s">
        <v>41</v>
      </c>
      <c r="HL101" s="94"/>
      <c r="HM101" s="94"/>
      <c r="HN101" s="94"/>
      <c r="HO101" s="94"/>
      <c r="HP101" s="94"/>
      <c r="HQ101" s="94"/>
      <c r="HR101" s="94"/>
      <c r="HS101" s="94" t="s">
        <v>27</v>
      </c>
      <c r="HT101" s="94"/>
      <c r="HU101" s="94"/>
      <c r="HV101" s="94"/>
      <c r="HW101" s="94"/>
      <c r="HX101" s="94"/>
      <c r="HY101" s="94"/>
      <c r="HZ101" s="94"/>
      <c r="IA101" s="94"/>
      <c r="IB101" s="94"/>
      <c r="IC101" s="94"/>
      <c r="ID101" s="94" t="s">
        <v>27</v>
      </c>
      <c r="IE101" s="94"/>
      <c r="IF101" s="94"/>
      <c r="IG101" s="94"/>
      <c r="IH101" s="94"/>
      <c r="II101" s="94"/>
      <c r="IJ101" s="94"/>
      <c r="IK101" s="94" t="s">
        <v>26</v>
      </c>
      <c r="IL101" s="94"/>
      <c r="IM101" s="94" t="s">
        <v>26</v>
      </c>
      <c r="IN101" s="94" t="s">
        <v>26</v>
      </c>
      <c r="IO101" s="94" t="s">
        <v>26</v>
      </c>
      <c r="IP101" s="94"/>
      <c r="IQ101" s="94"/>
      <c r="IR101" s="94"/>
      <c r="IS101" s="94" t="s">
        <v>41</v>
      </c>
      <c r="IT101" s="94"/>
      <c r="IU101" s="94"/>
      <c r="IV101" s="94" t="s">
        <v>41</v>
      </c>
      <c r="IW101" s="94"/>
      <c r="IX101" s="94"/>
      <c r="IY101" s="94"/>
      <c r="IZ101" s="94" t="s">
        <v>41</v>
      </c>
      <c r="JA101" s="94"/>
      <c r="JB101" s="94"/>
      <c r="JC101" s="94"/>
      <c r="JD101" s="94" t="s">
        <v>41</v>
      </c>
      <c r="JE101" s="94"/>
      <c r="JF101" s="94"/>
      <c r="JG101" s="94"/>
      <c r="JH101" s="94"/>
      <c r="JI101" s="94"/>
      <c r="JJ101" s="94"/>
      <c r="JK101" s="94"/>
      <c r="JL101" s="94"/>
      <c r="JM101" s="94"/>
      <c r="JN101" s="94"/>
      <c r="JO101" s="94" t="s">
        <v>27</v>
      </c>
      <c r="JP101" s="94"/>
      <c r="JQ101" s="94"/>
      <c r="JR101" s="94"/>
      <c r="JS101" s="94"/>
      <c r="JT101" s="94"/>
      <c r="JU101" s="94"/>
      <c r="JV101" s="94"/>
      <c r="JW101" s="94"/>
      <c r="JX101" s="94"/>
      <c r="JY101" s="94"/>
      <c r="JZ101" s="94" t="s">
        <v>27</v>
      </c>
      <c r="KA101" s="94"/>
      <c r="KB101" s="94"/>
      <c r="KC101" s="94"/>
      <c r="KD101" s="94"/>
      <c r="KE101" s="94"/>
      <c r="KF101" s="94"/>
      <c r="KG101" s="94"/>
      <c r="KH101" s="94"/>
      <c r="KI101" s="94"/>
      <c r="KJ101" s="94"/>
      <c r="KK101" s="94" t="s">
        <v>27</v>
      </c>
      <c r="KL101" s="94"/>
      <c r="KM101" s="94"/>
      <c r="KN101" s="94"/>
      <c r="KO101" s="94"/>
      <c r="KP101" s="94"/>
      <c r="KQ101" s="94"/>
      <c r="KR101" s="94"/>
      <c r="KS101" s="94"/>
      <c r="KT101" s="94"/>
      <c r="KU101" s="94"/>
      <c r="KV101" s="94" t="s">
        <v>27</v>
      </c>
      <c r="KW101" s="94"/>
      <c r="KX101" s="94"/>
      <c r="KY101" s="94"/>
      <c r="KZ101" s="94" t="s">
        <v>26</v>
      </c>
      <c r="LA101" s="94"/>
      <c r="LB101" s="94" t="s">
        <v>26</v>
      </c>
      <c r="LC101" s="94" t="s">
        <v>26</v>
      </c>
      <c r="LD101" s="94" t="s">
        <v>26</v>
      </c>
      <c r="LE101" s="94"/>
      <c r="LF101" s="94"/>
      <c r="LG101" s="94" t="s">
        <v>41</v>
      </c>
      <c r="LH101" s="94"/>
      <c r="LI101" s="94"/>
      <c r="LJ101" s="94"/>
      <c r="LK101" s="94" t="s">
        <v>41</v>
      </c>
      <c r="LL101" s="94"/>
      <c r="LM101" s="94"/>
      <c r="LN101" s="94"/>
      <c r="LO101" s="94" t="s">
        <v>41</v>
      </c>
      <c r="LP101" s="94"/>
      <c r="LQ101" s="94"/>
      <c r="LR101" s="94"/>
      <c r="LS101" s="94" t="s">
        <v>41</v>
      </c>
      <c r="LT101" s="94"/>
      <c r="LU101" s="94"/>
      <c r="LV101" s="94"/>
      <c r="LW101" s="94"/>
      <c r="LX101" s="94"/>
      <c r="LY101" s="94"/>
      <c r="LZ101" s="94"/>
      <c r="MA101" s="94"/>
      <c r="MB101" s="94"/>
    </row>
    <row r="102" spans="1:340" s="50" customFormat="1" ht="31.5" hidden="1" customHeight="1" thickBot="1">
      <c r="A102" s="44">
        <v>1</v>
      </c>
      <c r="B102" s="107" t="s">
        <v>167</v>
      </c>
      <c r="C102" s="46" t="s">
        <v>168</v>
      </c>
      <c r="D102" s="105" t="s">
        <v>45</v>
      </c>
      <c r="E102" s="117" t="s">
        <v>62</v>
      </c>
      <c r="F102" s="106" t="s">
        <v>24</v>
      </c>
      <c r="G102" s="145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6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  <c r="BT102" s="131"/>
      <c r="BU102" s="131"/>
      <c r="BV102" s="131"/>
      <c r="BW102" s="131"/>
      <c r="BX102" s="131"/>
      <c r="BY102" s="131"/>
      <c r="BZ102" s="131"/>
      <c r="CA102" s="131"/>
      <c r="CB102" s="131"/>
      <c r="CC102" s="131"/>
      <c r="CD102" s="131"/>
      <c r="CE102" s="131"/>
      <c r="CF102" s="131"/>
      <c r="CG102" s="131"/>
      <c r="CH102" s="131"/>
      <c r="CI102" s="131"/>
      <c r="CJ102" s="131"/>
      <c r="CK102" s="131"/>
      <c r="CL102" s="131"/>
      <c r="CM102" s="131"/>
      <c r="CN102" s="131"/>
      <c r="CO102" s="131"/>
      <c r="CP102" s="131"/>
      <c r="CQ102" s="131"/>
      <c r="CR102" s="131"/>
      <c r="CS102" s="131"/>
      <c r="CT102" s="131"/>
      <c r="CU102" s="131"/>
      <c r="CV102" s="131"/>
      <c r="CW102" s="131"/>
      <c r="CX102" s="131"/>
      <c r="CY102" s="131"/>
      <c r="CZ102" s="131"/>
      <c r="DA102" s="131"/>
      <c r="DB102" s="131"/>
      <c r="DC102" s="131"/>
      <c r="DD102" s="131"/>
      <c r="DE102" s="131"/>
      <c r="DF102" s="131"/>
      <c r="DG102" s="131"/>
      <c r="DH102" s="131"/>
      <c r="DI102" s="131"/>
      <c r="DJ102" s="131"/>
      <c r="DK102" s="131"/>
      <c r="DL102" s="131"/>
      <c r="DM102" s="131"/>
      <c r="DN102" s="131"/>
      <c r="DO102" s="131"/>
      <c r="DP102" s="131"/>
      <c r="DQ102" s="131"/>
      <c r="DR102" s="131"/>
      <c r="DS102" s="131"/>
      <c r="DT102" s="131"/>
      <c r="DU102" s="131"/>
      <c r="DV102" s="131"/>
      <c r="DW102" s="131"/>
      <c r="DX102" s="131"/>
      <c r="DY102" s="131"/>
      <c r="DZ102" s="131"/>
      <c r="EA102" s="131"/>
      <c r="EB102" s="131"/>
      <c r="EC102" s="131"/>
      <c r="ED102" s="131"/>
      <c r="EE102" s="131"/>
      <c r="EF102" s="131"/>
      <c r="EG102" s="131"/>
      <c r="EH102" s="131"/>
      <c r="EI102" s="131"/>
      <c r="EJ102" s="131"/>
      <c r="EK102" s="131"/>
      <c r="EL102" s="131"/>
      <c r="EM102" s="131"/>
      <c r="EN102" s="131"/>
      <c r="EO102" s="131"/>
      <c r="EP102" s="131"/>
      <c r="EQ102" s="131"/>
      <c r="ER102" s="131"/>
      <c r="ES102" s="131"/>
      <c r="ET102" s="131"/>
      <c r="EU102" s="131"/>
      <c r="EV102" s="131"/>
      <c r="EW102" s="131"/>
      <c r="EX102" s="131"/>
      <c r="EY102" s="131"/>
      <c r="EZ102" s="131"/>
      <c r="FA102" s="131"/>
      <c r="FB102" s="131"/>
      <c r="FC102" s="94" t="s">
        <v>25</v>
      </c>
      <c r="FD102" s="94"/>
      <c r="FE102" s="94"/>
      <c r="FF102" s="94"/>
      <c r="FG102" s="94" t="s">
        <v>26</v>
      </c>
      <c r="FH102" s="94"/>
      <c r="FI102" s="94"/>
      <c r="FJ102" s="94" t="s">
        <v>41</v>
      </c>
      <c r="FK102" s="94"/>
      <c r="FL102" s="94"/>
      <c r="FM102" s="94"/>
      <c r="FN102" s="94" t="s">
        <v>26</v>
      </c>
      <c r="FO102" s="94"/>
      <c r="FP102" s="94"/>
      <c r="FQ102" s="94" t="s">
        <v>41</v>
      </c>
      <c r="FR102" s="94"/>
      <c r="FS102" s="94"/>
      <c r="FT102" s="94"/>
      <c r="FU102" s="94" t="s">
        <v>26</v>
      </c>
      <c r="FV102" s="94"/>
      <c r="FW102" s="94"/>
      <c r="FX102" s="94" t="s">
        <v>41</v>
      </c>
      <c r="FY102" s="94"/>
      <c r="FZ102" s="94"/>
      <c r="GA102" s="94" t="s">
        <v>26</v>
      </c>
      <c r="GB102" s="94"/>
      <c r="GC102" s="94"/>
      <c r="GD102" s="94" t="s">
        <v>41</v>
      </c>
      <c r="GE102" s="94"/>
      <c r="GF102" s="94"/>
      <c r="GG102" s="94"/>
      <c r="GH102" s="94"/>
      <c r="GI102" s="94"/>
      <c r="GJ102" s="94" t="s">
        <v>26</v>
      </c>
      <c r="GK102" s="94"/>
      <c r="GL102" s="94"/>
      <c r="GM102" s="94" t="s">
        <v>41</v>
      </c>
      <c r="GN102" s="94"/>
      <c r="GO102" s="94"/>
      <c r="GP102" s="94"/>
      <c r="GQ102" s="94"/>
      <c r="GR102" s="94"/>
      <c r="GS102" s="94"/>
      <c r="GT102" s="94"/>
      <c r="GU102" s="94" t="s">
        <v>26</v>
      </c>
      <c r="GV102" s="94"/>
      <c r="GW102" s="94"/>
      <c r="GX102" s="94" t="s">
        <v>41</v>
      </c>
      <c r="GY102" s="94"/>
      <c r="GZ102" s="94"/>
      <c r="HA102" s="94"/>
      <c r="HB102" s="94"/>
      <c r="HC102" s="94" t="s">
        <v>26</v>
      </c>
      <c r="HD102" s="94"/>
      <c r="HE102" s="94"/>
      <c r="HF102" s="94" t="s">
        <v>41</v>
      </c>
      <c r="HG102" s="94"/>
      <c r="HH102" s="94"/>
      <c r="HI102" s="94"/>
      <c r="HJ102" s="94"/>
      <c r="HK102" s="94"/>
      <c r="HL102" s="94"/>
      <c r="HM102" s="94" t="s">
        <v>26</v>
      </c>
      <c r="HN102" s="94"/>
      <c r="HO102" s="94"/>
      <c r="HP102" s="94"/>
      <c r="HQ102" s="94"/>
      <c r="HR102" s="94" t="s">
        <v>27</v>
      </c>
      <c r="HS102" s="94" t="s">
        <v>26</v>
      </c>
      <c r="HT102" s="94"/>
      <c r="HU102" s="94"/>
      <c r="HV102" s="94" t="s">
        <v>41</v>
      </c>
      <c r="HW102" s="94"/>
      <c r="HX102" s="94"/>
      <c r="HY102" s="94"/>
      <c r="HZ102" s="94"/>
      <c r="IA102" s="94"/>
      <c r="IB102" s="94"/>
      <c r="IC102" s="94" t="s">
        <v>26</v>
      </c>
      <c r="ID102" s="94"/>
      <c r="IE102" s="94"/>
      <c r="IF102" s="94" t="s">
        <v>41</v>
      </c>
      <c r="IG102" s="94"/>
      <c r="IH102" s="94"/>
      <c r="II102" s="94"/>
      <c r="IJ102" s="94"/>
      <c r="IK102" s="94"/>
      <c r="IL102" s="94"/>
      <c r="IM102" s="94"/>
      <c r="IN102" s="94" t="s">
        <v>26</v>
      </c>
      <c r="IO102" s="94"/>
      <c r="IP102" s="94"/>
      <c r="IQ102" s="94" t="s">
        <v>41</v>
      </c>
      <c r="IR102" s="94"/>
      <c r="IS102" s="94"/>
      <c r="IT102" s="94"/>
      <c r="IU102" s="94"/>
      <c r="IV102" s="94" t="s">
        <v>26</v>
      </c>
      <c r="IW102" s="94"/>
      <c r="IX102" s="94"/>
      <c r="IY102" s="94" t="s">
        <v>41</v>
      </c>
      <c r="IZ102" s="94"/>
      <c r="JA102" s="94"/>
      <c r="JB102" s="94"/>
      <c r="JC102" s="94"/>
      <c r="JD102" s="94" t="s">
        <v>26</v>
      </c>
      <c r="JE102" s="94"/>
      <c r="JF102" s="94"/>
      <c r="JG102" s="94" t="s">
        <v>41</v>
      </c>
      <c r="JH102" s="94"/>
      <c r="JI102" s="94"/>
      <c r="JJ102" s="94"/>
      <c r="JK102" s="94"/>
      <c r="JL102" s="94" t="s">
        <v>26</v>
      </c>
      <c r="JM102" s="94"/>
      <c r="JN102" s="94"/>
      <c r="JO102" s="94" t="s">
        <v>41</v>
      </c>
      <c r="JP102" s="94"/>
      <c r="JQ102" s="94"/>
      <c r="JR102" s="94"/>
      <c r="JS102" s="94"/>
      <c r="JT102" s="94" t="s">
        <v>26</v>
      </c>
      <c r="JU102" s="94"/>
      <c r="JV102" s="94"/>
      <c r="JW102" s="94" t="s">
        <v>41</v>
      </c>
      <c r="JX102" s="94"/>
      <c r="JY102" s="94"/>
      <c r="JZ102" s="94"/>
      <c r="KA102" s="94"/>
      <c r="KB102" s="94" t="s">
        <v>26</v>
      </c>
      <c r="KC102" s="94"/>
      <c r="KD102" s="94"/>
      <c r="KE102" s="94" t="s">
        <v>41</v>
      </c>
      <c r="KF102" s="94"/>
      <c r="KG102" s="94"/>
      <c r="KH102" s="94"/>
      <c r="KI102" s="94"/>
      <c r="KJ102" s="94" t="s">
        <v>26</v>
      </c>
      <c r="KK102" s="94"/>
      <c r="KL102" s="94"/>
      <c r="KM102" s="94" t="s">
        <v>41</v>
      </c>
      <c r="KN102" s="94"/>
      <c r="KO102" s="94"/>
      <c r="KP102" s="94"/>
      <c r="KQ102" s="94"/>
      <c r="KR102" s="94" t="s">
        <v>26</v>
      </c>
      <c r="KS102" s="94"/>
      <c r="KT102" s="94"/>
      <c r="KU102" s="94" t="s">
        <v>41</v>
      </c>
      <c r="KV102" s="94"/>
      <c r="KW102" s="94"/>
      <c r="KX102" s="94"/>
      <c r="KY102" s="94"/>
      <c r="KZ102" s="94" t="s">
        <v>26</v>
      </c>
      <c r="LA102" s="94"/>
      <c r="LB102" s="94"/>
      <c r="LC102" s="94" t="s">
        <v>41</v>
      </c>
      <c r="LD102" s="94"/>
      <c r="LE102" s="94"/>
      <c r="LF102" s="94"/>
      <c r="LG102" s="94"/>
      <c r="LH102" s="94" t="s">
        <v>26</v>
      </c>
      <c r="LI102" s="94"/>
      <c r="LJ102" s="94"/>
      <c r="LK102" s="94" t="s">
        <v>41</v>
      </c>
      <c r="LL102" s="94"/>
      <c r="LM102" s="94"/>
      <c r="LN102" s="94"/>
      <c r="LO102" s="94"/>
      <c r="LP102" s="94" t="s">
        <v>26</v>
      </c>
      <c r="LQ102" s="94"/>
      <c r="LR102" s="94"/>
      <c r="LS102" s="94" t="s">
        <v>41</v>
      </c>
      <c r="LT102" s="94"/>
      <c r="LU102" s="94"/>
      <c r="LV102" s="94"/>
      <c r="LW102" s="94"/>
      <c r="LX102" s="94" t="s">
        <v>26</v>
      </c>
      <c r="LY102" s="94"/>
      <c r="LZ102" s="94"/>
      <c r="MA102" s="94" t="s">
        <v>41</v>
      </c>
      <c r="MB102" s="94"/>
    </row>
    <row r="103" spans="1:340" s="50" customFormat="1" ht="31.5" hidden="1" customHeight="1" thickBot="1">
      <c r="A103" s="44">
        <v>1</v>
      </c>
      <c r="B103" s="107" t="s">
        <v>167</v>
      </c>
      <c r="C103" s="46" t="s">
        <v>169</v>
      </c>
      <c r="D103" s="105" t="s">
        <v>45</v>
      </c>
      <c r="E103" s="117" t="s">
        <v>62</v>
      </c>
      <c r="F103" s="106" t="s">
        <v>24</v>
      </c>
      <c r="G103" s="145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1"/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6"/>
      <c r="BC103" s="131"/>
      <c r="BD103" s="131"/>
      <c r="BE103" s="131"/>
      <c r="BF103" s="131"/>
      <c r="BG103" s="131"/>
      <c r="BH103" s="131"/>
      <c r="BI103" s="131"/>
      <c r="BJ103" s="131"/>
      <c r="BK103" s="131"/>
      <c r="BL103" s="131"/>
      <c r="BM103" s="131"/>
      <c r="BN103" s="131"/>
      <c r="BO103" s="131"/>
      <c r="BP103" s="131"/>
      <c r="BQ103" s="131"/>
      <c r="BR103" s="131"/>
      <c r="BS103" s="131"/>
      <c r="BT103" s="131"/>
      <c r="BU103" s="131"/>
      <c r="BV103" s="131"/>
      <c r="BW103" s="131"/>
      <c r="BX103" s="131"/>
      <c r="BY103" s="131"/>
      <c r="BZ103" s="131"/>
      <c r="CA103" s="131"/>
      <c r="CB103" s="131"/>
      <c r="CC103" s="131"/>
      <c r="CD103" s="131"/>
      <c r="CE103" s="131"/>
      <c r="CF103" s="131"/>
      <c r="CG103" s="131"/>
      <c r="CH103" s="131"/>
      <c r="CI103" s="131"/>
      <c r="CJ103" s="131"/>
      <c r="CK103" s="131"/>
      <c r="CL103" s="131"/>
      <c r="CM103" s="131"/>
      <c r="CN103" s="131"/>
      <c r="CO103" s="131"/>
      <c r="CP103" s="131"/>
      <c r="CQ103" s="131"/>
      <c r="CR103" s="131"/>
      <c r="CS103" s="131"/>
      <c r="CT103" s="131"/>
      <c r="CU103" s="131"/>
      <c r="CV103" s="131"/>
      <c r="CW103" s="131"/>
      <c r="CX103" s="131"/>
      <c r="CY103" s="131"/>
      <c r="CZ103" s="131"/>
      <c r="DA103" s="131"/>
      <c r="DB103" s="131"/>
      <c r="DC103" s="131"/>
      <c r="DD103" s="131"/>
      <c r="DE103" s="131"/>
      <c r="DF103" s="131"/>
      <c r="DG103" s="131"/>
      <c r="DH103" s="131"/>
      <c r="DI103" s="131"/>
      <c r="DJ103" s="131"/>
      <c r="DK103" s="131"/>
      <c r="DL103" s="131"/>
      <c r="DM103" s="131"/>
      <c r="DN103" s="131"/>
      <c r="DO103" s="131"/>
      <c r="DP103" s="131"/>
      <c r="DQ103" s="131"/>
      <c r="DR103" s="131"/>
      <c r="DS103" s="131"/>
      <c r="DT103" s="131"/>
      <c r="DU103" s="131"/>
      <c r="DV103" s="131"/>
      <c r="DW103" s="131"/>
      <c r="DX103" s="131"/>
      <c r="DY103" s="131"/>
      <c r="DZ103" s="131"/>
      <c r="EA103" s="131"/>
      <c r="EB103" s="131"/>
      <c r="EC103" s="131"/>
      <c r="ED103" s="131"/>
      <c r="EE103" s="131"/>
      <c r="EF103" s="131"/>
      <c r="EG103" s="131"/>
      <c r="EH103" s="131"/>
      <c r="EI103" s="131"/>
      <c r="EJ103" s="131"/>
      <c r="EK103" s="131"/>
      <c r="EL103" s="131"/>
      <c r="EM103" s="131"/>
      <c r="EN103" s="131"/>
      <c r="EO103" s="131"/>
      <c r="EP103" s="131"/>
      <c r="EQ103" s="131"/>
      <c r="ER103" s="131"/>
      <c r="ES103" s="131"/>
      <c r="ET103" s="131"/>
      <c r="EU103" s="131"/>
      <c r="EV103" s="131"/>
      <c r="EW103" s="131"/>
      <c r="EX103" s="131"/>
      <c r="EY103" s="131"/>
      <c r="EZ103" s="131"/>
      <c r="FA103" s="131"/>
      <c r="FB103" s="131"/>
      <c r="FC103" s="131"/>
      <c r="FD103" s="94" t="s">
        <v>25</v>
      </c>
      <c r="FE103" s="94"/>
      <c r="FF103" s="94"/>
      <c r="FG103" s="94" t="s">
        <v>26</v>
      </c>
      <c r="FH103" s="94"/>
      <c r="FI103" s="94"/>
      <c r="FJ103" s="94"/>
      <c r="FK103" s="94" t="s">
        <v>27</v>
      </c>
      <c r="FL103" s="94" t="s">
        <v>26</v>
      </c>
      <c r="FM103" s="94"/>
      <c r="FN103" s="94"/>
      <c r="FO103" s="94" t="s">
        <v>27</v>
      </c>
      <c r="FP103" s="94" t="s">
        <v>26</v>
      </c>
      <c r="FQ103" s="94"/>
      <c r="FR103" s="94"/>
      <c r="FS103" s="94" t="s">
        <v>27</v>
      </c>
      <c r="FT103" s="94" t="s">
        <v>26</v>
      </c>
      <c r="FU103" s="94"/>
      <c r="FV103" s="94" t="s">
        <v>27</v>
      </c>
      <c r="FX103" s="94" t="s">
        <v>26</v>
      </c>
      <c r="FY103" s="94"/>
      <c r="FZ103" s="94"/>
      <c r="GA103" s="94"/>
      <c r="GB103" s="94" t="s">
        <v>27</v>
      </c>
      <c r="GC103" s="94" t="s">
        <v>26</v>
      </c>
      <c r="GD103" s="94"/>
      <c r="GE103" s="94"/>
      <c r="GF103" s="94" t="s">
        <v>27</v>
      </c>
      <c r="GG103" s="94" t="s">
        <v>26</v>
      </c>
      <c r="GH103" s="94"/>
      <c r="GI103" s="94"/>
      <c r="GJ103" s="94" t="s">
        <v>27</v>
      </c>
      <c r="GK103" s="94"/>
      <c r="GL103" s="94"/>
      <c r="GM103" s="94" t="s">
        <v>26</v>
      </c>
      <c r="GN103" s="94"/>
      <c r="GO103" s="94"/>
      <c r="GP103" s="94" t="s">
        <v>85</v>
      </c>
      <c r="GQ103" s="94"/>
      <c r="GR103" s="94"/>
      <c r="GS103" s="94" t="s">
        <v>27</v>
      </c>
      <c r="GT103" s="94" t="s">
        <v>26</v>
      </c>
      <c r="GU103" s="94"/>
      <c r="GV103" s="94"/>
      <c r="GW103" s="94" t="s">
        <v>27</v>
      </c>
      <c r="GX103" s="94" t="s">
        <v>26</v>
      </c>
      <c r="GY103" s="94"/>
      <c r="GZ103" s="94"/>
      <c r="HA103" s="94"/>
      <c r="HB103" s="94" t="s">
        <v>27</v>
      </c>
      <c r="HC103" s="94"/>
      <c r="HD103" s="94" t="s">
        <v>26</v>
      </c>
      <c r="HE103" s="94"/>
      <c r="HF103" s="94"/>
      <c r="HG103" s="94" t="s">
        <v>27</v>
      </c>
      <c r="HH103" s="94" t="s">
        <v>26</v>
      </c>
      <c r="HI103" s="94"/>
      <c r="HJ103" s="94"/>
      <c r="HK103" s="94" t="s">
        <v>27</v>
      </c>
      <c r="HL103" s="94"/>
      <c r="HM103" s="94" t="s">
        <v>26</v>
      </c>
      <c r="HN103" s="94"/>
      <c r="HO103" s="94"/>
      <c r="HP103" s="94" t="s">
        <v>27</v>
      </c>
      <c r="HQ103" s="94" t="s">
        <v>26</v>
      </c>
      <c r="HR103" s="94"/>
      <c r="HS103" s="94"/>
      <c r="HT103" s="94" t="s">
        <v>27</v>
      </c>
      <c r="HU103" s="94" t="s">
        <v>26</v>
      </c>
      <c r="HV103" s="94"/>
      <c r="HW103" s="94"/>
      <c r="HY103" s="94" t="s">
        <v>27</v>
      </c>
      <c r="HZ103" s="94"/>
      <c r="IA103" s="94" t="s">
        <v>26</v>
      </c>
      <c r="IB103" s="94"/>
      <c r="IC103" s="94"/>
      <c r="ID103" s="94" t="s">
        <v>27</v>
      </c>
      <c r="IE103" s="94" t="s">
        <v>26</v>
      </c>
      <c r="IF103" s="94"/>
      <c r="IG103" s="94"/>
      <c r="IH103" s="94" t="s">
        <v>27</v>
      </c>
      <c r="II103" s="94" t="s">
        <v>26</v>
      </c>
      <c r="IJ103" s="94"/>
      <c r="IK103" s="94"/>
      <c r="IL103" s="94"/>
      <c r="IM103" s="94" t="s">
        <v>27</v>
      </c>
      <c r="IN103" s="94" t="s">
        <v>26</v>
      </c>
      <c r="IO103" s="94"/>
      <c r="IP103" s="94"/>
      <c r="IQ103" s="94" t="s">
        <v>27</v>
      </c>
      <c r="IR103" s="94" t="s">
        <v>26</v>
      </c>
      <c r="IS103" s="94"/>
      <c r="IT103" s="94"/>
      <c r="IU103" s="94" t="s">
        <v>27</v>
      </c>
      <c r="IV103" s="94" t="s">
        <v>26</v>
      </c>
      <c r="IW103" s="94"/>
      <c r="IX103" s="94"/>
      <c r="IY103" s="94" t="s">
        <v>27</v>
      </c>
      <c r="IZ103" s="94" t="s">
        <v>26</v>
      </c>
      <c r="JA103" s="94"/>
      <c r="JB103" s="94"/>
      <c r="JC103" s="94" t="s">
        <v>27</v>
      </c>
      <c r="JD103" s="94" t="s">
        <v>26</v>
      </c>
      <c r="JE103" s="94"/>
      <c r="JF103" s="94"/>
      <c r="JG103" s="94" t="s">
        <v>27</v>
      </c>
      <c r="JH103" s="94" t="s">
        <v>26</v>
      </c>
      <c r="JI103" s="94"/>
      <c r="JJ103" s="94"/>
      <c r="JK103" s="94" t="s">
        <v>27</v>
      </c>
      <c r="JL103" s="94" t="s">
        <v>26</v>
      </c>
      <c r="JM103" s="94"/>
      <c r="JN103" s="94"/>
      <c r="JO103" s="94" t="s">
        <v>27</v>
      </c>
      <c r="JP103" s="94" t="s">
        <v>26</v>
      </c>
      <c r="JQ103" s="94"/>
      <c r="JR103" s="94"/>
      <c r="JS103" s="94" t="s">
        <v>27</v>
      </c>
      <c r="JT103" s="94" t="s">
        <v>26</v>
      </c>
      <c r="JU103" s="94"/>
      <c r="JV103" s="94"/>
      <c r="JW103" s="94" t="s">
        <v>27</v>
      </c>
      <c r="JX103" s="94" t="s">
        <v>26</v>
      </c>
      <c r="JY103" s="94"/>
      <c r="JZ103" s="94"/>
      <c r="KA103" s="94" t="s">
        <v>27</v>
      </c>
      <c r="KB103" s="94" t="s">
        <v>26</v>
      </c>
      <c r="KC103" s="94"/>
      <c r="KD103" s="94"/>
      <c r="KE103" s="94" t="s">
        <v>27</v>
      </c>
      <c r="KF103" s="94" t="s">
        <v>26</v>
      </c>
      <c r="KG103" s="94"/>
      <c r="KH103" s="94"/>
      <c r="KI103" s="94" t="s">
        <v>27</v>
      </c>
      <c r="KJ103" s="94" t="s">
        <v>26</v>
      </c>
      <c r="KK103" s="94"/>
      <c r="KL103" s="94"/>
      <c r="KM103" s="94" t="s">
        <v>27</v>
      </c>
      <c r="KN103" s="94" t="s">
        <v>26</v>
      </c>
      <c r="KO103" s="94"/>
      <c r="KP103" s="94"/>
      <c r="KQ103" s="94" t="s">
        <v>27</v>
      </c>
      <c r="KR103" s="94" t="s">
        <v>26</v>
      </c>
      <c r="KS103" s="94"/>
      <c r="KT103" s="94"/>
      <c r="KU103" s="94" t="s">
        <v>27</v>
      </c>
      <c r="KV103" s="94" t="s">
        <v>26</v>
      </c>
      <c r="KW103" s="94"/>
      <c r="KX103" s="94"/>
      <c r="KY103" s="94" t="s">
        <v>27</v>
      </c>
      <c r="KZ103" s="94" t="s">
        <v>26</v>
      </c>
      <c r="LA103" s="94"/>
      <c r="LB103" s="94"/>
      <c r="LC103" s="94" t="s">
        <v>27</v>
      </c>
      <c r="LD103" s="94" t="s">
        <v>26</v>
      </c>
      <c r="LE103" s="94"/>
      <c r="LF103" s="94"/>
      <c r="LG103" s="94" t="s">
        <v>27</v>
      </c>
      <c r="LH103" s="94" t="s">
        <v>26</v>
      </c>
      <c r="LI103" s="94"/>
      <c r="LJ103" s="94"/>
      <c r="LK103" s="94" t="s">
        <v>27</v>
      </c>
      <c r="LL103" s="94" t="s">
        <v>26</v>
      </c>
      <c r="LM103" s="94"/>
      <c r="LN103" s="94"/>
      <c r="LO103" s="94" t="s">
        <v>27</v>
      </c>
      <c r="LP103" s="94" t="s">
        <v>26</v>
      </c>
      <c r="LQ103" s="94"/>
      <c r="LR103" s="94"/>
      <c r="LS103" s="94" t="s">
        <v>27</v>
      </c>
      <c r="LT103" s="94" t="s">
        <v>26</v>
      </c>
      <c r="LU103" s="94"/>
      <c r="LV103" s="94"/>
      <c r="LW103" s="94" t="s">
        <v>27</v>
      </c>
      <c r="LX103" s="94" t="s">
        <v>26</v>
      </c>
      <c r="LY103" s="94"/>
      <c r="LZ103" s="94"/>
      <c r="MA103" s="94" t="s">
        <v>27</v>
      </c>
      <c r="MB103" s="94" t="s">
        <v>26</v>
      </c>
    </row>
    <row r="104" spans="1:340" s="50" customFormat="1" ht="31.5" hidden="1" customHeight="1" thickBot="1">
      <c r="A104" s="44">
        <v>1</v>
      </c>
      <c r="B104" s="107" t="s">
        <v>167</v>
      </c>
      <c r="C104" s="46" t="s">
        <v>170</v>
      </c>
      <c r="D104" s="105" t="s">
        <v>45</v>
      </c>
      <c r="E104" s="117" t="s">
        <v>62</v>
      </c>
      <c r="F104" s="106" t="s">
        <v>24</v>
      </c>
      <c r="G104" s="145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1"/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6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  <c r="BT104" s="131"/>
      <c r="BU104" s="131"/>
      <c r="BV104" s="131"/>
      <c r="BW104" s="131"/>
      <c r="BX104" s="131"/>
      <c r="BY104" s="131"/>
      <c r="BZ104" s="131"/>
      <c r="CA104" s="131"/>
      <c r="CB104" s="131"/>
      <c r="CC104" s="131"/>
      <c r="CD104" s="131"/>
      <c r="CE104" s="131"/>
      <c r="CF104" s="131"/>
      <c r="CG104" s="131"/>
      <c r="CH104" s="131"/>
      <c r="CI104" s="131"/>
      <c r="CJ104" s="131"/>
      <c r="CK104" s="131"/>
      <c r="CL104" s="131"/>
      <c r="CM104" s="131"/>
      <c r="CN104" s="131"/>
      <c r="CO104" s="131"/>
      <c r="CP104" s="131"/>
      <c r="CQ104" s="131"/>
      <c r="CR104" s="131"/>
      <c r="CS104" s="131"/>
      <c r="CT104" s="131"/>
      <c r="CU104" s="131"/>
      <c r="CV104" s="131"/>
      <c r="CW104" s="131"/>
      <c r="CX104" s="131"/>
      <c r="CY104" s="131"/>
      <c r="CZ104" s="131"/>
      <c r="DA104" s="131"/>
      <c r="DB104" s="131"/>
      <c r="DC104" s="131"/>
      <c r="DD104" s="131"/>
      <c r="DE104" s="131"/>
      <c r="DF104" s="131"/>
      <c r="DG104" s="131"/>
      <c r="DH104" s="131"/>
      <c r="DI104" s="131"/>
      <c r="DJ104" s="131"/>
      <c r="DK104" s="131"/>
      <c r="DL104" s="131"/>
      <c r="DM104" s="131"/>
      <c r="DN104" s="131"/>
      <c r="DO104" s="131"/>
      <c r="DP104" s="131"/>
      <c r="DQ104" s="131"/>
      <c r="DR104" s="131"/>
      <c r="DS104" s="131"/>
      <c r="DT104" s="131"/>
      <c r="DU104" s="131"/>
      <c r="DV104" s="131"/>
      <c r="DW104" s="131"/>
      <c r="DX104" s="131"/>
      <c r="DY104" s="131"/>
      <c r="DZ104" s="131"/>
      <c r="EA104" s="131"/>
      <c r="EB104" s="131"/>
      <c r="EC104" s="131"/>
      <c r="ED104" s="131"/>
      <c r="EE104" s="131"/>
      <c r="EF104" s="131"/>
      <c r="EG104" s="131"/>
      <c r="EH104" s="131"/>
      <c r="EI104" s="131"/>
      <c r="EJ104" s="131"/>
      <c r="EK104" s="131"/>
      <c r="EL104" s="131"/>
      <c r="EM104" s="131"/>
      <c r="EN104" s="131"/>
      <c r="EO104" s="131"/>
      <c r="EP104" s="131"/>
      <c r="EQ104" s="131"/>
      <c r="ER104" s="131"/>
      <c r="ES104" s="131"/>
      <c r="ET104" s="131"/>
      <c r="EU104" s="131"/>
      <c r="EV104" s="131"/>
      <c r="EW104" s="131"/>
      <c r="EX104" s="131"/>
      <c r="EY104" s="131"/>
      <c r="EZ104" s="131"/>
      <c r="FA104" s="131"/>
      <c r="FB104" s="131"/>
      <c r="FC104" s="131"/>
      <c r="FD104" s="94" t="s">
        <v>25</v>
      </c>
      <c r="FE104" s="94"/>
      <c r="FF104" s="94"/>
      <c r="FG104" s="94"/>
      <c r="FH104" s="94" t="s">
        <v>26</v>
      </c>
      <c r="FI104" s="94"/>
      <c r="FJ104" s="94"/>
      <c r="FK104" s="94"/>
      <c r="FL104" s="94"/>
      <c r="FM104" s="94" t="s">
        <v>85</v>
      </c>
      <c r="FN104" s="94"/>
      <c r="FO104" s="94"/>
      <c r="FP104" s="94"/>
      <c r="FQ104" s="94"/>
      <c r="FR104" s="94" t="s">
        <v>27</v>
      </c>
      <c r="FS104" s="94" t="s">
        <v>26</v>
      </c>
      <c r="FT104" s="94"/>
      <c r="FU104" s="94"/>
      <c r="FV104" s="94"/>
      <c r="FW104" s="94"/>
      <c r="FX104" s="94"/>
      <c r="FY104" s="94" t="s">
        <v>27</v>
      </c>
      <c r="FZ104" s="94" t="s">
        <v>26</v>
      </c>
      <c r="GA104" s="94"/>
      <c r="GB104" s="94"/>
      <c r="GC104" s="94"/>
      <c r="GD104" s="94"/>
      <c r="GE104" s="94" t="s">
        <v>27</v>
      </c>
      <c r="GF104" s="94" t="s">
        <v>26</v>
      </c>
      <c r="GG104" s="94"/>
      <c r="GH104" s="94" t="s">
        <v>41</v>
      </c>
      <c r="GI104" s="94"/>
      <c r="GJ104" s="94"/>
      <c r="GK104" s="94"/>
      <c r="GL104" s="94"/>
      <c r="GM104" s="94" t="s">
        <v>26</v>
      </c>
      <c r="GN104" s="94"/>
      <c r="GO104" s="94" t="s">
        <v>41</v>
      </c>
      <c r="GP104" s="94"/>
      <c r="GQ104" s="94"/>
      <c r="GR104" s="94"/>
      <c r="GS104" s="94"/>
      <c r="GT104" s="94" t="s">
        <v>26</v>
      </c>
      <c r="GU104" s="94"/>
      <c r="GV104" s="94"/>
      <c r="GW104" s="94"/>
      <c r="GX104" s="94"/>
      <c r="GY104" s="94"/>
      <c r="GZ104" s="94"/>
      <c r="HA104" s="94" t="s">
        <v>27</v>
      </c>
      <c r="HB104" s="94"/>
      <c r="HC104" s="94" t="s">
        <v>26</v>
      </c>
      <c r="HD104" s="94"/>
      <c r="HE104" s="94" t="s">
        <v>41</v>
      </c>
      <c r="HF104" s="94"/>
      <c r="HG104" s="94"/>
      <c r="HH104" s="94"/>
      <c r="HI104" s="94" t="s">
        <v>26</v>
      </c>
      <c r="HJ104" s="94"/>
      <c r="HK104" s="94"/>
      <c r="HL104" s="94" t="s">
        <v>27</v>
      </c>
      <c r="HM104" s="94" t="s">
        <v>26</v>
      </c>
      <c r="HN104" s="94"/>
      <c r="HO104" s="94"/>
      <c r="HP104" s="94"/>
      <c r="HQ104" s="94" t="s">
        <v>27</v>
      </c>
      <c r="HR104" s="94" t="s">
        <v>26</v>
      </c>
      <c r="HS104" s="94"/>
      <c r="HT104" s="94"/>
      <c r="HU104" s="94" t="s">
        <v>41</v>
      </c>
      <c r="HV104" s="94"/>
      <c r="HW104" s="94"/>
      <c r="HX104" s="94" t="s">
        <v>26</v>
      </c>
      <c r="HY104" s="94"/>
      <c r="HZ104" s="94" t="s">
        <v>41</v>
      </c>
      <c r="IA104" s="94"/>
      <c r="IB104" s="94"/>
      <c r="IC104" s="94" t="s">
        <v>26</v>
      </c>
      <c r="ID104" s="94"/>
      <c r="IE104" s="94"/>
      <c r="IF104" s="94"/>
      <c r="IG104" s="94"/>
      <c r="IH104" s="94"/>
      <c r="II104" s="94" t="s">
        <v>27</v>
      </c>
      <c r="IJ104" s="94" t="s">
        <v>26</v>
      </c>
      <c r="IK104" s="94"/>
      <c r="IL104" s="94" t="s">
        <v>41</v>
      </c>
      <c r="IM104" s="94"/>
      <c r="IN104" s="94"/>
      <c r="IO104" s="94" t="s">
        <v>57</v>
      </c>
      <c r="IP104" s="94" t="s">
        <v>26</v>
      </c>
      <c r="IQ104" s="94"/>
      <c r="IR104" s="94" t="s">
        <v>41</v>
      </c>
      <c r="IS104" s="94"/>
      <c r="IT104" s="94"/>
      <c r="IU104" s="94"/>
      <c r="IV104" s="94"/>
      <c r="IW104" s="94" t="s">
        <v>26</v>
      </c>
      <c r="IX104" s="94"/>
      <c r="IY104" s="94" t="s">
        <v>41</v>
      </c>
      <c r="IZ104" s="94"/>
      <c r="JA104" s="94"/>
      <c r="JB104" s="94"/>
      <c r="JC104" s="94"/>
      <c r="JD104" s="94" t="s">
        <v>26</v>
      </c>
      <c r="JE104" s="94"/>
      <c r="JF104" s="94" t="s">
        <v>41</v>
      </c>
      <c r="JG104" s="94"/>
      <c r="JH104" s="94"/>
      <c r="JI104" s="94"/>
      <c r="JJ104" s="94"/>
      <c r="JK104" s="94" t="s">
        <v>26</v>
      </c>
      <c r="JL104" s="94"/>
      <c r="JM104" s="94" t="s">
        <v>41</v>
      </c>
      <c r="JN104" s="94"/>
      <c r="JO104" s="94"/>
      <c r="JP104" s="94"/>
      <c r="JQ104" s="94"/>
      <c r="JR104" s="94" t="s">
        <v>26</v>
      </c>
      <c r="JS104" s="94"/>
      <c r="JT104" s="94" t="s">
        <v>41</v>
      </c>
      <c r="JU104" s="94"/>
      <c r="JV104" s="94"/>
      <c r="JW104" s="94"/>
      <c r="JX104" s="94"/>
      <c r="JY104" s="94" t="s">
        <v>26</v>
      </c>
      <c r="JZ104" s="94"/>
      <c r="KA104" s="94" t="s">
        <v>41</v>
      </c>
      <c r="KB104" s="94"/>
      <c r="KC104" s="94"/>
      <c r="KD104" s="94"/>
      <c r="KE104" s="94"/>
      <c r="KF104" s="94" t="s">
        <v>26</v>
      </c>
      <c r="KG104" s="94"/>
      <c r="KH104" s="94" t="s">
        <v>41</v>
      </c>
      <c r="KI104" s="94"/>
      <c r="KJ104" s="94"/>
      <c r="KK104" s="94"/>
      <c r="KL104" s="94"/>
      <c r="KM104" s="94" t="s">
        <v>26</v>
      </c>
      <c r="KN104" s="94"/>
      <c r="KO104" s="94" t="s">
        <v>41</v>
      </c>
      <c r="KP104" s="94"/>
      <c r="KQ104" s="94"/>
      <c r="KR104" s="94"/>
      <c r="KS104" s="94"/>
      <c r="KT104" s="94" t="s">
        <v>26</v>
      </c>
      <c r="KU104" s="94"/>
      <c r="KV104" s="94" t="s">
        <v>41</v>
      </c>
      <c r="KW104" s="94"/>
      <c r="KX104" s="94"/>
      <c r="KY104" s="94"/>
      <c r="KZ104" s="94"/>
      <c r="LA104" s="94" t="s">
        <v>26</v>
      </c>
      <c r="LB104" s="94"/>
      <c r="LC104" s="94" t="s">
        <v>41</v>
      </c>
      <c r="LD104" s="94"/>
      <c r="LE104" s="94"/>
      <c r="LF104" s="94"/>
      <c r="LG104" s="94"/>
      <c r="LH104" s="94" t="s">
        <v>26</v>
      </c>
      <c r="LI104" s="94"/>
      <c r="LJ104" s="94" t="s">
        <v>41</v>
      </c>
      <c r="LK104" s="94"/>
      <c r="LL104" s="94"/>
      <c r="LM104" s="94"/>
      <c r="LN104" s="94"/>
      <c r="LO104" s="94" t="s">
        <v>26</v>
      </c>
      <c r="LP104" s="94"/>
      <c r="LQ104" s="94" t="s">
        <v>41</v>
      </c>
      <c r="LR104" s="94"/>
      <c r="LS104" s="94"/>
      <c r="LT104" s="94"/>
      <c r="LU104" s="94"/>
      <c r="LV104" s="94" t="s">
        <v>26</v>
      </c>
      <c r="LW104" s="94"/>
      <c r="LX104" s="94" t="s">
        <v>41</v>
      </c>
      <c r="LY104" s="94"/>
      <c r="LZ104" s="94"/>
      <c r="MA104" s="94"/>
      <c r="MB104" s="94"/>
    </row>
    <row r="105" spans="1:340" s="50" customFormat="1" ht="31.5" hidden="1" customHeight="1" thickBot="1">
      <c r="A105" s="44">
        <v>1</v>
      </c>
      <c r="B105" s="107" t="s">
        <v>167</v>
      </c>
      <c r="C105" s="46" t="s">
        <v>171</v>
      </c>
      <c r="D105" s="105" t="s">
        <v>45</v>
      </c>
      <c r="E105" s="117" t="s">
        <v>62</v>
      </c>
      <c r="F105" s="106" t="s">
        <v>24</v>
      </c>
      <c r="G105" s="145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1"/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6"/>
      <c r="BC105" s="131"/>
      <c r="BD105" s="131"/>
      <c r="BE105" s="131"/>
      <c r="BF105" s="131"/>
      <c r="BG105" s="131"/>
      <c r="BH105" s="131"/>
      <c r="BI105" s="131"/>
      <c r="BJ105" s="131"/>
      <c r="BK105" s="131"/>
      <c r="BL105" s="131"/>
      <c r="BM105" s="131"/>
      <c r="BN105" s="131"/>
      <c r="BO105" s="131"/>
      <c r="BP105" s="131"/>
      <c r="BQ105" s="131"/>
      <c r="BR105" s="131"/>
      <c r="BS105" s="131"/>
      <c r="BT105" s="131"/>
      <c r="BU105" s="131"/>
      <c r="BV105" s="131"/>
      <c r="BW105" s="131"/>
      <c r="BX105" s="131"/>
      <c r="BY105" s="131"/>
      <c r="BZ105" s="131"/>
      <c r="CA105" s="131"/>
      <c r="CB105" s="131"/>
      <c r="CC105" s="131"/>
      <c r="CD105" s="131"/>
      <c r="CE105" s="131"/>
      <c r="CF105" s="131"/>
      <c r="CG105" s="131"/>
      <c r="CH105" s="131"/>
      <c r="CI105" s="131"/>
      <c r="CJ105" s="131"/>
      <c r="CK105" s="131"/>
      <c r="CL105" s="131"/>
      <c r="CM105" s="131"/>
      <c r="CN105" s="131"/>
      <c r="CO105" s="131"/>
      <c r="CP105" s="131"/>
      <c r="CQ105" s="131"/>
      <c r="CR105" s="131"/>
      <c r="CS105" s="131"/>
      <c r="CT105" s="131"/>
      <c r="CU105" s="131"/>
      <c r="CV105" s="131"/>
      <c r="CW105" s="131"/>
      <c r="CX105" s="131"/>
      <c r="CY105" s="131"/>
      <c r="CZ105" s="131"/>
      <c r="DA105" s="131"/>
      <c r="DB105" s="131"/>
      <c r="DC105" s="131"/>
      <c r="DD105" s="131"/>
      <c r="DE105" s="131"/>
      <c r="DF105" s="131"/>
      <c r="DG105" s="131"/>
      <c r="DH105" s="131"/>
      <c r="DI105" s="131"/>
      <c r="DJ105" s="131"/>
      <c r="DK105" s="131"/>
      <c r="DL105" s="131"/>
      <c r="DM105" s="131"/>
      <c r="DN105" s="131"/>
      <c r="DO105" s="131"/>
      <c r="DP105" s="131"/>
      <c r="DQ105" s="131"/>
      <c r="DR105" s="131"/>
      <c r="DS105" s="131"/>
      <c r="DT105" s="131"/>
      <c r="DU105" s="131"/>
      <c r="DV105" s="131"/>
      <c r="DW105" s="131"/>
      <c r="DX105" s="131"/>
      <c r="DY105" s="131"/>
      <c r="DZ105" s="131"/>
      <c r="EA105" s="131"/>
      <c r="EB105" s="131"/>
      <c r="EC105" s="131"/>
      <c r="ED105" s="131"/>
      <c r="EE105" s="131"/>
      <c r="EF105" s="131"/>
      <c r="EG105" s="131"/>
      <c r="EH105" s="131"/>
      <c r="EI105" s="131"/>
      <c r="EJ105" s="131"/>
      <c r="EK105" s="131"/>
      <c r="EL105" s="131"/>
      <c r="EM105" s="131"/>
      <c r="EN105" s="131"/>
      <c r="EO105" s="131"/>
      <c r="EP105" s="131"/>
      <c r="EQ105" s="131"/>
      <c r="ER105" s="131"/>
      <c r="ES105" s="131"/>
      <c r="ET105" s="131"/>
      <c r="EU105" s="131"/>
      <c r="EV105" s="131"/>
      <c r="EW105" s="131"/>
      <c r="EX105" s="131"/>
      <c r="EY105" s="131"/>
      <c r="EZ105" s="131"/>
      <c r="FA105" s="131"/>
      <c r="FB105" s="131"/>
      <c r="FC105" s="131"/>
      <c r="FD105" s="131"/>
      <c r="FE105" s="131"/>
      <c r="FF105" s="94" t="s">
        <v>25</v>
      </c>
      <c r="FG105" s="94"/>
      <c r="FH105" s="94" t="s">
        <v>26</v>
      </c>
      <c r="FI105" s="94"/>
      <c r="FJ105" s="94"/>
      <c r="FL105" s="94" t="s">
        <v>85</v>
      </c>
      <c r="FM105" s="94"/>
      <c r="FN105" s="94"/>
      <c r="FO105" s="94"/>
      <c r="FQ105" s="94"/>
      <c r="FR105" s="94" t="s">
        <v>27</v>
      </c>
      <c r="FS105" s="94" t="s">
        <v>26</v>
      </c>
      <c r="FT105" s="94"/>
      <c r="FU105" s="94"/>
      <c r="FV105" s="94" t="s">
        <v>27</v>
      </c>
      <c r="FX105" s="94" t="s">
        <v>26</v>
      </c>
      <c r="FY105" s="94"/>
      <c r="FZ105" s="94"/>
      <c r="GA105" s="94"/>
      <c r="GB105" s="94" t="s">
        <v>85</v>
      </c>
      <c r="GC105" s="94"/>
      <c r="GD105" s="94"/>
      <c r="GE105" s="94"/>
      <c r="GF105" s="94" t="s">
        <v>85</v>
      </c>
      <c r="GG105" s="94"/>
      <c r="GH105" s="94"/>
      <c r="GI105" s="94"/>
      <c r="GJ105" s="94" t="s">
        <v>27</v>
      </c>
      <c r="GK105" s="94"/>
      <c r="GL105" s="94" t="s">
        <v>26</v>
      </c>
      <c r="GM105" s="94"/>
      <c r="GN105" s="94"/>
      <c r="GO105" s="94" t="s">
        <v>27</v>
      </c>
      <c r="GP105" s="94" t="s">
        <v>26</v>
      </c>
      <c r="GQ105" s="94"/>
      <c r="GR105" s="94"/>
      <c r="GS105" s="94"/>
      <c r="GT105" s="94" t="s">
        <v>26</v>
      </c>
      <c r="GU105" s="94"/>
      <c r="GV105" s="94"/>
      <c r="GW105" s="94" t="s">
        <v>41</v>
      </c>
      <c r="GX105" s="94"/>
      <c r="GY105" s="94" t="s">
        <v>57</v>
      </c>
      <c r="GZ105" s="94" t="s">
        <v>26</v>
      </c>
      <c r="HA105" s="94"/>
      <c r="HB105" s="94" t="s">
        <v>41</v>
      </c>
      <c r="HC105" s="94"/>
      <c r="HD105" s="94"/>
      <c r="HE105" s="94" t="s">
        <v>57</v>
      </c>
      <c r="HF105" s="94" t="s">
        <v>26</v>
      </c>
      <c r="HG105" s="94"/>
      <c r="HH105" s="94" t="s">
        <v>27</v>
      </c>
      <c r="HI105" s="94"/>
      <c r="HJ105" s="94"/>
      <c r="HK105" s="94" t="s">
        <v>26</v>
      </c>
      <c r="HL105" s="94" t="s">
        <v>27</v>
      </c>
      <c r="HM105" s="94"/>
      <c r="HN105" s="94"/>
      <c r="HO105" s="94" t="s">
        <v>26</v>
      </c>
      <c r="HP105" s="94"/>
      <c r="HQ105" s="94"/>
      <c r="HR105" s="94" t="s">
        <v>41</v>
      </c>
      <c r="HS105" s="94"/>
      <c r="HT105" s="94" t="s">
        <v>57</v>
      </c>
      <c r="HU105" s="94" t="s">
        <v>26</v>
      </c>
      <c r="HV105" s="94"/>
      <c r="HW105" s="94"/>
      <c r="HX105" s="94"/>
      <c r="HY105" s="94" t="s">
        <v>27</v>
      </c>
      <c r="HZ105" s="94" t="s">
        <v>26</v>
      </c>
      <c r="IA105" s="94"/>
      <c r="IB105" s="94" t="s">
        <v>41</v>
      </c>
      <c r="IC105" s="94"/>
      <c r="ID105" s="94" t="s">
        <v>26</v>
      </c>
      <c r="IE105" s="94"/>
      <c r="IF105" s="94"/>
      <c r="IG105" s="94"/>
      <c r="IH105" s="94"/>
      <c r="II105" s="94" t="s">
        <v>27</v>
      </c>
      <c r="IJ105" s="94" t="s">
        <v>26</v>
      </c>
      <c r="IK105" s="94"/>
      <c r="IL105" s="94"/>
      <c r="IM105" s="94"/>
      <c r="IN105" s="94" t="s">
        <v>27</v>
      </c>
      <c r="IO105" s="94"/>
      <c r="IP105" s="94" t="s">
        <v>26</v>
      </c>
      <c r="IQ105" s="94"/>
      <c r="IR105" s="94" t="s">
        <v>41</v>
      </c>
      <c r="IS105" s="94"/>
      <c r="IT105" s="94"/>
      <c r="IU105" s="94" t="s">
        <v>57</v>
      </c>
      <c r="IV105" s="94" t="s">
        <v>26</v>
      </c>
      <c r="IW105" s="94"/>
      <c r="IX105" s="94" t="s">
        <v>41</v>
      </c>
      <c r="IY105" s="94"/>
      <c r="IZ105" s="94"/>
      <c r="JA105" s="94" t="s">
        <v>57</v>
      </c>
      <c r="JB105" s="94" t="s">
        <v>26</v>
      </c>
      <c r="JC105" s="94"/>
      <c r="JD105" s="94" t="s">
        <v>41</v>
      </c>
      <c r="JE105" s="94"/>
      <c r="JF105" s="94"/>
      <c r="JG105" s="94" t="s">
        <v>57</v>
      </c>
      <c r="JH105" s="94" t="s">
        <v>26</v>
      </c>
      <c r="JI105" s="94"/>
      <c r="JJ105" s="94" t="s">
        <v>41</v>
      </c>
      <c r="JK105" s="94"/>
      <c r="JL105" s="94"/>
      <c r="JM105" s="94" t="s">
        <v>57</v>
      </c>
      <c r="JN105" s="94" t="s">
        <v>26</v>
      </c>
      <c r="JO105" s="94"/>
      <c r="JP105" s="94" t="s">
        <v>41</v>
      </c>
      <c r="JQ105" s="94"/>
      <c r="JR105" s="94"/>
      <c r="JS105" s="94" t="s">
        <v>57</v>
      </c>
      <c r="JT105" s="94" t="s">
        <v>26</v>
      </c>
      <c r="JU105" s="94"/>
      <c r="JV105" s="94" t="s">
        <v>41</v>
      </c>
      <c r="JW105" s="94"/>
      <c r="JX105" s="94"/>
      <c r="JY105" s="94" t="s">
        <v>57</v>
      </c>
      <c r="JZ105" s="94" t="s">
        <v>26</v>
      </c>
      <c r="KA105" s="94"/>
      <c r="KB105" s="94" t="s">
        <v>41</v>
      </c>
      <c r="KC105" s="94"/>
      <c r="KD105" s="94"/>
      <c r="KE105" s="94" t="s">
        <v>57</v>
      </c>
      <c r="KF105" s="94" t="s">
        <v>26</v>
      </c>
      <c r="KG105" s="94"/>
      <c r="KH105" s="94" t="s">
        <v>41</v>
      </c>
      <c r="KI105" s="94"/>
      <c r="KJ105" s="94"/>
      <c r="KK105" s="94" t="s">
        <v>57</v>
      </c>
      <c r="KL105" s="94" t="s">
        <v>26</v>
      </c>
      <c r="KM105" s="94"/>
      <c r="KN105" s="94" t="s">
        <v>41</v>
      </c>
      <c r="KO105" s="94"/>
      <c r="KP105" s="94"/>
      <c r="KQ105" s="94" t="s">
        <v>57</v>
      </c>
      <c r="KR105" s="94" t="s">
        <v>26</v>
      </c>
      <c r="KS105" s="94"/>
      <c r="KT105" s="94" t="s">
        <v>41</v>
      </c>
      <c r="KU105" s="94"/>
      <c r="KV105" s="94"/>
      <c r="KW105" s="94" t="s">
        <v>57</v>
      </c>
      <c r="KX105" s="94" t="s">
        <v>26</v>
      </c>
      <c r="KY105" s="94"/>
      <c r="KZ105" s="94" t="s">
        <v>41</v>
      </c>
      <c r="LA105" s="94"/>
      <c r="LB105" s="94"/>
      <c r="LC105" s="94" t="s">
        <v>57</v>
      </c>
      <c r="LD105" s="94" t="s">
        <v>26</v>
      </c>
      <c r="LE105" s="94"/>
      <c r="LF105" s="94" t="s">
        <v>41</v>
      </c>
      <c r="LG105" s="94"/>
      <c r="LH105" s="94"/>
      <c r="LI105" s="94" t="s">
        <v>57</v>
      </c>
      <c r="LJ105" s="94" t="s">
        <v>26</v>
      </c>
      <c r="LK105" s="94"/>
      <c r="LL105" s="94" t="s">
        <v>41</v>
      </c>
      <c r="LM105" s="94"/>
      <c r="LN105" s="94"/>
      <c r="LO105" s="94" t="s">
        <v>57</v>
      </c>
      <c r="LP105" s="94" t="s">
        <v>26</v>
      </c>
      <c r="LQ105" s="94"/>
      <c r="LR105" s="94" t="s">
        <v>41</v>
      </c>
      <c r="LS105" s="94"/>
      <c r="LT105" s="94"/>
      <c r="LU105" s="94" t="s">
        <v>57</v>
      </c>
      <c r="LV105" s="94" t="s">
        <v>26</v>
      </c>
      <c r="LW105" s="94"/>
      <c r="LX105" s="94" t="s">
        <v>41</v>
      </c>
      <c r="LY105" s="94"/>
      <c r="LZ105" s="94"/>
      <c r="MA105" s="94" t="s">
        <v>57</v>
      </c>
      <c r="MB105" s="94" t="s">
        <v>26</v>
      </c>
    </row>
    <row r="106" spans="1:340" s="50" customFormat="1" ht="31.5" hidden="1" customHeight="1">
      <c r="A106" s="44">
        <v>1</v>
      </c>
      <c r="B106" s="107" t="s">
        <v>172</v>
      </c>
      <c r="C106" s="46" t="s">
        <v>173</v>
      </c>
      <c r="D106" s="105" t="s">
        <v>45</v>
      </c>
      <c r="E106" s="117" t="s">
        <v>62</v>
      </c>
      <c r="F106" s="106" t="s">
        <v>24</v>
      </c>
      <c r="G106" s="145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1"/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6"/>
      <c r="BC106" s="131"/>
      <c r="BD106" s="131"/>
      <c r="BE106" s="131"/>
      <c r="BF106" s="131"/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1"/>
      <c r="BY106" s="131"/>
      <c r="BZ106" s="131"/>
      <c r="CA106" s="131"/>
      <c r="CB106" s="131"/>
      <c r="CC106" s="131"/>
      <c r="CD106" s="131"/>
      <c r="CE106" s="131"/>
      <c r="CF106" s="131"/>
      <c r="CG106" s="131"/>
      <c r="CH106" s="131"/>
      <c r="CI106" s="131"/>
      <c r="CJ106" s="131"/>
      <c r="CK106" s="131"/>
      <c r="CL106" s="131"/>
      <c r="CM106" s="131"/>
      <c r="CN106" s="131"/>
      <c r="CO106" s="131"/>
      <c r="CP106" s="131"/>
      <c r="CQ106" s="131"/>
      <c r="CR106" s="131"/>
      <c r="CS106" s="131"/>
      <c r="CT106" s="131"/>
      <c r="CU106" s="131"/>
      <c r="CV106" s="131"/>
      <c r="CW106" s="131"/>
      <c r="CX106" s="131"/>
      <c r="CY106" s="131"/>
      <c r="CZ106" s="131"/>
      <c r="DA106" s="131"/>
      <c r="DB106" s="131"/>
      <c r="DC106" s="131"/>
      <c r="DD106" s="131"/>
      <c r="DE106" s="131"/>
      <c r="DF106" s="131"/>
      <c r="DG106" s="131"/>
      <c r="DH106" s="131"/>
      <c r="DI106" s="131"/>
      <c r="DJ106" s="131"/>
      <c r="DK106" s="131"/>
      <c r="DL106" s="131"/>
      <c r="DM106" s="131"/>
      <c r="DN106" s="131"/>
      <c r="DO106" s="131"/>
      <c r="DP106" s="131"/>
      <c r="DQ106" s="131"/>
      <c r="DR106" s="131"/>
      <c r="DS106" s="131"/>
      <c r="DT106" s="131"/>
      <c r="DU106" s="131"/>
      <c r="DV106" s="131"/>
      <c r="DW106" s="131"/>
      <c r="DX106" s="131"/>
      <c r="DY106" s="131"/>
      <c r="DZ106" s="131"/>
      <c r="EA106" s="131"/>
      <c r="EB106" s="131"/>
      <c r="EC106" s="131"/>
      <c r="ED106" s="131"/>
      <c r="EE106" s="131"/>
      <c r="EF106" s="131"/>
      <c r="EG106" s="131"/>
      <c r="EH106" s="131"/>
      <c r="EI106" s="131"/>
      <c r="EJ106" s="131"/>
      <c r="EK106" s="131"/>
      <c r="EL106" s="131"/>
      <c r="EM106" s="131"/>
      <c r="EN106" s="131"/>
      <c r="EO106" s="131"/>
      <c r="EP106" s="131"/>
      <c r="EQ106" s="131"/>
      <c r="ER106" s="131"/>
      <c r="ES106" s="131"/>
      <c r="ET106" s="131"/>
      <c r="EU106" s="131"/>
      <c r="EV106" s="131"/>
      <c r="EW106" s="131"/>
      <c r="EX106" s="131"/>
      <c r="EY106" s="131"/>
      <c r="EZ106" s="131"/>
      <c r="FA106" s="131"/>
      <c r="FB106" s="131"/>
      <c r="FC106" s="131"/>
      <c r="FD106" s="131"/>
      <c r="FE106" s="131"/>
      <c r="FF106" s="131"/>
      <c r="FG106" s="131"/>
      <c r="FH106" s="131"/>
      <c r="FI106" s="131"/>
      <c r="FJ106" s="131"/>
      <c r="FK106" s="131"/>
      <c r="FL106" s="131"/>
      <c r="FM106" s="131"/>
      <c r="FN106" s="131"/>
      <c r="FO106" s="131"/>
      <c r="FP106" s="131"/>
      <c r="FQ106" s="131"/>
      <c r="FR106" s="131"/>
      <c r="FS106" s="94" t="s">
        <v>25</v>
      </c>
      <c r="FT106" s="94" t="s">
        <v>26</v>
      </c>
      <c r="FU106" s="94"/>
      <c r="FV106" s="94"/>
      <c r="FW106" s="94" t="s">
        <v>41</v>
      </c>
      <c r="FX106" s="94"/>
      <c r="FY106" s="94"/>
      <c r="FZ106" s="94"/>
      <c r="GA106" s="94"/>
      <c r="GB106" s="94"/>
      <c r="GC106" s="94" t="s">
        <v>26</v>
      </c>
      <c r="GD106" s="94"/>
      <c r="GE106" s="94"/>
      <c r="GF106" s="94" t="s">
        <v>41</v>
      </c>
      <c r="GG106" s="94"/>
      <c r="GH106" s="94"/>
      <c r="GI106" s="94"/>
      <c r="GJ106" s="94" t="s">
        <v>57</v>
      </c>
      <c r="GK106" s="94"/>
      <c r="GL106" s="94"/>
      <c r="GM106" s="94"/>
      <c r="GN106" s="94"/>
      <c r="GO106" s="94"/>
      <c r="GP106" s="94"/>
      <c r="GQ106" s="94"/>
      <c r="GR106" s="94"/>
      <c r="GS106" s="94" t="s">
        <v>26</v>
      </c>
      <c r="GT106" s="94"/>
      <c r="GU106" s="94"/>
      <c r="GV106" s="94"/>
      <c r="GW106" s="94" t="s">
        <v>41</v>
      </c>
      <c r="GX106" s="94"/>
      <c r="GY106" s="94"/>
      <c r="GZ106" s="94"/>
      <c r="HA106" s="94"/>
      <c r="HB106" s="94"/>
      <c r="HC106" s="94"/>
      <c r="HD106" s="94" t="s">
        <v>26</v>
      </c>
      <c r="HE106" s="94"/>
      <c r="HF106" s="94"/>
      <c r="HH106" s="94" t="s">
        <v>41</v>
      </c>
      <c r="HI106" s="94"/>
      <c r="HJ106" s="94"/>
      <c r="HK106" s="94" t="s">
        <v>57</v>
      </c>
      <c r="HL106" s="94"/>
      <c r="HM106" s="94"/>
      <c r="HN106" s="94" t="s">
        <v>26</v>
      </c>
      <c r="HO106" s="94"/>
      <c r="HP106" s="94"/>
      <c r="HQ106" s="94" t="s">
        <v>41</v>
      </c>
      <c r="HR106" s="94"/>
      <c r="HS106" s="94"/>
      <c r="HT106" s="94"/>
      <c r="HU106" s="94"/>
      <c r="HV106" s="94"/>
      <c r="HW106" s="94" t="s">
        <v>42</v>
      </c>
      <c r="HX106" s="94" t="s">
        <v>26</v>
      </c>
      <c r="HY106" s="94"/>
      <c r="HZ106" s="94"/>
      <c r="IA106" s="94"/>
      <c r="IB106" s="94" t="s">
        <v>41</v>
      </c>
      <c r="IC106" s="94"/>
      <c r="ID106" s="94"/>
      <c r="IE106" s="94"/>
      <c r="IF106" s="94"/>
      <c r="IG106" s="94"/>
      <c r="IH106" s="94"/>
      <c r="II106" s="94" t="s">
        <v>26</v>
      </c>
      <c r="IJ106" s="94"/>
      <c r="IK106" s="94"/>
      <c r="IL106" s="94"/>
      <c r="IM106" s="94" t="s">
        <v>41</v>
      </c>
      <c r="IN106" s="94"/>
      <c r="IO106" s="94"/>
      <c r="IP106" s="94"/>
      <c r="IQ106" s="94"/>
      <c r="IR106" s="94"/>
      <c r="IS106" s="94" t="s">
        <v>26</v>
      </c>
      <c r="IT106" s="94"/>
      <c r="IU106" s="94"/>
      <c r="IV106" s="94" t="s">
        <v>41</v>
      </c>
      <c r="IW106" s="94"/>
      <c r="IX106" s="94"/>
      <c r="IY106" s="94"/>
      <c r="IZ106" s="94"/>
      <c r="JA106" s="94"/>
      <c r="JB106" s="94" t="s">
        <v>26</v>
      </c>
      <c r="JC106" s="94"/>
      <c r="JD106" s="94"/>
      <c r="JE106" s="94" t="s">
        <v>41</v>
      </c>
      <c r="JF106" s="94"/>
      <c r="JG106" s="94"/>
      <c r="JH106" s="94"/>
      <c r="JI106" s="94"/>
      <c r="JJ106" s="94"/>
      <c r="JK106" s="94" t="s">
        <v>26</v>
      </c>
      <c r="JL106" s="94"/>
      <c r="JM106" s="94"/>
      <c r="JN106" s="94" t="s">
        <v>41</v>
      </c>
      <c r="JO106" s="94"/>
      <c r="JP106" s="94"/>
      <c r="JQ106" s="94"/>
      <c r="JR106" s="94"/>
      <c r="JS106" s="94"/>
      <c r="JT106" s="94" t="s">
        <v>26</v>
      </c>
      <c r="JU106" s="94"/>
      <c r="JV106" s="94"/>
      <c r="JW106" s="131" t="s">
        <v>41</v>
      </c>
      <c r="JX106" s="131" t="s">
        <v>37</v>
      </c>
      <c r="JY106" s="131"/>
      <c r="JZ106" s="131"/>
      <c r="KA106" s="131"/>
      <c r="KB106" s="131"/>
      <c r="KC106" s="131"/>
      <c r="KD106" s="131"/>
      <c r="KE106" s="131"/>
      <c r="KF106" s="131"/>
      <c r="KG106" s="131"/>
      <c r="KH106" s="131"/>
      <c r="KI106" s="131"/>
      <c r="KJ106" s="131"/>
      <c r="KK106" s="131"/>
      <c r="KL106" s="131"/>
      <c r="KM106" s="131"/>
      <c r="KN106" s="131"/>
      <c r="KO106" s="131"/>
      <c r="KP106" s="131"/>
      <c r="KQ106" s="131"/>
      <c r="KR106" s="131"/>
      <c r="KS106" s="131"/>
      <c r="KT106" s="131"/>
      <c r="KU106" s="131"/>
      <c r="KV106" s="131"/>
      <c r="KW106" s="131"/>
      <c r="KX106" s="131"/>
      <c r="KY106" s="131"/>
      <c r="KZ106" s="131"/>
      <c r="LA106" s="131"/>
      <c r="LB106" s="131"/>
      <c r="LC106" s="131"/>
      <c r="LD106" s="131"/>
      <c r="LE106" s="131"/>
      <c r="LF106" s="131"/>
      <c r="LG106" s="131"/>
      <c r="LH106" s="131"/>
      <c r="LI106" s="131"/>
      <c r="LJ106" s="131"/>
      <c r="LK106" s="131"/>
      <c r="LL106" s="131"/>
      <c r="LM106" s="131"/>
      <c r="LN106" s="131"/>
      <c r="LO106" s="131"/>
      <c r="LP106" s="131"/>
      <c r="LQ106" s="131"/>
      <c r="LR106" s="131"/>
      <c r="LS106" s="131"/>
      <c r="LT106" s="131"/>
      <c r="LU106" s="131"/>
      <c r="LV106" s="131"/>
      <c r="LW106" s="131"/>
      <c r="LX106" s="131"/>
      <c r="LY106" s="131"/>
      <c r="LZ106" s="131"/>
      <c r="MA106" s="131"/>
      <c r="MB106" s="131"/>
    </row>
    <row r="107" spans="1:340" s="50" customFormat="1" ht="31.5" hidden="1" customHeight="1" thickBot="1">
      <c r="A107" s="44">
        <v>1</v>
      </c>
      <c r="B107" s="107" t="s">
        <v>174</v>
      </c>
      <c r="C107" s="46" t="s">
        <v>175</v>
      </c>
      <c r="D107" s="105" t="s">
        <v>49</v>
      </c>
      <c r="E107" s="117" t="s">
        <v>50</v>
      </c>
      <c r="F107" s="106" t="s">
        <v>24</v>
      </c>
      <c r="G107" s="145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6"/>
      <c r="BC107" s="131"/>
      <c r="BD107" s="131"/>
      <c r="BE107" s="131"/>
      <c r="BF107" s="131"/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1"/>
      <c r="BQ107" s="131"/>
      <c r="BR107" s="131"/>
      <c r="BS107" s="131"/>
      <c r="BT107" s="131"/>
      <c r="BU107" s="131"/>
      <c r="BV107" s="131"/>
      <c r="BW107" s="131"/>
      <c r="BX107" s="131"/>
      <c r="BY107" s="131"/>
      <c r="BZ107" s="131"/>
      <c r="CA107" s="131"/>
      <c r="CB107" s="131"/>
      <c r="CC107" s="131"/>
      <c r="CD107" s="131"/>
      <c r="CE107" s="131"/>
      <c r="CF107" s="131"/>
      <c r="CG107" s="131"/>
      <c r="CH107" s="131"/>
      <c r="CI107" s="131"/>
      <c r="CJ107" s="131"/>
      <c r="CK107" s="131"/>
      <c r="CL107" s="131"/>
      <c r="CM107" s="131"/>
      <c r="CN107" s="131"/>
      <c r="CO107" s="131"/>
      <c r="CP107" s="131"/>
      <c r="CQ107" s="131"/>
      <c r="CR107" s="131"/>
      <c r="CS107" s="131"/>
      <c r="CT107" s="131"/>
      <c r="CU107" s="131"/>
      <c r="CV107" s="131"/>
      <c r="CW107" s="131"/>
      <c r="CX107" s="131"/>
      <c r="CY107" s="131"/>
      <c r="CZ107" s="131"/>
      <c r="DA107" s="131"/>
      <c r="DB107" s="131"/>
      <c r="DC107" s="131"/>
      <c r="DD107" s="131"/>
      <c r="DE107" s="131"/>
      <c r="DF107" s="131"/>
      <c r="DG107" s="131"/>
      <c r="DH107" s="131"/>
      <c r="DI107" s="131"/>
      <c r="DJ107" s="131"/>
      <c r="DK107" s="131"/>
      <c r="DL107" s="131"/>
      <c r="DM107" s="131"/>
      <c r="DN107" s="131"/>
      <c r="DO107" s="131"/>
      <c r="DP107" s="131"/>
      <c r="DQ107" s="131"/>
      <c r="DR107" s="131"/>
      <c r="DS107" s="131"/>
      <c r="DT107" s="131"/>
      <c r="DU107" s="131"/>
      <c r="DV107" s="131"/>
      <c r="DW107" s="131"/>
      <c r="DX107" s="131"/>
      <c r="DY107" s="131"/>
      <c r="DZ107" s="131"/>
      <c r="EA107" s="131"/>
      <c r="EB107" s="131"/>
      <c r="EC107" s="131"/>
      <c r="ED107" s="131"/>
      <c r="EE107" s="131"/>
      <c r="EF107" s="131"/>
      <c r="EG107" s="131"/>
      <c r="EH107" s="131"/>
      <c r="EI107" s="131"/>
      <c r="EJ107" s="131"/>
      <c r="EK107" s="131"/>
      <c r="EL107" s="131"/>
      <c r="EM107" s="131"/>
      <c r="EN107" s="131"/>
      <c r="EO107" s="131"/>
      <c r="EP107" s="131"/>
      <c r="EQ107" s="131"/>
      <c r="ER107" s="131"/>
      <c r="ES107" s="131"/>
      <c r="ET107" s="131" t="s">
        <v>25</v>
      </c>
      <c r="EU107" s="131" t="s">
        <v>26</v>
      </c>
      <c r="EV107" s="94"/>
      <c r="EW107" s="94" t="s">
        <v>41</v>
      </c>
      <c r="EX107" s="94"/>
      <c r="EY107" s="94"/>
      <c r="EZ107" s="94"/>
      <c r="FA107" s="94"/>
      <c r="FB107" s="131" t="s">
        <v>26</v>
      </c>
      <c r="FC107" s="94"/>
      <c r="FD107" s="94" t="s">
        <v>41</v>
      </c>
      <c r="FE107" s="94"/>
      <c r="FF107" s="94"/>
      <c r="FG107" s="94"/>
      <c r="FH107" s="94"/>
      <c r="FI107" s="131" t="s">
        <v>26</v>
      </c>
      <c r="FJ107" s="94"/>
      <c r="FK107" s="94" t="s">
        <v>41</v>
      </c>
      <c r="FL107" s="94"/>
      <c r="FM107" s="94"/>
      <c r="FN107" s="94"/>
      <c r="FO107" s="94"/>
      <c r="FP107" s="94" t="s">
        <v>41</v>
      </c>
      <c r="FQ107" s="94"/>
      <c r="FR107" s="94"/>
      <c r="FS107" s="94"/>
      <c r="FT107" s="94"/>
      <c r="FU107" s="131" t="s">
        <v>26</v>
      </c>
      <c r="FV107" s="94"/>
      <c r="FW107" s="94"/>
      <c r="FX107" s="94" t="s">
        <v>41</v>
      </c>
      <c r="FY107" s="94"/>
      <c r="FZ107" s="94"/>
      <c r="GA107" s="94"/>
      <c r="GB107" s="94"/>
      <c r="GC107" s="131" t="s">
        <v>26</v>
      </c>
      <c r="GD107" s="94"/>
      <c r="GE107" s="94" t="s">
        <v>41</v>
      </c>
      <c r="GF107" s="94"/>
      <c r="GG107" s="94"/>
      <c r="GH107" s="94"/>
      <c r="GI107" s="94"/>
      <c r="GJ107" s="94"/>
      <c r="GK107" s="94"/>
      <c r="GL107" s="94"/>
      <c r="GM107" s="94"/>
      <c r="GN107" s="94"/>
      <c r="GO107" s="94"/>
      <c r="GP107" s="94"/>
      <c r="GQ107" s="94"/>
      <c r="GR107" s="94"/>
      <c r="GT107" s="131" t="s">
        <v>26</v>
      </c>
      <c r="GU107" s="94"/>
      <c r="GV107" s="94" t="s">
        <v>41</v>
      </c>
      <c r="GW107" s="94"/>
      <c r="GX107" s="94"/>
      <c r="GY107" s="94"/>
      <c r="GZ107" s="94"/>
      <c r="HA107" s="94"/>
      <c r="HB107" s="94"/>
      <c r="HC107" s="94"/>
      <c r="HD107" s="94"/>
      <c r="HE107" s="94"/>
      <c r="HF107" s="94"/>
      <c r="HG107" s="94"/>
      <c r="HH107" s="94"/>
      <c r="HI107" s="94"/>
      <c r="HJ107" s="94"/>
      <c r="HK107" s="94"/>
      <c r="HL107" s="94"/>
      <c r="HM107" s="94"/>
      <c r="HN107" s="94"/>
      <c r="HO107" s="94"/>
      <c r="HP107" s="94"/>
      <c r="HQ107" s="94"/>
      <c r="HR107" s="94"/>
      <c r="HS107" s="131" t="s">
        <v>26</v>
      </c>
      <c r="HT107" s="94"/>
      <c r="HU107" s="94" t="s">
        <v>41</v>
      </c>
      <c r="HV107" s="94"/>
      <c r="HW107" s="94"/>
      <c r="HX107" s="94"/>
      <c r="HY107" s="94"/>
      <c r="HZ107" s="94"/>
      <c r="IA107" s="94"/>
      <c r="IB107" s="94"/>
      <c r="IC107" s="94"/>
      <c r="ID107" s="94"/>
      <c r="IE107" s="94"/>
      <c r="IF107" s="94"/>
      <c r="IG107" s="94"/>
      <c r="IH107" s="94"/>
      <c r="II107" s="94"/>
      <c r="IJ107" s="131" t="s">
        <v>26</v>
      </c>
      <c r="IK107" s="94"/>
      <c r="IL107" s="94" t="s">
        <v>41</v>
      </c>
      <c r="IM107" s="94"/>
      <c r="IN107" s="94"/>
      <c r="IO107" s="94"/>
      <c r="IP107" s="94"/>
      <c r="IQ107" s="94"/>
      <c r="IR107" s="94"/>
      <c r="IS107" s="94"/>
      <c r="IT107" s="94"/>
      <c r="IU107" s="94"/>
      <c r="IV107" s="94"/>
      <c r="IW107" s="94"/>
      <c r="IX107" s="94"/>
      <c r="IY107" s="94"/>
      <c r="IZ107" s="94"/>
      <c r="JA107" s="131" t="s">
        <v>26</v>
      </c>
      <c r="JB107" s="94"/>
      <c r="JC107" s="94" t="s">
        <v>41</v>
      </c>
      <c r="JD107" s="131" t="s">
        <v>37</v>
      </c>
      <c r="JE107" s="131"/>
      <c r="JF107" s="131"/>
      <c r="JG107" s="131"/>
      <c r="JH107" s="131"/>
      <c r="JI107" s="131"/>
      <c r="JJ107" s="131"/>
      <c r="JK107" s="131"/>
      <c r="JL107" s="131"/>
      <c r="JM107" s="131"/>
      <c r="JN107" s="131"/>
      <c r="JO107" s="131"/>
      <c r="JP107" s="131"/>
      <c r="JQ107" s="131"/>
      <c r="JR107" s="131"/>
      <c r="JS107" s="131"/>
      <c r="JT107" s="131"/>
      <c r="JU107" s="131"/>
      <c r="JV107" s="131"/>
      <c r="JW107" s="131"/>
      <c r="JX107" s="131"/>
      <c r="JY107" s="131"/>
      <c r="JZ107" s="131"/>
      <c r="KA107" s="131"/>
      <c r="KB107" s="131"/>
      <c r="KC107" s="131"/>
      <c r="KD107" s="131"/>
      <c r="KE107" s="131"/>
      <c r="KF107" s="131"/>
      <c r="KG107" s="131"/>
      <c r="KH107" s="131"/>
      <c r="KI107" s="131"/>
      <c r="KJ107" s="131"/>
      <c r="KK107" s="131"/>
      <c r="KL107" s="131"/>
      <c r="KM107" s="131"/>
      <c r="KN107" s="131"/>
      <c r="KO107" s="131"/>
      <c r="KP107" s="131"/>
      <c r="KQ107" s="131"/>
      <c r="KR107" s="131"/>
      <c r="KS107" s="131"/>
      <c r="KT107" s="131"/>
      <c r="KU107" s="131"/>
      <c r="KV107" s="131"/>
      <c r="KW107" s="131"/>
      <c r="KX107" s="131"/>
      <c r="KY107" s="131"/>
      <c r="KZ107" s="131"/>
      <c r="LA107" s="131"/>
      <c r="LB107" s="131"/>
      <c r="LC107" s="131"/>
      <c r="LD107" s="131"/>
      <c r="LE107" s="131"/>
      <c r="LF107" s="131"/>
      <c r="LG107" s="131"/>
      <c r="LH107" s="131"/>
      <c r="LI107" s="131"/>
      <c r="LJ107" s="131"/>
      <c r="LK107" s="131"/>
      <c r="LL107" s="131"/>
      <c r="LM107" s="131"/>
      <c r="LN107" s="131"/>
      <c r="LO107" s="131"/>
      <c r="LP107" s="131"/>
      <c r="LQ107" s="131"/>
      <c r="LR107" s="131"/>
      <c r="LS107" s="131"/>
      <c r="LT107" s="131"/>
      <c r="LU107" s="131"/>
      <c r="LV107" s="131"/>
      <c r="LW107" s="131"/>
      <c r="LX107" s="131"/>
      <c r="LY107" s="131"/>
      <c r="LZ107" s="131"/>
      <c r="MA107" s="131"/>
      <c r="MB107" s="131"/>
    </row>
    <row r="108" spans="1:340" s="50" customFormat="1" ht="31.5" hidden="1" customHeight="1" thickBot="1">
      <c r="A108" s="44">
        <v>1</v>
      </c>
      <c r="B108" s="107" t="s">
        <v>176</v>
      </c>
      <c r="C108" s="46" t="s">
        <v>177</v>
      </c>
      <c r="D108" s="105" t="s">
        <v>45</v>
      </c>
      <c r="E108" s="117" t="s">
        <v>62</v>
      </c>
      <c r="F108" s="106" t="s">
        <v>24</v>
      </c>
      <c r="G108" s="145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1"/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6"/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  <c r="BT108" s="131"/>
      <c r="BU108" s="131"/>
      <c r="BV108" s="131"/>
      <c r="BW108" s="131"/>
      <c r="BX108" s="131"/>
      <c r="BY108" s="131"/>
      <c r="BZ108" s="131"/>
      <c r="CA108" s="131"/>
      <c r="CB108" s="131"/>
      <c r="CC108" s="131"/>
      <c r="CD108" s="131"/>
      <c r="CE108" s="131"/>
      <c r="CF108" s="131"/>
      <c r="CG108" s="131"/>
      <c r="CH108" s="131"/>
      <c r="CI108" s="131"/>
      <c r="CJ108" s="131"/>
      <c r="CK108" s="131"/>
      <c r="CL108" s="131"/>
      <c r="CM108" s="131"/>
      <c r="CN108" s="131"/>
      <c r="CO108" s="131"/>
      <c r="CP108" s="131"/>
      <c r="CQ108" s="131"/>
      <c r="CR108" s="131"/>
      <c r="CS108" s="131"/>
      <c r="CT108" s="131"/>
      <c r="CU108" s="131"/>
      <c r="CV108" s="131"/>
      <c r="CW108" s="131"/>
      <c r="CX108" s="131"/>
      <c r="CY108" s="131"/>
      <c r="CZ108" s="131"/>
      <c r="DA108" s="131"/>
      <c r="DB108" s="131"/>
      <c r="DC108" s="131"/>
      <c r="DD108" s="131"/>
      <c r="DE108" s="131"/>
      <c r="DF108" s="131"/>
      <c r="DG108" s="131"/>
      <c r="DH108" s="131"/>
      <c r="DI108" s="131"/>
      <c r="DJ108" s="131"/>
      <c r="DK108" s="131"/>
      <c r="DL108" s="131"/>
      <c r="DM108" s="131"/>
      <c r="DN108" s="131"/>
      <c r="DO108" s="131"/>
      <c r="DP108" s="131"/>
      <c r="DQ108" s="131"/>
      <c r="DR108" s="131"/>
      <c r="DS108" s="131"/>
      <c r="DT108" s="131"/>
      <c r="DU108" s="131"/>
      <c r="DV108" s="131"/>
      <c r="DW108" s="131"/>
      <c r="DX108" s="131"/>
      <c r="DY108" s="131"/>
      <c r="DZ108" s="131"/>
      <c r="EA108" s="131"/>
      <c r="EB108" s="131"/>
      <c r="EC108" s="131"/>
      <c r="ED108" s="131"/>
      <c r="EE108" s="131"/>
      <c r="EF108" s="131"/>
      <c r="EG108" s="131"/>
      <c r="EH108" s="131"/>
      <c r="EI108" s="131"/>
      <c r="EJ108" s="131"/>
      <c r="EK108" s="131"/>
      <c r="EL108" s="131"/>
      <c r="EM108" s="131"/>
      <c r="EN108" s="131"/>
      <c r="EO108" s="131"/>
      <c r="EP108" s="131"/>
      <c r="EQ108" s="131"/>
      <c r="ER108" s="131"/>
      <c r="ES108" s="131"/>
      <c r="ET108" s="131"/>
      <c r="EU108" s="131"/>
      <c r="EV108" s="131"/>
      <c r="EW108" s="131"/>
      <c r="EX108" s="131"/>
      <c r="EY108" s="131"/>
      <c r="EZ108" s="131"/>
      <c r="FA108" s="131"/>
      <c r="FB108" s="131"/>
      <c r="FC108" s="131"/>
      <c r="FD108" s="131"/>
      <c r="FE108" s="131"/>
      <c r="FF108" s="131"/>
      <c r="FG108" s="131"/>
      <c r="FH108" s="131"/>
      <c r="FI108" s="131"/>
      <c r="FJ108" s="131"/>
      <c r="FK108" s="131"/>
      <c r="FL108" s="131"/>
      <c r="FM108" s="131"/>
      <c r="FN108" s="131"/>
      <c r="FO108" s="131"/>
      <c r="FP108" s="131"/>
      <c r="FQ108" s="131"/>
      <c r="FR108" s="131"/>
      <c r="FS108" s="131"/>
      <c r="FT108" s="131"/>
      <c r="FU108" s="131"/>
      <c r="FV108" s="131"/>
      <c r="FW108" s="131"/>
      <c r="FX108" s="131" t="s">
        <v>25</v>
      </c>
      <c r="FY108" s="94"/>
      <c r="FZ108" s="94" t="s">
        <v>26</v>
      </c>
      <c r="GA108" s="94"/>
      <c r="GB108" s="94"/>
      <c r="GC108" s="94"/>
      <c r="GE108" s="94" t="s">
        <v>41</v>
      </c>
      <c r="GF108" s="94"/>
      <c r="GG108" s="94"/>
      <c r="GH108" s="94"/>
      <c r="GI108" s="94"/>
      <c r="GJ108" s="94"/>
      <c r="GK108" s="94"/>
      <c r="GL108" s="94"/>
      <c r="GM108" s="94"/>
      <c r="GN108" s="94"/>
      <c r="GO108" s="94"/>
      <c r="GP108" s="94"/>
      <c r="GQ108" s="94"/>
      <c r="GR108" s="94"/>
      <c r="GS108" s="94" t="s">
        <v>26</v>
      </c>
      <c r="GT108" s="94"/>
      <c r="GV108" s="94" t="s">
        <v>41</v>
      </c>
      <c r="GW108" s="94"/>
      <c r="GX108" s="94"/>
      <c r="GY108" s="94"/>
      <c r="GZ108" s="94"/>
      <c r="HA108" s="94"/>
      <c r="HB108" s="94" t="s">
        <v>26</v>
      </c>
      <c r="HC108" s="94"/>
      <c r="HD108" s="94" t="s">
        <v>41</v>
      </c>
      <c r="HE108" s="94"/>
      <c r="HF108" s="94"/>
      <c r="HG108" s="94"/>
      <c r="HH108" s="94"/>
      <c r="HI108" s="94"/>
      <c r="HJ108" s="94"/>
      <c r="HK108" s="94"/>
      <c r="HL108" s="94"/>
      <c r="HM108" s="94" t="s">
        <v>26</v>
      </c>
      <c r="HN108" s="94"/>
      <c r="HO108" s="94"/>
      <c r="HP108" s="94" t="s">
        <v>41</v>
      </c>
      <c r="HQ108" s="94"/>
      <c r="HR108" s="94"/>
      <c r="HS108" s="94"/>
      <c r="HT108" s="94"/>
      <c r="HU108" s="94"/>
      <c r="HV108" s="94"/>
      <c r="HW108" s="94"/>
      <c r="HX108" s="94"/>
      <c r="HY108" s="94" t="s">
        <v>26</v>
      </c>
      <c r="HZ108" s="94"/>
      <c r="IA108" s="94"/>
      <c r="IB108" s="94"/>
      <c r="IC108" s="94" t="s">
        <v>41</v>
      </c>
      <c r="ID108" s="94"/>
      <c r="IE108" s="94"/>
      <c r="IF108" s="94"/>
      <c r="IG108" s="94"/>
      <c r="IH108" s="94"/>
      <c r="II108" s="94"/>
      <c r="IJ108" s="94"/>
      <c r="IK108" s="94"/>
      <c r="IL108" s="94" t="s">
        <v>26</v>
      </c>
      <c r="IM108" s="94"/>
      <c r="IN108" s="94"/>
      <c r="IO108" s="94" t="s">
        <v>41</v>
      </c>
      <c r="IP108" s="94"/>
      <c r="IQ108" s="94"/>
      <c r="IR108" s="94"/>
      <c r="IS108" s="94"/>
      <c r="IT108" s="94"/>
      <c r="IU108" s="94"/>
      <c r="IV108" s="94"/>
      <c r="IW108" s="94"/>
      <c r="IX108" s="94" t="s">
        <v>26</v>
      </c>
      <c r="IY108" s="94"/>
      <c r="IZ108" s="94"/>
      <c r="JA108" s="94"/>
      <c r="JB108" s="94" t="s">
        <v>41</v>
      </c>
      <c r="JC108" s="94"/>
      <c r="JD108" s="94"/>
      <c r="JE108" s="94"/>
      <c r="JF108" s="94"/>
      <c r="JG108" s="94"/>
      <c r="JH108" s="94"/>
      <c r="JI108" s="94"/>
      <c r="JJ108" s="94"/>
      <c r="JK108" s="94" t="s">
        <v>26</v>
      </c>
      <c r="JL108" s="94"/>
      <c r="JM108" s="94"/>
      <c r="JN108" s="94"/>
      <c r="JO108" s="94" t="s">
        <v>41</v>
      </c>
      <c r="JP108" s="94"/>
      <c r="JQ108" s="94"/>
      <c r="JR108" s="94"/>
      <c r="JS108" s="94"/>
      <c r="JT108" s="94"/>
      <c r="JU108" s="94"/>
      <c r="JV108" s="94"/>
      <c r="JW108" s="94"/>
      <c r="JX108" s="94" t="s">
        <v>26</v>
      </c>
      <c r="JY108" s="94"/>
      <c r="JZ108" s="94"/>
      <c r="KA108" s="94"/>
      <c r="KB108" s="94" t="s">
        <v>41</v>
      </c>
      <c r="KC108" s="94"/>
      <c r="KD108" s="94"/>
      <c r="KE108" s="94"/>
      <c r="KF108" s="94"/>
      <c r="KG108" s="94"/>
      <c r="KH108" s="94"/>
      <c r="KI108" s="94"/>
      <c r="KJ108" s="94"/>
      <c r="KK108" s="94" t="s">
        <v>26</v>
      </c>
      <c r="KL108" s="94"/>
      <c r="KM108" s="94"/>
      <c r="KN108" s="94"/>
      <c r="KO108" s="94" t="s">
        <v>41</v>
      </c>
      <c r="KP108" s="94"/>
      <c r="KQ108" s="94"/>
      <c r="KR108" s="94"/>
      <c r="KS108" s="94"/>
      <c r="KT108" s="94"/>
      <c r="KU108" s="94"/>
      <c r="KV108" s="94"/>
      <c r="KW108" s="94"/>
      <c r="KX108" s="94" t="s">
        <v>26</v>
      </c>
      <c r="KY108" s="94"/>
      <c r="KZ108" s="94"/>
      <c r="LA108" s="94"/>
      <c r="LB108" s="94" t="s">
        <v>41</v>
      </c>
      <c r="LC108" s="94"/>
      <c r="LD108" s="94"/>
      <c r="LE108" s="94"/>
      <c r="LF108" s="94"/>
      <c r="LG108" s="94"/>
      <c r="LH108" s="94"/>
      <c r="LI108" s="94"/>
      <c r="LJ108" s="94"/>
      <c r="LK108" s="94" t="s">
        <v>26</v>
      </c>
      <c r="LL108" s="94"/>
      <c r="LM108" s="94"/>
      <c r="LN108" s="94"/>
      <c r="LO108" s="94" t="s">
        <v>41</v>
      </c>
      <c r="LP108" s="94"/>
      <c r="LQ108" s="94"/>
      <c r="LR108" s="94"/>
      <c r="LS108" s="94"/>
      <c r="LT108" s="94"/>
      <c r="LU108" s="94"/>
      <c r="LV108" s="94"/>
      <c r="LW108" s="94"/>
      <c r="LX108" s="94" t="s">
        <v>26</v>
      </c>
      <c r="LY108" s="94"/>
      <c r="LZ108" s="94"/>
      <c r="MA108" s="94"/>
      <c r="MB108" s="94"/>
    </row>
    <row r="109" spans="1:340" s="50" customFormat="1" ht="31.5" customHeight="1" thickBot="1">
      <c r="A109" s="44">
        <v>1</v>
      </c>
      <c r="B109" s="107" t="s">
        <v>176</v>
      </c>
      <c r="C109" s="46" t="s">
        <v>178</v>
      </c>
      <c r="D109" s="105" t="s">
        <v>22</v>
      </c>
      <c r="E109" s="117" t="s">
        <v>23</v>
      </c>
      <c r="F109" s="106" t="s">
        <v>24</v>
      </c>
      <c r="G109" s="145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6"/>
      <c r="BC109" s="131"/>
      <c r="BD109" s="131"/>
      <c r="BE109" s="131"/>
      <c r="BF109" s="131"/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1"/>
      <c r="BQ109" s="131"/>
      <c r="BR109" s="131"/>
      <c r="BS109" s="131"/>
      <c r="BT109" s="131"/>
      <c r="BU109" s="131"/>
      <c r="BV109" s="131"/>
      <c r="BW109" s="131"/>
      <c r="BX109" s="131"/>
      <c r="BY109" s="131"/>
      <c r="BZ109" s="131"/>
      <c r="CA109" s="131"/>
      <c r="CB109" s="131"/>
      <c r="CC109" s="131"/>
      <c r="CD109" s="131"/>
      <c r="CE109" s="131"/>
      <c r="CF109" s="131"/>
      <c r="CG109" s="131"/>
      <c r="CH109" s="131"/>
      <c r="CI109" s="131"/>
      <c r="CJ109" s="131"/>
      <c r="CK109" s="131"/>
      <c r="CL109" s="131"/>
      <c r="CM109" s="131"/>
      <c r="CN109" s="131"/>
      <c r="CO109" s="131"/>
      <c r="CP109" s="131"/>
      <c r="CQ109" s="131"/>
      <c r="CR109" s="131"/>
      <c r="CS109" s="131"/>
      <c r="CT109" s="131"/>
      <c r="CU109" s="131"/>
      <c r="CV109" s="131"/>
      <c r="CW109" s="131"/>
      <c r="CX109" s="131"/>
      <c r="CY109" s="131"/>
      <c r="CZ109" s="131"/>
      <c r="DA109" s="131"/>
      <c r="DB109" s="131"/>
      <c r="DC109" s="131"/>
      <c r="DD109" s="131"/>
      <c r="DE109" s="131"/>
      <c r="DF109" s="131"/>
      <c r="DG109" s="131"/>
      <c r="DH109" s="131"/>
      <c r="DI109" s="131"/>
      <c r="DJ109" s="131"/>
      <c r="DK109" s="131"/>
      <c r="DL109" s="131"/>
      <c r="DM109" s="131"/>
      <c r="DN109" s="131"/>
      <c r="DO109" s="131"/>
      <c r="DP109" s="131"/>
      <c r="DQ109" s="131"/>
      <c r="DR109" s="131"/>
      <c r="DS109" s="131"/>
      <c r="DT109" s="131"/>
      <c r="DU109" s="131"/>
      <c r="DV109" s="131"/>
      <c r="DW109" s="131"/>
      <c r="DX109" s="131"/>
      <c r="DY109" s="131"/>
      <c r="DZ109" s="131"/>
      <c r="EA109" s="131"/>
      <c r="EB109" s="131"/>
      <c r="EC109" s="131"/>
      <c r="ED109" s="131"/>
      <c r="EE109" s="131"/>
      <c r="EF109" s="131"/>
      <c r="EG109" s="131"/>
      <c r="EH109" s="131"/>
      <c r="EI109" s="131"/>
      <c r="EJ109" s="131"/>
      <c r="EK109" s="131"/>
      <c r="EL109" s="131"/>
      <c r="EM109" s="131"/>
      <c r="EN109" s="131"/>
      <c r="EO109" s="131"/>
      <c r="EP109" s="131"/>
      <c r="EQ109" s="131"/>
      <c r="ER109" s="131"/>
      <c r="ES109" s="131"/>
      <c r="ET109" s="131"/>
      <c r="EU109" s="131"/>
      <c r="EV109" s="131"/>
      <c r="EW109" s="131"/>
      <c r="EX109" s="131"/>
      <c r="EY109" s="131"/>
      <c r="EZ109" s="131"/>
      <c r="FA109" s="131"/>
      <c r="FB109" s="131"/>
      <c r="FC109" s="131"/>
      <c r="FD109" s="131"/>
      <c r="FE109" s="131"/>
      <c r="FF109" s="131"/>
      <c r="FG109" s="131"/>
      <c r="FH109" s="131"/>
      <c r="FI109" s="131"/>
      <c r="FJ109" s="131"/>
      <c r="FK109" s="131"/>
      <c r="FL109" s="131"/>
      <c r="FM109" s="131"/>
      <c r="FN109" s="131"/>
      <c r="FO109" s="131"/>
      <c r="FP109" s="131"/>
      <c r="FQ109" s="131"/>
      <c r="FR109" s="131"/>
      <c r="FS109" s="131"/>
      <c r="FT109" s="131"/>
      <c r="FU109" s="131"/>
      <c r="FV109" s="131"/>
      <c r="FW109" s="131"/>
      <c r="FX109" s="131"/>
      <c r="FY109" s="131"/>
      <c r="FZ109" s="131"/>
      <c r="GA109" s="131"/>
      <c r="GB109" s="131"/>
      <c r="GC109" s="131"/>
      <c r="GD109" s="131"/>
      <c r="GE109" s="131"/>
      <c r="GF109" s="131"/>
      <c r="GG109" s="131"/>
      <c r="GH109" s="131"/>
      <c r="GI109" s="131"/>
      <c r="GJ109" s="131"/>
      <c r="GK109" s="131"/>
      <c r="GL109" s="131"/>
      <c r="GM109" s="131"/>
      <c r="GN109" s="131"/>
      <c r="GO109" s="131"/>
      <c r="GP109" s="131"/>
      <c r="GQ109" s="131"/>
      <c r="GR109" s="131"/>
      <c r="GS109" s="131"/>
      <c r="GT109" s="131"/>
      <c r="GU109" s="131"/>
      <c r="GV109" s="131"/>
      <c r="GW109" s="131"/>
      <c r="GX109" s="131"/>
      <c r="GY109" s="131"/>
      <c r="GZ109" s="131"/>
      <c r="HA109" s="142"/>
      <c r="HB109" s="142"/>
      <c r="HC109" s="142"/>
      <c r="HD109" s="142"/>
      <c r="HE109" s="142"/>
      <c r="HF109" s="142"/>
      <c r="HG109" s="142"/>
      <c r="HH109" s="142"/>
      <c r="HI109" s="94" t="s">
        <v>25</v>
      </c>
      <c r="HJ109" s="94"/>
      <c r="HK109" s="94" t="s">
        <v>26</v>
      </c>
      <c r="HL109" s="94"/>
      <c r="HM109" s="94"/>
      <c r="HN109" s="94"/>
      <c r="HO109" s="94"/>
      <c r="HP109" s="94"/>
      <c r="HQ109" s="94"/>
      <c r="HR109" s="94"/>
      <c r="HS109" s="94"/>
      <c r="HT109" s="94"/>
      <c r="HU109" s="94"/>
      <c r="HV109" s="94"/>
      <c r="HW109" s="94"/>
      <c r="HX109" s="94"/>
      <c r="HY109" s="94"/>
      <c r="HZ109" s="94" t="s">
        <v>27</v>
      </c>
      <c r="IA109" s="94"/>
      <c r="IB109" s="94"/>
      <c r="IC109" s="94" t="s">
        <v>26</v>
      </c>
      <c r="ID109" s="94"/>
      <c r="IE109" s="94"/>
      <c r="IF109" s="94"/>
      <c r="IG109" s="94"/>
      <c r="IH109" s="94"/>
      <c r="II109" s="94"/>
      <c r="IJ109" s="94"/>
      <c r="IK109" s="94"/>
      <c r="IL109" s="94"/>
      <c r="IM109" s="94"/>
      <c r="IN109" s="94"/>
      <c r="IO109" s="94"/>
      <c r="IP109" s="94"/>
      <c r="IQ109" s="94"/>
      <c r="IR109" s="94"/>
      <c r="IS109" s="94" t="s">
        <v>27</v>
      </c>
      <c r="IT109" s="94"/>
      <c r="IU109" s="94" t="s">
        <v>26</v>
      </c>
      <c r="IV109" s="94"/>
      <c r="IW109" s="94"/>
      <c r="IX109" s="94"/>
      <c r="IY109" s="94"/>
      <c r="IZ109" s="94"/>
      <c r="JA109" s="94"/>
      <c r="JB109" s="94"/>
      <c r="JC109" s="94"/>
      <c r="JD109" s="94"/>
      <c r="JE109" s="94"/>
      <c r="JF109" s="94"/>
      <c r="JG109" s="94"/>
      <c r="JH109" s="94" t="s">
        <v>27</v>
      </c>
      <c r="JI109" s="94"/>
      <c r="JJ109" s="94" t="s">
        <v>26</v>
      </c>
      <c r="JK109" s="94"/>
      <c r="JL109" s="94"/>
      <c r="JM109" s="94"/>
      <c r="JN109" s="94"/>
      <c r="JO109" s="94"/>
      <c r="JP109" s="94"/>
      <c r="JQ109" s="94"/>
      <c r="JR109" s="94"/>
      <c r="JS109" s="94"/>
      <c r="JT109" s="94"/>
      <c r="JU109" s="94"/>
      <c r="JV109" s="94"/>
      <c r="JW109" s="94" t="s">
        <v>27</v>
      </c>
      <c r="JX109" s="94"/>
      <c r="JY109" s="94" t="s">
        <v>26</v>
      </c>
      <c r="JZ109" s="94"/>
      <c r="KA109" s="94"/>
      <c r="KB109" s="94"/>
      <c r="KC109" s="94"/>
      <c r="KD109" s="94"/>
      <c r="KE109" s="94"/>
      <c r="KF109" s="94"/>
      <c r="KG109" s="94"/>
      <c r="KH109" s="94"/>
      <c r="KI109" s="94"/>
      <c r="KJ109" s="94"/>
      <c r="KK109" s="94" t="s">
        <v>27</v>
      </c>
      <c r="KL109" s="94"/>
      <c r="KM109" s="94" t="s">
        <v>26</v>
      </c>
      <c r="KN109" s="94"/>
      <c r="KO109" s="94"/>
      <c r="KP109" s="94"/>
      <c r="KQ109" s="94"/>
      <c r="KR109" s="94"/>
      <c r="KS109" s="94"/>
      <c r="KT109" s="94"/>
      <c r="KU109" s="94"/>
      <c r="KV109" s="94"/>
      <c r="KW109" s="94"/>
      <c r="KX109" s="94"/>
      <c r="KY109" s="94"/>
      <c r="KZ109" s="94"/>
      <c r="LA109" s="94"/>
      <c r="LB109" s="94"/>
      <c r="LC109" s="94"/>
      <c r="LD109" s="94"/>
      <c r="LE109" s="94"/>
      <c r="LF109" s="94" t="s">
        <v>27</v>
      </c>
      <c r="LG109" s="94"/>
      <c r="LH109" s="94" t="s">
        <v>26</v>
      </c>
      <c r="LI109" s="94"/>
      <c r="LJ109" s="94"/>
      <c r="LK109" s="94"/>
      <c r="LL109" s="94"/>
      <c r="LM109" s="94"/>
      <c r="LN109" s="94"/>
      <c r="LO109" s="94"/>
      <c r="LP109" s="94"/>
      <c r="LQ109" s="94"/>
      <c r="LR109" s="94"/>
      <c r="LS109" s="94"/>
      <c r="LT109" s="94"/>
      <c r="LU109" s="94"/>
      <c r="LV109" s="94"/>
      <c r="LW109" s="94"/>
      <c r="LX109" s="94"/>
      <c r="LY109" s="94"/>
      <c r="LZ109" s="94"/>
      <c r="MA109" s="94" t="s">
        <v>27</v>
      </c>
      <c r="MB109" s="94"/>
    </row>
    <row r="110" spans="1:340" s="50" customFormat="1" ht="31.5" hidden="1" customHeight="1" thickBot="1">
      <c r="A110" s="44">
        <v>1</v>
      </c>
      <c r="B110" s="107" t="s">
        <v>176</v>
      </c>
      <c r="C110" s="46" t="s">
        <v>179</v>
      </c>
      <c r="D110" s="105" t="s">
        <v>45</v>
      </c>
      <c r="E110" s="117" t="s">
        <v>62</v>
      </c>
      <c r="F110" s="106" t="s">
        <v>24</v>
      </c>
      <c r="G110" s="145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6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1"/>
      <c r="BQ110" s="131"/>
      <c r="BR110" s="131"/>
      <c r="BS110" s="131"/>
      <c r="BT110" s="131"/>
      <c r="BU110" s="131"/>
      <c r="BV110" s="131"/>
      <c r="BW110" s="131"/>
      <c r="BX110" s="131"/>
      <c r="BY110" s="131"/>
      <c r="BZ110" s="131"/>
      <c r="CA110" s="131"/>
      <c r="CB110" s="131"/>
      <c r="CC110" s="131"/>
      <c r="CD110" s="131"/>
      <c r="CE110" s="131"/>
      <c r="CF110" s="131"/>
      <c r="CG110" s="131"/>
      <c r="CH110" s="131"/>
      <c r="CI110" s="131"/>
      <c r="CJ110" s="131"/>
      <c r="CK110" s="131"/>
      <c r="CL110" s="131"/>
      <c r="CM110" s="131"/>
      <c r="CN110" s="131"/>
      <c r="CO110" s="131"/>
      <c r="CP110" s="131"/>
      <c r="CQ110" s="131"/>
      <c r="CR110" s="131"/>
      <c r="CS110" s="131"/>
      <c r="CT110" s="131"/>
      <c r="CU110" s="131"/>
      <c r="CV110" s="131"/>
      <c r="CW110" s="131"/>
      <c r="CX110" s="131"/>
      <c r="CY110" s="131"/>
      <c r="CZ110" s="131"/>
      <c r="DA110" s="131"/>
      <c r="DB110" s="131"/>
      <c r="DC110" s="131"/>
      <c r="DD110" s="131"/>
      <c r="DE110" s="131"/>
      <c r="DF110" s="131"/>
      <c r="DG110" s="131"/>
      <c r="DH110" s="131"/>
      <c r="DI110" s="131"/>
      <c r="DJ110" s="131"/>
      <c r="DK110" s="131"/>
      <c r="DL110" s="131"/>
      <c r="DM110" s="131"/>
      <c r="DN110" s="131"/>
      <c r="DO110" s="131"/>
      <c r="DP110" s="131"/>
      <c r="DQ110" s="131"/>
      <c r="DR110" s="131"/>
      <c r="DS110" s="131"/>
      <c r="DT110" s="131"/>
      <c r="DU110" s="131"/>
      <c r="DV110" s="131"/>
      <c r="DW110" s="131"/>
      <c r="DX110" s="131"/>
      <c r="DY110" s="131"/>
      <c r="DZ110" s="131"/>
      <c r="EA110" s="131"/>
      <c r="EB110" s="131"/>
      <c r="EC110" s="131"/>
      <c r="ED110" s="131"/>
      <c r="EE110" s="131"/>
      <c r="EF110" s="131"/>
      <c r="EG110" s="131"/>
      <c r="EH110" s="131"/>
      <c r="EI110" s="131"/>
      <c r="EJ110" s="131"/>
      <c r="EK110" s="131"/>
      <c r="EL110" s="131"/>
      <c r="EM110" s="131"/>
      <c r="EN110" s="131"/>
      <c r="EO110" s="131"/>
      <c r="EP110" s="131"/>
      <c r="EQ110" s="131"/>
      <c r="ER110" s="131"/>
      <c r="ES110" s="131"/>
      <c r="ET110" s="131"/>
      <c r="EU110" s="131"/>
      <c r="EV110" s="131"/>
      <c r="EW110" s="131"/>
      <c r="EX110" s="131"/>
      <c r="EY110" s="131"/>
      <c r="EZ110" s="131"/>
      <c r="FA110" s="131"/>
      <c r="FB110" s="131"/>
      <c r="FC110" s="131"/>
      <c r="FD110" s="131"/>
      <c r="FE110" s="131"/>
      <c r="FF110" s="131"/>
      <c r="FG110" s="131"/>
      <c r="FH110" s="131"/>
      <c r="FI110" s="131"/>
      <c r="FJ110" s="131"/>
      <c r="FK110" s="131"/>
      <c r="FL110" s="131"/>
      <c r="FM110" s="131"/>
      <c r="FN110" s="131"/>
      <c r="FO110" s="131"/>
      <c r="FP110" s="131"/>
      <c r="FQ110" s="131"/>
      <c r="FR110" s="131"/>
      <c r="FS110" s="131"/>
      <c r="FT110" s="131"/>
      <c r="FU110" s="131"/>
      <c r="FV110" s="131"/>
      <c r="FW110" s="131"/>
      <c r="FX110" s="131"/>
      <c r="FY110" s="131"/>
      <c r="FZ110" s="131"/>
      <c r="GA110" s="131"/>
      <c r="GB110" s="131"/>
      <c r="GC110" s="131"/>
      <c r="GD110" s="131"/>
      <c r="GE110" s="131"/>
      <c r="GF110" s="131"/>
      <c r="GG110" s="131"/>
      <c r="GH110" s="131"/>
      <c r="GI110" s="131"/>
      <c r="GJ110" s="131"/>
      <c r="GK110" s="131"/>
      <c r="GL110" s="131"/>
      <c r="GM110" s="131"/>
      <c r="GN110" s="131"/>
      <c r="GO110" s="131"/>
      <c r="GP110" s="131"/>
      <c r="GQ110" s="131"/>
      <c r="GR110" s="131"/>
      <c r="GS110" s="131"/>
      <c r="GT110" s="131"/>
      <c r="GU110" s="131"/>
      <c r="GV110" s="131"/>
      <c r="GW110" s="131"/>
      <c r="GX110" s="131"/>
      <c r="GY110" s="131"/>
      <c r="GZ110" s="131"/>
      <c r="HA110" s="131"/>
      <c r="HB110" s="131"/>
      <c r="HC110" s="131"/>
      <c r="HD110" s="131"/>
      <c r="HE110" s="131"/>
      <c r="HF110" s="131"/>
      <c r="HG110" s="131"/>
      <c r="HH110" s="131"/>
      <c r="HI110" s="131"/>
      <c r="HJ110" s="131"/>
      <c r="HK110" s="131"/>
      <c r="HL110" s="131"/>
      <c r="HM110" s="131"/>
      <c r="HN110" s="131"/>
      <c r="HO110" s="131"/>
      <c r="HP110" s="131"/>
      <c r="HQ110" s="131"/>
      <c r="HR110" s="131"/>
      <c r="HS110" s="131"/>
      <c r="HT110" s="131"/>
      <c r="HU110" s="131"/>
      <c r="HV110" s="131"/>
      <c r="HW110" s="131"/>
      <c r="HX110" s="131"/>
      <c r="HY110" s="131"/>
      <c r="HZ110" s="131"/>
      <c r="IA110" s="131"/>
      <c r="IB110" s="131"/>
      <c r="IC110" s="131"/>
      <c r="ID110" s="131"/>
      <c r="IE110" s="131"/>
      <c r="IF110" s="94" t="s">
        <v>25</v>
      </c>
      <c r="IG110" s="94" t="s">
        <v>26</v>
      </c>
      <c r="IH110" s="94"/>
      <c r="II110" s="94"/>
      <c r="IJ110" s="94" t="s">
        <v>41</v>
      </c>
      <c r="IK110" s="94"/>
      <c r="IL110" s="94"/>
      <c r="IM110" s="94"/>
      <c r="IN110" s="94" t="s">
        <v>26</v>
      </c>
      <c r="IO110" s="94"/>
      <c r="IP110" s="94"/>
      <c r="IQ110" s="94" t="s">
        <v>41</v>
      </c>
      <c r="IR110" s="94"/>
      <c r="IS110" s="94"/>
      <c r="IT110" s="94"/>
      <c r="IU110" s="94" t="s">
        <v>26</v>
      </c>
      <c r="IV110" s="94"/>
      <c r="IW110" s="94"/>
      <c r="IX110" s="94" t="s">
        <v>41</v>
      </c>
      <c r="IY110" s="94"/>
      <c r="IZ110" s="94"/>
      <c r="JA110" s="94"/>
      <c r="JB110" s="94" t="s">
        <v>26</v>
      </c>
      <c r="JC110" s="94"/>
      <c r="JD110" s="94"/>
      <c r="JE110" s="94" t="s">
        <v>41</v>
      </c>
      <c r="JF110" s="94"/>
      <c r="JG110" s="94"/>
      <c r="JH110" s="94"/>
      <c r="JI110" s="94" t="s">
        <v>26</v>
      </c>
      <c r="JJ110" s="94"/>
      <c r="JK110" s="94"/>
      <c r="JL110" s="94" t="s">
        <v>41</v>
      </c>
      <c r="JM110" s="94"/>
      <c r="JN110" s="94"/>
      <c r="JO110" s="94"/>
      <c r="JP110" s="94" t="s">
        <v>26</v>
      </c>
      <c r="JQ110" s="94"/>
      <c r="JR110" s="94"/>
      <c r="JS110" s="94" t="s">
        <v>41</v>
      </c>
      <c r="JT110" s="94"/>
      <c r="JU110" s="94"/>
      <c r="JV110" s="94"/>
      <c r="JW110" s="94" t="s">
        <v>26</v>
      </c>
      <c r="JX110" s="94"/>
      <c r="JY110" s="94"/>
      <c r="JZ110" s="94" t="s">
        <v>41</v>
      </c>
      <c r="KA110" s="94"/>
      <c r="KB110" s="94"/>
      <c r="KC110" s="94"/>
      <c r="KD110" s="94" t="s">
        <v>26</v>
      </c>
      <c r="KE110" s="94"/>
      <c r="KF110" s="94"/>
      <c r="KG110" s="94" t="s">
        <v>41</v>
      </c>
      <c r="KH110" s="94"/>
      <c r="KI110" s="94"/>
      <c r="KJ110" s="94"/>
      <c r="KK110" s="94" t="s">
        <v>26</v>
      </c>
      <c r="KL110" s="94"/>
      <c r="KM110" s="94"/>
      <c r="KN110" s="94" t="s">
        <v>41</v>
      </c>
      <c r="KO110" s="94"/>
      <c r="KP110" s="94"/>
      <c r="KQ110" s="94"/>
      <c r="KR110" s="94" t="s">
        <v>26</v>
      </c>
      <c r="KS110" s="94"/>
      <c r="KT110" s="94"/>
      <c r="KU110" s="94" t="s">
        <v>41</v>
      </c>
      <c r="KV110" s="94"/>
      <c r="KW110" s="94"/>
      <c r="KX110" s="94"/>
      <c r="KY110" s="94" t="s">
        <v>26</v>
      </c>
      <c r="KZ110" s="94"/>
      <c r="LA110" s="94"/>
      <c r="LB110" s="94" t="s">
        <v>41</v>
      </c>
      <c r="LC110" s="94"/>
      <c r="LD110" s="94"/>
      <c r="LE110" s="94"/>
      <c r="LF110" s="94" t="s">
        <v>26</v>
      </c>
      <c r="LG110" s="94"/>
      <c r="LH110" s="94"/>
      <c r="LI110" s="94" t="s">
        <v>41</v>
      </c>
      <c r="LJ110" s="94"/>
      <c r="LK110" s="94"/>
      <c r="LL110" s="94"/>
      <c r="LM110" s="94" t="s">
        <v>26</v>
      </c>
      <c r="LN110" s="94"/>
      <c r="LO110" s="94"/>
      <c r="LP110" s="94" t="s">
        <v>41</v>
      </c>
      <c r="LQ110" s="131" t="s">
        <v>37</v>
      </c>
      <c r="LR110" s="131"/>
      <c r="LS110" s="131"/>
      <c r="LT110" s="131"/>
      <c r="LU110" s="131"/>
      <c r="LV110" s="131"/>
      <c r="LW110" s="131"/>
      <c r="LX110" s="131"/>
      <c r="LY110" s="131"/>
      <c r="LZ110" s="131"/>
      <c r="MA110" s="131"/>
      <c r="MB110" s="131"/>
    </row>
    <row r="111" spans="1:340" s="50" customFormat="1" ht="31.5" hidden="1" customHeight="1">
      <c r="A111" s="44">
        <v>1</v>
      </c>
      <c r="B111" s="107" t="s">
        <v>176</v>
      </c>
      <c r="C111" s="46" t="s">
        <v>180</v>
      </c>
      <c r="D111" s="105" t="s">
        <v>35</v>
      </c>
      <c r="E111" s="117" t="s">
        <v>36</v>
      </c>
      <c r="F111" s="106" t="s">
        <v>24</v>
      </c>
      <c r="G111" s="145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6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1"/>
      <c r="BQ111" s="131"/>
      <c r="BR111" s="131"/>
      <c r="BS111" s="131"/>
      <c r="BT111" s="131"/>
      <c r="BU111" s="131"/>
      <c r="BV111" s="131"/>
      <c r="BW111" s="131"/>
      <c r="BX111" s="131"/>
      <c r="BY111" s="131"/>
      <c r="BZ111" s="131"/>
      <c r="CA111" s="131"/>
      <c r="CB111" s="131"/>
      <c r="CC111" s="131"/>
      <c r="CD111" s="131"/>
      <c r="CE111" s="131"/>
      <c r="CF111" s="131"/>
      <c r="CG111" s="131"/>
      <c r="CH111" s="131"/>
      <c r="CI111" s="131"/>
      <c r="CJ111" s="131"/>
      <c r="CK111" s="131"/>
      <c r="CL111" s="131"/>
      <c r="CM111" s="131"/>
      <c r="CN111" s="131"/>
      <c r="CO111" s="131"/>
      <c r="CP111" s="131"/>
      <c r="CQ111" s="131"/>
      <c r="CR111" s="131"/>
      <c r="CS111" s="131"/>
      <c r="CT111" s="131"/>
      <c r="CU111" s="131"/>
      <c r="CV111" s="131"/>
      <c r="CW111" s="131"/>
      <c r="CX111" s="131"/>
      <c r="CY111" s="131"/>
      <c r="CZ111" s="131"/>
      <c r="DA111" s="131"/>
      <c r="DB111" s="131"/>
      <c r="DC111" s="131"/>
      <c r="DD111" s="131"/>
      <c r="DE111" s="131"/>
      <c r="DF111" s="131"/>
      <c r="DG111" s="131"/>
      <c r="DH111" s="131"/>
      <c r="DI111" s="131"/>
      <c r="DJ111" s="131"/>
      <c r="DK111" s="131"/>
      <c r="DL111" s="131"/>
      <c r="DM111" s="131"/>
      <c r="DN111" s="131"/>
      <c r="DO111" s="131"/>
      <c r="DP111" s="131"/>
      <c r="DQ111" s="131"/>
      <c r="DR111" s="131"/>
      <c r="DS111" s="131"/>
      <c r="DT111" s="131"/>
      <c r="DU111" s="131"/>
      <c r="DV111" s="131"/>
      <c r="DW111" s="131"/>
      <c r="DX111" s="131"/>
      <c r="DY111" s="131"/>
      <c r="DZ111" s="131"/>
      <c r="EA111" s="131"/>
      <c r="EB111" s="131"/>
      <c r="EC111" s="131"/>
      <c r="ED111" s="131"/>
      <c r="EE111" s="131"/>
      <c r="EF111" s="131"/>
      <c r="EG111" s="131"/>
      <c r="EH111" s="131"/>
      <c r="EI111" s="131"/>
      <c r="EJ111" s="131"/>
      <c r="EK111" s="131"/>
      <c r="EL111" s="131"/>
      <c r="EM111" s="131"/>
      <c r="EN111" s="131"/>
      <c r="EO111" s="131"/>
      <c r="EP111" s="131"/>
      <c r="EQ111" s="131"/>
      <c r="ER111" s="131"/>
      <c r="ES111" s="131"/>
      <c r="ET111" s="131"/>
      <c r="EU111" s="131"/>
      <c r="EV111" s="131"/>
      <c r="EW111" s="131"/>
      <c r="EX111" s="131"/>
      <c r="EY111" s="131"/>
      <c r="EZ111" s="131"/>
      <c r="FA111" s="131"/>
      <c r="FB111" s="131"/>
      <c r="FC111" s="131"/>
      <c r="FD111" s="131"/>
      <c r="FE111" s="131"/>
      <c r="FF111" s="142"/>
      <c r="FG111" s="142"/>
      <c r="FH111" s="142"/>
      <c r="FI111" s="142"/>
      <c r="FJ111" s="142"/>
      <c r="FK111" s="142"/>
      <c r="FL111" s="142"/>
      <c r="FM111" s="142"/>
      <c r="FN111" s="142"/>
      <c r="FO111" s="142"/>
      <c r="FP111" s="142"/>
      <c r="FQ111" s="142"/>
      <c r="FR111" s="142"/>
      <c r="FS111" s="142"/>
      <c r="FT111" s="142"/>
      <c r="FU111" s="142"/>
      <c r="FV111" s="142"/>
      <c r="FW111" s="142"/>
      <c r="FX111" s="142"/>
      <c r="FY111" s="142"/>
      <c r="FZ111" s="142"/>
      <c r="GA111" s="142"/>
      <c r="GB111" s="142"/>
      <c r="GC111" s="142"/>
      <c r="GD111" s="142"/>
      <c r="GE111" s="142"/>
      <c r="GF111" s="142"/>
      <c r="GG111" s="142"/>
      <c r="GH111" s="142"/>
      <c r="GI111" s="142"/>
      <c r="GJ111" s="142"/>
      <c r="GK111" s="142"/>
      <c r="GL111" s="142"/>
      <c r="GM111" s="142" t="s">
        <v>25</v>
      </c>
      <c r="GN111" s="94"/>
      <c r="GO111" s="94"/>
      <c r="GP111" s="94"/>
      <c r="GQ111" s="94"/>
      <c r="GR111" s="94" t="s">
        <v>26</v>
      </c>
      <c r="GS111" s="94"/>
      <c r="GT111" s="94"/>
      <c r="GU111" s="94"/>
      <c r="GV111" s="94"/>
      <c r="GW111" s="94"/>
      <c r="GX111" s="94" t="s">
        <v>27</v>
      </c>
      <c r="GY111" s="94"/>
      <c r="GZ111" s="94"/>
      <c r="HA111" s="94" t="s">
        <v>26</v>
      </c>
      <c r="HB111" s="94"/>
      <c r="HC111" s="94"/>
      <c r="HD111" s="94"/>
      <c r="HE111" s="94"/>
      <c r="HF111" s="94"/>
      <c r="HG111" s="94"/>
      <c r="HH111" s="94"/>
      <c r="HI111" s="94"/>
      <c r="HJ111" s="94"/>
      <c r="HK111" s="94" t="s">
        <v>27</v>
      </c>
      <c r="HL111" s="94"/>
      <c r="HN111" s="94" t="s">
        <v>26</v>
      </c>
      <c r="HO111" s="94"/>
      <c r="HP111" s="94"/>
      <c r="HQ111" s="94"/>
      <c r="HR111" s="94"/>
      <c r="HS111" s="94"/>
      <c r="HU111" s="94"/>
      <c r="HV111" s="94"/>
      <c r="HW111" s="94" t="s">
        <v>27</v>
      </c>
      <c r="HX111" s="94"/>
      <c r="HY111" s="94" t="s">
        <v>26</v>
      </c>
      <c r="HZ111" s="94"/>
      <c r="IA111" s="94"/>
      <c r="IB111" s="94"/>
      <c r="IC111" s="94"/>
      <c r="ID111" s="94"/>
      <c r="IE111" s="94"/>
      <c r="IF111" s="94"/>
      <c r="IG111" s="94"/>
      <c r="IH111" s="94"/>
      <c r="II111" s="94"/>
      <c r="IJ111" s="94" t="s">
        <v>27</v>
      </c>
      <c r="IK111" s="94"/>
      <c r="IL111" s="94"/>
      <c r="IM111" s="94"/>
      <c r="IN111" s="94" t="s">
        <v>26</v>
      </c>
      <c r="IO111" s="94"/>
      <c r="IP111" s="94"/>
      <c r="IQ111" s="94"/>
      <c r="IR111" s="94"/>
      <c r="IS111" s="94"/>
      <c r="IT111" s="94"/>
      <c r="IU111" s="94"/>
      <c r="IV111" s="94"/>
      <c r="IW111" s="94" t="s">
        <v>27</v>
      </c>
      <c r="IX111" s="94"/>
      <c r="IY111" s="94" t="s">
        <v>26</v>
      </c>
      <c r="IZ111" s="94"/>
      <c r="JA111" s="94"/>
      <c r="JB111" s="94"/>
      <c r="JC111" s="94" t="s">
        <v>27</v>
      </c>
      <c r="JD111" s="94"/>
      <c r="JE111" s="94" t="s">
        <v>26</v>
      </c>
      <c r="JF111" s="94"/>
      <c r="JG111" s="94"/>
      <c r="JH111" s="94"/>
      <c r="JI111" s="94"/>
      <c r="JJ111" s="94"/>
      <c r="JK111" s="94" t="s">
        <v>27</v>
      </c>
      <c r="JL111" s="94"/>
      <c r="JM111" s="94" t="s">
        <v>26</v>
      </c>
      <c r="JN111" s="94"/>
      <c r="JO111" s="94"/>
      <c r="JP111" s="94"/>
      <c r="JQ111" s="94"/>
      <c r="JR111" s="94"/>
      <c r="JS111" s="94" t="s">
        <v>27</v>
      </c>
      <c r="JT111" s="94"/>
      <c r="JU111" s="94" t="s">
        <v>26</v>
      </c>
      <c r="JV111" s="94"/>
      <c r="JW111" s="94"/>
      <c r="JX111" s="94"/>
      <c r="JY111" s="94"/>
      <c r="JZ111" s="94"/>
      <c r="KA111" s="94" t="s">
        <v>27</v>
      </c>
      <c r="KB111" s="94"/>
      <c r="KC111" s="94" t="s">
        <v>26</v>
      </c>
      <c r="KD111" s="94"/>
      <c r="KE111" s="94"/>
      <c r="KF111" s="94"/>
      <c r="KG111" s="94"/>
      <c r="KH111" s="94"/>
      <c r="KI111" s="94" t="s">
        <v>27</v>
      </c>
      <c r="KJ111" s="94"/>
      <c r="KK111" s="94" t="s">
        <v>26</v>
      </c>
      <c r="KL111" s="94"/>
      <c r="KM111" s="94"/>
      <c r="KN111" s="94"/>
      <c r="KO111" s="94"/>
      <c r="KP111" s="94"/>
      <c r="KQ111" s="94" t="s">
        <v>27</v>
      </c>
      <c r="KR111" s="94"/>
      <c r="KS111" s="94" t="s">
        <v>26</v>
      </c>
      <c r="KT111" s="94"/>
      <c r="KU111" s="94"/>
      <c r="KV111" s="94"/>
      <c r="KW111" s="94"/>
      <c r="KX111" s="94"/>
      <c r="KY111" s="94" t="s">
        <v>27</v>
      </c>
      <c r="KZ111" s="94"/>
      <c r="LA111" s="94" t="s">
        <v>26</v>
      </c>
      <c r="LB111" s="94"/>
      <c r="LC111" s="94"/>
      <c r="LD111" s="94"/>
      <c r="LE111" s="94"/>
      <c r="LF111" s="94"/>
      <c r="LG111" s="94" t="s">
        <v>27</v>
      </c>
      <c r="LH111" s="94"/>
      <c r="LI111" s="94" t="s">
        <v>26</v>
      </c>
      <c r="LJ111" s="94"/>
      <c r="LK111" s="94"/>
      <c r="LL111" s="94"/>
      <c r="LM111" s="94"/>
      <c r="LN111" s="94"/>
      <c r="LO111" s="94" t="s">
        <v>27</v>
      </c>
      <c r="LP111" s="94"/>
      <c r="LQ111" s="94" t="s">
        <v>26</v>
      </c>
      <c r="LR111" s="94"/>
      <c r="LS111" s="94"/>
      <c r="LT111" s="94"/>
      <c r="LU111" s="94"/>
      <c r="LV111" s="94"/>
      <c r="LW111" s="94" t="s">
        <v>27</v>
      </c>
      <c r="LX111" s="94"/>
      <c r="LY111" s="94" t="s">
        <v>26</v>
      </c>
      <c r="LZ111" s="94"/>
      <c r="MA111" s="94"/>
      <c r="MB111" s="94"/>
    </row>
    <row r="112" spans="1:340" s="50" customFormat="1" ht="31.5" hidden="1" customHeight="1" thickBot="1">
      <c r="A112" s="44">
        <v>1</v>
      </c>
      <c r="B112" s="107" t="s">
        <v>176</v>
      </c>
      <c r="C112" s="46" t="s">
        <v>181</v>
      </c>
      <c r="D112" s="105" t="s">
        <v>45</v>
      </c>
      <c r="E112" s="117" t="s">
        <v>62</v>
      </c>
      <c r="F112" s="106" t="s">
        <v>24</v>
      </c>
      <c r="G112" s="145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6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  <c r="BT112" s="131"/>
      <c r="BU112" s="131"/>
      <c r="BV112" s="131"/>
      <c r="BW112" s="131"/>
      <c r="BX112" s="131"/>
      <c r="BY112" s="131"/>
      <c r="BZ112" s="131"/>
      <c r="CA112" s="131"/>
      <c r="CB112" s="131"/>
      <c r="CC112" s="131"/>
      <c r="CD112" s="131"/>
      <c r="CE112" s="131"/>
      <c r="CF112" s="131"/>
      <c r="CG112" s="131"/>
      <c r="CH112" s="131"/>
      <c r="CI112" s="131"/>
      <c r="CJ112" s="131"/>
      <c r="CK112" s="131"/>
      <c r="CL112" s="131"/>
      <c r="CM112" s="131"/>
      <c r="CN112" s="131"/>
      <c r="CO112" s="131"/>
      <c r="CP112" s="131"/>
      <c r="CQ112" s="131"/>
      <c r="CR112" s="131"/>
      <c r="CS112" s="131"/>
      <c r="CT112" s="131"/>
      <c r="CU112" s="131"/>
      <c r="CV112" s="131"/>
      <c r="CW112" s="131"/>
      <c r="CX112" s="131"/>
      <c r="CY112" s="131"/>
      <c r="CZ112" s="131"/>
      <c r="DA112" s="131"/>
      <c r="DB112" s="131"/>
      <c r="DC112" s="131"/>
      <c r="DD112" s="131"/>
      <c r="DE112" s="131"/>
      <c r="DF112" s="131"/>
      <c r="DG112" s="131"/>
      <c r="DH112" s="131"/>
      <c r="DI112" s="131"/>
      <c r="DJ112" s="131"/>
      <c r="DK112" s="131"/>
      <c r="DL112" s="131"/>
      <c r="DM112" s="131"/>
      <c r="DN112" s="131"/>
      <c r="DO112" s="131"/>
      <c r="DP112" s="131"/>
      <c r="DQ112" s="131"/>
      <c r="DR112" s="131"/>
      <c r="DS112" s="131"/>
      <c r="DT112" s="131"/>
      <c r="DU112" s="131"/>
      <c r="DV112" s="131"/>
      <c r="DW112" s="131"/>
      <c r="DX112" s="131"/>
      <c r="DY112" s="131"/>
      <c r="DZ112" s="131"/>
      <c r="EA112" s="131"/>
      <c r="EB112" s="131"/>
      <c r="EC112" s="131"/>
      <c r="ED112" s="131"/>
      <c r="EE112" s="131"/>
      <c r="EF112" s="131"/>
      <c r="EG112" s="131"/>
      <c r="EH112" s="131"/>
      <c r="EI112" s="131"/>
      <c r="EJ112" s="131"/>
      <c r="EK112" s="131"/>
      <c r="EL112" s="131"/>
      <c r="EM112" s="131"/>
      <c r="EN112" s="131"/>
      <c r="EO112" s="131"/>
      <c r="EP112" s="131"/>
      <c r="EQ112" s="131"/>
      <c r="ER112" s="131"/>
      <c r="ES112" s="131"/>
      <c r="ET112" s="131"/>
      <c r="EU112" s="131"/>
      <c r="EV112" s="131"/>
      <c r="EW112" s="131"/>
      <c r="EX112" s="131"/>
      <c r="EY112" s="131"/>
      <c r="EZ112" s="131"/>
      <c r="FA112" s="131"/>
      <c r="FB112" s="131"/>
      <c r="FC112" s="131"/>
      <c r="FD112" s="131"/>
      <c r="FE112" s="131"/>
      <c r="FF112" s="131"/>
      <c r="FG112" s="131"/>
      <c r="FH112" s="131"/>
      <c r="FI112" s="131"/>
      <c r="FJ112" s="131"/>
      <c r="FK112" s="131"/>
      <c r="FL112" s="131"/>
      <c r="FM112" s="131"/>
      <c r="FN112" s="131"/>
      <c r="FO112" s="131"/>
      <c r="FP112" s="131"/>
      <c r="FQ112" s="131"/>
      <c r="FR112" s="131"/>
      <c r="FS112" s="94" t="s">
        <v>25</v>
      </c>
      <c r="FT112" s="94" t="s">
        <v>26</v>
      </c>
      <c r="FU112" s="94"/>
      <c r="FV112" s="94"/>
      <c r="FW112" s="94" t="s">
        <v>41</v>
      </c>
      <c r="FX112" s="94"/>
      <c r="FY112" s="94" t="s">
        <v>41</v>
      </c>
      <c r="FZ112" s="94"/>
      <c r="GA112" s="94"/>
      <c r="GB112" s="94"/>
      <c r="GC112" s="94"/>
      <c r="GD112" s="94"/>
      <c r="GE112" s="94"/>
      <c r="GF112" s="94" t="s">
        <v>26</v>
      </c>
      <c r="GG112" s="94"/>
      <c r="GH112" s="94"/>
      <c r="GI112" s="94" t="s">
        <v>41</v>
      </c>
      <c r="GJ112" s="94"/>
      <c r="GK112" s="94"/>
      <c r="GL112" s="94"/>
      <c r="GM112" s="94"/>
      <c r="GN112" s="94"/>
      <c r="GO112" s="94"/>
      <c r="GP112" s="94"/>
      <c r="GQ112" s="94"/>
      <c r="GR112" s="94"/>
      <c r="GS112" s="94"/>
      <c r="GT112" s="94"/>
      <c r="GU112" s="94"/>
      <c r="GV112" s="94" t="s">
        <v>26</v>
      </c>
      <c r="GW112" s="94"/>
      <c r="GX112" s="94"/>
      <c r="GY112" s="94" t="s">
        <v>41</v>
      </c>
      <c r="GZ112" s="94"/>
      <c r="HA112" s="94"/>
      <c r="HB112" s="94"/>
      <c r="HC112" s="94"/>
      <c r="HD112" s="94"/>
      <c r="HE112" s="94"/>
      <c r="HF112" s="94" t="s">
        <v>26</v>
      </c>
      <c r="HG112" s="94"/>
      <c r="HH112" s="94"/>
      <c r="HJ112" s="94" t="s">
        <v>41</v>
      </c>
      <c r="HK112" s="94"/>
      <c r="HL112" s="94" t="s">
        <v>26</v>
      </c>
      <c r="HM112" s="94"/>
      <c r="HN112" s="94"/>
      <c r="HO112" s="94" t="s">
        <v>41</v>
      </c>
      <c r="HP112" s="94"/>
      <c r="HQ112" s="94"/>
      <c r="HR112" s="94"/>
      <c r="HS112" s="94"/>
      <c r="HT112" s="94" t="s">
        <v>26</v>
      </c>
      <c r="HU112" s="94"/>
      <c r="HV112" s="94"/>
      <c r="HW112" s="94" t="s">
        <v>41</v>
      </c>
      <c r="HX112" s="94"/>
      <c r="HY112" s="94"/>
      <c r="HZ112" s="94"/>
      <c r="IA112" s="94" t="s">
        <v>26</v>
      </c>
      <c r="IB112" s="94"/>
      <c r="IC112" s="94"/>
      <c r="ID112" s="94" t="s">
        <v>41</v>
      </c>
      <c r="IE112" s="94"/>
      <c r="IF112" s="94"/>
      <c r="IG112" s="94"/>
      <c r="IH112" s="94"/>
      <c r="II112" s="94"/>
      <c r="IK112" s="94" t="s">
        <v>26</v>
      </c>
      <c r="IL112" s="94"/>
      <c r="IM112" s="94"/>
      <c r="IN112" s="94" t="s">
        <v>41</v>
      </c>
      <c r="IO112" s="94"/>
      <c r="IP112" s="94"/>
      <c r="IQ112" s="94"/>
      <c r="IR112" s="94"/>
      <c r="IS112" s="94" t="s">
        <v>26</v>
      </c>
      <c r="IT112" s="94"/>
      <c r="IU112" s="94"/>
      <c r="IV112" s="94" t="s">
        <v>41</v>
      </c>
      <c r="IW112" s="94"/>
      <c r="IX112" s="94"/>
      <c r="IY112" s="94"/>
      <c r="IZ112" s="94"/>
      <c r="JA112" s="94" t="s">
        <v>26</v>
      </c>
      <c r="JB112" s="94"/>
      <c r="JC112" s="94"/>
      <c r="JD112" s="94" t="s">
        <v>41</v>
      </c>
      <c r="JE112" s="94"/>
      <c r="JF112" s="94"/>
      <c r="JG112" s="94"/>
      <c r="JH112" s="94"/>
      <c r="JI112" s="94" t="s">
        <v>26</v>
      </c>
      <c r="JJ112" s="94"/>
      <c r="JK112" s="94"/>
      <c r="JL112" s="94" t="s">
        <v>41</v>
      </c>
      <c r="JM112" s="94"/>
      <c r="JN112" s="94"/>
      <c r="JO112" s="94"/>
      <c r="JP112" s="94"/>
      <c r="JQ112" s="94" t="s">
        <v>26</v>
      </c>
      <c r="JR112" s="94"/>
      <c r="JS112" s="94"/>
      <c r="JT112" s="94" t="s">
        <v>41</v>
      </c>
      <c r="JU112" s="94"/>
      <c r="JV112" s="94"/>
      <c r="JW112" s="94"/>
      <c r="JX112" s="94"/>
      <c r="JY112" s="94" t="s">
        <v>26</v>
      </c>
      <c r="JZ112" s="94"/>
      <c r="KA112" s="94"/>
      <c r="KB112" s="94" t="s">
        <v>41</v>
      </c>
      <c r="KC112" s="94"/>
      <c r="KD112" s="94"/>
      <c r="KE112" s="94"/>
      <c r="KF112" s="94"/>
      <c r="KG112" s="94" t="s">
        <v>26</v>
      </c>
      <c r="KH112" s="94"/>
      <c r="KI112" s="94"/>
      <c r="KJ112" s="94" t="s">
        <v>41</v>
      </c>
      <c r="KK112" s="94"/>
      <c r="KL112" s="94"/>
      <c r="KM112" s="94"/>
      <c r="KN112" s="94"/>
      <c r="KO112" s="94" t="s">
        <v>26</v>
      </c>
      <c r="KP112" s="94"/>
      <c r="KQ112" s="94"/>
      <c r="KR112" s="94" t="s">
        <v>41</v>
      </c>
      <c r="KS112" s="94"/>
      <c r="KT112" s="94"/>
      <c r="KU112" s="94"/>
      <c r="KV112" s="94"/>
      <c r="KW112" s="94" t="s">
        <v>26</v>
      </c>
      <c r="KX112" s="94"/>
      <c r="KY112" s="94"/>
      <c r="KZ112" s="94" t="s">
        <v>41</v>
      </c>
      <c r="LA112" s="94"/>
      <c r="LB112" s="94"/>
      <c r="LC112" s="94"/>
      <c r="LD112" s="94"/>
      <c r="LE112" s="94" t="s">
        <v>26</v>
      </c>
      <c r="LF112" s="94"/>
      <c r="LG112" s="94"/>
      <c r="LH112" s="94" t="s">
        <v>41</v>
      </c>
      <c r="LI112" s="94"/>
      <c r="LJ112" s="94"/>
      <c r="LK112" s="94"/>
      <c r="LL112" s="94"/>
      <c r="LM112" s="94" t="s">
        <v>26</v>
      </c>
      <c r="LN112" s="94"/>
      <c r="LO112" s="94"/>
      <c r="LP112" s="94" t="s">
        <v>41</v>
      </c>
      <c r="LQ112" s="94"/>
      <c r="LR112" s="94"/>
      <c r="LS112" s="94"/>
      <c r="LT112" s="94"/>
      <c r="LU112" s="94" t="s">
        <v>26</v>
      </c>
      <c r="LV112" s="94"/>
      <c r="LW112" s="94"/>
      <c r="LX112" s="94" t="s">
        <v>41</v>
      </c>
      <c r="LY112" s="94"/>
      <c r="LZ112" s="94"/>
      <c r="MA112" s="94"/>
      <c r="MB112" s="94"/>
    </row>
    <row r="113" spans="1:340" s="50" customFormat="1" ht="31.5" hidden="1" customHeight="1" thickBot="1">
      <c r="A113" s="44">
        <v>1</v>
      </c>
      <c r="B113" s="107" t="s">
        <v>176</v>
      </c>
      <c r="C113" s="46" t="s">
        <v>182</v>
      </c>
      <c r="D113" s="105" t="s">
        <v>45</v>
      </c>
      <c r="E113" s="117" t="s">
        <v>46</v>
      </c>
      <c r="F113" s="106" t="s">
        <v>24</v>
      </c>
      <c r="G113" s="145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6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  <c r="BT113" s="131"/>
      <c r="BU113" s="131"/>
      <c r="BV113" s="131"/>
      <c r="BW113" s="131"/>
      <c r="BX113" s="131"/>
      <c r="BY113" s="131"/>
      <c r="BZ113" s="131"/>
      <c r="CA113" s="131"/>
      <c r="CB113" s="131"/>
      <c r="CC113" s="131"/>
      <c r="CD113" s="131"/>
      <c r="CE113" s="131"/>
      <c r="CF113" s="131"/>
      <c r="CG113" s="131"/>
      <c r="CH113" s="131"/>
      <c r="CI113" s="131"/>
      <c r="CJ113" s="131"/>
      <c r="CK113" s="131"/>
      <c r="CL113" s="131"/>
      <c r="CM113" s="131"/>
      <c r="CN113" s="131"/>
      <c r="CO113" s="131"/>
      <c r="CP113" s="131"/>
      <c r="CQ113" s="131"/>
      <c r="CR113" s="131"/>
      <c r="CS113" s="131"/>
      <c r="CT113" s="131"/>
      <c r="CU113" s="131"/>
      <c r="CV113" s="131"/>
      <c r="CW113" s="131"/>
      <c r="CX113" s="131"/>
      <c r="CY113" s="131"/>
      <c r="CZ113" s="131"/>
      <c r="DA113" s="131"/>
      <c r="DB113" s="131"/>
      <c r="DC113" s="131"/>
      <c r="DD113" s="131"/>
      <c r="DE113" s="131"/>
      <c r="DF113" s="131"/>
      <c r="DG113" s="131"/>
      <c r="DH113" s="131"/>
      <c r="DI113" s="131"/>
      <c r="DJ113" s="131"/>
      <c r="DK113" s="131"/>
      <c r="DL113" s="131"/>
      <c r="DM113" s="131"/>
      <c r="DN113" s="131"/>
      <c r="DO113" s="131"/>
      <c r="DP113" s="131"/>
      <c r="DQ113" s="131"/>
      <c r="DR113" s="131"/>
      <c r="DS113" s="131"/>
      <c r="DT113" s="131"/>
      <c r="DU113" s="131"/>
      <c r="DV113" s="131"/>
      <c r="DW113" s="131"/>
      <c r="DX113" s="131"/>
      <c r="DY113" s="131"/>
      <c r="DZ113" s="131"/>
      <c r="EA113" s="131"/>
      <c r="EB113" s="131"/>
      <c r="EC113" s="131"/>
      <c r="ED113" s="131"/>
      <c r="EE113" s="131"/>
      <c r="EF113" s="131"/>
      <c r="EG113" s="131"/>
      <c r="EH113" s="131"/>
      <c r="EI113" s="131"/>
      <c r="EJ113" s="131"/>
      <c r="EK113" s="131"/>
      <c r="EL113" s="131"/>
      <c r="EM113" s="131"/>
      <c r="EN113" s="131"/>
      <c r="EO113" s="131"/>
      <c r="EP113" s="131"/>
      <c r="EQ113" s="131"/>
      <c r="ER113" s="131"/>
      <c r="ES113" s="131"/>
      <c r="ET113" s="131"/>
      <c r="EU113" s="131"/>
      <c r="EV113" s="131"/>
      <c r="EW113" s="131"/>
      <c r="EX113" s="131"/>
      <c r="EY113" s="131"/>
      <c r="EZ113" s="131"/>
      <c r="FA113" s="131"/>
      <c r="FB113" s="131"/>
      <c r="FC113" s="131"/>
      <c r="FD113" s="131"/>
      <c r="FE113" s="131"/>
      <c r="FF113" s="131"/>
      <c r="FG113" s="131"/>
      <c r="FH113" s="131"/>
      <c r="FI113" s="131"/>
      <c r="FJ113" s="131"/>
      <c r="FK113" s="131"/>
      <c r="FL113" s="131"/>
      <c r="FM113" s="131"/>
      <c r="FN113" s="131"/>
      <c r="FO113" s="131"/>
      <c r="FP113" s="131"/>
      <c r="FQ113" s="131"/>
      <c r="FR113" s="131"/>
      <c r="FS113" s="131"/>
      <c r="FT113" s="131"/>
      <c r="FU113" s="131"/>
      <c r="FV113" s="131"/>
      <c r="FW113" s="131"/>
      <c r="FX113" s="131"/>
      <c r="FY113" s="131"/>
      <c r="FZ113" s="131"/>
      <c r="GA113" s="131"/>
      <c r="GB113" s="131"/>
      <c r="GC113" s="131"/>
      <c r="GD113" s="131"/>
      <c r="GE113" s="131"/>
      <c r="GF113" s="131"/>
      <c r="GG113" s="131"/>
      <c r="GH113" s="131"/>
      <c r="GI113" s="131"/>
      <c r="GJ113" s="131"/>
      <c r="GK113" s="131"/>
      <c r="GL113" s="131"/>
      <c r="GM113" s="131"/>
      <c r="GN113" s="131"/>
      <c r="GO113" s="131"/>
      <c r="GP113" s="131"/>
      <c r="GQ113" s="131"/>
      <c r="GR113" s="131"/>
      <c r="GS113" s="131"/>
      <c r="GT113" s="131"/>
      <c r="GU113" s="131"/>
      <c r="GV113" s="131"/>
      <c r="GW113" s="131"/>
      <c r="GX113" s="131"/>
      <c r="GY113" s="131"/>
      <c r="GZ113" s="131"/>
      <c r="HA113" s="94" t="s">
        <v>25</v>
      </c>
      <c r="HB113" s="94"/>
      <c r="HC113" s="94"/>
      <c r="HD113" s="94"/>
      <c r="HE113" s="94" t="s">
        <v>26</v>
      </c>
      <c r="HF113" s="94"/>
      <c r="HG113" s="94"/>
      <c r="HH113" s="94"/>
      <c r="HI113" s="94" t="s">
        <v>27</v>
      </c>
      <c r="HJ113" s="94"/>
      <c r="HK113" s="94" t="s">
        <v>26</v>
      </c>
      <c r="HL113" s="94"/>
      <c r="HM113" s="94"/>
      <c r="HN113" s="94"/>
      <c r="HO113" s="94"/>
      <c r="HP113" s="94"/>
      <c r="HQ113" s="94"/>
      <c r="HR113" s="94" t="s">
        <v>27</v>
      </c>
      <c r="HS113" s="94"/>
      <c r="HT113" s="94" t="s">
        <v>26</v>
      </c>
      <c r="HU113" s="94"/>
      <c r="HV113" s="94"/>
      <c r="HW113" s="94" t="s">
        <v>41</v>
      </c>
      <c r="HX113" s="94"/>
      <c r="HY113" s="94"/>
      <c r="HZ113" s="94"/>
      <c r="IA113" s="94" t="s">
        <v>57</v>
      </c>
      <c r="IB113" s="94" t="s">
        <v>26</v>
      </c>
      <c r="IC113" s="94"/>
      <c r="ID113" s="94"/>
      <c r="IE113" s="94"/>
      <c r="IF113" s="94"/>
      <c r="IG113" s="94" t="s">
        <v>27</v>
      </c>
      <c r="IH113" s="94" t="s">
        <v>26</v>
      </c>
      <c r="II113" s="94"/>
      <c r="IJ113" s="94"/>
      <c r="IK113" s="94"/>
      <c r="IL113" s="94"/>
      <c r="IM113" s="94" t="s">
        <v>27</v>
      </c>
      <c r="IN113" s="94" t="s">
        <v>26</v>
      </c>
      <c r="IO113" s="94"/>
      <c r="IP113" s="94"/>
      <c r="IQ113" s="94"/>
      <c r="IR113" s="94"/>
      <c r="IS113" s="94" t="s">
        <v>27</v>
      </c>
      <c r="IT113" s="94" t="s">
        <v>26</v>
      </c>
      <c r="IU113" s="94"/>
      <c r="IV113" s="94"/>
      <c r="IW113" s="94"/>
      <c r="IX113" s="94"/>
      <c r="IY113" s="94" t="s">
        <v>27</v>
      </c>
      <c r="IZ113" s="94" t="s">
        <v>26</v>
      </c>
      <c r="JA113" s="94"/>
      <c r="JB113" s="94"/>
      <c r="JC113" s="94"/>
      <c r="JD113" s="94"/>
      <c r="JE113" s="94" t="s">
        <v>27</v>
      </c>
      <c r="JF113" s="94" t="s">
        <v>26</v>
      </c>
      <c r="JG113" s="94"/>
      <c r="JH113" s="94"/>
      <c r="JI113" s="94"/>
      <c r="JJ113" s="94"/>
      <c r="JK113" s="94" t="s">
        <v>27</v>
      </c>
      <c r="JL113" s="94" t="s">
        <v>26</v>
      </c>
      <c r="JM113" s="94"/>
      <c r="JN113" s="94"/>
      <c r="JO113" s="94"/>
      <c r="JP113" s="94"/>
      <c r="JQ113" s="94" t="s">
        <v>27</v>
      </c>
      <c r="JR113" s="94" t="s">
        <v>26</v>
      </c>
      <c r="JS113" s="94"/>
      <c r="JT113" s="94"/>
      <c r="JU113" s="94"/>
      <c r="JV113" s="94"/>
      <c r="JW113" s="94" t="s">
        <v>27</v>
      </c>
      <c r="JX113" s="94" t="s">
        <v>26</v>
      </c>
      <c r="JY113" s="94"/>
      <c r="JZ113" s="94"/>
      <c r="KA113" s="94"/>
      <c r="KB113" s="94"/>
      <c r="KC113" s="94" t="s">
        <v>27</v>
      </c>
      <c r="KD113" s="94" t="s">
        <v>26</v>
      </c>
      <c r="KE113" s="94"/>
      <c r="KF113" s="94"/>
      <c r="KG113" s="94"/>
      <c r="KH113" s="94"/>
      <c r="KI113" s="94" t="s">
        <v>27</v>
      </c>
      <c r="KJ113" s="94" t="s">
        <v>26</v>
      </c>
      <c r="KK113" s="94"/>
      <c r="KL113" s="94"/>
      <c r="KM113" s="94"/>
      <c r="KN113" s="94"/>
      <c r="KO113" s="94" t="s">
        <v>27</v>
      </c>
      <c r="KP113" s="94" t="s">
        <v>26</v>
      </c>
      <c r="KQ113" s="94"/>
      <c r="KR113" s="94"/>
      <c r="KS113" s="94"/>
      <c r="KT113" s="94"/>
      <c r="KU113" s="94" t="s">
        <v>27</v>
      </c>
      <c r="KV113" s="94" t="s">
        <v>37</v>
      </c>
      <c r="KW113" s="131"/>
      <c r="KX113" s="131"/>
      <c r="KY113" s="131"/>
      <c r="KZ113" s="131"/>
      <c r="LA113" s="131"/>
      <c r="LB113" s="131"/>
      <c r="LC113" s="131"/>
      <c r="LD113" s="131"/>
      <c r="LE113" s="131"/>
      <c r="LF113" s="131"/>
      <c r="LG113" s="131"/>
      <c r="LH113" s="131"/>
      <c r="LI113" s="131"/>
      <c r="LJ113" s="131"/>
      <c r="LK113" s="131"/>
      <c r="LL113" s="131"/>
      <c r="LM113" s="131"/>
      <c r="LN113" s="131"/>
      <c r="LO113" s="131"/>
      <c r="LP113" s="131"/>
      <c r="LQ113" s="131"/>
      <c r="LR113" s="131"/>
      <c r="LS113" s="131"/>
      <c r="LT113" s="131"/>
      <c r="LU113" s="131"/>
      <c r="LV113" s="131"/>
      <c r="LW113" s="131"/>
      <c r="LX113" s="131"/>
      <c r="LY113" s="131"/>
      <c r="LZ113" s="131"/>
      <c r="MA113" s="131"/>
      <c r="MB113" s="131"/>
    </row>
    <row r="114" spans="1:340" s="50" customFormat="1" ht="31.5" hidden="1" customHeight="1" thickBot="1">
      <c r="A114" s="44">
        <v>1</v>
      </c>
      <c r="B114" s="107" t="s">
        <v>176</v>
      </c>
      <c r="C114" s="46" t="s">
        <v>183</v>
      </c>
      <c r="D114" s="105" t="s">
        <v>45</v>
      </c>
      <c r="E114" s="117" t="s">
        <v>46</v>
      </c>
      <c r="F114" s="106" t="s">
        <v>24</v>
      </c>
      <c r="G114" s="145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6"/>
      <c r="BC114" s="131"/>
      <c r="BD114" s="131"/>
      <c r="BE114" s="131"/>
      <c r="BF114" s="131"/>
      <c r="BG114" s="131"/>
      <c r="BH114" s="131"/>
      <c r="BI114" s="131"/>
      <c r="BJ114" s="131"/>
      <c r="BK114" s="131"/>
      <c r="BL114" s="131"/>
      <c r="BM114" s="131"/>
      <c r="BN114" s="131"/>
      <c r="BO114" s="131"/>
      <c r="BP114" s="131"/>
      <c r="BQ114" s="131"/>
      <c r="BR114" s="131"/>
      <c r="BS114" s="131"/>
      <c r="BT114" s="131"/>
      <c r="BU114" s="131"/>
      <c r="BV114" s="131"/>
      <c r="BW114" s="131"/>
      <c r="BX114" s="131"/>
      <c r="BY114" s="131"/>
      <c r="BZ114" s="131"/>
      <c r="CA114" s="131"/>
      <c r="CB114" s="131"/>
      <c r="CC114" s="131"/>
      <c r="CD114" s="131"/>
      <c r="CE114" s="131"/>
      <c r="CF114" s="131"/>
      <c r="CG114" s="131"/>
      <c r="CH114" s="131"/>
      <c r="CI114" s="131"/>
      <c r="CJ114" s="131"/>
      <c r="CK114" s="131"/>
      <c r="CL114" s="131"/>
      <c r="CM114" s="131"/>
      <c r="CN114" s="131"/>
      <c r="CO114" s="131"/>
      <c r="CP114" s="131"/>
      <c r="CQ114" s="131"/>
      <c r="CR114" s="131"/>
      <c r="CS114" s="131"/>
      <c r="CT114" s="131"/>
      <c r="CU114" s="131"/>
      <c r="CV114" s="131"/>
      <c r="CW114" s="131"/>
      <c r="CX114" s="131"/>
      <c r="CY114" s="131"/>
      <c r="CZ114" s="131"/>
      <c r="DA114" s="131"/>
      <c r="DB114" s="131"/>
      <c r="DC114" s="131"/>
      <c r="DD114" s="131"/>
      <c r="DE114" s="131"/>
      <c r="DF114" s="131"/>
      <c r="DG114" s="131"/>
      <c r="DH114" s="131"/>
      <c r="DI114" s="131"/>
      <c r="DJ114" s="131"/>
      <c r="DK114" s="131"/>
      <c r="DL114" s="131"/>
      <c r="DM114" s="131"/>
      <c r="DN114" s="131"/>
      <c r="DO114" s="131"/>
      <c r="DP114" s="131"/>
      <c r="DQ114" s="131"/>
      <c r="DR114" s="131"/>
      <c r="DS114" s="131"/>
      <c r="DT114" s="131"/>
      <c r="DU114" s="131"/>
      <c r="DV114" s="131"/>
      <c r="DW114" s="131"/>
      <c r="DX114" s="131"/>
      <c r="DY114" s="131"/>
      <c r="DZ114" s="131"/>
      <c r="EA114" s="131"/>
      <c r="EB114" s="131"/>
      <c r="EC114" s="131"/>
      <c r="ED114" s="131"/>
      <c r="EE114" s="131"/>
      <c r="EF114" s="131"/>
      <c r="EG114" s="131"/>
      <c r="EH114" s="131"/>
      <c r="EI114" s="131"/>
      <c r="EJ114" s="131"/>
      <c r="EK114" s="131"/>
      <c r="EL114" s="131"/>
      <c r="EM114" s="131"/>
      <c r="EN114" s="131"/>
      <c r="EO114" s="131"/>
      <c r="EP114" s="131"/>
      <c r="EQ114" s="131"/>
      <c r="ER114" s="131"/>
      <c r="ES114" s="131"/>
      <c r="ET114" s="131"/>
      <c r="EU114" s="131"/>
      <c r="EV114" s="131"/>
      <c r="EW114" s="131"/>
      <c r="EX114" s="131"/>
      <c r="EY114" s="131"/>
      <c r="EZ114" s="131"/>
      <c r="FA114" s="131"/>
      <c r="FB114" s="131"/>
      <c r="FC114" s="131"/>
      <c r="FD114" s="131"/>
      <c r="FE114" s="131"/>
      <c r="FF114" s="131"/>
      <c r="FG114" s="131"/>
      <c r="FH114" s="131"/>
      <c r="FI114" s="131"/>
      <c r="FJ114" s="131"/>
      <c r="FK114" s="131"/>
      <c r="FL114" s="131"/>
      <c r="FM114" s="131"/>
      <c r="FN114" s="131"/>
      <c r="FO114" s="131"/>
      <c r="FP114" s="131"/>
      <c r="FQ114" s="131"/>
      <c r="FR114" s="131"/>
      <c r="FS114" s="131"/>
      <c r="FT114" s="131"/>
      <c r="FU114" s="131"/>
      <c r="FV114" s="131"/>
      <c r="FW114" s="131"/>
      <c r="FX114" s="131"/>
      <c r="FY114" s="131"/>
      <c r="FZ114" s="131"/>
      <c r="GA114" s="131"/>
      <c r="GB114" s="131"/>
      <c r="GC114" s="131"/>
      <c r="GD114" s="131"/>
      <c r="GE114" s="131"/>
      <c r="GF114" s="131"/>
      <c r="GG114" s="131"/>
      <c r="GH114" s="131"/>
      <c r="GI114" s="131"/>
      <c r="GJ114" s="131"/>
      <c r="GK114" s="131"/>
      <c r="GL114" s="131"/>
      <c r="GM114" s="131"/>
      <c r="GN114" s="131"/>
      <c r="GO114" s="131"/>
      <c r="GP114" s="131"/>
      <c r="GQ114" s="131"/>
      <c r="GR114" s="131"/>
      <c r="GS114" s="94" t="s">
        <v>25</v>
      </c>
      <c r="GT114" s="94" t="s">
        <v>27</v>
      </c>
      <c r="GU114" s="94"/>
      <c r="GV114" s="94"/>
      <c r="GW114" s="94"/>
      <c r="GX114" s="94" t="s">
        <v>27</v>
      </c>
      <c r="GY114" s="94"/>
      <c r="GZ114" s="94"/>
      <c r="HA114" s="94"/>
      <c r="HB114" s="94" t="s">
        <v>27</v>
      </c>
      <c r="HC114" s="94"/>
      <c r="HD114" s="94"/>
      <c r="HE114" s="94"/>
      <c r="HF114" s="94"/>
      <c r="HG114" s="94"/>
      <c r="HH114" s="94" t="s">
        <v>27</v>
      </c>
      <c r="HI114" s="94"/>
      <c r="HJ114" s="94"/>
      <c r="HK114" s="94"/>
      <c r="HL114" s="94"/>
      <c r="HM114" s="94"/>
      <c r="HN114" s="94"/>
      <c r="HO114" s="94" t="s">
        <v>27</v>
      </c>
      <c r="HP114" s="94"/>
      <c r="HQ114" s="94"/>
      <c r="HR114" s="94"/>
      <c r="HS114" s="94"/>
      <c r="HT114" s="94"/>
      <c r="HU114" s="94" t="s">
        <v>27</v>
      </c>
      <c r="HV114" s="94"/>
      <c r="HW114" s="94"/>
      <c r="HX114" s="94"/>
      <c r="HY114" s="94" t="s">
        <v>27</v>
      </c>
      <c r="HZ114" s="94"/>
      <c r="IA114" s="94"/>
      <c r="IB114" s="94" t="s">
        <v>27</v>
      </c>
      <c r="IC114" s="94"/>
      <c r="ID114" s="94"/>
      <c r="IE114" s="94"/>
      <c r="IF114" s="94" t="s">
        <v>27</v>
      </c>
      <c r="IG114" s="94"/>
      <c r="IH114" s="94"/>
      <c r="II114" s="94"/>
      <c r="IJ114" s="94" t="s">
        <v>27</v>
      </c>
      <c r="IK114" s="94"/>
      <c r="IL114" s="94"/>
      <c r="IM114" s="94"/>
      <c r="IN114" s="94"/>
      <c r="IO114" s="94" t="s">
        <v>27</v>
      </c>
      <c r="IP114" s="94"/>
      <c r="IQ114" s="94"/>
      <c r="IR114" s="94"/>
      <c r="IS114" s="94" t="s">
        <v>27</v>
      </c>
      <c r="IT114" s="94"/>
      <c r="IU114" s="94"/>
      <c r="IV114" s="94"/>
      <c r="IW114" s="94" t="s">
        <v>27</v>
      </c>
      <c r="IX114" s="94"/>
      <c r="IY114" s="94"/>
      <c r="IZ114" s="94"/>
      <c r="JA114" s="94" t="s">
        <v>27</v>
      </c>
      <c r="JB114" s="94"/>
      <c r="JC114" s="94"/>
      <c r="JD114" s="94"/>
      <c r="JE114" s="94" t="s">
        <v>27</v>
      </c>
      <c r="JF114" s="94"/>
      <c r="JG114" s="94"/>
      <c r="JH114" s="94"/>
      <c r="JI114" s="94" t="s">
        <v>27</v>
      </c>
      <c r="JJ114" s="94"/>
      <c r="JK114" s="94"/>
      <c r="JL114" s="94"/>
      <c r="JM114" s="94" t="s">
        <v>27</v>
      </c>
      <c r="JN114" s="94"/>
      <c r="JO114" s="94"/>
      <c r="JP114" s="94"/>
      <c r="JQ114" s="94" t="s">
        <v>27</v>
      </c>
      <c r="JR114" s="94"/>
      <c r="JS114" s="94"/>
      <c r="JT114" s="94"/>
      <c r="JU114" s="94" t="s">
        <v>27</v>
      </c>
      <c r="JV114" s="94"/>
      <c r="JW114" s="94"/>
      <c r="JX114" s="94"/>
      <c r="JY114" s="94" t="s">
        <v>27</v>
      </c>
      <c r="JZ114" s="94"/>
      <c r="KA114" s="94"/>
      <c r="KB114" s="94"/>
      <c r="KC114" s="94" t="s">
        <v>27</v>
      </c>
      <c r="KD114" s="131" t="s">
        <v>37</v>
      </c>
      <c r="KE114" s="131"/>
      <c r="KF114" s="131"/>
      <c r="KG114" s="131"/>
      <c r="KH114" s="131"/>
      <c r="KI114" s="131"/>
      <c r="KJ114" s="131"/>
      <c r="KK114" s="131"/>
      <c r="KL114" s="131"/>
      <c r="KM114" s="131"/>
      <c r="KN114" s="131"/>
      <c r="KO114" s="131"/>
      <c r="KP114" s="131"/>
      <c r="KQ114" s="131"/>
      <c r="KR114" s="131"/>
      <c r="KS114" s="131"/>
      <c r="KT114" s="131"/>
      <c r="KU114" s="131"/>
      <c r="KV114" s="131"/>
      <c r="KW114" s="131"/>
      <c r="KX114" s="131"/>
      <c r="KY114" s="131"/>
      <c r="KZ114" s="131"/>
      <c r="LA114" s="131"/>
      <c r="LB114" s="131"/>
      <c r="LC114" s="131"/>
      <c r="LD114" s="131"/>
      <c r="LE114" s="131"/>
      <c r="LF114" s="131"/>
      <c r="LG114" s="131"/>
      <c r="LH114" s="131"/>
      <c r="LI114" s="131"/>
      <c r="LJ114" s="131"/>
      <c r="LK114" s="131"/>
      <c r="LL114" s="131"/>
      <c r="LM114" s="131"/>
      <c r="LN114" s="131"/>
      <c r="LO114" s="131"/>
      <c r="LP114" s="131"/>
      <c r="LQ114" s="131"/>
      <c r="LR114" s="131"/>
      <c r="LS114" s="131"/>
      <c r="LT114" s="131"/>
      <c r="LU114" s="131"/>
      <c r="LV114" s="131"/>
      <c r="LW114" s="131"/>
      <c r="LX114" s="131"/>
      <c r="LY114" s="131"/>
      <c r="LZ114" s="131"/>
      <c r="MA114" s="131"/>
      <c r="MB114" s="131"/>
    </row>
    <row r="115" spans="1:340" s="50" customFormat="1" ht="31.5" hidden="1" customHeight="1">
      <c r="A115" s="44">
        <v>1</v>
      </c>
      <c r="B115" s="107" t="s">
        <v>176</v>
      </c>
      <c r="C115" s="46" t="s">
        <v>184</v>
      </c>
      <c r="D115" s="105" t="s">
        <v>35</v>
      </c>
      <c r="E115" s="117" t="s">
        <v>40</v>
      </c>
      <c r="F115" s="106" t="s">
        <v>24</v>
      </c>
      <c r="G115" s="145"/>
      <c r="H115" s="131"/>
      <c r="I115" s="131"/>
      <c r="J115" s="131"/>
      <c r="K115" s="131"/>
      <c r="L115" s="131"/>
      <c r="M115" s="131"/>
      <c r="N115" s="136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6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  <c r="BE115" s="131"/>
      <c r="BF115" s="131"/>
      <c r="BG115" s="131"/>
      <c r="BH115" s="131"/>
      <c r="BI115" s="131"/>
      <c r="BJ115" s="131"/>
      <c r="BK115" s="131"/>
      <c r="BL115" s="131"/>
      <c r="BM115" s="131"/>
      <c r="BN115" s="131"/>
      <c r="BO115" s="131"/>
      <c r="BP115" s="131"/>
      <c r="BQ115" s="131"/>
      <c r="BR115" s="131"/>
      <c r="BS115" s="131"/>
      <c r="BT115" s="131"/>
      <c r="BU115" s="131"/>
      <c r="BV115" s="131"/>
      <c r="BW115" s="131"/>
      <c r="BX115" s="131"/>
      <c r="BY115" s="131"/>
      <c r="BZ115" s="131"/>
      <c r="CA115" s="131"/>
      <c r="CB115" s="131"/>
      <c r="CC115" s="131"/>
      <c r="CD115" s="131"/>
      <c r="CE115" s="131"/>
      <c r="CF115" s="131"/>
      <c r="CG115" s="131"/>
      <c r="CH115" s="131"/>
      <c r="CI115" s="131"/>
      <c r="CJ115" s="131"/>
      <c r="CK115" s="131"/>
      <c r="CL115" s="131"/>
      <c r="CM115" s="131"/>
      <c r="CN115" s="131"/>
      <c r="CO115" s="131"/>
      <c r="CP115" s="131"/>
      <c r="CQ115" s="131"/>
      <c r="CR115" s="131"/>
      <c r="CS115" s="131"/>
      <c r="CT115" s="131"/>
      <c r="CU115" s="131"/>
      <c r="CV115" s="131"/>
      <c r="CW115" s="131"/>
      <c r="CX115" s="131"/>
      <c r="CY115" s="131"/>
      <c r="CZ115" s="131"/>
      <c r="DA115" s="131"/>
      <c r="DB115" s="131"/>
      <c r="DC115" s="131"/>
      <c r="DD115" s="131"/>
      <c r="DE115" s="131"/>
      <c r="DF115" s="131"/>
      <c r="DG115" s="131"/>
      <c r="DH115" s="131"/>
      <c r="DI115" s="131"/>
      <c r="DJ115" s="131"/>
      <c r="DK115" s="131"/>
      <c r="DL115" s="131"/>
      <c r="DM115" s="131"/>
      <c r="DN115" s="131"/>
      <c r="DO115" s="131"/>
      <c r="DP115" s="131"/>
      <c r="DQ115" s="131"/>
      <c r="DR115" s="131"/>
      <c r="DS115" s="131"/>
      <c r="DT115" s="131"/>
      <c r="DU115" s="131"/>
      <c r="DV115" s="131"/>
      <c r="DW115" s="131"/>
      <c r="DX115" s="131"/>
      <c r="DY115" s="131"/>
      <c r="DZ115" s="131"/>
      <c r="EA115" s="131"/>
      <c r="EB115" s="131"/>
      <c r="EC115" s="131"/>
      <c r="ED115" s="131"/>
      <c r="EE115" s="131"/>
      <c r="EF115" s="131"/>
      <c r="EG115" s="131"/>
      <c r="EH115" s="131"/>
      <c r="EI115" s="131"/>
      <c r="EJ115" s="131"/>
      <c r="EK115" s="131"/>
      <c r="EL115" s="131"/>
      <c r="EM115" s="131"/>
      <c r="EN115" s="131"/>
      <c r="EO115" s="131"/>
      <c r="EP115" s="131"/>
      <c r="EQ115" s="131"/>
      <c r="ER115" s="131"/>
      <c r="ES115" s="131"/>
      <c r="ET115" s="131"/>
      <c r="EU115" s="131"/>
      <c r="EV115" s="131"/>
      <c r="EW115" s="131"/>
      <c r="EX115" s="131"/>
      <c r="EY115" s="131"/>
      <c r="EZ115" s="131"/>
      <c r="FA115" s="131"/>
      <c r="FB115" s="131"/>
      <c r="FC115" s="131"/>
      <c r="FD115" s="131"/>
      <c r="FE115" s="131"/>
      <c r="FF115" s="131"/>
      <c r="FG115" s="131"/>
      <c r="FH115" s="131"/>
      <c r="FI115" s="131"/>
      <c r="FJ115" s="131"/>
      <c r="FK115" s="131"/>
      <c r="FL115" s="131"/>
      <c r="FM115" s="131"/>
      <c r="FN115" s="131"/>
      <c r="FO115" s="131"/>
      <c r="FP115" s="131"/>
      <c r="FQ115" s="131"/>
      <c r="FR115" s="131"/>
      <c r="FS115" s="131"/>
      <c r="FT115" s="131"/>
      <c r="FU115" s="131"/>
      <c r="FV115" s="131"/>
      <c r="FW115" s="131"/>
      <c r="FX115" s="131"/>
      <c r="FY115" s="131"/>
      <c r="FZ115" s="131"/>
      <c r="GA115" s="131"/>
      <c r="GB115" s="131"/>
      <c r="GC115" s="131"/>
      <c r="GD115" s="131"/>
      <c r="GE115" s="131"/>
      <c r="GF115" s="131"/>
      <c r="GG115" s="131"/>
      <c r="GH115" s="131"/>
      <c r="GI115" s="131"/>
      <c r="GJ115" s="131"/>
      <c r="GK115" s="131"/>
      <c r="GL115" s="131"/>
      <c r="GM115" s="131"/>
      <c r="GN115" s="131"/>
      <c r="GO115" s="131"/>
      <c r="GP115" s="131"/>
      <c r="GQ115" s="131"/>
      <c r="GR115" s="131"/>
      <c r="GS115" s="131"/>
      <c r="GT115" s="131"/>
      <c r="GU115" s="131"/>
      <c r="GV115" s="131"/>
      <c r="GW115" s="131"/>
      <c r="GX115" s="131"/>
      <c r="GY115" s="131"/>
      <c r="GZ115" s="131"/>
      <c r="HA115" s="131"/>
      <c r="HB115" s="131"/>
      <c r="HC115" s="131"/>
      <c r="HD115" s="131" t="s">
        <v>25</v>
      </c>
      <c r="HE115" s="94"/>
      <c r="HF115" s="94"/>
      <c r="HG115" s="94"/>
      <c r="HH115" s="94" t="s">
        <v>26</v>
      </c>
      <c r="HI115" s="94"/>
      <c r="HJ115" s="94"/>
      <c r="HK115" s="94"/>
      <c r="HL115" s="94"/>
      <c r="HM115" s="94"/>
      <c r="HN115" s="94"/>
      <c r="HO115" s="94" t="s">
        <v>41</v>
      </c>
      <c r="HP115" s="94"/>
      <c r="HQ115" s="94"/>
      <c r="HR115" s="94"/>
      <c r="HS115" s="94"/>
      <c r="HT115" s="94" t="s">
        <v>27</v>
      </c>
      <c r="HU115" s="94"/>
      <c r="HV115" s="94" t="s">
        <v>26</v>
      </c>
      <c r="HW115" s="94"/>
      <c r="HX115" s="94"/>
      <c r="HY115" s="94"/>
      <c r="HZ115" s="94"/>
      <c r="IA115" s="94"/>
      <c r="IB115" s="94"/>
      <c r="IC115" s="94" t="s">
        <v>41</v>
      </c>
      <c r="ID115" s="94"/>
      <c r="IE115" s="94"/>
      <c r="IF115" s="94"/>
      <c r="IG115" s="94"/>
      <c r="IH115" s="94" t="s">
        <v>27</v>
      </c>
      <c r="II115" s="94"/>
      <c r="IJ115" s="94"/>
      <c r="IK115" s="94"/>
      <c r="IL115" s="94" t="s">
        <v>26</v>
      </c>
      <c r="IM115" s="94"/>
      <c r="IN115" s="94"/>
      <c r="IO115" s="94"/>
      <c r="IP115" s="94"/>
      <c r="IQ115" s="94"/>
      <c r="IR115" s="94" t="s">
        <v>41</v>
      </c>
      <c r="IS115" s="94"/>
      <c r="IT115" s="94"/>
      <c r="IU115" s="94"/>
      <c r="IV115" s="94"/>
      <c r="IW115" s="94" t="s">
        <v>27</v>
      </c>
      <c r="IX115" s="94"/>
      <c r="IY115" s="94"/>
      <c r="IZ115" s="94" t="s">
        <v>26</v>
      </c>
      <c r="JA115" s="94"/>
      <c r="JB115" s="94"/>
      <c r="JC115" s="94"/>
      <c r="JD115" s="94"/>
      <c r="JE115" s="94"/>
      <c r="JF115" s="94"/>
      <c r="JG115" s="94" t="s">
        <v>41</v>
      </c>
      <c r="JH115" s="94"/>
      <c r="JI115" s="94"/>
      <c r="JJ115" s="94"/>
      <c r="JK115" s="94"/>
      <c r="JL115" s="94"/>
      <c r="JM115" s="94"/>
      <c r="JN115" s="94"/>
      <c r="JO115" s="94" t="s">
        <v>57</v>
      </c>
      <c r="JP115" s="94"/>
      <c r="JQ115" s="94" t="s">
        <v>26</v>
      </c>
      <c r="JR115" s="94"/>
      <c r="JS115" s="94"/>
      <c r="JT115" s="94"/>
      <c r="JU115" s="94"/>
      <c r="JV115" s="94"/>
      <c r="JW115" s="94"/>
      <c r="JX115" s="94" t="s">
        <v>41</v>
      </c>
      <c r="JY115" s="94"/>
      <c r="JZ115" s="94"/>
      <c r="KA115" s="94"/>
      <c r="KB115" s="94"/>
      <c r="KC115" s="94"/>
      <c r="KD115" s="94"/>
      <c r="KE115" s="94"/>
      <c r="KF115" s="94" t="s">
        <v>57</v>
      </c>
      <c r="KG115" s="94"/>
      <c r="KH115" s="94" t="s">
        <v>26</v>
      </c>
      <c r="KI115" s="94"/>
      <c r="KJ115" s="94"/>
      <c r="KK115" s="94"/>
      <c r="KL115" s="94"/>
      <c r="KM115" s="94"/>
      <c r="KN115" s="94"/>
      <c r="KO115" s="94" t="s">
        <v>41</v>
      </c>
      <c r="KP115" s="94"/>
      <c r="KQ115" s="94"/>
      <c r="KR115" s="94"/>
      <c r="KS115" s="94"/>
      <c r="KT115" s="94"/>
      <c r="KU115" s="94"/>
      <c r="KV115" s="94"/>
      <c r="KW115" s="94" t="s">
        <v>57</v>
      </c>
      <c r="KX115" s="94"/>
      <c r="KY115" s="94" t="s">
        <v>26</v>
      </c>
      <c r="KZ115" s="94"/>
      <c r="LA115" s="94"/>
      <c r="LB115" s="94"/>
      <c r="LC115" s="94"/>
      <c r="LD115" s="94"/>
      <c r="LE115" s="94"/>
      <c r="LF115" s="94" t="s">
        <v>41</v>
      </c>
      <c r="LG115" s="94"/>
      <c r="LH115" s="94"/>
      <c r="LI115" s="94"/>
      <c r="LJ115" s="94"/>
      <c r="LK115" s="94"/>
      <c r="LL115" s="94"/>
      <c r="LM115" s="94"/>
      <c r="LN115" s="94" t="s">
        <v>57</v>
      </c>
      <c r="LO115" s="94"/>
      <c r="LP115" s="94" t="s">
        <v>26</v>
      </c>
      <c r="LQ115" s="94"/>
      <c r="LR115" s="94"/>
      <c r="LS115" s="94"/>
      <c r="LT115" s="94"/>
      <c r="LU115" s="94"/>
      <c r="LV115" s="94"/>
      <c r="LW115" s="94" t="s">
        <v>41</v>
      </c>
      <c r="LX115" s="94"/>
      <c r="LY115" s="94"/>
      <c r="LZ115" s="94"/>
      <c r="MA115" s="94"/>
      <c r="MB115" s="94"/>
    </row>
    <row r="116" spans="1:340" s="50" customFormat="1" ht="31.5" customHeight="1" thickBot="1">
      <c r="A116" s="44"/>
      <c r="B116" s="45"/>
      <c r="C116" s="52"/>
      <c r="D116" s="47"/>
      <c r="E116" s="115"/>
      <c r="F116" s="48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  <c r="BA116" s="49"/>
      <c r="BB116" s="49"/>
      <c r="BC116" s="49"/>
      <c r="BD116" s="49"/>
      <c r="BE116" s="49"/>
      <c r="BF116" s="49"/>
      <c r="BG116" s="49"/>
      <c r="BH116" s="49"/>
      <c r="BI116" s="49"/>
      <c r="BJ116" s="49"/>
      <c r="BK116" s="49"/>
      <c r="BL116" s="49"/>
      <c r="BM116" s="49"/>
      <c r="BN116" s="49"/>
      <c r="BO116" s="49"/>
      <c r="BP116" s="49"/>
      <c r="BQ116" s="49"/>
      <c r="BR116" s="49"/>
      <c r="BS116" s="49"/>
      <c r="BT116" s="49"/>
      <c r="BU116" s="49"/>
      <c r="BV116" s="49"/>
      <c r="BW116" s="49"/>
      <c r="BX116" s="49"/>
      <c r="BY116" s="49"/>
      <c r="BZ116" s="49"/>
      <c r="CA116" s="49"/>
      <c r="CB116" s="49"/>
      <c r="CC116" s="49"/>
      <c r="CD116" s="49"/>
      <c r="CE116" s="49"/>
      <c r="CF116" s="49"/>
      <c r="CG116" s="49"/>
      <c r="CH116" s="49"/>
      <c r="CI116" s="49"/>
      <c r="CJ116" s="49"/>
      <c r="CK116" s="49"/>
      <c r="CL116" s="49"/>
      <c r="CM116" s="49"/>
      <c r="CN116" s="49"/>
      <c r="CO116" s="49"/>
      <c r="CP116" s="49"/>
      <c r="CQ116" s="49"/>
      <c r="CR116" s="49"/>
      <c r="CS116" s="49"/>
      <c r="CT116" s="49"/>
      <c r="CU116" s="49"/>
      <c r="CV116" s="49"/>
      <c r="CW116" s="49"/>
      <c r="CX116" s="49"/>
      <c r="CY116" s="49"/>
      <c r="CZ116" s="49"/>
      <c r="DA116" s="49"/>
      <c r="DB116" s="49"/>
      <c r="DC116" s="49"/>
      <c r="DD116" s="49"/>
      <c r="DE116" s="49"/>
      <c r="DF116" s="49"/>
      <c r="DG116" s="49"/>
      <c r="DH116" s="49"/>
      <c r="DI116" s="49"/>
      <c r="DJ116" s="49"/>
      <c r="DK116" s="49"/>
      <c r="DL116" s="49"/>
      <c r="DM116" s="49"/>
      <c r="DN116" s="49"/>
      <c r="DO116" s="49"/>
      <c r="DP116" s="49"/>
      <c r="DQ116" s="49"/>
      <c r="DR116" s="49"/>
      <c r="DS116" s="49"/>
      <c r="DT116" s="49"/>
      <c r="DU116" s="49"/>
      <c r="DV116" s="49"/>
      <c r="DW116" s="49"/>
      <c r="DX116" s="49"/>
      <c r="DY116" s="49"/>
      <c r="DZ116" s="49"/>
      <c r="EA116" s="49"/>
      <c r="EB116" s="49"/>
      <c r="EC116" s="49"/>
      <c r="ED116" s="49"/>
      <c r="EE116" s="49"/>
      <c r="EF116" s="49"/>
      <c r="EG116" s="49"/>
      <c r="EH116" s="49"/>
      <c r="EI116" s="49"/>
      <c r="EJ116" s="49"/>
      <c r="EK116" s="49"/>
      <c r="EL116" s="49"/>
      <c r="EM116" s="49"/>
      <c r="EN116" s="49"/>
      <c r="EO116" s="49"/>
      <c r="EP116" s="49"/>
      <c r="EQ116" s="49"/>
      <c r="ER116" s="49"/>
      <c r="ES116" s="49"/>
      <c r="ET116" s="49"/>
      <c r="EU116" s="49"/>
      <c r="EV116" s="49"/>
      <c r="EW116" s="49"/>
      <c r="EX116" s="49"/>
      <c r="EY116" s="49"/>
      <c r="EZ116" s="49"/>
      <c r="FA116" s="49"/>
      <c r="FB116" s="49"/>
      <c r="FC116" s="49"/>
      <c r="FD116" s="49"/>
      <c r="FE116" s="49"/>
      <c r="FF116" s="49"/>
      <c r="FG116" s="49"/>
      <c r="FH116" s="49"/>
      <c r="FI116" s="49"/>
      <c r="FJ116" s="49"/>
      <c r="FK116" s="49"/>
      <c r="FL116" s="49"/>
      <c r="FM116" s="49"/>
      <c r="FN116" s="49"/>
      <c r="FO116" s="49"/>
      <c r="FP116" s="49"/>
      <c r="FQ116" s="49"/>
      <c r="FR116" s="49"/>
      <c r="FS116" s="49"/>
      <c r="FT116" s="49"/>
      <c r="FU116" s="49"/>
      <c r="FV116" s="49"/>
      <c r="FW116" s="49"/>
      <c r="FX116" s="49"/>
      <c r="FY116" s="49"/>
      <c r="FZ116" s="49"/>
      <c r="GA116" s="49"/>
      <c r="GB116" s="49"/>
      <c r="GC116" s="49"/>
      <c r="GD116" s="49"/>
      <c r="GE116" s="49"/>
      <c r="GF116" s="49"/>
      <c r="GG116" s="49"/>
      <c r="GH116" s="49"/>
      <c r="GI116" s="49"/>
      <c r="GJ116" s="49"/>
      <c r="GK116" s="49"/>
      <c r="GL116" s="49"/>
      <c r="GM116" s="49"/>
      <c r="GN116" s="49"/>
      <c r="GO116" s="49"/>
      <c r="GP116" s="49"/>
      <c r="GQ116" s="49"/>
      <c r="GR116" s="49"/>
      <c r="GS116" s="49"/>
      <c r="GT116" s="49"/>
      <c r="GU116" s="49"/>
      <c r="GV116" s="49"/>
      <c r="GW116" s="49"/>
      <c r="GX116" s="49"/>
      <c r="GY116" s="49"/>
      <c r="GZ116" s="49"/>
      <c r="HA116" s="49"/>
      <c r="HB116" s="49"/>
      <c r="HC116" s="49"/>
      <c r="HD116" s="49"/>
      <c r="HE116" s="49"/>
      <c r="HF116" s="49"/>
      <c r="HG116" s="49"/>
      <c r="HH116" s="49"/>
      <c r="HI116" s="49"/>
      <c r="HJ116" s="49"/>
      <c r="HK116" s="49"/>
      <c r="HL116" s="49"/>
      <c r="HM116" s="49"/>
      <c r="HN116" s="49"/>
      <c r="HO116" s="49"/>
      <c r="HP116" s="49"/>
      <c r="HQ116" s="49"/>
      <c r="HR116" s="49"/>
      <c r="HS116" s="49"/>
      <c r="HT116" s="49"/>
      <c r="HU116" s="49"/>
      <c r="HV116" s="49"/>
      <c r="HW116" s="49"/>
      <c r="HX116" s="49"/>
      <c r="HY116" s="49"/>
      <c r="HZ116" s="49"/>
      <c r="IA116" s="49"/>
      <c r="IB116" s="49"/>
      <c r="IC116" s="49"/>
      <c r="ID116" s="49"/>
      <c r="IE116" s="49"/>
      <c r="IF116" s="49"/>
      <c r="IG116" s="49"/>
      <c r="IH116" s="49"/>
      <c r="II116" s="49"/>
      <c r="IJ116" s="49"/>
      <c r="IK116" s="49"/>
      <c r="IL116" s="49"/>
      <c r="IM116" s="49"/>
      <c r="IN116" s="49"/>
      <c r="IO116" s="49"/>
      <c r="IP116" s="49"/>
      <c r="IQ116" s="49"/>
      <c r="IR116" s="49"/>
      <c r="IS116" s="49"/>
      <c r="IT116" s="49"/>
      <c r="IU116" s="49"/>
      <c r="IV116" s="49"/>
      <c r="IW116" s="49"/>
      <c r="IX116" s="49"/>
      <c r="IY116" s="49"/>
      <c r="IZ116" s="49"/>
      <c r="JA116" s="49"/>
      <c r="JB116" s="49"/>
      <c r="JC116" s="49"/>
      <c r="JD116" s="49"/>
      <c r="JE116" s="49"/>
      <c r="JF116" s="49"/>
      <c r="JG116" s="49"/>
      <c r="JH116" s="49"/>
      <c r="JI116" s="49"/>
      <c r="JJ116" s="49"/>
      <c r="JK116" s="49"/>
      <c r="JL116" s="49"/>
      <c r="JM116" s="49"/>
      <c r="JN116" s="49"/>
      <c r="JO116" s="49"/>
      <c r="JP116" s="49"/>
      <c r="JQ116" s="49"/>
      <c r="JR116" s="49"/>
      <c r="JS116" s="49"/>
      <c r="JT116" s="49"/>
      <c r="JU116" s="49"/>
      <c r="JV116" s="49"/>
      <c r="JW116" s="49"/>
      <c r="JX116" s="49"/>
      <c r="JY116" s="49"/>
      <c r="JZ116" s="49"/>
      <c r="KA116" s="49"/>
      <c r="KB116" s="49"/>
      <c r="KC116" s="49"/>
      <c r="KD116" s="49"/>
      <c r="KE116" s="49"/>
      <c r="KF116" s="49"/>
      <c r="KG116" s="49"/>
      <c r="KH116" s="49"/>
      <c r="KI116" s="49"/>
      <c r="KJ116" s="49"/>
      <c r="KK116" s="49"/>
      <c r="KL116" s="49"/>
      <c r="KM116" s="49"/>
      <c r="KN116" s="49"/>
      <c r="KO116" s="49"/>
      <c r="KP116" s="49"/>
      <c r="KQ116" s="49"/>
      <c r="KR116" s="49"/>
      <c r="KS116" s="49"/>
      <c r="KT116" s="49"/>
      <c r="KU116" s="49"/>
      <c r="KV116" s="49"/>
      <c r="KW116" s="49"/>
      <c r="KX116" s="49"/>
      <c r="KY116" s="49"/>
      <c r="KZ116" s="49"/>
      <c r="LA116" s="49"/>
      <c r="LB116" s="49"/>
      <c r="LC116" s="49"/>
      <c r="LD116" s="49"/>
      <c r="LE116" s="49"/>
      <c r="LF116" s="49"/>
      <c r="LG116" s="49"/>
      <c r="LH116" s="49"/>
      <c r="LI116" s="49"/>
      <c r="LJ116" s="49"/>
      <c r="LK116" s="49"/>
      <c r="LL116" s="49"/>
      <c r="LM116" s="49"/>
      <c r="LN116" s="49"/>
      <c r="LO116" s="49"/>
      <c r="LP116" s="49"/>
      <c r="LQ116" s="49"/>
      <c r="LR116" s="49"/>
      <c r="LS116" s="49"/>
      <c r="LT116" s="49"/>
      <c r="LU116" s="49"/>
      <c r="LV116" s="49"/>
      <c r="LW116" s="49"/>
      <c r="LX116" s="49"/>
      <c r="LY116" s="49"/>
      <c r="LZ116" s="49"/>
      <c r="MA116" s="49"/>
      <c r="MB116" s="49"/>
    </row>
    <row r="117" spans="1:340" s="50" customFormat="1" ht="31.5" customHeight="1" thickTop="1" thickBot="1">
      <c r="A117" s="198" t="s">
        <v>185</v>
      </c>
      <c r="B117" s="198"/>
      <c r="C117" s="198"/>
      <c r="D117" s="198"/>
      <c r="E117" s="198"/>
      <c r="F117" s="199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  <c r="EK117" s="54"/>
      <c r="EL117" s="54"/>
      <c r="EM117" s="54"/>
      <c r="EN117" s="54"/>
      <c r="EO117" s="54"/>
      <c r="EP117" s="54"/>
      <c r="EQ117" s="54"/>
      <c r="ER117" s="54"/>
      <c r="ES117" s="54"/>
      <c r="ET117" s="54"/>
      <c r="EU117" s="54"/>
      <c r="EV117" s="54"/>
      <c r="EW117" s="54"/>
      <c r="EX117" s="54"/>
      <c r="EY117" s="54"/>
      <c r="EZ117" s="54"/>
      <c r="FA117" s="54"/>
      <c r="FB117" s="54"/>
      <c r="FC117" s="54"/>
      <c r="FD117" s="54"/>
      <c r="FE117" s="54"/>
      <c r="FF117" s="54"/>
      <c r="FG117" s="54"/>
      <c r="FH117" s="54"/>
      <c r="FI117" s="54"/>
      <c r="FJ117" s="54"/>
      <c r="FK117" s="54"/>
      <c r="FL117" s="54"/>
      <c r="FM117" s="54"/>
      <c r="FN117" s="54"/>
      <c r="FO117" s="54"/>
      <c r="FP117" s="54"/>
      <c r="FQ117" s="54"/>
      <c r="FR117" s="54"/>
      <c r="FS117" s="54"/>
      <c r="FT117" s="54"/>
      <c r="FU117" s="54"/>
      <c r="FV117" s="54"/>
      <c r="FW117" s="54"/>
      <c r="FX117" s="54"/>
      <c r="FY117" s="54"/>
      <c r="FZ117" s="54"/>
      <c r="GA117" s="54"/>
      <c r="GB117" s="54"/>
      <c r="GC117" s="54"/>
      <c r="GD117" s="54"/>
      <c r="GE117" s="54"/>
      <c r="GF117" s="54"/>
      <c r="GG117" s="54"/>
      <c r="GH117" s="54"/>
      <c r="GI117" s="54"/>
      <c r="GJ117" s="54"/>
      <c r="GK117" s="54"/>
      <c r="GL117" s="54"/>
      <c r="GM117" s="54"/>
      <c r="GN117" s="54"/>
      <c r="GO117" s="54"/>
      <c r="GP117" s="54"/>
      <c r="GQ117" s="54"/>
      <c r="GR117" s="54"/>
      <c r="GS117" s="54"/>
      <c r="GT117" s="54"/>
      <c r="GU117" s="54"/>
      <c r="GV117" s="54"/>
      <c r="GW117" s="54"/>
      <c r="GX117" s="54"/>
      <c r="GY117" s="54"/>
      <c r="GZ117" s="54"/>
      <c r="HA117" s="54"/>
      <c r="HB117" s="54"/>
      <c r="HC117" s="54"/>
      <c r="HD117" s="54"/>
      <c r="HE117" s="54"/>
      <c r="HF117" s="54"/>
      <c r="HG117" s="54"/>
      <c r="HH117" s="54"/>
      <c r="HI117" s="54"/>
      <c r="HJ117" s="54"/>
      <c r="HK117" s="54"/>
      <c r="HL117" s="54"/>
      <c r="HM117" s="54"/>
      <c r="HN117" s="54"/>
      <c r="HO117" s="54"/>
      <c r="HP117" s="54"/>
      <c r="HQ117" s="54"/>
      <c r="HR117" s="54"/>
      <c r="HS117" s="54"/>
      <c r="HT117" s="54"/>
      <c r="HU117" s="54"/>
      <c r="HV117" s="54"/>
      <c r="HW117" s="54"/>
      <c r="HX117" s="54"/>
      <c r="HY117" s="54"/>
      <c r="HZ117" s="54"/>
      <c r="IA117" s="54"/>
      <c r="IB117" s="54"/>
      <c r="IC117" s="54"/>
      <c r="ID117" s="54"/>
      <c r="IE117" s="54"/>
      <c r="IF117" s="54"/>
      <c r="IG117" s="54"/>
      <c r="IH117" s="54"/>
      <c r="II117" s="54"/>
      <c r="IJ117" s="54"/>
      <c r="IK117" s="54"/>
      <c r="IL117" s="54"/>
      <c r="IM117" s="54"/>
      <c r="IN117" s="54"/>
      <c r="IO117" s="54"/>
      <c r="IP117" s="54"/>
      <c r="IQ117" s="54"/>
      <c r="IR117" s="54"/>
      <c r="IS117" s="54"/>
      <c r="IT117" s="54"/>
      <c r="IU117" s="54"/>
      <c r="IV117" s="54"/>
      <c r="IW117" s="54"/>
      <c r="IX117" s="54"/>
      <c r="IY117" s="54"/>
      <c r="IZ117" s="54"/>
      <c r="JA117" s="54"/>
      <c r="JB117" s="54"/>
      <c r="JC117" s="54"/>
      <c r="JD117" s="54"/>
      <c r="JE117" s="54"/>
      <c r="JF117" s="54"/>
      <c r="JG117" s="54"/>
      <c r="JH117" s="54"/>
      <c r="JI117" s="54"/>
      <c r="JJ117" s="54"/>
      <c r="JK117" s="54"/>
      <c r="JL117" s="54"/>
      <c r="JM117" s="54"/>
      <c r="JN117" s="54"/>
      <c r="JO117" s="54"/>
      <c r="JP117" s="54"/>
      <c r="JQ117" s="54"/>
      <c r="JR117" s="54"/>
      <c r="JS117" s="54"/>
      <c r="JT117" s="54"/>
      <c r="JU117" s="54"/>
      <c r="JV117" s="54"/>
      <c r="JW117" s="54"/>
      <c r="JX117" s="54"/>
      <c r="JY117" s="54"/>
      <c r="JZ117" s="54"/>
      <c r="KA117" s="54"/>
      <c r="KB117" s="54"/>
      <c r="KC117" s="54"/>
      <c r="KD117" s="54"/>
      <c r="KE117" s="54"/>
      <c r="KF117" s="54"/>
      <c r="KG117" s="54"/>
      <c r="KH117" s="54"/>
      <c r="KI117" s="54"/>
      <c r="KJ117" s="54"/>
      <c r="KK117" s="54"/>
      <c r="KL117" s="54"/>
      <c r="KM117" s="54"/>
      <c r="KN117" s="54"/>
      <c r="KO117" s="54"/>
      <c r="KP117" s="54"/>
      <c r="KQ117" s="54"/>
      <c r="KR117" s="54"/>
      <c r="KS117" s="54"/>
      <c r="KT117" s="54"/>
      <c r="KU117" s="54"/>
      <c r="KV117" s="54"/>
      <c r="KW117" s="54"/>
      <c r="KX117" s="54"/>
      <c r="KY117" s="54"/>
      <c r="KZ117" s="54"/>
      <c r="LA117" s="54"/>
      <c r="LB117" s="54"/>
      <c r="LC117" s="54"/>
      <c r="LD117" s="54"/>
      <c r="LE117" s="54"/>
      <c r="LF117" s="54"/>
      <c r="LG117" s="54"/>
      <c r="LH117" s="54"/>
      <c r="LI117" s="54"/>
      <c r="LJ117" s="54"/>
      <c r="LK117" s="54"/>
      <c r="LL117" s="54"/>
      <c r="LM117" s="54"/>
      <c r="LN117" s="54"/>
      <c r="LO117" s="54"/>
      <c r="LP117" s="54"/>
      <c r="LQ117" s="54"/>
      <c r="LR117" s="54"/>
      <c r="LS117" s="54"/>
      <c r="LT117" s="54"/>
      <c r="LU117" s="54"/>
      <c r="LV117" s="54"/>
      <c r="LW117" s="54"/>
      <c r="LX117" s="54"/>
      <c r="LY117" s="54"/>
      <c r="LZ117" s="54"/>
      <c r="MA117" s="54"/>
      <c r="MB117" s="54"/>
    </row>
    <row r="118" spans="1:340" s="50" customFormat="1" ht="31.5" hidden="1" customHeight="1" thickBot="1">
      <c r="A118" s="44">
        <v>1</v>
      </c>
      <c r="B118" s="104" t="s">
        <v>186</v>
      </c>
      <c r="C118" s="46" t="s">
        <v>187</v>
      </c>
      <c r="D118" s="105" t="s">
        <v>49</v>
      </c>
      <c r="E118" s="117" t="s">
        <v>78</v>
      </c>
      <c r="F118" s="106" t="s">
        <v>24</v>
      </c>
      <c r="G118" s="145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  <c r="BE118" s="131"/>
      <c r="BF118" s="131"/>
      <c r="BG118" s="131"/>
      <c r="BH118" s="131"/>
      <c r="BI118" s="131"/>
      <c r="BJ118" s="131"/>
      <c r="BK118" s="131"/>
      <c r="BL118" s="131"/>
      <c r="BM118" s="131"/>
      <c r="BN118" s="131"/>
      <c r="BO118" s="131"/>
      <c r="BP118" s="131"/>
      <c r="BQ118" s="131"/>
      <c r="BR118" s="131"/>
      <c r="BS118" s="131"/>
      <c r="BT118" s="131"/>
      <c r="BU118" s="131"/>
      <c r="BV118" s="131"/>
      <c r="BW118" s="131"/>
      <c r="BX118" s="131"/>
      <c r="BY118" s="131"/>
      <c r="BZ118" s="131"/>
      <c r="CA118" s="131"/>
      <c r="CB118" s="131"/>
      <c r="CC118" s="131"/>
      <c r="CD118" s="131"/>
      <c r="CE118" s="131"/>
      <c r="CF118" s="131"/>
      <c r="CG118" s="131"/>
      <c r="CH118" s="131"/>
      <c r="CI118" s="131"/>
      <c r="CJ118" s="131"/>
      <c r="CK118" s="131"/>
      <c r="CL118" s="131"/>
      <c r="CM118" s="131"/>
      <c r="CN118" s="131"/>
      <c r="CO118" s="131"/>
      <c r="CP118" s="131"/>
      <c r="CQ118" s="131"/>
      <c r="CR118" s="131"/>
      <c r="CS118" s="131"/>
      <c r="CT118" s="131"/>
      <c r="CU118" s="131"/>
      <c r="CV118" s="131"/>
      <c r="CW118" s="131"/>
      <c r="CX118" s="131"/>
      <c r="CY118" s="131"/>
      <c r="CZ118" s="131"/>
      <c r="DA118" s="131"/>
      <c r="DB118" s="131"/>
      <c r="DC118" s="131"/>
      <c r="DD118" s="131"/>
      <c r="DE118" s="131"/>
      <c r="DF118" s="131"/>
      <c r="DG118" s="131"/>
      <c r="DH118" s="131"/>
      <c r="DI118" s="131"/>
      <c r="DJ118" s="131"/>
      <c r="DK118" s="131"/>
      <c r="DL118" s="131"/>
      <c r="DM118" s="131"/>
      <c r="DN118" s="131"/>
      <c r="DO118" s="131"/>
      <c r="DP118" s="131"/>
      <c r="DQ118" s="131"/>
      <c r="DR118" s="131"/>
      <c r="DS118" s="131"/>
      <c r="DT118" s="131"/>
      <c r="DU118" s="131"/>
      <c r="DV118" s="131"/>
      <c r="DW118" s="131"/>
      <c r="DX118" s="131"/>
      <c r="DY118" s="131"/>
      <c r="DZ118" s="131"/>
      <c r="EA118" s="131"/>
      <c r="EB118" s="131"/>
      <c r="EC118" s="131"/>
      <c r="ED118" s="131"/>
      <c r="EE118" s="131"/>
      <c r="EF118" s="131"/>
      <c r="EG118" s="131"/>
      <c r="EH118" s="131"/>
      <c r="EI118" s="131"/>
      <c r="EJ118" s="131"/>
      <c r="EK118" s="131"/>
      <c r="EL118" s="131"/>
      <c r="EM118" s="131"/>
      <c r="EN118" s="131"/>
      <c r="EO118" s="131"/>
      <c r="EP118" s="131"/>
      <c r="EQ118" s="131"/>
      <c r="ER118" s="131"/>
      <c r="ES118" s="131"/>
      <c r="ET118" s="131"/>
      <c r="EU118" s="131"/>
      <c r="EV118" s="131"/>
      <c r="EW118" s="131"/>
      <c r="EX118" s="131"/>
      <c r="EY118" s="131"/>
      <c r="EZ118" s="131"/>
      <c r="FA118" s="131"/>
      <c r="FB118" s="131"/>
      <c r="FC118" s="131"/>
      <c r="FD118" s="131"/>
      <c r="FE118" s="131"/>
      <c r="FF118" s="131"/>
      <c r="FG118" s="131"/>
      <c r="FH118" s="131"/>
      <c r="FI118" s="131"/>
      <c r="FJ118" s="131"/>
      <c r="FK118" s="131"/>
      <c r="FL118" s="131"/>
      <c r="FM118" s="131"/>
      <c r="FN118" s="131"/>
      <c r="FO118" s="131"/>
      <c r="FP118" s="131"/>
      <c r="FQ118" s="131"/>
      <c r="FR118" s="131"/>
      <c r="FS118" s="94" t="s">
        <v>25</v>
      </c>
      <c r="FT118" s="94"/>
      <c r="FU118" s="94"/>
      <c r="FV118" s="94" t="s">
        <v>26</v>
      </c>
      <c r="FW118" s="94"/>
      <c r="FX118" s="94"/>
      <c r="FY118" s="94"/>
      <c r="FZ118" s="94"/>
      <c r="GA118" s="94"/>
      <c r="GB118" s="94"/>
      <c r="GC118" s="94" t="s">
        <v>41</v>
      </c>
      <c r="GD118" s="94"/>
      <c r="GE118" s="94"/>
      <c r="GF118" s="94"/>
      <c r="GG118" s="94"/>
      <c r="GH118" s="94" t="s">
        <v>26</v>
      </c>
      <c r="GI118" s="94"/>
      <c r="GJ118" s="94"/>
      <c r="GK118" s="94" t="s">
        <v>41</v>
      </c>
      <c r="GL118" s="94"/>
      <c r="GM118" s="94"/>
      <c r="GN118" s="94"/>
      <c r="GO118" s="94"/>
      <c r="GP118" s="94"/>
      <c r="GQ118" s="94"/>
      <c r="GR118" s="94"/>
      <c r="GS118" s="94"/>
      <c r="GT118" s="94"/>
      <c r="GU118" s="94"/>
      <c r="GV118" s="94"/>
      <c r="GW118" s="94" t="s">
        <v>26</v>
      </c>
      <c r="GX118" s="94" t="s">
        <v>26</v>
      </c>
      <c r="GY118" s="94"/>
      <c r="GZ118" s="94" t="s">
        <v>26</v>
      </c>
      <c r="HA118" s="94" t="s">
        <v>26</v>
      </c>
      <c r="HB118" s="94" t="s">
        <v>26</v>
      </c>
      <c r="HC118" s="94"/>
      <c r="HD118" s="94"/>
      <c r="HE118" s="94"/>
      <c r="HF118" s="94" t="s">
        <v>41</v>
      </c>
      <c r="HG118" s="94"/>
      <c r="HH118" s="94" t="s">
        <v>41</v>
      </c>
      <c r="HI118" s="94"/>
      <c r="HJ118" s="94" t="s">
        <v>41</v>
      </c>
      <c r="HK118" s="94"/>
      <c r="HL118" s="94" t="s">
        <v>41</v>
      </c>
      <c r="HM118" s="94"/>
      <c r="HN118" s="94"/>
      <c r="HO118" s="94" t="s">
        <v>41</v>
      </c>
      <c r="HP118" s="131"/>
      <c r="HQ118" s="131"/>
      <c r="HR118" s="131"/>
      <c r="HS118" s="131"/>
      <c r="HT118" s="131"/>
      <c r="HU118" s="131"/>
      <c r="HV118" s="131"/>
      <c r="HW118" s="131"/>
      <c r="HX118" s="131"/>
      <c r="HY118" s="131"/>
      <c r="HZ118" s="131"/>
      <c r="IA118" s="131"/>
      <c r="IB118" s="131"/>
      <c r="IC118" s="131"/>
      <c r="ID118" s="131"/>
      <c r="IE118" s="131"/>
      <c r="IF118" s="94"/>
      <c r="IG118" s="94"/>
      <c r="IH118" s="94"/>
      <c r="II118" s="94"/>
      <c r="IJ118" s="94"/>
      <c r="IK118" s="94"/>
      <c r="IL118" s="94"/>
      <c r="IM118" s="94" t="s">
        <v>26</v>
      </c>
      <c r="IN118" s="94"/>
      <c r="IO118" s="94" t="s">
        <v>26</v>
      </c>
      <c r="IP118" s="94" t="s">
        <v>26</v>
      </c>
      <c r="IQ118" s="94"/>
      <c r="IR118" s="94" t="s">
        <v>26</v>
      </c>
      <c r="IS118" s="94"/>
      <c r="IT118" s="94" t="s">
        <v>26</v>
      </c>
      <c r="IU118" s="94"/>
      <c r="IV118" s="94"/>
      <c r="IW118" s="94" t="s">
        <v>41</v>
      </c>
      <c r="IX118" s="94"/>
      <c r="IY118" s="94"/>
      <c r="IZ118" s="94" t="s">
        <v>41</v>
      </c>
      <c r="JA118" s="94"/>
      <c r="JB118" s="94"/>
      <c r="JC118" s="94" t="s">
        <v>41</v>
      </c>
      <c r="JD118" s="94"/>
      <c r="JE118" s="94"/>
      <c r="JF118" s="94" t="s">
        <v>41</v>
      </c>
      <c r="JG118" s="94"/>
      <c r="JH118" s="94"/>
      <c r="JI118" s="94" t="s">
        <v>41</v>
      </c>
      <c r="JJ118" s="131" t="s">
        <v>37</v>
      </c>
      <c r="JK118" s="131"/>
      <c r="JL118" s="131"/>
      <c r="JM118" s="131"/>
      <c r="JN118" s="131"/>
      <c r="JO118" s="131"/>
      <c r="JP118" s="131"/>
      <c r="JQ118" s="131"/>
      <c r="JR118" s="131"/>
      <c r="JS118" s="131"/>
      <c r="JT118" s="131"/>
      <c r="JU118" s="131"/>
      <c r="JV118" s="131"/>
      <c r="JW118" s="131"/>
      <c r="JX118" s="131"/>
      <c r="JY118" s="131"/>
      <c r="JZ118" s="131"/>
      <c r="KA118" s="131"/>
      <c r="KB118" s="131"/>
      <c r="KC118" s="131"/>
      <c r="KD118" s="131"/>
      <c r="KE118" s="131"/>
      <c r="KF118" s="131"/>
      <c r="KG118" s="131"/>
      <c r="KH118" s="131"/>
      <c r="KI118" s="131"/>
      <c r="KJ118" s="131"/>
      <c r="KK118" s="131"/>
      <c r="KL118" s="131"/>
      <c r="KM118" s="131"/>
      <c r="KN118" s="131"/>
      <c r="KO118" s="131"/>
      <c r="KP118" s="131"/>
      <c r="KQ118" s="131"/>
      <c r="KR118" s="131"/>
      <c r="KS118" s="131"/>
      <c r="KT118" s="131"/>
      <c r="KU118" s="131"/>
      <c r="KV118" s="131"/>
      <c r="KW118" s="131"/>
      <c r="KX118" s="131"/>
      <c r="KY118" s="131"/>
      <c r="KZ118" s="131"/>
      <c r="LA118" s="131"/>
      <c r="LB118" s="131"/>
      <c r="LC118" s="131"/>
      <c r="LD118" s="131"/>
      <c r="LE118" s="131"/>
      <c r="LF118" s="131"/>
      <c r="LG118" s="131"/>
      <c r="LH118" s="131"/>
      <c r="LI118" s="131"/>
      <c r="LJ118" s="131"/>
      <c r="LK118" s="131"/>
      <c r="LL118" s="131"/>
      <c r="LM118" s="131"/>
      <c r="LN118" s="131"/>
      <c r="LO118" s="131"/>
      <c r="LP118" s="131"/>
      <c r="LQ118" s="131"/>
      <c r="LR118" s="131"/>
      <c r="LS118" s="131"/>
      <c r="LT118" s="131"/>
      <c r="LU118" s="131"/>
      <c r="LV118" s="131"/>
      <c r="LW118" s="131"/>
      <c r="LX118" s="131"/>
      <c r="LY118" s="131"/>
      <c r="LZ118" s="131"/>
      <c r="MA118" s="131"/>
      <c r="MB118" s="131"/>
    </row>
    <row r="119" spans="1:340" s="50" customFormat="1" ht="31.5" hidden="1" customHeight="1" thickBot="1">
      <c r="A119" s="44">
        <v>1</v>
      </c>
      <c r="B119" s="104" t="s">
        <v>188</v>
      </c>
      <c r="C119" s="46" t="s">
        <v>189</v>
      </c>
      <c r="D119" s="105" t="s">
        <v>49</v>
      </c>
      <c r="E119" s="117" t="s">
        <v>78</v>
      </c>
      <c r="F119" s="106" t="s">
        <v>24</v>
      </c>
      <c r="G119" s="145"/>
      <c r="H119" s="131"/>
      <c r="I119" s="131"/>
      <c r="J119" s="131"/>
      <c r="K119" s="131"/>
      <c r="L119" s="94" t="s">
        <v>41</v>
      </c>
      <c r="M119" s="94"/>
      <c r="N119" s="94"/>
      <c r="O119" s="94"/>
      <c r="P119" s="94"/>
      <c r="Q119" s="94"/>
      <c r="R119" s="94"/>
      <c r="S119" s="94" t="s">
        <v>26</v>
      </c>
      <c r="T119" s="144"/>
      <c r="U119" s="94" t="s">
        <v>41</v>
      </c>
      <c r="V119" s="94"/>
      <c r="W119" s="94"/>
      <c r="X119" s="94"/>
      <c r="Y119" s="94"/>
      <c r="Z119" s="94"/>
      <c r="AA119" s="94" t="s">
        <v>190</v>
      </c>
      <c r="AB119" s="94"/>
      <c r="AC119" s="94" t="s">
        <v>41</v>
      </c>
      <c r="AD119" s="94"/>
      <c r="AE119" s="94"/>
      <c r="AF119" s="94"/>
      <c r="AG119" s="94" t="s">
        <v>26</v>
      </c>
      <c r="AH119" s="94"/>
      <c r="AI119" s="94" t="s">
        <v>41</v>
      </c>
      <c r="AJ119" s="94"/>
      <c r="AK119" s="94"/>
      <c r="AL119" s="94"/>
      <c r="AM119" s="94"/>
      <c r="AN119" s="94" t="s">
        <v>26</v>
      </c>
      <c r="AO119" s="94"/>
      <c r="AP119" s="94" t="s">
        <v>41</v>
      </c>
      <c r="AQ119" s="94"/>
      <c r="AR119" s="94"/>
      <c r="AS119" s="94" t="s">
        <v>26</v>
      </c>
      <c r="AT119" s="94"/>
      <c r="AV119" s="94" t="s">
        <v>41</v>
      </c>
      <c r="AW119" s="94"/>
      <c r="AX119" s="94"/>
      <c r="AY119" s="94"/>
      <c r="BA119" s="94" t="s">
        <v>26</v>
      </c>
      <c r="BB119" s="94"/>
      <c r="BC119" s="94"/>
      <c r="BD119" s="94"/>
      <c r="BE119" s="94" t="s">
        <v>41</v>
      </c>
      <c r="BF119" s="94"/>
      <c r="BG119" s="94"/>
      <c r="BI119" s="94" t="s">
        <v>26</v>
      </c>
      <c r="BJ119" s="94"/>
      <c r="BL119" s="94" t="s">
        <v>41</v>
      </c>
      <c r="BM119" s="94"/>
      <c r="BN119" s="94"/>
      <c r="BO119" s="94"/>
      <c r="BP119" s="94"/>
      <c r="BQ119" s="94"/>
      <c r="BR119" s="94"/>
      <c r="BS119" s="94"/>
      <c r="BT119" s="94"/>
      <c r="BU119" s="94"/>
      <c r="BV119" s="94"/>
      <c r="BW119" s="94" t="s">
        <v>26</v>
      </c>
      <c r="BX119" s="94"/>
      <c r="BY119" s="94" t="s">
        <v>41</v>
      </c>
      <c r="BZ119" s="94"/>
      <c r="CA119" s="94"/>
      <c r="CB119" s="94"/>
      <c r="CC119" s="94"/>
      <c r="CD119" s="94"/>
      <c r="CE119" s="94"/>
      <c r="CF119" s="94" t="s">
        <v>26</v>
      </c>
      <c r="CG119" s="94" t="s">
        <v>41</v>
      </c>
      <c r="CI119" s="94"/>
      <c r="CJ119" s="94"/>
      <c r="CK119" s="94" t="s">
        <v>26</v>
      </c>
      <c r="CL119" s="94" t="s">
        <v>41</v>
      </c>
      <c r="CN119" s="94"/>
      <c r="CO119" s="94"/>
      <c r="CQ119" s="94" t="s">
        <v>26</v>
      </c>
      <c r="CR119" s="94"/>
      <c r="CS119" s="94"/>
      <c r="CT119" s="94" t="s">
        <v>41</v>
      </c>
      <c r="CU119" s="94"/>
      <c r="CV119" s="94"/>
      <c r="CX119" s="94"/>
      <c r="CY119" s="94" t="s">
        <v>26</v>
      </c>
      <c r="CZ119" s="94"/>
      <c r="DA119" s="94" t="s">
        <v>41</v>
      </c>
      <c r="DB119" s="94"/>
      <c r="DC119" s="94"/>
      <c r="DE119" s="94"/>
      <c r="DG119" s="94"/>
      <c r="DH119" s="94"/>
      <c r="DI119" s="94"/>
      <c r="DJ119" s="94"/>
      <c r="DK119" s="94"/>
      <c r="DL119" s="94" t="s">
        <v>26</v>
      </c>
      <c r="DM119" s="94"/>
      <c r="DN119" s="94" t="s">
        <v>41</v>
      </c>
      <c r="DO119" s="94"/>
      <c r="DP119" s="94" t="s">
        <v>26</v>
      </c>
      <c r="DQ119" s="94"/>
      <c r="DR119" s="94" t="s">
        <v>41</v>
      </c>
      <c r="DS119" s="94"/>
      <c r="DT119" s="94" t="s">
        <v>26</v>
      </c>
      <c r="DU119" s="94" t="s">
        <v>41</v>
      </c>
      <c r="DV119" s="94"/>
      <c r="DW119" s="94"/>
      <c r="DX119" s="94" t="s">
        <v>26</v>
      </c>
      <c r="DY119" s="94"/>
      <c r="DZ119" s="94" t="s">
        <v>41</v>
      </c>
      <c r="EA119" s="94"/>
      <c r="EB119" s="94"/>
      <c r="EC119" s="94"/>
      <c r="ED119" s="94" t="s">
        <v>26</v>
      </c>
      <c r="EE119" s="94" t="s">
        <v>106</v>
      </c>
      <c r="EF119" s="94" t="s">
        <v>41</v>
      </c>
      <c r="EG119" s="94"/>
      <c r="EH119" s="94"/>
      <c r="EI119" s="94" t="s">
        <v>26</v>
      </c>
      <c r="EJ119" s="94"/>
      <c r="EK119" s="94" t="s">
        <v>41</v>
      </c>
      <c r="EL119" s="94"/>
      <c r="EM119" s="94"/>
      <c r="EN119" s="94" t="s">
        <v>26</v>
      </c>
      <c r="EO119" s="94"/>
      <c r="EP119" s="94" t="s">
        <v>41</v>
      </c>
      <c r="EQ119" s="94"/>
      <c r="ER119" s="94"/>
      <c r="ES119" s="94"/>
      <c r="ET119" s="94" t="s">
        <v>26</v>
      </c>
      <c r="EU119" s="94"/>
      <c r="EV119" s="94" t="s">
        <v>41</v>
      </c>
      <c r="EW119" s="94"/>
      <c r="EX119" s="94"/>
      <c r="EY119" s="94"/>
      <c r="EZ119" s="94"/>
      <c r="FA119" s="94"/>
      <c r="FB119" s="94"/>
      <c r="FC119" s="94" t="s">
        <v>26</v>
      </c>
      <c r="FD119" s="94"/>
      <c r="FE119" s="94" t="s">
        <v>28</v>
      </c>
      <c r="FF119" s="94" t="s">
        <v>41</v>
      </c>
      <c r="FG119" s="94"/>
      <c r="FH119" s="94"/>
      <c r="FI119" s="94"/>
      <c r="FJ119" s="94" t="s">
        <v>26</v>
      </c>
      <c r="FK119" s="94"/>
      <c r="FL119" s="94" t="s">
        <v>28</v>
      </c>
      <c r="FM119" s="94"/>
      <c r="FN119" s="94" t="s">
        <v>41</v>
      </c>
      <c r="FO119" s="94"/>
      <c r="FP119" s="94"/>
      <c r="FQ119" s="94" t="s">
        <v>26</v>
      </c>
      <c r="FR119" s="94" t="s">
        <v>28</v>
      </c>
      <c r="FS119" s="94"/>
      <c r="FT119" s="94"/>
      <c r="FU119" s="94" t="s">
        <v>41</v>
      </c>
      <c r="FV119" s="94"/>
      <c r="FW119" s="94"/>
      <c r="FY119" s="94" t="s">
        <v>26</v>
      </c>
      <c r="FZ119" s="94" t="s">
        <v>41</v>
      </c>
      <c r="GA119" s="94"/>
      <c r="GB119" s="94" t="s">
        <v>26</v>
      </c>
      <c r="GC119" s="94" t="s">
        <v>28</v>
      </c>
      <c r="GD119" s="94"/>
      <c r="GE119" s="94" t="s">
        <v>26</v>
      </c>
      <c r="GF119" s="94"/>
      <c r="GG119" s="94" t="s">
        <v>41</v>
      </c>
      <c r="GH119" s="94"/>
      <c r="GI119" s="94"/>
      <c r="GJ119" s="94" t="s">
        <v>26</v>
      </c>
      <c r="GK119" s="94" t="s">
        <v>41</v>
      </c>
      <c r="GL119" s="94"/>
      <c r="GM119" s="94"/>
      <c r="GN119" s="94" t="s">
        <v>26</v>
      </c>
      <c r="GO119" s="94" t="s">
        <v>41</v>
      </c>
      <c r="GP119" s="94"/>
      <c r="GQ119" s="94"/>
      <c r="GR119" s="94"/>
      <c r="GS119" s="94"/>
      <c r="GT119" s="94"/>
      <c r="GU119" s="94"/>
      <c r="GV119" s="94"/>
      <c r="GW119" s="94"/>
      <c r="GX119" s="94"/>
      <c r="GY119" s="94"/>
      <c r="GZ119" s="94"/>
      <c r="HA119" s="94"/>
      <c r="HB119" s="94"/>
      <c r="HC119" s="94" t="s">
        <v>26</v>
      </c>
      <c r="HD119" s="94"/>
      <c r="HE119" s="94"/>
      <c r="HF119" s="94" t="s">
        <v>41</v>
      </c>
      <c r="HG119" s="94"/>
      <c r="HH119" s="94"/>
      <c r="HI119" s="94"/>
      <c r="HJ119" s="94"/>
      <c r="HK119" s="94"/>
      <c r="HL119" s="94"/>
      <c r="HM119" s="94"/>
      <c r="HN119" s="94" t="s">
        <v>26</v>
      </c>
      <c r="HO119" s="94"/>
      <c r="HP119" s="94"/>
      <c r="HQ119" s="94" t="s">
        <v>41</v>
      </c>
      <c r="HR119" s="94"/>
      <c r="HS119" s="94"/>
      <c r="HT119" s="94"/>
      <c r="HU119" s="94"/>
      <c r="HV119" s="94" t="s">
        <v>26</v>
      </c>
      <c r="HW119" s="94"/>
      <c r="HX119" s="94" t="s">
        <v>41</v>
      </c>
      <c r="HY119" s="94"/>
      <c r="HZ119" s="94"/>
      <c r="IA119" s="94" t="s">
        <v>26</v>
      </c>
      <c r="IB119" s="94"/>
      <c r="IC119" s="94"/>
      <c r="ID119" s="94" t="s">
        <v>41</v>
      </c>
      <c r="IE119" s="94"/>
      <c r="IF119" s="94"/>
      <c r="IG119" s="94"/>
      <c r="IH119" s="94" t="s">
        <v>26</v>
      </c>
      <c r="II119" s="94"/>
      <c r="IJ119" s="94" t="s">
        <v>41</v>
      </c>
      <c r="IK119" s="94"/>
      <c r="IL119" s="94"/>
      <c r="IM119" s="94"/>
      <c r="IN119" s="94" t="s">
        <v>26</v>
      </c>
      <c r="IO119" s="94"/>
      <c r="IP119" s="94"/>
      <c r="IQ119" s="94" t="s">
        <v>41</v>
      </c>
      <c r="IR119" s="94"/>
      <c r="IS119" s="94"/>
      <c r="IT119" s="94"/>
      <c r="IU119" s="94" t="s">
        <v>26</v>
      </c>
      <c r="IV119" s="94"/>
      <c r="IW119" s="94" t="s">
        <v>41</v>
      </c>
      <c r="IX119" s="94"/>
      <c r="IY119" s="94"/>
      <c r="IZ119" s="94"/>
      <c r="JA119" s="94" t="s">
        <v>26</v>
      </c>
      <c r="JB119" s="94"/>
      <c r="JC119" s="94" t="s">
        <v>41</v>
      </c>
      <c r="JD119" s="94"/>
      <c r="JE119" s="94"/>
      <c r="JF119" s="94"/>
      <c r="JG119" s="94" t="s">
        <v>26</v>
      </c>
      <c r="JH119" s="94"/>
      <c r="JI119" s="94" t="s">
        <v>41</v>
      </c>
      <c r="JJ119" s="94"/>
      <c r="JK119" s="94"/>
      <c r="JL119" s="94"/>
      <c r="JM119" s="94" t="s">
        <v>26</v>
      </c>
      <c r="JN119" s="94"/>
      <c r="JO119" s="94" t="s">
        <v>41</v>
      </c>
      <c r="JP119" s="94"/>
      <c r="JQ119" s="94"/>
      <c r="JR119" s="94"/>
      <c r="JS119" s="94" t="s">
        <v>26</v>
      </c>
      <c r="JT119" s="94"/>
      <c r="JU119" s="94" t="s">
        <v>41</v>
      </c>
      <c r="JV119" s="94"/>
      <c r="JW119" s="94"/>
      <c r="JX119" s="94"/>
      <c r="JY119" s="94" t="s">
        <v>26</v>
      </c>
      <c r="JZ119" s="94"/>
      <c r="KA119" s="94" t="s">
        <v>41</v>
      </c>
      <c r="KB119" s="94"/>
      <c r="KC119" s="94"/>
      <c r="KD119" s="94"/>
      <c r="KE119" s="94" t="s">
        <v>26</v>
      </c>
      <c r="KF119" s="94"/>
      <c r="KG119" s="94" t="s">
        <v>41</v>
      </c>
      <c r="KH119" s="94"/>
      <c r="KI119" s="94"/>
      <c r="KJ119" s="94"/>
      <c r="KK119" s="94" t="s">
        <v>26</v>
      </c>
      <c r="KL119" s="94"/>
      <c r="KM119" s="94" t="s">
        <v>41</v>
      </c>
      <c r="KN119" s="94"/>
      <c r="KO119" s="94"/>
      <c r="KP119" s="94"/>
      <c r="KQ119" s="94" t="s">
        <v>26</v>
      </c>
      <c r="KR119" s="94"/>
      <c r="KS119" s="94" t="s">
        <v>41</v>
      </c>
      <c r="KT119" s="94"/>
      <c r="KU119" s="94"/>
      <c r="KV119" s="94"/>
      <c r="KW119" s="94" t="s">
        <v>26</v>
      </c>
      <c r="KX119" s="94"/>
      <c r="KY119" s="94" t="s">
        <v>41</v>
      </c>
      <c r="KZ119" s="94"/>
      <c r="LA119" s="94"/>
      <c r="LB119" s="94"/>
      <c r="LC119" s="94" t="s">
        <v>26</v>
      </c>
      <c r="LD119" s="94"/>
      <c r="LE119" s="94" t="s">
        <v>41</v>
      </c>
      <c r="LF119" s="94"/>
      <c r="LG119" s="94"/>
      <c r="LH119" s="94"/>
      <c r="LI119" s="94" t="s">
        <v>26</v>
      </c>
      <c r="LJ119" s="94"/>
      <c r="LK119" s="94" t="s">
        <v>41</v>
      </c>
      <c r="LL119" s="94"/>
      <c r="LM119" s="94"/>
      <c r="LN119" s="94"/>
      <c r="LO119" s="94" t="s">
        <v>26</v>
      </c>
      <c r="LP119" s="94"/>
      <c r="LQ119" s="94" t="s">
        <v>41</v>
      </c>
      <c r="LR119" s="94"/>
      <c r="LS119" s="94"/>
      <c r="LT119" s="94"/>
      <c r="LU119" s="94" t="s">
        <v>26</v>
      </c>
      <c r="LV119" s="94"/>
      <c r="LW119" s="94" t="s">
        <v>41</v>
      </c>
      <c r="LX119" s="94"/>
      <c r="LY119" s="94"/>
      <c r="LZ119" s="94"/>
      <c r="MA119" s="94" t="s">
        <v>26</v>
      </c>
      <c r="MB119" s="94"/>
    </row>
    <row r="120" spans="1:340" s="50" customFormat="1" ht="31.5" hidden="1" customHeight="1" thickBot="1">
      <c r="A120" s="44">
        <v>1</v>
      </c>
      <c r="B120" s="45" t="s">
        <v>191</v>
      </c>
      <c r="C120" s="46" t="s">
        <v>192</v>
      </c>
      <c r="D120" s="47" t="s">
        <v>49</v>
      </c>
      <c r="E120" s="115" t="s">
        <v>78</v>
      </c>
      <c r="F120" s="48" t="s">
        <v>24</v>
      </c>
      <c r="G120" s="145"/>
      <c r="H120" s="131"/>
      <c r="I120" s="131"/>
      <c r="J120" s="131"/>
      <c r="K120" s="131"/>
      <c r="L120" s="131"/>
      <c r="M120" s="131"/>
      <c r="N120" s="131"/>
      <c r="O120" s="94" t="s">
        <v>26</v>
      </c>
      <c r="P120" s="94"/>
      <c r="Q120" s="94" t="s">
        <v>41</v>
      </c>
      <c r="R120" s="94"/>
      <c r="S120" s="94"/>
      <c r="T120" s="94"/>
      <c r="U120" s="94"/>
      <c r="V120" s="94"/>
      <c r="W120" s="94" t="s">
        <v>26</v>
      </c>
      <c r="X120" s="94"/>
      <c r="Y120" s="94"/>
      <c r="Z120" s="94" t="s">
        <v>41</v>
      </c>
      <c r="AA120" s="94"/>
      <c r="AB120" s="94"/>
      <c r="AC120" s="94"/>
      <c r="AD120" s="94"/>
      <c r="AE120" s="94" t="s">
        <v>26</v>
      </c>
      <c r="AF120" s="94"/>
      <c r="AG120" s="94" t="s">
        <v>41</v>
      </c>
      <c r="AH120" s="131"/>
      <c r="AI120" s="131"/>
      <c r="AJ120" s="131"/>
      <c r="AK120" s="131"/>
      <c r="AL120" s="131"/>
      <c r="AM120" s="131"/>
      <c r="AN120" s="131"/>
      <c r="AO120" s="131"/>
      <c r="AP120" s="131"/>
      <c r="AQ120" s="131"/>
      <c r="AR120" s="131"/>
      <c r="AS120" s="131"/>
      <c r="AT120" s="131"/>
      <c r="AU120" s="94" t="s">
        <v>26</v>
      </c>
      <c r="AV120" s="94"/>
      <c r="AW120" s="94" t="s">
        <v>41</v>
      </c>
      <c r="AX120" s="94"/>
      <c r="AY120" s="94"/>
      <c r="AZ120" s="94"/>
      <c r="BA120" s="94"/>
      <c r="BB120" s="94"/>
      <c r="BC120" s="94"/>
      <c r="BD120" s="94"/>
      <c r="BE120" s="94"/>
      <c r="BF120" s="94"/>
      <c r="BG120" s="94"/>
      <c r="BH120" s="94" t="s">
        <v>26</v>
      </c>
      <c r="BI120" s="94"/>
      <c r="BJ120" s="94" t="s">
        <v>41</v>
      </c>
      <c r="BK120" s="94"/>
      <c r="BL120" s="94"/>
      <c r="BM120" s="94"/>
      <c r="BN120" s="94"/>
      <c r="BO120" s="94"/>
      <c r="BP120" s="94"/>
      <c r="BQ120" s="94"/>
      <c r="BR120" s="94"/>
      <c r="BS120" s="94"/>
      <c r="BT120" s="94" t="s">
        <v>26</v>
      </c>
      <c r="BU120" s="94"/>
      <c r="BV120" s="94" t="s">
        <v>41</v>
      </c>
      <c r="BW120" s="94"/>
      <c r="BX120" s="94"/>
      <c r="BY120" s="94"/>
      <c r="BZ120" s="94"/>
      <c r="CA120" s="94"/>
      <c r="CB120" s="94"/>
      <c r="CC120" s="94"/>
      <c r="CD120" s="94"/>
      <c r="CE120" s="94"/>
      <c r="CF120" s="94"/>
      <c r="CG120" s="94"/>
      <c r="CH120" s="94" t="s">
        <v>26</v>
      </c>
      <c r="CI120" s="94"/>
      <c r="CJ120" s="94" t="s">
        <v>41</v>
      </c>
      <c r="CK120" s="94"/>
      <c r="CL120" s="94"/>
      <c r="CM120" s="94"/>
      <c r="CN120" s="94"/>
      <c r="CO120" s="94" t="s">
        <v>41</v>
      </c>
      <c r="CP120" s="94"/>
      <c r="CQ120" s="94"/>
      <c r="CR120" s="94"/>
      <c r="CS120" s="94"/>
      <c r="CT120" s="94" t="s">
        <v>26</v>
      </c>
      <c r="CU120" s="94"/>
      <c r="CV120" s="94" t="s">
        <v>41</v>
      </c>
      <c r="CW120" s="94"/>
      <c r="CX120" s="94"/>
      <c r="CY120" s="94"/>
      <c r="CZ120" s="94"/>
      <c r="DA120" s="94" t="s">
        <v>26</v>
      </c>
      <c r="DB120" s="94"/>
      <c r="DC120" s="94" t="s">
        <v>41</v>
      </c>
      <c r="DD120" s="94"/>
      <c r="DE120" s="94"/>
      <c r="DF120" s="94" t="s">
        <v>26</v>
      </c>
      <c r="DG120" s="94"/>
      <c r="DH120" s="94" t="s">
        <v>41</v>
      </c>
      <c r="DI120" s="94"/>
      <c r="DJ120" s="94"/>
      <c r="DK120" s="94"/>
      <c r="DL120" s="94"/>
      <c r="DN120" s="94" t="s">
        <v>26</v>
      </c>
      <c r="DO120" s="94" t="s">
        <v>41</v>
      </c>
      <c r="DP120" s="94"/>
      <c r="DQ120" s="94"/>
      <c r="DR120" s="94"/>
      <c r="DS120" s="94" t="s">
        <v>26</v>
      </c>
      <c r="DT120" s="94"/>
      <c r="DU120" s="94" t="s">
        <v>41</v>
      </c>
      <c r="DV120" s="94"/>
      <c r="DW120" s="94"/>
      <c r="DX120" s="94" t="s">
        <v>26</v>
      </c>
      <c r="DY120" s="94"/>
      <c r="DZ120" s="94" t="s">
        <v>41</v>
      </c>
      <c r="EA120" s="94"/>
      <c r="EB120" s="94"/>
      <c r="EC120" s="94" t="s">
        <v>26</v>
      </c>
      <c r="ED120" s="94" t="s">
        <v>41</v>
      </c>
      <c r="EE120" s="94"/>
      <c r="EF120" s="94"/>
      <c r="EG120" s="94"/>
      <c r="EH120" s="94" t="s">
        <v>26</v>
      </c>
      <c r="EI120" s="94"/>
      <c r="EJ120" s="94" t="s">
        <v>41</v>
      </c>
      <c r="EK120" s="94"/>
      <c r="EL120" s="94"/>
      <c r="EM120" s="94"/>
      <c r="EN120" s="94" t="s">
        <v>26</v>
      </c>
      <c r="EO120" s="94"/>
      <c r="EP120" s="94" t="s">
        <v>41</v>
      </c>
      <c r="EQ120" s="94"/>
      <c r="ER120" s="94"/>
      <c r="ES120" s="94"/>
      <c r="ET120" s="94"/>
      <c r="EU120" s="94"/>
      <c r="EV120" s="94"/>
      <c r="EW120" s="94"/>
      <c r="EX120" s="94" t="s">
        <v>26</v>
      </c>
      <c r="EY120" s="94" t="s">
        <v>41</v>
      </c>
      <c r="EZ120" s="94"/>
      <c r="FA120" s="94"/>
      <c r="FB120" s="94"/>
      <c r="FC120" s="94" t="s">
        <v>26</v>
      </c>
      <c r="FE120" s="94" t="s">
        <v>41</v>
      </c>
      <c r="FF120" s="94"/>
      <c r="FG120" s="94"/>
      <c r="FH120" s="94"/>
      <c r="FI120" s="94" t="s">
        <v>26</v>
      </c>
      <c r="FJ120" s="94"/>
      <c r="FK120" s="94" t="s">
        <v>41</v>
      </c>
      <c r="FL120" s="94"/>
      <c r="FM120" s="94"/>
      <c r="FN120" s="94"/>
      <c r="FO120" s="94" t="s">
        <v>26</v>
      </c>
      <c r="FP120" s="94"/>
      <c r="FQ120" s="94" t="s">
        <v>41</v>
      </c>
      <c r="FR120" s="94"/>
      <c r="FS120" s="94" t="s">
        <v>26</v>
      </c>
      <c r="FU120" s="94" t="s">
        <v>41</v>
      </c>
      <c r="FV120" s="94"/>
      <c r="FW120" s="94"/>
      <c r="FX120" s="94"/>
      <c r="FY120" s="94" t="s">
        <v>26</v>
      </c>
      <c r="GA120" s="94" t="s">
        <v>41</v>
      </c>
      <c r="GB120" s="94"/>
      <c r="GC120" s="94"/>
      <c r="GD120" s="94" t="s">
        <v>26</v>
      </c>
      <c r="GE120" s="94" t="s">
        <v>41</v>
      </c>
      <c r="GF120" s="94"/>
      <c r="GG120" s="94"/>
      <c r="GH120" s="94"/>
      <c r="GI120" s="94" t="s">
        <v>26</v>
      </c>
      <c r="GJ120" s="94" t="s">
        <v>41</v>
      </c>
      <c r="GK120" s="94"/>
      <c r="GL120" s="94"/>
      <c r="GM120" s="94"/>
      <c r="GN120" s="94"/>
      <c r="GO120" s="94" t="s">
        <v>26</v>
      </c>
      <c r="GP120" s="94"/>
      <c r="GQ120" s="94" t="s">
        <v>41</v>
      </c>
      <c r="GR120" s="131"/>
      <c r="GS120" s="131"/>
      <c r="GT120" s="131"/>
      <c r="GU120" s="160"/>
      <c r="GV120" s="131"/>
      <c r="GW120" s="131"/>
      <c r="GX120" s="131"/>
      <c r="GY120" s="94" t="s">
        <v>26</v>
      </c>
      <c r="HA120" s="94"/>
      <c r="HB120" s="94" t="s">
        <v>41</v>
      </c>
      <c r="HC120" s="94"/>
      <c r="HD120" s="94"/>
      <c r="HF120" s="94"/>
      <c r="HG120" s="94" t="s">
        <v>26</v>
      </c>
      <c r="HI120" s="94"/>
      <c r="HJ120" s="94" t="s">
        <v>41</v>
      </c>
      <c r="HK120" s="94"/>
      <c r="HL120" s="94"/>
      <c r="HM120" s="94" t="s">
        <v>26</v>
      </c>
      <c r="HN120" s="94"/>
      <c r="HO120" s="94" t="s">
        <v>41</v>
      </c>
      <c r="HP120" s="94"/>
      <c r="HQ120" s="94"/>
      <c r="HR120" s="94"/>
      <c r="HT120" s="94" t="s">
        <v>26</v>
      </c>
      <c r="HU120" s="94"/>
      <c r="HV120" s="94" t="s">
        <v>26</v>
      </c>
      <c r="HW120" s="94"/>
      <c r="HX120" s="94" t="s">
        <v>41</v>
      </c>
      <c r="HY120" s="94"/>
      <c r="HZ120" s="94"/>
      <c r="IB120" s="94"/>
      <c r="IC120" s="94" t="s">
        <v>26</v>
      </c>
      <c r="ID120" s="94"/>
      <c r="IE120" s="94" t="s">
        <v>41</v>
      </c>
      <c r="IF120" s="94"/>
      <c r="IG120" s="94"/>
      <c r="IH120" s="94"/>
      <c r="II120" s="94" t="s">
        <v>26</v>
      </c>
      <c r="IJ120" s="94"/>
      <c r="IK120" s="94" t="s">
        <v>41</v>
      </c>
      <c r="IM120" s="94"/>
      <c r="IN120" s="94"/>
      <c r="IO120" s="94" t="s">
        <v>26</v>
      </c>
      <c r="IP120" s="94"/>
      <c r="IQ120" s="94" t="s">
        <v>41</v>
      </c>
      <c r="IR120" s="94"/>
      <c r="IS120" s="94"/>
      <c r="IU120" s="94" t="s">
        <v>26</v>
      </c>
      <c r="IV120" s="94"/>
      <c r="IW120" s="94" t="s">
        <v>41</v>
      </c>
      <c r="IX120" s="94"/>
      <c r="IY120" s="94"/>
      <c r="IZ120" s="94"/>
      <c r="JA120" s="94" t="s">
        <v>26</v>
      </c>
      <c r="JB120" s="94" t="s">
        <v>26</v>
      </c>
      <c r="JC120" s="94" t="s">
        <v>26</v>
      </c>
      <c r="JD120" s="94" t="s">
        <v>26</v>
      </c>
      <c r="JE120" s="94" t="s">
        <v>26</v>
      </c>
      <c r="JF120" s="94" t="s">
        <v>26</v>
      </c>
      <c r="JG120" s="94" t="s">
        <v>26</v>
      </c>
      <c r="JH120" s="94" t="s">
        <v>26</v>
      </c>
      <c r="JI120" s="94" t="s">
        <v>26</v>
      </c>
      <c r="JJ120" s="94" t="s">
        <v>26</v>
      </c>
      <c r="JK120" s="94" t="s">
        <v>26</v>
      </c>
      <c r="JL120" s="94" t="s">
        <v>26</v>
      </c>
      <c r="JM120" s="94"/>
      <c r="JN120" s="94"/>
      <c r="JO120" s="94" t="s">
        <v>41</v>
      </c>
      <c r="JP120" s="94"/>
      <c r="JQ120" s="94" t="s">
        <v>41</v>
      </c>
      <c r="JR120" s="94"/>
      <c r="JS120" s="94" t="s">
        <v>41</v>
      </c>
      <c r="JT120" s="94"/>
      <c r="JU120" s="94" t="s">
        <v>41</v>
      </c>
      <c r="JV120" s="94"/>
      <c r="JW120" s="94" t="s">
        <v>41</v>
      </c>
      <c r="JX120" s="94"/>
      <c r="JY120" s="94" t="s">
        <v>41</v>
      </c>
      <c r="JZ120" s="94"/>
      <c r="KA120" s="94" t="s">
        <v>41</v>
      </c>
      <c r="KB120" s="94"/>
      <c r="KC120" s="94" t="s">
        <v>41</v>
      </c>
      <c r="KD120" s="94"/>
      <c r="KE120" s="94" t="s">
        <v>41</v>
      </c>
      <c r="KF120" s="94"/>
      <c r="KG120" s="94" t="s">
        <v>41</v>
      </c>
      <c r="KH120" s="94"/>
      <c r="KI120" s="94" t="s">
        <v>41</v>
      </c>
      <c r="KJ120" s="94"/>
      <c r="KK120" s="94" t="s">
        <v>41</v>
      </c>
      <c r="KL120" s="94"/>
      <c r="KN120" s="94"/>
      <c r="KO120" s="94" t="s">
        <v>26</v>
      </c>
      <c r="KQ120" s="94"/>
      <c r="KR120" s="94" t="s">
        <v>41</v>
      </c>
      <c r="KS120" s="94"/>
      <c r="KT120" s="94"/>
      <c r="KV120" s="94"/>
      <c r="KW120" s="94" t="s">
        <v>26</v>
      </c>
      <c r="KY120" s="94"/>
      <c r="KZ120" s="94" t="s">
        <v>41</v>
      </c>
      <c r="LA120" s="94"/>
      <c r="LB120" s="94"/>
      <c r="LD120" s="94"/>
      <c r="LE120" s="94" t="s">
        <v>26</v>
      </c>
      <c r="LG120" s="94"/>
      <c r="LH120" s="94" t="s">
        <v>41</v>
      </c>
      <c r="LI120" s="94"/>
      <c r="LJ120" s="94"/>
      <c r="LL120" s="94"/>
      <c r="LM120" s="94" t="s">
        <v>26</v>
      </c>
      <c r="LO120" s="94"/>
      <c r="LP120" s="94" t="s">
        <v>41</v>
      </c>
      <c r="LQ120" s="94"/>
      <c r="LR120" s="94"/>
      <c r="LT120" s="94"/>
      <c r="LU120" s="94" t="s">
        <v>26</v>
      </c>
      <c r="LW120" s="94"/>
      <c r="LX120" s="94" t="s">
        <v>41</v>
      </c>
      <c r="LY120" s="94"/>
      <c r="LZ120" s="94"/>
      <c r="MB120" s="94"/>
    </row>
    <row r="121" spans="1:340" s="50" customFormat="1" ht="31.5" hidden="1" customHeight="1">
      <c r="A121" s="44">
        <v>1</v>
      </c>
      <c r="B121" s="45" t="s">
        <v>193</v>
      </c>
      <c r="C121" s="46" t="s">
        <v>194</v>
      </c>
      <c r="D121" s="47" t="s">
        <v>49</v>
      </c>
      <c r="E121" s="115" t="s">
        <v>78</v>
      </c>
      <c r="F121" s="48" t="s">
        <v>24</v>
      </c>
      <c r="G121" s="145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 t="s">
        <v>25</v>
      </c>
      <c r="W121" s="94" t="s">
        <v>41</v>
      </c>
      <c r="X121" s="94"/>
      <c r="Y121" s="94"/>
      <c r="Z121" s="94" t="s">
        <v>41</v>
      </c>
      <c r="AA121" s="94"/>
      <c r="AB121" s="94" t="s">
        <v>41</v>
      </c>
      <c r="AC121" s="94"/>
      <c r="AD121" s="94" t="s">
        <v>41</v>
      </c>
      <c r="AE121" s="94"/>
      <c r="AF121" s="94"/>
      <c r="AG121" s="94" t="s">
        <v>41</v>
      </c>
      <c r="AH121" s="94"/>
      <c r="AI121" s="94"/>
      <c r="AJ121" s="94" t="s">
        <v>41</v>
      </c>
      <c r="AK121" s="94"/>
      <c r="AL121" s="94" t="s">
        <v>41</v>
      </c>
      <c r="AM121" s="94"/>
      <c r="AN121" s="94"/>
      <c r="AO121" s="94" t="s">
        <v>41</v>
      </c>
      <c r="AP121" s="94"/>
      <c r="AQ121" s="94" t="s">
        <v>41</v>
      </c>
      <c r="AR121" s="94"/>
      <c r="AS121" s="94" t="s">
        <v>41</v>
      </c>
      <c r="AT121" s="94"/>
      <c r="AU121" s="94" t="s">
        <v>41</v>
      </c>
      <c r="AV121" s="94"/>
      <c r="AX121" s="94" t="s">
        <v>41</v>
      </c>
      <c r="AY121" s="131"/>
      <c r="AZ121" s="131"/>
      <c r="BA121" s="131"/>
      <c r="BB121" s="131"/>
      <c r="BC121" s="131"/>
      <c r="BD121" s="131"/>
      <c r="BE121" s="131"/>
      <c r="BF121" s="131"/>
      <c r="BG121" s="131"/>
      <c r="BH121" s="131"/>
      <c r="BI121" s="131"/>
      <c r="BJ121" s="131"/>
      <c r="BK121" s="131"/>
      <c r="BL121" s="131"/>
      <c r="BM121" s="131"/>
      <c r="BN121" s="131"/>
      <c r="BO121" s="131"/>
      <c r="BP121" s="131"/>
      <c r="BQ121" s="131"/>
      <c r="BR121" s="131"/>
      <c r="BS121" s="131"/>
      <c r="BT121" s="131"/>
      <c r="BU121" s="131"/>
      <c r="BV121" s="131"/>
      <c r="BW121" s="131"/>
      <c r="BX121" s="131"/>
      <c r="BY121" s="131"/>
      <c r="BZ121" s="131"/>
      <c r="CA121" s="131"/>
      <c r="CB121" s="131"/>
      <c r="CC121" s="131"/>
      <c r="CD121" s="131"/>
      <c r="CE121" s="131"/>
      <c r="CF121" s="131"/>
      <c r="CG121" s="131"/>
      <c r="CH121" s="131"/>
      <c r="CI121" s="131"/>
      <c r="CJ121" s="131"/>
      <c r="CK121" s="131"/>
      <c r="CL121" s="131"/>
      <c r="CM121" s="131"/>
      <c r="CN121" s="131"/>
      <c r="CP121" s="94" t="s">
        <v>26</v>
      </c>
      <c r="CQ121" s="94" t="s">
        <v>26</v>
      </c>
      <c r="CR121" s="94"/>
      <c r="CS121" s="94" t="s">
        <v>41</v>
      </c>
      <c r="CT121" s="94"/>
      <c r="CU121" s="94" t="s">
        <v>41</v>
      </c>
      <c r="CV121" s="94"/>
      <c r="CW121" s="94"/>
      <c r="CX121" s="94"/>
      <c r="CY121" s="94"/>
      <c r="CZ121" s="94" t="s">
        <v>26</v>
      </c>
      <c r="DA121" s="94" t="s">
        <v>80</v>
      </c>
      <c r="DB121" s="94" t="s">
        <v>26</v>
      </c>
      <c r="DC121" s="94" t="s">
        <v>80</v>
      </c>
      <c r="DD121" s="94" t="s">
        <v>26</v>
      </c>
      <c r="DE121" s="94" t="s">
        <v>26</v>
      </c>
      <c r="DF121" s="94" t="s">
        <v>80</v>
      </c>
      <c r="DG121" s="94" t="s">
        <v>26</v>
      </c>
      <c r="DH121" s="94" t="s">
        <v>26</v>
      </c>
      <c r="DI121" s="94" t="s">
        <v>26</v>
      </c>
      <c r="DJ121" s="94" t="s">
        <v>26</v>
      </c>
      <c r="DK121" s="94" t="s">
        <v>80</v>
      </c>
      <c r="DL121" s="94" t="s">
        <v>26</v>
      </c>
      <c r="DM121" s="94" t="s">
        <v>26</v>
      </c>
      <c r="DN121" s="94"/>
      <c r="DO121" s="94" t="s">
        <v>26</v>
      </c>
      <c r="DP121" s="94" t="s">
        <v>80</v>
      </c>
      <c r="DQ121" s="94" t="s">
        <v>26</v>
      </c>
      <c r="DR121" s="94" t="s">
        <v>26</v>
      </c>
      <c r="DS121" s="94"/>
      <c r="DT121" s="94"/>
      <c r="DU121" s="94"/>
      <c r="DV121" s="94"/>
      <c r="DW121" s="94" t="s">
        <v>41</v>
      </c>
      <c r="DX121" s="94"/>
      <c r="DY121" s="94" t="s">
        <v>41</v>
      </c>
      <c r="DZ121" s="94"/>
      <c r="EA121" s="94" t="s">
        <v>41</v>
      </c>
      <c r="EB121" s="94"/>
      <c r="EC121" s="94"/>
      <c r="ED121" s="94" t="s">
        <v>41</v>
      </c>
      <c r="EE121" s="94" t="s">
        <v>41</v>
      </c>
      <c r="EF121" s="94" t="s">
        <v>41</v>
      </c>
      <c r="EG121" s="94" t="s">
        <v>41</v>
      </c>
      <c r="EH121" s="94"/>
      <c r="EI121" s="94"/>
      <c r="EJ121" s="94" t="s">
        <v>41</v>
      </c>
      <c r="EK121" s="94" t="s">
        <v>106</v>
      </c>
      <c r="EL121" s="94" t="s">
        <v>41</v>
      </c>
      <c r="EM121" s="131"/>
      <c r="EN121" s="131"/>
      <c r="EO121" s="131"/>
      <c r="EP121" s="131"/>
      <c r="EQ121" s="131"/>
      <c r="ER121" s="131"/>
      <c r="ES121" s="131"/>
      <c r="ET121" s="131"/>
      <c r="EU121" s="131"/>
      <c r="EV121" s="131"/>
      <c r="EW121" s="131"/>
      <c r="EX121" s="131"/>
      <c r="EY121" s="131"/>
      <c r="EZ121" s="131"/>
      <c r="FA121" s="131"/>
      <c r="FB121" s="131"/>
      <c r="FC121" s="131"/>
      <c r="FD121" s="131"/>
      <c r="FE121" s="131"/>
      <c r="FF121" s="131"/>
      <c r="FG121" s="131"/>
      <c r="FH121" s="131"/>
      <c r="FI121" s="131"/>
      <c r="FJ121" s="131"/>
      <c r="FK121" s="131"/>
      <c r="FL121" s="131"/>
      <c r="FM121" s="131"/>
      <c r="FN121" s="131"/>
      <c r="FO121" s="131"/>
      <c r="FP121" s="131"/>
      <c r="FQ121" s="131"/>
      <c r="FR121" s="131"/>
      <c r="FS121" s="131"/>
      <c r="FT121" s="131"/>
      <c r="FU121" s="131"/>
      <c r="FV121" s="131"/>
      <c r="FW121" s="131"/>
      <c r="FX121" s="131"/>
      <c r="FY121" s="131"/>
      <c r="FZ121" s="131"/>
      <c r="GA121" s="131"/>
      <c r="GB121" s="131"/>
      <c r="GC121" s="131"/>
      <c r="GD121" s="131"/>
      <c r="GE121" s="131"/>
      <c r="GF121" s="131"/>
      <c r="GG121" s="131"/>
      <c r="GH121" s="131"/>
      <c r="GI121" s="131"/>
      <c r="GJ121" s="94"/>
      <c r="GK121" s="94" t="s">
        <v>41</v>
      </c>
      <c r="GL121" s="94"/>
      <c r="GM121" s="94" t="s">
        <v>41</v>
      </c>
      <c r="GN121" s="94"/>
      <c r="GO121" s="94" t="s">
        <v>41</v>
      </c>
      <c r="GP121" s="94"/>
      <c r="GQ121" s="94" t="s">
        <v>41</v>
      </c>
      <c r="GR121" s="94"/>
      <c r="GS121" s="94" t="s">
        <v>41</v>
      </c>
      <c r="GT121" s="94"/>
      <c r="GU121" s="94" t="s">
        <v>41</v>
      </c>
      <c r="GV121" s="94"/>
      <c r="GW121" s="94" t="s">
        <v>41</v>
      </c>
      <c r="GX121" s="94"/>
      <c r="GY121" s="94" t="s">
        <v>41</v>
      </c>
      <c r="GZ121" s="94"/>
      <c r="HA121" s="94"/>
      <c r="HB121" s="94" t="s">
        <v>41</v>
      </c>
      <c r="HC121" s="94"/>
      <c r="HD121" s="94" t="s">
        <v>41</v>
      </c>
      <c r="HE121" s="94"/>
      <c r="HF121" s="94" t="s">
        <v>41</v>
      </c>
      <c r="HG121" s="94"/>
      <c r="HH121" s="131" t="s">
        <v>41</v>
      </c>
      <c r="HI121" s="131"/>
      <c r="HJ121" s="131"/>
      <c r="HK121" s="131"/>
      <c r="HL121" s="131"/>
      <c r="HM121" s="131"/>
      <c r="HN121" s="131"/>
      <c r="HO121" s="131"/>
      <c r="HP121" s="131"/>
      <c r="HQ121" s="131"/>
      <c r="HR121" s="131"/>
      <c r="HS121" s="131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V121" s="131"/>
      <c r="IW121" s="131"/>
      <c r="IX121" s="94"/>
      <c r="IY121" s="94"/>
      <c r="IZ121" s="94"/>
      <c r="JA121" s="94"/>
      <c r="JB121" s="94" t="s">
        <v>26</v>
      </c>
      <c r="JC121" s="94" t="s">
        <v>26</v>
      </c>
      <c r="JD121" s="94" t="s">
        <v>26</v>
      </c>
      <c r="JE121" s="94" t="s">
        <v>26</v>
      </c>
      <c r="JF121" s="94" t="s">
        <v>26</v>
      </c>
      <c r="JG121" s="94" t="s">
        <v>26</v>
      </c>
      <c r="JH121" s="94" t="s">
        <v>26</v>
      </c>
      <c r="JI121" s="94" t="s">
        <v>26</v>
      </c>
      <c r="JJ121" s="94" t="s">
        <v>26</v>
      </c>
      <c r="JK121" s="94" t="s">
        <v>26</v>
      </c>
      <c r="JL121" s="94"/>
      <c r="JM121" s="94" t="s">
        <v>41</v>
      </c>
      <c r="JN121" s="94"/>
      <c r="JO121" s="94" t="s">
        <v>41</v>
      </c>
      <c r="JP121" s="94"/>
      <c r="JQ121" s="94" t="s">
        <v>41</v>
      </c>
      <c r="JR121" s="94"/>
      <c r="JS121" s="94" t="s">
        <v>41</v>
      </c>
      <c r="JT121" s="94"/>
      <c r="JU121" s="94" t="s">
        <v>41</v>
      </c>
      <c r="JV121" s="131"/>
      <c r="JW121" s="131"/>
      <c r="JX121" s="131"/>
      <c r="JY121" s="131"/>
      <c r="JZ121" s="131"/>
      <c r="KA121" s="131"/>
      <c r="KB121" s="131"/>
      <c r="KC121" s="131"/>
      <c r="KD121" s="131"/>
      <c r="KE121" s="131"/>
      <c r="KF121" s="131"/>
      <c r="KG121" s="131"/>
      <c r="KH121" s="131"/>
      <c r="KI121" s="131"/>
      <c r="KJ121" s="131"/>
      <c r="KK121" s="131"/>
      <c r="KL121" s="94"/>
      <c r="KM121" s="94" t="s">
        <v>41</v>
      </c>
      <c r="KN121" s="94"/>
      <c r="KO121" s="94" t="s">
        <v>41</v>
      </c>
      <c r="KP121" s="94"/>
      <c r="KQ121" s="94" t="s">
        <v>41</v>
      </c>
      <c r="KR121" s="94"/>
      <c r="KS121" s="94" t="s">
        <v>41</v>
      </c>
      <c r="KT121" s="94"/>
      <c r="KU121" s="94" t="s">
        <v>41</v>
      </c>
      <c r="KV121" s="131"/>
      <c r="KW121" s="131"/>
      <c r="KX121" s="131"/>
      <c r="KY121" s="131"/>
      <c r="KZ121" s="131"/>
      <c r="LA121" s="131"/>
      <c r="LB121" s="131"/>
      <c r="LC121" s="131"/>
      <c r="LD121" s="131"/>
      <c r="LE121" s="131"/>
      <c r="LF121" s="131"/>
      <c r="LG121" s="131"/>
      <c r="LH121" s="131"/>
      <c r="LI121" s="131"/>
      <c r="LJ121" s="131"/>
      <c r="LK121" s="131"/>
      <c r="LL121" s="131"/>
      <c r="LM121" s="131"/>
      <c r="LN121" s="131"/>
      <c r="LO121" s="131"/>
      <c r="LP121" s="131"/>
      <c r="LQ121" s="131"/>
      <c r="LR121" s="131"/>
      <c r="LS121" s="131"/>
      <c r="LT121" s="131"/>
      <c r="LU121" s="131"/>
      <c r="LV121" s="131"/>
      <c r="LW121" s="131"/>
      <c r="LX121" s="131"/>
      <c r="LY121" s="131"/>
      <c r="LZ121" s="131"/>
      <c r="MA121" s="131"/>
      <c r="MB121" s="131"/>
    </row>
    <row r="122" spans="1:340" s="50" customFormat="1" ht="31.5" hidden="1" customHeight="1" thickBot="1">
      <c r="A122" s="44">
        <v>1</v>
      </c>
      <c r="B122" s="45" t="s">
        <v>188</v>
      </c>
      <c r="C122" s="46" t="s">
        <v>195</v>
      </c>
      <c r="D122" s="47" t="s">
        <v>49</v>
      </c>
      <c r="E122" s="115" t="s">
        <v>78</v>
      </c>
      <c r="F122" s="48" t="s">
        <v>24</v>
      </c>
      <c r="G122" s="145"/>
      <c r="H122" s="131"/>
      <c r="I122" s="131"/>
      <c r="J122" s="131"/>
      <c r="K122" s="131"/>
      <c r="L122" s="131" t="s">
        <v>26</v>
      </c>
      <c r="M122" s="131" t="s">
        <v>26</v>
      </c>
      <c r="N122" s="94"/>
      <c r="O122" s="131" t="s">
        <v>26</v>
      </c>
      <c r="P122" s="131" t="s">
        <v>26</v>
      </c>
      <c r="Q122" s="131" t="s">
        <v>80</v>
      </c>
      <c r="R122" s="131" t="s">
        <v>26</v>
      </c>
      <c r="S122" s="94"/>
      <c r="T122" s="94"/>
      <c r="U122" s="94" t="s">
        <v>41</v>
      </c>
      <c r="V122" s="94" t="s">
        <v>106</v>
      </c>
      <c r="W122" s="94" t="s">
        <v>41</v>
      </c>
      <c r="X122" s="94"/>
      <c r="Y122" s="94"/>
      <c r="Z122" s="94" t="s">
        <v>41</v>
      </c>
      <c r="AA122" s="94"/>
      <c r="AB122" s="94" t="s">
        <v>41</v>
      </c>
      <c r="AC122" s="94"/>
      <c r="AD122" s="94" t="s">
        <v>41</v>
      </c>
      <c r="AE122" s="131"/>
      <c r="AF122" s="131"/>
      <c r="AG122" s="131"/>
      <c r="AH122" s="131"/>
      <c r="AI122" s="131"/>
      <c r="AJ122" s="131"/>
      <c r="AK122" s="131"/>
      <c r="AL122" s="131"/>
      <c r="AM122" s="131"/>
      <c r="AN122" s="131"/>
      <c r="AO122" s="131"/>
      <c r="AP122" s="131"/>
      <c r="AQ122" s="131"/>
      <c r="AR122" s="131"/>
      <c r="AS122" s="131"/>
      <c r="AT122" s="131"/>
      <c r="AU122" s="131"/>
      <c r="AV122" s="94"/>
      <c r="AW122" s="94" t="s">
        <v>41</v>
      </c>
      <c r="AX122" s="94"/>
      <c r="AY122" s="94" t="s">
        <v>41</v>
      </c>
      <c r="BA122" s="94" t="s">
        <v>41</v>
      </c>
      <c r="BB122" s="94"/>
      <c r="BC122" s="94" t="s">
        <v>41</v>
      </c>
      <c r="BD122" s="94"/>
      <c r="BE122" s="94" t="s">
        <v>41</v>
      </c>
      <c r="BF122" s="142"/>
      <c r="BG122" s="142"/>
      <c r="BH122" s="142"/>
      <c r="BI122" s="142"/>
      <c r="BJ122" s="131"/>
      <c r="BK122" s="131"/>
      <c r="BL122" s="131"/>
      <c r="BM122" s="131"/>
      <c r="BN122" s="131"/>
      <c r="BO122" s="131"/>
      <c r="BP122" s="131"/>
      <c r="BQ122" s="131"/>
      <c r="BR122" s="131"/>
      <c r="BS122" s="131"/>
      <c r="BT122" s="131"/>
      <c r="BU122" s="131"/>
      <c r="BV122" s="94"/>
      <c r="BW122" s="94"/>
      <c r="BY122" s="94" t="s">
        <v>26</v>
      </c>
      <c r="BZ122" s="94"/>
      <c r="CA122" s="94"/>
      <c r="CB122" s="94" t="s">
        <v>26</v>
      </c>
      <c r="CC122" s="94"/>
      <c r="CD122" s="94" t="s">
        <v>26</v>
      </c>
      <c r="CE122" s="94" t="s">
        <v>26</v>
      </c>
      <c r="CF122" s="94" t="s">
        <v>106</v>
      </c>
      <c r="CG122" s="94" t="s">
        <v>26</v>
      </c>
      <c r="CH122" s="94" t="s">
        <v>26</v>
      </c>
      <c r="CI122" s="94" t="s">
        <v>106</v>
      </c>
      <c r="CJ122" s="94" t="s">
        <v>26</v>
      </c>
      <c r="CK122" s="94" t="s">
        <v>26</v>
      </c>
      <c r="CL122" s="94" t="s">
        <v>26</v>
      </c>
      <c r="CM122" s="94" t="s">
        <v>26</v>
      </c>
      <c r="CN122" s="49"/>
      <c r="CO122" s="49" t="s">
        <v>26</v>
      </c>
      <c r="CP122" s="49" t="s">
        <v>26</v>
      </c>
      <c r="CQ122" s="49" t="s">
        <v>26</v>
      </c>
      <c r="CR122" s="94" t="s">
        <v>26</v>
      </c>
      <c r="CT122" s="94" t="s">
        <v>41</v>
      </c>
      <c r="CU122" s="94"/>
      <c r="CV122" s="94" t="s">
        <v>41</v>
      </c>
      <c r="CW122" s="94"/>
      <c r="CX122" s="94" t="s">
        <v>41</v>
      </c>
      <c r="CY122" s="94"/>
      <c r="CZ122" s="94" t="s">
        <v>41</v>
      </c>
      <c r="DA122" s="94"/>
      <c r="DB122" s="94"/>
      <c r="DC122" s="94" t="s">
        <v>41</v>
      </c>
      <c r="DD122" s="94"/>
      <c r="DE122" s="94"/>
      <c r="DF122" s="94" t="s">
        <v>41</v>
      </c>
      <c r="DG122" s="131"/>
      <c r="DH122" s="131"/>
      <c r="DI122" s="131"/>
      <c r="DJ122" s="131"/>
      <c r="DK122" s="131"/>
      <c r="DL122" s="131"/>
      <c r="DM122" s="131"/>
      <c r="DN122" s="131"/>
      <c r="DO122" s="131"/>
      <c r="DP122" s="131"/>
      <c r="DQ122" s="131"/>
      <c r="DR122" s="131"/>
      <c r="DS122" s="131"/>
      <c r="DT122" s="131"/>
      <c r="DU122" s="131"/>
      <c r="DV122" s="131"/>
      <c r="DW122" s="131"/>
      <c r="DX122" s="131"/>
      <c r="DY122" s="131"/>
      <c r="DZ122" s="131"/>
      <c r="EA122" s="94" t="s">
        <v>41</v>
      </c>
      <c r="EB122" s="94" t="s">
        <v>41</v>
      </c>
      <c r="EC122" s="94"/>
      <c r="ED122" s="94"/>
      <c r="EE122" s="94" t="s">
        <v>41</v>
      </c>
      <c r="EF122" s="94" t="s">
        <v>41</v>
      </c>
      <c r="EG122" s="94" t="s">
        <v>41</v>
      </c>
      <c r="EH122" s="94" t="s">
        <v>41</v>
      </c>
      <c r="EI122" s="94" t="s">
        <v>106</v>
      </c>
      <c r="EJ122" s="94"/>
      <c r="EK122" s="131"/>
      <c r="EL122" s="131"/>
      <c r="EM122" s="131"/>
      <c r="EN122" s="131"/>
      <c r="EO122" s="131"/>
      <c r="EP122" s="131"/>
      <c r="EQ122" s="131"/>
      <c r="ER122" s="131"/>
      <c r="ES122" s="131"/>
      <c r="ET122" s="131"/>
      <c r="EU122" s="131"/>
      <c r="EV122" s="131"/>
      <c r="EW122" s="131"/>
      <c r="EX122" s="131"/>
      <c r="EY122" s="131"/>
      <c r="EZ122" s="131"/>
      <c r="FA122" s="131"/>
      <c r="FB122" s="131"/>
      <c r="FC122" s="131"/>
      <c r="FD122" s="131"/>
      <c r="FE122" s="131"/>
      <c r="FG122" s="94" t="s">
        <v>26</v>
      </c>
      <c r="FH122" s="94" t="s">
        <v>80</v>
      </c>
      <c r="FI122" s="94" t="s">
        <v>26</v>
      </c>
      <c r="FJ122" s="94" t="s">
        <v>80</v>
      </c>
      <c r="FK122" s="94" t="s">
        <v>26</v>
      </c>
      <c r="FL122" s="94" t="s">
        <v>80</v>
      </c>
      <c r="FM122" s="94" t="s">
        <v>80</v>
      </c>
      <c r="FN122" s="94" t="s">
        <v>26</v>
      </c>
      <c r="FO122" s="94" t="s">
        <v>80</v>
      </c>
      <c r="FP122" s="94" t="s">
        <v>26</v>
      </c>
      <c r="FQ122" s="94" t="s">
        <v>80</v>
      </c>
      <c r="FR122" s="94" t="s">
        <v>26</v>
      </c>
      <c r="FS122" s="94" t="s">
        <v>26</v>
      </c>
      <c r="FT122" s="94" t="s">
        <v>80</v>
      </c>
      <c r="FU122" s="94" t="s">
        <v>26</v>
      </c>
      <c r="FV122" s="94" t="s">
        <v>26</v>
      </c>
      <c r="FW122" s="94"/>
      <c r="FX122" s="94" t="s">
        <v>41</v>
      </c>
      <c r="FZ122" s="94"/>
      <c r="GA122" s="94" t="s">
        <v>41</v>
      </c>
      <c r="GC122" s="94" t="s">
        <v>41</v>
      </c>
      <c r="GE122" s="94" t="s">
        <v>41</v>
      </c>
      <c r="GF122" s="94"/>
      <c r="GG122" s="94" t="s">
        <v>41</v>
      </c>
      <c r="GH122" s="94"/>
      <c r="GI122" s="94" t="s">
        <v>41</v>
      </c>
      <c r="GJ122" s="94"/>
      <c r="GK122" s="94" t="s">
        <v>41</v>
      </c>
      <c r="GL122" s="94"/>
      <c r="GN122" s="94"/>
      <c r="GO122" s="94"/>
      <c r="GP122" s="94"/>
      <c r="GQ122" s="94" t="s">
        <v>41</v>
      </c>
      <c r="GS122" s="94"/>
      <c r="GT122" s="94" t="s">
        <v>41</v>
      </c>
      <c r="GV122" s="94"/>
      <c r="GW122" s="94" t="s">
        <v>41</v>
      </c>
      <c r="GY122" s="94" t="s">
        <v>41</v>
      </c>
      <c r="GZ122" s="131"/>
      <c r="HA122" s="160"/>
      <c r="HB122" s="131"/>
      <c r="HC122" s="131"/>
      <c r="HD122" s="160"/>
      <c r="HE122" s="131"/>
      <c r="HF122" s="131"/>
      <c r="HG122" s="160"/>
      <c r="HH122" s="131"/>
      <c r="HI122" s="131"/>
      <c r="HJ122" s="160"/>
      <c r="HK122" s="131"/>
      <c r="HL122" s="131"/>
      <c r="HM122" s="160"/>
      <c r="HN122" s="131"/>
      <c r="HO122" s="131"/>
      <c r="HP122" s="160"/>
      <c r="HQ122" s="131"/>
      <c r="HR122" s="131"/>
      <c r="HS122" s="160"/>
      <c r="HT122" s="131"/>
      <c r="HU122" s="131"/>
      <c r="HV122" s="160"/>
      <c r="HW122" s="131"/>
      <c r="HX122" s="131"/>
      <c r="HY122" s="160"/>
      <c r="HZ122" s="131"/>
      <c r="IA122" s="131"/>
      <c r="IB122" s="160"/>
      <c r="IC122" s="131"/>
      <c r="ID122" s="131"/>
      <c r="IE122" s="160"/>
      <c r="IF122" s="131"/>
      <c r="IG122" s="131"/>
      <c r="IH122" s="160"/>
      <c r="II122" s="131"/>
      <c r="IJ122" s="131"/>
      <c r="IK122" s="94" t="s">
        <v>41</v>
      </c>
      <c r="IM122" s="94"/>
      <c r="IN122" s="94" t="s">
        <v>41</v>
      </c>
      <c r="IP122" s="94"/>
      <c r="IQ122" s="94" t="s">
        <v>41</v>
      </c>
      <c r="IS122" s="94"/>
      <c r="IT122" s="94" t="s">
        <v>41</v>
      </c>
      <c r="IV122" s="94"/>
      <c r="IW122" s="94" t="s">
        <v>41</v>
      </c>
      <c r="IY122" s="94"/>
      <c r="IZ122" s="94" t="s">
        <v>41</v>
      </c>
      <c r="JA122" s="94"/>
      <c r="JB122" s="94"/>
      <c r="JC122" s="94" t="s">
        <v>41</v>
      </c>
      <c r="JE122" s="94"/>
      <c r="JF122" s="94" t="s">
        <v>41</v>
      </c>
      <c r="JH122" s="94"/>
      <c r="JI122" s="94" t="s">
        <v>41</v>
      </c>
      <c r="JK122" s="94"/>
      <c r="JL122" s="94" t="s">
        <v>41</v>
      </c>
      <c r="JN122" s="94"/>
      <c r="JO122" s="94" t="s">
        <v>41</v>
      </c>
      <c r="JQ122" s="94"/>
      <c r="JR122" s="94" t="s">
        <v>41</v>
      </c>
      <c r="JS122" s="131"/>
      <c r="JT122" s="131"/>
      <c r="JU122" s="131"/>
      <c r="JV122" s="131"/>
      <c r="JW122" s="131"/>
      <c r="JX122" s="131"/>
      <c r="JY122" s="131"/>
      <c r="JZ122" s="131"/>
      <c r="KA122" s="131"/>
      <c r="KB122" s="131"/>
      <c r="KC122" s="131"/>
      <c r="KD122" s="131"/>
      <c r="KE122" s="131"/>
      <c r="KF122" s="131"/>
      <c r="KG122" s="131"/>
      <c r="KH122" s="131"/>
      <c r="KI122" s="131"/>
      <c r="KJ122" s="131"/>
      <c r="KK122" s="131"/>
      <c r="KL122" s="131"/>
      <c r="KM122" s="131"/>
      <c r="KN122" s="131"/>
      <c r="KO122" s="131"/>
      <c r="KP122" s="131"/>
      <c r="KQ122" s="131"/>
      <c r="KR122" s="131"/>
      <c r="KS122" s="131"/>
      <c r="KT122" s="131"/>
      <c r="KU122" s="131"/>
      <c r="KV122" s="131"/>
      <c r="KW122" s="131"/>
      <c r="KX122" s="131"/>
      <c r="KY122" s="131"/>
      <c r="KZ122" s="131"/>
      <c r="LA122" s="131"/>
      <c r="LB122" s="131"/>
      <c r="LC122" s="131"/>
      <c r="LD122" s="131"/>
      <c r="LE122" s="131"/>
      <c r="LF122" s="131"/>
      <c r="LG122" s="131"/>
      <c r="LH122" s="131"/>
      <c r="LI122" s="131"/>
      <c r="LJ122" s="131"/>
      <c r="LK122" s="131"/>
      <c r="LL122" s="131"/>
      <c r="LM122" s="131"/>
      <c r="LN122" s="131"/>
      <c r="LO122" s="131"/>
      <c r="LP122" s="131"/>
      <c r="LQ122" s="131"/>
      <c r="LR122" s="131"/>
      <c r="LS122" s="131"/>
      <c r="LT122" s="131"/>
      <c r="LU122" s="131"/>
      <c r="LV122" s="131"/>
      <c r="LW122" s="131"/>
      <c r="LX122" s="131"/>
      <c r="LY122" s="131"/>
      <c r="LZ122" s="131"/>
      <c r="MA122" s="131"/>
      <c r="MB122" s="131"/>
    </row>
    <row r="123" spans="1:340" s="50" customFormat="1" ht="31.5" customHeight="1" thickBot="1">
      <c r="A123" s="44"/>
      <c r="B123" s="45"/>
      <c r="C123" s="52"/>
      <c r="D123" s="47"/>
      <c r="E123" s="115"/>
      <c r="F123" s="48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  <c r="AT123" s="49"/>
      <c r="AU123" s="49"/>
      <c r="AV123" s="49"/>
      <c r="AW123" s="49"/>
      <c r="AX123" s="49"/>
      <c r="AY123" s="49"/>
      <c r="AZ123" s="49"/>
      <c r="BA123" s="49"/>
      <c r="BB123" s="49"/>
      <c r="BC123" s="49"/>
      <c r="BD123" s="49"/>
      <c r="BE123" s="49"/>
      <c r="BF123" s="49"/>
      <c r="BG123" s="49"/>
      <c r="BH123" s="49"/>
      <c r="BI123" s="49"/>
      <c r="BJ123" s="49"/>
      <c r="BK123" s="49"/>
      <c r="BL123" s="49"/>
      <c r="BM123" s="49"/>
      <c r="BN123" s="49"/>
      <c r="BO123" s="49"/>
      <c r="BP123" s="49"/>
      <c r="BQ123" s="49"/>
      <c r="BR123" s="49"/>
      <c r="BS123" s="49"/>
      <c r="BT123" s="49"/>
      <c r="BU123" s="49"/>
      <c r="BV123" s="49"/>
      <c r="BW123" s="49"/>
      <c r="BX123" s="49"/>
      <c r="BY123" s="49"/>
      <c r="BZ123" s="49"/>
      <c r="CA123" s="49"/>
      <c r="CB123" s="49"/>
      <c r="CC123" s="49"/>
      <c r="CD123" s="49"/>
      <c r="CE123" s="49"/>
      <c r="CF123" s="49"/>
      <c r="CG123" s="49"/>
      <c r="CH123" s="49"/>
      <c r="CI123" s="49"/>
      <c r="CJ123" s="49"/>
      <c r="CK123" s="49"/>
      <c r="CL123" s="49"/>
      <c r="CM123" s="49"/>
      <c r="CN123" s="49"/>
      <c r="CO123" s="49"/>
      <c r="CP123" s="49"/>
      <c r="CQ123" s="49"/>
      <c r="CR123" s="49"/>
      <c r="CS123" s="49"/>
      <c r="CT123" s="49"/>
      <c r="CU123" s="49"/>
      <c r="CV123" s="49"/>
      <c r="CW123" s="49"/>
      <c r="CX123" s="49"/>
      <c r="CY123" s="49"/>
      <c r="CZ123" s="49"/>
      <c r="DA123" s="49"/>
      <c r="DB123" s="49"/>
      <c r="DC123" s="49"/>
      <c r="DD123" s="49"/>
      <c r="DE123" s="49"/>
      <c r="DF123" s="49"/>
      <c r="DG123" s="49"/>
      <c r="DH123" s="49"/>
      <c r="DI123" s="49"/>
      <c r="DJ123" s="49"/>
      <c r="DK123" s="49"/>
      <c r="DL123" s="49"/>
      <c r="DM123" s="49"/>
      <c r="DN123" s="49"/>
      <c r="DO123" s="49"/>
      <c r="DP123" s="49"/>
      <c r="DQ123" s="49"/>
      <c r="DR123" s="49"/>
      <c r="DS123" s="49"/>
      <c r="DT123" s="49"/>
      <c r="DU123" s="49"/>
      <c r="DV123" s="49"/>
      <c r="DW123" s="49"/>
      <c r="DX123" s="49"/>
      <c r="DY123" s="49"/>
      <c r="DZ123" s="49"/>
      <c r="EA123" s="49"/>
      <c r="EB123" s="49"/>
      <c r="EC123" s="49"/>
      <c r="ED123" s="49"/>
      <c r="EE123" s="49"/>
      <c r="EF123" s="49"/>
      <c r="EG123" s="49"/>
      <c r="EH123" s="49"/>
      <c r="EI123" s="49"/>
      <c r="EJ123" s="49"/>
      <c r="EK123" s="49"/>
      <c r="EL123" s="49"/>
      <c r="EM123" s="49"/>
      <c r="EN123" s="49"/>
      <c r="EO123" s="49"/>
      <c r="EP123" s="49"/>
      <c r="EQ123" s="49"/>
      <c r="ER123" s="49"/>
      <c r="ES123" s="49"/>
      <c r="ET123" s="49"/>
      <c r="EU123" s="49"/>
      <c r="EV123" s="49"/>
      <c r="EW123" s="49"/>
      <c r="EX123" s="49"/>
      <c r="EY123" s="49"/>
      <c r="EZ123" s="49"/>
      <c r="FA123" s="49"/>
      <c r="FB123" s="49"/>
      <c r="FC123" s="49"/>
      <c r="FD123" s="49"/>
      <c r="FE123" s="49"/>
      <c r="FF123" s="49"/>
      <c r="FG123" s="49"/>
      <c r="FH123" s="49"/>
      <c r="FI123" s="49"/>
      <c r="FJ123" s="49"/>
      <c r="FK123" s="49"/>
      <c r="FL123" s="49"/>
      <c r="FM123" s="49"/>
      <c r="FN123" s="49"/>
      <c r="FO123" s="49"/>
      <c r="FP123" s="49"/>
      <c r="FQ123" s="49"/>
      <c r="FR123" s="49"/>
      <c r="FS123" s="49"/>
      <c r="FT123" s="49"/>
      <c r="FU123" s="49"/>
      <c r="FV123" s="49"/>
      <c r="FW123" s="49"/>
      <c r="FX123" s="49"/>
      <c r="FY123" s="49"/>
      <c r="FZ123" s="49"/>
      <c r="GA123" s="49"/>
      <c r="GB123" s="49"/>
      <c r="GC123" s="49"/>
      <c r="GD123" s="49"/>
      <c r="GE123" s="49"/>
      <c r="GF123" s="49"/>
      <c r="GG123" s="49"/>
      <c r="GH123" s="49"/>
      <c r="GI123" s="49"/>
      <c r="GJ123" s="49"/>
      <c r="GK123" s="49"/>
      <c r="GL123" s="49"/>
      <c r="GM123" s="49"/>
      <c r="GN123" s="49"/>
      <c r="GO123" s="49"/>
      <c r="GP123" s="49"/>
      <c r="GQ123" s="49"/>
      <c r="GR123" s="49"/>
      <c r="GS123" s="49"/>
      <c r="GT123" s="49"/>
      <c r="GU123" s="49"/>
      <c r="GV123" s="49"/>
      <c r="GW123" s="49"/>
      <c r="GX123" s="49"/>
      <c r="GY123" s="49"/>
      <c r="GZ123" s="49"/>
      <c r="HA123" s="49"/>
      <c r="HB123" s="49"/>
      <c r="HC123" s="49"/>
      <c r="HD123" s="49"/>
      <c r="HE123" s="49"/>
      <c r="HF123" s="49"/>
      <c r="HG123" s="49"/>
      <c r="HH123" s="49"/>
      <c r="HI123" s="49"/>
      <c r="HJ123" s="49"/>
      <c r="HK123" s="49"/>
      <c r="HL123" s="49"/>
      <c r="HM123" s="49"/>
      <c r="HN123" s="49"/>
      <c r="HO123" s="49"/>
      <c r="HP123" s="49"/>
      <c r="HQ123" s="49"/>
      <c r="HR123" s="49"/>
      <c r="HS123" s="49"/>
      <c r="HT123" s="49"/>
      <c r="HU123" s="49"/>
      <c r="HV123" s="49"/>
      <c r="HW123" s="49"/>
      <c r="HX123" s="49"/>
      <c r="HY123" s="49"/>
      <c r="HZ123" s="49"/>
      <c r="IA123" s="49"/>
      <c r="IB123" s="49"/>
      <c r="IC123" s="49"/>
      <c r="ID123" s="49"/>
      <c r="IE123" s="49"/>
      <c r="IF123" s="49"/>
      <c r="IG123" s="49"/>
      <c r="IH123" s="49"/>
      <c r="II123" s="49"/>
      <c r="IJ123" s="49"/>
      <c r="IK123" s="49"/>
      <c r="IL123" s="49"/>
      <c r="IM123" s="49"/>
      <c r="IN123" s="49"/>
      <c r="IO123" s="49"/>
      <c r="IP123" s="49"/>
      <c r="IQ123" s="49"/>
      <c r="IR123" s="49"/>
      <c r="IS123" s="49"/>
      <c r="IT123" s="49"/>
      <c r="IU123" s="49"/>
      <c r="IV123" s="49"/>
      <c r="IW123" s="49"/>
      <c r="IX123" s="49"/>
      <c r="IY123" s="49"/>
      <c r="IZ123" s="49"/>
      <c r="JA123" s="49"/>
      <c r="JB123" s="49"/>
      <c r="JC123" s="49"/>
      <c r="JD123" s="49"/>
      <c r="JE123" s="49"/>
      <c r="JF123" s="49"/>
      <c r="JG123" s="49"/>
      <c r="JH123" s="49"/>
      <c r="JI123" s="49"/>
      <c r="JJ123" s="49"/>
      <c r="JK123" s="49"/>
      <c r="JL123" s="49"/>
      <c r="JM123" s="49"/>
      <c r="JN123" s="49"/>
      <c r="JO123" s="49"/>
      <c r="JP123" s="49"/>
      <c r="JQ123" s="49"/>
      <c r="JR123" s="49"/>
      <c r="JS123" s="49"/>
      <c r="JT123" s="49"/>
      <c r="JU123" s="49"/>
      <c r="JV123" s="49"/>
      <c r="JW123" s="49"/>
      <c r="JX123" s="49"/>
      <c r="JY123" s="49"/>
      <c r="JZ123" s="49"/>
      <c r="KA123" s="49"/>
      <c r="KB123" s="49"/>
      <c r="KC123" s="49"/>
      <c r="KD123" s="49"/>
      <c r="KE123" s="49"/>
      <c r="KF123" s="49"/>
      <c r="KG123" s="49"/>
      <c r="KH123" s="49"/>
      <c r="KI123" s="49"/>
      <c r="KJ123" s="49"/>
      <c r="KK123" s="49"/>
      <c r="KL123" s="49"/>
      <c r="KM123" s="49"/>
      <c r="KN123" s="49"/>
      <c r="KO123" s="49"/>
      <c r="KP123" s="49"/>
      <c r="KQ123" s="49"/>
      <c r="KR123" s="49"/>
      <c r="KS123" s="49"/>
      <c r="KT123" s="49"/>
      <c r="KU123" s="49"/>
      <c r="KV123" s="49"/>
      <c r="KW123" s="49"/>
      <c r="KX123" s="49"/>
      <c r="KY123" s="49"/>
      <c r="KZ123" s="49"/>
      <c r="LA123" s="49"/>
      <c r="LB123" s="49"/>
      <c r="LC123" s="49"/>
      <c r="LD123" s="49"/>
      <c r="LE123" s="49"/>
      <c r="LF123" s="49"/>
      <c r="LG123" s="49"/>
      <c r="LH123" s="49"/>
      <c r="LI123" s="49"/>
      <c r="LJ123" s="49"/>
      <c r="LK123" s="49"/>
      <c r="LL123" s="49"/>
      <c r="LM123" s="49"/>
      <c r="LN123" s="49"/>
      <c r="LO123" s="49"/>
      <c r="LP123" s="49"/>
      <c r="LQ123" s="49"/>
      <c r="LR123" s="49"/>
      <c r="LS123" s="49"/>
      <c r="LT123" s="49"/>
      <c r="LU123" s="49"/>
      <c r="LV123" s="49"/>
      <c r="LW123" s="49"/>
      <c r="LX123" s="49"/>
      <c r="LY123" s="49"/>
      <c r="LZ123" s="49"/>
      <c r="MA123" s="49"/>
      <c r="MB123" s="49"/>
    </row>
    <row r="124" spans="1:340" ht="31.5" customHeight="1" thickTop="1" thickBot="1">
      <c r="A124" s="110"/>
      <c r="B124" s="200" t="s">
        <v>196</v>
      </c>
      <c r="C124" s="198"/>
      <c r="D124" s="198"/>
      <c r="E124" s="198"/>
      <c r="F124" s="199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  <c r="AC124" s="111"/>
      <c r="AD124" s="111"/>
      <c r="AE124" s="111"/>
      <c r="AF124" s="111"/>
      <c r="AG124" s="111"/>
      <c r="AH124" s="111"/>
      <c r="AI124" s="111"/>
      <c r="AJ124" s="111"/>
      <c r="AK124" s="111"/>
      <c r="AL124" s="111"/>
      <c r="AM124" s="111"/>
      <c r="AN124" s="111"/>
      <c r="AO124" s="111"/>
      <c r="AP124" s="111"/>
      <c r="AQ124" s="111"/>
      <c r="AR124" s="111"/>
      <c r="AS124" s="111"/>
      <c r="AT124" s="111"/>
      <c r="AU124" s="111"/>
      <c r="AV124" s="111"/>
      <c r="AW124" s="111"/>
      <c r="AX124" s="111"/>
      <c r="AY124" s="111"/>
      <c r="AZ124" s="111"/>
      <c r="BA124" s="111"/>
      <c r="BB124" s="111"/>
      <c r="BC124" s="111"/>
      <c r="BD124" s="111"/>
      <c r="BE124" s="111"/>
      <c r="BF124" s="111"/>
      <c r="BG124" s="111"/>
      <c r="BH124" s="111"/>
      <c r="BI124" s="111"/>
      <c r="BJ124" s="111"/>
      <c r="BK124" s="111"/>
      <c r="BL124" s="111"/>
      <c r="BM124" s="111"/>
      <c r="BN124" s="111"/>
      <c r="BO124" s="111"/>
      <c r="BP124" s="111"/>
      <c r="BQ124" s="111"/>
      <c r="BR124" s="111"/>
      <c r="BS124" s="111"/>
      <c r="BT124" s="111"/>
      <c r="BU124" s="111"/>
      <c r="BV124" s="111"/>
      <c r="BW124" s="111"/>
      <c r="BX124" s="111"/>
      <c r="BY124" s="111"/>
      <c r="BZ124" s="111"/>
      <c r="CA124" s="111"/>
      <c r="CB124" s="111"/>
      <c r="CC124" s="111"/>
      <c r="CD124" s="111"/>
      <c r="CE124" s="111"/>
      <c r="CF124" s="111"/>
      <c r="CG124" s="111"/>
      <c r="CH124" s="111"/>
      <c r="CI124" s="111"/>
      <c r="CJ124" s="111"/>
      <c r="CK124" s="111"/>
      <c r="CL124" s="111"/>
      <c r="CM124" s="111"/>
      <c r="CN124" s="111"/>
      <c r="CO124" s="111"/>
      <c r="CP124" s="111"/>
      <c r="CQ124" s="111"/>
      <c r="CR124" s="111"/>
      <c r="CS124" s="111"/>
      <c r="CT124" s="111"/>
      <c r="CU124" s="111"/>
      <c r="CV124" s="111"/>
      <c r="CW124" s="111"/>
      <c r="CX124" s="111"/>
      <c r="CY124" s="111"/>
      <c r="CZ124" s="111"/>
      <c r="DA124" s="111"/>
      <c r="DB124" s="111"/>
      <c r="DC124" s="111"/>
      <c r="DD124" s="111"/>
      <c r="DE124" s="111"/>
      <c r="DF124" s="111"/>
      <c r="DG124" s="111"/>
      <c r="DH124" s="111"/>
      <c r="DI124" s="111"/>
      <c r="DJ124" s="111"/>
      <c r="DK124" s="111"/>
      <c r="DL124" s="111"/>
      <c r="DM124" s="111"/>
      <c r="DN124" s="111"/>
      <c r="DO124" s="111"/>
      <c r="DP124" s="111"/>
      <c r="DQ124" s="111"/>
      <c r="DR124" s="111"/>
      <c r="DS124" s="111"/>
      <c r="DT124" s="111"/>
      <c r="DU124" s="111"/>
      <c r="DV124" s="111"/>
      <c r="DW124" s="111"/>
      <c r="DX124" s="111"/>
      <c r="DY124" s="111"/>
      <c r="DZ124" s="111"/>
      <c r="EA124" s="111"/>
      <c r="EB124" s="111"/>
      <c r="EC124" s="111"/>
      <c r="ED124" s="111"/>
      <c r="EE124" s="111"/>
      <c r="EF124" s="111"/>
      <c r="EG124" s="111"/>
      <c r="EH124" s="111"/>
      <c r="EI124" s="111"/>
      <c r="EJ124" s="111"/>
      <c r="EK124" s="111"/>
      <c r="EL124" s="111"/>
      <c r="EM124" s="111"/>
      <c r="EN124" s="111"/>
      <c r="EO124" s="111"/>
      <c r="EP124" s="111"/>
      <c r="EQ124" s="111"/>
      <c r="ER124" s="111"/>
      <c r="ES124" s="111"/>
      <c r="ET124" s="111"/>
      <c r="EU124" s="111"/>
      <c r="EV124" s="111"/>
      <c r="EW124" s="111"/>
      <c r="EX124" s="111"/>
      <c r="EY124" s="111"/>
      <c r="EZ124" s="111"/>
      <c r="FA124" s="111"/>
      <c r="FB124" s="111"/>
      <c r="FC124" s="111"/>
      <c r="FD124" s="111"/>
      <c r="FE124" s="111"/>
      <c r="FF124" s="111"/>
      <c r="FG124" s="111"/>
      <c r="FH124" s="111"/>
      <c r="FI124" s="111"/>
      <c r="FJ124" s="111"/>
      <c r="FK124" s="111"/>
      <c r="FL124" s="111"/>
      <c r="FM124" s="111"/>
      <c r="FN124" s="111"/>
      <c r="FO124" s="111"/>
      <c r="FP124" s="111"/>
      <c r="FQ124" s="111"/>
      <c r="FR124" s="111"/>
      <c r="FS124" s="111"/>
      <c r="FT124" s="111"/>
      <c r="FU124" s="111"/>
      <c r="FV124" s="111"/>
      <c r="FW124" s="111"/>
      <c r="FX124" s="111"/>
      <c r="FY124" s="111"/>
      <c r="FZ124" s="111"/>
      <c r="GA124" s="111"/>
      <c r="GB124" s="111"/>
      <c r="GC124" s="111"/>
      <c r="GD124" s="111"/>
      <c r="GE124" s="111"/>
      <c r="GF124" s="111"/>
      <c r="GG124" s="111"/>
      <c r="GH124" s="111"/>
      <c r="GI124" s="111"/>
      <c r="GJ124" s="111"/>
      <c r="GK124" s="111"/>
      <c r="GL124" s="111"/>
      <c r="GM124" s="111"/>
      <c r="GN124" s="111"/>
      <c r="GO124" s="111"/>
      <c r="GP124" s="111"/>
      <c r="GQ124" s="111"/>
      <c r="GR124" s="111"/>
      <c r="GS124" s="111"/>
      <c r="GT124" s="111"/>
      <c r="GU124" s="111"/>
      <c r="GV124" s="111"/>
      <c r="GW124" s="111"/>
      <c r="GX124" s="111"/>
      <c r="GY124" s="111"/>
      <c r="GZ124" s="111"/>
      <c r="HA124" s="111"/>
      <c r="HB124" s="111"/>
      <c r="HC124" s="111"/>
      <c r="HD124" s="111"/>
      <c r="HE124" s="111"/>
      <c r="HF124" s="111"/>
      <c r="HG124" s="111"/>
      <c r="HH124" s="111"/>
      <c r="HI124" s="111"/>
      <c r="HJ124" s="111"/>
      <c r="HK124" s="111"/>
      <c r="HL124" s="111"/>
      <c r="HM124" s="111"/>
      <c r="HN124" s="111"/>
      <c r="HO124" s="111"/>
      <c r="HP124" s="111"/>
      <c r="HQ124" s="111"/>
      <c r="HR124" s="111"/>
      <c r="HS124" s="111"/>
      <c r="HT124" s="111"/>
      <c r="HU124" s="111"/>
      <c r="HV124" s="111"/>
      <c r="HW124" s="111"/>
      <c r="HX124" s="111"/>
      <c r="HY124" s="111"/>
      <c r="HZ124" s="111"/>
      <c r="IA124" s="111"/>
      <c r="IB124" s="111"/>
      <c r="IC124" s="111"/>
      <c r="ID124" s="111"/>
      <c r="IE124" s="111"/>
      <c r="IF124" s="111"/>
      <c r="IG124" s="111"/>
      <c r="IH124" s="111"/>
      <c r="II124" s="111"/>
      <c r="IJ124" s="111"/>
      <c r="IK124" s="111"/>
      <c r="IL124" s="111"/>
      <c r="IM124" s="111"/>
      <c r="IN124" s="111"/>
      <c r="IO124" s="111"/>
      <c r="IP124" s="111"/>
      <c r="IQ124" s="111"/>
      <c r="IR124" s="111"/>
      <c r="IS124" s="111"/>
      <c r="IT124" s="111"/>
      <c r="IU124" s="111"/>
      <c r="IV124" s="111"/>
      <c r="IW124" s="111"/>
      <c r="IX124" s="111"/>
      <c r="IY124" s="111"/>
      <c r="IZ124" s="111"/>
      <c r="JA124" s="111"/>
      <c r="JB124" s="111"/>
      <c r="JC124" s="111"/>
      <c r="JD124" s="111"/>
      <c r="JE124" s="111"/>
      <c r="JF124" s="111"/>
      <c r="JG124" s="111"/>
      <c r="JH124" s="111"/>
      <c r="JI124" s="111"/>
      <c r="JJ124" s="111"/>
      <c r="JK124" s="111"/>
      <c r="JL124" s="111"/>
      <c r="JM124" s="111"/>
      <c r="JN124" s="111"/>
      <c r="JO124" s="111"/>
      <c r="JP124" s="111"/>
      <c r="JQ124" s="111"/>
      <c r="JR124" s="111"/>
      <c r="JS124" s="111"/>
      <c r="JT124" s="111"/>
      <c r="JU124" s="111"/>
      <c r="JV124" s="111"/>
      <c r="JW124" s="111"/>
      <c r="JX124" s="111"/>
      <c r="JY124" s="111"/>
      <c r="JZ124" s="111"/>
      <c r="KA124" s="111"/>
      <c r="KB124" s="111"/>
      <c r="KC124" s="111"/>
      <c r="KD124" s="111"/>
      <c r="KE124" s="111"/>
      <c r="KF124" s="111"/>
      <c r="KG124" s="111"/>
      <c r="KH124" s="111"/>
      <c r="KI124" s="111"/>
      <c r="KJ124" s="111"/>
      <c r="KK124" s="111"/>
      <c r="KL124" s="111"/>
      <c r="KM124" s="111"/>
      <c r="KN124" s="111"/>
      <c r="KO124" s="111"/>
      <c r="KP124" s="111"/>
      <c r="KQ124" s="111"/>
      <c r="KR124" s="111"/>
      <c r="KS124" s="111"/>
      <c r="KT124" s="111"/>
      <c r="KU124" s="111"/>
      <c r="KV124" s="111"/>
      <c r="KW124" s="111"/>
      <c r="KX124" s="111"/>
      <c r="KY124" s="111"/>
      <c r="KZ124" s="111"/>
      <c r="LA124" s="111"/>
      <c r="LB124" s="111"/>
      <c r="LC124" s="111"/>
      <c r="LD124" s="111"/>
      <c r="LE124" s="111"/>
      <c r="LF124" s="111"/>
      <c r="LG124" s="111"/>
      <c r="LH124" s="111"/>
      <c r="LI124" s="111"/>
      <c r="LJ124" s="111"/>
      <c r="LK124" s="111"/>
      <c r="LL124" s="111"/>
      <c r="LM124" s="111"/>
      <c r="LN124" s="111"/>
      <c r="LO124" s="111"/>
      <c r="LP124" s="111"/>
      <c r="LQ124" s="111"/>
      <c r="LR124" s="111"/>
      <c r="LS124" s="111"/>
      <c r="LT124" s="111"/>
      <c r="LU124" s="111"/>
      <c r="LV124" s="111"/>
      <c r="LW124" s="111"/>
      <c r="LX124" s="111"/>
      <c r="LY124" s="111"/>
      <c r="LZ124" s="111"/>
      <c r="MA124" s="111"/>
      <c r="MB124" s="111"/>
    </row>
    <row r="125" spans="1:340" s="50" customFormat="1" ht="31.5" hidden="1" customHeight="1" thickBot="1">
      <c r="A125" s="44">
        <v>1</v>
      </c>
      <c r="B125" s="45" t="s">
        <v>197</v>
      </c>
      <c r="C125" s="52" t="s">
        <v>198</v>
      </c>
      <c r="D125" s="47" t="s">
        <v>49</v>
      </c>
      <c r="E125" s="115" t="s">
        <v>78</v>
      </c>
      <c r="F125" s="48" t="s">
        <v>24</v>
      </c>
      <c r="G125" s="145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  <c r="BE125" s="131"/>
      <c r="BF125" s="131"/>
      <c r="BG125" s="131"/>
      <c r="BH125" s="131"/>
      <c r="BI125" s="131"/>
      <c r="BJ125" s="131"/>
      <c r="BK125" s="131"/>
      <c r="BL125" s="131"/>
      <c r="BM125" s="131"/>
      <c r="BN125" s="131"/>
      <c r="BO125" s="131"/>
      <c r="BP125" s="131"/>
      <c r="BQ125" s="131"/>
      <c r="BR125" s="131"/>
      <c r="BS125" s="131"/>
      <c r="BT125" s="131"/>
      <c r="BU125" s="131"/>
      <c r="BV125" s="131"/>
      <c r="BW125" s="131"/>
      <c r="BX125" s="131"/>
      <c r="BY125" s="131"/>
      <c r="BZ125" s="131"/>
      <c r="CA125" s="131"/>
      <c r="CB125" s="131"/>
      <c r="CC125" s="131"/>
      <c r="CD125" s="131"/>
      <c r="CE125" s="131"/>
      <c r="CF125" s="131"/>
      <c r="CG125" s="131"/>
      <c r="CH125" s="131"/>
      <c r="CI125" s="131"/>
      <c r="CJ125" s="131"/>
      <c r="CK125" s="131"/>
      <c r="CL125" s="131"/>
      <c r="CM125" s="131"/>
      <c r="CN125" s="131"/>
      <c r="CO125" s="131"/>
      <c r="CP125" s="131"/>
      <c r="CQ125" s="131"/>
      <c r="CR125" s="131"/>
      <c r="CS125" s="131"/>
      <c r="CT125" s="131"/>
      <c r="CU125" s="131"/>
      <c r="CV125" s="131"/>
      <c r="CW125" s="131"/>
      <c r="CX125" s="131"/>
      <c r="CY125" s="131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31"/>
      <c r="DJ125" s="131"/>
      <c r="DK125" s="131"/>
      <c r="DL125" s="131"/>
      <c r="DM125" s="131"/>
      <c r="DN125" s="131"/>
      <c r="DO125" s="131"/>
      <c r="DP125" s="131"/>
      <c r="DQ125" s="131"/>
      <c r="DR125" s="131"/>
      <c r="DS125" s="131"/>
      <c r="DT125" s="131"/>
      <c r="DU125" s="131"/>
      <c r="DV125" s="131"/>
      <c r="DW125" s="131"/>
      <c r="DX125" s="131"/>
      <c r="DY125" s="131"/>
      <c r="DZ125" s="131"/>
      <c r="EA125" s="131"/>
      <c r="EB125" s="131"/>
      <c r="EC125" s="131"/>
      <c r="ED125" s="131"/>
      <c r="EE125" s="131"/>
      <c r="EF125" s="131"/>
      <c r="EG125" s="131"/>
      <c r="EH125" s="131"/>
      <c r="EI125" s="131"/>
      <c r="EJ125" s="131"/>
      <c r="EK125" s="131"/>
      <c r="EL125" s="131"/>
      <c r="EM125" s="131"/>
      <c r="EN125" s="131"/>
      <c r="EO125" s="131"/>
      <c r="EP125" s="131"/>
      <c r="EQ125" s="131"/>
      <c r="ER125" s="131"/>
      <c r="ES125" s="131"/>
      <c r="ET125" s="131"/>
      <c r="EU125" s="131"/>
      <c r="EV125" s="131"/>
      <c r="EW125" s="131"/>
      <c r="EX125" s="131"/>
      <c r="EY125" s="94" t="s">
        <v>25</v>
      </c>
      <c r="EZ125" s="94" t="s">
        <v>26</v>
      </c>
      <c r="FA125" s="94"/>
      <c r="FB125" s="94"/>
      <c r="FC125" s="94"/>
      <c r="FD125" s="94" t="s">
        <v>41</v>
      </c>
      <c r="FE125" s="94"/>
      <c r="FF125" s="94"/>
      <c r="FG125" s="94"/>
      <c r="FH125" s="94"/>
      <c r="FI125" s="94"/>
      <c r="FJ125" s="94"/>
      <c r="FK125" s="94"/>
      <c r="FL125" s="94"/>
      <c r="FM125" s="94"/>
      <c r="FN125" s="94" t="s">
        <v>26</v>
      </c>
      <c r="FO125" s="94"/>
      <c r="FP125" s="94"/>
      <c r="FQ125" s="94"/>
      <c r="FR125" s="94"/>
      <c r="FS125" s="94"/>
      <c r="FT125" s="94" t="s">
        <v>41</v>
      </c>
      <c r="FU125" s="94"/>
      <c r="FV125" s="94"/>
      <c r="FW125" s="94"/>
      <c r="FX125" s="94"/>
      <c r="FY125" s="94"/>
      <c r="FZ125" s="94"/>
      <c r="GA125" s="94"/>
      <c r="GB125" s="94" t="s">
        <v>26</v>
      </c>
      <c r="GC125" s="94"/>
      <c r="GD125" s="94"/>
      <c r="GE125" s="94"/>
      <c r="GF125" s="94" t="s">
        <v>41</v>
      </c>
      <c r="GG125" s="94"/>
      <c r="GH125" s="94" t="s">
        <v>28</v>
      </c>
      <c r="GI125" s="94"/>
      <c r="GJ125" s="94"/>
      <c r="GK125" s="94"/>
      <c r="GL125" s="94"/>
      <c r="GM125" s="94" t="s">
        <v>26</v>
      </c>
      <c r="GN125" s="94"/>
      <c r="GO125" s="94"/>
      <c r="GP125" s="94"/>
      <c r="GQ125" s="94"/>
      <c r="GR125" s="94" t="s">
        <v>106</v>
      </c>
      <c r="GS125" s="94"/>
      <c r="GT125" s="94"/>
      <c r="GU125" s="94"/>
      <c r="GV125" s="94" t="s">
        <v>41</v>
      </c>
      <c r="GW125" s="94"/>
      <c r="GX125" s="94"/>
      <c r="GY125" s="94"/>
      <c r="GZ125" s="94"/>
      <c r="HA125" s="94"/>
      <c r="HB125" s="94"/>
      <c r="HC125" s="94"/>
      <c r="HD125" s="94"/>
      <c r="HE125" s="94" t="s">
        <v>26</v>
      </c>
      <c r="HF125" s="94"/>
      <c r="HG125" s="94"/>
      <c r="HH125" s="94" t="s">
        <v>41</v>
      </c>
      <c r="HI125" s="94"/>
      <c r="HJ125" s="94"/>
      <c r="HK125" s="94"/>
      <c r="HL125" s="94"/>
      <c r="HM125" s="94"/>
      <c r="HN125" s="94"/>
      <c r="HO125" s="94"/>
      <c r="HP125" s="94"/>
      <c r="HQ125" s="94"/>
      <c r="HR125" s="94"/>
      <c r="HS125" s="94" t="s">
        <v>42</v>
      </c>
      <c r="HT125" s="94" t="s">
        <v>41</v>
      </c>
      <c r="HU125" s="94"/>
      <c r="HV125" s="94"/>
      <c r="HW125" s="94"/>
      <c r="HX125" s="94"/>
      <c r="HY125" s="94"/>
      <c r="HZ125" s="94"/>
      <c r="IA125" s="94"/>
      <c r="IB125" s="94"/>
      <c r="IC125" s="94"/>
      <c r="ID125" s="94"/>
      <c r="IE125" s="94"/>
      <c r="IF125" s="94"/>
      <c r="IG125" s="94"/>
      <c r="IH125" s="94"/>
      <c r="II125" s="94"/>
      <c r="IJ125" s="94" t="s">
        <v>27</v>
      </c>
      <c r="IK125" s="94"/>
      <c r="IL125" s="94"/>
      <c r="IM125" s="94"/>
      <c r="IN125" s="94" t="s">
        <v>26</v>
      </c>
      <c r="IO125" s="94"/>
      <c r="IP125" s="94" t="s">
        <v>41</v>
      </c>
      <c r="IQ125" s="94"/>
      <c r="IR125" s="94"/>
      <c r="IS125" s="94"/>
      <c r="IT125" s="94"/>
      <c r="IU125" s="94"/>
      <c r="IV125" s="94"/>
      <c r="IW125" s="94"/>
      <c r="IX125" s="94"/>
      <c r="IY125" s="94"/>
      <c r="IZ125" s="94" t="s">
        <v>26</v>
      </c>
      <c r="JA125" s="94"/>
      <c r="JB125" s="94" t="s">
        <v>41</v>
      </c>
      <c r="JC125" s="94"/>
      <c r="JD125" s="94"/>
      <c r="JE125" s="94"/>
      <c r="JF125" s="94"/>
      <c r="JG125" s="94"/>
      <c r="JH125" s="94"/>
      <c r="JI125" s="94"/>
      <c r="JJ125" s="94"/>
      <c r="JK125" s="94"/>
      <c r="JL125" s="94" t="s">
        <v>26</v>
      </c>
      <c r="JM125" s="94"/>
      <c r="JN125" s="94" t="s">
        <v>41</v>
      </c>
      <c r="JO125" s="94"/>
      <c r="JP125" s="94"/>
      <c r="JQ125" s="94"/>
      <c r="JR125" s="94"/>
      <c r="JS125" s="94"/>
      <c r="JT125" s="94"/>
      <c r="JU125" s="94"/>
      <c r="JV125" s="94"/>
      <c r="JW125" s="94"/>
      <c r="JX125" s="94" t="s">
        <v>26</v>
      </c>
      <c r="JY125" s="94"/>
      <c r="JZ125" s="94" t="s">
        <v>41</v>
      </c>
      <c r="KA125" s="94"/>
      <c r="KB125" s="94"/>
      <c r="KC125" s="94"/>
      <c r="KD125" s="94"/>
      <c r="KE125" s="94"/>
      <c r="KF125" s="94"/>
      <c r="KG125" s="94"/>
      <c r="KH125" s="94"/>
      <c r="KI125" s="94"/>
      <c r="KJ125" s="94" t="s">
        <v>26</v>
      </c>
      <c r="KK125" s="94"/>
      <c r="KL125" s="94" t="s">
        <v>41</v>
      </c>
      <c r="KM125" s="94"/>
      <c r="KN125" s="94"/>
      <c r="KO125" s="94"/>
      <c r="KP125" s="94"/>
      <c r="KQ125" s="94"/>
      <c r="KR125" s="94"/>
      <c r="KS125" s="94"/>
      <c r="KT125" s="94"/>
      <c r="KU125" s="94"/>
      <c r="KV125" s="94" t="s">
        <v>26</v>
      </c>
      <c r="KW125" s="94"/>
      <c r="KX125" s="94" t="s">
        <v>41</v>
      </c>
      <c r="KY125" s="94"/>
      <c r="KZ125" s="94"/>
      <c r="LA125" s="94"/>
      <c r="LB125" s="94"/>
      <c r="LC125" s="94"/>
      <c r="LD125" s="94"/>
      <c r="LE125" s="94"/>
      <c r="LF125" s="94"/>
      <c r="LG125" s="94"/>
      <c r="LH125" s="94"/>
      <c r="LI125" s="94"/>
      <c r="LJ125" s="94"/>
      <c r="LK125" s="94"/>
      <c r="LL125" s="94"/>
      <c r="LM125" s="94"/>
      <c r="LN125" s="94"/>
      <c r="LO125" s="94"/>
      <c r="LP125" s="94"/>
      <c r="LQ125" s="94"/>
      <c r="LR125" s="94"/>
      <c r="LS125" s="94"/>
      <c r="LT125" s="94"/>
      <c r="LU125" s="94"/>
      <c r="LV125" s="94"/>
      <c r="LW125" s="94"/>
      <c r="LX125" s="94"/>
      <c r="LY125" s="94"/>
      <c r="LZ125" s="94"/>
      <c r="MA125" s="94"/>
      <c r="MB125" s="94"/>
    </row>
    <row r="126" spans="1:340" s="50" customFormat="1" ht="31.5" hidden="1" customHeight="1">
      <c r="A126" s="44">
        <v>1</v>
      </c>
      <c r="B126" s="45" t="s">
        <v>149</v>
      </c>
      <c r="C126" s="46" t="s">
        <v>199</v>
      </c>
      <c r="D126" s="47" t="s">
        <v>49</v>
      </c>
      <c r="E126" s="115" t="s">
        <v>50</v>
      </c>
      <c r="F126" s="48" t="s">
        <v>24</v>
      </c>
      <c r="G126" s="145"/>
      <c r="H126" s="131"/>
      <c r="I126" s="94"/>
      <c r="J126" s="94"/>
      <c r="K126" s="94" t="s">
        <v>26</v>
      </c>
      <c r="L126" s="94" t="s">
        <v>26</v>
      </c>
      <c r="M126" s="94" t="s">
        <v>26</v>
      </c>
      <c r="N126" s="94" t="s">
        <v>26</v>
      </c>
      <c r="O126" s="94"/>
      <c r="P126" s="94" t="s">
        <v>26</v>
      </c>
      <c r="Q126" s="94" t="s">
        <v>26</v>
      </c>
      <c r="R126" s="94" t="s">
        <v>26</v>
      </c>
      <c r="S126" s="94" t="s">
        <v>26</v>
      </c>
      <c r="T126" s="94" t="s">
        <v>26</v>
      </c>
      <c r="U126" s="94" t="s">
        <v>26</v>
      </c>
      <c r="V126" s="94"/>
      <c r="W126" s="94"/>
      <c r="X126" s="94"/>
      <c r="Y126" s="94" t="s">
        <v>41</v>
      </c>
      <c r="Z126" s="94"/>
      <c r="AA126" s="94"/>
      <c r="AB126" s="94"/>
      <c r="AC126" s="94" t="s">
        <v>41</v>
      </c>
      <c r="AD126" s="94"/>
      <c r="AE126" s="94"/>
      <c r="AF126" s="94"/>
      <c r="AG126" s="94" t="s">
        <v>41</v>
      </c>
      <c r="AH126" s="94"/>
      <c r="AI126" s="94"/>
      <c r="AJ126" s="94"/>
      <c r="AK126" s="94" t="s">
        <v>41</v>
      </c>
      <c r="AL126" s="94"/>
      <c r="AM126" s="94"/>
      <c r="AN126" s="94"/>
      <c r="AO126" s="94"/>
      <c r="AP126" s="94" t="s">
        <v>41</v>
      </c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  <c r="BE126" s="131"/>
      <c r="BF126" s="131"/>
      <c r="BG126" s="131"/>
      <c r="BH126" s="131"/>
      <c r="BI126" s="131"/>
      <c r="BJ126" s="94" t="s">
        <v>41</v>
      </c>
      <c r="BK126" s="94"/>
      <c r="BL126" s="94"/>
      <c r="BM126" s="94" t="s">
        <v>41</v>
      </c>
      <c r="BN126" s="94"/>
      <c r="BO126" s="94"/>
      <c r="BP126" s="94"/>
      <c r="BQ126" s="94" t="s">
        <v>41</v>
      </c>
      <c r="BR126" s="94"/>
      <c r="BS126" s="94"/>
      <c r="BT126" s="94"/>
      <c r="BU126" s="94"/>
      <c r="BV126" s="94" t="s">
        <v>41</v>
      </c>
      <c r="BW126" s="94"/>
      <c r="BX126" s="94"/>
      <c r="BY126" s="94"/>
      <c r="BZ126" s="94" t="s">
        <v>41</v>
      </c>
      <c r="CA126" s="131"/>
      <c r="CB126" s="131"/>
      <c r="CC126" s="131"/>
      <c r="CD126" s="131"/>
      <c r="CE126" s="131"/>
      <c r="CF126" s="131"/>
      <c r="CG126" s="131"/>
      <c r="CH126" s="131"/>
      <c r="CI126" s="131"/>
      <c r="CJ126" s="131"/>
      <c r="CK126" s="131"/>
      <c r="CL126" s="131"/>
      <c r="CM126" s="131"/>
      <c r="CN126" s="131"/>
      <c r="CO126" s="131"/>
      <c r="CP126" s="131"/>
      <c r="CQ126" s="131"/>
      <c r="CR126" s="131"/>
      <c r="CS126" s="131"/>
      <c r="CT126" s="131"/>
      <c r="CU126" s="131"/>
      <c r="CV126" s="131"/>
      <c r="CW126" s="131"/>
      <c r="CX126" s="131"/>
      <c r="CY126" s="131"/>
      <c r="CZ126" s="131"/>
      <c r="DA126" s="131"/>
      <c r="DB126" s="131"/>
      <c r="DC126" s="131"/>
      <c r="DD126" s="131"/>
      <c r="DE126" s="131"/>
      <c r="DF126" s="131"/>
      <c r="DG126" s="131"/>
      <c r="DH126" s="131"/>
      <c r="DI126" s="131"/>
      <c r="DJ126" s="131"/>
      <c r="DK126" s="131"/>
      <c r="DL126" s="131"/>
      <c r="DM126" s="131"/>
      <c r="DN126" s="131"/>
      <c r="DO126" s="131"/>
      <c r="DP126" s="131"/>
      <c r="DQ126" s="131"/>
      <c r="DR126" s="131"/>
      <c r="DS126" s="131"/>
      <c r="DT126" s="131"/>
      <c r="DU126" s="131"/>
      <c r="DV126" s="131"/>
      <c r="DW126" s="131"/>
      <c r="DX126" s="131"/>
      <c r="DY126" s="131"/>
      <c r="DZ126" s="131"/>
      <c r="EA126" s="131"/>
      <c r="EB126" s="131"/>
      <c r="EC126" s="131"/>
      <c r="ED126" s="131"/>
      <c r="EE126" s="131"/>
      <c r="EF126" s="131"/>
      <c r="EG126" s="131"/>
      <c r="EH126" s="131"/>
      <c r="EI126" s="131"/>
      <c r="EJ126" s="131"/>
      <c r="EK126" s="131"/>
      <c r="EL126" s="142"/>
      <c r="EM126" s="142"/>
      <c r="EN126" s="142"/>
      <c r="EO126" s="142"/>
      <c r="EP126" s="142"/>
      <c r="EQ126" s="142"/>
      <c r="ER126" s="142"/>
      <c r="ES126" s="142"/>
      <c r="ET126" s="142"/>
      <c r="EU126" s="142"/>
      <c r="EV126" s="142"/>
      <c r="EW126" s="142"/>
      <c r="EX126" s="142" t="s">
        <v>25</v>
      </c>
      <c r="EY126" s="94" t="s">
        <v>26</v>
      </c>
      <c r="EZ126" s="94" t="s">
        <v>26</v>
      </c>
      <c r="FA126" s="94" t="s">
        <v>26</v>
      </c>
      <c r="FB126" s="94" t="s">
        <v>26</v>
      </c>
      <c r="FC126" s="94" t="s">
        <v>26</v>
      </c>
      <c r="FD126" s="94" t="s">
        <v>26</v>
      </c>
      <c r="FE126" s="94" t="s">
        <v>26</v>
      </c>
      <c r="FF126" s="94" t="s">
        <v>26</v>
      </c>
      <c r="FG126" s="94" t="s">
        <v>80</v>
      </c>
      <c r="FH126" s="94" t="s">
        <v>26</v>
      </c>
      <c r="FI126" s="94" t="s">
        <v>26</v>
      </c>
      <c r="FJ126" s="94"/>
      <c r="FK126" s="94"/>
      <c r="FL126" s="94"/>
      <c r="FM126" s="94" t="s">
        <v>41</v>
      </c>
      <c r="FN126" s="94"/>
      <c r="FO126" s="94"/>
      <c r="FP126" s="94"/>
      <c r="FQ126" s="94"/>
      <c r="FR126" s="94" t="s">
        <v>41</v>
      </c>
      <c r="FS126" s="94"/>
      <c r="FT126" s="94"/>
      <c r="FU126" s="94" t="s">
        <v>41</v>
      </c>
      <c r="FV126" s="94"/>
      <c r="FW126" s="94"/>
      <c r="FX126" s="94"/>
      <c r="FY126" s="94" t="s">
        <v>41</v>
      </c>
      <c r="FZ126" s="94"/>
      <c r="GA126" s="94"/>
      <c r="GB126" s="94"/>
      <c r="GC126" s="94" t="s">
        <v>41</v>
      </c>
      <c r="GD126" s="94"/>
      <c r="GE126" s="94" t="s">
        <v>41</v>
      </c>
      <c r="GF126" s="94"/>
      <c r="GG126" s="131"/>
      <c r="GH126" s="131"/>
      <c r="GI126" s="131"/>
      <c r="GJ126" s="131"/>
      <c r="GK126" s="131"/>
      <c r="GL126" s="131"/>
      <c r="GM126" s="131"/>
      <c r="GN126" s="131"/>
      <c r="GO126" s="131"/>
      <c r="GP126" s="131"/>
      <c r="GQ126" s="131"/>
      <c r="GR126" s="131"/>
      <c r="GS126" s="131"/>
      <c r="GT126" s="131"/>
      <c r="GU126" s="131"/>
      <c r="GV126" s="131"/>
      <c r="GW126" s="131"/>
      <c r="GX126" s="131"/>
      <c r="GY126" s="94" t="s">
        <v>41</v>
      </c>
      <c r="GZ126" s="94"/>
      <c r="HA126" s="94"/>
      <c r="HB126" s="94"/>
      <c r="HC126" s="94"/>
      <c r="HD126" s="94" t="s">
        <v>41</v>
      </c>
      <c r="HE126" s="94"/>
      <c r="HF126" s="94"/>
      <c r="HG126" s="94" t="s">
        <v>41</v>
      </c>
      <c r="HH126" s="94"/>
      <c r="HI126" s="94"/>
      <c r="HJ126" s="94" t="s">
        <v>41</v>
      </c>
      <c r="HK126" s="94"/>
      <c r="HL126" s="94"/>
      <c r="HM126" s="94" t="s">
        <v>41</v>
      </c>
      <c r="HN126" s="94"/>
      <c r="HO126" s="94"/>
      <c r="HP126" s="131" t="s">
        <v>41</v>
      </c>
      <c r="HQ126" s="131"/>
      <c r="HR126" s="131"/>
      <c r="HS126" s="131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94" t="s">
        <v>26</v>
      </c>
      <c r="IP126" s="94" t="s">
        <v>26</v>
      </c>
      <c r="IQ126" s="94" t="s">
        <v>26</v>
      </c>
      <c r="IR126" s="94" t="s">
        <v>26</v>
      </c>
      <c r="IS126" s="94" t="s">
        <v>26</v>
      </c>
      <c r="IT126" s="94" t="s">
        <v>26</v>
      </c>
      <c r="IU126" s="94" t="s">
        <v>26</v>
      </c>
      <c r="IV126" s="94" t="s">
        <v>26</v>
      </c>
      <c r="IW126" s="94" t="s">
        <v>26</v>
      </c>
      <c r="IX126" s="94" t="s">
        <v>26</v>
      </c>
      <c r="IY126" s="94" t="s">
        <v>26</v>
      </c>
      <c r="IZ126" s="94" t="s">
        <v>26</v>
      </c>
      <c r="JA126" s="94" t="s">
        <v>26</v>
      </c>
      <c r="JB126" s="94" t="s">
        <v>26</v>
      </c>
      <c r="JC126" s="94"/>
      <c r="JD126" s="94"/>
      <c r="JF126" s="94" t="s">
        <v>41</v>
      </c>
      <c r="JG126" s="94"/>
      <c r="JH126" s="94"/>
      <c r="JI126" s="94" t="s">
        <v>41</v>
      </c>
      <c r="JJ126" s="94"/>
      <c r="JK126" s="94"/>
      <c r="JL126" s="94" t="s">
        <v>41</v>
      </c>
      <c r="JM126" s="94"/>
      <c r="JN126" s="94"/>
      <c r="JO126" s="94" t="s">
        <v>41</v>
      </c>
      <c r="JP126" s="94"/>
      <c r="JQ126" s="94"/>
      <c r="JR126" s="94" t="s">
        <v>41</v>
      </c>
      <c r="JS126" s="94"/>
      <c r="JT126" s="94"/>
      <c r="JU126" s="94" t="s">
        <v>41</v>
      </c>
      <c r="JV126" s="94"/>
      <c r="JW126" s="94"/>
      <c r="JX126" s="94" t="s">
        <v>41</v>
      </c>
      <c r="JY126" s="94"/>
      <c r="JZ126" s="94"/>
      <c r="KA126" s="94" t="s">
        <v>41</v>
      </c>
      <c r="KB126" s="94"/>
      <c r="KC126" s="94"/>
      <c r="KD126" s="94" t="s">
        <v>41</v>
      </c>
      <c r="KE126" s="94"/>
      <c r="KF126" s="94"/>
      <c r="KG126" s="94" t="s">
        <v>41</v>
      </c>
      <c r="KH126" s="94"/>
      <c r="KI126" s="94"/>
      <c r="KJ126" s="94" t="s">
        <v>41</v>
      </c>
      <c r="KK126" s="94"/>
      <c r="KL126" s="94"/>
      <c r="KM126" s="94" t="s">
        <v>41</v>
      </c>
      <c r="KN126" s="94"/>
      <c r="KO126" s="94"/>
      <c r="KP126" s="94" t="s">
        <v>41</v>
      </c>
      <c r="KQ126" s="94"/>
      <c r="KR126" s="94"/>
      <c r="KS126" s="94" t="s">
        <v>41</v>
      </c>
      <c r="KT126" s="131"/>
      <c r="KU126" s="131"/>
      <c r="KV126" s="131"/>
      <c r="KW126" s="131"/>
      <c r="KX126" s="131"/>
      <c r="KY126" s="131"/>
      <c r="KZ126" s="131"/>
      <c r="LA126" s="131"/>
      <c r="LB126" s="131"/>
      <c r="LC126" s="131"/>
      <c r="LD126" s="131"/>
      <c r="LE126" s="131"/>
      <c r="LF126" s="131"/>
      <c r="LG126" s="131"/>
      <c r="LH126" s="131"/>
      <c r="LI126" s="131"/>
      <c r="LJ126" s="131"/>
      <c r="LK126" s="131"/>
      <c r="LL126" s="131"/>
      <c r="LM126" s="131"/>
      <c r="LN126" s="131"/>
      <c r="LO126" s="131"/>
      <c r="LP126" s="131"/>
      <c r="LQ126" s="131"/>
      <c r="LR126" s="131"/>
      <c r="LS126" s="131"/>
      <c r="LT126" s="131"/>
      <c r="LU126" s="131"/>
      <c r="LV126" s="131"/>
      <c r="LW126" s="131"/>
      <c r="LX126" s="131"/>
      <c r="LY126" s="131"/>
      <c r="LZ126" s="131"/>
      <c r="MA126" s="131"/>
      <c r="MB126" s="131"/>
    </row>
    <row r="127" spans="1:340" s="50" customFormat="1" ht="31.5" hidden="1" customHeight="1">
      <c r="A127" s="44">
        <v>1</v>
      </c>
      <c r="B127" s="45" t="s">
        <v>200</v>
      </c>
      <c r="C127" s="52" t="s">
        <v>201</v>
      </c>
      <c r="D127" s="47" t="s">
        <v>49</v>
      </c>
      <c r="E127" s="115" t="s">
        <v>78</v>
      </c>
      <c r="F127" s="48" t="s">
        <v>24</v>
      </c>
      <c r="G127" s="145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31"/>
      <c r="AN127" s="131"/>
      <c r="AO127" s="131"/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 t="s">
        <v>25</v>
      </c>
      <c r="BC127" s="131" t="s">
        <v>26</v>
      </c>
      <c r="BD127" s="94"/>
      <c r="BE127" s="94"/>
      <c r="BF127" s="94"/>
      <c r="BG127" s="94"/>
      <c r="BH127" s="94"/>
      <c r="BI127" s="94"/>
      <c r="BK127" s="94" t="s">
        <v>41</v>
      </c>
      <c r="BL127" s="94"/>
      <c r="BM127" s="94"/>
      <c r="BN127" s="94" t="s">
        <v>41</v>
      </c>
      <c r="BO127" s="131"/>
      <c r="BP127" s="131"/>
      <c r="BQ127" s="131"/>
      <c r="BR127" s="131"/>
      <c r="BS127" s="131"/>
      <c r="BT127" s="131"/>
      <c r="BU127" s="131"/>
      <c r="BV127" s="131"/>
      <c r="BW127" s="131"/>
      <c r="BX127" s="131"/>
      <c r="BY127" s="131"/>
      <c r="BZ127" s="131"/>
      <c r="CA127" s="131"/>
      <c r="CB127" s="131"/>
      <c r="CC127" s="131"/>
      <c r="CD127" s="131"/>
      <c r="CE127" s="131"/>
      <c r="CF127" s="131"/>
      <c r="CG127" s="131"/>
      <c r="CH127" s="131"/>
      <c r="CI127" s="131"/>
      <c r="CJ127" s="131"/>
      <c r="CK127" s="131"/>
      <c r="CL127" s="131"/>
      <c r="CM127" s="131"/>
      <c r="CN127" s="131"/>
      <c r="CO127" s="94"/>
      <c r="CP127" s="94"/>
      <c r="CQ127" s="94" t="s">
        <v>42</v>
      </c>
      <c r="CR127" s="94" t="s">
        <v>42</v>
      </c>
      <c r="CS127" s="94" t="s">
        <v>26</v>
      </c>
      <c r="CT127" s="94" t="s">
        <v>42</v>
      </c>
      <c r="CU127" s="94" t="s">
        <v>26</v>
      </c>
      <c r="CV127" s="94" t="s">
        <v>26</v>
      </c>
      <c r="CW127" s="94" t="s">
        <v>26</v>
      </c>
      <c r="CX127" s="94" t="s">
        <v>26</v>
      </c>
      <c r="CY127" s="94" t="s">
        <v>26</v>
      </c>
      <c r="CZ127" s="94" t="s">
        <v>26</v>
      </c>
      <c r="DA127" s="94" t="s">
        <v>26</v>
      </c>
      <c r="DB127" s="94" t="s">
        <v>26</v>
      </c>
      <c r="DC127" s="94"/>
      <c r="DD127" s="94"/>
      <c r="DE127" s="94" t="s">
        <v>41</v>
      </c>
      <c r="DF127" s="94"/>
      <c r="DG127" s="94"/>
      <c r="DH127" s="94" t="s">
        <v>41</v>
      </c>
      <c r="DI127" s="94"/>
      <c r="DJ127" s="94"/>
      <c r="DK127" s="94" t="s">
        <v>41</v>
      </c>
      <c r="DL127" s="94"/>
      <c r="DM127" s="94"/>
      <c r="DN127" s="94" t="s">
        <v>41</v>
      </c>
      <c r="DO127" s="131"/>
      <c r="DP127" s="131"/>
      <c r="DQ127" s="131"/>
      <c r="DR127" s="131"/>
      <c r="DS127" s="131"/>
      <c r="DT127" s="131"/>
      <c r="DU127" s="131"/>
      <c r="DV127" s="131"/>
      <c r="DW127" s="131"/>
      <c r="DX127" s="131"/>
      <c r="DY127" s="131"/>
      <c r="DZ127" s="131"/>
      <c r="EA127" s="131"/>
      <c r="EB127" s="131"/>
      <c r="EC127" s="131"/>
      <c r="ED127" s="131"/>
      <c r="EE127" s="131"/>
      <c r="EF127" s="131"/>
      <c r="EG127" s="131"/>
      <c r="EH127" s="131"/>
      <c r="EI127" s="131"/>
      <c r="EJ127" s="131"/>
      <c r="EK127" s="131"/>
      <c r="EL127" s="131"/>
      <c r="EM127" s="131"/>
      <c r="EN127" s="131"/>
      <c r="EO127" s="131"/>
      <c r="EP127" s="131"/>
      <c r="EQ127" s="131"/>
      <c r="ER127" s="131"/>
      <c r="ES127" s="131"/>
      <c r="ET127" s="131"/>
      <c r="EU127" s="131"/>
      <c r="EV127" s="131"/>
      <c r="EW127" s="131"/>
      <c r="EX127" s="131"/>
      <c r="EY127" s="131"/>
      <c r="EZ127" s="131"/>
      <c r="FA127" s="131"/>
      <c r="FB127" s="131"/>
      <c r="FC127" s="131"/>
      <c r="FD127" s="131"/>
      <c r="FE127" s="131"/>
      <c r="FF127" s="131"/>
      <c r="FG127" s="131"/>
      <c r="FH127" s="131"/>
      <c r="FI127" s="131"/>
      <c r="FJ127" s="131"/>
      <c r="FK127" s="131"/>
      <c r="FL127" s="131"/>
      <c r="FM127" s="131"/>
      <c r="FN127" s="131"/>
      <c r="FO127" s="131"/>
      <c r="FP127" s="131"/>
      <c r="FQ127" s="131"/>
      <c r="FR127" s="131"/>
      <c r="FS127" s="131"/>
      <c r="FT127" s="131"/>
      <c r="FU127" s="131"/>
      <c r="FV127" s="131"/>
      <c r="FW127" s="131"/>
      <c r="FX127" s="131"/>
      <c r="FY127" s="131"/>
      <c r="FZ127" s="131"/>
      <c r="GA127" s="131"/>
      <c r="GB127" s="131"/>
      <c r="GC127" s="131"/>
      <c r="GD127" s="131"/>
      <c r="GE127" s="131"/>
      <c r="GF127" s="131"/>
      <c r="GG127" s="131"/>
      <c r="GH127" s="131"/>
      <c r="GI127" s="131"/>
      <c r="GJ127" s="131"/>
      <c r="GK127" s="131"/>
      <c r="GL127" s="131"/>
      <c r="GM127" s="131"/>
      <c r="GN127" s="131"/>
      <c r="GO127" s="131"/>
      <c r="GP127" s="131"/>
      <c r="GQ127" s="131"/>
      <c r="GR127" s="131"/>
      <c r="GS127" s="131"/>
      <c r="GT127" s="131"/>
      <c r="GU127" s="131"/>
      <c r="GV127" s="131"/>
      <c r="GW127" s="131"/>
      <c r="GX127" s="131"/>
      <c r="GY127" s="131"/>
      <c r="GZ127" s="131"/>
      <c r="HA127" s="131"/>
      <c r="HB127" s="131"/>
      <c r="HC127" s="131"/>
      <c r="HD127" s="131"/>
      <c r="HE127" s="131"/>
      <c r="HF127" s="131"/>
      <c r="HG127" s="131"/>
      <c r="HH127" s="131"/>
      <c r="HI127" s="131"/>
      <c r="HJ127" s="131"/>
      <c r="HK127" s="131"/>
      <c r="HL127" s="131"/>
      <c r="HM127" s="131"/>
      <c r="HN127" s="131"/>
      <c r="HO127" s="131"/>
      <c r="HP127" s="131"/>
      <c r="HQ127" s="131"/>
      <c r="HR127" s="131"/>
      <c r="HS127" s="94"/>
      <c r="HT127" s="94"/>
      <c r="HU127" s="94"/>
      <c r="HV127" s="94"/>
      <c r="HW127" s="94"/>
      <c r="HX127" s="94"/>
      <c r="HY127" s="94"/>
      <c r="HZ127" s="94"/>
      <c r="IA127" s="94"/>
      <c r="IB127" s="94"/>
      <c r="IC127" s="94" t="s">
        <v>41</v>
      </c>
      <c r="ID127" s="94"/>
      <c r="IE127" s="94"/>
      <c r="IF127" s="94"/>
      <c r="IG127" s="94" t="s">
        <v>42</v>
      </c>
      <c r="IH127" s="94" t="s">
        <v>41</v>
      </c>
      <c r="II127" s="94"/>
      <c r="IJ127" s="94"/>
      <c r="IK127" s="94"/>
      <c r="IL127" s="94"/>
      <c r="IM127" s="131" t="s">
        <v>41</v>
      </c>
      <c r="IN127" s="131"/>
      <c r="IO127" s="131"/>
      <c r="IP127" s="131" t="s">
        <v>26</v>
      </c>
      <c r="IQ127" s="131" t="s">
        <v>26</v>
      </c>
      <c r="IR127" s="131" t="s">
        <v>26</v>
      </c>
      <c r="IS127" s="131" t="s">
        <v>26</v>
      </c>
      <c r="IT127" s="131" t="s">
        <v>26</v>
      </c>
      <c r="IU127" s="131" t="s">
        <v>26</v>
      </c>
      <c r="IV127" s="93" t="s">
        <v>26</v>
      </c>
      <c r="IW127" s="131" t="s">
        <v>26</v>
      </c>
      <c r="IX127" s="131" t="s">
        <v>26</v>
      </c>
      <c r="IY127" s="131"/>
      <c r="IZ127" s="131"/>
      <c r="JA127" s="131"/>
      <c r="JB127" s="131"/>
      <c r="JC127" s="131"/>
      <c r="JD127" s="131"/>
      <c r="JE127" s="131"/>
      <c r="JF127" s="131"/>
      <c r="JG127" s="131"/>
      <c r="JH127" s="131"/>
      <c r="JI127" s="131"/>
      <c r="JJ127" s="131"/>
      <c r="JK127" s="131"/>
      <c r="JL127" s="131"/>
      <c r="JM127" s="131"/>
      <c r="JN127" s="131"/>
      <c r="JO127" s="131"/>
      <c r="JP127" s="131"/>
      <c r="JQ127" s="93" t="s">
        <v>41</v>
      </c>
      <c r="JR127" s="93"/>
      <c r="JS127" s="93"/>
      <c r="JT127" s="93" t="s">
        <v>41</v>
      </c>
      <c r="JU127" s="93"/>
      <c r="JV127" s="93"/>
      <c r="JW127" s="93" t="s">
        <v>41</v>
      </c>
      <c r="JX127" s="93"/>
      <c r="JY127" s="93"/>
      <c r="JZ127" s="93" t="s">
        <v>41</v>
      </c>
      <c r="KA127" s="93"/>
      <c r="KB127" s="93"/>
      <c r="KC127" s="93" t="s">
        <v>41</v>
      </c>
      <c r="KD127" s="93"/>
      <c r="KE127" s="93"/>
      <c r="KF127" s="93" t="s">
        <v>41</v>
      </c>
      <c r="KG127" s="93"/>
      <c r="KH127" s="93"/>
      <c r="KI127" s="93" t="s">
        <v>41</v>
      </c>
      <c r="KJ127" s="93"/>
      <c r="KK127" s="93"/>
      <c r="KL127" s="93" t="s">
        <v>41</v>
      </c>
      <c r="KM127" s="93"/>
      <c r="KN127" s="93"/>
      <c r="KO127" s="93" t="s">
        <v>41</v>
      </c>
      <c r="KP127" s="93"/>
      <c r="KQ127" s="93"/>
      <c r="KR127" s="93" t="s">
        <v>41</v>
      </c>
      <c r="KS127" s="93"/>
      <c r="KT127" s="93"/>
      <c r="KU127" s="93" t="s">
        <v>41</v>
      </c>
      <c r="KV127" s="93"/>
      <c r="KW127" s="93"/>
      <c r="KX127" s="93" t="s">
        <v>41</v>
      </c>
      <c r="KY127" s="131"/>
      <c r="KZ127" s="131"/>
      <c r="LA127" s="131"/>
      <c r="LB127" s="131"/>
      <c r="LC127" s="131"/>
      <c r="LD127" s="131"/>
      <c r="LE127" s="131"/>
      <c r="LF127" s="131"/>
      <c r="LG127" s="131"/>
      <c r="LH127" s="131"/>
      <c r="LI127" s="131"/>
      <c r="LJ127" s="131"/>
      <c r="LK127" s="131"/>
      <c r="LL127" s="131"/>
      <c r="LM127" s="131"/>
      <c r="LN127" s="131"/>
      <c r="LO127" s="131"/>
      <c r="LP127" s="131"/>
      <c r="LQ127" s="131"/>
      <c r="LR127" s="131"/>
      <c r="LS127" s="131"/>
      <c r="LT127" s="131"/>
      <c r="LU127" s="131"/>
      <c r="LV127" s="131"/>
      <c r="LW127" s="131"/>
      <c r="LX127" s="131"/>
      <c r="LY127" s="131"/>
      <c r="LZ127" s="131"/>
      <c r="MA127" s="131"/>
      <c r="MB127" s="131"/>
    </row>
    <row r="128" spans="1:340" s="50" customFormat="1" ht="31.5" hidden="1" customHeight="1" thickBot="1">
      <c r="A128" s="44">
        <v>1</v>
      </c>
      <c r="B128" s="45" t="s">
        <v>202</v>
      </c>
      <c r="C128" s="52" t="s">
        <v>203</v>
      </c>
      <c r="D128" s="47" t="s">
        <v>49</v>
      </c>
      <c r="E128" s="115" t="s">
        <v>78</v>
      </c>
      <c r="F128" s="48" t="s">
        <v>24</v>
      </c>
      <c r="G128" s="145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31"/>
      <c r="AI128" s="131"/>
      <c r="AJ128" s="131"/>
      <c r="AK128" s="131"/>
      <c r="AL128" s="131"/>
      <c r="AM128" s="131"/>
      <c r="AN128" s="131"/>
      <c r="AO128" s="131"/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  <c r="BE128" s="131"/>
      <c r="BF128" s="131" t="s">
        <v>25</v>
      </c>
      <c r="BG128" s="94"/>
      <c r="BH128" s="94"/>
      <c r="BI128" s="94"/>
      <c r="BJ128" s="131" t="s">
        <v>26</v>
      </c>
      <c r="BK128" s="131" t="s">
        <v>80</v>
      </c>
      <c r="BL128" s="131" t="s">
        <v>80</v>
      </c>
      <c r="BM128" s="131" t="s">
        <v>80</v>
      </c>
      <c r="BN128" s="131" t="s">
        <v>80</v>
      </c>
      <c r="BO128" s="131" t="s">
        <v>80</v>
      </c>
      <c r="BP128" s="131" t="s">
        <v>80</v>
      </c>
      <c r="BQ128" s="131" t="s">
        <v>80</v>
      </c>
      <c r="BR128" s="94" t="s">
        <v>26</v>
      </c>
      <c r="BS128" s="94"/>
      <c r="BT128" s="94" t="s">
        <v>41</v>
      </c>
      <c r="BU128" s="94"/>
      <c r="BV128" s="94" t="s">
        <v>41</v>
      </c>
      <c r="BW128" s="94"/>
      <c r="BX128" s="94" t="s">
        <v>41</v>
      </c>
      <c r="BY128" s="94"/>
      <c r="BZ128" s="94" t="s">
        <v>41</v>
      </c>
      <c r="CA128" s="94" t="s">
        <v>41</v>
      </c>
      <c r="CC128" s="94" t="s">
        <v>41</v>
      </c>
      <c r="CD128" s="94"/>
      <c r="CE128" s="94" t="s">
        <v>41</v>
      </c>
      <c r="CF128" s="94" t="s">
        <v>41</v>
      </c>
      <c r="CG128" s="94"/>
      <c r="CH128" s="94" t="s">
        <v>41</v>
      </c>
      <c r="CI128" s="94"/>
      <c r="CJ128" s="131"/>
      <c r="CK128" s="131"/>
      <c r="CL128" s="131"/>
      <c r="CM128" s="131"/>
      <c r="CN128" s="131"/>
      <c r="CO128" s="131"/>
      <c r="CP128" s="131"/>
      <c r="CQ128" s="131"/>
      <c r="CR128" s="131"/>
      <c r="CS128" s="131"/>
      <c r="CT128" s="131"/>
      <c r="CU128" s="131"/>
      <c r="CV128" s="131"/>
      <c r="CW128" s="131"/>
      <c r="CX128" s="131"/>
      <c r="CY128" s="131"/>
      <c r="CZ128" s="131"/>
      <c r="DA128" s="131"/>
      <c r="DB128" s="131"/>
      <c r="DC128" s="131"/>
      <c r="DD128" s="131"/>
      <c r="DE128" s="131"/>
      <c r="DF128" s="131"/>
      <c r="DG128" s="131"/>
      <c r="DI128" s="131" t="s">
        <v>41</v>
      </c>
      <c r="DJ128" s="94" t="s">
        <v>41</v>
      </c>
      <c r="DK128" s="94"/>
      <c r="DL128" s="94" t="s">
        <v>41</v>
      </c>
      <c r="DM128" s="94" t="s">
        <v>41</v>
      </c>
      <c r="DN128" s="94"/>
      <c r="DO128" s="94" t="s">
        <v>41</v>
      </c>
      <c r="DP128" s="94" t="s">
        <v>41</v>
      </c>
      <c r="DQ128" s="94" t="s">
        <v>41</v>
      </c>
      <c r="DR128" s="94"/>
      <c r="DS128" s="94" t="s">
        <v>41</v>
      </c>
      <c r="DT128" s="94"/>
      <c r="DU128" s="94" t="s">
        <v>41</v>
      </c>
      <c r="DV128" s="131"/>
      <c r="DW128" s="131"/>
      <c r="DX128" s="131"/>
      <c r="DY128" s="131"/>
      <c r="DZ128" s="131"/>
      <c r="EA128" s="131"/>
      <c r="EB128" s="131"/>
      <c r="EC128" s="131"/>
      <c r="ED128" s="131"/>
      <c r="EE128" s="131"/>
      <c r="EF128" s="131"/>
      <c r="EG128" s="131"/>
      <c r="EH128" s="131"/>
      <c r="EI128" s="131"/>
      <c r="EJ128" s="131"/>
      <c r="EK128" s="131"/>
      <c r="EL128" s="131"/>
      <c r="EM128" s="131"/>
      <c r="EN128" s="131"/>
      <c r="EO128" s="131"/>
      <c r="EP128" s="131"/>
      <c r="EQ128" s="131"/>
      <c r="ER128" s="131"/>
      <c r="ES128" s="131"/>
      <c r="ET128" s="131"/>
      <c r="EU128" s="131"/>
      <c r="EV128" s="131"/>
      <c r="EW128" s="131"/>
      <c r="EX128" s="131"/>
      <c r="EY128" s="131"/>
      <c r="EZ128" s="131"/>
      <c r="FA128" s="131"/>
      <c r="FB128" s="131"/>
      <c r="FC128" s="131"/>
      <c r="FD128" s="131"/>
      <c r="FE128" s="131"/>
      <c r="FF128" s="131"/>
      <c r="FG128" s="131"/>
      <c r="FH128" s="131"/>
      <c r="FI128" s="131"/>
      <c r="FJ128" s="131"/>
      <c r="FK128" s="131"/>
      <c r="FL128" s="131"/>
      <c r="FM128" s="131"/>
      <c r="FN128" s="131"/>
      <c r="FO128" s="131"/>
      <c r="FP128" s="131"/>
      <c r="FQ128" s="131"/>
      <c r="FR128" s="131"/>
      <c r="FS128" s="131"/>
      <c r="FT128" s="131"/>
      <c r="FU128" s="131"/>
      <c r="FV128" s="131"/>
      <c r="FW128" s="131"/>
      <c r="FX128" s="131"/>
      <c r="FY128" s="131"/>
      <c r="FZ128" s="131"/>
      <c r="GA128" s="131"/>
      <c r="GB128" s="131"/>
      <c r="GC128" s="131"/>
      <c r="GD128" s="131"/>
      <c r="GE128" s="131"/>
      <c r="GF128" s="131"/>
      <c r="GG128" s="131"/>
      <c r="GH128" s="131"/>
      <c r="GI128" s="131"/>
      <c r="GJ128" s="131"/>
      <c r="GK128" s="131"/>
      <c r="GL128" s="131"/>
      <c r="GM128" s="131"/>
      <c r="GN128" s="131"/>
      <c r="GO128" s="131" t="s">
        <v>204</v>
      </c>
      <c r="GP128" s="131" t="s">
        <v>204</v>
      </c>
      <c r="GQ128" s="131" t="s">
        <v>26</v>
      </c>
      <c r="GR128" s="131" t="s">
        <v>26</v>
      </c>
      <c r="GS128" s="131" t="s">
        <v>80</v>
      </c>
      <c r="GT128" s="131" t="s">
        <v>80</v>
      </c>
      <c r="GU128" s="131" t="s">
        <v>80</v>
      </c>
      <c r="GV128" s="131" t="s">
        <v>26</v>
      </c>
      <c r="GW128" s="131" t="s">
        <v>80</v>
      </c>
      <c r="GX128" s="94" t="s">
        <v>80</v>
      </c>
      <c r="GY128" s="94" t="s">
        <v>26</v>
      </c>
      <c r="GZ128" s="94" t="s">
        <v>26</v>
      </c>
      <c r="HA128" s="94"/>
      <c r="HB128" s="94" t="s">
        <v>41</v>
      </c>
      <c r="HC128" s="94"/>
      <c r="HD128" s="94"/>
      <c r="HE128" s="94" t="s">
        <v>41</v>
      </c>
      <c r="HF128" s="94"/>
      <c r="HG128" s="94" t="s">
        <v>41</v>
      </c>
      <c r="HH128" s="94"/>
      <c r="HI128" s="94" t="s">
        <v>41</v>
      </c>
      <c r="HJ128" s="94"/>
      <c r="HK128" s="94"/>
      <c r="HL128" s="94" t="s">
        <v>41</v>
      </c>
      <c r="HM128" s="94"/>
      <c r="HN128" s="94" t="s">
        <v>41</v>
      </c>
      <c r="HO128" s="94"/>
      <c r="HP128" s="94" t="s">
        <v>42</v>
      </c>
      <c r="HQ128" s="94" t="s">
        <v>41</v>
      </c>
      <c r="HR128" s="94"/>
      <c r="HS128" s="94" t="s">
        <v>41</v>
      </c>
      <c r="HT128" s="94"/>
      <c r="HU128" s="94" t="s">
        <v>41</v>
      </c>
      <c r="HV128" s="94"/>
      <c r="HW128" s="94" t="s">
        <v>41</v>
      </c>
      <c r="HX128" s="94"/>
      <c r="HY128" s="94" t="s">
        <v>41</v>
      </c>
      <c r="HZ128" s="94"/>
      <c r="IA128" s="94" t="s">
        <v>41</v>
      </c>
      <c r="IB128" s="94"/>
      <c r="IC128" s="94" t="s">
        <v>41</v>
      </c>
      <c r="ID128" s="94"/>
      <c r="IE128" s="94"/>
      <c r="IF128" s="94" t="s">
        <v>41</v>
      </c>
      <c r="IG128" s="131"/>
      <c r="IH128" s="131"/>
      <c r="II128" s="131"/>
      <c r="IJ128" s="131"/>
      <c r="IK128" s="131"/>
      <c r="IL128" s="131"/>
      <c r="IM128" s="131"/>
      <c r="IN128" s="131"/>
      <c r="IO128" s="131"/>
      <c r="IP128" s="131"/>
      <c r="IQ128" s="131"/>
      <c r="IR128" s="131"/>
      <c r="IS128" s="131"/>
      <c r="IT128" s="131"/>
      <c r="IU128" s="131"/>
      <c r="IV128" s="131"/>
      <c r="IW128" s="131"/>
      <c r="IX128" s="131"/>
      <c r="IY128" s="131"/>
      <c r="IZ128" s="131"/>
      <c r="JA128" s="131"/>
      <c r="JB128" s="131"/>
      <c r="JC128" s="131"/>
      <c r="JD128" s="131"/>
      <c r="JE128" s="131"/>
      <c r="JF128" s="131"/>
      <c r="JG128" s="131"/>
      <c r="JH128" s="131"/>
      <c r="JI128" s="131"/>
      <c r="JJ128" s="131"/>
      <c r="JK128" s="131"/>
      <c r="JL128" s="131"/>
      <c r="JM128" s="131"/>
      <c r="JN128" s="131"/>
      <c r="JO128" s="131"/>
      <c r="JP128" s="131"/>
      <c r="JQ128" s="131"/>
      <c r="JR128" s="131"/>
      <c r="JS128" s="131"/>
      <c r="JT128" s="131"/>
      <c r="JU128" s="131"/>
      <c r="JV128" s="131"/>
      <c r="JW128" s="131"/>
      <c r="JX128" s="131"/>
      <c r="JY128" s="131"/>
      <c r="JZ128" s="131"/>
      <c r="KA128" s="131"/>
      <c r="KB128" s="131"/>
      <c r="KC128" s="131"/>
      <c r="KD128" s="131"/>
      <c r="KE128" s="131"/>
      <c r="KF128" s="131"/>
      <c r="KG128" s="131"/>
      <c r="KH128" s="131"/>
      <c r="KI128" s="131"/>
      <c r="KJ128" s="131"/>
      <c r="KK128" s="131"/>
      <c r="KL128" s="131"/>
      <c r="KM128" s="131"/>
      <c r="KN128" s="131"/>
      <c r="KO128" s="131"/>
      <c r="KP128" s="131"/>
      <c r="KQ128" s="131"/>
      <c r="KR128" s="131"/>
      <c r="KS128" s="131"/>
      <c r="KT128" s="131"/>
      <c r="KU128" s="131"/>
      <c r="KV128" s="131"/>
      <c r="KW128" s="131"/>
      <c r="KX128" s="131"/>
      <c r="KY128" s="131"/>
      <c r="KZ128" s="131"/>
      <c r="LA128" s="131"/>
      <c r="LB128" s="131"/>
      <c r="LC128" s="131"/>
      <c r="LD128" s="131"/>
      <c r="LE128" s="131"/>
      <c r="LF128" s="131"/>
      <c r="LG128" s="131"/>
      <c r="LH128" s="131"/>
      <c r="LI128" s="131"/>
      <c r="LJ128" s="131"/>
      <c r="LK128" s="131"/>
      <c r="LL128" s="131"/>
      <c r="LM128" s="131"/>
      <c r="LN128" s="131"/>
      <c r="LO128" s="131"/>
      <c r="LP128" s="131"/>
      <c r="LQ128" s="131"/>
      <c r="LR128" s="131"/>
      <c r="LS128" s="131"/>
      <c r="LT128" s="131"/>
      <c r="LU128" s="131"/>
      <c r="LV128" s="131"/>
      <c r="LW128" s="131"/>
      <c r="LX128" s="131"/>
      <c r="LY128" s="131"/>
      <c r="LZ128" s="131"/>
      <c r="MA128" s="131"/>
      <c r="MB128" s="131"/>
    </row>
    <row r="129" spans="1:340" s="50" customFormat="1" ht="31.5" customHeight="1" thickBot="1">
      <c r="A129" s="44"/>
      <c r="B129" s="45"/>
      <c r="C129" s="52"/>
      <c r="D129" s="47"/>
      <c r="E129" s="115"/>
      <c r="F129" s="48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49"/>
      <c r="BZ129" s="49"/>
      <c r="CA129" s="49"/>
      <c r="CB129" s="49"/>
      <c r="CC129" s="49"/>
      <c r="CD129" s="49"/>
      <c r="CE129" s="49"/>
      <c r="CF129" s="49"/>
      <c r="CG129" s="49"/>
      <c r="CH129" s="49"/>
      <c r="CI129" s="49"/>
      <c r="CJ129" s="49"/>
      <c r="CK129" s="49"/>
      <c r="CL129" s="49"/>
      <c r="CM129" s="49"/>
      <c r="CN129" s="49"/>
      <c r="CO129" s="49"/>
      <c r="CP129" s="49"/>
      <c r="CQ129" s="49"/>
      <c r="CR129" s="49"/>
      <c r="CS129" s="49"/>
      <c r="CT129" s="49"/>
      <c r="CU129" s="49"/>
      <c r="CV129" s="49"/>
      <c r="CW129" s="49"/>
      <c r="CX129" s="49"/>
      <c r="CY129" s="49"/>
      <c r="CZ129" s="49"/>
      <c r="DA129" s="49"/>
      <c r="DB129" s="49"/>
      <c r="DC129" s="49"/>
      <c r="DD129" s="49"/>
      <c r="DE129" s="49"/>
      <c r="DF129" s="49"/>
      <c r="DG129" s="49"/>
      <c r="DH129" s="49"/>
      <c r="DI129" s="49"/>
      <c r="DJ129" s="49"/>
      <c r="DK129" s="49"/>
      <c r="DL129" s="49"/>
      <c r="DM129" s="49"/>
      <c r="DN129" s="49"/>
      <c r="DO129" s="49"/>
      <c r="DP129" s="49"/>
      <c r="DQ129" s="49"/>
      <c r="DR129" s="49"/>
      <c r="DS129" s="49"/>
      <c r="DT129" s="49"/>
      <c r="DU129" s="49"/>
      <c r="DV129" s="49"/>
      <c r="DW129" s="49"/>
      <c r="DX129" s="49"/>
      <c r="DY129" s="49"/>
      <c r="DZ129" s="49"/>
      <c r="EA129" s="49"/>
      <c r="EB129" s="49"/>
      <c r="EC129" s="49"/>
      <c r="ED129" s="49"/>
      <c r="EE129" s="49"/>
      <c r="EF129" s="49"/>
      <c r="EG129" s="49"/>
      <c r="EH129" s="49"/>
      <c r="EI129" s="49"/>
      <c r="EJ129" s="49"/>
      <c r="EK129" s="49"/>
      <c r="EL129" s="49"/>
      <c r="EM129" s="49"/>
      <c r="EN129" s="49"/>
      <c r="EO129" s="49"/>
      <c r="EP129" s="49"/>
      <c r="EQ129" s="49"/>
      <c r="ER129" s="49"/>
      <c r="ES129" s="49"/>
      <c r="ET129" s="49"/>
      <c r="EU129" s="49"/>
      <c r="EV129" s="49"/>
      <c r="EW129" s="49"/>
      <c r="EX129" s="49"/>
      <c r="EY129" s="49"/>
      <c r="EZ129" s="49"/>
      <c r="FA129" s="49"/>
      <c r="FB129" s="49"/>
      <c r="FC129" s="49"/>
      <c r="FD129" s="49"/>
      <c r="FE129" s="49"/>
      <c r="FF129" s="49"/>
      <c r="FG129" s="49"/>
      <c r="FH129" s="49"/>
      <c r="FI129" s="49"/>
      <c r="FJ129" s="49"/>
      <c r="FK129" s="49"/>
      <c r="FL129" s="49"/>
      <c r="FM129" s="49"/>
      <c r="FN129" s="49"/>
      <c r="FO129" s="49"/>
      <c r="FP129" s="49"/>
      <c r="FQ129" s="49"/>
      <c r="FR129" s="49"/>
      <c r="FS129" s="49"/>
      <c r="FT129" s="49"/>
      <c r="FU129" s="49"/>
      <c r="FV129" s="49"/>
      <c r="FW129" s="49"/>
      <c r="FX129" s="49"/>
      <c r="FY129" s="49"/>
      <c r="FZ129" s="49"/>
      <c r="GA129" s="49"/>
      <c r="GB129" s="49"/>
      <c r="GC129" s="49"/>
      <c r="GD129" s="49"/>
      <c r="GE129" s="49"/>
      <c r="GF129" s="49"/>
      <c r="GG129" s="49"/>
      <c r="GH129" s="49"/>
      <c r="GI129" s="49"/>
      <c r="GJ129" s="49"/>
      <c r="GK129" s="49"/>
      <c r="GL129" s="49"/>
      <c r="GM129" s="49"/>
      <c r="GN129" s="49"/>
      <c r="GO129" s="49"/>
      <c r="GP129" s="49"/>
      <c r="GQ129" s="49"/>
      <c r="GR129" s="49"/>
      <c r="GS129" s="49"/>
      <c r="GT129" s="49"/>
      <c r="GU129" s="49"/>
      <c r="GV129" s="49"/>
      <c r="GW129" s="49"/>
      <c r="GX129" s="49"/>
      <c r="GY129" s="49"/>
      <c r="GZ129" s="49"/>
      <c r="HA129" s="49"/>
      <c r="HB129" s="49"/>
      <c r="HC129" s="49"/>
      <c r="HD129" s="49"/>
      <c r="HE129" s="49"/>
      <c r="HF129" s="49"/>
      <c r="HG129" s="49"/>
      <c r="HH129" s="49"/>
      <c r="HI129" s="49"/>
      <c r="HJ129" s="49"/>
      <c r="HK129" s="49"/>
      <c r="HL129" s="49"/>
      <c r="HM129" s="49"/>
      <c r="HN129" s="49"/>
      <c r="HO129" s="49"/>
      <c r="HP129" s="49"/>
      <c r="HQ129" s="49"/>
      <c r="HR129" s="49"/>
      <c r="HS129" s="49"/>
      <c r="HT129" s="49"/>
      <c r="HU129" s="49"/>
      <c r="HV129" s="49"/>
      <c r="HW129" s="49"/>
      <c r="HX129" s="49"/>
      <c r="HY129" s="49"/>
      <c r="HZ129" s="49"/>
      <c r="IA129" s="49"/>
      <c r="IB129" s="49"/>
      <c r="IC129" s="49"/>
      <c r="ID129" s="49"/>
      <c r="IE129" s="49"/>
      <c r="IF129" s="49"/>
      <c r="IG129" s="49"/>
      <c r="IH129" s="49"/>
      <c r="II129" s="49"/>
      <c r="IJ129" s="49"/>
      <c r="IK129" s="49"/>
      <c r="IL129" s="49"/>
      <c r="IM129" s="49"/>
      <c r="IN129" s="49"/>
      <c r="IO129" s="49"/>
      <c r="IP129" s="49"/>
      <c r="IQ129" s="49"/>
      <c r="IR129" s="49"/>
      <c r="IS129" s="49"/>
      <c r="IT129" s="49"/>
      <c r="IU129" s="49"/>
      <c r="IV129" s="49"/>
      <c r="IW129" s="49"/>
      <c r="IX129" s="49"/>
      <c r="IY129" s="49"/>
      <c r="IZ129" s="49"/>
      <c r="JA129" s="49"/>
      <c r="JB129" s="49"/>
      <c r="JC129" s="49"/>
      <c r="JD129" s="49"/>
      <c r="JE129" s="49"/>
      <c r="JF129" s="49"/>
      <c r="JG129" s="49"/>
      <c r="JH129" s="49"/>
      <c r="JI129" s="49"/>
      <c r="JJ129" s="49"/>
      <c r="JK129" s="49"/>
      <c r="JL129" s="49"/>
      <c r="JM129" s="49"/>
      <c r="JN129" s="49"/>
      <c r="JO129" s="49"/>
      <c r="JP129" s="49"/>
      <c r="JQ129" s="49"/>
      <c r="JR129" s="49"/>
      <c r="JS129" s="49"/>
      <c r="JT129" s="49"/>
      <c r="JU129" s="49"/>
      <c r="JV129" s="49"/>
      <c r="JW129" s="49"/>
      <c r="JX129" s="49"/>
      <c r="JY129" s="49"/>
      <c r="JZ129" s="49"/>
      <c r="KA129" s="49"/>
      <c r="KB129" s="49"/>
      <c r="KC129" s="49"/>
      <c r="KD129" s="49"/>
      <c r="KE129" s="49"/>
      <c r="KF129" s="49"/>
      <c r="KG129" s="49"/>
      <c r="KH129" s="49"/>
      <c r="KI129" s="49"/>
      <c r="KJ129" s="49"/>
      <c r="KK129" s="49"/>
      <c r="KL129" s="49"/>
      <c r="KM129" s="49"/>
      <c r="KN129" s="49"/>
      <c r="KO129" s="49"/>
      <c r="KP129" s="49"/>
      <c r="KQ129" s="49"/>
      <c r="KR129" s="49"/>
      <c r="KS129" s="49"/>
      <c r="KT129" s="49"/>
      <c r="KU129" s="49"/>
      <c r="KV129" s="49"/>
      <c r="KW129" s="49"/>
      <c r="KX129" s="49"/>
      <c r="KY129" s="49"/>
      <c r="KZ129" s="49"/>
      <c r="LA129" s="49"/>
      <c r="LB129" s="49"/>
      <c r="LC129" s="49"/>
      <c r="LD129" s="49"/>
      <c r="LE129" s="49"/>
      <c r="LF129" s="49"/>
      <c r="LG129" s="49"/>
      <c r="LH129" s="49"/>
      <c r="LI129" s="49"/>
      <c r="LJ129" s="49"/>
      <c r="LK129" s="49"/>
      <c r="LL129" s="49"/>
      <c r="LM129" s="49"/>
      <c r="LN129" s="49"/>
      <c r="LO129" s="49"/>
      <c r="LP129" s="49"/>
      <c r="LQ129" s="49"/>
      <c r="LR129" s="49"/>
      <c r="LS129" s="49"/>
      <c r="LT129" s="49"/>
      <c r="LU129" s="49"/>
      <c r="LV129" s="49"/>
      <c r="LW129" s="49"/>
      <c r="LX129" s="49"/>
      <c r="LY129" s="49"/>
      <c r="LZ129" s="49"/>
      <c r="MA129" s="49"/>
      <c r="MB129" s="49"/>
    </row>
    <row r="130" spans="1:340" s="50" customFormat="1" ht="31.5" customHeight="1" thickTop="1" thickBot="1">
      <c r="A130" s="198" t="s">
        <v>205</v>
      </c>
      <c r="B130" s="198"/>
      <c r="C130" s="198"/>
      <c r="D130" s="198"/>
      <c r="E130" s="198"/>
      <c r="F130" s="199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  <c r="CU130" s="53"/>
      <c r="CV130" s="53"/>
      <c r="CW130" s="5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53"/>
      <c r="ED130" s="53"/>
      <c r="EE130" s="53"/>
      <c r="EF130" s="53"/>
      <c r="EG130" s="53"/>
      <c r="EH130" s="53"/>
      <c r="EI130" s="53"/>
      <c r="EJ130" s="53"/>
      <c r="EK130" s="53"/>
      <c r="EL130" s="53"/>
      <c r="EM130" s="53"/>
      <c r="EN130" s="53"/>
      <c r="EO130" s="53"/>
      <c r="EP130" s="53"/>
      <c r="EQ130" s="53"/>
      <c r="ER130" s="53"/>
      <c r="ES130" s="53"/>
      <c r="ET130" s="53"/>
      <c r="EU130" s="53"/>
      <c r="EV130" s="53"/>
      <c r="EW130" s="53"/>
      <c r="EX130" s="53"/>
      <c r="EY130" s="53"/>
      <c r="EZ130" s="53"/>
      <c r="FA130" s="53"/>
      <c r="FB130" s="53"/>
      <c r="FC130" s="53"/>
      <c r="FD130" s="53"/>
      <c r="FE130" s="53"/>
      <c r="FF130" s="53"/>
      <c r="FG130" s="53"/>
      <c r="FH130" s="53"/>
      <c r="FI130" s="53"/>
      <c r="FJ130" s="53"/>
      <c r="FK130" s="53"/>
      <c r="FL130" s="53"/>
      <c r="FM130" s="53"/>
      <c r="FN130" s="53"/>
      <c r="FO130" s="53"/>
      <c r="FP130" s="53"/>
      <c r="FQ130" s="53"/>
      <c r="FR130" s="53"/>
      <c r="FS130" s="53"/>
      <c r="FT130" s="53"/>
      <c r="FU130" s="53"/>
      <c r="FV130" s="53"/>
      <c r="FW130" s="53"/>
      <c r="FX130" s="53"/>
      <c r="FY130" s="53"/>
      <c r="FZ130" s="53"/>
      <c r="GA130" s="53"/>
      <c r="GB130" s="53"/>
      <c r="GC130" s="53"/>
      <c r="GD130" s="53"/>
      <c r="GE130" s="53"/>
      <c r="GF130" s="53"/>
      <c r="GG130" s="53"/>
      <c r="GH130" s="53"/>
      <c r="GI130" s="53"/>
      <c r="GJ130" s="53"/>
      <c r="GK130" s="53"/>
      <c r="GL130" s="53"/>
      <c r="GM130" s="53"/>
      <c r="GN130" s="53"/>
      <c r="GO130" s="53"/>
      <c r="GP130" s="53"/>
      <c r="GQ130" s="53"/>
      <c r="GR130" s="53"/>
      <c r="GS130" s="53"/>
      <c r="GT130" s="53"/>
      <c r="GU130" s="53"/>
      <c r="GV130" s="53"/>
      <c r="GW130" s="53"/>
      <c r="GX130" s="53"/>
      <c r="GY130" s="53"/>
      <c r="GZ130" s="53"/>
      <c r="HA130" s="53"/>
      <c r="HB130" s="53"/>
      <c r="HC130" s="53"/>
      <c r="HD130" s="53"/>
      <c r="HE130" s="53"/>
      <c r="HF130" s="53"/>
      <c r="HG130" s="53"/>
      <c r="HH130" s="53"/>
      <c r="HI130" s="53"/>
      <c r="HJ130" s="53"/>
      <c r="HK130" s="53"/>
      <c r="HL130" s="53"/>
      <c r="HM130" s="53"/>
      <c r="HN130" s="53"/>
      <c r="HO130" s="53"/>
      <c r="HP130" s="53"/>
      <c r="HQ130" s="53"/>
      <c r="HR130" s="53"/>
      <c r="HS130" s="53"/>
      <c r="HT130" s="53"/>
      <c r="HU130" s="53"/>
      <c r="HV130" s="53"/>
      <c r="HW130" s="53"/>
      <c r="HX130" s="53"/>
      <c r="HY130" s="53"/>
      <c r="HZ130" s="53"/>
      <c r="IA130" s="53"/>
      <c r="IB130" s="53"/>
      <c r="IC130" s="53"/>
      <c r="ID130" s="53"/>
      <c r="IE130" s="53"/>
      <c r="IF130" s="53"/>
      <c r="IG130" s="53"/>
      <c r="IH130" s="53"/>
      <c r="II130" s="53"/>
      <c r="IJ130" s="53"/>
      <c r="IK130" s="53"/>
      <c r="IL130" s="53"/>
      <c r="IM130" s="53"/>
      <c r="IN130" s="53"/>
      <c r="IO130" s="53"/>
      <c r="IP130" s="53"/>
      <c r="IQ130" s="53"/>
      <c r="IR130" s="53"/>
      <c r="IS130" s="53"/>
      <c r="IT130" s="53"/>
      <c r="IU130" s="53"/>
      <c r="IV130" s="53"/>
      <c r="IW130" s="53"/>
      <c r="IX130" s="53"/>
      <c r="IY130" s="53"/>
      <c r="IZ130" s="53"/>
      <c r="JA130" s="53"/>
      <c r="JB130" s="53"/>
      <c r="JC130" s="53"/>
      <c r="JD130" s="53"/>
      <c r="JE130" s="53"/>
      <c r="JF130" s="53"/>
      <c r="JG130" s="53"/>
      <c r="JH130" s="53"/>
      <c r="JI130" s="53"/>
      <c r="JJ130" s="53"/>
      <c r="JK130" s="53"/>
      <c r="JL130" s="53"/>
      <c r="JM130" s="53"/>
      <c r="JN130" s="53"/>
      <c r="JO130" s="53"/>
      <c r="JP130" s="53"/>
      <c r="JQ130" s="53"/>
      <c r="JR130" s="53"/>
      <c r="JS130" s="53"/>
      <c r="JT130" s="53"/>
      <c r="JU130" s="53"/>
      <c r="JV130" s="53"/>
      <c r="JW130" s="53"/>
      <c r="JX130" s="53"/>
      <c r="JY130" s="53"/>
      <c r="JZ130" s="53"/>
      <c r="KA130" s="53"/>
      <c r="KB130" s="53"/>
      <c r="KC130" s="53"/>
      <c r="KD130" s="53"/>
      <c r="KE130" s="53"/>
      <c r="KF130" s="53"/>
      <c r="KG130" s="53"/>
      <c r="KH130" s="53"/>
      <c r="KI130" s="53"/>
      <c r="KJ130" s="53"/>
      <c r="KK130" s="53"/>
      <c r="KL130" s="53"/>
      <c r="KM130" s="53"/>
      <c r="KN130" s="53"/>
      <c r="KO130" s="53"/>
      <c r="KP130" s="53"/>
      <c r="KQ130" s="53"/>
      <c r="KR130" s="53"/>
      <c r="KS130" s="53"/>
      <c r="KT130" s="53"/>
      <c r="KU130" s="53"/>
      <c r="KV130" s="53"/>
      <c r="KW130" s="53"/>
      <c r="KX130" s="53"/>
      <c r="KY130" s="53"/>
      <c r="KZ130" s="53"/>
      <c r="LA130" s="53"/>
      <c r="LB130" s="53"/>
      <c r="LC130" s="53"/>
      <c r="LD130" s="53"/>
      <c r="LE130" s="53"/>
      <c r="LF130" s="53"/>
      <c r="LG130" s="53"/>
      <c r="LH130" s="53"/>
      <c r="LI130" s="53"/>
      <c r="LJ130" s="53"/>
      <c r="LK130" s="53"/>
      <c r="LL130" s="53"/>
      <c r="LM130" s="53"/>
      <c r="LN130" s="53"/>
      <c r="LO130" s="53"/>
      <c r="LP130" s="53"/>
      <c r="LQ130" s="53"/>
      <c r="LR130" s="53"/>
      <c r="LS130" s="53"/>
      <c r="LT130" s="53"/>
      <c r="LU130" s="53"/>
      <c r="LV130" s="53"/>
      <c r="LW130" s="53"/>
      <c r="LX130" s="53"/>
      <c r="LY130" s="53"/>
      <c r="LZ130" s="53"/>
      <c r="MA130" s="53"/>
      <c r="MB130" s="53"/>
    </row>
    <row r="131" spans="1:340" s="50" customFormat="1" ht="31.5" customHeight="1" thickBot="1">
      <c r="A131" s="44"/>
      <c r="B131" s="165"/>
      <c r="C131" s="167"/>
      <c r="D131" s="167"/>
      <c r="E131" s="167"/>
      <c r="F131" s="166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4"/>
      <c r="U131" s="164"/>
      <c r="V131" s="164"/>
      <c r="W131" s="164"/>
      <c r="X131" s="164"/>
      <c r="Y131" s="164"/>
      <c r="Z131" s="164"/>
      <c r="AA131" s="164"/>
      <c r="AB131" s="164"/>
      <c r="AC131" s="164"/>
      <c r="AD131" s="164"/>
      <c r="AE131" s="164"/>
      <c r="AF131" s="164"/>
      <c r="AG131" s="164"/>
      <c r="AH131" s="164"/>
      <c r="AI131" s="164"/>
      <c r="AJ131" s="164"/>
      <c r="AK131" s="164"/>
      <c r="AL131" s="164"/>
      <c r="AM131" s="164"/>
      <c r="AN131" s="164"/>
      <c r="AO131" s="164"/>
      <c r="AP131" s="164"/>
      <c r="AQ131" s="164"/>
      <c r="AR131" s="164"/>
      <c r="AS131" s="164"/>
      <c r="AT131" s="164"/>
      <c r="AU131" s="164"/>
      <c r="AV131" s="164"/>
      <c r="AW131" s="164"/>
      <c r="AX131" s="164"/>
      <c r="AY131" s="164"/>
      <c r="AZ131" s="164"/>
      <c r="BA131" s="164"/>
      <c r="BB131" s="164"/>
      <c r="BC131" s="164"/>
      <c r="BD131" s="164"/>
      <c r="BE131" s="164"/>
      <c r="BF131" s="164"/>
      <c r="BG131" s="164"/>
      <c r="BH131" s="164"/>
      <c r="BI131" s="164"/>
      <c r="BJ131" s="164"/>
      <c r="BK131" s="164"/>
      <c r="BL131" s="164"/>
      <c r="BM131" s="164"/>
      <c r="BN131" s="164"/>
      <c r="BO131" s="164"/>
      <c r="BP131" s="164"/>
      <c r="BQ131" s="164"/>
      <c r="BR131" s="164"/>
      <c r="BS131" s="164"/>
      <c r="BT131" s="164"/>
      <c r="BU131" s="164"/>
      <c r="BV131" s="164"/>
      <c r="BW131" s="164"/>
      <c r="BX131" s="164"/>
      <c r="BY131" s="164"/>
      <c r="BZ131" s="164"/>
      <c r="CA131" s="164"/>
      <c r="CB131" s="164"/>
      <c r="CC131" s="164"/>
      <c r="CD131" s="164"/>
      <c r="CE131" s="164"/>
      <c r="CF131" s="164"/>
      <c r="CG131" s="164"/>
      <c r="CH131" s="164"/>
      <c r="CI131" s="164"/>
      <c r="CJ131" s="164"/>
      <c r="CK131" s="164"/>
      <c r="CL131" s="164"/>
      <c r="CM131" s="164"/>
      <c r="CN131" s="164"/>
      <c r="CO131" s="164"/>
      <c r="CP131" s="164"/>
      <c r="CQ131" s="164"/>
      <c r="CR131" s="164"/>
      <c r="CS131" s="164"/>
      <c r="CT131" s="164"/>
      <c r="CU131" s="164"/>
      <c r="CV131" s="164"/>
      <c r="CW131" s="164"/>
      <c r="CX131" s="164"/>
      <c r="CY131" s="164"/>
      <c r="CZ131" s="164"/>
      <c r="DA131" s="164"/>
      <c r="DB131" s="164"/>
      <c r="DC131" s="164"/>
      <c r="DD131" s="164"/>
      <c r="DE131" s="164"/>
      <c r="DF131" s="164"/>
      <c r="DG131" s="164"/>
      <c r="DH131" s="164"/>
      <c r="DI131" s="164"/>
      <c r="DJ131" s="164"/>
      <c r="DK131" s="164"/>
      <c r="DL131" s="164"/>
      <c r="DM131" s="164"/>
      <c r="DN131" s="164"/>
      <c r="DO131" s="164"/>
      <c r="DP131" s="164"/>
      <c r="DQ131" s="164"/>
      <c r="DR131" s="164"/>
      <c r="DS131" s="164"/>
      <c r="DT131" s="164"/>
      <c r="DU131" s="164"/>
      <c r="DV131" s="164"/>
      <c r="DW131" s="164"/>
      <c r="DX131" s="164"/>
      <c r="DY131" s="164"/>
      <c r="DZ131" s="164"/>
      <c r="EA131" s="164"/>
      <c r="EB131" s="164"/>
      <c r="EC131" s="164"/>
      <c r="ED131" s="164"/>
      <c r="EE131" s="164"/>
      <c r="EF131" s="164"/>
      <c r="EG131" s="164"/>
      <c r="EH131" s="164"/>
      <c r="EI131" s="164"/>
      <c r="EJ131" s="164"/>
      <c r="EK131" s="164"/>
      <c r="EL131" s="164"/>
      <c r="EM131" s="164"/>
      <c r="EN131" s="164"/>
      <c r="EO131" s="164"/>
      <c r="EP131" s="164"/>
      <c r="EQ131" s="164"/>
      <c r="ER131" s="164"/>
      <c r="ES131" s="164"/>
      <c r="ET131" s="164"/>
      <c r="EU131" s="164"/>
      <c r="EV131" s="164"/>
      <c r="EW131" s="164"/>
      <c r="EX131" s="164"/>
      <c r="EY131" s="164"/>
      <c r="EZ131" s="164"/>
      <c r="FA131" s="164"/>
      <c r="FB131" s="164"/>
      <c r="FC131" s="164"/>
      <c r="FD131" s="164"/>
      <c r="FE131" s="164"/>
      <c r="FF131" s="164"/>
      <c r="FG131" s="164"/>
      <c r="FH131" s="164"/>
      <c r="FI131" s="164"/>
      <c r="FJ131" s="164"/>
      <c r="FK131" s="164"/>
      <c r="FL131" s="164"/>
      <c r="FM131" s="164"/>
      <c r="FN131" s="164"/>
      <c r="FO131" s="164"/>
      <c r="FP131" s="164"/>
      <c r="FQ131" s="164"/>
      <c r="FR131" s="164"/>
      <c r="FS131" s="164"/>
      <c r="FT131" s="164"/>
      <c r="FU131" s="164"/>
      <c r="FV131" s="164"/>
      <c r="FW131" s="164"/>
      <c r="FX131" s="164"/>
      <c r="FY131" s="164"/>
      <c r="FZ131" s="164"/>
      <c r="GA131" s="164"/>
      <c r="GB131" s="164"/>
      <c r="GC131" s="164"/>
      <c r="GD131" s="164"/>
      <c r="GE131" s="164"/>
      <c r="GF131" s="164"/>
      <c r="GG131" s="164"/>
      <c r="GH131" s="164"/>
      <c r="GI131" s="164"/>
      <c r="GJ131" s="164"/>
      <c r="GK131" s="164"/>
      <c r="GL131" s="164"/>
      <c r="GM131" s="164"/>
      <c r="GN131" s="164"/>
      <c r="GO131" s="164"/>
      <c r="GP131" s="164"/>
      <c r="GQ131" s="164"/>
      <c r="GR131" s="164"/>
      <c r="GS131" s="164"/>
      <c r="GT131" s="164"/>
      <c r="GU131" s="164"/>
      <c r="GV131" s="164"/>
      <c r="GW131" s="164"/>
      <c r="GX131" s="164"/>
      <c r="GY131" s="164"/>
      <c r="GZ131" s="164"/>
      <c r="HA131" s="164"/>
      <c r="HB131" s="164"/>
      <c r="HC131" s="164"/>
      <c r="HD131" s="164"/>
      <c r="HE131" s="164"/>
      <c r="HF131" s="164"/>
      <c r="HG131" s="164"/>
      <c r="HH131" s="164"/>
      <c r="HI131" s="164"/>
      <c r="HJ131" s="164"/>
      <c r="HK131" s="164"/>
      <c r="HL131" s="164"/>
      <c r="HM131" s="164"/>
      <c r="HN131" s="164"/>
      <c r="HO131" s="164"/>
      <c r="HP131" s="164"/>
      <c r="HQ131" s="164"/>
      <c r="HR131" s="164"/>
      <c r="HS131" s="164"/>
      <c r="HT131" s="164"/>
      <c r="HU131" s="164"/>
      <c r="HV131" s="164"/>
      <c r="HW131" s="164"/>
      <c r="HX131" s="164"/>
      <c r="HY131" s="164"/>
      <c r="HZ131" s="164"/>
      <c r="IA131" s="164"/>
      <c r="IB131" s="164"/>
      <c r="IC131" s="164"/>
      <c r="ID131" s="164"/>
      <c r="IE131" s="164"/>
      <c r="IF131" s="164"/>
      <c r="IG131" s="164"/>
      <c r="IH131" s="164"/>
      <c r="II131" s="164"/>
      <c r="IJ131" s="164"/>
      <c r="IK131" s="164"/>
      <c r="IL131" s="164"/>
      <c r="IM131" s="164"/>
      <c r="IN131" s="164"/>
      <c r="IO131" s="164"/>
      <c r="IP131" s="164"/>
      <c r="IQ131" s="164"/>
      <c r="IR131" s="164"/>
      <c r="IS131" s="164"/>
      <c r="IT131" s="164"/>
      <c r="IU131" s="164"/>
      <c r="IV131" s="164"/>
      <c r="IW131" s="164"/>
      <c r="IX131" s="164"/>
      <c r="IY131" s="164"/>
      <c r="IZ131" s="164"/>
      <c r="JA131" s="164"/>
      <c r="JB131" s="164"/>
      <c r="JC131" s="164"/>
      <c r="JD131" s="164"/>
      <c r="JE131" s="164"/>
      <c r="JF131" s="164"/>
      <c r="JG131" s="164"/>
      <c r="JH131" s="164"/>
      <c r="JI131" s="164"/>
      <c r="JJ131" s="164"/>
      <c r="JK131" s="164"/>
      <c r="JL131" s="164"/>
      <c r="JM131" s="164"/>
      <c r="JN131" s="164"/>
      <c r="JO131" s="164"/>
      <c r="JP131" s="164"/>
      <c r="JQ131" s="164"/>
      <c r="JR131" s="164"/>
      <c r="JS131" s="164"/>
      <c r="JT131" s="164"/>
      <c r="JU131" s="164"/>
      <c r="JV131" s="164"/>
      <c r="JW131" s="164"/>
      <c r="JX131" s="164"/>
      <c r="JY131" s="164"/>
      <c r="JZ131" s="164"/>
      <c r="KA131" s="164"/>
      <c r="KB131" s="164"/>
      <c r="KC131" s="164"/>
      <c r="KD131" s="164"/>
      <c r="KE131" s="164"/>
      <c r="KF131" s="164"/>
      <c r="KG131" s="164"/>
      <c r="KH131" s="164"/>
      <c r="KI131" s="164"/>
      <c r="KJ131" s="164"/>
      <c r="KK131" s="164"/>
      <c r="KL131" s="164"/>
      <c r="KM131" s="164"/>
      <c r="KN131" s="164"/>
      <c r="KO131" s="164"/>
      <c r="KP131" s="164"/>
      <c r="KQ131" s="164"/>
      <c r="KR131" s="164"/>
      <c r="KS131" s="164"/>
      <c r="KT131" s="164"/>
      <c r="KU131" s="164"/>
      <c r="KV131" s="164"/>
      <c r="KW131" s="164"/>
      <c r="KX131" s="164"/>
      <c r="KY131" s="164"/>
      <c r="KZ131" s="164"/>
      <c r="LA131" s="164"/>
      <c r="LB131" s="164"/>
      <c r="LC131" s="164"/>
      <c r="LD131" s="164"/>
      <c r="LE131" s="164"/>
      <c r="LF131" s="164"/>
      <c r="LG131" s="164"/>
      <c r="LH131" s="164"/>
      <c r="LI131" s="164"/>
      <c r="LJ131" s="164"/>
      <c r="LK131" s="164"/>
      <c r="LL131" s="164"/>
      <c r="LM131" s="164"/>
      <c r="LN131" s="164"/>
      <c r="LO131" s="164"/>
      <c r="LP131" s="164"/>
      <c r="LQ131" s="164"/>
      <c r="LR131" s="164"/>
      <c r="LS131" s="164"/>
      <c r="LT131" s="164"/>
      <c r="LU131" s="164"/>
      <c r="LV131" s="164"/>
      <c r="LW131" s="164"/>
      <c r="LX131" s="164"/>
      <c r="LY131" s="164"/>
      <c r="LZ131" s="164"/>
      <c r="MA131" s="164"/>
      <c r="MB131" s="164"/>
    </row>
    <row r="132" spans="1:340" s="50" customFormat="1" ht="31.5" customHeight="1" thickBot="1">
      <c r="A132" s="44"/>
      <c r="B132" s="45"/>
      <c r="C132" s="52"/>
      <c r="D132" s="47"/>
      <c r="E132" s="115"/>
      <c r="F132" s="48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  <c r="AT132" s="49"/>
      <c r="AU132" s="49"/>
      <c r="AV132" s="49"/>
      <c r="AW132" s="49"/>
      <c r="AX132" s="49"/>
      <c r="AY132" s="49"/>
      <c r="AZ132" s="49"/>
      <c r="BA132" s="49"/>
      <c r="BB132" s="49"/>
      <c r="BC132" s="49"/>
      <c r="BD132" s="49"/>
      <c r="BE132" s="49"/>
      <c r="BF132" s="49"/>
      <c r="BG132" s="49"/>
      <c r="BH132" s="49"/>
      <c r="BI132" s="49"/>
      <c r="BJ132" s="49"/>
      <c r="BK132" s="49"/>
      <c r="BL132" s="49"/>
      <c r="BM132" s="49"/>
      <c r="BN132" s="49"/>
      <c r="BO132" s="49"/>
      <c r="BP132" s="49"/>
      <c r="BQ132" s="49"/>
      <c r="BR132" s="49"/>
      <c r="BS132" s="49"/>
      <c r="BT132" s="49"/>
      <c r="BU132" s="49"/>
      <c r="BV132" s="49"/>
      <c r="BW132" s="49"/>
      <c r="BX132" s="49"/>
      <c r="BY132" s="49"/>
      <c r="BZ132" s="49"/>
      <c r="CA132" s="49"/>
      <c r="CB132" s="49"/>
      <c r="CC132" s="49"/>
      <c r="CD132" s="49"/>
      <c r="CE132" s="49"/>
      <c r="CF132" s="49"/>
      <c r="CG132" s="49"/>
      <c r="CH132" s="49"/>
      <c r="CI132" s="49"/>
      <c r="CJ132" s="49"/>
      <c r="CK132" s="49"/>
      <c r="CL132" s="49"/>
      <c r="CM132" s="49"/>
      <c r="CN132" s="49"/>
      <c r="CO132" s="49"/>
      <c r="CP132" s="49"/>
      <c r="CQ132" s="49"/>
      <c r="CR132" s="49"/>
      <c r="CS132" s="49"/>
      <c r="CT132" s="49"/>
      <c r="CU132" s="49"/>
      <c r="CV132" s="49"/>
      <c r="CW132" s="49"/>
      <c r="CX132" s="49"/>
      <c r="CY132" s="49"/>
      <c r="CZ132" s="49"/>
      <c r="DA132" s="49"/>
      <c r="DB132" s="49"/>
      <c r="DC132" s="49"/>
      <c r="DD132" s="49"/>
      <c r="DE132" s="49"/>
      <c r="DF132" s="49"/>
      <c r="DG132" s="49"/>
      <c r="DH132" s="49"/>
      <c r="DI132" s="49"/>
      <c r="DJ132" s="49"/>
      <c r="DK132" s="49"/>
      <c r="DL132" s="49"/>
      <c r="DM132" s="49"/>
      <c r="DN132" s="49"/>
      <c r="DO132" s="49"/>
      <c r="DP132" s="49"/>
      <c r="DQ132" s="49"/>
      <c r="DR132" s="49"/>
      <c r="DS132" s="49"/>
      <c r="DT132" s="49"/>
      <c r="DU132" s="49"/>
      <c r="DV132" s="49"/>
      <c r="DW132" s="49"/>
      <c r="DX132" s="49"/>
      <c r="DY132" s="49"/>
      <c r="DZ132" s="49"/>
      <c r="EA132" s="49"/>
      <c r="EB132" s="49"/>
      <c r="EC132" s="49"/>
      <c r="ED132" s="49"/>
      <c r="EE132" s="49"/>
      <c r="EF132" s="49"/>
      <c r="EG132" s="49"/>
      <c r="EH132" s="49"/>
      <c r="EI132" s="49"/>
      <c r="EJ132" s="49"/>
      <c r="EK132" s="49"/>
      <c r="EL132" s="49"/>
      <c r="EM132" s="49"/>
      <c r="EN132" s="49"/>
      <c r="EO132" s="49"/>
      <c r="EP132" s="49"/>
      <c r="EQ132" s="49"/>
      <c r="ER132" s="49"/>
      <c r="ES132" s="49"/>
      <c r="ET132" s="49"/>
      <c r="EU132" s="49"/>
      <c r="EV132" s="49"/>
      <c r="EW132" s="49"/>
      <c r="EX132" s="49"/>
      <c r="EY132" s="49"/>
      <c r="EZ132" s="49"/>
      <c r="FA132" s="49"/>
      <c r="FB132" s="49"/>
      <c r="FC132" s="49"/>
      <c r="FD132" s="49"/>
      <c r="FE132" s="49"/>
      <c r="FF132" s="49"/>
      <c r="FG132" s="49"/>
      <c r="FH132" s="49"/>
      <c r="FI132" s="49"/>
      <c r="FJ132" s="49"/>
      <c r="FK132" s="49"/>
      <c r="FL132" s="49"/>
      <c r="FM132" s="49"/>
      <c r="FN132" s="49"/>
      <c r="FO132" s="49"/>
      <c r="FP132" s="49"/>
      <c r="FQ132" s="49"/>
      <c r="FR132" s="49"/>
      <c r="FS132" s="49"/>
      <c r="FT132" s="49"/>
      <c r="FU132" s="49"/>
      <c r="FV132" s="49"/>
      <c r="FW132" s="49"/>
      <c r="FX132" s="49"/>
      <c r="FY132" s="49"/>
      <c r="FZ132" s="49"/>
      <c r="GA132" s="49"/>
      <c r="GB132" s="49"/>
      <c r="GC132" s="49"/>
      <c r="GD132" s="49"/>
      <c r="GE132" s="49"/>
      <c r="GF132" s="49"/>
      <c r="GG132" s="49"/>
      <c r="GH132" s="49"/>
      <c r="GI132" s="49"/>
      <c r="GJ132" s="49"/>
      <c r="GK132" s="49"/>
      <c r="GL132" s="49"/>
      <c r="GM132" s="49"/>
      <c r="GN132" s="49"/>
      <c r="GO132" s="49"/>
      <c r="GP132" s="49"/>
      <c r="GQ132" s="49"/>
      <c r="GR132" s="49"/>
      <c r="GS132" s="49"/>
      <c r="GT132" s="49"/>
      <c r="GU132" s="49"/>
      <c r="GV132" s="49"/>
      <c r="GW132" s="49"/>
      <c r="GX132" s="49"/>
      <c r="GY132" s="49"/>
      <c r="GZ132" s="49"/>
      <c r="HA132" s="49"/>
      <c r="HB132" s="49"/>
      <c r="HC132" s="49"/>
      <c r="HD132" s="49"/>
      <c r="HE132" s="49"/>
      <c r="HF132" s="49"/>
      <c r="HG132" s="49"/>
      <c r="HH132" s="49"/>
      <c r="HI132" s="49"/>
      <c r="HJ132" s="49"/>
      <c r="HK132" s="49"/>
      <c r="HL132" s="49"/>
      <c r="HM132" s="49"/>
      <c r="HN132" s="49"/>
      <c r="HO132" s="49"/>
      <c r="HP132" s="49"/>
      <c r="HQ132" s="49"/>
      <c r="HR132" s="49"/>
      <c r="HS132" s="49"/>
      <c r="HT132" s="49"/>
      <c r="HU132" s="49"/>
      <c r="HV132" s="49"/>
      <c r="HW132" s="49"/>
      <c r="HX132" s="49"/>
      <c r="HY132" s="49"/>
      <c r="HZ132" s="49"/>
      <c r="IA132" s="49"/>
      <c r="IB132" s="49"/>
      <c r="IC132" s="49"/>
      <c r="ID132" s="49"/>
      <c r="IE132" s="49"/>
      <c r="IF132" s="49"/>
      <c r="IG132" s="49"/>
      <c r="IH132" s="49"/>
      <c r="II132" s="49"/>
      <c r="IJ132" s="49"/>
      <c r="IK132" s="49"/>
      <c r="IL132" s="49"/>
      <c r="IM132" s="49"/>
      <c r="IN132" s="49"/>
      <c r="IO132" s="49"/>
      <c r="IP132" s="49"/>
      <c r="IQ132" s="49"/>
      <c r="IR132" s="49"/>
      <c r="IS132" s="49"/>
      <c r="IT132" s="49"/>
      <c r="IU132" s="49"/>
      <c r="IV132" s="49"/>
      <c r="IW132" s="49"/>
      <c r="IX132" s="49"/>
      <c r="IY132" s="49"/>
      <c r="IZ132" s="49"/>
      <c r="JA132" s="49"/>
      <c r="JB132" s="49"/>
      <c r="JC132" s="49"/>
      <c r="JD132" s="49"/>
      <c r="JE132" s="49"/>
      <c r="JF132" s="49"/>
      <c r="JG132" s="49"/>
      <c r="JH132" s="49"/>
      <c r="JI132" s="49"/>
      <c r="JJ132" s="49"/>
      <c r="JK132" s="49"/>
      <c r="JL132" s="49"/>
      <c r="JM132" s="49"/>
      <c r="JN132" s="49"/>
      <c r="JO132" s="49"/>
      <c r="JP132" s="49"/>
      <c r="JQ132" s="49"/>
      <c r="JR132" s="49"/>
      <c r="JS132" s="49"/>
      <c r="JT132" s="49"/>
      <c r="JU132" s="49"/>
      <c r="JV132" s="49"/>
      <c r="JW132" s="49"/>
      <c r="JX132" s="49"/>
      <c r="JY132" s="49"/>
      <c r="JZ132" s="49"/>
      <c r="KA132" s="49"/>
      <c r="KB132" s="49"/>
      <c r="KC132" s="49"/>
      <c r="KD132" s="49"/>
      <c r="KE132" s="49"/>
      <c r="KF132" s="49"/>
      <c r="KG132" s="49"/>
      <c r="KH132" s="49"/>
      <c r="KI132" s="49"/>
      <c r="KJ132" s="49"/>
      <c r="KK132" s="49"/>
      <c r="KL132" s="49"/>
      <c r="KM132" s="49"/>
      <c r="KN132" s="49"/>
      <c r="KO132" s="49"/>
      <c r="KP132" s="49"/>
      <c r="KQ132" s="49"/>
      <c r="KR132" s="49"/>
      <c r="KS132" s="49"/>
      <c r="KT132" s="49"/>
      <c r="KU132" s="49"/>
      <c r="KV132" s="49"/>
      <c r="KW132" s="49"/>
      <c r="KX132" s="49"/>
      <c r="KY132" s="49"/>
      <c r="KZ132" s="49"/>
      <c r="LA132" s="49"/>
      <c r="LB132" s="49"/>
      <c r="LC132" s="49"/>
      <c r="LD132" s="49"/>
      <c r="LE132" s="49"/>
      <c r="LF132" s="49"/>
      <c r="LG132" s="49"/>
      <c r="LH132" s="49"/>
      <c r="LI132" s="49"/>
      <c r="LJ132" s="49"/>
      <c r="LK132" s="49"/>
      <c r="LL132" s="49"/>
      <c r="LM132" s="49"/>
      <c r="LN132" s="49"/>
      <c r="LO132" s="49"/>
      <c r="LP132" s="49"/>
      <c r="LQ132" s="49"/>
      <c r="LR132" s="49"/>
      <c r="LS132" s="49"/>
      <c r="LT132" s="49"/>
      <c r="LU132" s="49"/>
      <c r="LV132" s="49"/>
      <c r="LW132" s="49"/>
      <c r="LX132" s="49"/>
      <c r="LY132" s="49"/>
      <c r="LZ132" s="49"/>
      <c r="MA132" s="49"/>
      <c r="MB132" s="49"/>
    </row>
    <row r="133" spans="1:340" s="50" customFormat="1" ht="31.5" customHeight="1" thickTop="1" thickBot="1">
      <c r="A133" s="198" t="s">
        <v>206</v>
      </c>
      <c r="B133" s="198"/>
      <c r="C133" s="198"/>
      <c r="D133" s="198"/>
      <c r="E133" s="198"/>
      <c r="F133" s="199"/>
      <c r="G133" s="55"/>
      <c r="H133" s="55"/>
      <c r="I133" s="55"/>
      <c r="J133" s="55"/>
      <c r="K133" s="55"/>
      <c r="L133" s="55"/>
      <c r="M133" s="55"/>
      <c r="N133" s="55" t="s">
        <v>207</v>
      </c>
      <c r="O133" s="55"/>
      <c r="P133" s="55" t="s">
        <v>208</v>
      </c>
      <c r="Q133" s="55"/>
      <c r="R133" s="55" t="s">
        <v>209</v>
      </c>
      <c r="S133" s="55" t="s">
        <v>209</v>
      </c>
      <c r="T133" s="55" t="s">
        <v>210</v>
      </c>
      <c r="U133" s="55"/>
      <c r="V133" s="55" t="s">
        <v>207</v>
      </c>
      <c r="W133" s="55" t="s">
        <v>210</v>
      </c>
      <c r="X133" s="55"/>
      <c r="Y133" s="55" t="s">
        <v>210</v>
      </c>
      <c r="Z133" s="55" t="s">
        <v>207</v>
      </c>
      <c r="AA133" s="55" t="s">
        <v>211</v>
      </c>
      <c r="AB133" s="55"/>
      <c r="AC133" s="55"/>
      <c r="AD133" s="55"/>
      <c r="AE133" s="55"/>
      <c r="AF133" s="55" t="s">
        <v>212</v>
      </c>
      <c r="AG133" s="55"/>
      <c r="AH133" s="55"/>
      <c r="AI133" s="55" t="s">
        <v>207</v>
      </c>
      <c r="AJ133" s="55" t="s">
        <v>208</v>
      </c>
      <c r="AK133" s="55"/>
      <c r="AL133" s="55"/>
      <c r="AM133" s="55"/>
      <c r="AN133" s="55"/>
      <c r="AO133" s="55"/>
      <c r="AP133" s="55" t="s">
        <v>213</v>
      </c>
      <c r="AQ133" s="55" t="s">
        <v>214</v>
      </c>
      <c r="AR133" s="55" t="s">
        <v>215</v>
      </c>
      <c r="AS133" s="55"/>
      <c r="AT133" s="55"/>
      <c r="AU133" s="55" t="s">
        <v>216</v>
      </c>
      <c r="AV133" s="55"/>
      <c r="AW133" s="55"/>
      <c r="AX133" s="149"/>
      <c r="AY133" s="149"/>
      <c r="AZ133" s="149"/>
      <c r="BA133" s="149" t="s">
        <v>217</v>
      </c>
      <c r="BB133" s="55"/>
      <c r="BC133" s="55"/>
      <c r="BD133" s="55" t="s">
        <v>218</v>
      </c>
      <c r="BE133" s="55"/>
      <c r="BF133" s="55" t="s">
        <v>209</v>
      </c>
      <c r="BG133" s="55" t="s">
        <v>209</v>
      </c>
      <c r="BH133" s="55"/>
      <c r="BI133" s="55"/>
      <c r="BJ133" s="55"/>
      <c r="BK133" s="55" t="s">
        <v>219</v>
      </c>
      <c r="BL133" s="55" t="s">
        <v>219</v>
      </c>
      <c r="BM133" s="55" t="s">
        <v>219</v>
      </c>
      <c r="BN133" s="55" t="s">
        <v>219</v>
      </c>
      <c r="BO133" s="55" t="s">
        <v>219</v>
      </c>
      <c r="BP133" s="55" t="s">
        <v>219</v>
      </c>
      <c r="BQ133" s="55" t="s">
        <v>219</v>
      </c>
      <c r="BR133" s="55" t="s">
        <v>219</v>
      </c>
      <c r="BS133" s="55" t="s">
        <v>219</v>
      </c>
      <c r="BT133" s="55" t="s">
        <v>219</v>
      </c>
      <c r="BU133" s="55" t="s">
        <v>219</v>
      </c>
      <c r="BV133" s="55" t="s">
        <v>219</v>
      </c>
      <c r="BW133" s="55" t="s">
        <v>219</v>
      </c>
      <c r="BX133" s="55" t="s">
        <v>219</v>
      </c>
      <c r="BY133" s="55" t="s">
        <v>219</v>
      </c>
      <c r="BZ133" s="55" t="s">
        <v>219</v>
      </c>
      <c r="CA133" s="55" t="s">
        <v>219</v>
      </c>
      <c r="CB133" s="55" t="s">
        <v>219</v>
      </c>
      <c r="CC133" s="55" t="s">
        <v>220</v>
      </c>
      <c r="CD133" s="55" t="s">
        <v>221</v>
      </c>
      <c r="CE133" s="55" t="s">
        <v>222</v>
      </c>
      <c r="CF133" s="169" t="s">
        <v>223</v>
      </c>
      <c r="CG133" s="169" t="s">
        <v>223</v>
      </c>
      <c r="CH133" s="169" t="s">
        <v>223</v>
      </c>
      <c r="CI133" s="169" t="s">
        <v>223</v>
      </c>
      <c r="CJ133" s="169" t="s">
        <v>223</v>
      </c>
      <c r="CK133" s="169"/>
      <c r="CL133" s="169"/>
      <c r="CM133" s="169" t="s">
        <v>224</v>
      </c>
      <c r="CN133" s="169" t="s">
        <v>224</v>
      </c>
      <c r="CO133" s="55"/>
      <c r="CP133" s="55" t="s">
        <v>225</v>
      </c>
      <c r="CQ133" s="55" t="s">
        <v>226</v>
      </c>
      <c r="CR133" s="55" t="s">
        <v>227</v>
      </c>
      <c r="CS133" s="55"/>
      <c r="CT133" s="55"/>
      <c r="CU133" s="55"/>
      <c r="CV133" s="55"/>
      <c r="CW133" s="55"/>
      <c r="CX133" s="55" t="s">
        <v>228</v>
      </c>
      <c r="CY133" s="55" t="s">
        <v>228</v>
      </c>
      <c r="CZ133" s="55" t="s">
        <v>228</v>
      </c>
      <c r="DA133" s="55" t="s">
        <v>229</v>
      </c>
      <c r="DB133" s="55"/>
      <c r="DC133" s="55"/>
      <c r="DD133" s="55"/>
      <c r="DE133" s="55"/>
      <c r="DF133" s="55"/>
      <c r="DG133" s="55"/>
      <c r="DH133" s="55"/>
      <c r="DI133" s="55"/>
      <c r="DJ133" s="55"/>
      <c r="DK133" s="55"/>
      <c r="DL133" s="55"/>
      <c r="DM133" s="55"/>
      <c r="DN133" s="55"/>
      <c r="DO133" s="55" t="s">
        <v>230</v>
      </c>
      <c r="DP133" s="55"/>
      <c r="DQ133" s="55"/>
      <c r="DR133" s="55"/>
      <c r="DS133" s="55"/>
      <c r="DT133" s="55"/>
      <c r="DU133" s="55"/>
      <c r="DV133" s="55"/>
      <c r="DW133" s="55" t="s">
        <v>207</v>
      </c>
      <c r="DX133" s="55"/>
      <c r="DY133" s="55"/>
      <c r="DZ133" s="55" t="s">
        <v>207</v>
      </c>
      <c r="EA133" s="55"/>
      <c r="EB133" s="55" t="s">
        <v>231</v>
      </c>
      <c r="EC133" s="55"/>
      <c r="ED133" s="55"/>
      <c r="EE133" s="55"/>
      <c r="EF133" s="55"/>
      <c r="EG133" s="55"/>
      <c r="EH133" s="55"/>
      <c r="EI133" s="55"/>
      <c r="EJ133" s="55"/>
      <c r="EK133" s="55"/>
      <c r="EL133" s="55"/>
      <c r="EM133" s="55"/>
      <c r="EN133" s="55"/>
      <c r="EO133" s="55"/>
      <c r="EP133" s="55"/>
      <c r="EQ133" s="55"/>
      <c r="ER133" s="55"/>
      <c r="ES133" s="55"/>
      <c r="ET133" s="55"/>
      <c r="EU133" s="55" t="s">
        <v>207</v>
      </c>
      <c r="EV133" s="55"/>
      <c r="EW133" s="55" t="s">
        <v>207</v>
      </c>
      <c r="EX133" s="55" t="s">
        <v>207</v>
      </c>
      <c r="EY133" s="55"/>
      <c r="EZ133" s="55"/>
      <c r="FA133" s="55"/>
      <c r="FB133" s="55" t="s">
        <v>207</v>
      </c>
      <c r="FC133" s="55" t="s">
        <v>232</v>
      </c>
      <c r="FD133" s="55" t="s">
        <v>233</v>
      </c>
      <c r="FE133" s="55" t="s">
        <v>234</v>
      </c>
      <c r="FF133" s="55" t="s">
        <v>235</v>
      </c>
      <c r="FG133" s="55" t="s">
        <v>235</v>
      </c>
      <c r="FH133" s="55" t="s">
        <v>235</v>
      </c>
      <c r="FI133" s="55" t="s">
        <v>235</v>
      </c>
      <c r="FJ133" s="55" t="s">
        <v>235</v>
      </c>
      <c r="FK133" s="55" t="s">
        <v>235</v>
      </c>
      <c r="FL133" s="55" t="s">
        <v>235</v>
      </c>
      <c r="FM133" s="55" t="s">
        <v>235</v>
      </c>
      <c r="FN133" s="55" t="s">
        <v>235</v>
      </c>
      <c r="FO133" s="55" t="s">
        <v>235</v>
      </c>
      <c r="FP133" s="55" t="s">
        <v>235</v>
      </c>
      <c r="FQ133" s="55" t="s">
        <v>235</v>
      </c>
      <c r="FR133" s="55" t="s">
        <v>235</v>
      </c>
      <c r="FS133" s="55" t="s">
        <v>235</v>
      </c>
      <c r="FT133" s="55" t="s">
        <v>235</v>
      </c>
      <c r="FU133" s="55" t="s">
        <v>235</v>
      </c>
      <c r="FV133" s="55" t="s">
        <v>235</v>
      </c>
      <c r="FW133" s="55" t="s">
        <v>235</v>
      </c>
      <c r="FX133" s="55" t="s">
        <v>235</v>
      </c>
      <c r="FY133" s="55" t="s">
        <v>235</v>
      </c>
      <c r="FZ133" s="55" t="s">
        <v>235</v>
      </c>
      <c r="GA133" s="55" t="s">
        <v>235</v>
      </c>
      <c r="GB133" s="55" t="s">
        <v>235</v>
      </c>
      <c r="GC133" s="55" t="s">
        <v>235</v>
      </c>
      <c r="GD133" s="55" t="s">
        <v>235</v>
      </c>
      <c r="GE133" s="55" t="s">
        <v>235</v>
      </c>
      <c r="GF133" s="55" t="s">
        <v>236</v>
      </c>
      <c r="GG133" s="55"/>
      <c r="GH133" s="55"/>
      <c r="GI133" s="55"/>
      <c r="GJ133" s="55" t="s">
        <v>236</v>
      </c>
      <c r="GK133" s="55"/>
      <c r="GL133" s="55" t="s">
        <v>236</v>
      </c>
      <c r="GM133" s="55" t="s">
        <v>207</v>
      </c>
      <c r="GN133" s="55"/>
      <c r="GO133" s="55"/>
      <c r="GP133" s="55" t="s">
        <v>236</v>
      </c>
      <c r="GQ133" s="55"/>
      <c r="GR133" s="55"/>
      <c r="GS133" s="55" t="s">
        <v>236</v>
      </c>
      <c r="GT133" s="55" t="s">
        <v>237</v>
      </c>
      <c r="GU133" s="55" t="s">
        <v>209</v>
      </c>
      <c r="GV133" s="55" t="s">
        <v>209</v>
      </c>
      <c r="GW133" s="55"/>
      <c r="GX133" s="55" t="s">
        <v>236</v>
      </c>
      <c r="GY133" s="55" t="s">
        <v>236</v>
      </c>
      <c r="GZ133" s="55" t="s">
        <v>207</v>
      </c>
      <c r="HA133" s="55"/>
      <c r="HB133" s="55"/>
      <c r="HC133" s="55" t="s">
        <v>238</v>
      </c>
      <c r="HD133" s="55" t="s">
        <v>207</v>
      </c>
      <c r="HE133" s="55" t="s">
        <v>239</v>
      </c>
      <c r="HF133" s="55" t="s">
        <v>207</v>
      </c>
      <c r="HG133" s="55" t="s">
        <v>240</v>
      </c>
      <c r="HH133" s="55"/>
      <c r="HI133" s="55"/>
      <c r="HJ133" s="55" t="s">
        <v>241</v>
      </c>
      <c r="HK133" s="55" t="s">
        <v>242</v>
      </c>
      <c r="HL133" s="55"/>
      <c r="HM133" s="55"/>
      <c r="HN133" s="55"/>
      <c r="HO133" s="55"/>
      <c r="HP133" s="55"/>
      <c r="HQ133" s="55"/>
      <c r="HR133" s="55"/>
      <c r="HS133" s="55" t="s">
        <v>236</v>
      </c>
      <c r="HT133" s="55"/>
      <c r="HU133" s="55"/>
      <c r="HV133" s="55"/>
      <c r="HW133" s="55"/>
      <c r="HX133" s="55"/>
      <c r="HY133" s="55"/>
      <c r="HZ133" s="55"/>
      <c r="IA133" s="55"/>
      <c r="IB133" s="55" t="s">
        <v>236</v>
      </c>
      <c r="IC133" s="55"/>
      <c r="ID133" s="55"/>
      <c r="IE133" s="55"/>
      <c r="IF133" s="55"/>
      <c r="IG133" s="55" t="s">
        <v>243</v>
      </c>
      <c r="IH133" s="55"/>
      <c r="II133" s="55" t="s">
        <v>244</v>
      </c>
      <c r="IJ133" s="55"/>
      <c r="IK133" s="55" t="s">
        <v>207</v>
      </c>
      <c r="IL133" s="55"/>
      <c r="IM133" s="55" t="s">
        <v>207</v>
      </c>
      <c r="IN133" s="55"/>
      <c r="IO133" s="55"/>
      <c r="IP133" s="55" t="s">
        <v>245</v>
      </c>
      <c r="IQ133" s="55"/>
      <c r="IR133" s="55"/>
      <c r="IS133" s="55"/>
      <c r="IT133" s="55"/>
      <c r="IU133" s="55" t="s">
        <v>235</v>
      </c>
      <c r="IV133" s="55" t="s">
        <v>235</v>
      </c>
      <c r="IW133" s="55" t="s">
        <v>235</v>
      </c>
      <c r="IX133" s="55" t="s">
        <v>235</v>
      </c>
      <c r="IY133" s="55" t="s">
        <v>235</v>
      </c>
      <c r="IZ133" s="55" t="s">
        <v>235</v>
      </c>
      <c r="JA133" s="55" t="s">
        <v>235</v>
      </c>
      <c r="JB133" s="55" t="s">
        <v>235</v>
      </c>
      <c r="JC133" s="55" t="s">
        <v>235</v>
      </c>
      <c r="JD133" s="55" t="s">
        <v>235</v>
      </c>
      <c r="JE133" s="55" t="s">
        <v>235</v>
      </c>
      <c r="JF133" s="55" t="s">
        <v>235</v>
      </c>
      <c r="JG133" s="55" t="s">
        <v>235</v>
      </c>
      <c r="JH133" s="55" t="s">
        <v>235</v>
      </c>
      <c r="JI133" s="55"/>
      <c r="JJ133" s="55"/>
      <c r="JK133" s="55"/>
      <c r="JL133" s="55"/>
      <c r="JM133" s="55"/>
      <c r="JN133" s="55"/>
      <c r="JO133" s="55"/>
      <c r="JP133" s="55"/>
      <c r="JQ133" s="55"/>
      <c r="JR133" s="55"/>
      <c r="JS133" s="55"/>
      <c r="JT133" s="55"/>
      <c r="JU133" s="55"/>
      <c r="JV133" s="55"/>
      <c r="JW133" s="55"/>
      <c r="JX133" s="55"/>
      <c r="JY133" s="55"/>
      <c r="JZ133" s="55"/>
      <c r="KA133" s="55"/>
      <c r="KB133" s="55"/>
      <c r="KC133" s="55"/>
      <c r="KD133" s="55"/>
      <c r="KE133" s="55"/>
      <c r="KF133" s="55"/>
      <c r="KG133" s="55"/>
      <c r="KH133" s="55"/>
      <c r="KI133" s="55"/>
      <c r="KJ133" s="55"/>
      <c r="KK133" s="55"/>
      <c r="KL133" s="55"/>
      <c r="KM133" s="55"/>
      <c r="KN133" s="55"/>
      <c r="KO133" s="55"/>
      <c r="KP133" s="55"/>
      <c r="KQ133" s="55"/>
      <c r="KR133" s="55"/>
      <c r="KS133" s="55"/>
      <c r="KT133" s="55"/>
      <c r="KU133" s="55"/>
      <c r="KV133" s="55"/>
      <c r="KW133" s="55"/>
      <c r="KX133" s="55"/>
      <c r="KY133" s="55"/>
      <c r="KZ133" s="55"/>
      <c r="LA133" s="55"/>
      <c r="LB133" s="55"/>
      <c r="LC133" s="55"/>
      <c r="LD133" s="55"/>
      <c r="LE133" s="55"/>
      <c r="LF133" s="55"/>
      <c r="LG133" s="55"/>
      <c r="LH133" s="55"/>
      <c r="LI133" s="55"/>
      <c r="LJ133" s="55"/>
      <c r="LK133" s="55"/>
      <c r="LL133" s="55"/>
      <c r="LM133" s="55"/>
      <c r="LN133" s="55"/>
      <c r="LO133" s="55"/>
      <c r="LP133" s="55"/>
      <c r="LQ133" s="55"/>
      <c r="LR133" s="55"/>
      <c r="LS133" s="55"/>
      <c r="LT133" s="55"/>
      <c r="LU133" s="55"/>
      <c r="LV133" s="55"/>
      <c r="LW133" s="55"/>
      <c r="LX133" s="55"/>
      <c r="LY133" s="55"/>
      <c r="LZ133" s="55"/>
      <c r="MA133" s="55"/>
      <c r="MB133" s="55"/>
    </row>
    <row r="134" spans="1:340" s="50" customFormat="1" ht="31.5" customHeight="1" thickBot="1">
      <c r="A134" s="44"/>
      <c r="B134" s="95"/>
      <c r="C134" s="96"/>
      <c r="D134" s="97"/>
      <c r="E134" s="97"/>
      <c r="F134" s="98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 t="s">
        <v>209</v>
      </c>
      <c r="U134" s="60" t="s">
        <v>209</v>
      </c>
      <c r="V134" s="60"/>
      <c r="W134" s="60" t="s">
        <v>207</v>
      </c>
      <c r="X134" s="60"/>
      <c r="Y134" s="60" t="s">
        <v>246</v>
      </c>
      <c r="Z134" s="60"/>
      <c r="AA134" s="60" t="s">
        <v>209</v>
      </c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 t="s">
        <v>247</v>
      </c>
      <c r="BE134" s="60"/>
      <c r="BF134" s="60"/>
      <c r="BG134" s="60"/>
      <c r="BH134" s="60"/>
      <c r="BI134" s="60"/>
      <c r="BJ134" s="60"/>
      <c r="BK134" s="60"/>
      <c r="BL134" s="60" t="s">
        <v>248</v>
      </c>
      <c r="BM134" s="60" t="s">
        <v>247</v>
      </c>
      <c r="BN134" s="60"/>
      <c r="BO134" s="60" t="s">
        <v>249</v>
      </c>
      <c r="BP134" s="60"/>
      <c r="BQ134" s="60"/>
      <c r="BR134" s="60"/>
      <c r="BS134" s="60"/>
      <c r="BT134" s="60"/>
      <c r="BU134" s="60"/>
      <c r="BV134" s="60" t="s">
        <v>235</v>
      </c>
      <c r="BW134" s="60" t="s">
        <v>235</v>
      </c>
      <c r="BX134" s="60" t="s">
        <v>235</v>
      </c>
      <c r="BY134" s="60" t="s">
        <v>235</v>
      </c>
      <c r="BZ134" s="62"/>
      <c r="CA134" s="62" t="s">
        <v>232</v>
      </c>
      <c r="CB134" s="61" t="s">
        <v>250</v>
      </c>
      <c r="CC134" s="60"/>
      <c r="CD134" s="61" t="s">
        <v>250</v>
      </c>
      <c r="CE134" s="60" t="s">
        <v>250</v>
      </c>
      <c r="CF134" s="60" t="s">
        <v>250</v>
      </c>
      <c r="CG134" s="60" t="s">
        <v>250</v>
      </c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  <c r="EP134" s="60"/>
      <c r="EQ134" s="60"/>
      <c r="ER134" s="60"/>
      <c r="ES134" s="60"/>
      <c r="ET134" s="60"/>
      <c r="EU134" s="60"/>
      <c r="EV134" s="60"/>
      <c r="EW134" s="60"/>
      <c r="EX134" s="60"/>
      <c r="EY134" s="60"/>
      <c r="EZ134" s="60"/>
      <c r="FA134" s="60"/>
      <c r="FB134" s="60" t="s">
        <v>251</v>
      </c>
      <c r="FC134" s="60" t="s">
        <v>207</v>
      </c>
      <c r="FD134" s="60"/>
      <c r="FE134" s="60" t="s">
        <v>251</v>
      </c>
      <c r="FF134" s="60"/>
      <c r="FG134" s="60"/>
      <c r="FH134" s="60"/>
      <c r="FI134" s="60"/>
      <c r="FJ134" s="60"/>
      <c r="FK134" s="60"/>
      <c r="FL134" s="60"/>
      <c r="FM134" s="60" t="s">
        <v>236</v>
      </c>
      <c r="FN134" s="60" t="s">
        <v>236</v>
      </c>
      <c r="FO134" s="60" t="s">
        <v>236</v>
      </c>
      <c r="FP134" s="60"/>
      <c r="FQ134" s="60"/>
      <c r="FR134" s="60"/>
      <c r="FS134" s="60"/>
      <c r="FT134" s="60"/>
      <c r="FU134" s="60"/>
      <c r="FV134" s="60"/>
      <c r="FW134" s="60" t="s">
        <v>252</v>
      </c>
      <c r="FX134" s="60" t="s">
        <v>236</v>
      </c>
      <c r="FY134" s="60" t="s">
        <v>236</v>
      </c>
      <c r="FZ134" s="60" t="s">
        <v>236</v>
      </c>
      <c r="GA134" s="60"/>
      <c r="GB134" s="60"/>
      <c r="GC134" s="60"/>
      <c r="GD134" s="60"/>
      <c r="GE134" s="60" t="s">
        <v>236</v>
      </c>
      <c r="GF134" s="60" t="s">
        <v>236</v>
      </c>
      <c r="GG134" s="60"/>
      <c r="GH134" s="60"/>
      <c r="GI134" s="60"/>
      <c r="GJ134" s="60" t="s">
        <v>236</v>
      </c>
      <c r="GK134" s="60"/>
      <c r="GL134" s="60"/>
      <c r="GM134" s="60"/>
      <c r="GN134" s="60"/>
      <c r="GO134" s="60"/>
      <c r="GP134" s="60" t="s">
        <v>253</v>
      </c>
      <c r="GQ134" s="60"/>
      <c r="GR134" s="60"/>
      <c r="GS134" s="60"/>
      <c r="GT134" s="60"/>
      <c r="GU134" s="60" t="s">
        <v>207</v>
      </c>
      <c r="GV134" s="60" t="s">
        <v>207</v>
      </c>
      <c r="GW134" s="60"/>
      <c r="GX134" s="60" t="s">
        <v>209</v>
      </c>
      <c r="GY134" s="60"/>
      <c r="GZ134" s="60"/>
      <c r="HA134" s="60"/>
      <c r="HB134" s="60"/>
      <c r="HC134" s="60"/>
      <c r="HD134" s="60"/>
      <c r="HE134" s="60"/>
      <c r="HF134" s="60"/>
      <c r="HH134" s="60"/>
      <c r="HI134" s="60"/>
      <c r="HJ134" s="60"/>
      <c r="HK134" s="60"/>
      <c r="HL134" s="60"/>
      <c r="HM134" s="60"/>
      <c r="HN134" s="60"/>
      <c r="HO134" s="60"/>
      <c r="HP134" s="60"/>
      <c r="HQ134" s="60"/>
      <c r="HR134" s="60"/>
      <c r="HS134" s="60"/>
      <c r="HT134" s="60"/>
      <c r="HU134" s="60"/>
      <c r="HV134" s="60"/>
      <c r="HW134" s="60"/>
      <c r="HX134" s="60"/>
      <c r="HY134" s="60"/>
      <c r="HZ134" s="60"/>
      <c r="IA134" s="60"/>
      <c r="IB134" s="60"/>
      <c r="IC134" s="60"/>
      <c r="ID134" s="60"/>
      <c r="IE134" s="60"/>
      <c r="IF134" s="60"/>
      <c r="IG134" s="60"/>
      <c r="IH134" s="60"/>
      <c r="II134" s="60"/>
      <c r="IJ134" s="60"/>
      <c r="IK134" s="60"/>
      <c r="IL134" s="60"/>
      <c r="IM134" s="60"/>
      <c r="IN134" s="60"/>
      <c r="IO134" s="60"/>
      <c r="IP134" s="60"/>
      <c r="IQ134" s="60"/>
      <c r="IR134" s="60"/>
      <c r="IS134" s="60"/>
      <c r="IT134" s="60"/>
      <c r="IU134" s="60"/>
      <c r="IV134" s="60"/>
      <c r="IW134" s="60"/>
      <c r="IX134" s="60"/>
      <c r="IY134" s="60"/>
      <c r="IZ134" s="60"/>
      <c r="JA134" s="60"/>
      <c r="JB134" s="60"/>
      <c r="JC134" s="60" t="s">
        <v>236</v>
      </c>
      <c r="JD134" s="60"/>
      <c r="JE134" s="60"/>
      <c r="JF134" s="60"/>
      <c r="JG134" s="60"/>
      <c r="JH134" s="60"/>
      <c r="JI134" s="60"/>
      <c r="JJ134" s="60"/>
      <c r="JK134" s="60"/>
      <c r="JL134" s="60"/>
      <c r="JM134" s="60"/>
      <c r="JN134" s="60"/>
      <c r="JO134" s="60"/>
      <c r="JP134" s="60"/>
      <c r="JQ134" s="60"/>
      <c r="JR134" s="60"/>
      <c r="JS134" s="60"/>
      <c r="JT134" s="60"/>
      <c r="JU134" s="60"/>
      <c r="JV134" s="60"/>
      <c r="JW134" s="60"/>
      <c r="JX134" s="60"/>
      <c r="JY134" s="60"/>
      <c r="JZ134" s="60"/>
      <c r="KA134" s="60"/>
      <c r="KB134" s="60"/>
      <c r="KC134" s="60"/>
      <c r="KD134" s="60"/>
      <c r="KE134" s="60"/>
      <c r="KF134" s="60"/>
      <c r="KG134" s="60"/>
      <c r="KH134" s="60"/>
      <c r="KI134" s="60"/>
      <c r="KJ134" s="60"/>
      <c r="KK134" s="60"/>
      <c r="KL134" s="60"/>
      <c r="KM134" s="60"/>
      <c r="KN134" s="60"/>
      <c r="KO134" s="60"/>
      <c r="KP134" s="60"/>
      <c r="KQ134" s="60"/>
      <c r="KR134" s="60"/>
      <c r="KS134" s="60"/>
      <c r="KT134" s="60"/>
      <c r="KU134" s="60"/>
      <c r="KV134" s="60"/>
      <c r="KW134" s="60"/>
      <c r="KX134" s="60"/>
      <c r="KY134" s="60"/>
      <c r="KZ134" s="60"/>
      <c r="LA134" s="60"/>
      <c r="LB134" s="60"/>
      <c r="LC134" s="60"/>
      <c r="LD134" s="60"/>
      <c r="LE134" s="60"/>
      <c r="LF134" s="60"/>
      <c r="LG134" s="60"/>
      <c r="LH134" s="60"/>
      <c r="LI134" s="60"/>
      <c r="LJ134" s="60"/>
      <c r="LK134" s="60"/>
      <c r="LL134" s="60"/>
      <c r="LM134" s="60"/>
      <c r="LN134" s="60"/>
      <c r="LO134" s="60"/>
      <c r="LP134" s="60"/>
      <c r="LQ134" s="60"/>
      <c r="LR134" s="60"/>
      <c r="LS134" s="60"/>
      <c r="LT134" s="60"/>
      <c r="LU134" s="60"/>
      <c r="LV134" s="60"/>
      <c r="LW134" s="60"/>
      <c r="LX134" s="60"/>
      <c r="LY134" s="60"/>
      <c r="LZ134" s="60"/>
      <c r="MA134" s="60"/>
      <c r="MB134" s="60"/>
    </row>
    <row r="135" spans="1:340" s="50" customFormat="1" ht="31.5" customHeight="1" thickBot="1">
      <c r="A135" s="44"/>
      <c r="B135" s="56"/>
      <c r="C135" s="57"/>
      <c r="D135" s="58"/>
      <c r="E135" s="58"/>
      <c r="F135" s="59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137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 t="s">
        <v>237</v>
      </c>
      <c r="BN135" s="60"/>
      <c r="BO135" s="60"/>
      <c r="BP135" s="60"/>
      <c r="BQ135" s="60"/>
      <c r="BR135" s="60"/>
      <c r="BS135" s="60"/>
      <c r="BT135" s="60"/>
      <c r="BU135" s="60"/>
      <c r="BV135" s="62" t="s">
        <v>176</v>
      </c>
      <c r="BW135" s="60" t="s">
        <v>254</v>
      </c>
      <c r="BX135" s="60" t="s">
        <v>254</v>
      </c>
      <c r="BY135" s="62" t="s">
        <v>255</v>
      </c>
      <c r="BZ135" s="62"/>
      <c r="CA135" s="62"/>
      <c r="CB135" s="62" t="s">
        <v>220</v>
      </c>
      <c r="CC135" s="61"/>
      <c r="CD135" s="60"/>
      <c r="CE135" s="60"/>
      <c r="CF135" s="60" t="s">
        <v>256</v>
      </c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  <c r="DN135" s="60"/>
      <c r="DO135" s="60"/>
      <c r="DP135" s="60"/>
      <c r="DQ135" s="60"/>
      <c r="DR135" s="60"/>
      <c r="DS135" s="60"/>
      <c r="DT135" s="60"/>
      <c r="DU135" s="60"/>
      <c r="DV135" s="60"/>
      <c r="DW135" s="60"/>
      <c r="DX135" s="60"/>
      <c r="DY135" s="60"/>
      <c r="DZ135" s="60"/>
      <c r="EA135" s="60"/>
      <c r="EB135" s="60"/>
      <c r="EC135" s="60"/>
      <c r="ED135" s="60"/>
      <c r="EE135" s="60"/>
      <c r="EF135" s="60"/>
      <c r="EG135" s="60"/>
      <c r="EH135" s="60"/>
      <c r="EI135" s="60"/>
      <c r="EJ135" s="60"/>
      <c r="EK135" s="60"/>
      <c r="EL135" s="60"/>
      <c r="EM135" s="60"/>
      <c r="EN135" s="60"/>
      <c r="EO135" s="60"/>
      <c r="EP135" s="60"/>
      <c r="EQ135" s="60"/>
      <c r="ER135" s="60"/>
      <c r="ES135" s="60"/>
      <c r="ET135" s="60"/>
      <c r="EU135" s="60"/>
      <c r="EV135" s="60"/>
      <c r="EW135" s="60"/>
      <c r="EX135" s="60"/>
      <c r="EY135" s="60"/>
      <c r="EZ135" s="60"/>
      <c r="FA135" s="60"/>
      <c r="FB135" s="60"/>
      <c r="FC135" s="60"/>
      <c r="FD135" s="60"/>
      <c r="FE135" s="60"/>
      <c r="FF135" s="60"/>
      <c r="FG135" s="60"/>
      <c r="FH135" s="60"/>
      <c r="FI135" s="60"/>
      <c r="FJ135" s="60"/>
      <c r="FK135" s="60"/>
      <c r="FL135" s="60"/>
      <c r="FM135" s="60" t="s">
        <v>236</v>
      </c>
      <c r="FN135" s="60" t="s">
        <v>236</v>
      </c>
      <c r="FO135" s="60" t="s">
        <v>236</v>
      </c>
      <c r="FP135" s="60"/>
      <c r="FQ135" s="60"/>
      <c r="FR135" s="60"/>
      <c r="FS135" s="60"/>
      <c r="FT135" s="60"/>
      <c r="FU135" s="60"/>
      <c r="FV135" s="60"/>
      <c r="FW135" s="60"/>
      <c r="FX135" s="60" t="s">
        <v>236</v>
      </c>
      <c r="FY135" s="60" t="s">
        <v>236</v>
      </c>
      <c r="FZ135" s="60" t="s">
        <v>236</v>
      </c>
      <c r="GA135" s="60"/>
      <c r="GB135" s="60"/>
      <c r="GC135" s="60"/>
      <c r="GD135" s="60"/>
      <c r="GE135" s="60" t="s">
        <v>236</v>
      </c>
      <c r="GF135" s="60"/>
      <c r="GG135" s="60"/>
      <c r="GH135" s="60"/>
      <c r="GI135" s="60"/>
      <c r="GJ135" s="60"/>
      <c r="GK135" s="60"/>
      <c r="GL135" s="60"/>
      <c r="GM135" s="60"/>
      <c r="GN135" s="60"/>
      <c r="GO135" s="60"/>
      <c r="GP135" s="60"/>
      <c r="GQ135" s="60"/>
      <c r="GR135" s="60"/>
      <c r="GS135" s="60"/>
      <c r="GT135" s="60"/>
      <c r="GU135" s="60"/>
      <c r="GV135" s="60"/>
      <c r="GW135" s="60"/>
      <c r="GX135" s="60"/>
      <c r="GY135" s="60"/>
      <c r="GZ135" s="60"/>
      <c r="HA135" s="60"/>
      <c r="HB135" s="60"/>
      <c r="HC135" s="60"/>
      <c r="HD135" s="60"/>
      <c r="HE135" s="60"/>
      <c r="HF135" s="60"/>
      <c r="HG135" s="60"/>
      <c r="HH135" s="60"/>
      <c r="HI135" s="60"/>
      <c r="HJ135" s="60"/>
      <c r="HK135" s="60"/>
      <c r="HL135" s="60"/>
      <c r="HM135" s="60"/>
      <c r="HN135" s="60"/>
      <c r="HO135" s="60"/>
      <c r="HP135" s="60"/>
      <c r="HQ135" s="60"/>
      <c r="HR135" s="60"/>
      <c r="HS135" s="60"/>
      <c r="HT135" s="60"/>
      <c r="HU135" s="60"/>
      <c r="HV135" s="60"/>
      <c r="HW135" s="60"/>
      <c r="HX135" s="60"/>
      <c r="HY135" s="60"/>
      <c r="HZ135" s="60"/>
      <c r="IA135" s="60"/>
      <c r="IB135" s="60"/>
      <c r="IC135" s="60"/>
      <c r="ID135" s="60"/>
      <c r="IE135" s="60"/>
      <c r="IF135" s="60"/>
      <c r="IG135" s="60"/>
      <c r="IH135" s="60"/>
      <c r="II135" s="60"/>
      <c r="IJ135" s="60"/>
      <c r="IK135" s="60"/>
      <c r="IL135" s="60"/>
      <c r="IM135" s="60"/>
      <c r="IN135" s="60"/>
      <c r="IO135" s="60"/>
      <c r="IP135" s="60"/>
      <c r="IQ135" s="60"/>
      <c r="IR135" s="60"/>
      <c r="IS135" s="60"/>
      <c r="IT135" s="60"/>
      <c r="IU135" s="60"/>
      <c r="IV135" s="60"/>
      <c r="IW135" s="60"/>
      <c r="IX135" s="60"/>
      <c r="IY135" s="60"/>
      <c r="IZ135" s="60"/>
      <c r="JA135" s="60"/>
      <c r="JB135" s="60"/>
      <c r="JC135" s="60"/>
      <c r="JD135" s="60"/>
      <c r="JE135" s="60"/>
      <c r="JF135" s="60"/>
      <c r="JG135" s="60"/>
      <c r="JH135" s="60"/>
      <c r="JI135" s="60"/>
      <c r="JJ135" s="60"/>
      <c r="JK135" s="60"/>
      <c r="JL135" s="60"/>
      <c r="JM135" s="60"/>
      <c r="JN135" s="60"/>
      <c r="JO135" s="60"/>
      <c r="JP135" s="60"/>
      <c r="JQ135" s="60"/>
      <c r="JR135" s="60"/>
      <c r="JS135" s="60"/>
      <c r="JT135" s="60"/>
      <c r="JU135" s="60"/>
      <c r="JV135" s="60"/>
      <c r="JW135" s="60"/>
      <c r="JX135" s="60"/>
      <c r="JY135" s="60"/>
      <c r="JZ135" s="60"/>
      <c r="KA135" s="60"/>
      <c r="KB135" s="60"/>
      <c r="KC135" s="60"/>
      <c r="KD135" s="60"/>
      <c r="KE135" s="60"/>
      <c r="KF135" s="60"/>
      <c r="KG135" s="60"/>
      <c r="KH135" s="60"/>
      <c r="KI135" s="60"/>
      <c r="KJ135" s="60"/>
      <c r="KK135" s="60"/>
      <c r="KL135" s="60"/>
      <c r="KM135" s="60"/>
      <c r="KN135" s="60"/>
      <c r="KO135" s="60"/>
      <c r="KP135" s="60"/>
      <c r="KQ135" s="60"/>
      <c r="KR135" s="60"/>
      <c r="KS135" s="60"/>
      <c r="KT135" s="60"/>
      <c r="KU135" s="60"/>
      <c r="KV135" s="60"/>
      <c r="KW135" s="60"/>
      <c r="KX135" s="60"/>
      <c r="KY135" s="60"/>
      <c r="KZ135" s="60"/>
      <c r="LA135" s="60"/>
      <c r="LB135" s="60"/>
      <c r="LC135" s="60"/>
      <c r="LD135" s="60"/>
      <c r="LE135" s="60"/>
      <c r="LF135" s="60"/>
      <c r="LG135" s="60"/>
      <c r="LH135" s="60"/>
      <c r="LI135" s="60"/>
      <c r="LJ135" s="60"/>
      <c r="LK135" s="60"/>
      <c r="LL135" s="60"/>
      <c r="LM135" s="60"/>
      <c r="LN135" s="60"/>
      <c r="LO135" s="60"/>
      <c r="LP135" s="60"/>
      <c r="LQ135" s="60"/>
      <c r="LR135" s="60"/>
      <c r="LS135" s="60"/>
      <c r="LT135" s="60"/>
      <c r="LU135" s="60"/>
      <c r="LV135" s="60"/>
      <c r="LW135" s="60"/>
      <c r="LX135" s="60"/>
      <c r="LY135" s="60"/>
      <c r="LZ135" s="60"/>
      <c r="MA135" s="60"/>
      <c r="MB135" s="60"/>
    </row>
    <row r="136" spans="1:340" s="50" customFormat="1" ht="31.5" customHeight="1" thickBot="1">
      <c r="A136" s="44"/>
      <c r="B136" s="56"/>
      <c r="C136" s="57"/>
      <c r="D136" s="58"/>
      <c r="E136" s="58"/>
      <c r="F136" s="59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 t="s">
        <v>257</v>
      </c>
      <c r="BW136" s="62" t="s">
        <v>176</v>
      </c>
      <c r="BX136" s="62"/>
      <c r="BY136" s="62"/>
      <c r="BZ136" s="62"/>
      <c r="CA136" s="62"/>
      <c r="CB136" s="62"/>
      <c r="CC136" s="62"/>
      <c r="CD136" s="62"/>
      <c r="CE136" s="62"/>
      <c r="CF136" s="60"/>
      <c r="CG136" s="62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  <c r="EA136" s="62"/>
      <c r="EB136" s="62"/>
      <c r="EC136" s="62"/>
      <c r="ED136" s="62"/>
      <c r="EE136" s="62"/>
      <c r="EF136" s="62"/>
      <c r="EG136" s="62"/>
      <c r="EH136" s="62"/>
      <c r="EI136" s="62"/>
      <c r="EJ136" s="62"/>
      <c r="EK136" s="62"/>
      <c r="EL136" s="62"/>
      <c r="EM136" s="62"/>
      <c r="EN136" s="62"/>
      <c r="EO136" s="62"/>
      <c r="EP136" s="62"/>
      <c r="EQ136" s="62"/>
      <c r="ER136" s="62"/>
      <c r="ES136" s="62"/>
      <c r="ET136" s="62"/>
      <c r="EU136" s="62"/>
      <c r="EV136" s="62"/>
      <c r="EW136" s="62"/>
      <c r="EX136" s="62"/>
      <c r="EY136" s="62"/>
      <c r="EZ136" s="62"/>
      <c r="FA136" s="60"/>
      <c r="FB136" s="60"/>
      <c r="FC136" s="60"/>
      <c r="FD136" s="60"/>
      <c r="FE136" s="60"/>
      <c r="FF136" s="60"/>
      <c r="FG136" s="60"/>
      <c r="FH136" s="60"/>
      <c r="FI136" s="60"/>
      <c r="FJ136" s="60"/>
      <c r="FK136" s="60"/>
      <c r="FL136" s="60"/>
      <c r="FM136" s="60"/>
      <c r="FN136" s="60"/>
      <c r="FO136" s="60"/>
      <c r="FP136" s="60"/>
      <c r="FQ136" s="60"/>
      <c r="FR136" s="60"/>
      <c r="FS136" s="60"/>
      <c r="FT136" s="60"/>
      <c r="FU136" s="60"/>
      <c r="FV136" s="60"/>
      <c r="FW136" s="60"/>
      <c r="FX136" s="60"/>
      <c r="FY136" s="60"/>
      <c r="FZ136" s="60"/>
      <c r="GA136" s="60"/>
      <c r="GB136" s="60"/>
      <c r="GC136" s="60"/>
      <c r="GD136" s="60"/>
      <c r="GE136" s="60"/>
      <c r="GF136" s="60"/>
      <c r="GG136" s="60"/>
      <c r="GH136" s="60"/>
      <c r="GI136" s="60"/>
      <c r="GJ136" s="60"/>
      <c r="GK136" s="60"/>
      <c r="GL136" s="60"/>
      <c r="GM136" s="60"/>
      <c r="GN136" s="60"/>
      <c r="GO136" s="60"/>
      <c r="GP136" s="60"/>
      <c r="GQ136" s="60"/>
      <c r="GR136" s="60"/>
      <c r="GS136" s="60"/>
      <c r="GT136" s="60"/>
      <c r="GU136" s="60"/>
      <c r="GV136" s="60"/>
      <c r="GW136" s="60"/>
      <c r="GX136" s="60"/>
      <c r="GY136" s="60"/>
      <c r="GZ136" s="60"/>
      <c r="HA136" s="60"/>
      <c r="HB136" s="60"/>
      <c r="HC136" s="60"/>
      <c r="HD136" s="60"/>
      <c r="HE136" s="60"/>
      <c r="HF136" s="60"/>
      <c r="HG136" s="60"/>
      <c r="HH136" s="60"/>
      <c r="HI136" s="60"/>
      <c r="HJ136" s="60"/>
      <c r="HK136" s="60"/>
      <c r="HL136" s="60"/>
      <c r="HM136" s="60"/>
      <c r="HN136" s="60"/>
      <c r="HO136" s="60"/>
      <c r="HP136" s="60"/>
      <c r="HQ136" s="60"/>
      <c r="HR136" s="60"/>
      <c r="HS136" s="60"/>
      <c r="HT136" s="60"/>
      <c r="HU136" s="60"/>
      <c r="HV136" s="60"/>
      <c r="HW136" s="60"/>
      <c r="HX136" s="60"/>
      <c r="HY136" s="60"/>
      <c r="HZ136" s="60"/>
      <c r="IA136" s="60"/>
      <c r="IB136" s="60"/>
      <c r="IC136" s="60"/>
      <c r="ID136" s="60"/>
      <c r="IE136" s="60"/>
      <c r="IF136" s="60"/>
      <c r="IG136" s="60"/>
      <c r="IH136" s="60"/>
      <c r="II136" s="60"/>
      <c r="IJ136" s="60"/>
      <c r="IK136" s="60"/>
      <c r="IL136" s="60"/>
      <c r="IM136" s="60"/>
      <c r="IN136" s="60"/>
      <c r="IO136" s="60"/>
      <c r="IP136" s="60"/>
      <c r="IQ136" s="60"/>
      <c r="IR136" s="60"/>
      <c r="IS136" s="60"/>
      <c r="IT136" s="60"/>
      <c r="IU136" s="60"/>
      <c r="IV136" s="60"/>
      <c r="IW136" s="60"/>
      <c r="IX136" s="60"/>
      <c r="IY136" s="60"/>
      <c r="IZ136" s="60"/>
      <c r="JA136" s="60"/>
      <c r="JB136" s="60"/>
      <c r="JC136" s="60"/>
      <c r="JD136" s="60"/>
      <c r="JE136" s="60"/>
      <c r="JF136" s="60"/>
      <c r="JG136" s="60"/>
      <c r="JH136" s="60"/>
      <c r="JI136" s="60"/>
      <c r="JJ136" s="60"/>
      <c r="JK136" s="60"/>
      <c r="JL136" s="60"/>
      <c r="JM136" s="60"/>
      <c r="JN136" s="60"/>
      <c r="JO136" s="60"/>
      <c r="JP136" s="60"/>
      <c r="JQ136" s="60"/>
      <c r="JR136" s="60"/>
      <c r="JS136" s="60"/>
      <c r="JT136" s="60"/>
      <c r="JU136" s="60"/>
      <c r="JV136" s="60"/>
      <c r="JW136" s="60"/>
      <c r="JX136" s="60"/>
      <c r="JY136" s="60"/>
      <c r="JZ136" s="60"/>
      <c r="KA136" s="60"/>
      <c r="KB136" s="60"/>
      <c r="KC136" s="60"/>
      <c r="KD136" s="60"/>
      <c r="KE136" s="60"/>
      <c r="KF136" s="60"/>
      <c r="KG136" s="60"/>
      <c r="KH136" s="60"/>
      <c r="KI136" s="60"/>
      <c r="KJ136" s="60"/>
      <c r="KK136" s="60"/>
      <c r="KL136" s="60"/>
      <c r="KM136" s="60"/>
      <c r="KN136" s="60"/>
      <c r="KO136" s="60"/>
      <c r="KP136" s="60"/>
      <c r="KQ136" s="60"/>
      <c r="KR136" s="60"/>
      <c r="KS136" s="60"/>
      <c r="KT136" s="60"/>
      <c r="KU136" s="60"/>
      <c r="KV136" s="60"/>
      <c r="KW136" s="60"/>
      <c r="KX136" s="60"/>
      <c r="KY136" s="60"/>
      <c r="KZ136" s="60"/>
      <c r="LA136" s="60"/>
      <c r="LB136" s="60"/>
      <c r="LC136" s="60"/>
      <c r="LD136" s="60"/>
      <c r="LE136" s="60"/>
      <c r="LF136" s="60"/>
      <c r="LG136" s="60"/>
      <c r="LH136" s="60"/>
      <c r="LI136" s="60"/>
      <c r="LJ136" s="60"/>
      <c r="LK136" s="60"/>
      <c r="LL136" s="60"/>
      <c r="LM136" s="60"/>
      <c r="LN136" s="60"/>
      <c r="LO136" s="60"/>
      <c r="LP136" s="60"/>
      <c r="LQ136" s="60"/>
      <c r="LR136" s="60"/>
      <c r="LS136" s="60"/>
      <c r="LT136" s="60"/>
      <c r="LU136" s="60"/>
      <c r="LV136" s="60"/>
      <c r="LW136" s="60"/>
      <c r="LX136" s="60"/>
      <c r="LY136" s="60"/>
      <c r="LZ136" s="60"/>
      <c r="MA136" s="60"/>
      <c r="MB136" s="60"/>
    </row>
    <row r="137" spans="1:340" s="50" customFormat="1" ht="31.5" customHeight="1" thickBot="1">
      <c r="A137" s="44"/>
      <c r="B137" s="56"/>
      <c r="C137" s="63"/>
      <c r="D137" s="58"/>
      <c r="E137" s="58"/>
      <c r="F137" s="59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 t="s">
        <v>258</v>
      </c>
      <c r="BX137" s="61"/>
      <c r="BY137" s="61"/>
      <c r="BZ137" s="61"/>
      <c r="CA137" s="61"/>
      <c r="CB137" s="61"/>
      <c r="CC137" s="61"/>
      <c r="CD137" s="61"/>
      <c r="CE137" s="61"/>
      <c r="CF137" s="60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  <c r="EA137" s="61"/>
      <c r="EB137" s="61"/>
      <c r="EC137" s="61"/>
      <c r="ED137" s="61"/>
      <c r="EE137" s="61"/>
      <c r="EF137" s="61"/>
      <c r="EG137" s="61"/>
      <c r="EH137" s="61"/>
      <c r="EI137" s="61"/>
      <c r="EJ137" s="61"/>
      <c r="EK137" s="61"/>
      <c r="EL137" s="61"/>
      <c r="EM137" s="61"/>
      <c r="EN137" s="61"/>
      <c r="EO137" s="61"/>
      <c r="EP137" s="61"/>
      <c r="EQ137" s="61"/>
      <c r="ER137" s="61"/>
      <c r="ES137" s="61"/>
      <c r="ET137" s="61"/>
      <c r="EU137" s="61"/>
      <c r="EV137" s="61"/>
      <c r="EW137" s="61"/>
      <c r="EX137" s="61"/>
      <c r="EY137" s="61"/>
      <c r="EZ137" s="61"/>
      <c r="FA137" s="60"/>
      <c r="FB137" s="60"/>
      <c r="FC137" s="60"/>
      <c r="FD137" s="60"/>
      <c r="FE137" s="60"/>
      <c r="FF137" s="60"/>
      <c r="FG137" s="60"/>
      <c r="FH137" s="60"/>
      <c r="FI137" s="60"/>
      <c r="FJ137" s="60"/>
      <c r="FK137" s="60"/>
      <c r="FL137" s="60"/>
      <c r="FM137" s="60"/>
      <c r="FN137" s="60"/>
      <c r="FO137" s="60"/>
      <c r="FP137" s="60"/>
      <c r="FQ137" s="60"/>
      <c r="FR137" s="60"/>
      <c r="FS137" s="60"/>
      <c r="FT137" s="60"/>
      <c r="FU137" s="60"/>
      <c r="FV137" s="60"/>
      <c r="FW137" s="60"/>
      <c r="FX137" s="60"/>
      <c r="FY137" s="60"/>
      <c r="FZ137" s="60"/>
      <c r="GA137" s="60"/>
      <c r="GB137" s="60"/>
      <c r="GC137" s="60"/>
      <c r="GD137" s="60"/>
      <c r="GE137" s="60"/>
      <c r="GF137" s="60"/>
      <c r="GG137" s="60"/>
      <c r="GH137" s="60"/>
      <c r="GI137" s="60"/>
      <c r="GJ137" s="60"/>
      <c r="GK137" s="60"/>
      <c r="GL137" s="60"/>
      <c r="GM137" s="60"/>
      <c r="GN137" s="60"/>
      <c r="GO137" s="60"/>
      <c r="GP137" s="60"/>
      <c r="GQ137" s="60"/>
      <c r="GR137" s="60"/>
      <c r="GS137" s="60"/>
      <c r="GT137" s="60"/>
      <c r="GU137" s="60"/>
      <c r="GV137" s="60"/>
      <c r="GW137" s="60"/>
      <c r="GX137" s="60"/>
      <c r="GY137" s="60"/>
      <c r="GZ137" s="60"/>
      <c r="HA137" s="60"/>
      <c r="HB137" s="60"/>
      <c r="HC137" s="60"/>
      <c r="HD137" s="60"/>
      <c r="HE137" s="60"/>
      <c r="HF137" s="60"/>
      <c r="HG137" s="60"/>
      <c r="HH137" s="60"/>
      <c r="HI137" s="60"/>
      <c r="HJ137" s="60"/>
      <c r="HK137" s="60"/>
      <c r="HL137" s="60"/>
      <c r="HM137" s="60"/>
      <c r="HN137" s="60"/>
      <c r="HO137" s="60"/>
      <c r="HP137" s="60"/>
      <c r="HQ137" s="60"/>
      <c r="HR137" s="60"/>
      <c r="HS137" s="60"/>
      <c r="HT137" s="60"/>
      <c r="HU137" s="60"/>
      <c r="HV137" s="60"/>
      <c r="HW137" s="60"/>
      <c r="HX137" s="60"/>
      <c r="HY137" s="60"/>
      <c r="HZ137" s="60"/>
      <c r="IA137" s="60"/>
      <c r="IB137" s="60"/>
      <c r="IC137" s="60"/>
      <c r="ID137" s="60"/>
      <c r="IE137" s="60"/>
      <c r="IF137" s="60"/>
      <c r="IG137" s="60"/>
      <c r="IH137" s="60"/>
      <c r="II137" s="60"/>
      <c r="IJ137" s="60"/>
      <c r="IK137" s="60"/>
      <c r="IL137" s="60"/>
      <c r="IM137" s="60"/>
      <c r="IN137" s="60"/>
      <c r="IO137" s="60"/>
      <c r="IP137" s="60"/>
      <c r="IQ137" s="60"/>
      <c r="IR137" s="60"/>
      <c r="IS137" s="60"/>
      <c r="IT137" s="60"/>
      <c r="IU137" s="60"/>
      <c r="IV137" s="60"/>
      <c r="IW137" s="60"/>
      <c r="IX137" s="60"/>
      <c r="IY137" s="60"/>
      <c r="IZ137" s="60"/>
      <c r="JA137" s="60"/>
      <c r="JB137" s="60"/>
      <c r="JC137" s="60"/>
      <c r="JD137" s="60"/>
      <c r="JE137" s="60"/>
      <c r="JF137" s="60"/>
      <c r="JG137" s="60"/>
      <c r="JH137" s="60"/>
      <c r="JI137" s="60"/>
      <c r="JJ137" s="60"/>
      <c r="JK137" s="60"/>
      <c r="JL137" s="60"/>
      <c r="JM137" s="60"/>
      <c r="JN137" s="60"/>
      <c r="JO137" s="60"/>
      <c r="JP137" s="60"/>
      <c r="JQ137" s="60"/>
      <c r="JR137" s="60"/>
      <c r="JS137" s="60"/>
      <c r="JT137" s="60"/>
      <c r="JU137" s="60"/>
      <c r="JV137" s="60"/>
      <c r="JW137" s="60"/>
      <c r="JX137" s="60"/>
      <c r="JY137" s="60"/>
      <c r="JZ137" s="60"/>
      <c r="KA137" s="60"/>
      <c r="KB137" s="60"/>
      <c r="KC137" s="60"/>
      <c r="KD137" s="60"/>
      <c r="KE137" s="60"/>
      <c r="KF137" s="60"/>
      <c r="KG137" s="60"/>
      <c r="KH137" s="60"/>
      <c r="KI137" s="60"/>
      <c r="KJ137" s="60"/>
      <c r="KK137" s="60"/>
      <c r="KL137" s="60"/>
      <c r="KM137" s="60"/>
      <c r="KN137" s="60"/>
      <c r="KO137" s="60"/>
      <c r="KP137" s="60"/>
      <c r="KQ137" s="60"/>
      <c r="KR137" s="60"/>
      <c r="KS137" s="60"/>
      <c r="KT137" s="60"/>
      <c r="KU137" s="60"/>
      <c r="KV137" s="60"/>
      <c r="KW137" s="60"/>
      <c r="KX137" s="60"/>
      <c r="KY137" s="60"/>
      <c r="KZ137" s="60"/>
      <c r="LA137" s="60"/>
      <c r="LB137" s="60"/>
      <c r="LC137" s="60"/>
      <c r="LD137" s="60"/>
      <c r="LE137" s="60"/>
      <c r="LF137" s="60"/>
      <c r="LG137" s="60"/>
      <c r="LH137" s="60"/>
      <c r="LI137" s="60"/>
      <c r="LJ137" s="60"/>
      <c r="LK137" s="60"/>
      <c r="LL137" s="60"/>
      <c r="LM137" s="60"/>
      <c r="LN137" s="60"/>
      <c r="LO137" s="60"/>
      <c r="LP137" s="60"/>
      <c r="LQ137" s="60"/>
      <c r="LR137" s="60"/>
      <c r="LS137" s="60"/>
      <c r="LT137" s="60"/>
      <c r="LU137" s="60"/>
      <c r="LV137" s="60"/>
      <c r="LW137" s="60"/>
      <c r="LX137" s="60"/>
      <c r="LY137" s="60"/>
      <c r="LZ137" s="60"/>
      <c r="MA137" s="60"/>
      <c r="MB137" s="60"/>
    </row>
    <row r="138" spans="1:340" s="50" customFormat="1" ht="31.5" customHeight="1" thickBot="1">
      <c r="A138" s="44"/>
      <c r="B138" s="56"/>
      <c r="C138" s="63"/>
      <c r="D138" s="58"/>
      <c r="E138" s="58"/>
      <c r="F138" s="59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  <c r="EP138" s="61"/>
      <c r="EQ138" s="61"/>
      <c r="ER138" s="61"/>
      <c r="ES138" s="61"/>
      <c r="ET138" s="61"/>
      <c r="EU138" s="61"/>
      <c r="EV138" s="61"/>
      <c r="EW138" s="61"/>
      <c r="EX138" s="61"/>
      <c r="EY138" s="61"/>
      <c r="EZ138" s="61"/>
      <c r="FA138" s="60"/>
      <c r="FB138" s="60"/>
      <c r="FC138" s="60"/>
      <c r="FD138" s="60"/>
      <c r="FE138" s="60"/>
      <c r="FF138" s="60"/>
      <c r="FG138" s="60"/>
      <c r="FH138" s="60"/>
      <c r="FI138" s="60"/>
      <c r="FJ138" s="60"/>
      <c r="FK138" s="60"/>
      <c r="FL138" s="60"/>
      <c r="FM138" s="60"/>
      <c r="FN138" s="60"/>
      <c r="FO138" s="60"/>
      <c r="FP138" s="60"/>
      <c r="FQ138" s="60"/>
      <c r="FR138" s="60"/>
      <c r="FS138" s="60"/>
      <c r="FT138" s="60"/>
      <c r="FU138" s="60"/>
      <c r="FV138" s="60"/>
      <c r="FW138" s="60"/>
      <c r="FX138" s="60"/>
      <c r="FY138" s="60"/>
      <c r="FZ138" s="60"/>
      <c r="GA138" s="60"/>
      <c r="GB138" s="60"/>
      <c r="GC138" s="60"/>
      <c r="GD138" s="60"/>
      <c r="GE138" s="60"/>
      <c r="GF138" s="60"/>
      <c r="GG138" s="60"/>
      <c r="GH138" s="60"/>
      <c r="GI138" s="60"/>
      <c r="GJ138" s="60"/>
      <c r="GK138" s="60"/>
      <c r="GL138" s="60"/>
      <c r="GM138" s="60"/>
      <c r="GN138" s="60"/>
      <c r="GO138" s="60"/>
      <c r="GP138" s="60"/>
      <c r="GQ138" s="60"/>
      <c r="GR138" s="60"/>
      <c r="GS138" s="60"/>
      <c r="GT138" s="60"/>
      <c r="GU138" s="60"/>
      <c r="GV138" s="60"/>
      <c r="GW138" s="60"/>
      <c r="GX138" s="60"/>
      <c r="GY138" s="60"/>
      <c r="GZ138" s="60"/>
      <c r="HA138" s="60"/>
      <c r="HB138" s="60"/>
      <c r="HC138" s="60"/>
      <c r="HD138" s="60"/>
      <c r="HE138" s="60"/>
      <c r="HF138" s="60"/>
      <c r="HG138" s="60"/>
      <c r="HH138" s="60"/>
      <c r="HI138" s="60"/>
      <c r="HJ138" s="60"/>
      <c r="HK138" s="60"/>
      <c r="HL138" s="60"/>
      <c r="HM138" s="60"/>
      <c r="HN138" s="60"/>
      <c r="HO138" s="60"/>
      <c r="HP138" s="60"/>
      <c r="HQ138" s="60"/>
      <c r="HR138" s="60"/>
      <c r="HS138" s="60"/>
      <c r="HT138" s="60"/>
      <c r="HU138" s="60"/>
      <c r="HV138" s="60"/>
      <c r="HW138" s="60"/>
      <c r="HX138" s="60"/>
      <c r="HY138" s="60"/>
      <c r="HZ138" s="60"/>
      <c r="IA138" s="60"/>
      <c r="IB138" s="60"/>
      <c r="IC138" s="60"/>
      <c r="ID138" s="60"/>
      <c r="IE138" s="60"/>
      <c r="IF138" s="60"/>
      <c r="IG138" s="60"/>
      <c r="IH138" s="60"/>
      <c r="II138" s="60"/>
      <c r="IJ138" s="60"/>
      <c r="IK138" s="60"/>
      <c r="IL138" s="60"/>
      <c r="IM138" s="60"/>
      <c r="IN138" s="60"/>
      <c r="IO138" s="60"/>
      <c r="IP138" s="60"/>
      <c r="IQ138" s="60"/>
      <c r="IR138" s="60"/>
      <c r="IS138" s="60"/>
      <c r="IT138" s="60"/>
      <c r="IU138" s="60"/>
      <c r="IV138" s="60"/>
      <c r="IW138" s="60"/>
      <c r="IX138" s="60"/>
      <c r="IY138" s="60"/>
      <c r="IZ138" s="60"/>
      <c r="JA138" s="60"/>
      <c r="JB138" s="60"/>
      <c r="JC138" s="60"/>
      <c r="JD138" s="60"/>
      <c r="JE138" s="60"/>
      <c r="JF138" s="60"/>
      <c r="JG138" s="60"/>
      <c r="JH138" s="60"/>
      <c r="JI138" s="60"/>
      <c r="JJ138" s="60"/>
      <c r="JK138" s="60"/>
      <c r="JL138" s="60"/>
      <c r="JM138" s="60"/>
      <c r="JN138" s="60"/>
      <c r="JO138" s="60"/>
      <c r="JP138" s="60"/>
      <c r="JQ138" s="60"/>
      <c r="JR138" s="60"/>
      <c r="JS138" s="60"/>
      <c r="JT138" s="60"/>
      <c r="JU138" s="60"/>
      <c r="JV138" s="60"/>
      <c r="JW138" s="60"/>
      <c r="JX138" s="60"/>
      <c r="JY138" s="60"/>
      <c r="JZ138" s="60"/>
      <c r="KA138" s="60"/>
      <c r="KB138" s="60"/>
      <c r="KC138" s="60"/>
      <c r="KD138" s="60"/>
      <c r="KE138" s="60"/>
      <c r="KF138" s="60"/>
      <c r="KG138" s="60"/>
      <c r="KH138" s="60"/>
      <c r="KI138" s="60"/>
      <c r="KJ138" s="60"/>
      <c r="KK138" s="60"/>
      <c r="KL138" s="60"/>
      <c r="KM138" s="60"/>
      <c r="KN138" s="60"/>
      <c r="KO138" s="60"/>
      <c r="KP138" s="60"/>
      <c r="KQ138" s="60"/>
      <c r="KR138" s="60"/>
      <c r="KS138" s="60"/>
      <c r="KT138" s="60"/>
      <c r="KU138" s="60"/>
      <c r="KV138" s="60"/>
      <c r="KW138" s="60"/>
      <c r="KX138" s="60"/>
      <c r="KY138" s="60"/>
      <c r="KZ138" s="60"/>
      <c r="LA138" s="60"/>
      <c r="LB138" s="60"/>
      <c r="LC138" s="60"/>
      <c r="LD138" s="60"/>
      <c r="LE138" s="60"/>
      <c r="LF138" s="60"/>
      <c r="LG138" s="60"/>
      <c r="LH138" s="60"/>
      <c r="LI138" s="60"/>
      <c r="LJ138" s="60"/>
      <c r="LK138" s="60"/>
      <c r="LL138" s="60"/>
      <c r="LM138" s="60"/>
      <c r="LN138" s="60"/>
      <c r="LO138" s="60"/>
      <c r="LP138" s="60"/>
      <c r="LQ138" s="60"/>
      <c r="LR138" s="60"/>
      <c r="LS138" s="60"/>
      <c r="LT138" s="60"/>
      <c r="LU138" s="60"/>
      <c r="LV138" s="60"/>
      <c r="LW138" s="60"/>
      <c r="LX138" s="60"/>
      <c r="LY138" s="60"/>
      <c r="LZ138" s="60"/>
      <c r="MA138" s="60"/>
      <c r="MB138" s="60"/>
    </row>
    <row r="139" spans="1:340" s="50" customFormat="1" ht="31.5" customHeight="1" thickBot="1">
      <c r="A139" s="44"/>
      <c r="B139" s="56"/>
      <c r="C139" s="63"/>
      <c r="D139" s="58"/>
      <c r="E139" s="58"/>
      <c r="F139" s="59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  <c r="EA139" s="61"/>
      <c r="EB139" s="61"/>
      <c r="EC139" s="61"/>
      <c r="ED139" s="61"/>
      <c r="EE139" s="61"/>
      <c r="EF139" s="61"/>
      <c r="EG139" s="61"/>
      <c r="EH139" s="61"/>
      <c r="EI139" s="61"/>
      <c r="EJ139" s="61"/>
      <c r="EK139" s="61"/>
      <c r="EL139" s="61"/>
      <c r="EM139" s="61"/>
      <c r="EN139" s="61"/>
      <c r="EO139" s="61"/>
      <c r="EP139" s="61"/>
      <c r="EQ139" s="61"/>
      <c r="ER139" s="61"/>
      <c r="ES139" s="61"/>
      <c r="ET139" s="61"/>
      <c r="EU139" s="61"/>
      <c r="EV139" s="61"/>
      <c r="EW139" s="61"/>
      <c r="EX139" s="61"/>
      <c r="EY139" s="61"/>
      <c r="EZ139" s="61"/>
      <c r="FA139" s="60"/>
      <c r="FB139" s="60"/>
      <c r="FC139" s="60"/>
      <c r="FD139" s="60"/>
      <c r="FE139" s="60"/>
      <c r="FF139" s="60"/>
      <c r="FG139" s="60"/>
      <c r="FH139" s="60"/>
      <c r="FI139" s="60"/>
      <c r="FJ139" s="60"/>
      <c r="FK139" s="60"/>
      <c r="FL139" s="60"/>
      <c r="FM139" s="60"/>
      <c r="FN139" s="60"/>
      <c r="FO139" s="60"/>
      <c r="FP139" s="60"/>
      <c r="FQ139" s="60"/>
      <c r="FR139" s="60"/>
      <c r="FS139" s="60"/>
      <c r="FT139" s="60"/>
      <c r="FU139" s="60"/>
      <c r="FV139" s="60"/>
      <c r="FW139" s="60"/>
      <c r="FX139" s="60"/>
      <c r="FY139" s="60"/>
      <c r="FZ139" s="60"/>
      <c r="GA139" s="60"/>
      <c r="GB139" s="60"/>
      <c r="GC139" s="60"/>
      <c r="GD139" s="60"/>
      <c r="GE139" s="60"/>
      <c r="GF139" s="60"/>
      <c r="GG139" s="60"/>
      <c r="GH139" s="60"/>
      <c r="GI139" s="60"/>
      <c r="GJ139" s="60"/>
      <c r="GK139" s="60"/>
      <c r="GL139" s="60"/>
      <c r="GM139" s="60"/>
      <c r="GN139" s="60"/>
      <c r="GO139" s="60"/>
      <c r="GP139" s="60"/>
      <c r="GQ139" s="60"/>
      <c r="GR139" s="60"/>
      <c r="GS139" s="60"/>
      <c r="GT139" s="60"/>
      <c r="GU139" s="60"/>
      <c r="GV139" s="60"/>
      <c r="GW139" s="60"/>
      <c r="GX139" s="60"/>
      <c r="GY139" s="60"/>
      <c r="GZ139" s="60"/>
      <c r="HA139" s="60"/>
      <c r="HB139" s="60"/>
      <c r="HC139" s="60"/>
      <c r="HD139" s="60"/>
      <c r="HE139" s="60"/>
      <c r="HF139" s="60"/>
      <c r="HG139" s="60"/>
      <c r="HH139" s="60"/>
      <c r="HI139" s="60"/>
      <c r="HJ139" s="60"/>
      <c r="HK139" s="60"/>
      <c r="HL139" s="60"/>
      <c r="HM139" s="60"/>
      <c r="HN139" s="60"/>
      <c r="HO139" s="60"/>
      <c r="HP139" s="60"/>
      <c r="HQ139" s="60"/>
      <c r="HR139" s="60"/>
      <c r="HS139" s="60"/>
      <c r="HT139" s="60"/>
      <c r="HU139" s="60"/>
      <c r="HV139" s="60"/>
      <c r="HW139" s="60"/>
      <c r="HX139" s="60"/>
      <c r="HY139" s="60"/>
      <c r="HZ139" s="60"/>
      <c r="IA139" s="60"/>
      <c r="IB139" s="60"/>
      <c r="IC139" s="60"/>
      <c r="ID139" s="60"/>
      <c r="IE139" s="60"/>
      <c r="IF139" s="60"/>
      <c r="IG139" s="60"/>
      <c r="IH139" s="60"/>
      <c r="II139" s="60"/>
      <c r="IJ139" s="60"/>
      <c r="IK139" s="60"/>
      <c r="IL139" s="60"/>
      <c r="IM139" s="60"/>
      <c r="IN139" s="60"/>
      <c r="IO139" s="60"/>
      <c r="IP139" s="60"/>
      <c r="IQ139" s="60"/>
      <c r="IR139" s="60"/>
      <c r="IS139" s="60"/>
      <c r="IT139" s="60"/>
      <c r="IU139" s="60"/>
      <c r="IV139" s="60"/>
      <c r="IW139" s="60"/>
      <c r="IX139" s="60"/>
      <c r="IY139" s="60"/>
      <c r="IZ139" s="60"/>
      <c r="JA139" s="60"/>
      <c r="JB139" s="60"/>
      <c r="JC139" s="60"/>
      <c r="JD139" s="60"/>
      <c r="JE139" s="60"/>
      <c r="JF139" s="60"/>
      <c r="JG139" s="60"/>
      <c r="JH139" s="60"/>
      <c r="JI139" s="60"/>
      <c r="JJ139" s="60"/>
      <c r="JK139" s="60"/>
      <c r="JL139" s="60"/>
      <c r="JM139" s="60"/>
      <c r="JN139" s="60"/>
      <c r="JO139" s="60"/>
      <c r="JP139" s="60"/>
      <c r="JQ139" s="60"/>
      <c r="JR139" s="60"/>
      <c r="JS139" s="60"/>
      <c r="JT139" s="60"/>
      <c r="JU139" s="60"/>
      <c r="JV139" s="60"/>
      <c r="JW139" s="60"/>
      <c r="JX139" s="60"/>
      <c r="JY139" s="60"/>
      <c r="JZ139" s="60"/>
      <c r="KA139" s="60"/>
      <c r="KB139" s="60"/>
      <c r="KC139" s="60"/>
      <c r="KD139" s="60"/>
      <c r="KE139" s="60"/>
      <c r="KF139" s="60"/>
      <c r="KG139" s="60"/>
      <c r="KH139" s="60"/>
      <c r="KI139" s="60"/>
      <c r="KJ139" s="60"/>
      <c r="KK139" s="60"/>
      <c r="KL139" s="60"/>
      <c r="KM139" s="60"/>
      <c r="KN139" s="60"/>
      <c r="KO139" s="60"/>
      <c r="KP139" s="60"/>
      <c r="KQ139" s="60"/>
      <c r="KR139" s="60"/>
      <c r="KS139" s="60"/>
      <c r="KT139" s="60"/>
      <c r="KU139" s="60"/>
      <c r="KV139" s="60"/>
      <c r="KW139" s="60"/>
      <c r="KX139" s="60"/>
      <c r="KY139" s="60"/>
      <c r="KZ139" s="60"/>
      <c r="LA139" s="60"/>
      <c r="LB139" s="60"/>
      <c r="LC139" s="60"/>
      <c r="LD139" s="60"/>
      <c r="LE139" s="60"/>
      <c r="LF139" s="60"/>
      <c r="LG139" s="60"/>
      <c r="LH139" s="60"/>
      <c r="LI139" s="60"/>
      <c r="LJ139" s="60"/>
      <c r="LK139" s="60"/>
      <c r="LL139" s="60"/>
      <c r="LM139" s="60"/>
      <c r="LN139" s="60"/>
      <c r="LO139" s="60"/>
      <c r="LP139" s="60"/>
      <c r="LQ139" s="60"/>
      <c r="LR139" s="60"/>
      <c r="LS139" s="60"/>
      <c r="LT139" s="60"/>
      <c r="LU139" s="60"/>
      <c r="LV139" s="60"/>
      <c r="LW139" s="60"/>
      <c r="LX139" s="60"/>
      <c r="LY139" s="60"/>
      <c r="LZ139" s="60"/>
      <c r="MA139" s="60"/>
      <c r="MB139" s="60"/>
    </row>
    <row r="140" spans="1:340" s="50" customFormat="1" ht="31.5" customHeight="1" thickBot="1">
      <c r="A140" s="126"/>
      <c r="B140" s="126"/>
      <c r="C140" s="127"/>
      <c r="D140" s="128"/>
      <c r="E140" s="128"/>
      <c r="F140" s="129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/>
      <c r="EY140" s="64"/>
      <c r="EZ140" s="64"/>
      <c r="FA140" s="64"/>
      <c r="FB140" s="64"/>
      <c r="FC140" s="64"/>
      <c r="FD140" s="64"/>
      <c r="FE140" s="64"/>
      <c r="FF140" s="64"/>
      <c r="FG140" s="64"/>
      <c r="FH140" s="64"/>
      <c r="FI140" s="64"/>
      <c r="FJ140" s="64"/>
      <c r="FK140" s="64"/>
      <c r="FL140" s="64"/>
      <c r="FM140" s="64"/>
      <c r="FN140" s="64"/>
      <c r="FO140" s="64"/>
      <c r="FP140" s="64"/>
      <c r="FQ140" s="64"/>
      <c r="FR140" s="64"/>
      <c r="FS140" s="64"/>
      <c r="FT140" s="64"/>
      <c r="FU140" s="64"/>
      <c r="FV140" s="64"/>
      <c r="FW140" s="64"/>
      <c r="FX140" s="64"/>
      <c r="FY140" s="64"/>
      <c r="FZ140" s="64"/>
      <c r="GA140" s="64"/>
      <c r="GB140" s="64"/>
      <c r="GC140" s="64"/>
      <c r="GD140" s="64"/>
      <c r="GE140" s="64"/>
      <c r="GF140" s="64"/>
      <c r="GG140" s="64"/>
      <c r="GH140" s="64"/>
      <c r="GI140" s="64"/>
      <c r="GJ140" s="64"/>
      <c r="GK140" s="64"/>
      <c r="GL140" s="64"/>
      <c r="GM140" s="64"/>
      <c r="GN140" s="64"/>
      <c r="GO140" s="64"/>
      <c r="GP140" s="64"/>
      <c r="GQ140" s="64"/>
      <c r="GR140" s="64"/>
      <c r="GS140" s="64"/>
      <c r="GT140" s="64"/>
      <c r="GU140" s="64"/>
      <c r="GV140" s="64"/>
      <c r="GW140" s="64"/>
      <c r="GX140" s="64"/>
      <c r="GY140" s="64"/>
      <c r="GZ140" s="64"/>
      <c r="HA140" s="64"/>
      <c r="HB140" s="64"/>
      <c r="HC140" s="64"/>
      <c r="HD140" s="64"/>
      <c r="HE140" s="64"/>
      <c r="HF140" s="64"/>
      <c r="HG140" s="64"/>
      <c r="HH140" s="64"/>
      <c r="HI140" s="64"/>
      <c r="HJ140" s="64"/>
      <c r="HK140" s="64"/>
      <c r="HL140" s="64"/>
      <c r="HM140" s="64"/>
      <c r="HN140" s="64"/>
      <c r="HO140" s="64"/>
      <c r="HP140" s="64"/>
      <c r="HQ140" s="64"/>
      <c r="HR140" s="64"/>
      <c r="HS140" s="64"/>
      <c r="HT140" s="64"/>
      <c r="HU140" s="64"/>
      <c r="HV140" s="64"/>
      <c r="HW140" s="64"/>
      <c r="HX140" s="64"/>
      <c r="HY140" s="64"/>
      <c r="HZ140" s="64"/>
      <c r="IA140" s="64"/>
      <c r="IB140" s="64"/>
      <c r="IC140" s="64"/>
      <c r="ID140" s="64"/>
      <c r="IE140" s="64"/>
      <c r="IF140" s="64"/>
      <c r="IG140" s="64"/>
      <c r="IH140" s="64"/>
      <c r="II140" s="64"/>
      <c r="IJ140" s="64"/>
      <c r="IK140" s="64"/>
      <c r="IL140" s="64"/>
      <c r="IM140" s="64"/>
      <c r="IN140" s="64"/>
      <c r="IO140" s="64"/>
      <c r="IP140" s="64"/>
      <c r="IQ140" s="64"/>
      <c r="IR140" s="64"/>
      <c r="IS140" s="64"/>
      <c r="IT140" s="64"/>
      <c r="IU140" s="64"/>
      <c r="IV140" s="64"/>
      <c r="IW140" s="64"/>
      <c r="IX140" s="64"/>
      <c r="IY140" s="64"/>
      <c r="IZ140" s="64"/>
      <c r="JA140" s="64"/>
      <c r="JB140" s="64"/>
      <c r="JC140" s="64"/>
      <c r="JD140" s="64"/>
      <c r="JE140" s="64"/>
      <c r="JF140" s="64"/>
      <c r="JG140" s="64"/>
      <c r="JH140" s="64"/>
      <c r="JI140" s="64"/>
      <c r="JJ140" s="64"/>
      <c r="JK140" s="64"/>
      <c r="JL140" s="64"/>
      <c r="JM140" s="64"/>
      <c r="JN140" s="64"/>
      <c r="JO140" s="64"/>
      <c r="JP140" s="64"/>
      <c r="JQ140" s="64"/>
      <c r="JR140" s="64"/>
      <c r="JS140" s="64"/>
      <c r="JT140" s="64"/>
      <c r="JU140" s="64"/>
      <c r="JV140" s="64"/>
      <c r="JW140" s="64"/>
      <c r="JX140" s="64"/>
      <c r="JY140" s="64"/>
      <c r="JZ140" s="64"/>
      <c r="KA140" s="64"/>
      <c r="KB140" s="64"/>
      <c r="KC140" s="64"/>
      <c r="KD140" s="64"/>
      <c r="KE140" s="64"/>
      <c r="KF140" s="64"/>
      <c r="KG140" s="64"/>
      <c r="KH140" s="64"/>
      <c r="KI140" s="64"/>
      <c r="KJ140" s="64"/>
      <c r="KK140" s="64"/>
      <c r="KL140" s="64"/>
      <c r="KM140" s="64"/>
      <c r="KN140" s="64"/>
      <c r="KO140" s="64"/>
      <c r="KP140" s="64"/>
      <c r="KQ140" s="64"/>
      <c r="KR140" s="64"/>
      <c r="KS140" s="64"/>
      <c r="KT140" s="64"/>
      <c r="KU140" s="64"/>
      <c r="KV140" s="64"/>
      <c r="KW140" s="64"/>
      <c r="KX140" s="64"/>
      <c r="KY140" s="64"/>
      <c r="KZ140" s="64"/>
      <c r="LA140" s="64"/>
      <c r="LB140" s="64"/>
      <c r="LC140" s="64"/>
      <c r="LD140" s="64"/>
      <c r="LE140" s="64"/>
      <c r="LF140" s="64"/>
      <c r="LG140" s="64"/>
      <c r="LH140" s="64"/>
      <c r="LI140" s="64"/>
      <c r="LJ140" s="64"/>
      <c r="LK140" s="64"/>
      <c r="LL140" s="64"/>
      <c r="LM140" s="64"/>
      <c r="LN140" s="64"/>
      <c r="LO140" s="64"/>
      <c r="LP140" s="64"/>
      <c r="LQ140" s="64"/>
      <c r="LR140" s="64"/>
      <c r="LS140" s="64"/>
      <c r="LT140" s="64"/>
      <c r="LU140" s="64"/>
      <c r="LV140" s="64"/>
      <c r="LW140" s="64"/>
      <c r="LX140" s="64"/>
      <c r="LY140" s="64"/>
      <c r="LZ140" s="64"/>
      <c r="MA140" s="64"/>
      <c r="MB140" s="64"/>
    </row>
    <row r="141" spans="1:340" s="50" customFormat="1" ht="31.5" customHeight="1" thickTop="1" thickBot="1">
      <c r="A141" s="196" t="s">
        <v>259</v>
      </c>
      <c r="B141" s="196"/>
      <c r="C141" s="196"/>
      <c r="D141" s="196"/>
      <c r="E141" s="196"/>
      <c r="F141" s="197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/>
      <c r="CK141" s="66"/>
      <c r="CL141" s="66"/>
      <c r="CM141" s="66"/>
      <c r="CN141" s="66"/>
      <c r="CO141" s="66"/>
      <c r="CP141" s="66"/>
      <c r="CQ141" s="66"/>
      <c r="CR141" s="66"/>
      <c r="CS141" s="66"/>
      <c r="CT141" s="66"/>
      <c r="CU141" s="66"/>
      <c r="CV141" s="66"/>
      <c r="CW141" s="66"/>
      <c r="CX141" s="66"/>
      <c r="CY141" s="66"/>
      <c r="CZ141" s="66"/>
      <c r="DA141" s="66"/>
      <c r="DB141" s="66"/>
      <c r="DC141" s="66"/>
      <c r="DD141" s="66"/>
      <c r="DE141" s="66"/>
      <c r="DF141" s="66"/>
      <c r="DG141" s="66"/>
      <c r="DH141" s="66"/>
      <c r="DI141" s="66"/>
      <c r="DJ141" s="66"/>
      <c r="DK141" s="66"/>
      <c r="DL141" s="66"/>
      <c r="DM141" s="66"/>
      <c r="DN141" s="66"/>
      <c r="DO141" s="66"/>
      <c r="DP141" s="66"/>
      <c r="DQ141" s="66"/>
      <c r="DR141" s="66"/>
      <c r="DS141" s="66"/>
      <c r="DT141" s="66"/>
      <c r="DU141" s="66"/>
      <c r="DV141" s="66"/>
      <c r="DW141" s="66"/>
      <c r="DX141" s="66"/>
      <c r="DY141" s="66"/>
      <c r="DZ141" s="66"/>
      <c r="EA141" s="66"/>
      <c r="EB141" s="66"/>
      <c r="EC141" s="66"/>
      <c r="ED141" s="66"/>
      <c r="EE141" s="66"/>
      <c r="EF141" s="66"/>
      <c r="EG141" s="66"/>
      <c r="EH141" s="66"/>
      <c r="EI141" s="66"/>
      <c r="EJ141" s="66"/>
      <c r="EK141" s="66"/>
      <c r="EL141" s="66"/>
      <c r="EM141" s="66"/>
      <c r="EN141" s="66"/>
      <c r="EO141" s="66"/>
      <c r="EP141" s="66"/>
      <c r="EQ141" s="66"/>
      <c r="ER141" s="66"/>
      <c r="ES141" s="66"/>
      <c r="ET141" s="66"/>
      <c r="EU141" s="66"/>
      <c r="EV141" s="66"/>
      <c r="EW141" s="66"/>
      <c r="EX141" s="66"/>
      <c r="EY141" s="66"/>
      <c r="EZ141" s="66"/>
      <c r="FA141" s="66"/>
      <c r="FB141" s="66"/>
      <c r="FC141" s="66"/>
      <c r="FD141" s="66"/>
      <c r="FE141" s="66"/>
      <c r="FF141" s="66"/>
      <c r="FG141" s="66"/>
      <c r="FH141" s="66"/>
      <c r="FI141" s="66"/>
      <c r="FJ141" s="66"/>
      <c r="FK141" s="66"/>
      <c r="FL141" s="66"/>
      <c r="FM141" s="66"/>
      <c r="FN141" s="66"/>
      <c r="FO141" s="66"/>
      <c r="FP141" s="66"/>
      <c r="FQ141" s="66"/>
      <c r="FR141" s="66"/>
      <c r="FS141" s="66"/>
      <c r="FT141" s="66"/>
      <c r="FU141" s="66"/>
      <c r="FV141" s="66"/>
      <c r="FW141" s="66"/>
      <c r="FX141" s="66"/>
      <c r="FY141" s="66"/>
      <c r="FZ141" s="66"/>
      <c r="GA141" s="66"/>
      <c r="GB141" s="66"/>
      <c r="GC141" s="66"/>
      <c r="GD141" s="66"/>
      <c r="GE141" s="66"/>
      <c r="GF141" s="66"/>
      <c r="GG141" s="66"/>
      <c r="GH141" s="66"/>
      <c r="GI141" s="66"/>
      <c r="GJ141" s="66"/>
      <c r="GK141" s="66"/>
      <c r="GL141" s="66"/>
      <c r="GM141" s="66"/>
      <c r="GN141" s="66"/>
      <c r="GO141" s="66"/>
      <c r="GP141" s="66"/>
      <c r="GQ141" s="66"/>
      <c r="GR141" s="66"/>
      <c r="GS141" s="66"/>
      <c r="GT141" s="66"/>
      <c r="GU141" s="66"/>
      <c r="GV141" s="66"/>
      <c r="GW141" s="66"/>
      <c r="GX141" s="66"/>
      <c r="GY141" s="66"/>
      <c r="GZ141" s="66"/>
      <c r="HA141" s="66"/>
      <c r="HB141" s="66"/>
      <c r="HC141" s="66"/>
      <c r="HD141" s="66"/>
      <c r="HE141" s="66"/>
      <c r="HF141" s="66"/>
      <c r="HG141" s="66"/>
      <c r="HH141" s="66"/>
      <c r="HI141" s="66"/>
      <c r="HJ141" s="66"/>
      <c r="HK141" s="66"/>
      <c r="HL141" s="66"/>
      <c r="HM141" s="66"/>
      <c r="HN141" s="66"/>
      <c r="HO141" s="66"/>
      <c r="HP141" s="66"/>
      <c r="HQ141" s="66"/>
      <c r="HR141" s="66"/>
      <c r="HS141" s="66"/>
      <c r="HT141" s="66"/>
      <c r="HU141" s="66"/>
      <c r="HV141" s="66"/>
      <c r="HW141" s="66"/>
      <c r="HX141" s="66"/>
      <c r="HY141" s="66"/>
      <c r="HZ141" s="66"/>
      <c r="IA141" s="66"/>
      <c r="IB141" s="66"/>
      <c r="IC141" s="66"/>
      <c r="ID141" s="66"/>
      <c r="IE141" s="66"/>
      <c r="IF141" s="66"/>
      <c r="IG141" s="66"/>
      <c r="IH141" s="66"/>
      <c r="II141" s="66"/>
      <c r="IJ141" s="66"/>
      <c r="IK141" s="66"/>
      <c r="IL141" s="66"/>
      <c r="IM141" s="66"/>
      <c r="IN141" s="66"/>
      <c r="IO141" s="66"/>
      <c r="IP141" s="66"/>
      <c r="IQ141" s="66"/>
      <c r="IR141" s="66"/>
      <c r="IS141" s="66"/>
      <c r="IT141" s="66"/>
      <c r="IU141" s="66"/>
      <c r="IV141" s="66"/>
      <c r="IW141" s="66"/>
      <c r="IX141" s="66"/>
      <c r="IY141" s="66"/>
      <c r="IZ141" s="66"/>
      <c r="JA141" s="66"/>
      <c r="JB141" s="66"/>
      <c r="JC141" s="66"/>
      <c r="JD141" s="66"/>
      <c r="JE141" s="66"/>
      <c r="JF141" s="66"/>
      <c r="JG141" s="66"/>
      <c r="JH141" s="66"/>
      <c r="JI141" s="66"/>
      <c r="JJ141" s="66"/>
      <c r="JK141" s="66"/>
      <c r="JL141" s="66"/>
      <c r="JM141" s="66"/>
      <c r="JN141" s="66"/>
      <c r="JO141" s="66"/>
      <c r="JP141" s="66"/>
      <c r="JQ141" s="66"/>
      <c r="JR141" s="66"/>
      <c r="JS141" s="66"/>
      <c r="JT141" s="66"/>
      <c r="JU141" s="66"/>
      <c r="JV141" s="66"/>
      <c r="JW141" s="66"/>
      <c r="JX141" s="66"/>
      <c r="JY141" s="66"/>
      <c r="JZ141" s="66"/>
      <c r="KA141" s="66"/>
      <c r="KB141" s="66"/>
      <c r="KC141" s="66"/>
      <c r="KD141" s="66"/>
      <c r="KE141" s="66"/>
      <c r="KF141" s="66"/>
      <c r="KG141" s="66"/>
      <c r="KH141" s="66"/>
      <c r="KI141" s="66"/>
      <c r="KJ141" s="66"/>
      <c r="KK141" s="66"/>
      <c r="KL141" s="66"/>
      <c r="KM141" s="66"/>
      <c r="KN141" s="66"/>
      <c r="KO141" s="66"/>
      <c r="KP141" s="66"/>
      <c r="KQ141" s="66"/>
      <c r="KR141" s="66"/>
      <c r="KS141" s="66"/>
      <c r="KT141" s="66"/>
      <c r="KU141" s="66"/>
      <c r="KV141" s="66"/>
      <c r="KW141" s="66"/>
      <c r="KX141" s="66"/>
      <c r="KY141" s="66"/>
      <c r="KZ141" s="66"/>
      <c r="LA141" s="66"/>
      <c r="LB141" s="66"/>
      <c r="LC141" s="66"/>
      <c r="LD141" s="66"/>
      <c r="LE141" s="66"/>
      <c r="LF141" s="66"/>
      <c r="LG141" s="66"/>
      <c r="LH141" s="66"/>
      <c r="LI141" s="66"/>
      <c r="LJ141" s="66"/>
      <c r="LK141" s="66"/>
      <c r="LL141" s="66"/>
      <c r="LM141" s="66"/>
      <c r="LN141" s="66"/>
      <c r="LO141" s="66"/>
      <c r="LP141" s="66"/>
      <c r="LQ141" s="66"/>
      <c r="LR141" s="66"/>
      <c r="LS141" s="66"/>
      <c r="LT141" s="66"/>
      <c r="LU141" s="66"/>
      <c r="LV141" s="66"/>
      <c r="LW141" s="66"/>
      <c r="LX141" s="66"/>
      <c r="LY141" s="66"/>
      <c r="LZ141" s="66"/>
      <c r="MA141" s="66"/>
      <c r="MB141" s="66"/>
    </row>
    <row r="142" spans="1:340" s="50" customFormat="1" ht="15.75" hidden="1" customHeight="1" thickBot="1">
      <c r="A142" s="44">
        <v>3</v>
      </c>
      <c r="B142" s="88" t="s">
        <v>176</v>
      </c>
      <c r="C142" s="85" t="s">
        <v>260</v>
      </c>
      <c r="D142" s="86" t="s">
        <v>45</v>
      </c>
      <c r="E142" s="130" t="s">
        <v>62</v>
      </c>
      <c r="F142" s="87" t="s">
        <v>24</v>
      </c>
      <c r="G142" s="68" t="s">
        <v>37</v>
      </c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A142" s="67"/>
      <c r="CB142" s="67"/>
      <c r="CC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  <c r="CR142" s="67"/>
      <c r="CS142" s="67"/>
      <c r="CT142" s="67"/>
      <c r="CU142" s="67"/>
      <c r="CV142" s="67"/>
      <c r="CW142" s="67"/>
      <c r="CX142" s="67"/>
      <c r="CY142" s="67"/>
      <c r="CZ142" s="67"/>
      <c r="DA142" s="67"/>
      <c r="DB142" s="67"/>
      <c r="DC142" s="67"/>
      <c r="DD142" s="67"/>
      <c r="DE142" s="67"/>
      <c r="DF142" s="67"/>
      <c r="DG142" s="67"/>
      <c r="DH142" s="67"/>
      <c r="DI142" s="67"/>
      <c r="DJ142" s="67"/>
      <c r="DK142" s="67"/>
      <c r="DL142" s="67"/>
      <c r="DM142" s="67"/>
      <c r="DN142" s="67"/>
      <c r="DO142" s="67"/>
      <c r="DP142" s="67"/>
      <c r="DQ142" s="67"/>
      <c r="DR142" s="67"/>
      <c r="DS142" s="67"/>
      <c r="DT142" s="67"/>
      <c r="DU142" s="67"/>
      <c r="DV142" s="67"/>
      <c r="DW142" s="67"/>
      <c r="DX142" s="67"/>
      <c r="DY142" s="67"/>
      <c r="DZ142" s="67"/>
      <c r="EA142" s="67"/>
      <c r="EB142" s="67"/>
      <c r="EC142" s="67"/>
      <c r="ED142" s="67"/>
      <c r="EE142" s="67"/>
      <c r="EF142" s="67"/>
      <c r="EG142" s="67"/>
      <c r="EH142" s="67"/>
      <c r="EI142" s="67"/>
      <c r="EJ142" s="67"/>
      <c r="EK142" s="67"/>
      <c r="EL142" s="67"/>
      <c r="EM142" s="67"/>
      <c r="EN142" s="67"/>
      <c r="EO142" s="67"/>
      <c r="EP142" s="67"/>
      <c r="EQ142" s="67"/>
      <c r="ER142" s="67"/>
      <c r="ES142" s="67"/>
      <c r="ET142" s="67"/>
      <c r="EU142" s="67"/>
      <c r="EV142" s="67"/>
      <c r="EW142" s="67"/>
      <c r="EX142" s="67"/>
      <c r="EY142" s="67"/>
      <c r="EZ142" s="67"/>
      <c r="FA142" s="67"/>
      <c r="FB142" s="67"/>
      <c r="FC142" s="67"/>
      <c r="FD142" s="67"/>
      <c r="FE142" s="67"/>
      <c r="FF142" s="67"/>
      <c r="FG142" s="67"/>
      <c r="FH142" s="67"/>
      <c r="FI142" s="67"/>
      <c r="FJ142" s="67"/>
      <c r="FK142" s="67"/>
      <c r="FL142" s="67"/>
      <c r="FM142" s="67"/>
      <c r="FN142" s="67"/>
      <c r="FO142" s="67"/>
      <c r="FP142" s="67"/>
      <c r="FQ142" s="67"/>
      <c r="FR142" s="67"/>
      <c r="FS142" s="67"/>
      <c r="FT142" s="67"/>
      <c r="FU142" s="67"/>
      <c r="FV142" s="67"/>
      <c r="FW142" s="67"/>
      <c r="FX142" s="67"/>
      <c r="FY142" s="67"/>
      <c r="FZ142" s="67"/>
      <c r="GA142" s="67"/>
      <c r="GB142" s="67"/>
      <c r="GC142" s="67"/>
      <c r="GD142" s="67"/>
      <c r="GE142" s="67"/>
      <c r="GF142" s="67"/>
      <c r="GG142" s="67"/>
      <c r="GH142" s="67"/>
      <c r="GI142" s="67"/>
      <c r="GJ142" s="67"/>
      <c r="GK142" s="67"/>
      <c r="GL142" s="67"/>
      <c r="GM142" s="67"/>
      <c r="GN142" s="67"/>
      <c r="GO142" s="67"/>
      <c r="GP142" s="67"/>
      <c r="GQ142" s="67"/>
      <c r="GR142" s="67"/>
      <c r="GS142" s="67"/>
      <c r="GT142" s="67"/>
      <c r="GU142" s="67"/>
      <c r="GV142" s="67"/>
      <c r="GW142" s="67"/>
      <c r="GX142" s="67"/>
      <c r="GY142" s="67"/>
      <c r="GZ142" s="67"/>
      <c r="HA142" s="67"/>
      <c r="HB142" s="67"/>
      <c r="HC142" s="67"/>
      <c r="HD142" s="67"/>
      <c r="HE142" s="67"/>
      <c r="HF142" s="67"/>
      <c r="HG142" s="67"/>
      <c r="HH142" s="67"/>
      <c r="HI142" s="67"/>
      <c r="HJ142" s="67"/>
      <c r="HK142" s="67"/>
      <c r="HL142" s="67"/>
      <c r="HM142" s="67"/>
      <c r="HN142" s="67"/>
      <c r="HO142" s="67"/>
      <c r="HP142" s="67"/>
      <c r="HQ142" s="67"/>
      <c r="HR142" s="67"/>
      <c r="HS142" s="67"/>
      <c r="HT142" s="67"/>
      <c r="HU142" s="67"/>
      <c r="HV142" s="67"/>
      <c r="HW142" s="67"/>
      <c r="HX142" s="67"/>
      <c r="HY142" s="67"/>
      <c r="HZ142" s="67"/>
      <c r="IA142" s="67"/>
      <c r="IB142" s="67"/>
      <c r="IC142" s="67"/>
      <c r="ID142" s="67"/>
      <c r="IE142" s="67"/>
      <c r="IF142" s="67"/>
      <c r="IG142" s="67"/>
      <c r="IH142" s="67"/>
      <c r="II142" s="67"/>
      <c r="IJ142" s="67"/>
      <c r="IK142" s="67"/>
      <c r="IL142" s="67"/>
      <c r="IM142" s="67"/>
      <c r="IN142" s="67"/>
      <c r="IO142" s="67"/>
      <c r="IP142" s="67"/>
      <c r="IQ142" s="67"/>
      <c r="IR142" s="67"/>
      <c r="IS142" s="67"/>
      <c r="IT142" s="67"/>
      <c r="IU142" s="67"/>
      <c r="IV142" s="67"/>
      <c r="IW142" s="67"/>
      <c r="IX142" s="67"/>
      <c r="IY142" s="67"/>
      <c r="IZ142" s="67"/>
      <c r="JA142" s="67"/>
      <c r="JB142" s="67"/>
      <c r="JC142" s="67"/>
      <c r="JD142" s="67"/>
      <c r="JE142" s="67"/>
      <c r="JF142" s="67"/>
      <c r="JG142" s="67"/>
      <c r="JH142" s="67"/>
      <c r="JI142" s="67"/>
      <c r="JJ142" s="67"/>
      <c r="JK142" s="67"/>
      <c r="JL142" s="67"/>
      <c r="JM142" s="67"/>
      <c r="JN142" s="67"/>
      <c r="JO142" s="67"/>
      <c r="JP142" s="67"/>
      <c r="JQ142" s="67"/>
      <c r="JR142" s="67"/>
      <c r="JS142" s="67"/>
      <c r="JT142" s="67"/>
      <c r="JU142" s="67"/>
      <c r="JV142" s="67"/>
      <c r="JW142" s="67"/>
      <c r="JX142" s="67"/>
      <c r="JY142" s="67"/>
      <c r="JZ142" s="67"/>
      <c r="KA142" s="67"/>
      <c r="KB142" s="67"/>
      <c r="KC142" s="67"/>
      <c r="KD142" s="67"/>
      <c r="KE142" s="67"/>
      <c r="KF142" s="67"/>
      <c r="KG142" s="67"/>
      <c r="KH142" s="67"/>
      <c r="KI142" s="67"/>
      <c r="KJ142" s="67"/>
      <c r="KK142" s="67"/>
      <c r="KL142" s="67"/>
      <c r="KM142" s="67"/>
      <c r="KN142" s="67"/>
      <c r="KO142" s="67"/>
      <c r="KP142" s="67"/>
      <c r="KQ142" s="67"/>
      <c r="KR142" s="67"/>
      <c r="KS142" s="67"/>
      <c r="KT142" s="67"/>
      <c r="KU142" s="67"/>
      <c r="KV142" s="67"/>
      <c r="KW142" s="67"/>
      <c r="KX142" s="67"/>
      <c r="KY142" s="67"/>
      <c r="KZ142" s="67"/>
      <c r="LA142" s="67"/>
      <c r="LB142" s="67"/>
      <c r="LC142" s="67"/>
      <c r="LD142" s="67"/>
      <c r="LE142" s="67"/>
      <c r="LF142" s="67"/>
      <c r="LG142" s="67"/>
      <c r="LH142" s="67"/>
      <c r="LI142" s="67"/>
      <c r="LJ142" s="67"/>
      <c r="LK142" s="67"/>
      <c r="LL142" s="67"/>
      <c r="LM142" s="67"/>
      <c r="LN142" s="67"/>
      <c r="LO142" s="67"/>
      <c r="LP142" s="67"/>
      <c r="LQ142" s="67"/>
      <c r="LR142" s="67"/>
      <c r="LS142" s="67"/>
      <c r="LT142" s="67"/>
      <c r="LU142" s="67"/>
      <c r="LV142" s="67"/>
      <c r="LW142" s="67"/>
      <c r="LX142" s="67"/>
      <c r="LY142" s="67"/>
      <c r="LZ142" s="67"/>
      <c r="MA142" s="67"/>
      <c r="MB142" s="67"/>
    </row>
    <row r="143" spans="1:340" s="50" customFormat="1" ht="15.75" hidden="1" customHeight="1" thickBot="1">
      <c r="A143" s="65">
        <v>3</v>
      </c>
      <c r="B143" s="88" t="s">
        <v>261</v>
      </c>
      <c r="C143" s="85" t="s">
        <v>262</v>
      </c>
      <c r="D143" s="86" t="s">
        <v>35</v>
      </c>
      <c r="E143" s="130" t="s">
        <v>36</v>
      </c>
      <c r="F143" s="87" t="s">
        <v>24</v>
      </c>
      <c r="G143" s="138"/>
      <c r="H143" s="138" t="s">
        <v>28</v>
      </c>
      <c r="I143" s="138"/>
      <c r="J143" s="138"/>
      <c r="K143" s="138" t="s">
        <v>26</v>
      </c>
      <c r="L143" s="138"/>
      <c r="M143" s="138"/>
      <c r="N143" s="68"/>
      <c r="O143" s="68" t="s">
        <v>41</v>
      </c>
      <c r="P143" s="68" t="s">
        <v>37</v>
      </c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  <c r="AK143" s="67"/>
      <c r="AL143" s="67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A143" s="67"/>
      <c r="CB143" s="67"/>
      <c r="CC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  <c r="CR143" s="67"/>
      <c r="CS143" s="67"/>
      <c r="CT143" s="67"/>
      <c r="CU143" s="67"/>
      <c r="CV143" s="67"/>
      <c r="CW143" s="67"/>
      <c r="CX143" s="67"/>
      <c r="CY143" s="67"/>
      <c r="CZ143" s="67"/>
      <c r="DA143" s="67"/>
      <c r="DB143" s="67"/>
      <c r="DC143" s="67"/>
      <c r="DD143" s="67"/>
      <c r="DE143" s="67"/>
      <c r="DF143" s="67"/>
      <c r="DG143" s="67"/>
      <c r="DH143" s="67"/>
      <c r="DI143" s="67"/>
      <c r="DJ143" s="67"/>
      <c r="DK143" s="67"/>
      <c r="DL143" s="67"/>
      <c r="DM143" s="67"/>
      <c r="DN143" s="67"/>
      <c r="DO143" s="67"/>
      <c r="DP143" s="67"/>
      <c r="DQ143" s="67"/>
      <c r="DR143" s="67"/>
      <c r="DS143" s="67"/>
      <c r="DT143" s="67"/>
      <c r="DU143" s="67"/>
      <c r="DV143" s="67"/>
      <c r="DW143" s="67"/>
      <c r="DX143" s="67"/>
      <c r="DY143" s="67"/>
      <c r="DZ143" s="67"/>
      <c r="EA143" s="67"/>
      <c r="EB143" s="67"/>
      <c r="EC143" s="67"/>
      <c r="ED143" s="67"/>
      <c r="EE143" s="67"/>
      <c r="EF143" s="67"/>
      <c r="EG143" s="67"/>
      <c r="EH143" s="67"/>
      <c r="EI143" s="67"/>
      <c r="EJ143" s="67"/>
      <c r="EK143" s="67"/>
      <c r="EL143" s="67"/>
      <c r="EM143" s="67"/>
      <c r="EN143" s="67"/>
      <c r="EO143" s="67"/>
      <c r="EP143" s="67"/>
      <c r="EQ143" s="67"/>
      <c r="ER143" s="67"/>
      <c r="ES143" s="67"/>
      <c r="ET143" s="67"/>
      <c r="EU143" s="67"/>
      <c r="EV143" s="67"/>
      <c r="EW143" s="67"/>
      <c r="EX143" s="67"/>
      <c r="EY143" s="67"/>
      <c r="EZ143" s="67"/>
      <c r="FA143" s="67"/>
      <c r="FB143" s="67"/>
      <c r="FC143" s="67"/>
      <c r="FD143" s="67"/>
      <c r="FE143" s="67"/>
      <c r="FF143" s="67"/>
      <c r="FG143" s="67"/>
      <c r="FH143" s="67"/>
      <c r="FI143" s="67"/>
      <c r="FJ143" s="67"/>
      <c r="FK143" s="67"/>
      <c r="FL143" s="67"/>
      <c r="FM143" s="67"/>
      <c r="FN143" s="67"/>
      <c r="FO143" s="67"/>
      <c r="FP143" s="67"/>
      <c r="FQ143" s="67"/>
      <c r="FR143" s="67"/>
      <c r="FS143" s="67"/>
      <c r="FT143" s="67"/>
      <c r="FU143" s="67"/>
      <c r="FV143" s="67"/>
      <c r="FW143" s="67"/>
      <c r="FX143" s="67"/>
      <c r="FY143" s="67"/>
      <c r="FZ143" s="67"/>
      <c r="GA143" s="67"/>
      <c r="GB143" s="67"/>
      <c r="GC143" s="67"/>
      <c r="GD143" s="67"/>
      <c r="GE143" s="67"/>
      <c r="GF143" s="67"/>
      <c r="GG143" s="67"/>
      <c r="GH143" s="67"/>
      <c r="GI143" s="67"/>
      <c r="GJ143" s="67"/>
      <c r="GK143" s="67"/>
      <c r="GL143" s="67"/>
      <c r="GM143" s="67"/>
      <c r="GN143" s="67"/>
      <c r="GO143" s="67"/>
      <c r="GP143" s="67"/>
      <c r="GQ143" s="67"/>
      <c r="GR143" s="67"/>
      <c r="GS143" s="67"/>
      <c r="GT143" s="67"/>
      <c r="GU143" s="67"/>
      <c r="GV143" s="67"/>
      <c r="GW143" s="67"/>
      <c r="GX143" s="67"/>
      <c r="GY143" s="67"/>
      <c r="GZ143" s="67"/>
      <c r="HA143" s="67"/>
      <c r="HB143" s="67"/>
      <c r="HC143" s="67"/>
      <c r="HD143" s="67"/>
      <c r="HE143" s="67"/>
      <c r="HF143" s="67"/>
      <c r="HG143" s="67"/>
      <c r="HH143" s="67"/>
      <c r="HI143" s="67"/>
      <c r="HJ143" s="67"/>
      <c r="HK143" s="67"/>
      <c r="HL143" s="67"/>
      <c r="HM143" s="67"/>
      <c r="HN143" s="67"/>
      <c r="HO143" s="67"/>
      <c r="HP143" s="67"/>
      <c r="HQ143" s="67"/>
      <c r="HR143" s="67"/>
      <c r="HS143" s="67"/>
      <c r="HT143" s="67"/>
      <c r="HU143" s="67"/>
      <c r="HV143" s="67"/>
      <c r="HW143" s="67"/>
      <c r="HX143" s="67"/>
      <c r="HY143" s="67"/>
      <c r="HZ143" s="67"/>
      <c r="IA143" s="67"/>
      <c r="IB143" s="67"/>
      <c r="IC143" s="67"/>
      <c r="ID143" s="67"/>
      <c r="IE143" s="67"/>
      <c r="IF143" s="67"/>
      <c r="IG143" s="67"/>
      <c r="IH143" s="67"/>
      <c r="II143" s="67"/>
      <c r="IJ143" s="67"/>
      <c r="IK143" s="67"/>
      <c r="IL143" s="67"/>
      <c r="IM143" s="67"/>
      <c r="IN143" s="67"/>
      <c r="IO143" s="67"/>
      <c r="IP143" s="67"/>
      <c r="IQ143" s="67"/>
      <c r="IR143" s="67"/>
      <c r="IS143" s="67"/>
      <c r="IT143" s="67"/>
      <c r="IU143" s="67"/>
      <c r="IV143" s="67"/>
      <c r="IW143" s="67"/>
      <c r="IX143" s="67"/>
      <c r="IY143" s="67"/>
      <c r="IZ143" s="67"/>
      <c r="JA143" s="67"/>
      <c r="JB143" s="67"/>
      <c r="JC143" s="67"/>
      <c r="JD143" s="67"/>
      <c r="JE143" s="67"/>
      <c r="JF143" s="67"/>
      <c r="JG143" s="67"/>
      <c r="JH143" s="67"/>
      <c r="JI143" s="67"/>
      <c r="JJ143" s="67"/>
      <c r="JK143" s="67"/>
      <c r="JL143" s="67"/>
      <c r="JM143" s="67"/>
      <c r="JN143" s="67"/>
      <c r="JO143" s="67"/>
      <c r="JP143" s="67"/>
      <c r="JQ143" s="67"/>
      <c r="JR143" s="67"/>
      <c r="JS143" s="67"/>
      <c r="JT143" s="67"/>
      <c r="JU143" s="67"/>
      <c r="JV143" s="67"/>
      <c r="JW143" s="67"/>
      <c r="JX143" s="67"/>
      <c r="JY143" s="67"/>
      <c r="JZ143" s="67"/>
      <c r="KA143" s="67"/>
      <c r="KB143" s="67"/>
      <c r="KC143" s="67"/>
      <c r="KD143" s="67"/>
      <c r="KE143" s="67"/>
      <c r="KF143" s="67"/>
      <c r="KG143" s="67"/>
      <c r="KH143" s="67"/>
      <c r="KI143" s="67"/>
      <c r="KJ143" s="67"/>
      <c r="KK143" s="67"/>
      <c r="KL143" s="67"/>
      <c r="KM143" s="67"/>
      <c r="KN143" s="67"/>
      <c r="KO143" s="67"/>
      <c r="KP143" s="67"/>
      <c r="KQ143" s="67"/>
      <c r="KR143" s="67"/>
      <c r="KS143" s="67"/>
      <c r="KT143" s="67"/>
      <c r="KU143" s="67"/>
      <c r="KV143" s="67"/>
      <c r="KW143" s="67"/>
      <c r="KX143" s="67"/>
      <c r="KY143" s="67"/>
      <c r="KZ143" s="67"/>
      <c r="LA143" s="67"/>
      <c r="LB143" s="67"/>
      <c r="LC143" s="67"/>
      <c r="LD143" s="67"/>
      <c r="LE143" s="67"/>
      <c r="LF143" s="67"/>
      <c r="LG143" s="67"/>
      <c r="LH143" s="67"/>
      <c r="LI143" s="67"/>
      <c r="LJ143" s="67"/>
      <c r="LK143" s="67"/>
      <c r="LL143" s="67"/>
      <c r="LM143" s="67"/>
      <c r="LN143" s="67"/>
      <c r="LO143" s="67"/>
      <c r="LP143" s="67"/>
      <c r="LQ143" s="67"/>
      <c r="LR143" s="67"/>
      <c r="LS143" s="67"/>
      <c r="LT143" s="67"/>
      <c r="LU143" s="67"/>
      <c r="LV143" s="67"/>
      <c r="LW143" s="67"/>
      <c r="LX143" s="67"/>
      <c r="LY143" s="67"/>
      <c r="LZ143" s="67"/>
      <c r="MA143" s="67"/>
      <c r="MB143" s="67"/>
    </row>
    <row r="144" spans="1:340" s="50" customFormat="1" ht="15.75" hidden="1" customHeight="1" thickBot="1">
      <c r="A144" s="44">
        <v>3</v>
      </c>
      <c r="B144" s="88" t="s">
        <v>263</v>
      </c>
      <c r="C144" s="85" t="s">
        <v>142</v>
      </c>
      <c r="D144" s="86" t="s">
        <v>35</v>
      </c>
      <c r="E144" s="130" t="s">
        <v>36</v>
      </c>
      <c r="F144" s="87" t="s">
        <v>24</v>
      </c>
      <c r="G144" s="68"/>
      <c r="H144" s="68"/>
      <c r="I144" s="68"/>
      <c r="J144" s="138"/>
      <c r="K144" s="138"/>
      <c r="L144" s="138"/>
      <c r="M144" s="138"/>
      <c r="N144" s="68"/>
      <c r="O144" s="68"/>
      <c r="P144" s="68" t="s">
        <v>41</v>
      </c>
      <c r="Q144" s="68" t="s">
        <v>37</v>
      </c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A144" s="67"/>
      <c r="CB144" s="67"/>
      <c r="CC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  <c r="CR144" s="67"/>
      <c r="CS144" s="67"/>
      <c r="CT144" s="67"/>
      <c r="CU144" s="67"/>
      <c r="CV144" s="67"/>
      <c r="CW144" s="67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/>
      <c r="DS144" s="67"/>
      <c r="DT144" s="67"/>
      <c r="DU144" s="67"/>
      <c r="DV144" s="67"/>
      <c r="DW144" s="67"/>
      <c r="DX144" s="67"/>
      <c r="DY144" s="67"/>
      <c r="DZ144" s="67"/>
      <c r="EA144" s="67"/>
      <c r="EB144" s="67"/>
      <c r="EC144" s="67"/>
      <c r="ED144" s="67"/>
      <c r="EE144" s="67"/>
      <c r="EF144" s="67"/>
      <c r="EG144" s="67"/>
      <c r="EH144" s="67"/>
      <c r="EI144" s="67"/>
      <c r="EJ144" s="67"/>
      <c r="EK144" s="67"/>
      <c r="EL144" s="67"/>
      <c r="EM144" s="67"/>
      <c r="EN144" s="67"/>
      <c r="EO144" s="67"/>
      <c r="EP144" s="67"/>
      <c r="EQ144" s="67"/>
      <c r="ER144" s="67"/>
      <c r="ES144" s="67"/>
      <c r="ET144" s="67"/>
      <c r="EU144" s="67"/>
      <c r="EV144" s="67"/>
      <c r="EW144" s="67"/>
      <c r="EX144" s="67"/>
      <c r="EY144" s="67"/>
      <c r="EZ144" s="67"/>
      <c r="FA144" s="67"/>
      <c r="FB144" s="67"/>
      <c r="FC144" s="67"/>
      <c r="FD144" s="67"/>
      <c r="FE144" s="67"/>
      <c r="FF144" s="67"/>
      <c r="FG144" s="67"/>
      <c r="FH144" s="67"/>
      <c r="FI144" s="67"/>
      <c r="FJ144" s="67"/>
      <c r="FK144" s="67"/>
      <c r="FL144" s="67"/>
      <c r="FM144" s="67"/>
      <c r="FN144" s="67"/>
      <c r="FO144" s="67"/>
      <c r="FP144" s="67"/>
      <c r="FQ144" s="67"/>
      <c r="FR144" s="67"/>
      <c r="FS144" s="67"/>
      <c r="FT144" s="67"/>
      <c r="FU144" s="67"/>
      <c r="FV144" s="67"/>
      <c r="FW144" s="67"/>
      <c r="FX144" s="67"/>
      <c r="FY144" s="67"/>
      <c r="FZ144" s="67"/>
      <c r="GA144" s="67"/>
      <c r="GB144" s="67"/>
      <c r="GC144" s="67"/>
      <c r="GD144" s="67"/>
      <c r="GE144" s="67"/>
      <c r="GF144" s="67"/>
      <c r="GG144" s="67"/>
      <c r="GH144" s="67"/>
      <c r="GI144" s="67"/>
      <c r="GJ144" s="67"/>
      <c r="GK144" s="67"/>
      <c r="GL144" s="67"/>
      <c r="GM144" s="67"/>
      <c r="GN144" s="67"/>
      <c r="GO144" s="67"/>
      <c r="GP144" s="67"/>
      <c r="GQ144" s="67"/>
      <c r="GR144" s="67"/>
      <c r="GS144" s="67"/>
      <c r="GT144" s="67"/>
      <c r="GU144" s="67"/>
      <c r="GV144" s="67"/>
      <c r="GW144" s="67"/>
      <c r="GX144" s="67"/>
      <c r="GY144" s="67"/>
      <c r="GZ144" s="67"/>
      <c r="HA144" s="67"/>
      <c r="HB144" s="67"/>
      <c r="HC144" s="67"/>
      <c r="HD144" s="67"/>
      <c r="HE144" s="67"/>
      <c r="HF144" s="67"/>
      <c r="HG144" s="67"/>
      <c r="HH144" s="67"/>
      <c r="HI144" s="67"/>
      <c r="HJ144" s="67"/>
      <c r="HK144" s="67"/>
      <c r="HL144" s="67"/>
      <c r="HM144" s="67"/>
      <c r="HN144" s="67"/>
      <c r="HO144" s="67"/>
      <c r="HP144" s="67"/>
      <c r="HQ144" s="67"/>
      <c r="HR144" s="67"/>
      <c r="HS144" s="67"/>
      <c r="HT144" s="67"/>
      <c r="HU144" s="67"/>
      <c r="HV144" s="67"/>
      <c r="HW144" s="67"/>
      <c r="HX144" s="67"/>
      <c r="HY144" s="67"/>
      <c r="HZ144" s="67"/>
      <c r="IA144" s="67"/>
      <c r="IB144" s="67"/>
      <c r="IC144" s="67"/>
      <c r="ID144" s="67"/>
      <c r="IE144" s="67"/>
      <c r="IF144" s="67"/>
      <c r="IG144" s="67"/>
      <c r="IH144" s="67"/>
      <c r="II144" s="67"/>
      <c r="IJ144" s="67"/>
      <c r="IK144" s="67"/>
      <c r="IL144" s="67"/>
      <c r="IM144" s="67"/>
      <c r="IN144" s="67"/>
      <c r="IO144" s="67"/>
      <c r="IP144" s="67"/>
      <c r="IQ144" s="67"/>
      <c r="IR144" s="67"/>
      <c r="IS144" s="67"/>
      <c r="IT144" s="67"/>
      <c r="IU144" s="67"/>
      <c r="IV144" s="67"/>
      <c r="IW144" s="67"/>
      <c r="IX144" s="67"/>
      <c r="IY144" s="67"/>
      <c r="IZ144" s="67"/>
      <c r="JA144" s="67"/>
      <c r="JB144" s="67"/>
      <c r="JC144" s="67"/>
      <c r="JD144" s="67"/>
      <c r="JE144" s="67"/>
      <c r="JF144" s="67"/>
      <c r="JG144" s="67"/>
      <c r="JH144" s="67"/>
      <c r="JI144" s="67"/>
      <c r="JJ144" s="67"/>
      <c r="JK144" s="67"/>
      <c r="JL144" s="67"/>
      <c r="JM144" s="67"/>
      <c r="JN144" s="67"/>
      <c r="JO144" s="67"/>
      <c r="JP144" s="67"/>
      <c r="JQ144" s="67"/>
      <c r="JR144" s="67"/>
      <c r="JS144" s="67"/>
      <c r="JT144" s="67"/>
      <c r="JU144" s="67"/>
      <c r="JV144" s="67"/>
      <c r="JW144" s="67"/>
      <c r="JX144" s="67"/>
      <c r="JY144" s="67"/>
      <c r="JZ144" s="67"/>
      <c r="KA144" s="67"/>
      <c r="KB144" s="67"/>
      <c r="KC144" s="67"/>
      <c r="KD144" s="67"/>
      <c r="KE144" s="67"/>
      <c r="KF144" s="67"/>
      <c r="KG144" s="67"/>
      <c r="KH144" s="67"/>
      <c r="KI144" s="67"/>
      <c r="KJ144" s="67"/>
      <c r="KK144" s="67"/>
      <c r="KL144" s="67"/>
      <c r="KM144" s="67"/>
      <c r="KN144" s="67"/>
      <c r="KO144" s="67"/>
      <c r="KP144" s="67"/>
      <c r="KQ144" s="67"/>
      <c r="KR144" s="67"/>
      <c r="KS144" s="67"/>
      <c r="KT144" s="67"/>
      <c r="KU144" s="67"/>
      <c r="KV144" s="67"/>
      <c r="KW144" s="67"/>
      <c r="KX144" s="67"/>
      <c r="KY144" s="67"/>
      <c r="KZ144" s="67"/>
      <c r="LA144" s="67"/>
      <c r="LB144" s="67"/>
      <c r="LC144" s="67"/>
      <c r="LD144" s="67"/>
      <c r="LE144" s="67"/>
      <c r="LF144" s="67"/>
      <c r="LG144" s="67"/>
      <c r="LH144" s="67"/>
      <c r="LI144" s="67"/>
      <c r="LJ144" s="67"/>
      <c r="LK144" s="67"/>
      <c r="LL144" s="67"/>
      <c r="LM144" s="67"/>
      <c r="LN144" s="67"/>
      <c r="LO144" s="67"/>
      <c r="LP144" s="67"/>
      <c r="LQ144" s="67"/>
      <c r="LR144" s="67"/>
      <c r="LS144" s="67"/>
      <c r="LT144" s="67"/>
      <c r="LU144" s="67"/>
      <c r="LV144" s="67"/>
      <c r="LW144" s="67"/>
      <c r="LX144" s="67"/>
      <c r="LY144" s="67"/>
      <c r="LZ144" s="67"/>
      <c r="MA144" s="67"/>
      <c r="MB144" s="67"/>
    </row>
    <row r="145" spans="1:340" s="50" customFormat="1" ht="15.75" customHeight="1" thickBot="1">
      <c r="A145" s="44">
        <v>3</v>
      </c>
      <c r="B145" s="88" t="s">
        <v>176</v>
      </c>
      <c r="C145" s="85" t="s">
        <v>180</v>
      </c>
      <c r="D145" s="86" t="s">
        <v>22</v>
      </c>
      <c r="E145" s="130" t="s">
        <v>23</v>
      </c>
      <c r="F145" s="87" t="s">
        <v>24</v>
      </c>
      <c r="G145" s="139"/>
      <c r="H145" s="68"/>
      <c r="I145" s="68"/>
      <c r="J145" s="140"/>
      <c r="K145" s="68" t="s">
        <v>28</v>
      </c>
      <c r="L145" s="140"/>
      <c r="M145" s="68"/>
      <c r="N145" s="141"/>
      <c r="O145" s="68" t="s">
        <v>26</v>
      </c>
      <c r="P145" s="68"/>
      <c r="Q145" s="68"/>
      <c r="R145" s="68"/>
      <c r="S145" s="68"/>
      <c r="T145" s="68" t="s">
        <v>27</v>
      </c>
      <c r="U145" s="68" t="s">
        <v>37</v>
      </c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  <c r="CR145" s="67"/>
      <c r="CS145" s="67"/>
      <c r="CT145" s="67"/>
      <c r="CU145" s="67"/>
      <c r="CV145" s="67"/>
      <c r="CW145" s="67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/>
      <c r="DS145" s="67"/>
      <c r="DT145" s="67"/>
      <c r="DU145" s="67"/>
      <c r="DV145" s="67"/>
      <c r="DW145" s="67"/>
      <c r="DX145" s="67"/>
      <c r="DY145" s="67"/>
      <c r="DZ145" s="67"/>
      <c r="EA145" s="67"/>
      <c r="EB145" s="67"/>
      <c r="EC145" s="67"/>
      <c r="ED145" s="67"/>
      <c r="EE145" s="67"/>
      <c r="EF145" s="67"/>
      <c r="EG145" s="67"/>
      <c r="EH145" s="67"/>
      <c r="EI145" s="67"/>
      <c r="EJ145" s="67"/>
      <c r="EK145" s="67"/>
      <c r="EL145" s="67"/>
      <c r="EM145" s="67"/>
      <c r="EN145" s="67"/>
      <c r="EO145" s="67"/>
      <c r="EP145" s="67"/>
      <c r="EQ145" s="67"/>
      <c r="ER145" s="67"/>
      <c r="ES145" s="67"/>
      <c r="ET145" s="67"/>
      <c r="EU145" s="67"/>
      <c r="EV145" s="67"/>
      <c r="EW145" s="67"/>
      <c r="EX145" s="67"/>
      <c r="EY145" s="67"/>
      <c r="EZ145" s="67"/>
      <c r="FA145" s="67"/>
      <c r="FB145" s="67"/>
      <c r="FC145" s="67"/>
      <c r="FD145" s="67"/>
      <c r="FE145" s="67"/>
      <c r="FF145" s="67"/>
      <c r="FG145" s="67"/>
      <c r="FH145" s="67"/>
      <c r="FI145" s="67"/>
      <c r="FJ145" s="67"/>
      <c r="FK145" s="67"/>
      <c r="FL145" s="67"/>
      <c r="FM145" s="67"/>
      <c r="FN145" s="67"/>
      <c r="FO145" s="67"/>
      <c r="FP145" s="67"/>
      <c r="FQ145" s="67"/>
      <c r="FR145" s="67"/>
      <c r="FS145" s="67"/>
      <c r="FT145" s="67"/>
      <c r="FU145" s="67"/>
      <c r="FV145" s="67"/>
      <c r="FW145" s="67"/>
      <c r="FX145" s="67"/>
      <c r="FY145" s="67"/>
      <c r="FZ145" s="67"/>
      <c r="GA145" s="67"/>
      <c r="GB145" s="67"/>
      <c r="GC145" s="67"/>
      <c r="GD145" s="67"/>
      <c r="GE145" s="67"/>
      <c r="GF145" s="67"/>
      <c r="GG145" s="67"/>
      <c r="GH145" s="67"/>
      <c r="GI145" s="67"/>
      <c r="GJ145" s="67"/>
      <c r="GK145" s="67"/>
      <c r="GL145" s="67"/>
      <c r="GM145" s="67"/>
      <c r="GN145" s="67"/>
      <c r="GO145" s="67"/>
      <c r="GP145" s="67"/>
      <c r="GQ145" s="67"/>
      <c r="GR145" s="67"/>
      <c r="GS145" s="67"/>
      <c r="GT145" s="67"/>
      <c r="GU145" s="67"/>
      <c r="GV145" s="67"/>
      <c r="GW145" s="67"/>
      <c r="GX145" s="67"/>
      <c r="GY145" s="67"/>
      <c r="GZ145" s="67"/>
      <c r="HA145" s="67"/>
      <c r="HB145" s="67"/>
      <c r="HC145" s="67"/>
      <c r="HD145" s="67"/>
      <c r="HE145" s="67"/>
      <c r="HF145" s="67"/>
      <c r="HG145" s="67"/>
      <c r="HH145" s="67"/>
      <c r="HI145" s="67"/>
      <c r="HJ145" s="67"/>
      <c r="HK145" s="67"/>
      <c r="HL145" s="67"/>
      <c r="HM145" s="67"/>
      <c r="HN145" s="67"/>
      <c r="HO145" s="67"/>
      <c r="HP145" s="67"/>
      <c r="HQ145" s="67"/>
      <c r="HR145" s="67"/>
      <c r="HS145" s="67"/>
      <c r="HT145" s="67"/>
      <c r="HU145" s="67"/>
      <c r="HV145" s="67"/>
      <c r="HW145" s="67"/>
      <c r="HX145" s="67"/>
      <c r="HY145" s="67"/>
      <c r="HZ145" s="67"/>
      <c r="IA145" s="67"/>
      <c r="IB145" s="67"/>
      <c r="IC145" s="67"/>
      <c r="ID145" s="67"/>
      <c r="IE145" s="67"/>
      <c r="IF145" s="67"/>
      <c r="IG145" s="67"/>
      <c r="IH145" s="67"/>
      <c r="II145" s="67"/>
      <c r="IJ145" s="67"/>
      <c r="IK145" s="67"/>
      <c r="IL145" s="67"/>
      <c r="IM145" s="67"/>
      <c r="IN145" s="67"/>
      <c r="IO145" s="67"/>
      <c r="IP145" s="67"/>
      <c r="IQ145" s="67"/>
      <c r="IR145" s="67"/>
      <c r="IS145" s="67"/>
      <c r="IT145" s="67"/>
      <c r="IU145" s="67"/>
      <c r="IV145" s="67"/>
      <c r="IW145" s="67"/>
      <c r="IX145" s="67"/>
      <c r="IY145" s="67"/>
      <c r="IZ145" s="67"/>
      <c r="JA145" s="67"/>
      <c r="JB145" s="67"/>
      <c r="JC145" s="67"/>
      <c r="JD145" s="67"/>
      <c r="JE145" s="67"/>
      <c r="JF145" s="67"/>
      <c r="JG145" s="67"/>
      <c r="JH145" s="67"/>
      <c r="JI145" s="67"/>
      <c r="JJ145" s="67"/>
      <c r="JK145" s="67"/>
      <c r="JL145" s="67"/>
      <c r="JM145" s="67"/>
      <c r="JN145" s="67"/>
      <c r="JO145" s="67"/>
      <c r="JP145" s="67"/>
      <c r="JQ145" s="67"/>
      <c r="JR145" s="67"/>
      <c r="JS145" s="67"/>
      <c r="JT145" s="67"/>
      <c r="JU145" s="67"/>
      <c r="JV145" s="67"/>
      <c r="JW145" s="67"/>
      <c r="JX145" s="67"/>
      <c r="JY145" s="67"/>
      <c r="JZ145" s="67"/>
      <c r="KA145" s="67"/>
      <c r="KB145" s="67"/>
      <c r="KC145" s="67"/>
      <c r="KD145" s="67"/>
      <c r="KE145" s="67"/>
      <c r="KF145" s="67"/>
      <c r="KG145" s="67"/>
      <c r="KH145" s="67"/>
      <c r="KI145" s="67"/>
      <c r="KJ145" s="67"/>
      <c r="KK145" s="67"/>
      <c r="KL145" s="67"/>
      <c r="KM145" s="67"/>
      <c r="KN145" s="67"/>
      <c r="KO145" s="67"/>
      <c r="KP145" s="67"/>
      <c r="KQ145" s="67"/>
      <c r="KR145" s="67"/>
      <c r="KS145" s="67"/>
      <c r="KT145" s="67"/>
      <c r="KU145" s="67"/>
      <c r="KV145" s="67"/>
      <c r="KW145" s="67"/>
      <c r="KX145" s="67"/>
      <c r="KY145" s="67"/>
      <c r="KZ145" s="67"/>
      <c r="LA145" s="67"/>
      <c r="LB145" s="67"/>
      <c r="LC145" s="67"/>
      <c r="LD145" s="67"/>
      <c r="LE145" s="67"/>
      <c r="LF145" s="67"/>
      <c r="LG145" s="67"/>
      <c r="LH145" s="67"/>
      <c r="LI145" s="67"/>
      <c r="LJ145" s="67"/>
      <c r="LK145" s="67"/>
      <c r="LL145" s="67"/>
      <c r="LM145" s="67"/>
      <c r="LN145" s="67"/>
      <c r="LO145" s="67"/>
      <c r="LP145" s="67"/>
      <c r="LQ145" s="67"/>
      <c r="LR145" s="67"/>
      <c r="LS145" s="67"/>
      <c r="LT145" s="67"/>
      <c r="LU145" s="67"/>
      <c r="LV145" s="67"/>
      <c r="LW145" s="67"/>
      <c r="LX145" s="67"/>
      <c r="LY145" s="67"/>
      <c r="LZ145" s="67"/>
      <c r="MA145" s="67"/>
      <c r="MB145" s="67"/>
    </row>
    <row r="146" spans="1:340" s="50" customFormat="1" ht="15.75" customHeight="1" thickBot="1">
      <c r="A146" s="44">
        <v>3</v>
      </c>
      <c r="B146" s="88" t="s">
        <v>176</v>
      </c>
      <c r="C146" s="85" t="s">
        <v>264</v>
      </c>
      <c r="D146" s="86" t="s">
        <v>22</v>
      </c>
      <c r="E146" s="130" t="s">
        <v>23</v>
      </c>
      <c r="F146" s="87" t="s">
        <v>24</v>
      </c>
      <c r="G146" s="68"/>
      <c r="H146" s="68"/>
      <c r="I146" s="68"/>
      <c r="J146" s="68"/>
      <c r="K146" s="68"/>
      <c r="L146" s="68"/>
      <c r="M146" s="68"/>
      <c r="N146" s="68"/>
      <c r="O146" s="68"/>
      <c r="P146" s="68" t="s">
        <v>57</v>
      </c>
      <c r="Q146" s="68"/>
      <c r="R146" s="68"/>
      <c r="S146" s="68"/>
      <c r="T146" s="68"/>
      <c r="U146" s="68"/>
      <c r="V146" s="68"/>
      <c r="W146" s="68"/>
      <c r="X146" s="68"/>
      <c r="Y146" s="68"/>
      <c r="Z146" s="68" t="s">
        <v>37</v>
      </c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  <c r="CR146" s="67"/>
      <c r="CS146" s="67"/>
      <c r="CT146" s="67"/>
      <c r="CU146" s="67"/>
      <c r="CV146" s="67"/>
      <c r="CW146" s="67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/>
      <c r="DS146" s="67"/>
      <c r="DT146" s="67"/>
      <c r="DU146" s="67"/>
      <c r="DV146" s="67"/>
      <c r="DW146" s="67"/>
      <c r="DX146" s="67"/>
      <c r="DY146" s="67"/>
      <c r="DZ146" s="67"/>
      <c r="EA146" s="67"/>
      <c r="EB146" s="67"/>
      <c r="EC146" s="67"/>
      <c r="ED146" s="67"/>
      <c r="EE146" s="67"/>
      <c r="EF146" s="67"/>
      <c r="EG146" s="67"/>
      <c r="EH146" s="67"/>
      <c r="EI146" s="67"/>
      <c r="EJ146" s="67"/>
      <c r="EK146" s="67"/>
      <c r="EL146" s="67"/>
      <c r="EM146" s="67"/>
      <c r="EN146" s="67"/>
      <c r="EO146" s="67"/>
      <c r="EP146" s="67"/>
      <c r="EQ146" s="67"/>
      <c r="ER146" s="67"/>
      <c r="ES146" s="67"/>
      <c r="ET146" s="67"/>
      <c r="EU146" s="67"/>
      <c r="EV146" s="67"/>
      <c r="EW146" s="67"/>
      <c r="EX146" s="67"/>
      <c r="EY146" s="67"/>
      <c r="EZ146" s="67"/>
      <c r="FA146" s="67"/>
      <c r="FB146" s="67"/>
      <c r="FC146" s="67"/>
      <c r="FD146" s="67"/>
      <c r="FE146" s="67"/>
      <c r="FF146" s="67"/>
      <c r="FG146" s="67"/>
      <c r="FH146" s="67"/>
      <c r="FI146" s="67"/>
      <c r="FJ146" s="67"/>
      <c r="FK146" s="67"/>
      <c r="FL146" s="67"/>
      <c r="FM146" s="67"/>
      <c r="FN146" s="67"/>
      <c r="FO146" s="67"/>
      <c r="FP146" s="67"/>
      <c r="FQ146" s="67"/>
      <c r="FR146" s="67"/>
      <c r="FS146" s="67"/>
      <c r="FT146" s="67"/>
      <c r="FU146" s="67"/>
      <c r="FV146" s="67"/>
      <c r="FW146" s="67"/>
      <c r="FX146" s="67"/>
      <c r="FY146" s="67"/>
      <c r="FZ146" s="67"/>
      <c r="GA146" s="67"/>
      <c r="GB146" s="67"/>
      <c r="GC146" s="67"/>
      <c r="GD146" s="67"/>
      <c r="GE146" s="67"/>
      <c r="GF146" s="67"/>
      <c r="GG146" s="67"/>
      <c r="GH146" s="67"/>
      <c r="GI146" s="67"/>
      <c r="GJ146" s="67"/>
      <c r="GK146" s="67"/>
      <c r="GL146" s="67"/>
      <c r="GM146" s="67"/>
      <c r="GN146" s="67"/>
      <c r="GO146" s="67"/>
      <c r="GP146" s="67"/>
      <c r="GQ146" s="67"/>
      <c r="GR146" s="67"/>
      <c r="GS146" s="67"/>
      <c r="GT146" s="67"/>
      <c r="GU146" s="67"/>
      <c r="GV146" s="67"/>
      <c r="GW146" s="67"/>
      <c r="GX146" s="67"/>
      <c r="GY146" s="67"/>
      <c r="GZ146" s="67"/>
      <c r="HA146" s="67"/>
      <c r="HB146" s="67"/>
      <c r="HC146" s="67"/>
      <c r="HD146" s="67"/>
      <c r="HE146" s="67"/>
      <c r="HF146" s="67"/>
      <c r="HG146" s="67"/>
      <c r="HH146" s="67"/>
      <c r="HI146" s="67"/>
      <c r="HJ146" s="67"/>
      <c r="HK146" s="67"/>
      <c r="HL146" s="67"/>
      <c r="HM146" s="67"/>
      <c r="HN146" s="67"/>
      <c r="HO146" s="67"/>
      <c r="HP146" s="67"/>
      <c r="HQ146" s="67"/>
      <c r="HR146" s="67"/>
      <c r="HS146" s="67"/>
      <c r="HT146" s="67"/>
      <c r="HU146" s="67"/>
      <c r="HV146" s="67"/>
      <c r="HW146" s="67"/>
      <c r="HX146" s="67"/>
      <c r="HY146" s="67"/>
      <c r="HZ146" s="67"/>
      <c r="IA146" s="67"/>
      <c r="IB146" s="67"/>
      <c r="IC146" s="67"/>
      <c r="ID146" s="67"/>
      <c r="IE146" s="67"/>
      <c r="IF146" s="67"/>
      <c r="IG146" s="67"/>
      <c r="IH146" s="67"/>
      <c r="II146" s="67"/>
      <c r="IJ146" s="67"/>
      <c r="IK146" s="67"/>
      <c r="IL146" s="67"/>
      <c r="IM146" s="67"/>
      <c r="IN146" s="67"/>
      <c r="IO146" s="67"/>
      <c r="IP146" s="67"/>
      <c r="IQ146" s="67"/>
      <c r="IR146" s="67"/>
      <c r="IS146" s="67"/>
      <c r="IT146" s="67"/>
      <c r="IU146" s="67"/>
      <c r="IV146" s="67"/>
      <c r="IW146" s="67"/>
      <c r="IX146" s="67"/>
      <c r="IY146" s="67"/>
      <c r="IZ146" s="67"/>
      <c r="JA146" s="67"/>
      <c r="JB146" s="67"/>
      <c r="JC146" s="67"/>
      <c r="JD146" s="67"/>
      <c r="JE146" s="67"/>
      <c r="JF146" s="67"/>
      <c r="JG146" s="67"/>
      <c r="JH146" s="67"/>
      <c r="JI146" s="67"/>
      <c r="JJ146" s="67"/>
      <c r="JK146" s="67"/>
      <c r="JL146" s="67"/>
      <c r="JM146" s="67"/>
      <c r="JN146" s="67"/>
      <c r="JO146" s="67"/>
      <c r="JP146" s="67"/>
      <c r="JQ146" s="67"/>
      <c r="JR146" s="67"/>
      <c r="JS146" s="67"/>
      <c r="JT146" s="67"/>
      <c r="JU146" s="67"/>
      <c r="JV146" s="67"/>
      <c r="JW146" s="67"/>
      <c r="JX146" s="67"/>
      <c r="JY146" s="67"/>
      <c r="JZ146" s="67"/>
      <c r="KA146" s="67"/>
      <c r="KB146" s="67"/>
      <c r="KC146" s="67"/>
      <c r="KD146" s="67"/>
      <c r="KE146" s="67"/>
      <c r="KF146" s="67"/>
      <c r="KG146" s="67"/>
      <c r="KH146" s="67"/>
      <c r="KI146" s="67"/>
      <c r="KJ146" s="67"/>
      <c r="KK146" s="67"/>
      <c r="KL146" s="67"/>
      <c r="KM146" s="67"/>
      <c r="KN146" s="67"/>
      <c r="KO146" s="67"/>
      <c r="KP146" s="67"/>
      <c r="KQ146" s="67"/>
      <c r="KR146" s="67"/>
      <c r="KS146" s="67"/>
      <c r="KT146" s="67"/>
      <c r="KU146" s="67"/>
      <c r="KV146" s="67"/>
      <c r="KW146" s="67"/>
      <c r="KX146" s="67"/>
      <c r="KY146" s="67"/>
      <c r="KZ146" s="67"/>
      <c r="LA146" s="67"/>
      <c r="LB146" s="67"/>
      <c r="LC146" s="67"/>
      <c r="LD146" s="67"/>
      <c r="LE146" s="67"/>
      <c r="LF146" s="67"/>
      <c r="LG146" s="67"/>
      <c r="LH146" s="67"/>
      <c r="LI146" s="67"/>
      <c r="LJ146" s="67"/>
      <c r="LK146" s="67"/>
      <c r="LL146" s="67"/>
      <c r="LM146" s="67"/>
      <c r="LN146" s="67"/>
      <c r="LO146" s="67"/>
      <c r="LP146" s="67"/>
      <c r="LQ146" s="67"/>
      <c r="LR146" s="67"/>
      <c r="LS146" s="67"/>
      <c r="LT146" s="67"/>
      <c r="LU146" s="67"/>
      <c r="LV146" s="67"/>
      <c r="LW146" s="67"/>
      <c r="LX146" s="67"/>
      <c r="LY146" s="67"/>
      <c r="LZ146" s="67"/>
      <c r="MA146" s="67"/>
      <c r="MB146" s="67"/>
    </row>
    <row r="147" spans="1:340" s="50" customFormat="1" ht="15.75" hidden="1" customHeight="1" thickBot="1">
      <c r="A147" s="44">
        <v>3</v>
      </c>
      <c r="B147" s="88" t="s">
        <v>265</v>
      </c>
      <c r="C147" s="85" t="s">
        <v>61</v>
      </c>
      <c r="D147" s="86" t="s">
        <v>45</v>
      </c>
      <c r="E147" s="130" t="s">
        <v>62</v>
      </c>
      <c r="F147" s="87" t="s">
        <v>24</v>
      </c>
      <c r="G147" s="68"/>
      <c r="H147" s="68"/>
      <c r="I147" s="68"/>
      <c r="J147" s="68"/>
      <c r="K147" s="68" t="s">
        <v>25</v>
      </c>
      <c r="L147" s="68" t="s">
        <v>26</v>
      </c>
      <c r="M147" s="68"/>
      <c r="N147" s="68"/>
      <c r="O147" s="68" t="s">
        <v>41</v>
      </c>
      <c r="P147" s="68"/>
      <c r="Q147" s="68"/>
      <c r="R147" s="68"/>
      <c r="S147" s="68"/>
      <c r="T147" s="68"/>
      <c r="U147" s="68"/>
      <c r="V147" s="68" t="s">
        <v>26</v>
      </c>
      <c r="W147" s="68"/>
      <c r="X147" s="68"/>
      <c r="Y147" s="68"/>
      <c r="Z147" s="68" t="s">
        <v>27</v>
      </c>
      <c r="AA147" s="68" t="s">
        <v>37</v>
      </c>
      <c r="AB147" s="67"/>
      <c r="AC147" s="67"/>
      <c r="AD147" s="67"/>
      <c r="AE147" s="67"/>
      <c r="AF147" s="67"/>
      <c r="AG147" s="67"/>
      <c r="AH147" s="67"/>
      <c r="AI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A147" s="67"/>
      <c r="CB147" s="67"/>
      <c r="CC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  <c r="CR147" s="67"/>
      <c r="CS147" s="67"/>
      <c r="CT147" s="67"/>
      <c r="CU147" s="67"/>
      <c r="CV147" s="67"/>
      <c r="CW147" s="67"/>
      <c r="CX147" s="67"/>
      <c r="CY147" s="67"/>
      <c r="CZ147" s="67"/>
      <c r="DA147" s="67"/>
      <c r="DB147" s="67"/>
      <c r="DC147" s="67"/>
      <c r="DD147" s="67"/>
      <c r="DE147" s="67"/>
      <c r="DF147" s="67"/>
      <c r="DG147" s="67"/>
      <c r="DH147" s="67"/>
      <c r="DI147" s="67"/>
      <c r="DJ147" s="67"/>
      <c r="DK147" s="67"/>
      <c r="DL147" s="67"/>
      <c r="DM147" s="67"/>
      <c r="DN147" s="67"/>
      <c r="DO147" s="67"/>
      <c r="DP147" s="67"/>
      <c r="DQ147" s="67"/>
      <c r="DR147" s="67"/>
      <c r="DS147" s="67"/>
      <c r="DT147" s="67"/>
      <c r="DU147" s="67"/>
      <c r="DV147" s="67"/>
      <c r="DW147" s="67"/>
      <c r="DX147" s="67"/>
      <c r="DY147" s="67"/>
      <c r="DZ147" s="67"/>
      <c r="EA147" s="67"/>
      <c r="EB147" s="67"/>
      <c r="EC147" s="67"/>
      <c r="ED147" s="67"/>
      <c r="EE147" s="67"/>
      <c r="EF147" s="67"/>
      <c r="EG147" s="67"/>
      <c r="EH147" s="67"/>
      <c r="EI147" s="67"/>
      <c r="EJ147" s="67"/>
      <c r="EK147" s="67"/>
      <c r="EL147" s="67"/>
      <c r="EM147" s="67"/>
      <c r="EN147" s="67"/>
      <c r="EO147" s="67"/>
      <c r="EP147" s="67"/>
      <c r="EQ147" s="67"/>
      <c r="ER147" s="67"/>
      <c r="ES147" s="67"/>
      <c r="ET147" s="67"/>
      <c r="EU147" s="67"/>
      <c r="EV147" s="67"/>
      <c r="EW147" s="67"/>
      <c r="EX147" s="67"/>
      <c r="EY147" s="67"/>
      <c r="EZ147" s="67"/>
      <c r="FA147" s="67"/>
      <c r="FB147" s="67"/>
      <c r="FC147" s="67"/>
      <c r="FD147" s="67"/>
      <c r="FE147" s="67"/>
      <c r="FF147" s="67"/>
      <c r="FG147" s="67"/>
      <c r="FH147" s="67"/>
      <c r="FI147" s="67"/>
      <c r="FJ147" s="67"/>
      <c r="FK147" s="67"/>
      <c r="FL147" s="67"/>
      <c r="FM147" s="67"/>
      <c r="FN147" s="67"/>
      <c r="FO147" s="67"/>
      <c r="FP147" s="67"/>
      <c r="FQ147" s="67"/>
      <c r="FR147" s="67"/>
      <c r="FS147" s="67"/>
      <c r="FT147" s="67"/>
      <c r="FU147" s="67"/>
      <c r="FV147" s="67"/>
      <c r="FW147" s="67"/>
      <c r="FX147" s="67"/>
      <c r="FY147" s="67"/>
      <c r="FZ147" s="67"/>
      <c r="GA147" s="67"/>
      <c r="GB147" s="67"/>
      <c r="GC147" s="67"/>
      <c r="GD147" s="67"/>
      <c r="GE147" s="67"/>
      <c r="GF147" s="67"/>
      <c r="GG147" s="67"/>
      <c r="GH147" s="67"/>
      <c r="GI147" s="67"/>
      <c r="GJ147" s="67"/>
      <c r="GK147" s="67"/>
      <c r="GL147" s="67"/>
      <c r="GM147" s="67"/>
      <c r="GN147" s="67"/>
      <c r="GO147" s="67"/>
      <c r="GP147" s="67"/>
      <c r="GQ147" s="67"/>
      <c r="GR147" s="67"/>
      <c r="GS147" s="67"/>
      <c r="GT147" s="67"/>
      <c r="GU147" s="67"/>
      <c r="GV147" s="67"/>
      <c r="GW147" s="67"/>
      <c r="GX147" s="67"/>
      <c r="GY147" s="67"/>
      <c r="GZ147" s="67"/>
      <c r="HA147" s="67"/>
      <c r="HB147" s="67"/>
      <c r="HC147" s="67"/>
      <c r="HD147" s="67"/>
      <c r="HE147" s="67"/>
      <c r="HF147" s="67"/>
      <c r="HG147" s="67"/>
      <c r="HH147" s="67"/>
      <c r="HI147" s="67"/>
      <c r="HJ147" s="67"/>
      <c r="HK147" s="67"/>
      <c r="HL147" s="67"/>
      <c r="HM147" s="67"/>
      <c r="HN147" s="67"/>
      <c r="HO147" s="67"/>
      <c r="HP147" s="67"/>
      <c r="HQ147" s="67"/>
      <c r="HR147" s="67"/>
      <c r="HS147" s="67"/>
      <c r="HT147" s="67"/>
      <c r="HU147" s="67"/>
      <c r="HV147" s="67"/>
      <c r="HW147" s="67"/>
      <c r="HX147" s="67"/>
      <c r="HY147" s="67"/>
      <c r="HZ147" s="67"/>
      <c r="IA147" s="67"/>
      <c r="IB147" s="67"/>
      <c r="IC147" s="67"/>
      <c r="ID147" s="67"/>
      <c r="IE147" s="67"/>
      <c r="IF147" s="67"/>
      <c r="IG147" s="67"/>
      <c r="IH147" s="67"/>
      <c r="II147" s="67"/>
      <c r="IJ147" s="67"/>
      <c r="IK147" s="67"/>
      <c r="IL147" s="67"/>
      <c r="IM147" s="67"/>
      <c r="IN147" s="67"/>
      <c r="IO147" s="67"/>
      <c r="IP147" s="67"/>
      <c r="IQ147" s="67"/>
      <c r="IR147" s="67"/>
      <c r="IS147" s="67"/>
      <c r="IT147" s="67"/>
      <c r="IU147" s="67"/>
      <c r="IV147" s="67"/>
      <c r="IW147" s="67"/>
      <c r="IX147" s="67"/>
      <c r="IY147" s="67"/>
      <c r="IZ147" s="67"/>
      <c r="JA147" s="67"/>
      <c r="JB147" s="67"/>
      <c r="JC147" s="67"/>
      <c r="JD147" s="67"/>
      <c r="JE147" s="67"/>
      <c r="JF147" s="67"/>
      <c r="JG147" s="67"/>
      <c r="JH147" s="67"/>
      <c r="JI147" s="67"/>
      <c r="JJ147" s="67"/>
      <c r="JK147" s="67"/>
      <c r="JL147" s="67"/>
      <c r="JM147" s="67"/>
      <c r="JN147" s="67"/>
      <c r="JO147" s="67"/>
      <c r="JP147" s="67"/>
      <c r="JQ147" s="67"/>
      <c r="JR147" s="67"/>
      <c r="JS147" s="67"/>
      <c r="JT147" s="67"/>
      <c r="JU147" s="67"/>
      <c r="JV147" s="67"/>
      <c r="JW147" s="67"/>
      <c r="JX147" s="67"/>
      <c r="JY147" s="67"/>
      <c r="JZ147" s="67"/>
      <c r="KA147" s="67"/>
      <c r="KB147" s="67"/>
      <c r="KC147" s="67"/>
      <c r="KD147" s="67"/>
      <c r="KE147" s="67"/>
      <c r="KF147" s="67"/>
      <c r="KG147" s="67"/>
      <c r="KH147" s="67"/>
      <c r="KI147" s="67"/>
      <c r="KJ147" s="67"/>
      <c r="KK147" s="67"/>
      <c r="KL147" s="67"/>
      <c r="KM147" s="67"/>
      <c r="KN147" s="67"/>
      <c r="KO147" s="67"/>
      <c r="KP147" s="67"/>
      <c r="KQ147" s="67"/>
      <c r="KR147" s="67"/>
      <c r="KS147" s="67"/>
      <c r="KT147" s="67"/>
      <c r="KU147" s="67"/>
      <c r="KV147" s="67"/>
      <c r="KW147" s="67"/>
      <c r="KX147" s="67"/>
      <c r="KY147" s="67"/>
      <c r="KZ147" s="67"/>
      <c r="LA147" s="67"/>
      <c r="LB147" s="67"/>
      <c r="LC147" s="67"/>
      <c r="LD147" s="67"/>
      <c r="LE147" s="67"/>
      <c r="LF147" s="67"/>
      <c r="LG147" s="67"/>
      <c r="LH147" s="67"/>
      <c r="LI147" s="67"/>
      <c r="LJ147" s="67"/>
      <c r="LK147" s="67"/>
      <c r="LL147" s="67"/>
      <c r="LM147" s="67"/>
      <c r="LN147" s="67"/>
      <c r="LO147" s="67"/>
      <c r="LP147" s="67"/>
      <c r="LQ147" s="67"/>
      <c r="LR147" s="67"/>
      <c r="LS147" s="67"/>
      <c r="LT147" s="67"/>
      <c r="LU147" s="67"/>
      <c r="LV147" s="67"/>
      <c r="LW147" s="67"/>
      <c r="LX147" s="67"/>
      <c r="LY147" s="67"/>
      <c r="LZ147" s="67"/>
      <c r="MA147" s="67"/>
      <c r="MB147" s="67"/>
    </row>
    <row r="148" spans="1:340" s="50" customFormat="1" ht="15.75" customHeight="1" thickBot="1">
      <c r="A148" s="44">
        <v>3</v>
      </c>
      <c r="B148" s="88" t="s">
        <v>125</v>
      </c>
      <c r="C148" s="85" t="s">
        <v>127</v>
      </c>
      <c r="D148" s="86" t="s">
        <v>22</v>
      </c>
      <c r="E148" s="130" t="s">
        <v>76</v>
      </c>
      <c r="F148" s="87" t="s">
        <v>24</v>
      </c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 t="s">
        <v>27</v>
      </c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 t="s">
        <v>27</v>
      </c>
      <c r="AC148" s="68"/>
      <c r="AD148" s="68" t="s">
        <v>37</v>
      </c>
      <c r="AE148" s="67"/>
      <c r="AF148" s="67"/>
      <c r="AG148" s="67"/>
      <c r="AH148" s="67"/>
      <c r="AI148" s="67"/>
      <c r="AJ148" s="67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  <c r="BI148" s="67"/>
      <c r="BJ148" s="67"/>
      <c r="BK148" s="67"/>
      <c r="BL148" s="67"/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A148" s="67"/>
      <c r="CB148" s="67"/>
      <c r="CC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  <c r="CR148" s="67"/>
      <c r="CS148" s="67"/>
      <c r="CT148" s="67"/>
      <c r="CU148" s="67"/>
      <c r="CV148" s="67"/>
      <c r="CW148" s="67"/>
      <c r="CX148" s="67"/>
      <c r="CY148" s="67"/>
      <c r="CZ148" s="67"/>
      <c r="DA148" s="67"/>
      <c r="DB148" s="67"/>
      <c r="DC148" s="67"/>
      <c r="DD148" s="67"/>
      <c r="DE148" s="67"/>
      <c r="DF148" s="67"/>
      <c r="DG148" s="67"/>
      <c r="DH148" s="67"/>
      <c r="DI148" s="67"/>
      <c r="DJ148" s="67"/>
      <c r="DK148" s="67"/>
      <c r="DL148" s="67"/>
      <c r="DM148" s="67"/>
      <c r="DN148" s="67"/>
      <c r="DO148" s="67"/>
      <c r="DP148" s="67"/>
      <c r="DQ148" s="67"/>
      <c r="DR148" s="67"/>
      <c r="DS148" s="67"/>
      <c r="DT148" s="67"/>
      <c r="DU148" s="67"/>
      <c r="DV148" s="67"/>
      <c r="DW148" s="67"/>
      <c r="DX148" s="67"/>
      <c r="DY148" s="67"/>
      <c r="DZ148" s="67"/>
      <c r="EA148" s="67"/>
      <c r="EB148" s="67"/>
      <c r="EC148" s="67"/>
      <c r="ED148" s="67"/>
      <c r="EE148" s="67"/>
      <c r="EF148" s="67"/>
      <c r="EG148" s="67"/>
      <c r="EH148" s="67"/>
      <c r="EI148" s="67"/>
      <c r="EJ148" s="67"/>
      <c r="EK148" s="67"/>
      <c r="EL148" s="67"/>
      <c r="EM148" s="67"/>
      <c r="EN148" s="67"/>
      <c r="EO148" s="67"/>
      <c r="EP148" s="67"/>
      <c r="EQ148" s="67"/>
      <c r="ER148" s="67"/>
      <c r="ES148" s="67"/>
      <c r="ET148" s="67"/>
      <c r="EU148" s="67"/>
      <c r="EV148" s="67"/>
      <c r="EW148" s="67"/>
      <c r="EX148" s="67"/>
      <c r="EY148" s="67"/>
      <c r="EZ148" s="67"/>
      <c r="FA148" s="67"/>
      <c r="FB148" s="67"/>
      <c r="FC148" s="67"/>
      <c r="FD148" s="67"/>
      <c r="FE148" s="67"/>
      <c r="FF148" s="67"/>
      <c r="FG148" s="67"/>
      <c r="FH148" s="67"/>
      <c r="FI148" s="67"/>
      <c r="FJ148" s="67"/>
      <c r="FK148" s="67"/>
      <c r="FL148" s="67"/>
      <c r="FM148" s="67"/>
      <c r="FN148" s="67"/>
      <c r="FO148" s="67"/>
      <c r="FP148" s="67"/>
      <c r="FQ148" s="67"/>
      <c r="FR148" s="67"/>
      <c r="FS148" s="67"/>
      <c r="FT148" s="67"/>
      <c r="FU148" s="67"/>
      <c r="FV148" s="67"/>
      <c r="FW148" s="67"/>
      <c r="FX148" s="67"/>
      <c r="FY148" s="67"/>
      <c r="FZ148" s="67"/>
      <c r="GA148" s="67"/>
      <c r="GB148" s="67"/>
      <c r="GC148" s="67"/>
      <c r="GD148" s="67"/>
      <c r="GE148" s="67"/>
      <c r="GF148" s="67"/>
      <c r="GG148" s="67"/>
      <c r="GH148" s="67"/>
      <c r="GI148" s="67"/>
      <c r="GJ148" s="67"/>
      <c r="GK148" s="67"/>
      <c r="GL148" s="67"/>
      <c r="GM148" s="67"/>
      <c r="GN148" s="67"/>
      <c r="GO148" s="67"/>
      <c r="GP148" s="67"/>
      <c r="GQ148" s="67"/>
      <c r="GR148" s="67"/>
      <c r="GS148" s="67"/>
      <c r="GT148" s="67"/>
      <c r="GU148" s="67"/>
      <c r="GV148" s="67"/>
      <c r="GW148" s="67"/>
      <c r="GX148" s="67"/>
      <c r="GY148" s="67"/>
      <c r="GZ148" s="67"/>
      <c r="HA148" s="67"/>
      <c r="HB148" s="67"/>
      <c r="HC148" s="67"/>
      <c r="HD148" s="67"/>
      <c r="HE148" s="67"/>
      <c r="HF148" s="67"/>
      <c r="HG148" s="67"/>
      <c r="HH148" s="67"/>
      <c r="HI148" s="67"/>
      <c r="HJ148" s="67"/>
      <c r="HK148" s="67"/>
      <c r="HL148" s="67"/>
      <c r="HM148" s="67"/>
      <c r="HN148" s="67"/>
      <c r="HO148" s="67"/>
      <c r="HP148" s="67"/>
      <c r="HQ148" s="67"/>
      <c r="HR148" s="67"/>
      <c r="HS148" s="67"/>
      <c r="HT148" s="67"/>
      <c r="HU148" s="67"/>
      <c r="HV148" s="67"/>
      <c r="HW148" s="67"/>
      <c r="HX148" s="67"/>
      <c r="HY148" s="67"/>
      <c r="HZ148" s="67"/>
      <c r="IA148" s="67"/>
      <c r="IB148" s="67"/>
      <c r="IC148" s="67"/>
      <c r="ID148" s="67"/>
      <c r="IE148" s="67"/>
      <c r="IF148" s="67"/>
      <c r="IG148" s="67"/>
      <c r="IH148" s="67"/>
      <c r="II148" s="67"/>
      <c r="IJ148" s="67"/>
      <c r="IK148" s="67"/>
      <c r="IL148" s="67"/>
      <c r="IM148" s="67"/>
      <c r="IN148" s="67"/>
      <c r="IO148" s="67"/>
      <c r="IP148" s="67"/>
      <c r="IQ148" s="67"/>
      <c r="IR148" s="67"/>
      <c r="IS148" s="67"/>
      <c r="IT148" s="67"/>
      <c r="IU148" s="67"/>
      <c r="IV148" s="67"/>
      <c r="IW148" s="67"/>
      <c r="IX148" s="67"/>
      <c r="IY148" s="67"/>
      <c r="IZ148" s="67"/>
      <c r="JA148" s="67"/>
      <c r="JB148" s="67"/>
      <c r="JC148" s="67"/>
      <c r="JD148" s="67"/>
      <c r="JE148" s="67"/>
      <c r="JF148" s="67"/>
      <c r="JG148" s="67"/>
      <c r="JH148" s="67"/>
      <c r="JI148" s="67"/>
      <c r="JJ148" s="67"/>
      <c r="JK148" s="67"/>
      <c r="JL148" s="67"/>
      <c r="JM148" s="67"/>
      <c r="JN148" s="67"/>
      <c r="JO148" s="67"/>
      <c r="JP148" s="67"/>
      <c r="JQ148" s="67"/>
      <c r="JR148" s="67"/>
      <c r="JS148" s="67"/>
      <c r="JT148" s="67"/>
      <c r="JU148" s="67"/>
      <c r="JV148" s="67"/>
      <c r="JW148" s="67"/>
      <c r="JX148" s="67"/>
      <c r="JY148" s="67"/>
      <c r="JZ148" s="67"/>
      <c r="KA148" s="67"/>
      <c r="KB148" s="67"/>
      <c r="KC148" s="67"/>
      <c r="KD148" s="67"/>
      <c r="KE148" s="67"/>
      <c r="KF148" s="67"/>
      <c r="KG148" s="67"/>
      <c r="KH148" s="67"/>
      <c r="KI148" s="67"/>
      <c r="KJ148" s="67"/>
      <c r="KK148" s="67"/>
      <c r="KL148" s="67"/>
      <c r="KM148" s="67"/>
      <c r="KN148" s="67"/>
      <c r="KO148" s="67"/>
      <c r="KP148" s="67"/>
      <c r="KQ148" s="67"/>
      <c r="KR148" s="67"/>
      <c r="KS148" s="67"/>
      <c r="KT148" s="67"/>
      <c r="KU148" s="67"/>
      <c r="KV148" s="67"/>
      <c r="KW148" s="67"/>
      <c r="KX148" s="67"/>
      <c r="KY148" s="67"/>
      <c r="KZ148" s="67"/>
      <c r="LA148" s="67"/>
      <c r="LB148" s="67"/>
      <c r="LC148" s="67"/>
      <c r="LD148" s="67"/>
      <c r="LE148" s="67"/>
      <c r="LF148" s="67"/>
      <c r="LG148" s="67"/>
      <c r="LH148" s="67"/>
      <c r="LI148" s="67"/>
      <c r="LJ148" s="67"/>
      <c r="LK148" s="67"/>
      <c r="LL148" s="67"/>
      <c r="LM148" s="67"/>
      <c r="LN148" s="67"/>
      <c r="LO148" s="67"/>
      <c r="LP148" s="67"/>
      <c r="LQ148" s="67"/>
      <c r="LR148" s="67"/>
      <c r="LS148" s="67"/>
      <c r="LT148" s="67"/>
      <c r="LU148" s="67"/>
      <c r="LV148" s="67"/>
      <c r="LW148" s="67"/>
      <c r="LX148" s="67"/>
      <c r="LY148" s="67"/>
      <c r="LZ148" s="67"/>
      <c r="MA148" s="67"/>
      <c r="MB148" s="67"/>
    </row>
    <row r="149" spans="1:340" s="50" customFormat="1" ht="15.75" hidden="1" customHeight="1" thickBot="1">
      <c r="A149" s="44">
        <v>3</v>
      </c>
      <c r="B149" s="88" t="s">
        <v>266</v>
      </c>
      <c r="C149" s="85" t="s">
        <v>65</v>
      </c>
      <c r="D149" s="86" t="s">
        <v>49</v>
      </c>
      <c r="E149" s="130" t="s">
        <v>78</v>
      </c>
      <c r="F149" s="87" t="s">
        <v>24</v>
      </c>
      <c r="G149" s="68"/>
      <c r="H149" s="68"/>
      <c r="I149" s="68" t="s">
        <v>25</v>
      </c>
      <c r="J149" s="68" t="s">
        <v>26</v>
      </c>
      <c r="K149" s="68"/>
      <c r="L149" s="68"/>
      <c r="M149" s="68"/>
      <c r="N149" s="68"/>
      <c r="O149" s="68" t="s">
        <v>27</v>
      </c>
      <c r="P149" s="68"/>
      <c r="Q149" s="68" t="s">
        <v>26</v>
      </c>
      <c r="R149" s="68"/>
      <c r="S149" s="68"/>
      <c r="T149" s="68"/>
      <c r="U149" s="68" t="s">
        <v>27</v>
      </c>
      <c r="V149" s="68"/>
      <c r="W149" s="68" t="s">
        <v>26</v>
      </c>
      <c r="X149" s="68"/>
      <c r="Y149" s="68"/>
      <c r="Z149" s="68"/>
      <c r="AA149" s="68"/>
      <c r="AB149" s="68"/>
      <c r="AC149" s="68" t="s">
        <v>27</v>
      </c>
      <c r="AD149" s="68" t="s">
        <v>26</v>
      </c>
      <c r="AE149" s="68"/>
      <c r="AF149" s="68"/>
      <c r="AG149" s="68"/>
      <c r="AH149" s="68"/>
      <c r="AI149" s="68"/>
      <c r="AJ149" s="68" t="s">
        <v>27</v>
      </c>
      <c r="AK149" s="68" t="s">
        <v>37</v>
      </c>
      <c r="AL149" s="67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  <c r="BI149" s="67"/>
      <c r="BJ149" s="67"/>
      <c r="BK149" s="67"/>
      <c r="BL149" s="67"/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A149" s="67"/>
      <c r="CB149" s="67"/>
      <c r="CC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  <c r="CR149" s="67"/>
      <c r="CS149" s="67"/>
      <c r="CT149" s="67"/>
      <c r="CU149" s="67"/>
      <c r="CV149" s="67"/>
      <c r="CW149" s="67"/>
      <c r="CX149" s="67"/>
      <c r="CY149" s="67"/>
      <c r="CZ149" s="67"/>
      <c r="DA149" s="67"/>
      <c r="DB149" s="67"/>
      <c r="DC149" s="67"/>
      <c r="DD149" s="67"/>
      <c r="DE149" s="67"/>
      <c r="DF149" s="67"/>
      <c r="DG149" s="67"/>
      <c r="DH149" s="67"/>
      <c r="DI149" s="67"/>
      <c r="DJ149" s="67"/>
      <c r="DK149" s="67"/>
      <c r="DL149" s="67"/>
      <c r="DM149" s="67"/>
      <c r="DN149" s="67"/>
      <c r="DO149" s="67"/>
      <c r="DP149" s="67"/>
      <c r="DQ149" s="67"/>
      <c r="DR149" s="67"/>
      <c r="DS149" s="67"/>
      <c r="DT149" s="67"/>
      <c r="DU149" s="67"/>
      <c r="DV149" s="67"/>
      <c r="DW149" s="67"/>
      <c r="DX149" s="67"/>
      <c r="DY149" s="67"/>
      <c r="DZ149" s="67"/>
      <c r="EA149" s="67"/>
      <c r="EB149" s="67"/>
      <c r="EC149" s="67"/>
      <c r="ED149" s="67"/>
      <c r="EE149" s="67"/>
      <c r="EF149" s="67"/>
      <c r="EG149" s="67"/>
      <c r="EH149" s="67"/>
      <c r="EI149" s="67"/>
      <c r="EJ149" s="67"/>
      <c r="EK149" s="67"/>
      <c r="EL149" s="67"/>
      <c r="EM149" s="67"/>
      <c r="EN149" s="67"/>
      <c r="EO149" s="67"/>
      <c r="EP149" s="67"/>
      <c r="EQ149" s="67"/>
      <c r="ER149" s="67"/>
      <c r="ES149" s="67"/>
      <c r="ET149" s="67"/>
      <c r="EU149" s="67"/>
      <c r="EV149" s="67"/>
      <c r="EW149" s="67"/>
      <c r="EX149" s="67"/>
      <c r="EY149" s="67"/>
      <c r="EZ149" s="67"/>
      <c r="FA149" s="67"/>
      <c r="FB149" s="67"/>
      <c r="FC149" s="67"/>
      <c r="FD149" s="67"/>
      <c r="FE149" s="67"/>
      <c r="FF149" s="67"/>
      <c r="FG149" s="67"/>
      <c r="FH149" s="67"/>
      <c r="FI149" s="67"/>
      <c r="FJ149" s="67"/>
      <c r="FK149" s="67"/>
      <c r="FL149" s="67"/>
      <c r="FM149" s="67"/>
      <c r="FN149" s="67"/>
      <c r="FO149" s="67"/>
      <c r="FP149" s="67"/>
      <c r="FQ149" s="67"/>
      <c r="FR149" s="67"/>
      <c r="FS149" s="67"/>
      <c r="FT149" s="67"/>
      <c r="FU149" s="67"/>
      <c r="FV149" s="67"/>
      <c r="FW149" s="67"/>
      <c r="FX149" s="67"/>
      <c r="FY149" s="67"/>
      <c r="FZ149" s="67"/>
      <c r="GA149" s="67"/>
      <c r="GB149" s="67"/>
      <c r="GC149" s="67"/>
      <c r="GD149" s="67"/>
      <c r="GE149" s="67"/>
      <c r="GF149" s="67"/>
      <c r="GG149" s="67"/>
      <c r="GH149" s="67"/>
      <c r="GI149" s="67"/>
      <c r="GJ149" s="67"/>
      <c r="GK149" s="67"/>
      <c r="GL149" s="67"/>
      <c r="GM149" s="67"/>
      <c r="GN149" s="67"/>
      <c r="GO149" s="67"/>
      <c r="GP149" s="67"/>
      <c r="GQ149" s="67"/>
      <c r="GR149" s="67"/>
      <c r="GS149" s="67"/>
      <c r="GT149" s="67"/>
      <c r="GU149" s="67"/>
      <c r="GV149" s="67"/>
      <c r="GW149" s="67"/>
      <c r="GX149" s="67"/>
      <c r="GY149" s="67"/>
      <c r="GZ149" s="67"/>
      <c r="HA149" s="67"/>
      <c r="HB149" s="67"/>
      <c r="HC149" s="67"/>
      <c r="HD149" s="67"/>
      <c r="HE149" s="67"/>
      <c r="HF149" s="67"/>
      <c r="HG149" s="67"/>
      <c r="HH149" s="67"/>
      <c r="HI149" s="67"/>
      <c r="HJ149" s="67"/>
      <c r="HK149" s="67"/>
      <c r="HL149" s="67"/>
      <c r="HM149" s="67"/>
      <c r="HN149" s="67"/>
      <c r="HO149" s="67"/>
      <c r="HP149" s="67"/>
      <c r="HQ149" s="67"/>
      <c r="HR149" s="67"/>
      <c r="HS149" s="67"/>
      <c r="HT149" s="67"/>
      <c r="HU149" s="67"/>
      <c r="HV149" s="67"/>
      <c r="HW149" s="67"/>
      <c r="HX149" s="67"/>
      <c r="HY149" s="67"/>
      <c r="HZ149" s="67"/>
      <c r="IA149" s="67"/>
      <c r="IB149" s="67"/>
      <c r="IC149" s="67"/>
      <c r="ID149" s="67"/>
      <c r="IE149" s="67"/>
      <c r="IF149" s="67"/>
      <c r="IG149" s="67"/>
      <c r="IH149" s="67"/>
      <c r="II149" s="67"/>
      <c r="IJ149" s="67"/>
      <c r="IK149" s="67"/>
      <c r="IL149" s="67"/>
      <c r="IM149" s="67"/>
      <c r="IN149" s="67"/>
      <c r="IO149" s="67"/>
      <c r="IP149" s="67"/>
      <c r="IQ149" s="67"/>
      <c r="IR149" s="67"/>
      <c r="IS149" s="67"/>
      <c r="IT149" s="67"/>
      <c r="IU149" s="67"/>
      <c r="IV149" s="67"/>
      <c r="IW149" s="67"/>
      <c r="IX149" s="67"/>
      <c r="IY149" s="67"/>
      <c r="IZ149" s="67"/>
      <c r="JA149" s="67"/>
      <c r="JB149" s="67"/>
      <c r="JC149" s="67"/>
      <c r="JD149" s="67"/>
      <c r="JE149" s="67"/>
      <c r="JF149" s="67"/>
      <c r="JG149" s="67"/>
      <c r="JH149" s="67"/>
      <c r="JI149" s="67"/>
      <c r="JJ149" s="67"/>
      <c r="JK149" s="67"/>
      <c r="JL149" s="67"/>
      <c r="JM149" s="67"/>
      <c r="JN149" s="67"/>
      <c r="JO149" s="67"/>
      <c r="JP149" s="67"/>
      <c r="JQ149" s="67"/>
      <c r="JR149" s="67"/>
      <c r="JS149" s="67"/>
      <c r="JT149" s="67"/>
      <c r="JU149" s="67"/>
      <c r="JV149" s="67"/>
      <c r="JW149" s="67"/>
      <c r="JX149" s="67"/>
      <c r="JY149" s="67"/>
      <c r="JZ149" s="67"/>
      <c r="KA149" s="67"/>
      <c r="KB149" s="67"/>
      <c r="KC149" s="67"/>
      <c r="KD149" s="67"/>
      <c r="KE149" s="67"/>
      <c r="KF149" s="67"/>
      <c r="KG149" s="67"/>
      <c r="KH149" s="67"/>
      <c r="KI149" s="67"/>
      <c r="KJ149" s="67"/>
      <c r="KK149" s="67"/>
      <c r="KL149" s="67"/>
      <c r="KM149" s="67"/>
      <c r="KN149" s="67"/>
      <c r="KO149" s="67"/>
      <c r="KP149" s="67"/>
      <c r="KQ149" s="67"/>
      <c r="KR149" s="67"/>
      <c r="KS149" s="67"/>
      <c r="KT149" s="67"/>
      <c r="KU149" s="67"/>
      <c r="KV149" s="67"/>
      <c r="KW149" s="67"/>
      <c r="KX149" s="67"/>
      <c r="KY149" s="67"/>
      <c r="KZ149" s="67"/>
      <c r="LA149" s="67"/>
      <c r="LB149" s="67"/>
      <c r="LC149" s="67"/>
      <c r="LD149" s="67"/>
      <c r="LE149" s="67"/>
      <c r="LF149" s="67"/>
      <c r="LG149" s="67"/>
      <c r="LH149" s="67"/>
      <c r="LI149" s="67"/>
      <c r="LJ149" s="67"/>
      <c r="LK149" s="67"/>
      <c r="LL149" s="67"/>
      <c r="LM149" s="67"/>
      <c r="LN149" s="67"/>
      <c r="LO149" s="67"/>
      <c r="LP149" s="67"/>
      <c r="LQ149" s="67"/>
      <c r="LR149" s="67"/>
      <c r="LS149" s="67"/>
      <c r="LT149" s="67"/>
      <c r="LU149" s="67"/>
      <c r="LV149" s="67"/>
      <c r="LW149" s="67"/>
      <c r="LX149" s="67"/>
      <c r="LY149" s="67"/>
      <c r="LZ149" s="67"/>
      <c r="MA149" s="67"/>
      <c r="MB149" s="67"/>
    </row>
    <row r="150" spans="1:340" s="50" customFormat="1" ht="15.75" hidden="1" customHeight="1" thickBot="1">
      <c r="A150" s="44">
        <v>3</v>
      </c>
      <c r="B150" s="88" t="s">
        <v>267</v>
      </c>
      <c r="C150" s="85" t="s">
        <v>268</v>
      </c>
      <c r="D150" s="86" t="s">
        <v>35</v>
      </c>
      <c r="E150" s="130" t="s">
        <v>36</v>
      </c>
      <c r="F150" s="87" t="s">
        <v>24</v>
      </c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 t="s">
        <v>41</v>
      </c>
      <c r="AI150" s="68"/>
      <c r="AJ150" s="68" t="s">
        <v>41</v>
      </c>
      <c r="AK150" s="68"/>
      <c r="AL150" s="68" t="s">
        <v>37</v>
      </c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A150" s="67"/>
      <c r="CB150" s="67"/>
      <c r="CC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  <c r="CR150" s="67"/>
      <c r="CS150" s="67"/>
      <c r="CT150" s="67"/>
      <c r="CU150" s="67"/>
      <c r="CV150" s="67"/>
      <c r="CW150" s="67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/>
      <c r="DS150" s="67"/>
      <c r="DT150" s="67"/>
      <c r="DU150" s="67"/>
      <c r="DV150" s="67"/>
      <c r="DW150" s="67"/>
      <c r="DX150" s="67"/>
      <c r="DY150" s="67"/>
      <c r="DZ150" s="67"/>
      <c r="EA150" s="67"/>
      <c r="EB150" s="67"/>
      <c r="EC150" s="67"/>
      <c r="ED150" s="67"/>
      <c r="EE150" s="67"/>
      <c r="EF150" s="67"/>
      <c r="EG150" s="67"/>
      <c r="EH150" s="67"/>
      <c r="EI150" s="67"/>
      <c r="EJ150" s="67"/>
      <c r="EK150" s="67"/>
      <c r="EL150" s="67"/>
      <c r="EM150" s="67"/>
      <c r="EN150" s="67"/>
      <c r="EO150" s="67"/>
      <c r="EP150" s="67"/>
      <c r="EQ150" s="67"/>
      <c r="ER150" s="67"/>
      <c r="ES150" s="67"/>
      <c r="ET150" s="67"/>
      <c r="EU150" s="67"/>
      <c r="EV150" s="67"/>
      <c r="EW150" s="67"/>
      <c r="EX150" s="67"/>
      <c r="EY150" s="67"/>
      <c r="EZ150" s="67"/>
      <c r="FA150" s="67"/>
      <c r="FB150" s="67"/>
      <c r="FC150" s="67"/>
      <c r="FD150" s="67"/>
      <c r="FE150" s="67"/>
      <c r="FF150" s="67"/>
      <c r="FG150" s="67"/>
      <c r="FH150" s="67"/>
      <c r="FI150" s="67"/>
      <c r="FJ150" s="67"/>
      <c r="FK150" s="67"/>
      <c r="FL150" s="67"/>
      <c r="FM150" s="67"/>
      <c r="FN150" s="67"/>
      <c r="FO150" s="67"/>
      <c r="FP150" s="67"/>
      <c r="FQ150" s="67"/>
      <c r="FR150" s="67"/>
      <c r="FS150" s="67"/>
      <c r="FT150" s="67"/>
      <c r="FU150" s="67"/>
      <c r="FV150" s="67"/>
      <c r="FW150" s="67"/>
      <c r="FX150" s="67"/>
      <c r="FY150" s="67"/>
      <c r="FZ150" s="67"/>
      <c r="GA150" s="67"/>
      <c r="GB150" s="67"/>
      <c r="GC150" s="67"/>
      <c r="GD150" s="67"/>
      <c r="GE150" s="67"/>
      <c r="GF150" s="67"/>
      <c r="GG150" s="67"/>
      <c r="GH150" s="67"/>
      <c r="GI150" s="67"/>
      <c r="GJ150" s="67"/>
      <c r="GK150" s="67"/>
      <c r="GL150" s="67"/>
      <c r="GM150" s="67"/>
      <c r="GN150" s="67"/>
      <c r="GO150" s="67"/>
      <c r="GP150" s="67"/>
      <c r="GQ150" s="67"/>
      <c r="GR150" s="67"/>
      <c r="GS150" s="67"/>
      <c r="GT150" s="67"/>
      <c r="GU150" s="67"/>
      <c r="GV150" s="67"/>
      <c r="GW150" s="67"/>
      <c r="GX150" s="67"/>
      <c r="GY150" s="67"/>
      <c r="GZ150" s="67"/>
      <c r="HA150" s="67"/>
      <c r="HB150" s="67"/>
      <c r="HC150" s="67"/>
      <c r="HD150" s="67"/>
      <c r="HE150" s="67"/>
      <c r="HF150" s="67"/>
      <c r="HG150" s="67"/>
      <c r="HH150" s="67"/>
      <c r="HI150" s="67"/>
      <c r="HJ150" s="67"/>
      <c r="HK150" s="67"/>
      <c r="HL150" s="67"/>
      <c r="HM150" s="67"/>
      <c r="HN150" s="67"/>
      <c r="HO150" s="67"/>
      <c r="HP150" s="67"/>
      <c r="HQ150" s="67"/>
      <c r="HR150" s="67"/>
      <c r="HS150" s="67"/>
      <c r="HT150" s="67"/>
      <c r="HU150" s="67"/>
      <c r="HV150" s="67"/>
      <c r="HW150" s="67"/>
      <c r="HX150" s="67"/>
      <c r="HY150" s="67"/>
      <c r="HZ150" s="67"/>
      <c r="IA150" s="67"/>
      <c r="IB150" s="67"/>
      <c r="IC150" s="67"/>
      <c r="ID150" s="67"/>
      <c r="IE150" s="67"/>
      <c r="IF150" s="67"/>
      <c r="IG150" s="67"/>
      <c r="IH150" s="67"/>
      <c r="II150" s="67"/>
      <c r="IJ150" s="67"/>
      <c r="IK150" s="67"/>
      <c r="IL150" s="67"/>
      <c r="IM150" s="67"/>
      <c r="IN150" s="67"/>
      <c r="IO150" s="67"/>
      <c r="IP150" s="67"/>
      <c r="IQ150" s="67"/>
      <c r="IR150" s="67"/>
      <c r="IS150" s="67"/>
      <c r="IT150" s="67"/>
      <c r="IU150" s="67"/>
      <c r="IV150" s="67"/>
      <c r="IW150" s="67"/>
      <c r="IX150" s="67"/>
      <c r="IY150" s="67"/>
      <c r="IZ150" s="67"/>
      <c r="JA150" s="67"/>
      <c r="JB150" s="67"/>
      <c r="JC150" s="67"/>
      <c r="JD150" s="67"/>
      <c r="JE150" s="67"/>
      <c r="JF150" s="67"/>
      <c r="JG150" s="67"/>
      <c r="JH150" s="67"/>
      <c r="JI150" s="67"/>
      <c r="JJ150" s="67"/>
      <c r="JK150" s="67"/>
      <c r="JL150" s="67"/>
      <c r="JM150" s="67"/>
      <c r="JN150" s="67"/>
      <c r="JO150" s="67"/>
      <c r="JP150" s="67"/>
      <c r="JQ150" s="67"/>
      <c r="JR150" s="67"/>
      <c r="JS150" s="67"/>
      <c r="JT150" s="67"/>
      <c r="JU150" s="67"/>
      <c r="JV150" s="67"/>
      <c r="JW150" s="67"/>
      <c r="JX150" s="67"/>
      <c r="JY150" s="67"/>
      <c r="JZ150" s="67"/>
      <c r="KA150" s="67"/>
      <c r="KB150" s="67"/>
      <c r="KC150" s="67"/>
      <c r="KD150" s="67"/>
      <c r="KE150" s="67"/>
      <c r="KF150" s="67"/>
      <c r="KG150" s="67"/>
      <c r="KH150" s="67"/>
      <c r="KI150" s="67"/>
      <c r="KJ150" s="67"/>
      <c r="KK150" s="67"/>
      <c r="KL150" s="67"/>
      <c r="KM150" s="67"/>
      <c r="KN150" s="67"/>
      <c r="KO150" s="67"/>
      <c r="KP150" s="67"/>
      <c r="KQ150" s="67"/>
      <c r="KR150" s="67"/>
      <c r="KS150" s="67"/>
      <c r="KT150" s="67"/>
      <c r="KU150" s="67"/>
      <c r="KV150" s="67"/>
      <c r="KW150" s="67"/>
      <c r="KX150" s="67"/>
      <c r="KY150" s="67"/>
      <c r="KZ150" s="67"/>
      <c r="LA150" s="67"/>
      <c r="LB150" s="67"/>
      <c r="LC150" s="67"/>
      <c r="LD150" s="67"/>
      <c r="LE150" s="67"/>
      <c r="LF150" s="67"/>
      <c r="LG150" s="67"/>
      <c r="LH150" s="67"/>
      <c r="LI150" s="67"/>
      <c r="LJ150" s="67"/>
      <c r="LK150" s="67"/>
      <c r="LL150" s="67"/>
      <c r="LM150" s="67"/>
      <c r="LN150" s="67"/>
      <c r="LO150" s="67"/>
      <c r="LP150" s="67"/>
      <c r="LQ150" s="67"/>
      <c r="LR150" s="67"/>
      <c r="LS150" s="67"/>
      <c r="LT150" s="67"/>
      <c r="LU150" s="67"/>
      <c r="LV150" s="67"/>
      <c r="LW150" s="67"/>
      <c r="LX150" s="67"/>
      <c r="LY150" s="67"/>
      <c r="LZ150" s="67"/>
      <c r="MA150" s="67"/>
      <c r="MB150" s="67"/>
    </row>
    <row r="151" spans="1:340" s="50" customFormat="1" ht="15.75" hidden="1" customHeight="1" thickBot="1">
      <c r="A151" s="44">
        <v>3</v>
      </c>
      <c r="B151" s="88" t="s">
        <v>269</v>
      </c>
      <c r="C151" s="85" t="s">
        <v>270</v>
      </c>
      <c r="D151" s="86" t="s">
        <v>45</v>
      </c>
      <c r="E151" s="130" t="s">
        <v>62</v>
      </c>
      <c r="F151" s="87" t="s">
        <v>24</v>
      </c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7"/>
      <c r="Y151" s="68"/>
      <c r="Z151" s="68"/>
      <c r="AA151" s="68"/>
      <c r="AB151" s="68"/>
      <c r="AC151" s="68"/>
      <c r="AD151" s="68"/>
      <c r="AE151" s="68"/>
      <c r="AF151" s="68"/>
      <c r="AG151" s="68"/>
      <c r="AH151" s="68" t="s">
        <v>25</v>
      </c>
      <c r="AI151" s="68"/>
      <c r="AJ151" s="68" t="s">
        <v>26</v>
      </c>
      <c r="AK151" s="68"/>
      <c r="AL151" s="68"/>
      <c r="AM151" s="68"/>
      <c r="AN151" s="68"/>
      <c r="AO151" s="68"/>
      <c r="AP151" s="68"/>
      <c r="AQ151" s="68" t="s">
        <v>27</v>
      </c>
      <c r="AR151" s="68" t="s">
        <v>37</v>
      </c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  <c r="CR151" s="67"/>
      <c r="CS151" s="67"/>
      <c r="CT151" s="67"/>
      <c r="CU151" s="67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7"/>
      <c r="DT151" s="67"/>
      <c r="DU151" s="67"/>
      <c r="DV151" s="67"/>
      <c r="DW151" s="67"/>
      <c r="DX151" s="67"/>
      <c r="DY151" s="67"/>
      <c r="DZ151" s="67"/>
      <c r="EA151" s="67"/>
      <c r="EB151" s="67"/>
      <c r="EC151" s="67"/>
      <c r="ED151" s="67"/>
      <c r="EE151" s="67"/>
      <c r="EF151" s="67"/>
      <c r="EG151" s="67"/>
      <c r="EH151" s="67"/>
      <c r="EI151" s="67"/>
      <c r="EJ151" s="67"/>
      <c r="EK151" s="67"/>
      <c r="EL151" s="67"/>
      <c r="EM151" s="67"/>
      <c r="EN151" s="67"/>
      <c r="EO151" s="67"/>
      <c r="EP151" s="67"/>
      <c r="EQ151" s="67"/>
      <c r="ER151" s="67"/>
      <c r="ES151" s="67"/>
      <c r="ET151" s="67"/>
      <c r="EU151" s="67"/>
      <c r="EV151" s="67"/>
      <c r="EW151" s="67"/>
      <c r="EX151" s="67"/>
      <c r="EY151" s="67"/>
      <c r="EZ151" s="67"/>
      <c r="FA151" s="67"/>
      <c r="FB151" s="67"/>
      <c r="FC151" s="67"/>
      <c r="FD151" s="67"/>
      <c r="FE151" s="67"/>
      <c r="FF151" s="67"/>
      <c r="FG151" s="67"/>
      <c r="FH151" s="67"/>
      <c r="FI151" s="67"/>
      <c r="FJ151" s="67"/>
      <c r="FK151" s="67"/>
      <c r="FL151" s="67"/>
      <c r="FM151" s="67"/>
      <c r="FN151" s="67"/>
      <c r="FO151" s="67"/>
      <c r="FP151" s="67"/>
      <c r="FQ151" s="67"/>
      <c r="FR151" s="67"/>
      <c r="FS151" s="67"/>
      <c r="FT151" s="67"/>
      <c r="FU151" s="67"/>
      <c r="FV151" s="67"/>
      <c r="FW151" s="67"/>
      <c r="FX151" s="67"/>
      <c r="FY151" s="67"/>
      <c r="FZ151" s="67"/>
      <c r="GA151" s="67"/>
      <c r="GB151" s="67"/>
      <c r="GC151" s="67"/>
      <c r="GD151" s="67"/>
      <c r="GE151" s="67"/>
      <c r="GF151" s="67"/>
      <c r="GG151" s="67"/>
      <c r="GH151" s="67"/>
      <c r="GI151" s="67"/>
      <c r="GJ151" s="67"/>
      <c r="GK151" s="67"/>
      <c r="GL151" s="67"/>
      <c r="GM151" s="67"/>
      <c r="GN151" s="67"/>
      <c r="GO151" s="67"/>
      <c r="GP151" s="67"/>
      <c r="GQ151" s="67"/>
      <c r="GR151" s="67"/>
      <c r="GS151" s="67"/>
      <c r="GT151" s="67"/>
      <c r="GU151" s="67"/>
      <c r="GV151" s="67"/>
      <c r="GW151" s="67"/>
      <c r="GX151" s="67"/>
      <c r="GY151" s="67"/>
      <c r="GZ151" s="67"/>
      <c r="HA151" s="67"/>
      <c r="HB151" s="67"/>
      <c r="HC151" s="67"/>
      <c r="HD151" s="67"/>
      <c r="HE151" s="67"/>
      <c r="HF151" s="67"/>
      <c r="HG151" s="67"/>
      <c r="HH151" s="67"/>
      <c r="HI151" s="67"/>
      <c r="HJ151" s="67"/>
      <c r="HK151" s="67"/>
      <c r="HL151" s="67"/>
      <c r="HM151" s="67"/>
      <c r="HN151" s="67"/>
      <c r="HO151" s="67"/>
      <c r="HP151" s="67"/>
      <c r="HQ151" s="67"/>
      <c r="HR151" s="67"/>
      <c r="HS151" s="67"/>
      <c r="HT151" s="67"/>
      <c r="HU151" s="67"/>
      <c r="HV151" s="67"/>
      <c r="HW151" s="67"/>
      <c r="HX151" s="67"/>
      <c r="HY151" s="67"/>
      <c r="HZ151" s="67"/>
      <c r="IA151" s="67"/>
      <c r="IB151" s="67"/>
      <c r="IC151" s="67"/>
      <c r="ID151" s="67"/>
      <c r="IE151" s="67"/>
      <c r="IF151" s="67"/>
      <c r="IG151" s="67"/>
      <c r="IH151" s="67"/>
      <c r="II151" s="67"/>
      <c r="IJ151" s="67"/>
      <c r="IK151" s="67"/>
      <c r="IL151" s="67"/>
      <c r="IM151" s="67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  <c r="IX151" s="67"/>
      <c r="IY151" s="67"/>
      <c r="IZ151" s="67"/>
      <c r="JA151" s="67"/>
      <c r="JB151" s="67"/>
      <c r="JC151" s="67"/>
      <c r="JD151" s="67"/>
      <c r="JE151" s="67"/>
      <c r="JF151" s="67"/>
      <c r="JG151" s="67"/>
      <c r="JH151" s="67"/>
      <c r="JI151" s="67"/>
      <c r="JJ151" s="67"/>
      <c r="JK151" s="67"/>
      <c r="JL151" s="67"/>
      <c r="JM151" s="67"/>
      <c r="JN151" s="67"/>
      <c r="JO151" s="67"/>
      <c r="JP151" s="67"/>
      <c r="JQ151" s="67"/>
      <c r="JR151" s="67"/>
      <c r="JS151" s="67"/>
      <c r="JT151" s="67"/>
      <c r="JU151" s="67"/>
      <c r="JV151" s="67"/>
      <c r="JW151" s="67"/>
      <c r="JX151" s="67"/>
      <c r="JY151" s="67"/>
      <c r="JZ151" s="67"/>
      <c r="KA151" s="67"/>
      <c r="KB151" s="67"/>
      <c r="KC151" s="67"/>
      <c r="KD151" s="67"/>
      <c r="KE151" s="67"/>
      <c r="KF151" s="67"/>
      <c r="KG151" s="67"/>
      <c r="KH151" s="67"/>
      <c r="KI151" s="67"/>
      <c r="KJ151" s="67"/>
      <c r="KK151" s="67"/>
      <c r="KL151" s="67"/>
      <c r="KM151" s="67"/>
      <c r="KN151" s="67"/>
      <c r="KO151" s="67"/>
      <c r="KP151" s="67"/>
      <c r="KQ151" s="67"/>
      <c r="KR151" s="67"/>
      <c r="KS151" s="67"/>
      <c r="KT151" s="67"/>
      <c r="KU151" s="67"/>
      <c r="KV151" s="67"/>
      <c r="KW151" s="67"/>
      <c r="KX151" s="67"/>
      <c r="KY151" s="67"/>
      <c r="KZ151" s="67"/>
      <c r="LA151" s="67"/>
      <c r="LB151" s="67"/>
      <c r="LC151" s="67"/>
      <c r="LD151" s="67"/>
      <c r="LE151" s="67"/>
      <c r="LF151" s="67"/>
      <c r="LG151" s="67"/>
      <c r="LH151" s="67"/>
      <c r="LI151" s="67"/>
      <c r="LJ151" s="67"/>
      <c r="LK151" s="67"/>
      <c r="LL151" s="67"/>
      <c r="LM151" s="67"/>
      <c r="LN151" s="67"/>
      <c r="LO151" s="67"/>
      <c r="LP151" s="67"/>
      <c r="LQ151" s="67"/>
      <c r="LR151" s="67"/>
      <c r="LS151" s="67"/>
      <c r="LT151" s="67"/>
      <c r="LU151" s="67"/>
      <c r="LV151" s="67"/>
      <c r="LW151" s="67"/>
      <c r="LX151" s="67"/>
      <c r="LY151" s="67"/>
      <c r="LZ151" s="67"/>
      <c r="MA151" s="67"/>
      <c r="MB151" s="67"/>
    </row>
    <row r="152" spans="1:340" s="50" customFormat="1" ht="15.75" hidden="1" customHeight="1" thickBot="1">
      <c r="A152" s="44">
        <v>3</v>
      </c>
      <c r="B152" s="150" t="s">
        <v>271</v>
      </c>
      <c r="C152" s="85" t="s">
        <v>272</v>
      </c>
      <c r="D152" s="86" t="s">
        <v>49</v>
      </c>
      <c r="E152" s="130" t="s">
        <v>78</v>
      </c>
      <c r="F152" s="87" t="s">
        <v>24</v>
      </c>
      <c r="G152" s="139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 t="s">
        <v>25</v>
      </c>
      <c r="AP152" s="68" t="s">
        <v>26</v>
      </c>
      <c r="AQ152" s="68"/>
      <c r="AR152" s="68"/>
      <c r="AS152" s="68"/>
      <c r="AT152" s="68" t="s">
        <v>26</v>
      </c>
      <c r="AU152" s="68" t="s">
        <v>37</v>
      </c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  <c r="BI152" s="67"/>
      <c r="BJ152" s="67"/>
      <c r="BK152" s="67"/>
      <c r="BL152" s="67"/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A152" s="67"/>
      <c r="CB152" s="67"/>
      <c r="CC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  <c r="CR152" s="67"/>
      <c r="CS152" s="67"/>
      <c r="CT152" s="67"/>
      <c r="CU152" s="67"/>
      <c r="CV152" s="67"/>
      <c r="CW152" s="67"/>
      <c r="CX152" s="67"/>
      <c r="CY152" s="67"/>
      <c r="CZ152" s="67"/>
      <c r="DA152" s="67"/>
      <c r="DB152" s="67"/>
      <c r="DC152" s="67"/>
      <c r="DD152" s="67"/>
      <c r="DE152" s="67"/>
      <c r="DF152" s="67"/>
      <c r="DG152" s="67"/>
      <c r="DH152" s="67"/>
      <c r="DI152" s="67"/>
      <c r="DJ152" s="67"/>
      <c r="DK152" s="67"/>
      <c r="DL152" s="67"/>
      <c r="DM152" s="67"/>
      <c r="DN152" s="67"/>
      <c r="DO152" s="67"/>
      <c r="DP152" s="67"/>
      <c r="DQ152" s="67"/>
      <c r="DR152" s="67"/>
      <c r="DS152" s="67"/>
      <c r="DT152" s="67"/>
      <c r="DU152" s="67"/>
      <c r="DV152" s="67"/>
      <c r="DW152" s="67"/>
      <c r="DX152" s="67"/>
      <c r="DY152" s="67"/>
      <c r="DZ152" s="67"/>
      <c r="EA152" s="67"/>
      <c r="EB152" s="67"/>
      <c r="EC152" s="67"/>
      <c r="ED152" s="67"/>
      <c r="EE152" s="67"/>
      <c r="EF152" s="67"/>
      <c r="EG152" s="67"/>
      <c r="EH152" s="67"/>
      <c r="EI152" s="67"/>
      <c r="EJ152" s="67"/>
      <c r="EK152" s="67"/>
      <c r="EL152" s="67"/>
      <c r="EM152" s="67"/>
      <c r="EN152" s="67"/>
      <c r="EO152" s="67"/>
      <c r="EP152" s="67"/>
      <c r="EQ152" s="67"/>
      <c r="ER152" s="67"/>
      <c r="ES152" s="67"/>
      <c r="ET152" s="67"/>
      <c r="EU152" s="67"/>
      <c r="EV152" s="67"/>
      <c r="EW152" s="67"/>
      <c r="EX152" s="67"/>
      <c r="EY152" s="67"/>
      <c r="EZ152" s="67"/>
      <c r="FA152" s="67"/>
      <c r="FB152" s="67"/>
      <c r="FC152" s="67"/>
      <c r="FD152" s="67"/>
      <c r="FE152" s="67"/>
      <c r="FF152" s="67"/>
      <c r="FG152" s="67"/>
      <c r="FH152" s="67"/>
      <c r="FI152" s="67"/>
      <c r="FJ152" s="67"/>
      <c r="FK152" s="67"/>
      <c r="FL152" s="67"/>
      <c r="FM152" s="67"/>
      <c r="FN152" s="67"/>
      <c r="FO152" s="67"/>
      <c r="FP152" s="67"/>
      <c r="FQ152" s="67"/>
      <c r="FR152" s="67"/>
      <c r="FS152" s="67"/>
      <c r="FT152" s="67"/>
      <c r="FU152" s="67"/>
      <c r="FV152" s="67"/>
      <c r="FW152" s="67"/>
      <c r="FX152" s="67"/>
      <c r="FY152" s="67"/>
      <c r="FZ152" s="67"/>
      <c r="GA152" s="67"/>
      <c r="GB152" s="67"/>
      <c r="GC152" s="67"/>
      <c r="GD152" s="67"/>
      <c r="GE152" s="67"/>
      <c r="GF152" s="67"/>
      <c r="GG152" s="67"/>
      <c r="GH152" s="67"/>
      <c r="GI152" s="67"/>
      <c r="GJ152" s="67"/>
      <c r="GK152" s="67"/>
      <c r="GL152" s="67"/>
      <c r="GM152" s="67"/>
      <c r="GN152" s="67"/>
      <c r="GO152" s="67"/>
      <c r="GP152" s="67"/>
      <c r="GQ152" s="67"/>
      <c r="GR152" s="67"/>
      <c r="GS152" s="67"/>
      <c r="GT152" s="67"/>
      <c r="GU152" s="67"/>
      <c r="GV152" s="67"/>
      <c r="GW152" s="67"/>
      <c r="GX152" s="67"/>
      <c r="GY152" s="67"/>
      <c r="GZ152" s="67"/>
      <c r="HA152" s="67"/>
      <c r="HB152" s="67"/>
      <c r="HC152" s="67"/>
      <c r="HD152" s="67"/>
      <c r="HE152" s="67"/>
      <c r="HF152" s="67"/>
      <c r="HG152" s="67"/>
      <c r="HH152" s="67"/>
      <c r="HI152" s="67"/>
      <c r="HJ152" s="67"/>
      <c r="HK152" s="67"/>
      <c r="HL152" s="67"/>
      <c r="HM152" s="67"/>
      <c r="HN152" s="67"/>
      <c r="HO152" s="67"/>
      <c r="HP152" s="67"/>
      <c r="HQ152" s="67"/>
      <c r="HR152" s="67"/>
      <c r="HS152" s="67"/>
      <c r="HT152" s="67"/>
      <c r="HU152" s="67"/>
      <c r="HV152" s="67"/>
      <c r="HW152" s="67"/>
      <c r="HX152" s="67"/>
      <c r="HY152" s="67"/>
      <c r="HZ152" s="67"/>
      <c r="IA152" s="67"/>
      <c r="IB152" s="67"/>
      <c r="IC152" s="67"/>
      <c r="ID152" s="67"/>
      <c r="IE152" s="67"/>
      <c r="IF152" s="67"/>
      <c r="IG152" s="67"/>
      <c r="IH152" s="67"/>
      <c r="II152" s="67"/>
      <c r="IJ152" s="67"/>
      <c r="IK152" s="67"/>
      <c r="IL152" s="67"/>
      <c r="IM152" s="67"/>
      <c r="IN152" s="67"/>
      <c r="IO152" s="67"/>
      <c r="IP152" s="67"/>
      <c r="IQ152" s="67"/>
      <c r="IR152" s="67"/>
      <c r="IS152" s="67"/>
      <c r="IT152" s="67"/>
      <c r="IU152" s="67"/>
      <c r="IV152" s="67"/>
      <c r="IW152" s="67"/>
      <c r="IX152" s="67"/>
      <c r="IY152" s="67"/>
      <c r="IZ152" s="67"/>
      <c r="JA152" s="67"/>
      <c r="JB152" s="67"/>
      <c r="JC152" s="67"/>
      <c r="JD152" s="67"/>
      <c r="JE152" s="67"/>
      <c r="JF152" s="67"/>
      <c r="JG152" s="67"/>
      <c r="JH152" s="67"/>
      <c r="JI152" s="67"/>
      <c r="JJ152" s="67"/>
      <c r="JK152" s="67"/>
      <c r="JL152" s="67"/>
      <c r="JM152" s="67"/>
      <c r="JN152" s="67"/>
      <c r="JO152" s="67"/>
      <c r="JP152" s="67"/>
      <c r="JQ152" s="67"/>
      <c r="JR152" s="67"/>
      <c r="JS152" s="67"/>
      <c r="JT152" s="67"/>
      <c r="JU152" s="67"/>
      <c r="JV152" s="67"/>
      <c r="JW152" s="67"/>
      <c r="JX152" s="67"/>
      <c r="JY152" s="67"/>
      <c r="JZ152" s="67"/>
      <c r="KA152" s="67"/>
      <c r="KB152" s="67"/>
      <c r="KC152" s="67"/>
      <c r="KD152" s="67"/>
      <c r="KE152" s="67"/>
      <c r="KF152" s="67"/>
      <c r="KG152" s="67"/>
      <c r="KH152" s="67"/>
      <c r="KI152" s="67"/>
      <c r="KJ152" s="67"/>
      <c r="KK152" s="67"/>
      <c r="KL152" s="67"/>
      <c r="KM152" s="67"/>
      <c r="KN152" s="67"/>
      <c r="KO152" s="67"/>
      <c r="KP152" s="67"/>
      <c r="KQ152" s="67"/>
      <c r="KR152" s="67"/>
      <c r="KS152" s="67"/>
      <c r="KT152" s="67"/>
      <c r="KU152" s="67"/>
      <c r="KV152" s="67"/>
      <c r="KW152" s="67"/>
      <c r="KX152" s="67"/>
      <c r="KY152" s="67"/>
      <c r="KZ152" s="67"/>
      <c r="LA152" s="67"/>
      <c r="LB152" s="67"/>
      <c r="LC152" s="67"/>
      <c r="LD152" s="67"/>
      <c r="LE152" s="67"/>
      <c r="LF152" s="67"/>
      <c r="LG152" s="67"/>
      <c r="LH152" s="67"/>
      <c r="LI152" s="67"/>
      <c r="LJ152" s="67"/>
      <c r="LK152" s="67"/>
      <c r="LL152" s="67"/>
      <c r="LM152" s="67"/>
      <c r="LN152" s="67"/>
      <c r="LO152" s="67"/>
      <c r="LP152" s="67"/>
      <c r="LQ152" s="67"/>
      <c r="LR152" s="67"/>
      <c r="LS152" s="67"/>
      <c r="LT152" s="67"/>
      <c r="LU152" s="67"/>
      <c r="LV152" s="67"/>
      <c r="LW152" s="67"/>
      <c r="LX152" s="67"/>
      <c r="LY152" s="67"/>
      <c r="LZ152" s="67"/>
      <c r="MA152" s="67"/>
      <c r="MB152" s="67"/>
    </row>
    <row r="153" spans="1:340" s="50" customFormat="1" ht="15.75" customHeight="1" thickBot="1">
      <c r="A153" s="44">
        <v>3</v>
      </c>
      <c r="B153" s="88" t="s">
        <v>176</v>
      </c>
      <c r="C153" s="85" t="s">
        <v>178</v>
      </c>
      <c r="D153" s="86" t="s">
        <v>22</v>
      </c>
      <c r="E153" s="130" t="s">
        <v>23</v>
      </c>
      <c r="F153" s="87" t="s">
        <v>24</v>
      </c>
      <c r="G153" s="139"/>
      <c r="H153" s="68"/>
      <c r="I153" s="68"/>
      <c r="J153" s="68"/>
      <c r="K153" s="68"/>
      <c r="L153" s="68"/>
      <c r="M153" s="68"/>
      <c r="N153" s="68" t="s">
        <v>27</v>
      </c>
      <c r="O153" s="68"/>
      <c r="P153" s="68" t="s">
        <v>26</v>
      </c>
      <c r="Q153" s="68"/>
      <c r="R153" s="68"/>
      <c r="S153" s="68"/>
      <c r="T153" s="68"/>
      <c r="U153" s="68"/>
      <c r="V153" s="68"/>
      <c r="W153" s="68"/>
      <c r="X153" s="153"/>
      <c r="Y153" s="68" t="s">
        <v>27</v>
      </c>
      <c r="Z153" s="68"/>
      <c r="AA153" s="68"/>
      <c r="AB153" s="68"/>
      <c r="AC153" s="68" t="s">
        <v>26</v>
      </c>
      <c r="AD153" s="68"/>
      <c r="AE153" s="68"/>
      <c r="AF153" s="68"/>
      <c r="AG153" s="68"/>
      <c r="AH153" s="68"/>
      <c r="AI153" s="68" t="s">
        <v>27</v>
      </c>
      <c r="AJ153" s="68"/>
      <c r="AK153" s="68" t="s">
        <v>26</v>
      </c>
      <c r="AL153" s="68"/>
      <c r="AM153" s="68"/>
      <c r="AN153" s="68"/>
      <c r="AO153" s="68"/>
      <c r="AP153" s="153"/>
      <c r="AQ153" s="68" t="s">
        <v>27</v>
      </c>
      <c r="AR153" s="68"/>
      <c r="AS153" s="68" t="s">
        <v>26</v>
      </c>
      <c r="AT153" s="68"/>
      <c r="AU153" s="68"/>
      <c r="AV153" s="68"/>
      <c r="AW153" s="68"/>
      <c r="AX153" s="68"/>
      <c r="AY153" s="68" t="s">
        <v>27</v>
      </c>
      <c r="AZ153" s="68" t="s">
        <v>37</v>
      </c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A153" s="67"/>
      <c r="CB153" s="67"/>
      <c r="CC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  <c r="CR153" s="67"/>
      <c r="CS153" s="67"/>
      <c r="CT153" s="67"/>
      <c r="CU153" s="67"/>
      <c r="CV153" s="67"/>
      <c r="CW153" s="67"/>
      <c r="CX153" s="67"/>
      <c r="CY153" s="67"/>
      <c r="CZ153" s="67"/>
      <c r="DA153" s="67"/>
      <c r="DB153" s="67"/>
      <c r="DC153" s="67"/>
      <c r="DD153" s="67"/>
      <c r="DE153" s="67"/>
      <c r="DF153" s="67"/>
      <c r="DG153" s="67"/>
      <c r="DH153" s="67"/>
      <c r="DI153" s="67"/>
      <c r="DJ153" s="67"/>
      <c r="DK153" s="67"/>
      <c r="DL153" s="67"/>
      <c r="DM153" s="67"/>
      <c r="DN153" s="67"/>
      <c r="DO153" s="67"/>
      <c r="DP153" s="67"/>
      <c r="DQ153" s="67"/>
      <c r="DR153" s="67"/>
      <c r="DS153" s="67"/>
      <c r="DT153" s="67"/>
      <c r="DU153" s="67"/>
      <c r="DV153" s="67"/>
      <c r="DW153" s="67"/>
      <c r="DX153" s="67"/>
      <c r="DY153" s="67"/>
      <c r="DZ153" s="67"/>
      <c r="EA153" s="67"/>
      <c r="EB153" s="67"/>
      <c r="EC153" s="67"/>
      <c r="ED153" s="67"/>
      <c r="EE153" s="67"/>
      <c r="EF153" s="67"/>
      <c r="EG153" s="67"/>
      <c r="EH153" s="67"/>
      <c r="EI153" s="67"/>
      <c r="EJ153" s="67"/>
      <c r="EK153" s="67"/>
      <c r="EL153" s="67"/>
      <c r="EM153" s="67"/>
      <c r="EN153" s="67"/>
      <c r="EO153" s="67"/>
      <c r="EP153" s="67"/>
      <c r="EQ153" s="67"/>
      <c r="ER153" s="67"/>
      <c r="ES153" s="67"/>
      <c r="ET153" s="67"/>
      <c r="EU153" s="67"/>
      <c r="EV153" s="67"/>
      <c r="EW153" s="67"/>
      <c r="EX153" s="67"/>
      <c r="EY153" s="67"/>
      <c r="EZ153" s="67"/>
      <c r="FA153" s="67"/>
      <c r="FB153" s="67"/>
      <c r="FC153" s="67"/>
      <c r="FD153" s="67"/>
      <c r="FE153" s="67"/>
      <c r="FF153" s="67"/>
      <c r="FG153" s="67"/>
      <c r="FH153" s="67"/>
      <c r="FI153" s="67"/>
      <c r="FJ153" s="67"/>
      <c r="FK153" s="67"/>
      <c r="FL153" s="67"/>
      <c r="FM153" s="67"/>
      <c r="FN153" s="67"/>
      <c r="FO153" s="67"/>
      <c r="FP153" s="67"/>
      <c r="FQ153" s="67"/>
      <c r="FR153" s="67"/>
      <c r="FS153" s="67"/>
      <c r="FT153" s="67"/>
      <c r="FU153" s="67"/>
      <c r="FV153" s="67"/>
      <c r="FW153" s="67"/>
      <c r="FX153" s="67"/>
      <c r="FY153" s="67"/>
      <c r="FZ153" s="67"/>
      <c r="GA153" s="67"/>
      <c r="GB153" s="67"/>
      <c r="GC153" s="67"/>
      <c r="GD153" s="67"/>
      <c r="GE153" s="67"/>
      <c r="GF153" s="67"/>
      <c r="GG153" s="67"/>
      <c r="GH153" s="67"/>
      <c r="GI153" s="67"/>
      <c r="GJ153" s="67"/>
      <c r="GK153" s="67"/>
      <c r="GL153" s="67"/>
      <c r="GM153" s="67"/>
      <c r="GN153" s="67"/>
      <c r="GO153" s="67"/>
      <c r="GP153" s="67"/>
      <c r="GQ153" s="67"/>
      <c r="GR153" s="67"/>
      <c r="GS153" s="67"/>
      <c r="GT153" s="67"/>
      <c r="GU153" s="67"/>
      <c r="GV153" s="67"/>
      <c r="GW153" s="67"/>
      <c r="GX153" s="67"/>
      <c r="GY153" s="67"/>
      <c r="GZ153" s="67"/>
      <c r="HA153" s="67"/>
      <c r="HB153" s="67"/>
      <c r="HC153" s="67"/>
      <c r="HD153" s="67"/>
      <c r="HE153" s="67"/>
      <c r="HF153" s="67"/>
      <c r="HG153" s="67"/>
      <c r="HH153" s="67"/>
      <c r="HI153" s="67"/>
      <c r="HJ153" s="67"/>
      <c r="HK153" s="67"/>
      <c r="HL153" s="67"/>
      <c r="HM153" s="67"/>
      <c r="HN153" s="67"/>
      <c r="HO153" s="67"/>
      <c r="HP153" s="67"/>
      <c r="HQ153" s="67"/>
      <c r="HR153" s="67"/>
      <c r="HS153" s="67"/>
      <c r="HT153" s="67"/>
      <c r="HU153" s="67"/>
      <c r="HV153" s="67"/>
      <c r="HW153" s="67"/>
      <c r="HX153" s="67"/>
      <c r="HY153" s="67"/>
      <c r="HZ153" s="67"/>
      <c r="IA153" s="67"/>
      <c r="IB153" s="67"/>
      <c r="IC153" s="67"/>
      <c r="ID153" s="67"/>
      <c r="IE153" s="67"/>
      <c r="IF153" s="67"/>
      <c r="IG153" s="67"/>
      <c r="IH153" s="67"/>
      <c r="II153" s="67"/>
      <c r="IJ153" s="67"/>
      <c r="IK153" s="67"/>
      <c r="IL153" s="67"/>
      <c r="IM153" s="67"/>
      <c r="IN153" s="67"/>
      <c r="IO153" s="67"/>
      <c r="IP153" s="67"/>
      <c r="IQ153" s="67"/>
      <c r="IR153" s="67"/>
      <c r="IS153" s="67"/>
      <c r="IT153" s="67"/>
      <c r="IU153" s="67"/>
      <c r="IV153" s="67"/>
      <c r="IW153" s="67"/>
      <c r="IX153" s="67"/>
      <c r="IY153" s="67"/>
      <c r="IZ153" s="67"/>
      <c r="JA153" s="67"/>
      <c r="JB153" s="67"/>
      <c r="JC153" s="67"/>
      <c r="JD153" s="67"/>
      <c r="JE153" s="67"/>
      <c r="JF153" s="67"/>
      <c r="JG153" s="67"/>
      <c r="JH153" s="67"/>
      <c r="JI153" s="67"/>
      <c r="JJ153" s="67"/>
      <c r="JK153" s="67"/>
      <c r="JL153" s="67"/>
      <c r="JM153" s="67"/>
      <c r="JN153" s="67"/>
      <c r="JO153" s="67"/>
      <c r="JP153" s="67"/>
      <c r="JQ153" s="67"/>
      <c r="JR153" s="67"/>
      <c r="JS153" s="67"/>
      <c r="JT153" s="67"/>
      <c r="JU153" s="67"/>
      <c r="JV153" s="67"/>
      <c r="JW153" s="67"/>
      <c r="JX153" s="67"/>
      <c r="JY153" s="67"/>
      <c r="JZ153" s="67"/>
      <c r="KA153" s="67"/>
      <c r="KB153" s="67"/>
      <c r="KC153" s="67"/>
      <c r="KD153" s="67"/>
      <c r="KE153" s="67"/>
      <c r="KF153" s="67"/>
      <c r="KG153" s="67"/>
      <c r="KH153" s="67"/>
      <c r="KI153" s="67"/>
      <c r="KJ153" s="67"/>
      <c r="KK153" s="67"/>
      <c r="KL153" s="67"/>
      <c r="KM153" s="67"/>
      <c r="KN153" s="67"/>
      <c r="KO153" s="67"/>
      <c r="KP153" s="67"/>
      <c r="KQ153" s="67"/>
      <c r="KR153" s="67"/>
      <c r="KS153" s="67"/>
      <c r="KT153" s="67"/>
      <c r="KU153" s="67"/>
      <c r="KV153" s="67"/>
      <c r="KW153" s="67"/>
      <c r="KX153" s="67"/>
      <c r="KY153" s="67"/>
      <c r="KZ153" s="67"/>
      <c r="LA153" s="67"/>
      <c r="LB153" s="67"/>
      <c r="LC153" s="67"/>
      <c r="LD153" s="67"/>
      <c r="LE153" s="67"/>
      <c r="LF153" s="67"/>
      <c r="LG153" s="67"/>
      <c r="LH153" s="67"/>
      <c r="LI153" s="67"/>
      <c r="LJ153" s="67"/>
      <c r="LK153" s="67"/>
      <c r="LL153" s="67"/>
      <c r="LM153" s="67"/>
      <c r="LN153" s="67"/>
      <c r="LO153" s="67"/>
      <c r="LP153" s="67"/>
      <c r="LQ153" s="67"/>
      <c r="LR153" s="67"/>
      <c r="LS153" s="67"/>
      <c r="LT153" s="67"/>
      <c r="LU153" s="67"/>
      <c r="LV153" s="67"/>
      <c r="LW153" s="67"/>
      <c r="LX153" s="67"/>
      <c r="LY153" s="67"/>
      <c r="LZ153" s="67"/>
      <c r="MA153" s="67"/>
      <c r="MB153" s="67"/>
    </row>
    <row r="154" spans="1:340" s="50" customFormat="1" ht="15.75" hidden="1" customHeight="1" thickBot="1">
      <c r="A154" s="44">
        <v>3</v>
      </c>
      <c r="B154" s="88" t="s">
        <v>176</v>
      </c>
      <c r="C154" s="85" t="s">
        <v>179</v>
      </c>
      <c r="D154" s="86" t="s">
        <v>45</v>
      </c>
      <c r="E154" s="130" t="s">
        <v>62</v>
      </c>
      <c r="F154" s="87" t="s">
        <v>24</v>
      </c>
      <c r="G154" s="151"/>
      <c r="H154" s="152"/>
      <c r="I154" s="152"/>
      <c r="J154" s="152"/>
      <c r="K154" s="152" t="s">
        <v>25</v>
      </c>
      <c r="L154" s="68" t="s">
        <v>26</v>
      </c>
      <c r="M154" s="68"/>
      <c r="N154" s="68"/>
      <c r="O154" s="68"/>
      <c r="P154" s="68" t="s">
        <v>41</v>
      </c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 t="s">
        <v>26</v>
      </c>
      <c r="AB154" s="68"/>
      <c r="AC154" s="68"/>
      <c r="AD154" s="68" t="s">
        <v>41</v>
      </c>
      <c r="AE154" s="68"/>
      <c r="AF154" s="68"/>
      <c r="AG154" s="68"/>
      <c r="AH154" s="68"/>
      <c r="AI154" s="68" t="s">
        <v>26</v>
      </c>
      <c r="AJ154" s="68"/>
      <c r="AK154" s="68"/>
      <c r="AL154" s="68" t="s">
        <v>41</v>
      </c>
      <c r="AM154" s="68"/>
      <c r="AN154" s="68"/>
      <c r="AO154" s="68"/>
      <c r="AP154" s="68"/>
      <c r="AQ154" s="68"/>
      <c r="AR154" s="68"/>
      <c r="AS154" s="68"/>
      <c r="AT154" s="68"/>
      <c r="AU154" s="68"/>
      <c r="AV154" s="68" t="s">
        <v>26</v>
      </c>
      <c r="AW154" s="68"/>
      <c r="AX154" s="68"/>
      <c r="AY154" s="68" t="s">
        <v>41</v>
      </c>
      <c r="AZ154" s="68" t="s">
        <v>37</v>
      </c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A154" s="67"/>
      <c r="CB154" s="67"/>
      <c r="CC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  <c r="CR154" s="67"/>
      <c r="CS154" s="67"/>
      <c r="CT154" s="67"/>
      <c r="CU154" s="67"/>
      <c r="CV154" s="67"/>
      <c r="CW154" s="67"/>
      <c r="CX154" s="67"/>
      <c r="CY154" s="67"/>
      <c r="CZ154" s="67"/>
      <c r="DA154" s="67"/>
      <c r="DB154" s="67"/>
      <c r="DC154" s="67"/>
      <c r="DD154" s="67"/>
      <c r="DE154" s="67"/>
      <c r="DF154" s="67"/>
      <c r="DG154" s="67"/>
      <c r="DH154" s="67"/>
      <c r="DI154" s="67"/>
      <c r="DJ154" s="67"/>
      <c r="DK154" s="67"/>
      <c r="DL154" s="67"/>
      <c r="DM154" s="67"/>
      <c r="DN154" s="67"/>
      <c r="DO154" s="67"/>
      <c r="DP154" s="67"/>
      <c r="DQ154" s="67"/>
      <c r="DR154" s="67"/>
      <c r="DS154" s="67"/>
      <c r="DT154" s="67"/>
      <c r="DU154" s="67"/>
      <c r="DV154" s="67"/>
      <c r="DW154" s="67"/>
      <c r="DX154" s="67"/>
      <c r="DY154" s="67"/>
      <c r="DZ154" s="67"/>
      <c r="EA154" s="67"/>
      <c r="EB154" s="67"/>
      <c r="EC154" s="67"/>
      <c r="ED154" s="67"/>
      <c r="EE154" s="67"/>
      <c r="EF154" s="67"/>
      <c r="EG154" s="67"/>
      <c r="EH154" s="67"/>
      <c r="EI154" s="67"/>
      <c r="EJ154" s="67"/>
      <c r="EK154" s="67"/>
      <c r="EL154" s="67"/>
      <c r="EM154" s="67"/>
      <c r="EN154" s="67"/>
      <c r="EO154" s="67"/>
      <c r="EP154" s="67"/>
      <c r="EQ154" s="67"/>
      <c r="ER154" s="67"/>
      <c r="ES154" s="67"/>
      <c r="ET154" s="67"/>
      <c r="EU154" s="67"/>
      <c r="EV154" s="67"/>
      <c r="EW154" s="67"/>
      <c r="EX154" s="67"/>
      <c r="EY154" s="67"/>
      <c r="EZ154" s="67"/>
      <c r="FA154" s="67"/>
      <c r="FB154" s="67"/>
      <c r="FC154" s="67"/>
      <c r="FD154" s="67"/>
      <c r="FE154" s="67"/>
      <c r="FF154" s="67"/>
      <c r="FG154" s="67"/>
      <c r="FH154" s="67"/>
      <c r="FI154" s="67"/>
      <c r="FJ154" s="67"/>
      <c r="FK154" s="67"/>
      <c r="FL154" s="67"/>
      <c r="FM154" s="67"/>
      <c r="FN154" s="67"/>
      <c r="FO154" s="67"/>
      <c r="FP154" s="67"/>
      <c r="FQ154" s="67"/>
      <c r="FR154" s="67"/>
      <c r="FS154" s="67"/>
      <c r="FT154" s="67"/>
      <c r="FU154" s="67"/>
      <c r="FV154" s="67"/>
      <c r="FW154" s="67"/>
      <c r="FX154" s="67"/>
      <c r="FY154" s="67"/>
      <c r="FZ154" s="67"/>
      <c r="GA154" s="67"/>
      <c r="GB154" s="67"/>
      <c r="GC154" s="67"/>
      <c r="GD154" s="67"/>
      <c r="GE154" s="67"/>
      <c r="GF154" s="67"/>
      <c r="GG154" s="67"/>
      <c r="GH154" s="67"/>
      <c r="GI154" s="67"/>
      <c r="GJ154" s="67"/>
      <c r="GK154" s="67"/>
      <c r="GL154" s="67"/>
      <c r="GM154" s="67"/>
      <c r="GN154" s="67"/>
      <c r="GO154" s="67"/>
      <c r="GP154" s="67"/>
      <c r="GQ154" s="67"/>
      <c r="GR154" s="67"/>
      <c r="GS154" s="67"/>
      <c r="GT154" s="67"/>
      <c r="GU154" s="67"/>
      <c r="GV154" s="67"/>
      <c r="GW154" s="67"/>
      <c r="GX154" s="67"/>
      <c r="GY154" s="67"/>
      <c r="GZ154" s="67"/>
      <c r="HA154" s="67"/>
      <c r="HB154" s="67"/>
      <c r="HC154" s="67"/>
      <c r="HD154" s="67"/>
      <c r="HE154" s="67"/>
      <c r="HF154" s="67"/>
      <c r="HG154" s="67"/>
      <c r="HH154" s="67"/>
      <c r="HI154" s="67"/>
      <c r="HJ154" s="67"/>
      <c r="HK154" s="67"/>
      <c r="HL154" s="67"/>
      <c r="HM154" s="67"/>
      <c r="HN154" s="67"/>
      <c r="HO154" s="67"/>
      <c r="HP154" s="67"/>
      <c r="HQ154" s="67"/>
      <c r="HR154" s="67"/>
      <c r="HS154" s="67"/>
      <c r="HT154" s="67"/>
      <c r="HU154" s="67"/>
      <c r="HV154" s="67"/>
      <c r="HW154" s="67"/>
      <c r="HX154" s="67"/>
      <c r="HY154" s="67"/>
      <c r="HZ154" s="67"/>
      <c r="IA154" s="67"/>
      <c r="IB154" s="67"/>
      <c r="IC154" s="67"/>
      <c r="ID154" s="67"/>
      <c r="IE154" s="67"/>
      <c r="IF154" s="67"/>
      <c r="IG154" s="67"/>
      <c r="IH154" s="67"/>
      <c r="II154" s="67"/>
      <c r="IJ154" s="67"/>
      <c r="IK154" s="67"/>
      <c r="IL154" s="67"/>
      <c r="IM154" s="67"/>
      <c r="IN154" s="67"/>
      <c r="IO154" s="67"/>
      <c r="IP154" s="67"/>
      <c r="IQ154" s="67"/>
      <c r="IR154" s="67"/>
      <c r="IS154" s="67"/>
      <c r="IT154" s="67"/>
      <c r="IU154" s="67"/>
      <c r="IV154" s="67"/>
      <c r="IW154" s="67"/>
      <c r="IX154" s="67"/>
      <c r="IY154" s="67"/>
      <c r="IZ154" s="67"/>
      <c r="JA154" s="67"/>
      <c r="JB154" s="67"/>
      <c r="JC154" s="67"/>
      <c r="JD154" s="67"/>
      <c r="JE154" s="67"/>
      <c r="JF154" s="67"/>
      <c r="JG154" s="67"/>
      <c r="JH154" s="67"/>
      <c r="JI154" s="67"/>
      <c r="JJ154" s="67"/>
      <c r="JK154" s="67"/>
      <c r="JL154" s="67"/>
      <c r="JM154" s="67"/>
      <c r="JN154" s="67"/>
      <c r="JO154" s="67"/>
      <c r="JP154" s="67"/>
      <c r="JQ154" s="67"/>
      <c r="JR154" s="67"/>
      <c r="JS154" s="67"/>
      <c r="JT154" s="67"/>
      <c r="JU154" s="67"/>
      <c r="JV154" s="67"/>
      <c r="JW154" s="67"/>
      <c r="JX154" s="67"/>
      <c r="JY154" s="67"/>
      <c r="JZ154" s="67"/>
      <c r="KA154" s="67"/>
      <c r="KB154" s="67"/>
      <c r="KC154" s="67"/>
      <c r="KD154" s="67"/>
      <c r="KE154" s="67"/>
      <c r="KF154" s="67"/>
      <c r="KG154" s="67"/>
      <c r="KH154" s="67"/>
      <c r="KI154" s="67"/>
      <c r="KJ154" s="67"/>
      <c r="KK154" s="67"/>
      <c r="KL154" s="67"/>
      <c r="KM154" s="67"/>
      <c r="KN154" s="67"/>
      <c r="KO154" s="67"/>
      <c r="KP154" s="67"/>
      <c r="KQ154" s="67"/>
      <c r="KR154" s="67"/>
      <c r="KS154" s="67"/>
      <c r="KT154" s="67"/>
      <c r="KU154" s="67"/>
      <c r="KV154" s="67"/>
      <c r="KW154" s="67"/>
      <c r="KX154" s="67"/>
      <c r="KY154" s="67"/>
      <c r="KZ154" s="67"/>
      <c r="LA154" s="67"/>
      <c r="LB154" s="67"/>
      <c r="LC154" s="67"/>
      <c r="LD154" s="67"/>
      <c r="LE154" s="67"/>
      <c r="LF154" s="67"/>
      <c r="LG154" s="67"/>
      <c r="LH154" s="67"/>
      <c r="LI154" s="67"/>
      <c r="LJ154" s="67"/>
      <c r="LK154" s="67"/>
      <c r="LL154" s="67"/>
      <c r="LM154" s="67"/>
      <c r="LN154" s="67"/>
      <c r="LO154" s="67"/>
      <c r="LP154" s="67"/>
      <c r="LQ154" s="67"/>
      <c r="LR154" s="67"/>
      <c r="LS154" s="67"/>
      <c r="LT154" s="67"/>
      <c r="LU154" s="67"/>
      <c r="LV154" s="67"/>
      <c r="LW154" s="67"/>
      <c r="LX154" s="67"/>
      <c r="LY154" s="67"/>
      <c r="LZ154" s="67"/>
      <c r="MA154" s="67"/>
      <c r="MB154" s="67"/>
    </row>
    <row r="155" spans="1:340" s="50" customFormat="1" ht="15.75" hidden="1" customHeight="1" thickBot="1">
      <c r="A155" s="44">
        <v>3</v>
      </c>
      <c r="B155" s="88" t="s">
        <v>151</v>
      </c>
      <c r="C155" s="85" t="s">
        <v>273</v>
      </c>
      <c r="D155" s="86" t="s">
        <v>49</v>
      </c>
      <c r="E155" s="130" t="s">
        <v>50</v>
      </c>
      <c r="F155" s="87" t="s">
        <v>24</v>
      </c>
      <c r="G155" s="139"/>
      <c r="H155" s="68"/>
      <c r="I155" s="68"/>
      <c r="J155" s="68"/>
      <c r="K155" s="68"/>
      <c r="L155" s="153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 t="s">
        <v>41</v>
      </c>
      <c r="X155" s="68"/>
      <c r="Y155" s="68"/>
      <c r="Z155" s="68"/>
      <c r="AA155" s="68"/>
      <c r="AB155" s="153"/>
      <c r="AC155" s="68"/>
      <c r="AD155" s="68"/>
      <c r="AE155" s="68"/>
      <c r="AF155" s="68"/>
      <c r="AG155" s="68"/>
      <c r="AH155" s="68"/>
      <c r="AI155" s="68"/>
      <c r="AJ155" s="68"/>
      <c r="AK155" s="68" t="s">
        <v>41</v>
      </c>
      <c r="AL155" s="68"/>
      <c r="AM155" s="68"/>
      <c r="AN155" s="68"/>
      <c r="AO155" s="68"/>
      <c r="AP155" s="153"/>
      <c r="AQ155" s="68"/>
      <c r="AR155" s="68"/>
      <c r="AS155" s="68"/>
      <c r="AT155" s="68"/>
      <c r="AU155" s="68"/>
      <c r="AV155" s="68"/>
      <c r="AW155" s="68"/>
      <c r="AX155" s="68" t="s">
        <v>28</v>
      </c>
      <c r="AY155" s="68" t="s">
        <v>26</v>
      </c>
      <c r="AZ155" s="68"/>
      <c r="BA155" s="68" t="s">
        <v>41</v>
      </c>
      <c r="BB155" s="68" t="s">
        <v>37</v>
      </c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A155" s="67"/>
      <c r="CB155" s="67"/>
      <c r="CC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  <c r="CR155" s="67"/>
      <c r="CS155" s="67"/>
      <c r="CT155" s="67"/>
      <c r="CU155" s="67"/>
      <c r="CV155" s="67"/>
      <c r="CW155" s="67"/>
      <c r="CX155" s="67"/>
      <c r="CY155" s="67"/>
      <c r="CZ155" s="67"/>
      <c r="DA155" s="67"/>
      <c r="DB155" s="67"/>
      <c r="DC155" s="67"/>
      <c r="DD155" s="67"/>
      <c r="DE155" s="67"/>
      <c r="DF155" s="67"/>
      <c r="DG155" s="67"/>
      <c r="DH155" s="67"/>
      <c r="DI155" s="67"/>
      <c r="DJ155" s="67"/>
      <c r="DK155" s="67"/>
      <c r="DL155" s="67"/>
      <c r="DM155" s="67"/>
      <c r="DN155" s="67"/>
      <c r="DO155" s="67"/>
      <c r="DP155" s="67"/>
      <c r="DQ155" s="67"/>
      <c r="DR155" s="67"/>
      <c r="DS155" s="67"/>
      <c r="DT155" s="67"/>
      <c r="DU155" s="67"/>
      <c r="DV155" s="67"/>
      <c r="DW155" s="67"/>
      <c r="DX155" s="67"/>
      <c r="DY155" s="67"/>
      <c r="DZ155" s="67"/>
      <c r="EA155" s="67"/>
      <c r="EB155" s="67"/>
      <c r="EC155" s="67"/>
      <c r="ED155" s="67"/>
      <c r="EE155" s="67"/>
      <c r="EF155" s="67"/>
      <c r="EG155" s="67"/>
      <c r="EH155" s="67"/>
      <c r="EI155" s="67"/>
      <c r="EJ155" s="67"/>
      <c r="EK155" s="67"/>
      <c r="EL155" s="67"/>
      <c r="EM155" s="67"/>
      <c r="EN155" s="67"/>
      <c r="EO155" s="67"/>
      <c r="EP155" s="67"/>
      <c r="EQ155" s="67"/>
      <c r="ER155" s="67"/>
      <c r="ES155" s="67"/>
      <c r="ET155" s="67"/>
      <c r="EU155" s="67"/>
      <c r="EV155" s="67"/>
      <c r="EW155" s="67"/>
      <c r="EX155" s="67"/>
      <c r="EY155" s="67"/>
      <c r="EZ155" s="67"/>
      <c r="FA155" s="67"/>
      <c r="FB155" s="67"/>
      <c r="FC155" s="67"/>
      <c r="FD155" s="67"/>
      <c r="FE155" s="67"/>
      <c r="FF155" s="67"/>
      <c r="FG155" s="67"/>
      <c r="FH155" s="67"/>
      <c r="FI155" s="67"/>
      <c r="FJ155" s="67"/>
      <c r="FK155" s="67"/>
      <c r="FL155" s="67"/>
      <c r="FM155" s="67"/>
      <c r="FN155" s="67"/>
      <c r="FO155" s="67"/>
      <c r="FP155" s="67"/>
      <c r="FQ155" s="67"/>
      <c r="FR155" s="67"/>
      <c r="FS155" s="67"/>
      <c r="FT155" s="67"/>
      <c r="FU155" s="67"/>
      <c r="FV155" s="67"/>
      <c r="FW155" s="67"/>
      <c r="FX155" s="67"/>
      <c r="FY155" s="67"/>
      <c r="FZ155" s="67"/>
      <c r="GA155" s="67"/>
      <c r="GB155" s="67"/>
      <c r="GC155" s="67"/>
      <c r="GD155" s="67"/>
      <c r="GE155" s="67"/>
      <c r="GF155" s="67"/>
      <c r="GG155" s="67"/>
      <c r="GH155" s="67"/>
      <c r="GI155" s="67"/>
      <c r="GJ155" s="67"/>
      <c r="GK155" s="67"/>
      <c r="GL155" s="67"/>
      <c r="GM155" s="67"/>
      <c r="GN155" s="67"/>
      <c r="GO155" s="67"/>
      <c r="GP155" s="67"/>
      <c r="GQ155" s="67"/>
      <c r="GR155" s="67"/>
      <c r="GS155" s="67"/>
      <c r="GT155" s="67"/>
      <c r="GU155" s="67"/>
      <c r="GV155" s="67"/>
      <c r="GW155" s="67"/>
      <c r="GX155" s="67"/>
      <c r="GY155" s="67"/>
      <c r="GZ155" s="67"/>
      <c r="HA155" s="67"/>
      <c r="HB155" s="67"/>
      <c r="HC155" s="67"/>
      <c r="HD155" s="67"/>
      <c r="HE155" s="67"/>
      <c r="HF155" s="67"/>
      <c r="HG155" s="67"/>
      <c r="HH155" s="67"/>
      <c r="HI155" s="67"/>
      <c r="HJ155" s="67"/>
      <c r="HK155" s="67"/>
      <c r="HL155" s="67"/>
      <c r="HM155" s="67"/>
      <c r="HN155" s="67"/>
      <c r="HO155" s="67"/>
      <c r="HP155" s="67"/>
      <c r="HQ155" s="67"/>
      <c r="HR155" s="67"/>
      <c r="HS155" s="67"/>
      <c r="HT155" s="67"/>
      <c r="HU155" s="67"/>
      <c r="HV155" s="67"/>
      <c r="HW155" s="67"/>
      <c r="HX155" s="67"/>
      <c r="HY155" s="67"/>
      <c r="HZ155" s="67"/>
      <c r="IA155" s="67"/>
      <c r="IB155" s="67"/>
      <c r="IC155" s="67"/>
      <c r="ID155" s="67"/>
      <c r="IE155" s="67"/>
      <c r="IF155" s="67"/>
      <c r="IG155" s="67"/>
      <c r="IH155" s="67"/>
      <c r="II155" s="67"/>
      <c r="IJ155" s="67"/>
      <c r="IK155" s="67"/>
      <c r="IL155" s="67"/>
      <c r="IM155" s="67"/>
      <c r="IN155" s="67"/>
      <c r="IO155" s="67"/>
      <c r="IP155" s="67"/>
      <c r="IQ155" s="67"/>
      <c r="IR155" s="67"/>
      <c r="IS155" s="67"/>
      <c r="IT155" s="67"/>
      <c r="IU155" s="67"/>
      <c r="IV155" s="67"/>
      <c r="IW155" s="67"/>
      <c r="IX155" s="67"/>
      <c r="IY155" s="67"/>
      <c r="IZ155" s="67"/>
      <c r="JA155" s="67"/>
      <c r="JB155" s="67"/>
      <c r="JC155" s="67"/>
      <c r="JD155" s="67"/>
      <c r="JE155" s="67"/>
      <c r="JF155" s="67"/>
      <c r="JG155" s="67"/>
      <c r="JH155" s="67"/>
      <c r="JI155" s="67"/>
      <c r="JJ155" s="67"/>
      <c r="JK155" s="67"/>
      <c r="JL155" s="67"/>
      <c r="JM155" s="67"/>
      <c r="JN155" s="67"/>
      <c r="JO155" s="67"/>
      <c r="JP155" s="67"/>
      <c r="JQ155" s="67"/>
      <c r="JR155" s="67"/>
      <c r="JS155" s="67"/>
      <c r="JT155" s="67"/>
      <c r="JU155" s="67"/>
      <c r="JV155" s="67"/>
      <c r="JW155" s="67"/>
      <c r="JX155" s="67"/>
      <c r="JY155" s="67"/>
      <c r="JZ155" s="67"/>
      <c r="KA155" s="67"/>
      <c r="KB155" s="67"/>
      <c r="KC155" s="67"/>
      <c r="KD155" s="67"/>
      <c r="KE155" s="67"/>
      <c r="KF155" s="67"/>
      <c r="KG155" s="67"/>
      <c r="KH155" s="67"/>
      <c r="KI155" s="67"/>
      <c r="KJ155" s="67"/>
      <c r="KK155" s="67"/>
      <c r="KL155" s="67"/>
      <c r="KM155" s="67"/>
      <c r="KN155" s="67"/>
      <c r="KO155" s="67"/>
      <c r="KP155" s="67"/>
      <c r="KQ155" s="67"/>
      <c r="KR155" s="67"/>
      <c r="KS155" s="67"/>
      <c r="KT155" s="67"/>
      <c r="KU155" s="67"/>
      <c r="KV155" s="67"/>
      <c r="KW155" s="67"/>
      <c r="KX155" s="67"/>
      <c r="KY155" s="67"/>
      <c r="KZ155" s="67"/>
      <c r="LA155" s="67"/>
      <c r="LB155" s="67"/>
      <c r="LC155" s="67"/>
      <c r="LD155" s="67"/>
      <c r="LE155" s="67"/>
      <c r="LF155" s="67"/>
      <c r="LG155" s="67"/>
      <c r="LH155" s="67"/>
      <c r="LI155" s="67"/>
      <c r="LJ155" s="67"/>
      <c r="LK155" s="67"/>
      <c r="LL155" s="67"/>
      <c r="LM155" s="67"/>
      <c r="LN155" s="67"/>
      <c r="LO155" s="67"/>
      <c r="LP155" s="67"/>
      <c r="LQ155" s="67"/>
      <c r="LR155" s="67"/>
      <c r="LS155" s="67"/>
      <c r="LT155" s="67"/>
      <c r="LU155" s="67"/>
      <c r="LV155" s="67"/>
      <c r="LW155" s="67"/>
      <c r="LX155" s="67"/>
      <c r="LY155" s="67"/>
      <c r="LZ155" s="67"/>
      <c r="MA155" s="67"/>
      <c r="MB155" s="67"/>
    </row>
    <row r="156" spans="1:340" s="50" customFormat="1" ht="15.75" hidden="1" customHeight="1" thickBot="1">
      <c r="A156" s="44">
        <v>3</v>
      </c>
      <c r="B156" s="150" t="s">
        <v>271</v>
      </c>
      <c r="C156" s="85" t="s">
        <v>201</v>
      </c>
      <c r="D156" s="86" t="s">
        <v>49</v>
      </c>
      <c r="E156" s="130" t="s">
        <v>78</v>
      </c>
      <c r="F156" s="87" t="s">
        <v>24</v>
      </c>
      <c r="G156" s="139"/>
      <c r="H156" s="68"/>
      <c r="I156" s="68"/>
      <c r="J156" s="68"/>
      <c r="K156" s="68"/>
      <c r="L156" s="68" t="s">
        <v>25</v>
      </c>
      <c r="M156" s="68"/>
      <c r="N156" s="68"/>
      <c r="O156" s="68" t="s">
        <v>26</v>
      </c>
      <c r="P156" s="68"/>
      <c r="Q156" s="68"/>
      <c r="R156" s="68"/>
      <c r="S156" s="68"/>
      <c r="T156" s="68" t="s">
        <v>27</v>
      </c>
      <c r="U156" s="68" t="s">
        <v>26</v>
      </c>
      <c r="V156" s="68" t="s">
        <v>41</v>
      </c>
      <c r="W156" s="68" t="s">
        <v>204</v>
      </c>
      <c r="X156" s="68"/>
      <c r="Y156" s="68"/>
      <c r="Z156" s="68" t="s">
        <v>26</v>
      </c>
      <c r="AA156" s="68"/>
      <c r="AB156" s="68" t="s">
        <v>41</v>
      </c>
      <c r="AC156" s="68" t="s">
        <v>27</v>
      </c>
      <c r="AD156" s="68" t="s">
        <v>26</v>
      </c>
      <c r="AE156" s="68"/>
      <c r="AF156" s="68"/>
      <c r="AG156" s="68"/>
      <c r="AH156" s="68"/>
      <c r="AI156" s="68" t="s">
        <v>204</v>
      </c>
      <c r="AJ156" s="68" t="s">
        <v>27</v>
      </c>
      <c r="AK156" s="68"/>
      <c r="AL156" s="68"/>
      <c r="AM156" s="68"/>
      <c r="AN156" s="68"/>
      <c r="AO156" s="68"/>
      <c r="AP156" s="68" t="s">
        <v>26</v>
      </c>
      <c r="AQ156" s="68"/>
      <c r="AR156" s="68"/>
      <c r="AS156" s="68"/>
      <c r="AT156" s="68" t="s">
        <v>27</v>
      </c>
      <c r="AU156" s="68"/>
      <c r="AV156" s="68"/>
      <c r="AW156" s="68" t="s">
        <v>26</v>
      </c>
      <c r="AX156" s="68"/>
      <c r="AY156" s="68"/>
      <c r="AZ156" s="68"/>
      <c r="BA156" s="140"/>
      <c r="BB156" s="68" t="s">
        <v>26</v>
      </c>
      <c r="BC156" s="68" t="s">
        <v>37</v>
      </c>
      <c r="BD156" s="67"/>
      <c r="BE156" s="67"/>
      <c r="BF156" s="67"/>
      <c r="BG156" s="67"/>
      <c r="BH156" s="67"/>
      <c r="BI156" s="67"/>
      <c r="BJ156" s="67"/>
      <c r="BK156" s="67"/>
      <c r="BL156" s="67"/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A156" s="67"/>
      <c r="CB156" s="67"/>
      <c r="CC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  <c r="CR156" s="67"/>
      <c r="CS156" s="67"/>
      <c r="CT156" s="67"/>
      <c r="CU156" s="67"/>
      <c r="CV156" s="67"/>
      <c r="CW156" s="67"/>
      <c r="CX156" s="67"/>
      <c r="CY156" s="67"/>
      <c r="CZ156" s="67"/>
      <c r="DA156" s="67"/>
      <c r="DB156" s="67"/>
      <c r="DC156" s="67"/>
      <c r="DD156" s="67"/>
      <c r="DE156" s="67"/>
      <c r="DF156" s="67"/>
      <c r="DG156" s="67"/>
      <c r="DH156" s="67"/>
      <c r="DI156" s="67"/>
      <c r="DJ156" s="67"/>
      <c r="DK156" s="67"/>
      <c r="DL156" s="67"/>
      <c r="DM156" s="67"/>
      <c r="DN156" s="67"/>
      <c r="DO156" s="67"/>
      <c r="DP156" s="67"/>
      <c r="DQ156" s="67"/>
      <c r="DR156" s="67"/>
      <c r="DS156" s="67"/>
      <c r="DT156" s="67"/>
      <c r="DU156" s="67"/>
      <c r="DV156" s="67"/>
      <c r="DW156" s="67"/>
      <c r="DX156" s="67"/>
      <c r="DY156" s="67"/>
      <c r="DZ156" s="67"/>
      <c r="EA156" s="67"/>
      <c r="EB156" s="67"/>
      <c r="EC156" s="67"/>
      <c r="ED156" s="67"/>
      <c r="EE156" s="67"/>
      <c r="EF156" s="67"/>
      <c r="EG156" s="67"/>
      <c r="EH156" s="67"/>
      <c r="EI156" s="67"/>
      <c r="EJ156" s="67"/>
      <c r="EK156" s="67"/>
      <c r="EL156" s="67"/>
      <c r="EM156" s="67"/>
      <c r="EN156" s="67"/>
      <c r="EO156" s="67"/>
      <c r="EP156" s="67"/>
      <c r="EQ156" s="67"/>
      <c r="ER156" s="67"/>
      <c r="ES156" s="67"/>
      <c r="ET156" s="67"/>
      <c r="EU156" s="67"/>
      <c r="EV156" s="67"/>
      <c r="EW156" s="67"/>
      <c r="EX156" s="67"/>
      <c r="EY156" s="67"/>
      <c r="EZ156" s="67"/>
      <c r="FA156" s="67"/>
      <c r="FB156" s="67"/>
      <c r="FC156" s="67"/>
      <c r="FD156" s="67"/>
      <c r="FE156" s="67"/>
      <c r="FF156" s="67"/>
      <c r="FG156" s="67"/>
      <c r="FH156" s="67"/>
      <c r="FI156" s="67"/>
      <c r="FJ156" s="67"/>
      <c r="FK156" s="67"/>
      <c r="FL156" s="67"/>
      <c r="FM156" s="67"/>
      <c r="FN156" s="67"/>
      <c r="FO156" s="67"/>
      <c r="FP156" s="67"/>
      <c r="FQ156" s="67"/>
      <c r="FR156" s="67"/>
      <c r="FS156" s="67"/>
      <c r="FT156" s="67"/>
      <c r="FU156" s="67"/>
      <c r="FV156" s="67"/>
      <c r="FW156" s="67"/>
      <c r="FX156" s="67"/>
      <c r="FY156" s="67"/>
      <c r="FZ156" s="67"/>
      <c r="GA156" s="67"/>
      <c r="GB156" s="67"/>
      <c r="GC156" s="67"/>
      <c r="GD156" s="67"/>
      <c r="GE156" s="67"/>
      <c r="GF156" s="67"/>
      <c r="GG156" s="67"/>
      <c r="GH156" s="67"/>
      <c r="GI156" s="67"/>
      <c r="GJ156" s="67"/>
      <c r="GK156" s="67"/>
      <c r="GL156" s="67"/>
      <c r="GM156" s="67"/>
      <c r="GN156" s="67"/>
      <c r="GO156" s="67"/>
      <c r="GP156" s="67"/>
      <c r="GQ156" s="67"/>
      <c r="GR156" s="67"/>
      <c r="GS156" s="67"/>
      <c r="GT156" s="67"/>
      <c r="GU156" s="67"/>
      <c r="GV156" s="67"/>
      <c r="GW156" s="67"/>
      <c r="GX156" s="67"/>
      <c r="GY156" s="67"/>
      <c r="GZ156" s="67"/>
      <c r="HA156" s="67"/>
      <c r="HB156" s="67"/>
      <c r="HC156" s="67"/>
      <c r="HD156" s="67"/>
      <c r="HE156" s="67"/>
      <c r="HF156" s="67"/>
      <c r="HG156" s="67"/>
      <c r="HH156" s="67"/>
      <c r="HI156" s="67"/>
      <c r="HJ156" s="67"/>
      <c r="HK156" s="67"/>
      <c r="HL156" s="67"/>
      <c r="HM156" s="67"/>
      <c r="HN156" s="67"/>
      <c r="HO156" s="67"/>
      <c r="HP156" s="67"/>
      <c r="HQ156" s="67"/>
      <c r="HR156" s="67"/>
      <c r="HS156" s="67"/>
      <c r="HT156" s="67"/>
      <c r="HU156" s="67"/>
      <c r="HV156" s="67"/>
      <c r="HW156" s="67"/>
      <c r="HX156" s="67"/>
      <c r="HY156" s="67"/>
      <c r="HZ156" s="67"/>
      <c r="IA156" s="67"/>
      <c r="IB156" s="67"/>
      <c r="IC156" s="67"/>
      <c r="ID156" s="67"/>
      <c r="IE156" s="67"/>
      <c r="IF156" s="67"/>
      <c r="IG156" s="67"/>
      <c r="IH156" s="67"/>
      <c r="II156" s="67"/>
      <c r="IJ156" s="67"/>
      <c r="IK156" s="67"/>
      <c r="IL156" s="67"/>
      <c r="IM156" s="67"/>
      <c r="IN156" s="67"/>
      <c r="IO156" s="67"/>
      <c r="IP156" s="67"/>
      <c r="IQ156" s="67"/>
      <c r="IR156" s="67"/>
      <c r="IS156" s="67"/>
      <c r="IT156" s="67"/>
      <c r="IU156" s="67"/>
      <c r="IV156" s="67"/>
      <c r="IW156" s="67"/>
      <c r="IX156" s="67"/>
      <c r="IY156" s="67"/>
      <c r="IZ156" s="67"/>
      <c r="JA156" s="67"/>
      <c r="JB156" s="67"/>
      <c r="JC156" s="67"/>
      <c r="JD156" s="67"/>
      <c r="JE156" s="67"/>
      <c r="JF156" s="67"/>
      <c r="JG156" s="67"/>
      <c r="JH156" s="67"/>
      <c r="JI156" s="67"/>
      <c r="JJ156" s="67"/>
      <c r="JK156" s="67"/>
      <c r="JL156" s="67"/>
      <c r="JM156" s="67"/>
      <c r="JN156" s="67"/>
      <c r="JO156" s="67"/>
      <c r="JP156" s="67"/>
      <c r="JQ156" s="67"/>
      <c r="JR156" s="67"/>
      <c r="JS156" s="67"/>
      <c r="JT156" s="67"/>
      <c r="JU156" s="67"/>
      <c r="JV156" s="67"/>
      <c r="JW156" s="67"/>
      <c r="JX156" s="67"/>
      <c r="JY156" s="67"/>
      <c r="JZ156" s="67"/>
      <c r="KA156" s="67"/>
      <c r="KB156" s="67"/>
      <c r="KC156" s="67"/>
      <c r="KD156" s="67"/>
      <c r="KE156" s="67"/>
      <c r="KF156" s="67"/>
      <c r="KG156" s="67"/>
      <c r="KH156" s="67"/>
      <c r="KI156" s="67"/>
      <c r="KJ156" s="67"/>
      <c r="KK156" s="67"/>
      <c r="KL156" s="67"/>
      <c r="KM156" s="67"/>
      <c r="KN156" s="67"/>
      <c r="KO156" s="67"/>
      <c r="KP156" s="67"/>
      <c r="KQ156" s="67"/>
      <c r="KR156" s="67"/>
      <c r="KS156" s="67"/>
      <c r="KT156" s="67"/>
      <c r="KU156" s="67"/>
      <c r="KV156" s="67"/>
      <c r="KW156" s="67"/>
      <c r="KX156" s="67"/>
      <c r="KY156" s="67"/>
      <c r="KZ156" s="67"/>
      <c r="LA156" s="67"/>
      <c r="LB156" s="67"/>
      <c r="LC156" s="67"/>
      <c r="LD156" s="67"/>
      <c r="LE156" s="67"/>
      <c r="LF156" s="67"/>
      <c r="LG156" s="67"/>
      <c r="LH156" s="67"/>
      <c r="LI156" s="67"/>
      <c r="LJ156" s="67"/>
      <c r="LK156" s="67"/>
      <c r="LL156" s="67"/>
      <c r="LM156" s="67"/>
      <c r="LN156" s="67"/>
      <c r="LO156" s="67"/>
      <c r="LP156" s="67"/>
      <c r="LQ156" s="67"/>
      <c r="LR156" s="67"/>
      <c r="LS156" s="67"/>
      <c r="LT156" s="67"/>
      <c r="LU156" s="67"/>
      <c r="LV156" s="67"/>
      <c r="LW156" s="67"/>
      <c r="LX156" s="67"/>
      <c r="LY156" s="67"/>
      <c r="LZ156" s="67"/>
      <c r="MA156" s="67"/>
      <c r="MB156" s="67"/>
    </row>
    <row r="157" spans="1:340" s="50" customFormat="1" ht="15.75" hidden="1" customHeight="1" thickBot="1">
      <c r="A157" s="44">
        <v>3</v>
      </c>
      <c r="B157" s="154" t="s">
        <v>202</v>
      </c>
      <c r="C157" s="155" t="s">
        <v>274</v>
      </c>
      <c r="D157" s="156" t="s">
        <v>49</v>
      </c>
      <c r="E157" s="157" t="s">
        <v>78</v>
      </c>
      <c r="F157" s="158" t="s">
        <v>24</v>
      </c>
      <c r="G157" s="139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 t="s">
        <v>204</v>
      </c>
      <c r="W157" s="68" t="s">
        <v>25</v>
      </c>
      <c r="X157" s="68" t="s">
        <v>26</v>
      </c>
      <c r="Y157" s="68"/>
      <c r="Z157" s="68" t="s">
        <v>26</v>
      </c>
      <c r="AA157" s="68" t="s">
        <v>80</v>
      </c>
      <c r="AB157" s="68" t="s">
        <v>80</v>
      </c>
      <c r="AC157" s="68" t="s">
        <v>80</v>
      </c>
      <c r="AD157" s="68" t="s">
        <v>80</v>
      </c>
      <c r="AE157" s="68" t="s">
        <v>80</v>
      </c>
      <c r="AF157" s="68" t="s">
        <v>80</v>
      </c>
      <c r="AG157" s="68" t="s">
        <v>80</v>
      </c>
      <c r="AH157" s="68" t="s">
        <v>26</v>
      </c>
      <c r="AI157" s="68" t="s">
        <v>26</v>
      </c>
      <c r="AJ157" s="68" t="s">
        <v>80</v>
      </c>
      <c r="AK157" s="68" t="s">
        <v>80</v>
      </c>
      <c r="AL157" s="68" t="s">
        <v>80</v>
      </c>
      <c r="AM157" s="68" t="s">
        <v>26</v>
      </c>
      <c r="AN157" s="68" t="s">
        <v>26</v>
      </c>
      <c r="AO157" s="68" t="s">
        <v>26</v>
      </c>
      <c r="AP157" s="68" t="s">
        <v>80</v>
      </c>
      <c r="AQ157" s="68" t="s">
        <v>26</v>
      </c>
      <c r="AR157" s="68" t="s">
        <v>26</v>
      </c>
      <c r="AS157" s="68" t="s">
        <v>80</v>
      </c>
      <c r="AT157" s="68" t="s">
        <v>80</v>
      </c>
      <c r="AU157" s="68" t="s">
        <v>80</v>
      </c>
      <c r="AV157" s="68" t="s">
        <v>80</v>
      </c>
      <c r="AW157" s="68" t="s">
        <v>80</v>
      </c>
      <c r="AX157" s="68" t="s">
        <v>26</v>
      </c>
      <c r="AY157" s="68" t="s">
        <v>26</v>
      </c>
      <c r="AZ157" s="68" t="s">
        <v>26</v>
      </c>
      <c r="BA157" s="68" t="s">
        <v>26</v>
      </c>
      <c r="BB157" s="68" t="s">
        <v>80</v>
      </c>
      <c r="BC157" s="68" t="s">
        <v>80</v>
      </c>
      <c r="BD157" s="68" t="s">
        <v>26</v>
      </c>
      <c r="BE157" s="68" t="s">
        <v>80</v>
      </c>
      <c r="BF157" s="68" t="s">
        <v>37</v>
      </c>
      <c r="BG157" s="67"/>
      <c r="BH157" s="67"/>
      <c r="BI157" s="67"/>
      <c r="BJ157" s="67"/>
      <c r="BK157" s="67"/>
      <c r="BL157" s="67"/>
      <c r="BM157" s="67"/>
      <c r="BN157" s="67"/>
      <c r="BO157" s="67"/>
      <c r="BP157" s="67"/>
      <c r="BQ157" s="67"/>
      <c r="BR157" s="67"/>
      <c r="BS157" s="67"/>
      <c r="BT157" s="67"/>
      <c r="BU157" s="67"/>
      <c r="BV157" s="67"/>
      <c r="BW157" s="67"/>
      <c r="BX157" s="67"/>
      <c r="BY157" s="67"/>
      <c r="BZ157" s="67"/>
      <c r="CA157" s="67"/>
      <c r="CB157" s="67"/>
      <c r="CC157" s="67"/>
      <c r="CD157" s="67"/>
      <c r="CE157" s="67"/>
      <c r="CF157" s="67"/>
      <c r="CG157" s="67"/>
      <c r="CH157" s="67"/>
      <c r="CI157" s="67"/>
      <c r="CJ157" s="67"/>
      <c r="CK157" s="67"/>
      <c r="CL157" s="67"/>
      <c r="CM157" s="67"/>
      <c r="CN157" s="67"/>
      <c r="CO157" s="67"/>
      <c r="CP157" s="67"/>
      <c r="CQ157" s="67"/>
      <c r="CR157" s="67"/>
      <c r="CS157" s="67"/>
      <c r="CT157" s="67"/>
      <c r="CU157" s="67"/>
      <c r="CV157" s="67"/>
      <c r="CW157" s="67"/>
      <c r="CX157" s="67"/>
      <c r="CY157" s="67"/>
      <c r="CZ157" s="67"/>
      <c r="DA157" s="67"/>
      <c r="DB157" s="67"/>
      <c r="DC157" s="67"/>
      <c r="DD157" s="67"/>
      <c r="DE157" s="67"/>
      <c r="DF157" s="67"/>
      <c r="DG157" s="67"/>
      <c r="DH157" s="67"/>
      <c r="DI157" s="67"/>
      <c r="DJ157" s="67"/>
      <c r="DK157" s="67"/>
      <c r="DL157" s="67"/>
      <c r="DM157" s="67"/>
      <c r="DN157" s="67"/>
      <c r="DO157" s="67"/>
      <c r="DP157" s="67"/>
      <c r="DQ157" s="67"/>
      <c r="DR157" s="67"/>
      <c r="DS157" s="67"/>
      <c r="DT157" s="67"/>
      <c r="DU157" s="67"/>
      <c r="DV157" s="67"/>
      <c r="DW157" s="67"/>
      <c r="DX157" s="67"/>
      <c r="DY157" s="67"/>
      <c r="DZ157" s="67"/>
      <c r="EA157" s="67"/>
      <c r="EB157" s="67"/>
      <c r="EC157" s="67"/>
      <c r="ED157" s="67"/>
      <c r="EE157" s="67"/>
      <c r="EF157" s="67"/>
      <c r="EG157" s="67"/>
      <c r="EH157" s="67"/>
      <c r="EI157" s="67"/>
      <c r="EJ157" s="67"/>
      <c r="EK157" s="67"/>
      <c r="EL157" s="67"/>
      <c r="EM157" s="67"/>
      <c r="EN157" s="67"/>
      <c r="EO157" s="67"/>
      <c r="EP157" s="67"/>
      <c r="EQ157" s="67"/>
      <c r="ER157" s="67"/>
      <c r="ES157" s="67"/>
      <c r="ET157" s="67"/>
      <c r="EU157" s="67"/>
      <c r="EV157" s="67"/>
      <c r="EW157" s="67"/>
      <c r="EX157" s="67"/>
      <c r="EY157" s="67"/>
      <c r="EZ157" s="67"/>
      <c r="FA157" s="67"/>
      <c r="FB157" s="67"/>
      <c r="FC157" s="67"/>
      <c r="FD157" s="67"/>
      <c r="FE157" s="67"/>
      <c r="FF157" s="67"/>
      <c r="FG157" s="67"/>
      <c r="FH157" s="67"/>
      <c r="FI157" s="67"/>
      <c r="FJ157" s="67"/>
      <c r="FK157" s="67"/>
      <c r="FL157" s="67"/>
      <c r="FM157" s="67"/>
      <c r="FN157" s="67"/>
      <c r="FO157" s="67"/>
      <c r="FP157" s="67"/>
      <c r="FQ157" s="67"/>
      <c r="FR157" s="67"/>
      <c r="FS157" s="67"/>
      <c r="FT157" s="67"/>
      <c r="FU157" s="67"/>
      <c r="FV157" s="67"/>
      <c r="FW157" s="67"/>
      <c r="FX157" s="67"/>
      <c r="FY157" s="67"/>
      <c r="FZ157" s="67"/>
      <c r="GA157" s="67"/>
      <c r="GB157" s="67"/>
      <c r="GC157" s="67"/>
      <c r="GD157" s="67"/>
      <c r="GE157" s="67"/>
      <c r="GF157" s="67"/>
      <c r="GG157" s="67"/>
      <c r="GH157" s="67"/>
      <c r="GI157" s="67"/>
      <c r="GJ157" s="67"/>
      <c r="GK157" s="67"/>
      <c r="GL157" s="67"/>
      <c r="GM157" s="67"/>
      <c r="GN157" s="67"/>
      <c r="GO157" s="67"/>
      <c r="GP157" s="67"/>
      <c r="GQ157" s="67"/>
      <c r="GR157" s="67"/>
      <c r="GS157" s="67"/>
      <c r="GT157" s="67"/>
      <c r="GU157" s="67"/>
      <c r="GV157" s="67"/>
      <c r="GW157" s="67"/>
      <c r="GX157" s="67"/>
      <c r="GY157" s="67"/>
      <c r="GZ157" s="67"/>
      <c r="HA157" s="67"/>
      <c r="HB157" s="67"/>
      <c r="HC157" s="67"/>
      <c r="HD157" s="67"/>
      <c r="HE157" s="67"/>
      <c r="HF157" s="67"/>
      <c r="HG157" s="67"/>
      <c r="HH157" s="67"/>
      <c r="HI157" s="67"/>
      <c r="HJ157" s="67"/>
      <c r="HK157" s="67"/>
      <c r="HL157" s="67"/>
      <c r="HM157" s="67"/>
      <c r="HN157" s="67"/>
      <c r="HO157" s="67"/>
      <c r="HP157" s="67"/>
      <c r="HQ157" s="67"/>
      <c r="HR157" s="67"/>
      <c r="HS157" s="67"/>
      <c r="HT157" s="67"/>
      <c r="HU157" s="67"/>
      <c r="HV157" s="67"/>
      <c r="HW157" s="67"/>
      <c r="HX157" s="67"/>
      <c r="HY157" s="67"/>
      <c r="HZ157" s="67"/>
      <c r="IA157" s="67"/>
      <c r="IB157" s="67"/>
      <c r="IC157" s="67"/>
      <c r="ID157" s="67"/>
      <c r="IE157" s="67"/>
      <c r="IF157" s="67"/>
      <c r="IG157" s="67"/>
      <c r="IH157" s="67"/>
      <c r="II157" s="67"/>
      <c r="IJ157" s="67"/>
      <c r="IK157" s="67"/>
      <c r="IL157" s="67"/>
      <c r="IM157" s="67"/>
      <c r="IN157" s="67"/>
      <c r="IO157" s="67"/>
      <c r="IP157" s="67"/>
      <c r="IQ157" s="67"/>
      <c r="IR157" s="67"/>
      <c r="IS157" s="67"/>
      <c r="IT157" s="67"/>
      <c r="IU157" s="67"/>
      <c r="IV157" s="67"/>
      <c r="IW157" s="67"/>
      <c r="IX157" s="67"/>
      <c r="IY157" s="67"/>
      <c r="IZ157" s="67"/>
      <c r="JA157" s="67"/>
      <c r="JB157" s="67"/>
      <c r="JC157" s="67"/>
      <c r="JD157" s="67"/>
      <c r="JE157" s="67"/>
      <c r="JF157" s="67"/>
      <c r="JG157" s="67"/>
      <c r="JH157" s="67"/>
      <c r="JI157" s="67"/>
      <c r="JJ157" s="67"/>
      <c r="JK157" s="67"/>
      <c r="JL157" s="67"/>
      <c r="JM157" s="67"/>
      <c r="JN157" s="67"/>
      <c r="JO157" s="67"/>
      <c r="JP157" s="67"/>
      <c r="JQ157" s="67"/>
      <c r="JR157" s="67"/>
      <c r="JS157" s="67"/>
      <c r="JT157" s="67"/>
      <c r="JU157" s="67"/>
      <c r="JV157" s="67"/>
      <c r="JW157" s="67"/>
      <c r="JX157" s="67"/>
      <c r="JY157" s="67"/>
      <c r="JZ157" s="67"/>
      <c r="KA157" s="67"/>
      <c r="KB157" s="67"/>
      <c r="KC157" s="67"/>
      <c r="KD157" s="67"/>
      <c r="KE157" s="67"/>
      <c r="KF157" s="67"/>
      <c r="KG157" s="67"/>
      <c r="KH157" s="67"/>
      <c r="KI157" s="67"/>
      <c r="KJ157" s="67"/>
      <c r="KK157" s="67"/>
      <c r="KL157" s="67"/>
      <c r="KM157" s="67"/>
      <c r="KN157" s="67"/>
      <c r="KO157" s="67"/>
      <c r="KP157" s="67"/>
      <c r="KQ157" s="67"/>
      <c r="KR157" s="67"/>
      <c r="KS157" s="67"/>
      <c r="KT157" s="67"/>
      <c r="KU157" s="67"/>
      <c r="KV157" s="67"/>
      <c r="KW157" s="67"/>
      <c r="KX157" s="67"/>
      <c r="KY157" s="67"/>
      <c r="KZ157" s="67"/>
      <c r="LA157" s="67"/>
      <c r="LB157" s="67"/>
      <c r="LC157" s="67"/>
      <c r="LD157" s="67"/>
      <c r="LE157" s="67"/>
      <c r="LF157" s="67"/>
      <c r="LG157" s="67"/>
      <c r="LH157" s="67"/>
      <c r="LI157" s="67"/>
      <c r="LJ157" s="67"/>
      <c r="LK157" s="67"/>
      <c r="LL157" s="67"/>
      <c r="LM157" s="67"/>
      <c r="LN157" s="67"/>
      <c r="LO157" s="67"/>
      <c r="LP157" s="67"/>
      <c r="LQ157" s="67"/>
      <c r="LR157" s="67"/>
      <c r="LS157" s="67"/>
      <c r="LT157" s="67"/>
      <c r="LU157" s="67"/>
      <c r="LV157" s="67"/>
      <c r="LW157" s="67"/>
      <c r="LX157" s="67"/>
      <c r="LY157" s="67"/>
      <c r="LZ157" s="67"/>
      <c r="MA157" s="67"/>
      <c r="MB157" s="67"/>
    </row>
    <row r="158" spans="1:340" s="50" customFormat="1" ht="15.75" hidden="1" customHeight="1" thickBot="1">
      <c r="A158" s="44">
        <v>3</v>
      </c>
      <c r="B158" s="88" t="s">
        <v>60</v>
      </c>
      <c r="C158" s="85" t="s">
        <v>61</v>
      </c>
      <c r="D158" s="86" t="s">
        <v>45</v>
      </c>
      <c r="E158" s="130" t="s">
        <v>62</v>
      </c>
      <c r="F158" s="87" t="s">
        <v>24</v>
      </c>
      <c r="G158" s="139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 t="s">
        <v>25</v>
      </c>
      <c r="AA158" s="68" t="s">
        <v>26</v>
      </c>
      <c r="AB158" s="68"/>
      <c r="AC158" s="68"/>
      <c r="AD158" s="68" t="s">
        <v>41</v>
      </c>
      <c r="AE158" s="68"/>
      <c r="AF158" s="68"/>
      <c r="AG158" s="68" t="s">
        <v>26</v>
      </c>
      <c r="AH158" s="68"/>
      <c r="AI158" s="68"/>
      <c r="AJ158" s="68" t="s">
        <v>41</v>
      </c>
      <c r="AK158" s="68"/>
      <c r="AL158" s="68"/>
      <c r="AM158" s="68"/>
      <c r="AN158" s="68" t="s">
        <v>26</v>
      </c>
      <c r="AO158" s="68"/>
      <c r="AP158" s="68"/>
      <c r="AQ158" s="68" t="s">
        <v>41</v>
      </c>
      <c r="AR158" s="68"/>
      <c r="AS158" s="68"/>
      <c r="AT158" s="68" t="s">
        <v>26</v>
      </c>
      <c r="AU158" s="68"/>
      <c r="AV158" s="68"/>
      <c r="AW158" s="68"/>
      <c r="AX158" s="68" t="s">
        <v>41</v>
      </c>
      <c r="AY158" s="68"/>
      <c r="AZ158" s="68"/>
      <c r="BA158" s="68"/>
      <c r="BB158" s="68" t="s">
        <v>26</v>
      </c>
      <c r="BC158" s="68"/>
      <c r="BD158" s="68" t="s">
        <v>41</v>
      </c>
      <c r="BE158" s="68"/>
      <c r="BF158" s="68"/>
      <c r="BG158" s="68" t="s">
        <v>37</v>
      </c>
      <c r="BH158" s="67"/>
      <c r="BI158" s="67"/>
      <c r="BJ158" s="67"/>
      <c r="BK158" s="67"/>
      <c r="BL158" s="67"/>
      <c r="BM158" s="67"/>
      <c r="BN158" s="67"/>
      <c r="BO158" s="67"/>
      <c r="BP158" s="67"/>
      <c r="BQ158" s="67"/>
      <c r="BR158" s="67"/>
      <c r="BS158" s="67"/>
      <c r="BT158" s="67"/>
      <c r="BU158" s="67"/>
      <c r="BV158" s="67"/>
      <c r="BW158" s="67"/>
      <c r="BX158" s="67"/>
      <c r="BY158" s="67"/>
      <c r="BZ158" s="67"/>
      <c r="CA158" s="67"/>
      <c r="CB158" s="67"/>
      <c r="CC158" s="67"/>
      <c r="CD158" s="67"/>
      <c r="CE158" s="67"/>
      <c r="CF158" s="67"/>
      <c r="CG158" s="67"/>
      <c r="CH158" s="67"/>
      <c r="CI158" s="67"/>
      <c r="CJ158" s="67"/>
      <c r="CK158" s="67"/>
      <c r="CL158" s="67"/>
      <c r="CM158" s="67"/>
      <c r="CN158" s="67"/>
      <c r="CO158" s="67"/>
      <c r="CP158" s="67"/>
      <c r="CQ158" s="67"/>
      <c r="CR158" s="67"/>
      <c r="CS158" s="67"/>
      <c r="CT158" s="67"/>
      <c r="CU158" s="67"/>
      <c r="CV158" s="67"/>
      <c r="CW158" s="67"/>
      <c r="CX158" s="67"/>
      <c r="CY158" s="67"/>
      <c r="CZ158" s="67"/>
      <c r="DA158" s="67"/>
      <c r="DB158" s="67"/>
      <c r="DC158" s="67"/>
      <c r="DD158" s="67"/>
      <c r="DE158" s="67"/>
      <c r="DF158" s="67"/>
      <c r="DG158" s="67"/>
      <c r="DH158" s="67"/>
      <c r="DI158" s="67"/>
      <c r="DJ158" s="67"/>
      <c r="DK158" s="67"/>
      <c r="DL158" s="67"/>
      <c r="DM158" s="67"/>
      <c r="DN158" s="67"/>
      <c r="DO158" s="67"/>
      <c r="DP158" s="67"/>
      <c r="DQ158" s="67"/>
      <c r="DR158" s="67"/>
      <c r="DS158" s="67"/>
      <c r="DT158" s="67"/>
      <c r="DU158" s="67"/>
      <c r="DV158" s="67"/>
      <c r="DW158" s="67"/>
      <c r="DX158" s="67"/>
      <c r="DY158" s="67"/>
      <c r="DZ158" s="67"/>
      <c r="EA158" s="67"/>
      <c r="EB158" s="67"/>
      <c r="EC158" s="67"/>
      <c r="ED158" s="67"/>
      <c r="EE158" s="67"/>
      <c r="EF158" s="67"/>
      <c r="EG158" s="67"/>
      <c r="EH158" s="67"/>
      <c r="EI158" s="67"/>
      <c r="EJ158" s="67"/>
      <c r="EK158" s="67"/>
      <c r="EL158" s="67"/>
      <c r="EM158" s="67"/>
      <c r="EN158" s="67"/>
      <c r="EO158" s="67"/>
      <c r="EP158" s="67"/>
      <c r="EQ158" s="67"/>
      <c r="ER158" s="67"/>
      <c r="ES158" s="67"/>
      <c r="ET158" s="67"/>
      <c r="EU158" s="67"/>
      <c r="EV158" s="67"/>
      <c r="EW158" s="67"/>
      <c r="EX158" s="67"/>
      <c r="EY158" s="67"/>
      <c r="EZ158" s="67"/>
      <c r="FA158" s="67"/>
      <c r="FB158" s="67"/>
      <c r="FC158" s="67"/>
      <c r="FD158" s="67"/>
      <c r="FE158" s="67"/>
      <c r="FF158" s="67"/>
      <c r="FG158" s="67"/>
      <c r="FH158" s="67"/>
      <c r="FI158" s="67"/>
      <c r="FJ158" s="67"/>
      <c r="FK158" s="67"/>
      <c r="FL158" s="67"/>
      <c r="FM158" s="67"/>
      <c r="FN158" s="67"/>
      <c r="FO158" s="67"/>
      <c r="FP158" s="67"/>
      <c r="FQ158" s="67"/>
      <c r="FR158" s="67"/>
      <c r="FS158" s="67"/>
      <c r="FT158" s="67"/>
      <c r="FU158" s="67"/>
      <c r="FV158" s="67"/>
      <c r="FW158" s="67"/>
      <c r="FX158" s="67"/>
      <c r="FY158" s="67"/>
      <c r="FZ158" s="67"/>
      <c r="GA158" s="67"/>
      <c r="GB158" s="67"/>
      <c r="GC158" s="67"/>
      <c r="GD158" s="67"/>
      <c r="GE158" s="67"/>
      <c r="GF158" s="67"/>
      <c r="GG158" s="67"/>
      <c r="GH158" s="67"/>
      <c r="GI158" s="67"/>
      <c r="GJ158" s="67"/>
      <c r="GK158" s="67"/>
      <c r="GL158" s="67"/>
      <c r="GM158" s="67"/>
      <c r="GN158" s="67"/>
      <c r="GO158" s="67"/>
      <c r="GP158" s="67"/>
      <c r="GQ158" s="67"/>
      <c r="GR158" s="67"/>
      <c r="GS158" s="67"/>
      <c r="GT158" s="67"/>
      <c r="GU158" s="67"/>
      <c r="GV158" s="67"/>
      <c r="GW158" s="67"/>
      <c r="GX158" s="67"/>
      <c r="GY158" s="67"/>
      <c r="GZ158" s="67"/>
      <c r="HA158" s="67"/>
      <c r="HB158" s="67"/>
      <c r="HC158" s="67"/>
      <c r="HD158" s="67"/>
      <c r="HE158" s="67"/>
      <c r="HF158" s="67"/>
      <c r="HG158" s="67"/>
      <c r="HH158" s="67"/>
      <c r="HI158" s="67"/>
      <c r="HJ158" s="67"/>
      <c r="HK158" s="67"/>
      <c r="HL158" s="67"/>
      <c r="HM158" s="67"/>
      <c r="HN158" s="67"/>
      <c r="HO158" s="67"/>
      <c r="HP158" s="67"/>
      <c r="HQ158" s="67"/>
      <c r="HR158" s="67"/>
      <c r="HS158" s="67"/>
      <c r="HT158" s="67"/>
      <c r="HU158" s="67"/>
      <c r="HV158" s="67"/>
      <c r="HW158" s="67"/>
      <c r="HX158" s="67"/>
      <c r="HY158" s="67"/>
      <c r="HZ158" s="67"/>
      <c r="IA158" s="67"/>
      <c r="IB158" s="67"/>
      <c r="IC158" s="67"/>
      <c r="ID158" s="67"/>
      <c r="IE158" s="67"/>
      <c r="IF158" s="67"/>
      <c r="IG158" s="67"/>
      <c r="IH158" s="67"/>
      <c r="II158" s="67"/>
      <c r="IJ158" s="67"/>
      <c r="IK158" s="67"/>
      <c r="IL158" s="67"/>
      <c r="IM158" s="67"/>
      <c r="IN158" s="67"/>
      <c r="IO158" s="67"/>
      <c r="IP158" s="67"/>
      <c r="IQ158" s="67"/>
      <c r="IR158" s="67"/>
      <c r="IS158" s="67"/>
      <c r="IT158" s="67"/>
      <c r="IU158" s="67"/>
      <c r="IV158" s="67"/>
      <c r="IW158" s="67"/>
      <c r="IX158" s="67"/>
      <c r="IY158" s="67"/>
      <c r="IZ158" s="67"/>
      <c r="JA158" s="67"/>
      <c r="JB158" s="67"/>
      <c r="JC158" s="67"/>
      <c r="JD158" s="67"/>
      <c r="JE158" s="67"/>
      <c r="JF158" s="67"/>
      <c r="JG158" s="67"/>
      <c r="JH158" s="67"/>
      <c r="JI158" s="67"/>
      <c r="JJ158" s="67"/>
      <c r="JK158" s="67"/>
      <c r="JL158" s="67"/>
      <c r="JM158" s="67"/>
      <c r="JN158" s="67"/>
      <c r="JO158" s="67"/>
      <c r="JP158" s="67"/>
      <c r="JQ158" s="67"/>
      <c r="JR158" s="67"/>
      <c r="JS158" s="67"/>
      <c r="JT158" s="67"/>
      <c r="JU158" s="67"/>
      <c r="JV158" s="67"/>
      <c r="JW158" s="67"/>
      <c r="JX158" s="67"/>
      <c r="JY158" s="67"/>
      <c r="JZ158" s="67"/>
      <c r="KA158" s="67"/>
      <c r="KB158" s="67"/>
      <c r="KC158" s="67"/>
      <c r="KD158" s="67"/>
      <c r="KE158" s="67"/>
      <c r="KF158" s="67"/>
      <c r="KG158" s="67"/>
      <c r="KH158" s="67"/>
      <c r="KI158" s="67"/>
      <c r="KJ158" s="67"/>
      <c r="KK158" s="67"/>
      <c r="KL158" s="67"/>
      <c r="KM158" s="67"/>
      <c r="KN158" s="67"/>
      <c r="KO158" s="67"/>
      <c r="KP158" s="67"/>
      <c r="KQ158" s="67"/>
      <c r="KR158" s="67"/>
      <c r="KS158" s="67"/>
      <c r="KT158" s="67"/>
      <c r="KU158" s="67"/>
      <c r="KV158" s="67"/>
      <c r="KW158" s="67"/>
      <c r="KX158" s="67"/>
      <c r="KY158" s="67"/>
      <c r="KZ158" s="67"/>
      <c r="LA158" s="67"/>
      <c r="LB158" s="67"/>
      <c r="LC158" s="67"/>
      <c r="LD158" s="67"/>
      <c r="LE158" s="67"/>
      <c r="LF158" s="67"/>
      <c r="LG158" s="67"/>
      <c r="LH158" s="67"/>
      <c r="LI158" s="67"/>
      <c r="LJ158" s="67"/>
      <c r="LK158" s="67"/>
      <c r="LL158" s="67"/>
      <c r="LM158" s="67"/>
      <c r="LN158" s="67"/>
      <c r="LO158" s="67"/>
      <c r="LP158" s="67"/>
      <c r="LQ158" s="67"/>
      <c r="LR158" s="67"/>
      <c r="LS158" s="67"/>
      <c r="LT158" s="67"/>
      <c r="LU158" s="67"/>
      <c r="LV158" s="67"/>
      <c r="LW158" s="67"/>
      <c r="LX158" s="67"/>
      <c r="LY158" s="67"/>
      <c r="LZ158" s="67"/>
      <c r="MA158" s="67"/>
      <c r="MB158" s="67"/>
    </row>
    <row r="159" spans="1:340" s="50" customFormat="1" ht="15.75" customHeight="1" thickBot="1">
      <c r="A159" s="44">
        <v>3</v>
      </c>
      <c r="B159" s="88" t="s">
        <v>119</v>
      </c>
      <c r="C159" s="85" t="s">
        <v>123</v>
      </c>
      <c r="D159" s="86" t="s">
        <v>22</v>
      </c>
      <c r="E159" s="130" t="s">
        <v>23</v>
      </c>
      <c r="F159" s="87" t="s">
        <v>53</v>
      </c>
      <c r="G159" s="139"/>
      <c r="H159" s="68"/>
      <c r="I159" s="68" t="s">
        <v>27</v>
      </c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 t="s">
        <v>27</v>
      </c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153"/>
      <c r="AQ159" s="68" t="s">
        <v>27</v>
      </c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 t="s">
        <v>27</v>
      </c>
      <c r="BH159" s="68" t="s">
        <v>37</v>
      </c>
      <c r="BI159" s="67"/>
      <c r="BJ159" s="67"/>
      <c r="BK159" s="67"/>
      <c r="BL159" s="67"/>
      <c r="BM159" s="67"/>
      <c r="BN159" s="67"/>
      <c r="BO159" s="67"/>
      <c r="BP159" s="67"/>
      <c r="BQ159" s="67"/>
      <c r="BR159" s="67"/>
      <c r="BS159" s="67"/>
      <c r="BT159" s="67"/>
      <c r="BU159" s="67"/>
      <c r="BV159" s="67"/>
      <c r="BW159" s="67"/>
      <c r="BX159" s="67"/>
      <c r="BY159" s="67"/>
      <c r="BZ159" s="67"/>
      <c r="CA159" s="67"/>
      <c r="CB159" s="67"/>
      <c r="CC159" s="67"/>
      <c r="CD159" s="67"/>
      <c r="CE159" s="67"/>
      <c r="CF159" s="67"/>
      <c r="CG159" s="67"/>
      <c r="CH159" s="67"/>
      <c r="CI159" s="67"/>
      <c r="CJ159" s="67"/>
      <c r="CK159" s="67"/>
      <c r="CL159" s="67"/>
      <c r="CM159" s="67"/>
      <c r="CN159" s="67"/>
      <c r="CO159" s="67"/>
      <c r="CP159" s="67"/>
      <c r="CQ159" s="67"/>
      <c r="CR159" s="67"/>
      <c r="CS159" s="67"/>
      <c r="CT159" s="67"/>
      <c r="CU159" s="67"/>
      <c r="CV159" s="67"/>
      <c r="CW159" s="67"/>
      <c r="CX159" s="67"/>
      <c r="CY159" s="67"/>
      <c r="CZ159" s="67"/>
      <c r="DA159" s="67"/>
      <c r="DB159" s="67"/>
      <c r="DC159" s="67"/>
      <c r="DD159" s="67"/>
      <c r="DE159" s="67"/>
      <c r="DF159" s="67"/>
      <c r="DG159" s="67"/>
      <c r="DH159" s="67"/>
      <c r="DI159" s="67"/>
      <c r="DJ159" s="67"/>
      <c r="DK159" s="67"/>
      <c r="DL159" s="67"/>
      <c r="DM159" s="67"/>
      <c r="DN159" s="67"/>
      <c r="DO159" s="67"/>
      <c r="DP159" s="67"/>
      <c r="DQ159" s="67"/>
      <c r="DR159" s="67"/>
      <c r="DS159" s="67"/>
      <c r="DT159" s="67"/>
      <c r="DU159" s="67"/>
      <c r="DV159" s="67"/>
      <c r="DW159" s="67"/>
      <c r="DX159" s="67"/>
      <c r="DY159" s="67"/>
      <c r="DZ159" s="67"/>
      <c r="EA159" s="67"/>
      <c r="EB159" s="67"/>
      <c r="EC159" s="67"/>
      <c r="ED159" s="67"/>
      <c r="EE159" s="67"/>
      <c r="EF159" s="67"/>
      <c r="EG159" s="67"/>
      <c r="EH159" s="67"/>
      <c r="EI159" s="67"/>
      <c r="EJ159" s="67"/>
      <c r="EK159" s="67"/>
      <c r="EL159" s="67"/>
      <c r="EM159" s="67"/>
      <c r="EN159" s="67"/>
      <c r="EO159" s="67"/>
      <c r="EP159" s="67"/>
      <c r="EQ159" s="67"/>
      <c r="ER159" s="67"/>
      <c r="ES159" s="67"/>
      <c r="ET159" s="67"/>
      <c r="EU159" s="67"/>
      <c r="EV159" s="67"/>
      <c r="EW159" s="67"/>
      <c r="EX159" s="67"/>
      <c r="EY159" s="67"/>
      <c r="EZ159" s="67"/>
      <c r="FA159" s="67"/>
      <c r="FB159" s="67"/>
      <c r="FC159" s="67"/>
      <c r="FD159" s="67"/>
      <c r="FE159" s="67"/>
      <c r="FF159" s="67"/>
      <c r="FG159" s="67"/>
      <c r="FH159" s="67"/>
      <c r="FI159" s="67"/>
      <c r="FJ159" s="67"/>
      <c r="FK159" s="67"/>
      <c r="FL159" s="67"/>
      <c r="FM159" s="67"/>
      <c r="FN159" s="67"/>
      <c r="FO159" s="67"/>
      <c r="FP159" s="67"/>
      <c r="FQ159" s="67"/>
      <c r="FR159" s="67"/>
      <c r="FS159" s="67"/>
      <c r="FT159" s="67"/>
      <c r="FU159" s="67"/>
      <c r="FV159" s="67"/>
      <c r="FW159" s="67"/>
      <c r="FX159" s="67"/>
      <c r="FY159" s="67"/>
      <c r="FZ159" s="67"/>
      <c r="GA159" s="67"/>
      <c r="GB159" s="67"/>
      <c r="GC159" s="67"/>
      <c r="GD159" s="67"/>
      <c r="GE159" s="67"/>
      <c r="GF159" s="67"/>
      <c r="GG159" s="67"/>
      <c r="GH159" s="67"/>
      <c r="GI159" s="67"/>
      <c r="GJ159" s="67"/>
      <c r="GK159" s="67"/>
      <c r="GL159" s="67"/>
      <c r="GM159" s="67"/>
      <c r="GN159" s="67"/>
      <c r="GO159" s="67"/>
      <c r="GP159" s="67"/>
      <c r="GQ159" s="67"/>
      <c r="GR159" s="67"/>
      <c r="GS159" s="67"/>
      <c r="GT159" s="67"/>
      <c r="GU159" s="67"/>
      <c r="GV159" s="67"/>
      <c r="GW159" s="67"/>
      <c r="GX159" s="67"/>
      <c r="GY159" s="67"/>
      <c r="GZ159" s="67"/>
      <c r="HA159" s="67"/>
      <c r="HB159" s="67"/>
      <c r="HC159" s="67"/>
      <c r="HD159" s="67"/>
      <c r="HE159" s="67"/>
      <c r="HF159" s="67"/>
      <c r="HG159" s="67"/>
      <c r="HH159" s="67"/>
      <c r="HI159" s="67"/>
      <c r="HJ159" s="67"/>
      <c r="HK159" s="67"/>
      <c r="HL159" s="67"/>
      <c r="HM159" s="67"/>
      <c r="HN159" s="67"/>
      <c r="HO159" s="67"/>
      <c r="HP159" s="67"/>
      <c r="HQ159" s="67"/>
      <c r="HR159" s="67"/>
      <c r="HS159" s="67"/>
      <c r="HT159" s="67"/>
      <c r="HU159" s="67"/>
      <c r="HV159" s="67"/>
      <c r="HW159" s="67"/>
      <c r="HX159" s="67"/>
      <c r="HY159" s="67"/>
      <c r="HZ159" s="67"/>
      <c r="IA159" s="67"/>
      <c r="IB159" s="67"/>
      <c r="IC159" s="67"/>
      <c r="ID159" s="67"/>
      <c r="IE159" s="67"/>
      <c r="IF159" s="67"/>
      <c r="IG159" s="67"/>
      <c r="IH159" s="67"/>
      <c r="II159" s="67"/>
      <c r="IJ159" s="67"/>
      <c r="IK159" s="67"/>
      <c r="IL159" s="67"/>
      <c r="IM159" s="67"/>
      <c r="IN159" s="67"/>
      <c r="IO159" s="67"/>
      <c r="IP159" s="67"/>
      <c r="IQ159" s="67"/>
      <c r="IR159" s="67"/>
      <c r="IS159" s="67"/>
      <c r="IT159" s="67"/>
      <c r="IU159" s="67"/>
      <c r="IV159" s="67"/>
      <c r="IW159" s="67"/>
      <c r="IX159" s="67"/>
      <c r="IY159" s="67"/>
      <c r="IZ159" s="67"/>
      <c r="JA159" s="67"/>
      <c r="JB159" s="67"/>
      <c r="JC159" s="67"/>
      <c r="JD159" s="67"/>
      <c r="JE159" s="67"/>
      <c r="JF159" s="67"/>
      <c r="JG159" s="67"/>
      <c r="JH159" s="67"/>
      <c r="JI159" s="67"/>
      <c r="JJ159" s="67"/>
      <c r="JK159" s="67"/>
      <c r="JL159" s="67"/>
      <c r="JM159" s="67"/>
      <c r="JN159" s="67"/>
      <c r="JO159" s="67"/>
      <c r="JP159" s="67"/>
      <c r="JQ159" s="67"/>
      <c r="JR159" s="67"/>
      <c r="JS159" s="67"/>
      <c r="JT159" s="67"/>
      <c r="JU159" s="67"/>
      <c r="JV159" s="67"/>
      <c r="JW159" s="67"/>
      <c r="JX159" s="67"/>
      <c r="JY159" s="67"/>
      <c r="JZ159" s="67"/>
      <c r="KA159" s="67"/>
      <c r="KB159" s="67"/>
      <c r="KC159" s="67"/>
      <c r="KD159" s="67"/>
      <c r="KE159" s="67"/>
      <c r="KF159" s="67"/>
      <c r="KG159" s="67"/>
      <c r="KH159" s="67"/>
      <c r="KI159" s="67"/>
      <c r="KJ159" s="67"/>
      <c r="KK159" s="67"/>
      <c r="KL159" s="67"/>
      <c r="KM159" s="67"/>
      <c r="KN159" s="67"/>
      <c r="KO159" s="67"/>
      <c r="KP159" s="67"/>
      <c r="KQ159" s="67"/>
      <c r="KR159" s="67"/>
      <c r="KS159" s="67"/>
      <c r="KT159" s="67"/>
      <c r="KU159" s="67"/>
      <c r="KV159" s="67"/>
      <c r="KW159" s="67"/>
      <c r="KX159" s="67"/>
      <c r="KY159" s="67"/>
      <c r="KZ159" s="67"/>
      <c r="LA159" s="67"/>
      <c r="LB159" s="67"/>
      <c r="LC159" s="67"/>
      <c r="LD159" s="67"/>
      <c r="LE159" s="67"/>
      <c r="LF159" s="67"/>
      <c r="LG159" s="67"/>
      <c r="LH159" s="67"/>
      <c r="LI159" s="67"/>
      <c r="LJ159" s="67"/>
      <c r="LK159" s="67"/>
      <c r="LL159" s="67"/>
      <c r="LM159" s="67"/>
      <c r="LN159" s="67"/>
      <c r="LO159" s="67"/>
      <c r="LP159" s="67"/>
      <c r="LQ159" s="67"/>
      <c r="LR159" s="67"/>
      <c r="LS159" s="67"/>
      <c r="LT159" s="67"/>
      <c r="LU159" s="67"/>
      <c r="LV159" s="67"/>
      <c r="LW159" s="67"/>
      <c r="LX159" s="67"/>
      <c r="LY159" s="67"/>
      <c r="LZ159" s="67"/>
      <c r="MA159" s="67"/>
      <c r="MB159" s="67"/>
    </row>
    <row r="160" spans="1:340" s="50" customFormat="1" ht="15.75" customHeight="1" thickBot="1">
      <c r="A160" s="44">
        <v>3</v>
      </c>
      <c r="B160" s="88" t="s">
        <v>275</v>
      </c>
      <c r="C160" s="85" t="s">
        <v>276</v>
      </c>
      <c r="D160" s="86" t="s">
        <v>22</v>
      </c>
      <c r="E160" s="130" t="s">
        <v>23</v>
      </c>
      <c r="F160" s="87" t="s">
        <v>24</v>
      </c>
      <c r="G160" s="139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 t="s">
        <v>25</v>
      </c>
      <c r="AU160" s="68"/>
      <c r="AV160" s="68" t="s">
        <v>26</v>
      </c>
      <c r="AW160" s="68"/>
      <c r="AX160" s="68"/>
      <c r="AY160" s="68"/>
      <c r="AZ160" s="68"/>
      <c r="BA160" s="68"/>
      <c r="BB160" s="68"/>
      <c r="BC160" s="68"/>
      <c r="BD160" s="68"/>
      <c r="BE160" s="68" t="s">
        <v>41</v>
      </c>
      <c r="BF160" s="68"/>
      <c r="BG160" s="68" t="s">
        <v>27</v>
      </c>
      <c r="BH160" s="68" t="s">
        <v>37</v>
      </c>
      <c r="BI160" s="67"/>
      <c r="BJ160" s="67"/>
      <c r="BK160" s="67"/>
      <c r="BL160" s="67"/>
      <c r="BM160" s="67"/>
      <c r="BN160" s="67"/>
      <c r="BO160" s="67"/>
      <c r="BP160" s="67"/>
      <c r="BQ160" s="67"/>
      <c r="BR160" s="67"/>
      <c r="BS160" s="67"/>
      <c r="BT160" s="67"/>
      <c r="BU160" s="67"/>
      <c r="BV160" s="67"/>
      <c r="BW160" s="67"/>
      <c r="BX160" s="67"/>
      <c r="BY160" s="67"/>
      <c r="BZ160" s="67"/>
      <c r="CA160" s="67"/>
      <c r="CB160" s="67"/>
      <c r="CC160" s="67"/>
      <c r="CD160" s="67"/>
      <c r="CE160" s="67"/>
      <c r="CF160" s="67"/>
      <c r="CG160" s="67"/>
      <c r="CH160" s="67"/>
      <c r="CI160" s="67"/>
      <c r="CJ160" s="67"/>
      <c r="CK160" s="67"/>
      <c r="CL160" s="67"/>
      <c r="CM160" s="67"/>
      <c r="CN160" s="67"/>
      <c r="CO160" s="67"/>
      <c r="CP160" s="67"/>
      <c r="CQ160" s="67"/>
      <c r="CR160" s="67"/>
      <c r="CS160" s="67"/>
      <c r="CT160" s="67"/>
      <c r="CU160" s="67"/>
      <c r="CV160" s="67"/>
      <c r="CW160" s="67"/>
      <c r="CX160" s="67"/>
      <c r="CY160" s="67"/>
      <c r="CZ160" s="67"/>
      <c r="DA160" s="67"/>
      <c r="DB160" s="67"/>
      <c r="DC160" s="67"/>
      <c r="DD160" s="67"/>
      <c r="DE160" s="67"/>
      <c r="DF160" s="67"/>
      <c r="DG160" s="67"/>
      <c r="DH160" s="67"/>
      <c r="DI160" s="67"/>
      <c r="DJ160" s="67"/>
      <c r="DK160" s="67"/>
      <c r="DL160" s="67"/>
      <c r="DM160" s="67"/>
      <c r="DN160" s="67"/>
      <c r="DO160" s="67"/>
      <c r="DP160" s="67"/>
      <c r="DQ160" s="67"/>
      <c r="DR160" s="67"/>
      <c r="DS160" s="67"/>
      <c r="DT160" s="67"/>
      <c r="DU160" s="67"/>
      <c r="DV160" s="67"/>
      <c r="DW160" s="67"/>
      <c r="DX160" s="67"/>
      <c r="DY160" s="67"/>
      <c r="DZ160" s="67"/>
      <c r="EA160" s="67"/>
      <c r="EB160" s="67"/>
      <c r="EC160" s="67"/>
      <c r="ED160" s="67"/>
      <c r="EE160" s="67"/>
      <c r="EF160" s="67"/>
      <c r="EG160" s="67"/>
      <c r="EH160" s="67"/>
      <c r="EI160" s="67"/>
      <c r="EJ160" s="67"/>
      <c r="EK160" s="67"/>
      <c r="EL160" s="67"/>
      <c r="EM160" s="67"/>
      <c r="EN160" s="67"/>
      <c r="EO160" s="67"/>
      <c r="EP160" s="67"/>
      <c r="EQ160" s="67"/>
      <c r="ER160" s="67"/>
      <c r="ES160" s="67"/>
      <c r="ET160" s="67"/>
      <c r="EU160" s="67"/>
      <c r="EV160" s="67"/>
      <c r="EW160" s="67"/>
      <c r="EX160" s="67"/>
      <c r="EY160" s="67"/>
      <c r="EZ160" s="67"/>
      <c r="FA160" s="67"/>
      <c r="FB160" s="67"/>
      <c r="FC160" s="67"/>
      <c r="FD160" s="67"/>
      <c r="FE160" s="67"/>
      <c r="FF160" s="67"/>
      <c r="FG160" s="67"/>
      <c r="FH160" s="67"/>
      <c r="FI160" s="67"/>
      <c r="FJ160" s="67"/>
      <c r="FK160" s="67"/>
      <c r="FL160" s="67"/>
      <c r="FM160" s="67"/>
      <c r="FN160" s="67"/>
      <c r="FO160" s="67"/>
      <c r="FP160" s="67"/>
      <c r="FQ160" s="67"/>
      <c r="FR160" s="67"/>
      <c r="FS160" s="67"/>
      <c r="FT160" s="67"/>
      <c r="FU160" s="67"/>
      <c r="FV160" s="67"/>
      <c r="FW160" s="67"/>
      <c r="FX160" s="67"/>
      <c r="FY160" s="67"/>
      <c r="FZ160" s="67"/>
      <c r="GA160" s="67"/>
      <c r="GB160" s="67"/>
      <c r="GC160" s="67"/>
      <c r="GD160" s="67"/>
      <c r="GE160" s="67"/>
      <c r="GF160" s="67"/>
      <c r="GG160" s="67"/>
      <c r="GH160" s="67"/>
      <c r="GI160" s="67"/>
      <c r="GJ160" s="67"/>
      <c r="GK160" s="67"/>
      <c r="GL160" s="67"/>
      <c r="GM160" s="67"/>
      <c r="GN160" s="67"/>
      <c r="GO160" s="67"/>
      <c r="GP160" s="67"/>
      <c r="GQ160" s="67"/>
      <c r="GR160" s="67"/>
      <c r="GS160" s="67"/>
      <c r="GT160" s="67"/>
      <c r="GU160" s="67"/>
      <c r="GV160" s="67"/>
      <c r="GW160" s="67"/>
      <c r="GX160" s="67"/>
      <c r="GY160" s="67"/>
      <c r="GZ160" s="67"/>
      <c r="HA160" s="67"/>
      <c r="HB160" s="67"/>
      <c r="HC160" s="67"/>
      <c r="HD160" s="67"/>
      <c r="HE160" s="67"/>
      <c r="HF160" s="67"/>
      <c r="HG160" s="67"/>
      <c r="HH160" s="67"/>
      <c r="HI160" s="67"/>
      <c r="HJ160" s="67"/>
      <c r="HK160" s="67"/>
      <c r="HL160" s="67"/>
      <c r="HM160" s="67"/>
      <c r="HN160" s="67"/>
      <c r="HO160" s="67"/>
      <c r="HP160" s="67"/>
      <c r="HQ160" s="67"/>
      <c r="HR160" s="67"/>
      <c r="HS160" s="67"/>
      <c r="HT160" s="67"/>
      <c r="HU160" s="67"/>
      <c r="HV160" s="67"/>
      <c r="HW160" s="67"/>
      <c r="HX160" s="67"/>
      <c r="HY160" s="67"/>
      <c r="HZ160" s="67"/>
      <c r="IA160" s="67"/>
      <c r="IB160" s="67"/>
      <c r="IC160" s="67"/>
      <c r="ID160" s="67"/>
      <c r="IE160" s="67"/>
      <c r="IF160" s="67"/>
      <c r="IG160" s="67"/>
      <c r="IH160" s="67"/>
      <c r="II160" s="67"/>
      <c r="IJ160" s="67"/>
      <c r="IK160" s="67"/>
      <c r="IL160" s="67"/>
      <c r="IM160" s="67"/>
      <c r="IN160" s="67"/>
      <c r="IO160" s="67"/>
      <c r="IP160" s="67"/>
      <c r="IQ160" s="67"/>
      <c r="IR160" s="67"/>
      <c r="IS160" s="67"/>
      <c r="IT160" s="67"/>
      <c r="IU160" s="67"/>
      <c r="IV160" s="67"/>
      <c r="IW160" s="67"/>
      <c r="IX160" s="67"/>
      <c r="IY160" s="67"/>
      <c r="IZ160" s="67"/>
      <c r="JA160" s="67"/>
      <c r="JB160" s="67"/>
      <c r="JC160" s="67"/>
      <c r="JD160" s="67"/>
      <c r="JE160" s="67"/>
      <c r="JF160" s="67"/>
      <c r="JG160" s="67"/>
      <c r="JH160" s="67"/>
      <c r="JI160" s="67"/>
      <c r="JJ160" s="67"/>
      <c r="JK160" s="67"/>
      <c r="JL160" s="67"/>
      <c r="JM160" s="67"/>
      <c r="JN160" s="67"/>
      <c r="JO160" s="67"/>
      <c r="JP160" s="67"/>
      <c r="JQ160" s="67"/>
      <c r="JR160" s="67"/>
      <c r="JS160" s="67"/>
      <c r="JT160" s="67"/>
      <c r="JU160" s="67"/>
      <c r="JV160" s="67"/>
      <c r="JW160" s="67"/>
      <c r="JX160" s="67"/>
      <c r="JY160" s="67"/>
      <c r="JZ160" s="67"/>
      <c r="KA160" s="67"/>
      <c r="KB160" s="67"/>
      <c r="KC160" s="67"/>
      <c r="KD160" s="67"/>
      <c r="KE160" s="67"/>
      <c r="KF160" s="67"/>
      <c r="KG160" s="67"/>
      <c r="KH160" s="67"/>
      <c r="KI160" s="67"/>
      <c r="KJ160" s="67"/>
      <c r="KK160" s="67"/>
      <c r="KL160" s="67"/>
      <c r="KM160" s="67"/>
      <c r="KN160" s="67"/>
      <c r="KO160" s="67"/>
      <c r="KP160" s="67"/>
      <c r="KQ160" s="67"/>
      <c r="KR160" s="67"/>
      <c r="KS160" s="67"/>
      <c r="KT160" s="67"/>
      <c r="KU160" s="67"/>
      <c r="KV160" s="67"/>
      <c r="KW160" s="67"/>
      <c r="KX160" s="67"/>
      <c r="KY160" s="67"/>
      <c r="KZ160" s="67"/>
      <c r="LA160" s="67"/>
      <c r="LB160" s="67"/>
      <c r="LC160" s="67"/>
      <c r="LD160" s="67"/>
      <c r="LE160" s="67"/>
      <c r="LF160" s="67"/>
      <c r="LG160" s="67"/>
      <c r="LH160" s="67"/>
      <c r="LI160" s="67"/>
      <c r="LJ160" s="67"/>
      <c r="LK160" s="67"/>
      <c r="LL160" s="67"/>
      <c r="LM160" s="67"/>
      <c r="LN160" s="67"/>
      <c r="LO160" s="67"/>
      <c r="LP160" s="67"/>
      <c r="LQ160" s="67"/>
      <c r="LR160" s="67"/>
      <c r="LS160" s="67"/>
      <c r="LT160" s="67"/>
      <c r="LU160" s="67"/>
      <c r="LV160" s="67"/>
      <c r="LW160" s="67"/>
      <c r="LX160" s="67"/>
      <c r="LY160" s="67"/>
      <c r="LZ160" s="67"/>
      <c r="MA160" s="67"/>
      <c r="MB160" s="67"/>
    </row>
    <row r="161" spans="1:340" s="50" customFormat="1" ht="15.75" hidden="1" customHeight="1" thickBot="1">
      <c r="A161" s="44">
        <v>3</v>
      </c>
      <c r="B161" s="88" t="s">
        <v>33</v>
      </c>
      <c r="C161" s="85" t="s">
        <v>34</v>
      </c>
      <c r="D161" s="86" t="s">
        <v>35</v>
      </c>
      <c r="E161" s="130" t="s">
        <v>36</v>
      </c>
      <c r="F161" s="87" t="s">
        <v>24</v>
      </c>
      <c r="G161" s="139"/>
      <c r="H161" s="68"/>
      <c r="I161" s="68"/>
      <c r="J161" s="68"/>
      <c r="K161" s="68"/>
      <c r="L161" s="68"/>
      <c r="M161" s="68"/>
      <c r="N161" s="68"/>
      <c r="O161" s="68"/>
      <c r="P161" s="68" t="s">
        <v>26</v>
      </c>
      <c r="Q161" s="68"/>
      <c r="R161" s="68" t="s">
        <v>41</v>
      </c>
      <c r="S161" s="68"/>
      <c r="T161" s="68"/>
      <c r="U161" s="68"/>
      <c r="V161" s="68"/>
      <c r="W161" s="68"/>
      <c r="X161" s="68" t="s">
        <v>27</v>
      </c>
      <c r="Y161" s="68"/>
      <c r="Z161" s="153"/>
      <c r="AA161" s="68" t="s">
        <v>26</v>
      </c>
      <c r="AB161" s="68"/>
      <c r="AC161" s="68" t="s">
        <v>41</v>
      </c>
      <c r="AD161" s="68"/>
      <c r="AE161" s="68"/>
      <c r="AF161" s="68"/>
      <c r="AG161" s="68"/>
      <c r="AH161" s="68"/>
      <c r="AI161" s="68" t="s">
        <v>57</v>
      </c>
      <c r="AJ161" s="153"/>
      <c r="AK161" s="68" t="s">
        <v>26</v>
      </c>
      <c r="AL161" s="68"/>
      <c r="AM161" s="68" t="s">
        <v>41</v>
      </c>
      <c r="AN161" s="68"/>
      <c r="AO161" s="68"/>
      <c r="AP161" s="68"/>
      <c r="AQ161" s="68"/>
      <c r="AR161" s="68"/>
      <c r="AS161" s="68"/>
      <c r="AT161" s="68" t="s">
        <v>57</v>
      </c>
      <c r="AU161" s="68"/>
      <c r="AV161" s="68"/>
      <c r="AW161" s="68"/>
      <c r="AX161" s="68" t="s">
        <v>26</v>
      </c>
      <c r="AY161" s="68"/>
      <c r="AZ161" s="68"/>
      <c r="BA161" s="68"/>
      <c r="BB161" s="68"/>
      <c r="BC161" s="68"/>
      <c r="BD161" s="68"/>
      <c r="BE161" s="68"/>
      <c r="BF161" s="68"/>
      <c r="BG161" s="68" t="s">
        <v>27</v>
      </c>
      <c r="BH161" s="68" t="s">
        <v>37</v>
      </c>
      <c r="BI161" s="67"/>
      <c r="BJ161" s="67"/>
      <c r="BK161" s="67"/>
      <c r="BL161" s="67"/>
      <c r="BM161" s="67"/>
      <c r="BN161" s="67"/>
      <c r="BO161" s="67"/>
      <c r="BP161" s="67"/>
      <c r="BQ161" s="67"/>
      <c r="BR161" s="67"/>
      <c r="BS161" s="67"/>
      <c r="BT161" s="67"/>
      <c r="BU161" s="67"/>
      <c r="BV161" s="67"/>
      <c r="BW161" s="67"/>
      <c r="BX161" s="67"/>
      <c r="BY161" s="67"/>
      <c r="BZ161" s="67"/>
      <c r="CA161" s="67"/>
      <c r="CB161" s="67"/>
      <c r="CC161" s="67"/>
      <c r="CD161" s="67"/>
      <c r="CE161" s="67"/>
      <c r="CF161" s="67"/>
      <c r="CG161" s="67"/>
      <c r="CH161" s="67"/>
      <c r="CI161" s="67"/>
      <c r="CJ161" s="67"/>
      <c r="CK161" s="67"/>
      <c r="CL161" s="67"/>
      <c r="CM161" s="67"/>
      <c r="CN161" s="67"/>
      <c r="CO161" s="67"/>
      <c r="CP161" s="67"/>
      <c r="CQ161" s="67"/>
      <c r="CR161" s="67"/>
      <c r="CS161" s="67"/>
      <c r="CT161" s="67"/>
      <c r="CU161" s="67"/>
      <c r="CV161" s="67"/>
      <c r="CW161" s="67"/>
      <c r="CX161" s="67"/>
      <c r="CY161" s="67"/>
      <c r="CZ161" s="67"/>
      <c r="DA161" s="67"/>
      <c r="DB161" s="67"/>
      <c r="DC161" s="67"/>
      <c r="DD161" s="67"/>
      <c r="DE161" s="67"/>
      <c r="DF161" s="67"/>
      <c r="DG161" s="67"/>
      <c r="DH161" s="67"/>
      <c r="DI161" s="67"/>
      <c r="DJ161" s="67"/>
      <c r="DK161" s="67"/>
      <c r="DL161" s="67"/>
      <c r="DM161" s="67"/>
      <c r="DN161" s="67"/>
      <c r="DO161" s="67"/>
      <c r="DP161" s="67"/>
      <c r="DQ161" s="67"/>
      <c r="DR161" s="67"/>
      <c r="DS161" s="67"/>
      <c r="DT161" s="67"/>
      <c r="DU161" s="67"/>
      <c r="DV161" s="67"/>
      <c r="DW161" s="67"/>
      <c r="DX161" s="67"/>
      <c r="DY161" s="67"/>
      <c r="DZ161" s="67"/>
      <c r="EA161" s="67"/>
      <c r="EB161" s="67"/>
      <c r="EC161" s="67"/>
      <c r="ED161" s="67"/>
      <c r="EE161" s="67"/>
      <c r="EF161" s="67"/>
      <c r="EG161" s="67"/>
      <c r="EH161" s="67"/>
      <c r="EI161" s="67"/>
      <c r="EJ161" s="67"/>
      <c r="EK161" s="67"/>
      <c r="EL161" s="67"/>
      <c r="EM161" s="67"/>
      <c r="EN161" s="67"/>
      <c r="EO161" s="67"/>
      <c r="EP161" s="67"/>
      <c r="EQ161" s="67"/>
      <c r="ER161" s="67"/>
      <c r="ES161" s="67"/>
      <c r="ET161" s="67"/>
      <c r="EU161" s="67"/>
      <c r="EV161" s="67"/>
      <c r="EW161" s="67"/>
      <c r="EX161" s="67"/>
      <c r="EY161" s="67"/>
      <c r="EZ161" s="67"/>
      <c r="FA161" s="67"/>
      <c r="FB161" s="67"/>
      <c r="FC161" s="67"/>
      <c r="FD161" s="67"/>
      <c r="FE161" s="67"/>
      <c r="FF161" s="67"/>
      <c r="FG161" s="67"/>
      <c r="FH161" s="67"/>
      <c r="FI161" s="67"/>
      <c r="FJ161" s="67"/>
      <c r="FK161" s="67"/>
      <c r="FL161" s="67"/>
      <c r="FM161" s="67"/>
      <c r="FN161" s="67"/>
      <c r="FO161" s="67"/>
      <c r="FP161" s="67"/>
      <c r="FQ161" s="67"/>
      <c r="FR161" s="67"/>
      <c r="FS161" s="67"/>
      <c r="FT161" s="67"/>
      <c r="FU161" s="67"/>
      <c r="FV161" s="67"/>
      <c r="FW161" s="67"/>
      <c r="FX161" s="67"/>
      <c r="FY161" s="67"/>
      <c r="FZ161" s="67"/>
      <c r="GA161" s="67"/>
      <c r="GB161" s="67"/>
      <c r="GC161" s="67"/>
      <c r="GD161" s="67"/>
      <c r="GE161" s="67"/>
      <c r="GF161" s="67"/>
      <c r="GG161" s="67"/>
      <c r="GH161" s="67"/>
      <c r="GI161" s="67"/>
      <c r="GJ161" s="67"/>
      <c r="GK161" s="67"/>
      <c r="GL161" s="67"/>
      <c r="GM161" s="67"/>
      <c r="GN161" s="67"/>
      <c r="GO161" s="67"/>
      <c r="GP161" s="67"/>
      <c r="GQ161" s="67"/>
      <c r="GR161" s="67"/>
      <c r="GS161" s="67"/>
      <c r="GT161" s="67"/>
      <c r="GU161" s="67"/>
      <c r="GV161" s="67"/>
      <c r="GW161" s="67"/>
      <c r="GX161" s="67"/>
      <c r="GY161" s="67"/>
      <c r="GZ161" s="67"/>
      <c r="HA161" s="67"/>
      <c r="HB161" s="67"/>
      <c r="HC161" s="67"/>
      <c r="HD161" s="67"/>
      <c r="HE161" s="67"/>
      <c r="HF161" s="67"/>
      <c r="HG161" s="67"/>
      <c r="HH161" s="67"/>
      <c r="HI161" s="67"/>
      <c r="HJ161" s="67"/>
      <c r="HK161" s="67"/>
      <c r="HL161" s="67"/>
      <c r="HM161" s="67"/>
      <c r="HN161" s="67"/>
      <c r="HO161" s="67"/>
      <c r="HP161" s="67"/>
      <c r="HQ161" s="67"/>
      <c r="HR161" s="67"/>
      <c r="HS161" s="67"/>
      <c r="HT161" s="67"/>
      <c r="HU161" s="67"/>
      <c r="HV161" s="67"/>
      <c r="HW161" s="67"/>
      <c r="HX161" s="67"/>
      <c r="HY161" s="67"/>
      <c r="HZ161" s="67"/>
      <c r="IA161" s="67"/>
      <c r="IB161" s="67"/>
      <c r="IC161" s="67"/>
      <c r="ID161" s="67"/>
      <c r="IE161" s="67"/>
      <c r="IF161" s="67"/>
      <c r="IG161" s="67"/>
      <c r="IH161" s="67"/>
      <c r="II161" s="67"/>
      <c r="IJ161" s="67"/>
      <c r="IK161" s="67"/>
      <c r="IL161" s="67"/>
      <c r="IM161" s="67"/>
      <c r="IN161" s="67"/>
      <c r="IO161" s="67"/>
      <c r="IP161" s="67"/>
      <c r="IQ161" s="67"/>
      <c r="IR161" s="67"/>
      <c r="IS161" s="67"/>
      <c r="IT161" s="67"/>
      <c r="IU161" s="67"/>
      <c r="IV161" s="67"/>
      <c r="IW161" s="67"/>
      <c r="IX161" s="67"/>
      <c r="IY161" s="67"/>
      <c r="IZ161" s="67"/>
      <c r="JA161" s="67"/>
      <c r="JB161" s="67"/>
      <c r="JC161" s="67"/>
      <c r="JD161" s="67"/>
      <c r="JE161" s="67"/>
      <c r="JF161" s="67"/>
      <c r="JG161" s="67"/>
      <c r="JH161" s="67"/>
      <c r="JI161" s="67"/>
      <c r="JJ161" s="67"/>
      <c r="JK161" s="67"/>
      <c r="JL161" s="67"/>
      <c r="JM161" s="67"/>
      <c r="JN161" s="67"/>
      <c r="JO161" s="67"/>
      <c r="JP161" s="67"/>
      <c r="JQ161" s="67"/>
      <c r="JR161" s="67"/>
      <c r="JS161" s="67"/>
      <c r="JT161" s="67"/>
      <c r="JU161" s="67"/>
      <c r="JV161" s="67"/>
      <c r="JW161" s="67"/>
      <c r="JX161" s="67"/>
      <c r="JY161" s="67"/>
      <c r="JZ161" s="67"/>
      <c r="KA161" s="67"/>
      <c r="KB161" s="67"/>
      <c r="KC161" s="67"/>
      <c r="KD161" s="67"/>
      <c r="KE161" s="67"/>
      <c r="KF161" s="67"/>
      <c r="KG161" s="67"/>
      <c r="KH161" s="67"/>
      <c r="KI161" s="67"/>
      <c r="KJ161" s="67"/>
      <c r="KK161" s="67"/>
      <c r="KL161" s="67"/>
      <c r="KM161" s="67"/>
      <c r="KN161" s="67"/>
      <c r="KO161" s="67"/>
      <c r="KP161" s="67"/>
      <c r="KQ161" s="67"/>
      <c r="KR161" s="67"/>
      <c r="KS161" s="67"/>
      <c r="KT161" s="67"/>
      <c r="KU161" s="67"/>
      <c r="KV161" s="67"/>
      <c r="KW161" s="67"/>
      <c r="KX161" s="67"/>
      <c r="KY161" s="67"/>
      <c r="KZ161" s="67"/>
      <c r="LA161" s="67"/>
      <c r="LB161" s="67"/>
      <c r="LC161" s="67"/>
      <c r="LD161" s="67"/>
      <c r="LE161" s="67"/>
      <c r="LF161" s="67"/>
      <c r="LG161" s="67"/>
      <c r="LH161" s="67"/>
      <c r="LI161" s="67"/>
      <c r="LJ161" s="67"/>
      <c r="LK161" s="67"/>
      <c r="LL161" s="67"/>
      <c r="LM161" s="67"/>
      <c r="LN161" s="67"/>
      <c r="LO161" s="67"/>
      <c r="LP161" s="67"/>
      <c r="LQ161" s="67"/>
      <c r="LR161" s="67"/>
      <c r="LS161" s="67"/>
      <c r="LT161" s="67"/>
      <c r="LU161" s="67"/>
      <c r="LV161" s="67"/>
      <c r="LW161" s="67"/>
      <c r="LX161" s="67"/>
      <c r="LY161" s="67"/>
      <c r="LZ161" s="67"/>
      <c r="MA161" s="67"/>
      <c r="MB161" s="67"/>
    </row>
    <row r="162" spans="1:340" s="50" customFormat="1" ht="15.75" hidden="1" customHeight="1" thickBot="1">
      <c r="A162" s="44">
        <v>3</v>
      </c>
      <c r="B162" s="88" t="s">
        <v>149</v>
      </c>
      <c r="C162" s="85" t="s">
        <v>277</v>
      </c>
      <c r="D162" s="86" t="s">
        <v>45</v>
      </c>
      <c r="E162" s="130" t="s">
        <v>46</v>
      </c>
      <c r="F162" s="87" t="s">
        <v>24</v>
      </c>
      <c r="G162" s="139"/>
      <c r="H162" s="68"/>
      <c r="I162" s="68"/>
      <c r="J162" s="68"/>
      <c r="K162" s="68" t="s">
        <v>41</v>
      </c>
      <c r="L162" s="68"/>
      <c r="M162" s="68"/>
      <c r="N162" s="68"/>
      <c r="O162" s="68"/>
      <c r="P162" s="68"/>
      <c r="Q162" s="68"/>
      <c r="R162" s="68"/>
      <c r="S162" s="68" t="s">
        <v>41</v>
      </c>
      <c r="T162" s="68"/>
      <c r="U162" s="68"/>
      <c r="V162" s="68"/>
      <c r="W162" s="153"/>
      <c r="X162" s="68" t="s">
        <v>41</v>
      </c>
      <c r="Y162" s="68"/>
      <c r="Z162" s="68"/>
      <c r="AA162" s="68"/>
      <c r="AB162" s="153"/>
      <c r="AC162" s="68" t="s">
        <v>41</v>
      </c>
      <c r="AD162" s="68"/>
      <c r="AE162" s="68"/>
      <c r="AF162" s="68"/>
      <c r="AG162" s="153"/>
      <c r="AH162" s="68" t="s">
        <v>41</v>
      </c>
      <c r="AI162" s="68"/>
      <c r="AJ162" s="68"/>
      <c r="AK162" s="68"/>
      <c r="AL162" s="68"/>
      <c r="AM162" s="68"/>
      <c r="AN162" s="153"/>
      <c r="AO162" s="68" t="s">
        <v>41</v>
      </c>
      <c r="AP162" s="68"/>
      <c r="AQ162" s="68"/>
      <c r="AR162" s="68"/>
      <c r="AS162" s="153"/>
      <c r="AT162" s="68" t="s">
        <v>41</v>
      </c>
      <c r="AU162" s="68"/>
      <c r="AV162" s="68"/>
      <c r="AW162" s="68"/>
      <c r="AX162" s="153"/>
      <c r="AY162" s="153"/>
      <c r="AZ162" s="68" t="s">
        <v>41</v>
      </c>
      <c r="BA162" s="68"/>
      <c r="BB162" s="68"/>
      <c r="BC162" s="68"/>
      <c r="BD162" s="68"/>
      <c r="BE162" s="68" t="s">
        <v>26</v>
      </c>
      <c r="BF162" s="68"/>
      <c r="BG162" s="68" t="s">
        <v>41</v>
      </c>
      <c r="BH162" s="68" t="s">
        <v>37</v>
      </c>
      <c r="BI162" s="67"/>
      <c r="BJ162" s="67"/>
      <c r="BK162" s="67"/>
      <c r="BL162" s="67"/>
      <c r="BM162" s="67"/>
      <c r="BN162" s="67"/>
      <c r="BO162" s="67"/>
      <c r="BP162" s="67"/>
      <c r="BQ162" s="67"/>
      <c r="BR162" s="67"/>
      <c r="BS162" s="67"/>
      <c r="BT162" s="67"/>
      <c r="BU162" s="67"/>
      <c r="BV162" s="67"/>
      <c r="BW162" s="67"/>
      <c r="BX162" s="67"/>
      <c r="BY162" s="67"/>
      <c r="BZ162" s="67"/>
      <c r="CA162" s="67"/>
      <c r="CB162" s="67"/>
      <c r="CC162" s="67"/>
      <c r="CD162" s="67"/>
      <c r="CE162" s="67"/>
      <c r="CF162" s="67"/>
      <c r="CG162" s="67"/>
      <c r="CH162" s="67"/>
      <c r="CI162" s="67"/>
      <c r="CJ162" s="67"/>
      <c r="CK162" s="67"/>
      <c r="CL162" s="67"/>
      <c r="CM162" s="67"/>
      <c r="CN162" s="67"/>
      <c r="CO162" s="67"/>
      <c r="CP162" s="67"/>
      <c r="CQ162" s="67"/>
      <c r="CR162" s="67"/>
      <c r="CS162" s="67"/>
      <c r="CT162" s="67"/>
      <c r="CU162" s="67"/>
      <c r="CV162" s="67"/>
      <c r="CW162" s="67"/>
      <c r="CX162" s="67"/>
      <c r="CY162" s="67"/>
      <c r="CZ162" s="67"/>
      <c r="DA162" s="67"/>
      <c r="DB162" s="67"/>
      <c r="DC162" s="67"/>
      <c r="DD162" s="67"/>
      <c r="DE162" s="67"/>
      <c r="DF162" s="67"/>
      <c r="DG162" s="67"/>
      <c r="DH162" s="67"/>
      <c r="DI162" s="67"/>
      <c r="DJ162" s="67"/>
      <c r="DK162" s="67"/>
      <c r="DL162" s="67"/>
      <c r="DM162" s="67"/>
      <c r="DN162" s="67"/>
      <c r="DO162" s="67"/>
      <c r="DP162" s="67"/>
      <c r="DQ162" s="67"/>
      <c r="DR162" s="67"/>
      <c r="DS162" s="67"/>
      <c r="DT162" s="67"/>
      <c r="DU162" s="67"/>
      <c r="DV162" s="67"/>
      <c r="DW162" s="67"/>
      <c r="DX162" s="67"/>
      <c r="DY162" s="67"/>
      <c r="DZ162" s="67"/>
      <c r="EA162" s="67"/>
      <c r="EB162" s="67"/>
      <c r="EC162" s="67"/>
      <c r="ED162" s="67"/>
      <c r="EE162" s="67"/>
      <c r="EF162" s="67"/>
      <c r="EG162" s="67"/>
      <c r="EH162" s="67"/>
      <c r="EI162" s="67"/>
      <c r="EJ162" s="67"/>
      <c r="EK162" s="67"/>
      <c r="EL162" s="67"/>
      <c r="EM162" s="67"/>
      <c r="EN162" s="67"/>
      <c r="EO162" s="67"/>
      <c r="EP162" s="67"/>
      <c r="EQ162" s="67"/>
      <c r="ER162" s="67"/>
      <c r="ES162" s="67"/>
      <c r="ET162" s="67"/>
      <c r="EU162" s="67"/>
      <c r="EV162" s="67"/>
      <c r="EW162" s="67"/>
      <c r="EX162" s="67"/>
      <c r="EY162" s="67"/>
      <c r="EZ162" s="67"/>
      <c r="FA162" s="67"/>
      <c r="FB162" s="67"/>
      <c r="FC162" s="67"/>
      <c r="FD162" s="67"/>
      <c r="FE162" s="67"/>
      <c r="FF162" s="67"/>
      <c r="FG162" s="67"/>
      <c r="FH162" s="67"/>
      <c r="FI162" s="67"/>
      <c r="FJ162" s="67"/>
      <c r="FK162" s="67"/>
      <c r="FL162" s="67"/>
      <c r="FM162" s="67"/>
      <c r="FN162" s="67"/>
      <c r="FO162" s="67"/>
      <c r="FP162" s="67"/>
      <c r="FQ162" s="67"/>
      <c r="FR162" s="67"/>
      <c r="FS162" s="67"/>
      <c r="FT162" s="67"/>
      <c r="FU162" s="67"/>
      <c r="FV162" s="67"/>
      <c r="FW162" s="67"/>
      <c r="FX162" s="67"/>
      <c r="FY162" s="67"/>
      <c r="FZ162" s="67"/>
      <c r="GA162" s="67"/>
      <c r="GB162" s="67"/>
      <c r="GC162" s="67"/>
      <c r="GD162" s="67"/>
      <c r="GE162" s="67"/>
      <c r="GF162" s="67"/>
      <c r="GG162" s="67"/>
      <c r="GH162" s="67"/>
      <c r="GI162" s="67"/>
      <c r="GJ162" s="67"/>
      <c r="GK162" s="67"/>
      <c r="GL162" s="67"/>
      <c r="GM162" s="67"/>
      <c r="GN162" s="67"/>
      <c r="GO162" s="67"/>
      <c r="GP162" s="67"/>
      <c r="GQ162" s="67"/>
      <c r="GR162" s="67"/>
      <c r="GS162" s="67"/>
      <c r="GT162" s="67"/>
      <c r="GU162" s="67"/>
      <c r="GV162" s="67"/>
      <c r="GW162" s="67"/>
      <c r="GX162" s="67"/>
      <c r="GY162" s="67"/>
      <c r="GZ162" s="67"/>
      <c r="HA162" s="67"/>
      <c r="HB162" s="67"/>
      <c r="HC162" s="67"/>
      <c r="HD162" s="67"/>
      <c r="HE162" s="67"/>
      <c r="HF162" s="67"/>
      <c r="HG162" s="67"/>
      <c r="HH162" s="67"/>
      <c r="HI162" s="67"/>
      <c r="HJ162" s="67"/>
      <c r="HK162" s="67"/>
      <c r="HL162" s="67"/>
      <c r="HM162" s="67"/>
      <c r="HN162" s="67"/>
      <c r="HO162" s="67"/>
      <c r="HP162" s="67"/>
      <c r="HQ162" s="67"/>
      <c r="HR162" s="67"/>
      <c r="HS162" s="67"/>
      <c r="HT162" s="67"/>
      <c r="HU162" s="67"/>
      <c r="HV162" s="67"/>
      <c r="HW162" s="67"/>
      <c r="HX162" s="67"/>
      <c r="HY162" s="67"/>
      <c r="HZ162" s="67"/>
      <c r="IA162" s="67"/>
      <c r="IB162" s="67"/>
      <c r="IC162" s="67"/>
      <c r="ID162" s="67"/>
      <c r="IE162" s="67"/>
      <c r="IF162" s="67"/>
      <c r="IG162" s="67"/>
      <c r="IH162" s="67"/>
      <c r="II162" s="67"/>
      <c r="IJ162" s="67"/>
      <c r="IK162" s="67"/>
      <c r="IL162" s="67"/>
      <c r="IM162" s="67"/>
      <c r="IN162" s="67"/>
      <c r="IO162" s="67"/>
      <c r="IP162" s="67"/>
      <c r="IQ162" s="67"/>
      <c r="IR162" s="67"/>
      <c r="IS162" s="67"/>
      <c r="IT162" s="67"/>
      <c r="IU162" s="67"/>
      <c r="IV162" s="67"/>
      <c r="IW162" s="67"/>
      <c r="IX162" s="67"/>
      <c r="IY162" s="67"/>
      <c r="IZ162" s="67"/>
      <c r="JA162" s="67"/>
      <c r="JB162" s="67"/>
      <c r="JC162" s="67"/>
      <c r="JD162" s="67"/>
      <c r="JE162" s="67"/>
      <c r="JF162" s="67"/>
      <c r="JG162" s="67"/>
      <c r="JH162" s="67"/>
      <c r="JI162" s="67"/>
      <c r="JJ162" s="67"/>
      <c r="JK162" s="67"/>
      <c r="JL162" s="67"/>
      <c r="JM162" s="67"/>
      <c r="JN162" s="67"/>
      <c r="JO162" s="67"/>
      <c r="JP162" s="67"/>
      <c r="JQ162" s="67"/>
      <c r="JR162" s="67"/>
      <c r="JS162" s="67"/>
      <c r="JT162" s="67"/>
      <c r="JU162" s="67"/>
      <c r="JV162" s="67"/>
      <c r="JW162" s="67"/>
      <c r="JX162" s="67"/>
      <c r="JY162" s="67"/>
      <c r="JZ162" s="67"/>
      <c r="KA162" s="67"/>
      <c r="KB162" s="67"/>
      <c r="KC162" s="67"/>
      <c r="KD162" s="67"/>
      <c r="KE162" s="67"/>
      <c r="KF162" s="67"/>
      <c r="KG162" s="67"/>
      <c r="KH162" s="67"/>
      <c r="KI162" s="67"/>
      <c r="KJ162" s="67"/>
      <c r="KK162" s="67"/>
      <c r="KL162" s="67"/>
      <c r="KM162" s="67"/>
      <c r="KN162" s="67"/>
      <c r="KO162" s="67"/>
      <c r="KP162" s="67"/>
      <c r="KQ162" s="67"/>
      <c r="KR162" s="67"/>
      <c r="KS162" s="67"/>
      <c r="KT162" s="67"/>
      <c r="KU162" s="67"/>
      <c r="KV162" s="67"/>
      <c r="KW162" s="67"/>
      <c r="KX162" s="67"/>
      <c r="KY162" s="67"/>
      <c r="KZ162" s="67"/>
      <c r="LA162" s="67"/>
      <c r="LB162" s="67"/>
      <c r="LC162" s="67"/>
      <c r="LD162" s="67"/>
      <c r="LE162" s="67"/>
      <c r="LF162" s="67"/>
      <c r="LG162" s="67"/>
      <c r="LH162" s="67"/>
      <c r="LI162" s="67"/>
      <c r="LJ162" s="67"/>
      <c r="LK162" s="67"/>
      <c r="LL162" s="67"/>
      <c r="LM162" s="67"/>
      <c r="LN162" s="67"/>
      <c r="LO162" s="67"/>
      <c r="LP162" s="67"/>
      <c r="LQ162" s="67"/>
      <c r="LR162" s="67"/>
      <c r="LS162" s="67"/>
      <c r="LT162" s="67"/>
      <c r="LU162" s="67"/>
      <c r="LV162" s="67"/>
      <c r="LW162" s="67"/>
      <c r="LX162" s="67"/>
      <c r="LY162" s="67"/>
      <c r="LZ162" s="67"/>
      <c r="MA162" s="67"/>
      <c r="MB162" s="67"/>
    </row>
    <row r="163" spans="1:340" s="90" customFormat="1" ht="15.75" hidden="1" customHeight="1" thickBot="1">
      <c r="A163" s="44">
        <v>3</v>
      </c>
      <c r="B163" s="88" t="s">
        <v>278</v>
      </c>
      <c r="C163" s="85" t="s">
        <v>112</v>
      </c>
      <c r="D163" s="86" t="s">
        <v>35</v>
      </c>
      <c r="E163" s="130" t="s">
        <v>40</v>
      </c>
      <c r="F163" s="87" t="s">
        <v>24</v>
      </c>
      <c r="G163" s="139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 t="s">
        <v>25</v>
      </c>
      <c r="U163" s="153"/>
      <c r="V163" s="68" t="s">
        <v>26</v>
      </c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153"/>
      <c r="AK163" s="68"/>
      <c r="AL163" s="68"/>
      <c r="AM163" s="68"/>
      <c r="AN163" s="68" t="s">
        <v>27</v>
      </c>
      <c r="AO163" s="68"/>
      <c r="AP163" s="68"/>
      <c r="AQ163" s="68"/>
      <c r="AR163" s="68" t="s">
        <v>26</v>
      </c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 t="s">
        <v>27</v>
      </c>
      <c r="BJ163" s="68" t="s">
        <v>37</v>
      </c>
      <c r="BK163" s="67"/>
      <c r="BL163" s="67"/>
      <c r="BM163" s="67"/>
      <c r="BN163" s="67"/>
      <c r="BO163" s="67"/>
      <c r="BP163" s="67"/>
      <c r="BQ163" s="67"/>
      <c r="BR163" s="67"/>
      <c r="BS163" s="67"/>
      <c r="BT163" s="67"/>
      <c r="BU163" s="67"/>
      <c r="BV163" s="67"/>
      <c r="BW163" s="67"/>
      <c r="BX163" s="67"/>
      <c r="BY163" s="67"/>
      <c r="BZ163" s="67"/>
      <c r="CA163" s="67"/>
      <c r="CB163" s="67"/>
      <c r="CC163" s="67"/>
      <c r="CD163" s="67"/>
      <c r="CE163" s="67"/>
      <c r="CF163" s="67"/>
      <c r="CG163" s="67"/>
      <c r="CH163" s="67"/>
      <c r="CI163" s="67"/>
      <c r="CJ163" s="67"/>
      <c r="CK163" s="67"/>
      <c r="CL163" s="67"/>
      <c r="CM163" s="67"/>
      <c r="CN163" s="67"/>
      <c r="CO163" s="67"/>
      <c r="CP163" s="67"/>
      <c r="CQ163" s="67"/>
      <c r="CR163" s="67"/>
      <c r="CS163" s="67"/>
      <c r="CT163" s="67"/>
      <c r="CU163" s="67"/>
      <c r="CV163" s="67"/>
      <c r="CW163" s="67"/>
      <c r="CX163" s="67"/>
      <c r="CY163" s="67"/>
      <c r="CZ163" s="67"/>
      <c r="DA163" s="67"/>
      <c r="DB163" s="67"/>
      <c r="DC163" s="67"/>
      <c r="DD163" s="67"/>
      <c r="DE163" s="67"/>
      <c r="DF163" s="67"/>
      <c r="DG163" s="67"/>
      <c r="DH163" s="67"/>
      <c r="DI163" s="67"/>
      <c r="DJ163" s="67"/>
      <c r="DK163" s="67"/>
      <c r="DL163" s="67"/>
      <c r="DM163" s="67"/>
      <c r="DN163" s="67"/>
      <c r="DO163" s="67"/>
      <c r="DP163" s="67"/>
      <c r="DQ163" s="67"/>
      <c r="DR163" s="67"/>
      <c r="DS163" s="67"/>
      <c r="DT163" s="67"/>
      <c r="DU163" s="67"/>
      <c r="DV163" s="67"/>
      <c r="DW163" s="67"/>
      <c r="DX163" s="67"/>
      <c r="DY163" s="67"/>
      <c r="DZ163" s="67"/>
      <c r="EA163" s="67"/>
      <c r="EB163" s="67"/>
      <c r="EC163" s="67"/>
      <c r="ED163" s="67"/>
      <c r="EE163" s="67"/>
      <c r="EF163" s="67"/>
      <c r="EG163" s="67"/>
      <c r="EH163" s="67"/>
      <c r="EI163" s="67"/>
      <c r="EJ163" s="67"/>
      <c r="EK163" s="67"/>
      <c r="EL163" s="67"/>
      <c r="EM163" s="67"/>
      <c r="EN163" s="67"/>
      <c r="EO163" s="67"/>
      <c r="EP163" s="67"/>
      <c r="EQ163" s="67"/>
      <c r="ER163" s="67"/>
      <c r="ES163" s="67"/>
      <c r="ET163" s="67"/>
      <c r="EU163" s="67"/>
      <c r="EV163" s="67"/>
      <c r="EW163" s="67"/>
      <c r="EX163" s="67"/>
      <c r="EY163" s="67"/>
      <c r="EZ163" s="67"/>
      <c r="FA163" s="67"/>
      <c r="FB163" s="67"/>
      <c r="FC163" s="67"/>
      <c r="FD163" s="67"/>
      <c r="FE163" s="67"/>
      <c r="FF163" s="67"/>
      <c r="FG163" s="67"/>
      <c r="FH163" s="67"/>
      <c r="FI163" s="67"/>
      <c r="FJ163" s="67"/>
      <c r="FK163" s="67"/>
      <c r="FL163" s="67"/>
      <c r="FM163" s="67"/>
      <c r="FN163" s="67"/>
      <c r="FO163" s="6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67"/>
      <c r="GI163" s="67"/>
      <c r="GJ163" s="67"/>
      <c r="GK163" s="67"/>
      <c r="GL163" s="67"/>
      <c r="GM163" s="67"/>
      <c r="GN163" s="67"/>
      <c r="GO163" s="67"/>
      <c r="GP163" s="67"/>
      <c r="GQ163" s="67"/>
      <c r="GR163" s="67"/>
      <c r="GS163" s="67"/>
      <c r="GT163" s="67"/>
      <c r="GU163" s="67"/>
      <c r="GV163" s="67"/>
      <c r="GW163" s="67"/>
      <c r="GX163" s="67"/>
      <c r="GY163" s="67"/>
      <c r="GZ163" s="67"/>
      <c r="HA163" s="67"/>
      <c r="HB163" s="67"/>
      <c r="HC163" s="67"/>
      <c r="HD163" s="67"/>
      <c r="HE163" s="67"/>
      <c r="HF163" s="67"/>
      <c r="HG163" s="67"/>
      <c r="HH163" s="67"/>
      <c r="HI163" s="67"/>
      <c r="HJ163" s="67"/>
      <c r="HK163" s="67"/>
      <c r="HL163" s="67"/>
      <c r="HM163" s="67"/>
      <c r="HN163" s="67"/>
      <c r="HO163" s="67"/>
      <c r="HP163" s="67"/>
      <c r="HQ163" s="67"/>
      <c r="HR163" s="67"/>
      <c r="HS163" s="67"/>
      <c r="HT163" s="67"/>
      <c r="HU163" s="67"/>
      <c r="HV163" s="67"/>
      <c r="HW163" s="67"/>
      <c r="HX163" s="67"/>
      <c r="HY163" s="67"/>
      <c r="HZ163" s="67"/>
      <c r="IA163" s="67"/>
      <c r="IB163" s="67"/>
      <c r="IC163" s="67"/>
      <c r="ID163" s="67"/>
      <c r="IE163" s="67"/>
      <c r="IF163" s="67"/>
      <c r="IG163" s="67"/>
      <c r="IH163" s="67"/>
      <c r="II163" s="67"/>
      <c r="IJ163" s="67"/>
      <c r="IK163" s="67"/>
      <c r="IL163" s="67"/>
      <c r="IM163" s="67"/>
      <c r="IN163" s="67"/>
      <c r="IO163" s="67"/>
      <c r="IP163" s="67"/>
      <c r="IQ163" s="67"/>
      <c r="IR163" s="67"/>
      <c r="IS163" s="67"/>
      <c r="IT163" s="67"/>
      <c r="IU163" s="67"/>
      <c r="IV163" s="67"/>
      <c r="IW163" s="67"/>
      <c r="IX163" s="67"/>
      <c r="IY163" s="67"/>
      <c r="IZ163" s="67"/>
      <c r="JA163" s="67"/>
      <c r="JB163" s="67"/>
      <c r="JC163" s="67"/>
      <c r="JD163" s="67"/>
      <c r="JE163" s="67"/>
      <c r="JF163" s="67"/>
      <c r="JG163" s="67"/>
      <c r="JH163" s="67"/>
      <c r="JI163" s="67"/>
      <c r="JJ163" s="67"/>
      <c r="JK163" s="67"/>
      <c r="JL163" s="67"/>
      <c r="JM163" s="67"/>
      <c r="JN163" s="67"/>
      <c r="JO163" s="67"/>
      <c r="JP163" s="67"/>
      <c r="JQ163" s="67"/>
      <c r="JR163" s="67"/>
      <c r="JS163" s="67"/>
      <c r="JT163" s="67"/>
      <c r="JU163" s="67"/>
      <c r="JV163" s="67"/>
      <c r="JW163" s="67"/>
      <c r="JX163" s="67"/>
      <c r="JY163" s="67"/>
      <c r="JZ163" s="67"/>
      <c r="KA163" s="67"/>
      <c r="KB163" s="67"/>
      <c r="KC163" s="67"/>
      <c r="KD163" s="67"/>
      <c r="KE163" s="67"/>
      <c r="KF163" s="67"/>
      <c r="KG163" s="67"/>
      <c r="KH163" s="67"/>
      <c r="KI163" s="67"/>
      <c r="KJ163" s="67"/>
      <c r="KK163" s="67"/>
      <c r="KL163" s="67"/>
      <c r="KM163" s="67"/>
      <c r="KN163" s="67"/>
      <c r="KO163" s="67"/>
      <c r="KP163" s="67"/>
      <c r="KQ163" s="67"/>
      <c r="KR163" s="67"/>
      <c r="KS163" s="67"/>
      <c r="KT163" s="67"/>
      <c r="KU163" s="67"/>
      <c r="KV163" s="67"/>
      <c r="KW163" s="67"/>
      <c r="KX163" s="67"/>
      <c r="KY163" s="67"/>
      <c r="KZ163" s="67"/>
      <c r="LA163" s="67"/>
      <c r="LB163" s="67"/>
      <c r="LC163" s="67"/>
      <c r="LD163" s="67"/>
      <c r="LE163" s="67"/>
      <c r="LF163" s="67"/>
      <c r="LG163" s="67"/>
      <c r="LH163" s="67"/>
      <c r="LI163" s="67"/>
      <c r="LJ163" s="67"/>
      <c r="LK163" s="67"/>
      <c r="LL163" s="67"/>
      <c r="LM163" s="67"/>
      <c r="LN163" s="67"/>
      <c r="LO163" s="67"/>
      <c r="LP163" s="67"/>
      <c r="LQ163" s="67"/>
      <c r="LR163" s="67"/>
      <c r="LS163" s="67"/>
      <c r="LT163" s="67"/>
      <c r="LU163" s="67"/>
      <c r="LV163" s="67"/>
      <c r="LW163" s="67"/>
      <c r="LX163" s="67"/>
      <c r="LY163" s="67"/>
      <c r="LZ163" s="67"/>
      <c r="MA163" s="67"/>
      <c r="MB163" s="67"/>
    </row>
    <row r="164" spans="1:340" s="50" customFormat="1" ht="15.75" hidden="1" customHeight="1" thickBot="1">
      <c r="A164" s="44">
        <v>3</v>
      </c>
      <c r="B164" s="88" t="s">
        <v>191</v>
      </c>
      <c r="C164" s="85" t="s">
        <v>70</v>
      </c>
      <c r="D164" s="86" t="s">
        <v>49</v>
      </c>
      <c r="E164" s="130" t="s">
        <v>78</v>
      </c>
      <c r="F164" s="87" t="s">
        <v>24</v>
      </c>
      <c r="G164" s="139"/>
      <c r="H164" s="68"/>
      <c r="I164" s="68"/>
      <c r="J164" s="68" t="s">
        <v>25</v>
      </c>
      <c r="K164" s="68"/>
      <c r="L164" s="68"/>
      <c r="M164" s="68" t="s">
        <v>26</v>
      </c>
      <c r="N164" s="68"/>
      <c r="O164" s="68" t="s">
        <v>27</v>
      </c>
      <c r="P164" s="68"/>
      <c r="Q164" s="68" t="s">
        <v>26</v>
      </c>
      <c r="R164" s="68" t="s">
        <v>27</v>
      </c>
      <c r="S164" s="68"/>
      <c r="T164" s="68" t="s">
        <v>26</v>
      </c>
      <c r="U164" s="68"/>
      <c r="V164" s="68" t="s">
        <v>27</v>
      </c>
      <c r="W164" s="68" t="s">
        <v>26</v>
      </c>
      <c r="X164" s="68" t="s">
        <v>28</v>
      </c>
      <c r="Y164" s="68"/>
      <c r="Z164" s="68" t="s">
        <v>26</v>
      </c>
      <c r="AA164" s="68" t="s">
        <v>27</v>
      </c>
      <c r="AB164" s="68"/>
      <c r="AC164" s="68" t="s">
        <v>26</v>
      </c>
      <c r="AD164" s="68" t="s">
        <v>27</v>
      </c>
      <c r="AE164" s="68"/>
      <c r="AF164" s="68" t="s">
        <v>26</v>
      </c>
      <c r="AG164" s="68" t="s">
        <v>28</v>
      </c>
      <c r="AH164" s="68"/>
      <c r="AI164" s="68" t="s">
        <v>26</v>
      </c>
      <c r="AJ164" s="68"/>
      <c r="AK164" s="68" t="s">
        <v>27</v>
      </c>
      <c r="AL164" s="68" t="s">
        <v>26</v>
      </c>
      <c r="AM164" s="68"/>
      <c r="AN164" s="68" t="s">
        <v>28</v>
      </c>
      <c r="AO164" s="68" t="s">
        <v>26</v>
      </c>
      <c r="AP164" s="68"/>
      <c r="AQ164" s="68" t="s">
        <v>27</v>
      </c>
      <c r="AR164" s="68" t="s">
        <v>26</v>
      </c>
      <c r="AS164" s="68" t="s">
        <v>27</v>
      </c>
      <c r="AT164" s="68"/>
      <c r="AU164" s="68" t="s">
        <v>26</v>
      </c>
      <c r="AV164" s="140"/>
      <c r="AW164" s="68" t="s">
        <v>28</v>
      </c>
      <c r="AX164" s="68"/>
      <c r="AY164" s="68" t="s">
        <v>26</v>
      </c>
      <c r="AZ164" s="68"/>
      <c r="BA164" s="68" t="s">
        <v>28</v>
      </c>
      <c r="BB164" s="68"/>
      <c r="BC164" s="68" t="s">
        <v>26</v>
      </c>
      <c r="BD164" s="68"/>
      <c r="BE164" s="68" t="s">
        <v>28</v>
      </c>
      <c r="BF164" s="68" t="s">
        <v>26</v>
      </c>
      <c r="BG164" s="68" t="s">
        <v>204</v>
      </c>
      <c r="BH164" s="68" t="s">
        <v>28</v>
      </c>
      <c r="BI164" s="68"/>
      <c r="BJ164" s="68" t="s">
        <v>26</v>
      </c>
      <c r="BK164" s="68" t="s">
        <v>37</v>
      </c>
      <c r="BL164" s="67"/>
      <c r="BM164" s="67"/>
      <c r="BN164" s="67"/>
      <c r="BO164" s="67"/>
      <c r="BP164" s="67"/>
      <c r="BQ164" s="67"/>
      <c r="BR164" s="67"/>
      <c r="BS164" s="67"/>
      <c r="BT164" s="67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/>
      <c r="CH164" s="67"/>
      <c r="CI164" s="67"/>
      <c r="CJ164" s="67"/>
      <c r="CK164" s="67"/>
      <c r="CL164" s="67"/>
      <c r="CM164" s="67"/>
      <c r="CN164" s="67"/>
      <c r="CO164" s="67"/>
      <c r="CP164" s="67"/>
      <c r="CQ164" s="67"/>
      <c r="CR164" s="67"/>
      <c r="CS164" s="67"/>
      <c r="CT164" s="67"/>
      <c r="CU164" s="67"/>
      <c r="CV164" s="67"/>
      <c r="CW164" s="67"/>
      <c r="CX164" s="67"/>
      <c r="CY164" s="67"/>
      <c r="CZ164" s="67"/>
      <c r="DA164" s="67"/>
      <c r="DB164" s="67"/>
      <c r="DC164" s="67"/>
      <c r="DD164" s="67"/>
      <c r="DE164" s="67"/>
      <c r="DF164" s="67"/>
      <c r="DG164" s="67"/>
      <c r="DH164" s="67"/>
      <c r="DI164" s="67"/>
      <c r="DJ164" s="67"/>
      <c r="DK164" s="67"/>
      <c r="DL164" s="67"/>
      <c r="DM164" s="67"/>
      <c r="DN164" s="67"/>
      <c r="DO164" s="67"/>
      <c r="DP164" s="67"/>
      <c r="DQ164" s="67"/>
      <c r="DR164" s="67"/>
      <c r="DS164" s="67"/>
      <c r="DT164" s="67"/>
      <c r="DU164" s="67"/>
      <c r="DV164" s="67"/>
      <c r="DW164" s="67"/>
      <c r="DX164" s="67"/>
      <c r="DY164" s="67"/>
      <c r="DZ164" s="67"/>
      <c r="EA164" s="67"/>
      <c r="EB164" s="67"/>
      <c r="EC164" s="67"/>
      <c r="ED164" s="67"/>
      <c r="EE164" s="67"/>
      <c r="EF164" s="67"/>
      <c r="EG164" s="67"/>
      <c r="EH164" s="67"/>
      <c r="EI164" s="67"/>
      <c r="EJ164" s="67"/>
      <c r="EK164" s="67"/>
      <c r="EL164" s="67"/>
      <c r="EM164" s="67"/>
      <c r="EN164" s="67"/>
      <c r="EO164" s="67"/>
      <c r="EP164" s="67"/>
      <c r="EQ164" s="67"/>
      <c r="ER164" s="67"/>
      <c r="ES164" s="67"/>
      <c r="ET164" s="67"/>
      <c r="EU164" s="67"/>
      <c r="EV164" s="67"/>
      <c r="EW164" s="67"/>
      <c r="EX164" s="67"/>
      <c r="EY164" s="67"/>
      <c r="EZ164" s="67"/>
      <c r="FA164" s="67"/>
      <c r="FB164" s="67"/>
      <c r="FC164" s="67"/>
      <c r="FD164" s="67"/>
      <c r="FE164" s="67"/>
      <c r="FF164" s="67"/>
      <c r="FG164" s="67"/>
      <c r="FH164" s="67"/>
      <c r="FI164" s="67"/>
      <c r="FJ164" s="67"/>
      <c r="FK164" s="67"/>
      <c r="FL164" s="67"/>
      <c r="FM164" s="67"/>
      <c r="FN164" s="67"/>
      <c r="FO164" s="67"/>
      <c r="FP164" s="67"/>
      <c r="FQ164" s="67"/>
      <c r="FR164" s="67"/>
      <c r="FS164" s="67"/>
      <c r="FT164" s="67"/>
      <c r="FU164" s="67"/>
      <c r="FV164" s="67"/>
      <c r="FW164" s="67"/>
      <c r="FX164" s="67"/>
      <c r="FY164" s="67"/>
      <c r="FZ164" s="67"/>
      <c r="GA164" s="67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67"/>
      <c r="HJ164" s="67"/>
      <c r="HK164" s="67"/>
      <c r="HL164" s="67"/>
      <c r="HM164" s="67"/>
      <c r="HN164" s="67"/>
      <c r="HO164" s="67"/>
      <c r="HP164" s="67"/>
      <c r="HQ164" s="67"/>
      <c r="HR164" s="67"/>
      <c r="HS164" s="67"/>
      <c r="HT164" s="67"/>
      <c r="HU164" s="67"/>
      <c r="HV164" s="67"/>
      <c r="HW164" s="67"/>
      <c r="HX164" s="67"/>
      <c r="HY164" s="67"/>
      <c r="HZ164" s="67"/>
      <c r="IA164" s="67"/>
      <c r="IB164" s="67"/>
      <c r="IC164" s="67"/>
      <c r="ID164" s="67"/>
      <c r="IE164" s="67"/>
      <c r="IF164" s="67"/>
      <c r="IG164" s="67"/>
      <c r="IH164" s="67"/>
      <c r="II164" s="67"/>
      <c r="IJ164" s="67"/>
      <c r="IK164" s="67"/>
      <c r="IL164" s="67"/>
      <c r="IM164" s="67"/>
      <c r="IN164" s="67"/>
      <c r="IO164" s="67"/>
      <c r="IP164" s="67"/>
      <c r="IQ164" s="67"/>
      <c r="IR164" s="67"/>
      <c r="IS164" s="67"/>
      <c r="IT164" s="67"/>
      <c r="IU164" s="67"/>
      <c r="IV164" s="67"/>
      <c r="IW164" s="67"/>
      <c r="IX164" s="67"/>
      <c r="IY164" s="67"/>
      <c r="IZ164" s="67"/>
      <c r="JA164" s="67"/>
      <c r="JB164" s="67"/>
      <c r="JC164" s="67"/>
      <c r="JD164" s="67"/>
      <c r="JE164" s="67"/>
      <c r="JF164" s="67"/>
      <c r="JG164" s="67"/>
      <c r="JH164" s="67"/>
      <c r="JI164" s="67"/>
      <c r="JJ164" s="67"/>
      <c r="JK164" s="67"/>
      <c r="JL164" s="67"/>
      <c r="JM164" s="67"/>
      <c r="JN164" s="67"/>
      <c r="JO164" s="67"/>
      <c r="JP164" s="67"/>
      <c r="JQ164" s="67"/>
      <c r="JR164" s="67"/>
      <c r="JS164" s="67"/>
      <c r="JT164" s="67"/>
      <c r="JU164" s="67"/>
      <c r="JV164" s="67"/>
      <c r="JW164" s="67"/>
      <c r="JX164" s="67"/>
      <c r="JY164" s="67"/>
      <c r="JZ164" s="67"/>
      <c r="KA164" s="67"/>
      <c r="KB164" s="67"/>
      <c r="KC164" s="67"/>
      <c r="KD164" s="67"/>
      <c r="KE164" s="67"/>
      <c r="KF164" s="67"/>
      <c r="KG164" s="67"/>
      <c r="KH164" s="67"/>
      <c r="KI164" s="67"/>
      <c r="KJ164" s="67"/>
      <c r="KK164" s="67"/>
      <c r="KL164" s="67"/>
      <c r="KM164" s="67"/>
      <c r="KN164" s="67"/>
      <c r="KO164" s="67"/>
      <c r="KP164" s="67"/>
      <c r="KQ164" s="67"/>
      <c r="KR164" s="67"/>
      <c r="KS164" s="67"/>
      <c r="KT164" s="67"/>
      <c r="KU164" s="67"/>
      <c r="KV164" s="67"/>
      <c r="KW164" s="67"/>
      <c r="KX164" s="67"/>
      <c r="KY164" s="67"/>
      <c r="KZ164" s="67"/>
      <c r="LA164" s="67"/>
      <c r="LB164" s="67"/>
      <c r="LC164" s="67"/>
      <c r="LD164" s="67"/>
      <c r="LE164" s="67"/>
      <c r="LF164" s="67"/>
      <c r="LG164" s="67"/>
      <c r="LH164" s="67"/>
      <c r="LI164" s="67"/>
      <c r="LJ164" s="67"/>
      <c r="LK164" s="67"/>
      <c r="LL164" s="67"/>
      <c r="LM164" s="67"/>
      <c r="LN164" s="67"/>
      <c r="LO164" s="67"/>
      <c r="LP164" s="67"/>
      <c r="LQ164" s="67"/>
      <c r="LR164" s="67"/>
      <c r="LS164" s="67"/>
      <c r="LT164" s="67"/>
      <c r="LU164" s="67"/>
      <c r="LV164" s="67"/>
      <c r="LW164" s="67"/>
      <c r="LX164" s="67"/>
      <c r="LY164" s="67"/>
      <c r="LZ164" s="67"/>
      <c r="MA164" s="67"/>
      <c r="MB164" s="67"/>
    </row>
    <row r="165" spans="1:340" s="50" customFormat="1" ht="15.75" hidden="1" customHeight="1" thickBot="1">
      <c r="A165" s="44">
        <v>3</v>
      </c>
      <c r="B165" s="88" t="s">
        <v>93</v>
      </c>
      <c r="C165" s="85" t="s">
        <v>94</v>
      </c>
      <c r="D165" s="86" t="s">
        <v>35</v>
      </c>
      <c r="E165" s="130" t="s">
        <v>36</v>
      </c>
      <c r="F165" s="87" t="s">
        <v>24</v>
      </c>
      <c r="G165" s="139"/>
      <c r="H165" s="68" t="s">
        <v>26</v>
      </c>
      <c r="I165" s="68"/>
      <c r="J165" s="68"/>
      <c r="K165" s="68"/>
      <c r="L165" s="68"/>
      <c r="M165" s="68"/>
      <c r="N165" s="68"/>
      <c r="O165" s="68"/>
      <c r="P165" s="68"/>
      <c r="Q165" s="68"/>
      <c r="R165" s="68" t="s">
        <v>27</v>
      </c>
      <c r="S165" s="68"/>
      <c r="T165" s="68"/>
      <c r="U165" s="68" t="s">
        <v>26</v>
      </c>
      <c r="V165" s="68"/>
      <c r="W165" s="68"/>
      <c r="X165" s="68"/>
      <c r="Y165" s="68"/>
      <c r="Z165" s="68"/>
      <c r="AA165" s="68"/>
      <c r="AB165" s="68"/>
      <c r="AC165" s="68" t="s">
        <v>27</v>
      </c>
      <c r="AD165" s="68"/>
      <c r="AE165" s="68" t="s">
        <v>26</v>
      </c>
      <c r="AF165" s="68"/>
      <c r="AG165" s="68"/>
      <c r="AH165" s="68"/>
      <c r="AI165" s="68"/>
      <c r="AJ165" s="68"/>
      <c r="AK165" s="68"/>
      <c r="AL165" s="68"/>
      <c r="AM165" s="153"/>
      <c r="AN165" s="68"/>
      <c r="AO165" s="68" t="s">
        <v>27</v>
      </c>
      <c r="AP165" s="68"/>
      <c r="AQ165" s="68"/>
      <c r="AR165" s="68" t="s">
        <v>26</v>
      </c>
      <c r="AS165" s="68"/>
      <c r="AT165" s="68"/>
      <c r="AU165" s="68"/>
      <c r="AV165" s="68"/>
      <c r="AW165" s="68"/>
      <c r="AX165" s="68"/>
      <c r="AY165" s="68"/>
      <c r="AZ165" s="68"/>
      <c r="BA165" s="68" t="s">
        <v>41</v>
      </c>
      <c r="BB165" s="68"/>
      <c r="BC165" s="68"/>
      <c r="BD165" s="68"/>
      <c r="BE165" s="68" t="s">
        <v>26</v>
      </c>
      <c r="BF165" s="68"/>
      <c r="BG165" s="68"/>
      <c r="BH165" s="68"/>
      <c r="BI165" s="68"/>
      <c r="BJ165" s="68"/>
      <c r="BK165" s="68" t="s">
        <v>41</v>
      </c>
      <c r="BL165" s="68" t="s">
        <v>37</v>
      </c>
      <c r="BM165" s="67"/>
      <c r="BN165" s="67"/>
      <c r="BO165" s="67"/>
      <c r="BP165" s="67"/>
      <c r="BQ165" s="67"/>
      <c r="BR165" s="67"/>
      <c r="BS165" s="67"/>
      <c r="BT165" s="67"/>
      <c r="BU165" s="67"/>
      <c r="BV165" s="67"/>
      <c r="BW165" s="67"/>
      <c r="BX165" s="67"/>
      <c r="BY165" s="67"/>
      <c r="BZ165" s="67"/>
      <c r="CA165" s="67"/>
      <c r="CB165" s="67"/>
      <c r="CC165" s="67"/>
      <c r="CD165" s="67"/>
      <c r="CE165" s="67"/>
      <c r="CF165" s="67"/>
      <c r="CG165" s="67"/>
      <c r="CH165" s="67"/>
      <c r="CI165" s="67"/>
      <c r="CJ165" s="67"/>
      <c r="CK165" s="67"/>
      <c r="CL165" s="67"/>
      <c r="CM165" s="67"/>
      <c r="CN165" s="67"/>
      <c r="CO165" s="67"/>
      <c r="CP165" s="67"/>
      <c r="CQ165" s="67"/>
      <c r="CR165" s="67"/>
      <c r="CS165" s="67"/>
      <c r="CT165" s="67"/>
      <c r="CU165" s="67"/>
      <c r="CV165" s="67"/>
      <c r="CW165" s="67"/>
      <c r="CX165" s="67"/>
      <c r="CY165" s="67"/>
      <c r="CZ165" s="67"/>
      <c r="DA165" s="67"/>
      <c r="DB165" s="67"/>
      <c r="DC165" s="67"/>
      <c r="DD165" s="67"/>
      <c r="DE165" s="67"/>
      <c r="DF165" s="67"/>
      <c r="DG165" s="67"/>
      <c r="DH165" s="67"/>
      <c r="DI165" s="67"/>
      <c r="DJ165" s="67"/>
      <c r="DK165" s="67"/>
      <c r="DL165" s="67"/>
      <c r="DM165" s="67"/>
      <c r="DN165" s="67"/>
      <c r="DO165" s="67"/>
      <c r="DP165" s="67"/>
      <c r="DQ165" s="67"/>
      <c r="DR165" s="67"/>
      <c r="DS165" s="67"/>
      <c r="DT165" s="67"/>
      <c r="DU165" s="67"/>
      <c r="DV165" s="67"/>
      <c r="DW165" s="67"/>
      <c r="DX165" s="67"/>
      <c r="DY165" s="67"/>
      <c r="DZ165" s="67"/>
      <c r="EA165" s="67"/>
      <c r="EB165" s="67"/>
      <c r="EC165" s="67"/>
      <c r="ED165" s="67"/>
      <c r="EE165" s="67"/>
      <c r="EF165" s="67"/>
      <c r="EG165" s="67"/>
      <c r="EH165" s="67"/>
      <c r="EI165" s="67"/>
      <c r="EJ165" s="67"/>
      <c r="EK165" s="67"/>
      <c r="EL165" s="67"/>
      <c r="EM165" s="67"/>
      <c r="EN165" s="67"/>
      <c r="EO165" s="67"/>
      <c r="EP165" s="67"/>
      <c r="EQ165" s="67"/>
      <c r="ER165" s="67"/>
      <c r="ES165" s="67"/>
      <c r="ET165" s="67"/>
      <c r="EU165" s="67"/>
      <c r="EV165" s="67"/>
      <c r="EW165" s="67"/>
      <c r="EX165" s="67"/>
      <c r="EY165" s="67"/>
      <c r="EZ165" s="67"/>
      <c r="FA165" s="67"/>
      <c r="FB165" s="67"/>
      <c r="FC165" s="67"/>
      <c r="FD165" s="67"/>
      <c r="FE165" s="67"/>
      <c r="FF165" s="67"/>
      <c r="FG165" s="67"/>
      <c r="FH165" s="67"/>
      <c r="FI165" s="67"/>
      <c r="FJ165" s="67"/>
      <c r="FK165" s="67"/>
      <c r="FL165" s="67"/>
      <c r="FM165" s="67"/>
      <c r="FN165" s="67"/>
      <c r="FO165" s="67"/>
      <c r="FP165" s="67"/>
      <c r="FQ165" s="67"/>
      <c r="FR165" s="67"/>
      <c r="FS165" s="67"/>
      <c r="FT165" s="67"/>
      <c r="FU165" s="67"/>
      <c r="FV165" s="67"/>
      <c r="FW165" s="67"/>
      <c r="FX165" s="67"/>
      <c r="FY165" s="67"/>
      <c r="FZ165" s="67"/>
      <c r="GA165" s="67"/>
      <c r="GB165" s="67"/>
      <c r="GC165" s="67"/>
      <c r="GD165" s="67"/>
      <c r="GE165" s="67"/>
      <c r="GF165" s="67"/>
      <c r="GG165" s="67"/>
      <c r="GH165" s="67"/>
      <c r="GI165" s="67"/>
      <c r="GJ165" s="67"/>
      <c r="GK165" s="67"/>
      <c r="GL165" s="67"/>
      <c r="GM165" s="67"/>
      <c r="GN165" s="67"/>
      <c r="GO165" s="67"/>
      <c r="GP165" s="67"/>
      <c r="GQ165" s="67"/>
      <c r="GR165" s="67"/>
      <c r="GS165" s="67"/>
      <c r="GT165" s="67"/>
      <c r="GU165" s="67"/>
      <c r="GV165" s="67"/>
      <c r="GW165" s="67"/>
      <c r="GX165" s="67"/>
      <c r="GY165" s="67"/>
      <c r="GZ165" s="67"/>
      <c r="HA165" s="67"/>
      <c r="HB165" s="67"/>
      <c r="HC165" s="67"/>
      <c r="HD165" s="67"/>
      <c r="HE165" s="67"/>
      <c r="HF165" s="67"/>
      <c r="HG165" s="67"/>
      <c r="HH165" s="67"/>
      <c r="HI165" s="67"/>
      <c r="HJ165" s="67"/>
      <c r="HK165" s="67"/>
      <c r="HL165" s="67"/>
      <c r="HM165" s="67"/>
      <c r="HN165" s="67"/>
      <c r="HO165" s="67"/>
      <c r="HP165" s="67"/>
      <c r="HQ165" s="67"/>
      <c r="HR165" s="67"/>
      <c r="HS165" s="67"/>
      <c r="HT165" s="67"/>
      <c r="HU165" s="67"/>
      <c r="HV165" s="67"/>
      <c r="HW165" s="67"/>
      <c r="HX165" s="67"/>
      <c r="HY165" s="67"/>
      <c r="HZ165" s="67"/>
      <c r="IA165" s="67"/>
      <c r="IB165" s="67"/>
      <c r="IC165" s="67"/>
      <c r="ID165" s="67"/>
      <c r="IE165" s="67"/>
      <c r="IF165" s="67"/>
      <c r="IG165" s="67"/>
      <c r="IH165" s="67"/>
      <c r="II165" s="67"/>
      <c r="IJ165" s="67"/>
      <c r="IK165" s="67"/>
      <c r="IL165" s="67"/>
      <c r="IM165" s="67"/>
      <c r="IN165" s="67"/>
      <c r="IO165" s="67"/>
      <c r="IP165" s="67"/>
      <c r="IQ165" s="67"/>
      <c r="IR165" s="67"/>
      <c r="IS165" s="67"/>
      <c r="IT165" s="67"/>
      <c r="IU165" s="67"/>
      <c r="IV165" s="67"/>
      <c r="IW165" s="67"/>
      <c r="IX165" s="67"/>
      <c r="IY165" s="67"/>
      <c r="IZ165" s="67"/>
      <c r="JA165" s="67"/>
      <c r="JB165" s="67"/>
      <c r="JC165" s="67"/>
      <c r="JD165" s="67"/>
      <c r="JE165" s="67"/>
      <c r="JF165" s="67"/>
      <c r="JG165" s="67"/>
      <c r="JH165" s="67"/>
      <c r="JI165" s="67"/>
      <c r="JJ165" s="67"/>
      <c r="JK165" s="67"/>
      <c r="JL165" s="67"/>
      <c r="JM165" s="67"/>
      <c r="JN165" s="67"/>
      <c r="JO165" s="67"/>
      <c r="JP165" s="67"/>
      <c r="JQ165" s="67"/>
      <c r="JR165" s="67"/>
      <c r="JS165" s="67"/>
      <c r="JT165" s="67"/>
      <c r="JU165" s="67"/>
      <c r="JV165" s="67"/>
      <c r="JW165" s="67"/>
      <c r="JX165" s="67"/>
      <c r="JY165" s="67"/>
      <c r="JZ165" s="67"/>
      <c r="KA165" s="67"/>
      <c r="KB165" s="67"/>
      <c r="KC165" s="67"/>
      <c r="KD165" s="67"/>
      <c r="KE165" s="67"/>
      <c r="KF165" s="67"/>
      <c r="KG165" s="67"/>
      <c r="KH165" s="67"/>
      <c r="KI165" s="67"/>
      <c r="KJ165" s="67"/>
      <c r="KK165" s="67"/>
      <c r="KL165" s="67"/>
      <c r="KM165" s="67"/>
      <c r="KN165" s="67"/>
      <c r="KO165" s="67"/>
      <c r="KP165" s="67"/>
      <c r="KQ165" s="67"/>
      <c r="KR165" s="67"/>
      <c r="KS165" s="67"/>
      <c r="KT165" s="67"/>
      <c r="KU165" s="67"/>
      <c r="KV165" s="67"/>
      <c r="KW165" s="67"/>
      <c r="KX165" s="67"/>
      <c r="KY165" s="67"/>
      <c r="KZ165" s="67"/>
      <c r="LA165" s="67"/>
      <c r="LB165" s="67"/>
      <c r="LC165" s="67"/>
      <c r="LD165" s="67"/>
      <c r="LE165" s="67"/>
      <c r="LF165" s="67"/>
      <c r="LG165" s="67"/>
      <c r="LH165" s="67"/>
      <c r="LI165" s="67"/>
      <c r="LJ165" s="67"/>
      <c r="LK165" s="67"/>
      <c r="LL165" s="67"/>
      <c r="LM165" s="67"/>
      <c r="LN165" s="67"/>
      <c r="LO165" s="67"/>
      <c r="LP165" s="67"/>
      <c r="LQ165" s="67"/>
      <c r="LR165" s="67"/>
      <c r="LS165" s="67"/>
      <c r="LT165" s="67"/>
      <c r="LU165" s="67"/>
      <c r="LV165" s="67"/>
      <c r="LW165" s="67"/>
      <c r="LX165" s="67"/>
      <c r="LY165" s="67"/>
      <c r="LZ165" s="67"/>
      <c r="MA165" s="67"/>
      <c r="MB165" s="67"/>
    </row>
    <row r="166" spans="1:340" s="50" customFormat="1" ht="15.75" hidden="1" customHeight="1" thickBot="1">
      <c r="A166" s="44">
        <v>3</v>
      </c>
      <c r="B166" s="150" t="s">
        <v>191</v>
      </c>
      <c r="C166" s="85" t="s">
        <v>279</v>
      </c>
      <c r="D166" s="86" t="s">
        <v>49</v>
      </c>
      <c r="E166" s="130" t="s">
        <v>78</v>
      </c>
      <c r="F166" s="87" t="s">
        <v>24</v>
      </c>
      <c r="G166" s="139"/>
      <c r="H166" s="68"/>
      <c r="I166" s="68" t="s">
        <v>25</v>
      </c>
      <c r="J166" s="68"/>
      <c r="K166" s="68" t="s">
        <v>26</v>
      </c>
      <c r="L166" s="68"/>
      <c r="M166" s="68" t="s">
        <v>27</v>
      </c>
      <c r="N166" s="68"/>
      <c r="O166" s="68"/>
      <c r="P166" s="68" t="s">
        <v>26</v>
      </c>
      <c r="Q166" s="68"/>
      <c r="R166" s="68" t="s">
        <v>27</v>
      </c>
      <c r="S166" s="68"/>
      <c r="T166" s="68" t="s">
        <v>26</v>
      </c>
      <c r="U166" s="68"/>
      <c r="V166" s="68" t="s">
        <v>27</v>
      </c>
      <c r="W166" s="68" t="s">
        <v>26</v>
      </c>
      <c r="X166" s="68" t="s">
        <v>28</v>
      </c>
      <c r="Y166" s="68" t="s">
        <v>204</v>
      </c>
      <c r="Z166" s="68" t="s">
        <v>26</v>
      </c>
      <c r="AA166" s="68" t="s">
        <v>27</v>
      </c>
      <c r="AB166" s="68"/>
      <c r="AC166" s="68" t="s">
        <v>26</v>
      </c>
      <c r="AD166" s="68" t="s">
        <v>28</v>
      </c>
      <c r="AE166" s="68" t="s">
        <v>26</v>
      </c>
      <c r="AF166" s="68"/>
      <c r="AG166" s="68" t="s">
        <v>27</v>
      </c>
      <c r="AH166" s="68" t="s">
        <v>26</v>
      </c>
      <c r="AI166" s="68" t="s">
        <v>28</v>
      </c>
      <c r="AJ166" s="68"/>
      <c r="AK166" s="68" t="s">
        <v>26</v>
      </c>
      <c r="AL166" s="68" t="s">
        <v>27</v>
      </c>
      <c r="AM166" s="68"/>
      <c r="AN166" s="68" t="s">
        <v>26</v>
      </c>
      <c r="AO166" s="68" t="s">
        <v>28</v>
      </c>
      <c r="AP166" s="68"/>
      <c r="AQ166" s="68" t="s">
        <v>26</v>
      </c>
      <c r="AR166" s="68" t="s">
        <v>27</v>
      </c>
      <c r="AS166" s="68" t="s">
        <v>26</v>
      </c>
      <c r="AT166" s="68" t="s">
        <v>27</v>
      </c>
      <c r="AU166" s="68"/>
      <c r="AV166" s="68" t="s">
        <v>26</v>
      </c>
      <c r="AW166" s="68" t="s">
        <v>27</v>
      </c>
      <c r="AX166" s="68" t="s">
        <v>26</v>
      </c>
      <c r="AY166" s="68" t="s">
        <v>27</v>
      </c>
      <c r="AZ166" s="68" t="s">
        <v>26</v>
      </c>
      <c r="BA166" s="68"/>
      <c r="BB166" s="68" t="s">
        <v>28</v>
      </c>
      <c r="BC166" s="68" t="s">
        <v>26</v>
      </c>
      <c r="BD166" s="68" t="s">
        <v>27</v>
      </c>
      <c r="BE166" s="68"/>
      <c r="BF166" s="68"/>
      <c r="BG166" s="68"/>
      <c r="BH166" s="68" t="s">
        <v>26</v>
      </c>
      <c r="BI166" s="68"/>
      <c r="BJ166" s="68"/>
      <c r="BK166" s="68"/>
      <c r="BL166" s="68" t="s">
        <v>27</v>
      </c>
      <c r="BM166" s="68" t="s">
        <v>37</v>
      </c>
      <c r="BN166" s="67"/>
      <c r="BO166" s="67"/>
      <c r="BP166" s="67"/>
      <c r="BQ166" s="67"/>
      <c r="BR166" s="67"/>
      <c r="BS166" s="67"/>
      <c r="BT166" s="67"/>
      <c r="BU166" s="67"/>
      <c r="BV166" s="67"/>
      <c r="BW166" s="67"/>
      <c r="BX166" s="67"/>
      <c r="BY166" s="67"/>
      <c r="BZ166" s="67"/>
      <c r="CA166" s="67"/>
      <c r="CB166" s="67"/>
      <c r="CC166" s="67"/>
      <c r="CD166" s="67"/>
      <c r="CE166" s="67"/>
      <c r="CF166" s="67"/>
      <c r="CG166" s="67"/>
      <c r="CH166" s="67"/>
      <c r="CI166" s="67"/>
      <c r="CJ166" s="67"/>
      <c r="CK166" s="67"/>
      <c r="CL166" s="67"/>
      <c r="CM166" s="67"/>
      <c r="CN166" s="67"/>
      <c r="CO166" s="67"/>
      <c r="CP166" s="67"/>
      <c r="CQ166" s="67"/>
      <c r="CR166" s="67"/>
      <c r="CS166" s="67"/>
      <c r="CT166" s="67"/>
      <c r="CU166" s="67"/>
      <c r="CV166" s="67"/>
      <c r="CW166" s="67"/>
      <c r="CX166" s="67"/>
      <c r="CY166" s="67"/>
      <c r="CZ166" s="67"/>
      <c r="DA166" s="67"/>
      <c r="DB166" s="67"/>
      <c r="DC166" s="67"/>
      <c r="DD166" s="67"/>
      <c r="DE166" s="67"/>
      <c r="DF166" s="67"/>
      <c r="DG166" s="67"/>
      <c r="DH166" s="67"/>
      <c r="DI166" s="67"/>
      <c r="DJ166" s="67"/>
      <c r="DK166" s="67"/>
      <c r="DL166" s="67"/>
      <c r="DM166" s="67"/>
      <c r="DN166" s="67"/>
      <c r="DO166" s="67"/>
      <c r="DP166" s="67"/>
      <c r="DQ166" s="67"/>
      <c r="DR166" s="67"/>
      <c r="DS166" s="67"/>
      <c r="DT166" s="67"/>
      <c r="DU166" s="67"/>
      <c r="DV166" s="67"/>
      <c r="DW166" s="67"/>
      <c r="DX166" s="67"/>
      <c r="DY166" s="67"/>
      <c r="DZ166" s="67"/>
      <c r="EA166" s="67"/>
      <c r="EB166" s="67"/>
      <c r="EC166" s="67"/>
      <c r="ED166" s="67"/>
      <c r="EE166" s="67"/>
      <c r="EF166" s="67"/>
      <c r="EG166" s="67"/>
      <c r="EH166" s="67"/>
      <c r="EI166" s="67"/>
      <c r="EJ166" s="67"/>
      <c r="EK166" s="67"/>
      <c r="EL166" s="67"/>
      <c r="EM166" s="67"/>
      <c r="EN166" s="67"/>
      <c r="EO166" s="67"/>
      <c r="EP166" s="67"/>
      <c r="EQ166" s="67"/>
      <c r="ER166" s="67"/>
      <c r="ES166" s="67"/>
      <c r="ET166" s="67"/>
      <c r="EU166" s="67"/>
      <c r="EV166" s="67"/>
      <c r="EW166" s="67"/>
      <c r="EX166" s="67"/>
      <c r="EY166" s="67"/>
      <c r="EZ166" s="67"/>
      <c r="FA166" s="67"/>
      <c r="FB166" s="67"/>
      <c r="FC166" s="67"/>
      <c r="FD166" s="67"/>
      <c r="FE166" s="67"/>
      <c r="FF166" s="67"/>
      <c r="FG166" s="67"/>
      <c r="FH166" s="67"/>
      <c r="FI166" s="67"/>
      <c r="FJ166" s="67"/>
      <c r="FK166" s="67"/>
      <c r="FL166" s="67"/>
      <c r="FM166" s="67"/>
      <c r="FN166" s="67"/>
      <c r="FO166" s="67"/>
      <c r="FP166" s="67"/>
      <c r="FQ166" s="67"/>
      <c r="FR166" s="67"/>
      <c r="FS166" s="67"/>
      <c r="FT166" s="67"/>
      <c r="FU166" s="67"/>
      <c r="FV166" s="67"/>
      <c r="FW166" s="67"/>
      <c r="FX166" s="67"/>
      <c r="FY166" s="67"/>
      <c r="FZ166" s="67"/>
      <c r="GA166" s="67"/>
      <c r="GB166" s="67"/>
      <c r="GC166" s="67"/>
      <c r="GD166" s="67"/>
      <c r="GE166" s="67"/>
      <c r="GF166" s="67"/>
      <c r="GG166" s="67"/>
      <c r="GH166" s="67"/>
      <c r="GI166" s="67"/>
      <c r="GJ166" s="67"/>
      <c r="GK166" s="67"/>
      <c r="GL166" s="67"/>
      <c r="GM166" s="67"/>
      <c r="GN166" s="67"/>
      <c r="GO166" s="67"/>
      <c r="GP166" s="67"/>
      <c r="GQ166" s="67"/>
      <c r="GR166" s="67"/>
      <c r="GS166" s="67"/>
      <c r="GT166" s="67"/>
      <c r="GU166" s="67"/>
      <c r="GV166" s="67"/>
      <c r="GW166" s="67"/>
      <c r="GX166" s="67"/>
      <c r="GY166" s="67"/>
      <c r="GZ166" s="67"/>
      <c r="HA166" s="67"/>
      <c r="HB166" s="67"/>
      <c r="HC166" s="67"/>
      <c r="HD166" s="67"/>
      <c r="HE166" s="67"/>
      <c r="HF166" s="67"/>
      <c r="HG166" s="67"/>
      <c r="HH166" s="67"/>
      <c r="HI166" s="67"/>
      <c r="HJ166" s="67"/>
      <c r="HK166" s="67"/>
      <c r="HL166" s="67"/>
      <c r="HM166" s="67"/>
      <c r="HN166" s="67"/>
      <c r="HO166" s="67"/>
      <c r="HP166" s="67"/>
      <c r="HQ166" s="67"/>
      <c r="HR166" s="67"/>
      <c r="HS166" s="67"/>
      <c r="HT166" s="67"/>
      <c r="HU166" s="67"/>
      <c r="HV166" s="67"/>
      <c r="HW166" s="67"/>
      <c r="HX166" s="67"/>
      <c r="HY166" s="67"/>
      <c r="HZ166" s="67"/>
      <c r="IA166" s="67"/>
      <c r="IB166" s="67"/>
      <c r="IC166" s="67"/>
      <c r="ID166" s="67"/>
      <c r="IE166" s="67"/>
      <c r="IF166" s="67"/>
      <c r="IG166" s="67"/>
      <c r="IH166" s="67"/>
      <c r="II166" s="67"/>
      <c r="IJ166" s="67"/>
      <c r="IK166" s="67"/>
      <c r="IL166" s="67"/>
      <c r="IM166" s="67"/>
      <c r="IN166" s="67"/>
      <c r="IO166" s="67"/>
      <c r="IP166" s="67"/>
      <c r="IQ166" s="67"/>
      <c r="IR166" s="67"/>
      <c r="IS166" s="67"/>
      <c r="IT166" s="67"/>
      <c r="IU166" s="67"/>
      <c r="IV166" s="67"/>
      <c r="IW166" s="67"/>
      <c r="IX166" s="67"/>
      <c r="IY166" s="67"/>
      <c r="IZ166" s="67"/>
      <c r="JA166" s="67"/>
      <c r="JB166" s="67"/>
      <c r="JC166" s="67"/>
      <c r="JD166" s="67"/>
      <c r="JE166" s="67"/>
      <c r="JF166" s="67"/>
      <c r="JG166" s="67"/>
      <c r="JH166" s="67"/>
      <c r="JI166" s="67"/>
      <c r="JJ166" s="67"/>
      <c r="JK166" s="67"/>
      <c r="JL166" s="67"/>
      <c r="JM166" s="67"/>
      <c r="JN166" s="67"/>
      <c r="JO166" s="67"/>
      <c r="JP166" s="67"/>
      <c r="JQ166" s="67"/>
      <c r="JR166" s="67"/>
      <c r="JS166" s="67"/>
      <c r="JT166" s="67"/>
      <c r="JU166" s="67"/>
      <c r="JV166" s="67"/>
      <c r="JW166" s="67"/>
      <c r="JX166" s="67"/>
      <c r="JY166" s="67"/>
      <c r="JZ166" s="67"/>
      <c r="KA166" s="67"/>
      <c r="KB166" s="67"/>
      <c r="KC166" s="67"/>
      <c r="KD166" s="67"/>
      <c r="KE166" s="67"/>
      <c r="KF166" s="67"/>
      <c r="KG166" s="67"/>
      <c r="KH166" s="67"/>
      <c r="KI166" s="67"/>
      <c r="KJ166" s="67"/>
      <c r="KK166" s="67"/>
      <c r="KL166" s="67"/>
      <c r="KM166" s="67"/>
      <c r="KN166" s="67"/>
      <c r="KO166" s="67"/>
      <c r="KP166" s="67"/>
      <c r="KQ166" s="67"/>
      <c r="KR166" s="67"/>
      <c r="KS166" s="67"/>
      <c r="KT166" s="67"/>
      <c r="KU166" s="67"/>
      <c r="KV166" s="67"/>
      <c r="KW166" s="67"/>
      <c r="KX166" s="67"/>
      <c r="KY166" s="67"/>
      <c r="KZ166" s="67"/>
      <c r="LA166" s="67"/>
      <c r="LB166" s="67"/>
      <c r="LC166" s="67"/>
      <c r="LD166" s="67"/>
      <c r="LE166" s="67"/>
      <c r="LF166" s="67"/>
      <c r="LG166" s="67"/>
      <c r="LH166" s="67"/>
      <c r="LI166" s="67"/>
      <c r="LJ166" s="67"/>
      <c r="LK166" s="67"/>
      <c r="LL166" s="67"/>
      <c r="LM166" s="67"/>
      <c r="LN166" s="67"/>
      <c r="LO166" s="67"/>
      <c r="LP166" s="67"/>
      <c r="LQ166" s="67"/>
      <c r="LR166" s="67"/>
      <c r="LS166" s="67"/>
      <c r="LT166" s="67"/>
      <c r="LU166" s="67"/>
      <c r="LV166" s="67"/>
      <c r="LW166" s="67"/>
      <c r="LX166" s="67"/>
      <c r="LY166" s="67"/>
      <c r="LZ166" s="67"/>
      <c r="MA166" s="67"/>
      <c r="MB166" s="67"/>
    </row>
    <row r="167" spans="1:340" s="50" customFormat="1" ht="15.75" customHeight="1" thickBot="1">
      <c r="A167" s="44">
        <v>3</v>
      </c>
      <c r="B167" s="88" t="s">
        <v>280</v>
      </c>
      <c r="C167" s="85" t="s">
        <v>178</v>
      </c>
      <c r="D167" s="86" t="s">
        <v>22</v>
      </c>
      <c r="E167" s="130" t="s">
        <v>23</v>
      </c>
      <c r="F167" s="87" t="s">
        <v>24</v>
      </c>
      <c r="G167" s="139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 t="s">
        <v>25</v>
      </c>
      <c r="BE167" s="68"/>
      <c r="BF167" s="68" t="s">
        <v>57</v>
      </c>
      <c r="BG167" s="68"/>
      <c r="BH167" s="68"/>
      <c r="BI167" s="68"/>
      <c r="BJ167" s="68"/>
      <c r="BK167" s="68"/>
      <c r="BL167" s="68"/>
      <c r="BM167" s="68"/>
      <c r="BN167" s="68" t="s">
        <v>57</v>
      </c>
      <c r="BO167" s="68" t="s">
        <v>37</v>
      </c>
      <c r="BP167" s="67"/>
      <c r="BQ167" s="67"/>
      <c r="BR167" s="67"/>
      <c r="BS167" s="67"/>
      <c r="BT167" s="67"/>
      <c r="BU167" s="67"/>
      <c r="BV167" s="67"/>
      <c r="BW167" s="67"/>
      <c r="BX167" s="67"/>
      <c r="BY167" s="67"/>
      <c r="BZ167" s="67"/>
      <c r="CA167" s="67"/>
      <c r="CB167" s="67"/>
      <c r="CC167" s="67"/>
      <c r="CD167" s="67"/>
      <c r="CE167" s="67"/>
      <c r="CF167" s="67"/>
      <c r="CG167" s="67"/>
      <c r="CH167" s="67"/>
      <c r="CI167" s="67"/>
      <c r="CJ167" s="67"/>
      <c r="CK167" s="67"/>
      <c r="CL167" s="67"/>
      <c r="CM167" s="67"/>
      <c r="CN167" s="67"/>
      <c r="CO167" s="67"/>
      <c r="CP167" s="67"/>
      <c r="CQ167" s="67"/>
      <c r="CR167" s="67"/>
      <c r="CS167" s="67"/>
      <c r="CT167" s="67"/>
      <c r="CU167" s="67"/>
      <c r="CV167" s="67"/>
      <c r="CW167" s="67"/>
      <c r="CX167" s="67"/>
      <c r="CY167" s="67"/>
      <c r="CZ167" s="67"/>
      <c r="DA167" s="67"/>
      <c r="DB167" s="67"/>
      <c r="DC167" s="67"/>
      <c r="DD167" s="67"/>
      <c r="DE167" s="67"/>
      <c r="DF167" s="67"/>
      <c r="DG167" s="67"/>
      <c r="DH167" s="67"/>
      <c r="DI167" s="67"/>
      <c r="DJ167" s="67"/>
      <c r="DK167" s="67"/>
      <c r="DL167" s="67"/>
      <c r="DM167" s="67"/>
      <c r="DN167" s="67"/>
      <c r="DO167" s="67"/>
      <c r="DP167" s="67"/>
      <c r="DQ167" s="67"/>
      <c r="DR167" s="67"/>
      <c r="DS167" s="67"/>
      <c r="DT167" s="67"/>
      <c r="DU167" s="67"/>
      <c r="DV167" s="67"/>
      <c r="DW167" s="67"/>
      <c r="DX167" s="67"/>
      <c r="DY167" s="67"/>
      <c r="DZ167" s="67"/>
      <c r="EA167" s="67"/>
      <c r="EB167" s="67"/>
      <c r="EC167" s="67"/>
      <c r="ED167" s="67"/>
      <c r="EE167" s="67"/>
      <c r="EF167" s="67"/>
      <c r="EG167" s="67"/>
      <c r="EH167" s="67"/>
      <c r="EI167" s="67"/>
      <c r="EJ167" s="67"/>
      <c r="EK167" s="67"/>
      <c r="EL167" s="67"/>
      <c r="EM167" s="67"/>
      <c r="EN167" s="67"/>
      <c r="EO167" s="67"/>
      <c r="EP167" s="67"/>
      <c r="EQ167" s="67"/>
      <c r="ER167" s="67"/>
      <c r="ES167" s="67"/>
      <c r="ET167" s="67"/>
      <c r="EU167" s="67"/>
      <c r="EV167" s="67"/>
      <c r="EW167" s="67"/>
      <c r="EX167" s="67"/>
      <c r="EY167" s="67"/>
      <c r="EZ167" s="67"/>
      <c r="FA167" s="67"/>
      <c r="FB167" s="67"/>
      <c r="FC167" s="67"/>
      <c r="FD167" s="67"/>
      <c r="FE167" s="67"/>
      <c r="FF167" s="67"/>
      <c r="FG167" s="67"/>
      <c r="FH167" s="67"/>
      <c r="FI167" s="67"/>
      <c r="FJ167" s="67"/>
      <c r="FK167" s="67"/>
      <c r="FL167" s="67"/>
      <c r="FM167" s="67"/>
      <c r="FN167" s="67"/>
      <c r="FO167" s="67"/>
      <c r="FP167" s="67"/>
      <c r="FQ167" s="67"/>
      <c r="FR167" s="67"/>
      <c r="FS167" s="67"/>
      <c r="FT167" s="67"/>
      <c r="FU167" s="67"/>
      <c r="FV167" s="67"/>
      <c r="FW167" s="67"/>
      <c r="FX167" s="67"/>
      <c r="FY167" s="67"/>
      <c r="FZ167" s="67"/>
      <c r="GA167" s="67"/>
      <c r="GB167" s="67"/>
      <c r="GC167" s="67"/>
      <c r="GD167" s="67"/>
      <c r="GE167" s="67"/>
      <c r="GF167" s="67"/>
      <c r="GG167" s="67"/>
      <c r="GH167" s="67"/>
      <c r="GI167" s="67"/>
      <c r="GJ167" s="67"/>
      <c r="GK167" s="67"/>
      <c r="GL167" s="67"/>
      <c r="GM167" s="67"/>
      <c r="GN167" s="67"/>
      <c r="GO167" s="67"/>
      <c r="GP167" s="67"/>
      <c r="GQ167" s="67"/>
      <c r="GR167" s="67"/>
      <c r="GS167" s="67"/>
      <c r="GT167" s="67"/>
      <c r="GU167" s="67"/>
      <c r="GV167" s="67"/>
      <c r="GW167" s="67"/>
      <c r="GX167" s="67"/>
      <c r="GY167" s="67"/>
      <c r="GZ167" s="67"/>
      <c r="HA167" s="67"/>
      <c r="HB167" s="67"/>
      <c r="HC167" s="67"/>
      <c r="HD167" s="67"/>
      <c r="HE167" s="67"/>
      <c r="HF167" s="67"/>
      <c r="HG167" s="67"/>
      <c r="HH167" s="67"/>
      <c r="HI167" s="67"/>
      <c r="HJ167" s="67"/>
      <c r="HK167" s="67"/>
      <c r="HL167" s="67"/>
      <c r="HM167" s="67"/>
      <c r="HN167" s="67"/>
      <c r="HO167" s="67"/>
      <c r="HP167" s="67"/>
      <c r="HQ167" s="67"/>
      <c r="HR167" s="67"/>
      <c r="HS167" s="67"/>
      <c r="HT167" s="67"/>
      <c r="HU167" s="67"/>
      <c r="HV167" s="67"/>
      <c r="HW167" s="67"/>
      <c r="HX167" s="67"/>
      <c r="HY167" s="67"/>
      <c r="HZ167" s="67"/>
      <c r="IA167" s="67"/>
      <c r="IB167" s="67"/>
      <c r="IC167" s="67"/>
      <c r="ID167" s="67"/>
      <c r="IE167" s="67"/>
      <c r="IF167" s="67"/>
      <c r="IG167" s="67"/>
      <c r="IH167" s="67"/>
      <c r="II167" s="67"/>
      <c r="IJ167" s="67"/>
      <c r="IK167" s="67"/>
      <c r="IL167" s="67"/>
      <c r="IM167" s="67"/>
      <c r="IN167" s="67"/>
      <c r="IO167" s="67"/>
      <c r="IP167" s="67"/>
      <c r="IQ167" s="67"/>
      <c r="IR167" s="67"/>
      <c r="IS167" s="67"/>
      <c r="IT167" s="67"/>
      <c r="IU167" s="67"/>
      <c r="IV167" s="67"/>
      <c r="IW167" s="67"/>
      <c r="IX167" s="67"/>
      <c r="IY167" s="67"/>
      <c r="IZ167" s="67"/>
      <c r="JA167" s="67"/>
      <c r="JB167" s="67"/>
      <c r="JC167" s="67"/>
      <c r="JD167" s="67"/>
      <c r="JE167" s="67"/>
      <c r="JF167" s="67"/>
      <c r="JG167" s="67"/>
      <c r="JH167" s="67"/>
      <c r="JI167" s="67"/>
      <c r="JJ167" s="67"/>
      <c r="JK167" s="67"/>
      <c r="JL167" s="67"/>
      <c r="JM167" s="67"/>
      <c r="JN167" s="67"/>
      <c r="JO167" s="67"/>
      <c r="JP167" s="67"/>
      <c r="JQ167" s="67"/>
      <c r="JR167" s="67"/>
      <c r="JS167" s="67"/>
      <c r="JT167" s="67"/>
      <c r="JU167" s="67"/>
      <c r="JV167" s="67"/>
      <c r="JW167" s="67"/>
      <c r="JX167" s="67"/>
      <c r="JY167" s="67"/>
      <c r="JZ167" s="67"/>
      <c r="KA167" s="67"/>
      <c r="KB167" s="67"/>
      <c r="KC167" s="67"/>
      <c r="KD167" s="67"/>
      <c r="KE167" s="67"/>
      <c r="KF167" s="67"/>
      <c r="KG167" s="67"/>
      <c r="KH167" s="67"/>
      <c r="KI167" s="67"/>
      <c r="KJ167" s="67"/>
      <c r="KK167" s="67"/>
      <c r="KL167" s="67"/>
      <c r="KM167" s="67"/>
      <c r="KN167" s="67"/>
      <c r="KO167" s="67"/>
      <c r="KP167" s="67"/>
      <c r="KQ167" s="67"/>
      <c r="KR167" s="67"/>
      <c r="KS167" s="67"/>
      <c r="KT167" s="67"/>
      <c r="KU167" s="67"/>
      <c r="KV167" s="67"/>
      <c r="KW167" s="67"/>
      <c r="KX167" s="67"/>
      <c r="KY167" s="67"/>
      <c r="KZ167" s="67"/>
      <c r="LA167" s="67"/>
      <c r="LB167" s="67"/>
      <c r="LC167" s="67"/>
      <c r="LD167" s="67"/>
      <c r="LE167" s="67"/>
      <c r="LF167" s="67"/>
      <c r="LG167" s="67"/>
      <c r="LH167" s="67"/>
      <c r="LI167" s="67"/>
      <c r="LJ167" s="67"/>
      <c r="LK167" s="67"/>
      <c r="LL167" s="67"/>
      <c r="LM167" s="67"/>
      <c r="LN167" s="67"/>
      <c r="LO167" s="67"/>
      <c r="LP167" s="67"/>
      <c r="LQ167" s="67"/>
      <c r="LR167" s="67"/>
      <c r="LS167" s="67"/>
      <c r="LT167" s="67"/>
      <c r="LU167" s="67"/>
      <c r="LV167" s="67"/>
      <c r="LW167" s="67"/>
      <c r="LX167" s="67"/>
      <c r="LY167" s="67"/>
      <c r="LZ167" s="67"/>
      <c r="MA167" s="67"/>
      <c r="MB167" s="67"/>
    </row>
    <row r="168" spans="1:340" s="50" customFormat="1" ht="15.75" customHeight="1" thickBot="1">
      <c r="A168" s="44">
        <v>3</v>
      </c>
      <c r="B168" s="88" t="s">
        <v>102</v>
      </c>
      <c r="C168" s="85" t="s">
        <v>103</v>
      </c>
      <c r="D168" s="86" t="s">
        <v>22</v>
      </c>
      <c r="E168" s="130" t="s">
        <v>23</v>
      </c>
      <c r="F168" s="87" t="s">
        <v>24</v>
      </c>
      <c r="G168" s="139"/>
      <c r="H168" s="68"/>
      <c r="I168" s="68"/>
      <c r="J168" s="153"/>
      <c r="K168" s="68"/>
      <c r="L168" s="68"/>
      <c r="M168" s="68" t="s">
        <v>26</v>
      </c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 t="s">
        <v>27</v>
      </c>
      <c r="AH168" s="68"/>
      <c r="AI168" s="68"/>
      <c r="AJ168" s="68" t="s">
        <v>26</v>
      </c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 t="s">
        <v>27</v>
      </c>
      <c r="BD168" s="68"/>
      <c r="BE168" s="68" t="s">
        <v>26</v>
      </c>
      <c r="BF168" s="68"/>
      <c r="BG168" s="68"/>
      <c r="BH168" s="68"/>
      <c r="BI168" s="68"/>
      <c r="BJ168" s="68"/>
      <c r="BK168" s="68"/>
      <c r="BL168" s="68"/>
      <c r="BM168" s="68"/>
      <c r="BN168" s="68" t="s">
        <v>27</v>
      </c>
      <c r="BO168" s="68" t="s">
        <v>37</v>
      </c>
      <c r="BP168" s="67"/>
      <c r="BQ168" s="67"/>
      <c r="BR168" s="67"/>
      <c r="BS168" s="67"/>
      <c r="BT168" s="67"/>
      <c r="BU168" s="67"/>
      <c r="BV168" s="67"/>
      <c r="BW168" s="67"/>
      <c r="BX168" s="67"/>
      <c r="BY168" s="67"/>
      <c r="BZ168" s="67"/>
      <c r="CA168" s="67"/>
      <c r="CB168" s="67"/>
      <c r="CC168" s="67"/>
      <c r="CD168" s="67"/>
      <c r="CE168" s="67"/>
      <c r="CF168" s="67"/>
      <c r="CG168" s="67"/>
      <c r="CH168" s="67"/>
      <c r="CI168" s="67"/>
      <c r="CJ168" s="67"/>
      <c r="CK168" s="67"/>
      <c r="CL168" s="67"/>
      <c r="CM168" s="67"/>
      <c r="CN168" s="67"/>
      <c r="CO168" s="67"/>
      <c r="CP168" s="67"/>
      <c r="CQ168" s="67"/>
      <c r="CR168" s="67"/>
      <c r="CS168" s="67"/>
      <c r="CT168" s="67"/>
      <c r="CU168" s="67"/>
      <c r="CV168" s="67"/>
      <c r="CW168" s="67"/>
      <c r="CX168" s="67"/>
      <c r="CY168" s="67"/>
      <c r="CZ168" s="67"/>
      <c r="DA168" s="67"/>
      <c r="DB168" s="67"/>
      <c r="DC168" s="67"/>
      <c r="DD168" s="67"/>
      <c r="DE168" s="67"/>
      <c r="DF168" s="67"/>
      <c r="DG168" s="67"/>
      <c r="DH168" s="67"/>
      <c r="DI168" s="67"/>
      <c r="DJ168" s="67"/>
      <c r="DK168" s="67"/>
      <c r="DL168" s="67"/>
      <c r="DM168" s="67"/>
      <c r="DN168" s="67"/>
      <c r="DO168" s="67"/>
      <c r="DP168" s="67"/>
      <c r="DQ168" s="67"/>
      <c r="DR168" s="67"/>
      <c r="DS168" s="67"/>
      <c r="DT168" s="67"/>
      <c r="DU168" s="67"/>
      <c r="DV168" s="67"/>
      <c r="DW168" s="67"/>
      <c r="DX168" s="67"/>
      <c r="DY168" s="67"/>
      <c r="DZ168" s="67"/>
      <c r="EA168" s="67"/>
      <c r="EB168" s="67"/>
      <c r="EC168" s="67"/>
      <c r="ED168" s="67"/>
      <c r="EE168" s="67"/>
      <c r="EF168" s="67"/>
      <c r="EG168" s="67"/>
      <c r="EH168" s="67"/>
      <c r="EI168" s="67"/>
      <c r="EJ168" s="67"/>
      <c r="EK168" s="67"/>
      <c r="EL168" s="67"/>
      <c r="EM168" s="67"/>
      <c r="EN168" s="67"/>
      <c r="EO168" s="67"/>
      <c r="EP168" s="67"/>
      <c r="EQ168" s="67"/>
      <c r="ER168" s="67"/>
      <c r="ES168" s="67"/>
      <c r="ET168" s="67"/>
      <c r="EU168" s="67"/>
      <c r="EV168" s="67"/>
      <c r="EW168" s="67"/>
      <c r="EX168" s="67"/>
      <c r="EY168" s="67"/>
      <c r="EZ168" s="67"/>
      <c r="FA168" s="67"/>
      <c r="FB168" s="67"/>
      <c r="FC168" s="67"/>
      <c r="FD168" s="67"/>
      <c r="FE168" s="67"/>
      <c r="FF168" s="67"/>
      <c r="FG168" s="67"/>
      <c r="FH168" s="67"/>
      <c r="FI168" s="67"/>
      <c r="FJ168" s="67"/>
      <c r="FK168" s="67"/>
      <c r="FL168" s="67"/>
      <c r="FM168" s="67"/>
      <c r="FN168" s="67"/>
      <c r="FO168" s="67"/>
      <c r="FP168" s="67"/>
      <c r="FQ168" s="67"/>
      <c r="FR168" s="67"/>
      <c r="FS168" s="67"/>
      <c r="FT168" s="67"/>
      <c r="FU168" s="67"/>
      <c r="FV168" s="67"/>
      <c r="FW168" s="67"/>
      <c r="FX168" s="67"/>
      <c r="FY168" s="67"/>
      <c r="FZ168" s="67"/>
      <c r="GA168" s="67"/>
      <c r="GB168" s="67"/>
      <c r="GC168" s="67"/>
      <c r="GD168" s="67"/>
      <c r="GE168" s="67"/>
      <c r="GF168" s="67"/>
      <c r="GG168" s="67"/>
      <c r="GH168" s="67"/>
      <c r="GI168" s="67"/>
      <c r="GJ168" s="67"/>
      <c r="GK168" s="67"/>
      <c r="GL168" s="67"/>
      <c r="GM168" s="67"/>
      <c r="GN168" s="67"/>
      <c r="GO168" s="67"/>
      <c r="GP168" s="67"/>
      <c r="GQ168" s="67"/>
      <c r="GR168" s="67"/>
      <c r="GS168" s="67"/>
      <c r="GT168" s="67"/>
      <c r="GU168" s="67"/>
      <c r="GV168" s="67"/>
      <c r="GW168" s="67"/>
      <c r="GX168" s="67"/>
      <c r="GY168" s="67"/>
      <c r="GZ168" s="67"/>
      <c r="HA168" s="67"/>
      <c r="HB168" s="67"/>
      <c r="HC168" s="67"/>
      <c r="HD168" s="67"/>
      <c r="HE168" s="67"/>
      <c r="HF168" s="67"/>
      <c r="HG168" s="67"/>
      <c r="HH168" s="67"/>
      <c r="HI168" s="67"/>
      <c r="HJ168" s="67"/>
      <c r="HK168" s="67"/>
      <c r="HL168" s="67"/>
      <c r="HM168" s="67"/>
      <c r="HN168" s="67"/>
      <c r="HO168" s="67"/>
      <c r="HP168" s="67"/>
      <c r="HQ168" s="67"/>
      <c r="HR168" s="67"/>
      <c r="HS168" s="67"/>
      <c r="HT168" s="67"/>
      <c r="HU168" s="67"/>
      <c r="HV168" s="67"/>
      <c r="HW168" s="67"/>
      <c r="HX168" s="67"/>
      <c r="HY168" s="67"/>
      <c r="HZ168" s="67"/>
      <c r="IA168" s="67"/>
      <c r="IB168" s="67"/>
      <c r="IC168" s="67"/>
      <c r="ID168" s="67"/>
      <c r="IE168" s="67"/>
      <c r="IF168" s="67"/>
      <c r="IG168" s="67"/>
      <c r="IH168" s="67"/>
      <c r="II168" s="67"/>
      <c r="IJ168" s="67"/>
      <c r="IK168" s="67"/>
      <c r="IL168" s="67"/>
      <c r="IM168" s="67"/>
      <c r="IN168" s="67"/>
      <c r="IO168" s="67"/>
      <c r="IP168" s="67"/>
      <c r="IQ168" s="67"/>
      <c r="IR168" s="67"/>
      <c r="IS168" s="67"/>
      <c r="IT168" s="67"/>
      <c r="IU168" s="67"/>
      <c r="IV168" s="67"/>
      <c r="IW168" s="67"/>
      <c r="IX168" s="67"/>
      <c r="IY168" s="67"/>
      <c r="IZ168" s="67"/>
      <c r="JA168" s="67"/>
      <c r="JB168" s="67"/>
      <c r="JC168" s="67"/>
      <c r="JD168" s="67"/>
      <c r="JE168" s="67"/>
      <c r="JF168" s="67"/>
      <c r="JG168" s="67"/>
      <c r="JH168" s="67"/>
      <c r="JI168" s="67"/>
      <c r="JJ168" s="67"/>
      <c r="JK168" s="67"/>
      <c r="JL168" s="67"/>
      <c r="JM168" s="67"/>
      <c r="JN168" s="67"/>
      <c r="JO168" s="67"/>
      <c r="JP168" s="67"/>
      <c r="JQ168" s="67"/>
      <c r="JR168" s="67"/>
      <c r="JS168" s="67"/>
      <c r="JT168" s="67"/>
      <c r="JU168" s="67"/>
      <c r="JV168" s="67"/>
      <c r="JW168" s="67"/>
      <c r="JX168" s="67"/>
      <c r="JY168" s="67"/>
      <c r="JZ168" s="67"/>
      <c r="KA168" s="67"/>
      <c r="KB168" s="67"/>
      <c r="KC168" s="67"/>
      <c r="KD168" s="67"/>
      <c r="KE168" s="67"/>
      <c r="KF168" s="67"/>
      <c r="KG168" s="67"/>
      <c r="KH168" s="67"/>
      <c r="KI168" s="67"/>
      <c r="KJ168" s="67"/>
      <c r="KK168" s="67"/>
      <c r="KL168" s="67"/>
      <c r="KM168" s="67"/>
      <c r="KN168" s="67"/>
      <c r="KO168" s="67"/>
      <c r="KP168" s="67"/>
      <c r="KQ168" s="67"/>
      <c r="KR168" s="67"/>
      <c r="KS168" s="67"/>
      <c r="KT168" s="67"/>
      <c r="KU168" s="67"/>
      <c r="KV168" s="67"/>
      <c r="KW168" s="67"/>
      <c r="KX168" s="67"/>
      <c r="KY168" s="67"/>
      <c r="KZ168" s="67"/>
      <c r="LA168" s="67"/>
      <c r="LB168" s="67"/>
      <c r="LC168" s="67"/>
      <c r="LD168" s="67"/>
      <c r="LE168" s="67"/>
      <c r="LF168" s="67"/>
      <c r="LG168" s="67"/>
      <c r="LH168" s="67"/>
      <c r="LI168" s="67"/>
      <c r="LJ168" s="67"/>
      <c r="LK168" s="67"/>
      <c r="LL168" s="67"/>
      <c r="LM168" s="67"/>
      <c r="LN168" s="67"/>
      <c r="LO168" s="67"/>
      <c r="LP168" s="67"/>
      <c r="LQ168" s="67"/>
      <c r="LR168" s="67"/>
      <c r="LS168" s="67"/>
      <c r="LT168" s="67"/>
      <c r="LU168" s="67"/>
      <c r="LV168" s="67"/>
      <c r="LW168" s="67"/>
      <c r="LX168" s="67"/>
      <c r="LY168" s="67"/>
      <c r="LZ168" s="67"/>
      <c r="MA168" s="67"/>
      <c r="MB168" s="67"/>
    </row>
    <row r="169" spans="1:340" s="50" customFormat="1" ht="15.75" customHeight="1" thickBot="1">
      <c r="A169" s="44">
        <v>3</v>
      </c>
      <c r="B169" s="88" t="s">
        <v>157</v>
      </c>
      <c r="C169" s="85" t="s">
        <v>281</v>
      </c>
      <c r="D169" s="86" t="s">
        <v>22</v>
      </c>
      <c r="E169" s="130" t="s">
        <v>23</v>
      </c>
      <c r="F169" s="87" t="s">
        <v>24</v>
      </c>
      <c r="G169" s="139"/>
      <c r="H169" s="153"/>
      <c r="I169" s="68" t="s">
        <v>41</v>
      </c>
      <c r="J169" s="68"/>
      <c r="K169" s="68"/>
      <c r="L169" s="68"/>
      <c r="M169" s="68"/>
      <c r="N169" s="153"/>
      <c r="O169" s="68" t="s">
        <v>41</v>
      </c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 t="s">
        <v>27</v>
      </c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 t="s">
        <v>27</v>
      </c>
      <c r="BC169" s="68"/>
      <c r="BD169" s="68"/>
      <c r="BE169" s="68"/>
      <c r="BF169" s="68"/>
      <c r="BG169" s="68"/>
      <c r="BH169" s="68"/>
      <c r="BI169" s="68"/>
      <c r="BJ169" s="68"/>
      <c r="BK169" s="68"/>
      <c r="BL169" s="68"/>
      <c r="BM169" s="68"/>
      <c r="BN169" s="68"/>
      <c r="BO169" s="68" t="s">
        <v>27</v>
      </c>
      <c r="BP169" s="68" t="s">
        <v>37</v>
      </c>
      <c r="BQ169" s="67"/>
      <c r="BR169" s="67"/>
      <c r="BS169" s="67"/>
      <c r="BT169" s="67"/>
      <c r="BU169" s="67"/>
      <c r="BV169" s="67"/>
      <c r="BW169" s="67"/>
      <c r="BX169" s="67"/>
      <c r="BY169" s="67"/>
      <c r="BZ169" s="67"/>
      <c r="CA169" s="67"/>
      <c r="CB169" s="67"/>
      <c r="CC169" s="67"/>
      <c r="CD169" s="67"/>
      <c r="CE169" s="67"/>
      <c r="CF169" s="67"/>
      <c r="CG169" s="67"/>
      <c r="CH169" s="67"/>
      <c r="CI169" s="67"/>
      <c r="CJ169" s="67"/>
      <c r="CK169" s="67"/>
      <c r="CL169" s="67"/>
      <c r="CM169" s="67"/>
      <c r="CN169" s="67"/>
      <c r="CO169" s="67"/>
      <c r="CP169" s="67"/>
      <c r="CQ169" s="67"/>
      <c r="CR169" s="67"/>
      <c r="CS169" s="67"/>
      <c r="CT169" s="67"/>
      <c r="CU169" s="67"/>
      <c r="CV169" s="67"/>
      <c r="CW169" s="67"/>
      <c r="CX169" s="67"/>
      <c r="CY169" s="67"/>
      <c r="CZ169" s="67"/>
      <c r="DA169" s="67"/>
      <c r="DB169" s="67"/>
      <c r="DC169" s="67"/>
      <c r="DD169" s="67"/>
      <c r="DE169" s="67"/>
      <c r="DF169" s="67"/>
      <c r="DG169" s="67"/>
      <c r="DH169" s="67"/>
      <c r="DI169" s="67"/>
      <c r="DJ169" s="67"/>
      <c r="DK169" s="67"/>
      <c r="DL169" s="67"/>
      <c r="DM169" s="67"/>
      <c r="DN169" s="67"/>
      <c r="DO169" s="67"/>
      <c r="DP169" s="67"/>
      <c r="DQ169" s="67"/>
      <c r="DR169" s="67"/>
      <c r="DS169" s="67"/>
      <c r="DT169" s="67"/>
      <c r="DU169" s="67"/>
      <c r="DV169" s="67"/>
      <c r="DW169" s="67"/>
      <c r="DX169" s="67"/>
      <c r="DY169" s="67"/>
      <c r="DZ169" s="67"/>
      <c r="EA169" s="67"/>
      <c r="EB169" s="67"/>
      <c r="EC169" s="67"/>
      <c r="ED169" s="67"/>
      <c r="EE169" s="67"/>
      <c r="EF169" s="67"/>
      <c r="EG169" s="67"/>
      <c r="EH169" s="67"/>
      <c r="EI169" s="67"/>
      <c r="EJ169" s="67"/>
      <c r="EK169" s="67"/>
      <c r="EL169" s="67"/>
      <c r="EM169" s="67"/>
      <c r="EN169" s="67"/>
      <c r="EO169" s="67"/>
      <c r="EP169" s="67"/>
      <c r="EQ169" s="67"/>
      <c r="ER169" s="67"/>
      <c r="ES169" s="67"/>
      <c r="ET169" s="67"/>
      <c r="EU169" s="67"/>
      <c r="EV169" s="67"/>
      <c r="EW169" s="67"/>
      <c r="EX169" s="67"/>
      <c r="EY169" s="67"/>
      <c r="EZ169" s="67"/>
      <c r="FA169" s="67"/>
      <c r="FB169" s="67"/>
      <c r="FC169" s="67"/>
      <c r="FD169" s="67"/>
      <c r="FE169" s="67"/>
      <c r="FF169" s="67"/>
      <c r="FG169" s="67"/>
      <c r="FH169" s="67"/>
      <c r="FI169" s="67"/>
      <c r="FJ169" s="67"/>
      <c r="FK169" s="67"/>
      <c r="FL169" s="67"/>
      <c r="FM169" s="67"/>
      <c r="FN169" s="67"/>
      <c r="FO169" s="67"/>
      <c r="FP169" s="67"/>
      <c r="FQ169" s="67"/>
      <c r="FR169" s="67"/>
      <c r="FS169" s="67"/>
      <c r="FT169" s="67"/>
      <c r="FU169" s="67"/>
      <c r="FV169" s="67"/>
      <c r="FW169" s="67"/>
      <c r="FX169" s="67"/>
      <c r="FY169" s="67"/>
      <c r="FZ169" s="67"/>
      <c r="GA169" s="67"/>
      <c r="GB169" s="67"/>
      <c r="GC169" s="67"/>
      <c r="GD169" s="67"/>
      <c r="GE169" s="67"/>
      <c r="GF169" s="67"/>
      <c r="GG169" s="67"/>
      <c r="GH169" s="67"/>
      <c r="GI169" s="67"/>
      <c r="GJ169" s="67"/>
      <c r="GK169" s="67"/>
      <c r="GL169" s="67"/>
      <c r="GM169" s="67"/>
      <c r="GN169" s="67"/>
      <c r="GO169" s="67"/>
      <c r="GP169" s="67"/>
      <c r="GQ169" s="67"/>
      <c r="GR169" s="67"/>
      <c r="GS169" s="67"/>
      <c r="GT169" s="67"/>
      <c r="GU169" s="67"/>
      <c r="GV169" s="67"/>
      <c r="GW169" s="67"/>
      <c r="GX169" s="67"/>
      <c r="GY169" s="67"/>
      <c r="GZ169" s="67"/>
      <c r="HA169" s="67"/>
      <c r="HB169" s="67"/>
      <c r="HC169" s="67"/>
      <c r="HD169" s="67"/>
      <c r="HE169" s="67"/>
      <c r="HF169" s="67"/>
      <c r="HG169" s="67"/>
      <c r="HH169" s="67"/>
      <c r="HI169" s="67"/>
      <c r="HJ169" s="67"/>
      <c r="HK169" s="67"/>
      <c r="HL169" s="67"/>
      <c r="HM169" s="67"/>
      <c r="HN169" s="67"/>
      <c r="HO169" s="67"/>
      <c r="HP169" s="67"/>
      <c r="HQ169" s="67"/>
      <c r="HR169" s="67"/>
      <c r="HS169" s="67"/>
      <c r="HT169" s="67"/>
      <c r="HU169" s="67"/>
      <c r="HV169" s="67"/>
      <c r="HW169" s="67"/>
      <c r="HX169" s="67"/>
      <c r="HY169" s="67"/>
      <c r="HZ169" s="67"/>
      <c r="IA169" s="67"/>
      <c r="IB169" s="67"/>
      <c r="IC169" s="67"/>
      <c r="ID169" s="67"/>
      <c r="IE169" s="67"/>
      <c r="IF169" s="67"/>
      <c r="IG169" s="67"/>
      <c r="IH169" s="67"/>
      <c r="II169" s="67"/>
      <c r="IJ169" s="67"/>
      <c r="IK169" s="67"/>
      <c r="IL169" s="67"/>
      <c r="IM169" s="67"/>
      <c r="IN169" s="67"/>
      <c r="IO169" s="67"/>
      <c r="IP169" s="67"/>
      <c r="IQ169" s="67"/>
      <c r="IR169" s="67"/>
      <c r="IS169" s="67"/>
      <c r="IT169" s="67"/>
      <c r="IU169" s="67"/>
      <c r="IV169" s="67"/>
      <c r="IW169" s="67"/>
      <c r="IX169" s="67"/>
      <c r="IY169" s="67"/>
      <c r="IZ169" s="67"/>
      <c r="JA169" s="67"/>
      <c r="JB169" s="67"/>
      <c r="JC169" s="67"/>
      <c r="JD169" s="67"/>
      <c r="JE169" s="67"/>
      <c r="JF169" s="67"/>
      <c r="JG169" s="67"/>
      <c r="JH169" s="67"/>
      <c r="JI169" s="67"/>
      <c r="JJ169" s="67"/>
      <c r="JK169" s="67"/>
      <c r="JL169" s="67"/>
      <c r="JM169" s="67"/>
      <c r="JN169" s="67"/>
      <c r="JO169" s="67"/>
      <c r="JP169" s="67"/>
      <c r="JQ169" s="67"/>
      <c r="JR169" s="67"/>
      <c r="JS169" s="67"/>
      <c r="JT169" s="67"/>
      <c r="JU169" s="67"/>
      <c r="JV169" s="67"/>
      <c r="JW169" s="67"/>
      <c r="JX169" s="67"/>
      <c r="JY169" s="67"/>
      <c r="JZ169" s="67"/>
      <c r="KA169" s="67"/>
      <c r="KB169" s="67"/>
      <c r="KC169" s="67"/>
      <c r="KD169" s="67"/>
      <c r="KE169" s="67"/>
      <c r="KF169" s="67"/>
      <c r="KG169" s="67"/>
      <c r="KH169" s="67"/>
      <c r="KI169" s="67"/>
      <c r="KJ169" s="67"/>
      <c r="KK169" s="67"/>
      <c r="KL169" s="67"/>
      <c r="KM169" s="67"/>
      <c r="KN169" s="67"/>
      <c r="KO169" s="67"/>
      <c r="KP169" s="67"/>
      <c r="KQ169" s="67"/>
      <c r="KR169" s="67"/>
      <c r="KS169" s="67"/>
      <c r="KT169" s="67"/>
      <c r="KU169" s="67"/>
      <c r="KV169" s="67"/>
      <c r="KW169" s="67"/>
      <c r="KX169" s="67"/>
      <c r="KY169" s="67"/>
      <c r="KZ169" s="67"/>
      <c r="LA169" s="67"/>
      <c r="LB169" s="67"/>
      <c r="LC169" s="67"/>
      <c r="LD169" s="67"/>
      <c r="LE169" s="67"/>
      <c r="LF169" s="67"/>
      <c r="LG169" s="67"/>
      <c r="LH169" s="67"/>
      <c r="LI169" s="67"/>
      <c r="LJ169" s="67"/>
      <c r="LK169" s="67"/>
      <c r="LL169" s="67"/>
      <c r="LM169" s="67"/>
      <c r="LN169" s="67"/>
      <c r="LO169" s="67"/>
      <c r="LP169" s="67"/>
      <c r="LQ169" s="67"/>
      <c r="LR169" s="67"/>
      <c r="LS169" s="67"/>
      <c r="LT169" s="67"/>
      <c r="LU169" s="67"/>
      <c r="LV169" s="67"/>
      <c r="LW169" s="67"/>
      <c r="LX169" s="67"/>
      <c r="LY169" s="67"/>
      <c r="LZ169" s="67"/>
      <c r="MA169" s="67"/>
      <c r="MB169" s="67"/>
    </row>
    <row r="170" spans="1:340" s="50" customFormat="1" ht="15.75" hidden="1" customHeight="1" thickBot="1">
      <c r="A170" s="44">
        <v>3</v>
      </c>
      <c r="B170" s="88" t="s">
        <v>43</v>
      </c>
      <c r="C170" s="85" t="s">
        <v>44</v>
      </c>
      <c r="D170" s="86" t="s">
        <v>45</v>
      </c>
      <c r="E170" s="130" t="s">
        <v>46</v>
      </c>
      <c r="F170" s="87" t="s">
        <v>24</v>
      </c>
      <c r="G170" s="139"/>
      <c r="H170" s="68"/>
      <c r="I170" s="68"/>
      <c r="J170" s="68"/>
      <c r="K170" s="68"/>
      <c r="L170" s="153"/>
      <c r="M170" s="68" t="s">
        <v>27</v>
      </c>
      <c r="N170" s="68"/>
      <c r="O170" s="68"/>
      <c r="P170" s="68"/>
      <c r="Q170" s="68" t="s">
        <v>27</v>
      </c>
      <c r="R170" s="68"/>
      <c r="S170" s="68"/>
      <c r="T170" s="68"/>
      <c r="U170" s="68" t="s">
        <v>27</v>
      </c>
      <c r="V170" s="68"/>
      <c r="W170" s="68"/>
      <c r="X170" s="68"/>
      <c r="Y170" s="68" t="s">
        <v>27</v>
      </c>
      <c r="Z170" s="68"/>
      <c r="AA170" s="68"/>
      <c r="AB170" s="68"/>
      <c r="AC170" s="68" t="s">
        <v>27</v>
      </c>
      <c r="AD170" s="68"/>
      <c r="AE170" s="68"/>
      <c r="AF170" s="68"/>
      <c r="AG170" s="68" t="s">
        <v>27</v>
      </c>
      <c r="AH170" s="68"/>
      <c r="AI170" s="68"/>
      <c r="AJ170" s="68"/>
      <c r="AK170" s="68" t="s">
        <v>27</v>
      </c>
      <c r="AL170" s="68"/>
      <c r="AM170" s="68"/>
      <c r="AN170" s="68" t="s">
        <v>27</v>
      </c>
      <c r="AO170" s="68"/>
      <c r="AP170" s="68"/>
      <c r="AQ170" s="68" t="s">
        <v>27</v>
      </c>
      <c r="AR170" s="68"/>
      <c r="AS170" s="68" t="s">
        <v>27</v>
      </c>
      <c r="AT170" s="68"/>
      <c r="AU170" s="68"/>
      <c r="AV170" s="68"/>
      <c r="AW170" s="68" t="s">
        <v>27</v>
      </c>
      <c r="AX170" s="68"/>
      <c r="AY170" s="68"/>
      <c r="AZ170" s="68" t="s">
        <v>27</v>
      </c>
      <c r="BA170" s="68"/>
      <c r="BB170" s="68"/>
      <c r="BC170" s="68" t="s">
        <v>27</v>
      </c>
      <c r="BD170" s="68"/>
      <c r="BE170" s="68"/>
      <c r="BF170" s="68" t="s">
        <v>27</v>
      </c>
      <c r="BG170" s="68"/>
      <c r="BH170" s="68"/>
      <c r="BI170" s="68" t="s">
        <v>27</v>
      </c>
      <c r="BJ170" s="68"/>
      <c r="BK170" s="68"/>
      <c r="BL170" s="68" t="s">
        <v>27</v>
      </c>
      <c r="BM170" s="68"/>
      <c r="BN170" s="68"/>
      <c r="BO170" s="68" t="s">
        <v>27</v>
      </c>
      <c r="BP170" s="68" t="s">
        <v>37</v>
      </c>
      <c r="BQ170" s="67"/>
      <c r="BR170" s="67"/>
      <c r="BS170" s="67"/>
      <c r="BT170" s="67"/>
      <c r="BU170" s="67"/>
      <c r="BV170" s="67"/>
      <c r="BW170" s="67"/>
      <c r="BX170" s="67"/>
      <c r="BY170" s="67"/>
      <c r="BZ170" s="67"/>
      <c r="CA170" s="67"/>
      <c r="CB170" s="67"/>
      <c r="CC170" s="67"/>
      <c r="CD170" s="67"/>
      <c r="CE170" s="67"/>
      <c r="CF170" s="67"/>
      <c r="CG170" s="67"/>
      <c r="CH170" s="67"/>
      <c r="CI170" s="67"/>
      <c r="CJ170" s="67"/>
      <c r="CK170" s="67"/>
      <c r="CL170" s="67"/>
      <c r="CM170" s="67"/>
      <c r="CN170" s="67"/>
      <c r="CO170" s="67"/>
      <c r="CP170" s="67"/>
      <c r="CQ170" s="67"/>
      <c r="CR170" s="67"/>
      <c r="CS170" s="67"/>
      <c r="CT170" s="67"/>
      <c r="CU170" s="67"/>
      <c r="CV170" s="67"/>
      <c r="CW170" s="67"/>
      <c r="CX170" s="67"/>
      <c r="CY170" s="67"/>
      <c r="CZ170" s="67"/>
      <c r="DA170" s="67"/>
      <c r="DB170" s="67"/>
      <c r="DC170" s="67"/>
      <c r="DD170" s="67"/>
      <c r="DE170" s="67"/>
      <c r="DF170" s="67"/>
      <c r="DG170" s="67"/>
      <c r="DH170" s="67"/>
      <c r="DI170" s="67"/>
      <c r="DJ170" s="67"/>
      <c r="DK170" s="67"/>
      <c r="DL170" s="67"/>
      <c r="DM170" s="67"/>
      <c r="DN170" s="67"/>
      <c r="DO170" s="67"/>
      <c r="DP170" s="67"/>
      <c r="DQ170" s="67"/>
      <c r="DR170" s="67"/>
      <c r="DS170" s="67"/>
      <c r="DT170" s="67"/>
      <c r="DU170" s="67"/>
      <c r="DV170" s="67"/>
      <c r="DW170" s="67"/>
      <c r="DX170" s="67"/>
      <c r="DY170" s="67"/>
      <c r="DZ170" s="67"/>
      <c r="EA170" s="67"/>
      <c r="EB170" s="67"/>
      <c r="EC170" s="67"/>
      <c r="ED170" s="67"/>
      <c r="EE170" s="67"/>
      <c r="EF170" s="67"/>
      <c r="EG170" s="67"/>
      <c r="EH170" s="67"/>
      <c r="EI170" s="67"/>
      <c r="EJ170" s="67"/>
      <c r="EK170" s="67"/>
      <c r="EL170" s="67"/>
      <c r="EM170" s="67"/>
      <c r="EN170" s="67"/>
      <c r="EO170" s="67"/>
      <c r="EP170" s="67"/>
      <c r="EQ170" s="67"/>
      <c r="ER170" s="67"/>
      <c r="ES170" s="67"/>
      <c r="ET170" s="67"/>
      <c r="EU170" s="67"/>
      <c r="EV170" s="67"/>
      <c r="EW170" s="67"/>
      <c r="EX170" s="67"/>
      <c r="EY170" s="67"/>
      <c r="EZ170" s="67"/>
      <c r="FA170" s="67"/>
      <c r="FB170" s="67"/>
      <c r="FC170" s="67"/>
      <c r="FD170" s="67"/>
      <c r="FE170" s="67"/>
      <c r="FF170" s="67"/>
      <c r="FG170" s="67"/>
      <c r="FH170" s="67"/>
      <c r="FI170" s="67"/>
      <c r="FJ170" s="67"/>
      <c r="FK170" s="67"/>
      <c r="FL170" s="67"/>
      <c r="FM170" s="67"/>
      <c r="FN170" s="67"/>
      <c r="FO170" s="67"/>
      <c r="FP170" s="67"/>
      <c r="FQ170" s="67"/>
      <c r="FR170" s="67"/>
      <c r="FS170" s="67"/>
      <c r="FT170" s="67"/>
      <c r="FU170" s="67"/>
      <c r="FV170" s="67"/>
      <c r="FW170" s="67"/>
      <c r="FX170" s="67"/>
      <c r="FY170" s="67"/>
      <c r="FZ170" s="67"/>
      <c r="GA170" s="67"/>
      <c r="GB170" s="67"/>
      <c r="GC170" s="67"/>
      <c r="GD170" s="67"/>
      <c r="GE170" s="67"/>
      <c r="GF170" s="67"/>
      <c r="GG170" s="67"/>
      <c r="GH170" s="67"/>
      <c r="GI170" s="67"/>
      <c r="GJ170" s="67"/>
      <c r="GK170" s="67"/>
      <c r="GL170" s="67"/>
      <c r="GM170" s="67"/>
      <c r="GN170" s="67"/>
      <c r="GO170" s="67"/>
      <c r="GP170" s="67"/>
      <c r="GQ170" s="67"/>
      <c r="GR170" s="67"/>
      <c r="GS170" s="67"/>
      <c r="GT170" s="67"/>
      <c r="GU170" s="67"/>
      <c r="GV170" s="67"/>
      <c r="GW170" s="67"/>
      <c r="GX170" s="67"/>
      <c r="GY170" s="67"/>
      <c r="GZ170" s="67"/>
      <c r="HA170" s="67"/>
      <c r="HB170" s="67"/>
      <c r="HC170" s="67"/>
      <c r="HD170" s="67"/>
      <c r="HE170" s="67"/>
      <c r="HF170" s="67"/>
      <c r="HG170" s="67"/>
      <c r="HH170" s="67"/>
      <c r="HI170" s="67"/>
      <c r="HJ170" s="67"/>
      <c r="HK170" s="67"/>
      <c r="HL170" s="67"/>
      <c r="HM170" s="67"/>
      <c r="HN170" s="67"/>
      <c r="HO170" s="67"/>
      <c r="HP170" s="67"/>
      <c r="HQ170" s="67"/>
      <c r="HR170" s="67"/>
      <c r="HS170" s="67"/>
      <c r="HT170" s="67"/>
      <c r="HU170" s="67"/>
      <c r="HV170" s="67"/>
      <c r="HW170" s="67"/>
      <c r="HX170" s="67"/>
      <c r="HY170" s="67"/>
      <c r="HZ170" s="67"/>
      <c r="IA170" s="67"/>
      <c r="IB170" s="67"/>
      <c r="IC170" s="67"/>
      <c r="ID170" s="67"/>
      <c r="IE170" s="67"/>
      <c r="IF170" s="67"/>
      <c r="IG170" s="67"/>
      <c r="IH170" s="67"/>
      <c r="II170" s="67"/>
      <c r="IJ170" s="67"/>
      <c r="IK170" s="67"/>
      <c r="IL170" s="67"/>
      <c r="IM170" s="67"/>
      <c r="IN170" s="67"/>
      <c r="IO170" s="67"/>
      <c r="IP170" s="67"/>
      <c r="IQ170" s="67"/>
      <c r="IR170" s="67"/>
      <c r="IS170" s="67"/>
      <c r="IT170" s="67"/>
      <c r="IU170" s="67"/>
      <c r="IV170" s="67"/>
      <c r="IW170" s="67"/>
      <c r="IX170" s="67"/>
      <c r="IY170" s="67"/>
      <c r="IZ170" s="67"/>
      <c r="JA170" s="67"/>
      <c r="JB170" s="67"/>
      <c r="JC170" s="67"/>
      <c r="JD170" s="67"/>
      <c r="JE170" s="67"/>
      <c r="JF170" s="67"/>
      <c r="JG170" s="67"/>
      <c r="JH170" s="67"/>
      <c r="JI170" s="67"/>
      <c r="JJ170" s="67"/>
      <c r="JK170" s="67"/>
      <c r="JL170" s="67"/>
      <c r="JM170" s="67"/>
      <c r="JN170" s="67"/>
      <c r="JO170" s="67"/>
      <c r="JP170" s="67"/>
      <c r="JQ170" s="67"/>
      <c r="JR170" s="67"/>
      <c r="JS170" s="67"/>
      <c r="JT170" s="67"/>
      <c r="JU170" s="67"/>
      <c r="JV170" s="67"/>
      <c r="JW170" s="67"/>
      <c r="JX170" s="67"/>
      <c r="JY170" s="67"/>
      <c r="JZ170" s="67"/>
      <c r="KA170" s="67"/>
      <c r="KB170" s="67"/>
      <c r="KC170" s="67"/>
      <c r="KD170" s="67"/>
      <c r="KE170" s="67"/>
      <c r="KF170" s="67"/>
      <c r="KG170" s="67"/>
      <c r="KH170" s="67"/>
      <c r="KI170" s="67"/>
      <c r="KJ170" s="67"/>
      <c r="KK170" s="67"/>
      <c r="KL170" s="67"/>
      <c r="KM170" s="67"/>
      <c r="KN170" s="67"/>
      <c r="KO170" s="67"/>
      <c r="KP170" s="67"/>
      <c r="KQ170" s="67"/>
      <c r="KR170" s="67"/>
      <c r="KS170" s="67"/>
      <c r="KT170" s="67"/>
      <c r="KU170" s="67"/>
      <c r="KV170" s="67"/>
      <c r="KW170" s="67"/>
      <c r="KX170" s="67"/>
      <c r="KY170" s="67"/>
      <c r="KZ170" s="67"/>
      <c r="LA170" s="67"/>
      <c r="LB170" s="67"/>
      <c r="LC170" s="67"/>
      <c r="LD170" s="67"/>
      <c r="LE170" s="67"/>
      <c r="LF170" s="67"/>
      <c r="LG170" s="67"/>
      <c r="LH170" s="67"/>
      <c r="LI170" s="67"/>
      <c r="LJ170" s="67"/>
      <c r="LK170" s="67"/>
      <c r="LL170" s="67"/>
      <c r="LM170" s="67"/>
      <c r="LN170" s="67"/>
      <c r="LO170" s="67"/>
      <c r="LP170" s="67"/>
      <c r="LQ170" s="67"/>
      <c r="LR170" s="67"/>
      <c r="LS170" s="67"/>
      <c r="LT170" s="67"/>
      <c r="LU170" s="67"/>
      <c r="LV170" s="67"/>
      <c r="LW170" s="67"/>
      <c r="LX170" s="67"/>
      <c r="LY170" s="67"/>
      <c r="LZ170" s="67"/>
      <c r="MA170" s="67"/>
      <c r="MB170" s="67"/>
    </row>
    <row r="171" spans="1:340" s="50" customFormat="1" ht="15.75" hidden="1" customHeight="1" thickBot="1">
      <c r="A171" s="44">
        <v>3</v>
      </c>
      <c r="B171" s="150" t="s">
        <v>202</v>
      </c>
      <c r="C171" s="85" t="s">
        <v>282</v>
      </c>
      <c r="D171" s="86" t="s">
        <v>49</v>
      </c>
      <c r="E171" s="130" t="s">
        <v>78</v>
      </c>
      <c r="F171" s="87" t="s">
        <v>24</v>
      </c>
      <c r="G171" s="139"/>
      <c r="H171" s="68"/>
      <c r="I171" s="68"/>
      <c r="J171" s="68"/>
      <c r="K171" s="68"/>
      <c r="L171" s="68"/>
      <c r="M171" s="68"/>
      <c r="N171" s="68" t="s">
        <v>25</v>
      </c>
      <c r="O171" s="68"/>
      <c r="P171" s="68" t="s">
        <v>26</v>
      </c>
      <c r="Q171" s="68"/>
      <c r="R171" s="68"/>
      <c r="S171" s="68" t="s">
        <v>27</v>
      </c>
      <c r="T171" s="68" t="s">
        <v>26</v>
      </c>
      <c r="U171" s="68" t="s">
        <v>27</v>
      </c>
      <c r="V171" s="68" t="s">
        <v>26</v>
      </c>
      <c r="W171" s="68" t="s">
        <v>204</v>
      </c>
      <c r="X171" s="68" t="s">
        <v>204</v>
      </c>
      <c r="Y171" s="68" t="s">
        <v>28</v>
      </c>
      <c r="Z171" s="68"/>
      <c r="AA171" s="68"/>
      <c r="AB171" s="68"/>
      <c r="AC171" s="68"/>
      <c r="AD171" s="68"/>
      <c r="AE171" s="68"/>
      <c r="AF171" s="68" t="s">
        <v>27</v>
      </c>
      <c r="AG171" s="68" t="s">
        <v>26</v>
      </c>
      <c r="AH171" s="68"/>
      <c r="AI171" s="68" t="s">
        <v>27</v>
      </c>
      <c r="AJ171" s="68" t="s">
        <v>204</v>
      </c>
      <c r="AK171" s="68" t="s">
        <v>27</v>
      </c>
      <c r="AL171" s="68"/>
      <c r="AM171" s="68"/>
      <c r="AN171" s="68" t="s">
        <v>28</v>
      </c>
      <c r="AO171" s="68"/>
      <c r="AP171" s="68"/>
      <c r="AQ171" s="68" t="s">
        <v>27</v>
      </c>
      <c r="AR171" s="68"/>
      <c r="AS171" s="68" t="s">
        <v>26</v>
      </c>
      <c r="AT171" s="68"/>
      <c r="AU171" s="68"/>
      <c r="AV171" s="68" t="s">
        <v>27</v>
      </c>
      <c r="AW171" s="68"/>
      <c r="AX171" s="68" t="s">
        <v>204</v>
      </c>
      <c r="AY171" s="68" t="s">
        <v>27</v>
      </c>
      <c r="AZ171" s="68" t="s">
        <v>26</v>
      </c>
      <c r="BA171" s="68"/>
      <c r="BB171" s="68" t="s">
        <v>28</v>
      </c>
      <c r="BC171" s="68"/>
      <c r="BD171" s="68" t="s">
        <v>28</v>
      </c>
      <c r="BE171" s="68"/>
      <c r="BF171" s="68" t="s">
        <v>28</v>
      </c>
      <c r="BG171" s="68"/>
      <c r="BH171" s="68" t="s">
        <v>28</v>
      </c>
      <c r="BI171" s="68" t="s">
        <v>28</v>
      </c>
      <c r="BJ171" s="68" t="s">
        <v>28</v>
      </c>
      <c r="BK171" s="68"/>
      <c r="BL171" s="68" t="s">
        <v>28</v>
      </c>
      <c r="BM171" s="68" t="s">
        <v>28</v>
      </c>
      <c r="BN171" s="68" t="s">
        <v>28</v>
      </c>
      <c r="BO171" s="68" t="s">
        <v>28</v>
      </c>
      <c r="BP171" s="68" t="s">
        <v>28</v>
      </c>
      <c r="BQ171" s="68" t="s">
        <v>37</v>
      </c>
      <c r="BR171" s="67"/>
      <c r="BS171" s="67"/>
      <c r="BT171" s="67"/>
      <c r="BU171" s="67"/>
      <c r="BV171" s="67"/>
      <c r="BW171" s="67"/>
      <c r="BX171" s="67"/>
      <c r="BY171" s="67"/>
      <c r="BZ171" s="67"/>
      <c r="CA171" s="67"/>
      <c r="CB171" s="67"/>
      <c r="CC171" s="67"/>
      <c r="CD171" s="67"/>
      <c r="CE171" s="67"/>
      <c r="CF171" s="67"/>
      <c r="CG171" s="67"/>
      <c r="CH171" s="67"/>
      <c r="CI171" s="67"/>
      <c r="CJ171" s="67"/>
      <c r="CK171" s="67"/>
      <c r="CL171" s="67"/>
      <c r="CM171" s="67"/>
      <c r="CN171" s="67"/>
      <c r="CO171" s="67"/>
      <c r="CP171" s="67"/>
      <c r="CQ171" s="67"/>
      <c r="CR171" s="67"/>
      <c r="CS171" s="67"/>
      <c r="CT171" s="67"/>
      <c r="CU171" s="67"/>
      <c r="CV171" s="67"/>
      <c r="CW171" s="67"/>
      <c r="CX171" s="67"/>
      <c r="CY171" s="67"/>
      <c r="CZ171" s="67"/>
      <c r="DA171" s="67"/>
      <c r="DB171" s="67"/>
      <c r="DC171" s="67"/>
      <c r="DD171" s="67"/>
      <c r="DE171" s="67"/>
      <c r="DF171" s="67"/>
      <c r="DG171" s="67"/>
      <c r="DH171" s="67"/>
      <c r="DI171" s="67"/>
      <c r="DJ171" s="67"/>
      <c r="DK171" s="67"/>
      <c r="DL171" s="67"/>
      <c r="DM171" s="67"/>
      <c r="DN171" s="67"/>
      <c r="DO171" s="67"/>
      <c r="DP171" s="67"/>
      <c r="DQ171" s="67"/>
      <c r="DR171" s="67"/>
      <c r="DS171" s="67"/>
      <c r="DT171" s="67"/>
      <c r="DU171" s="67"/>
      <c r="DV171" s="67"/>
      <c r="DW171" s="67"/>
      <c r="DX171" s="67"/>
      <c r="DY171" s="67"/>
      <c r="DZ171" s="67"/>
      <c r="EA171" s="67"/>
      <c r="EB171" s="67"/>
      <c r="EC171" s="67"/>
      <c r="ED171" s="67"/>
      <c r="EE171" s="67"/>
      <c r="EF171" s="67"/>
      <c r="EG171" s="67"/>
      <c r="EH171" s="67"/>
      <c r="EI171" s="67"/>
      <c r="EJ171" s="67"/>
      <c r="EK171" s="67"/>
      <c r="EL171" s="67"/>
      <c r="EM171" s="67"/>
      <c r="EN171" s="67"/>
      <c r="EO171" s="67"/>
      <c r="EP171" s="67"/>
      <c r="EQ171" s="67"/>
      <c r="ER171" s="67"/>
      <c r="ES171" s="67"/>
      <c r="ET171" s="67"/>
      <c r="EU171" s="67"/>
      <c r="EV171" s="67"/>
      <c r="EW171" s="67"/>
      <c r="EX171" s="67"/>
      <c r="EY171" s="67"/>
      <c r="EZ171" s="67"/>
      <c r="FA171" s="67"/>
      <c r="FB171" s="67"/>
      <c r="FC171" s="67"/>
      <c r="FD171" s="67"/>
      <c r="FE171" s="67"/>
      <c r="FF171" s="67"/>
      <c r="FG171" s="67"/>
      <c r="FH171" s="67"/>
      <c r="FI171" s="67"/>
      <c r="FJ171" s="67"/>
      <c r="FK171" s="67"/>
      <c r="FL171" s="67"/>
      <c r="FM171" s="67"/>
      <c r="FN171" s="67"/>
      <c r="FO171" s="67"/>
      <c r="FP171" s="67"/>
      <c r="FQ171" s="67"/>
      <c r="FR171" s="67"/>
      <c r="FS171" s="67"/>
      <c r="FT171" s="67"/>
      <c r="FU171" s="67"/>
      <c r="FV171" s="67"/>
      <c r="FW171" s="67"/>
      <c r="FX171" s="67"/>
      <c r="FY171" s="67"/>
      <c r="FZ171" s="67"/>
      <c r="GA171" s="67"/>
      <c r="GB171" s="67"/>
      <c r="GC171" s="67"/>
      <c r="GD171" s="67"/>
      <c r="GE171" s="67"/>
      <c r="GF171" s="67"/>
      <c r="GG171" s="67"/>
      <c r="GH171" s="67"/>
      <c r="GI171" s="67"/>
      <c r="GJ171" s="67"/>
      <c r="GK171" s="67"/>
      <c r="GL171" s="67"/>
      <c r="GM171" s="67"/>
      <c r="GN171" s="67"/>
      <c r="GO171" s="67"/>
      <c r="GP171" s="67"/>
      <c r="GQ171" s="67"/>
      <c r="GR171" s="67"/>
      <c r="GS171" s="67"/>
      <c r="GT171" s="67"/>
      <c r="GU171" s="67"/>
      <c r="GV171" s="67"/>
      <c r="GW171" s="67"/>
      <c r="GX171" s="67"/>
      <c r="GY171" s="67"/>
      <c r="GZ171" s="67"/>
      <c r="HA171" s="67"/>
      <c r="HB171" s="67"/>
      <c r="HC171" s="67"/>
      <c r="HD171" s="67"/>
      <c r="HE171" s="67"/>
      <c r="HF171" s="67"/>
      <c r="HG171" s="67"/>
      <c r="HH171" s="67"/>
      <c r="HI171" s="67"/>
      <c r="HJ171" s="67"/>
      <c r="HK171" s="67"/>
      <c r="HL171" s="67"/>
      <c r="HM171" s="67"/>
      <c r="HN171" s="67"/>
      <c r="HO171" s="67"/>
      <c r="HP171" s="67"/>
      <c r="HQ171" s="67"/>
      <c r="HR171" s="67"/>
      <c r="HS171" s="67"/>
      <c r="HT171" s="67"/>
      <c r="HU171" s="67"/>
      <c r="HV171" s="67"/>
      <c r="HW171" s="67"/>
      <c r="HX171" s="67"/>
      <c r="HY171" s="67"/>
      <c r="HZ171" s="67"/>
      <c r="IA171" s="67"/>
      <c r="IB171" s="67"/>
      <c r="IC171" s="67"/>
      <c r="ID171" s="67"/>
      <c r="IE171" s="67"/>
      <c r="IF171" s="67"/>
      <c r="IG171" s="67"/>
      <c r="IH171" s="67"/>
      <c r="II171" s="67"/>
      <c r="IJ171" s="67"/>
      <c r="IK171" s="67"/>
      <c r="IL171" s="67"/>
      <c r="IM171" s="67"/>
      <c r="IN171" s="67"/>
      <c r="IO171" s="67"/>
      <c r="IP171" s="67"/>
      <c r="IQ171" s="67"/>
      <c r="IR171" s="67"/>
      <c r="IS171" s="67"/>
      <c r="IT171" s="67"/>
      <c r="IU171" s="67"/>
      <c r="IV171" s="67"/>
      <c r="IW171" s="67"/>
      <c r="IX171" s="67"/>
      <c r="IY171" s="67"/>
      <c r="IZ171" s="67"/>
      <c r="JA171" s="67"/>
      <c r="JB171" s="67"/>
      <c r="JC171" s="67"/>
      <c r="JD171" s="67"/>
      <c r="JE171" s="67"/>
      <c r="JF171" s="67"/>
      <c r="JG171" s="67"/>
      <c r="JH171" s="67"/>
      <c r="JI171" s="67"/>
      <c r="JJ171" s="67"/>
      <c r="JK171" s="67"/>
      <c r="JL171" s="67"/>
      <c r="JM171" s="67"/>
      <c r="JN171" s="67"/>
      <c r="JO171" s="67"/>
      <c r="JP171" s="67"/>
      <c r="JQ171" s="67"/>
      <c r="JR171" s="67"/>
      <c r="JS171" s="67"/>
      <c r="JT171" s="67"/>
      <c r="JU171" s="67"/>
      <c r="JV171" s="67"/>
      <c r="JW171" s="67"/>
      <c r="JX171" s="67"/>
      <c r="JY171" s="67"/>
      <c r="JZ171" s="67"/>
      <c r="KA171" s="67"/>
      <c r="KB171" s="67"/>
      <c r="KC171" s="67"/>
      <c r="KD171" s="67"/>
      <c r="KE171" s="67"/>
      <c r="KF171" s="67"/>
      <c r="KG171" s="67"/>
      <c r="KH171" s="67"/>
      <c r="KI171" s="67"/>
      <c r="KJ171" s="67"/>
      <c r="KK171" s="67"/>
      <c r="KL171" s="67"/>
      <c r="KM171" s="67"/>
      <c r="KN171" s="67"/>
      <c r="KO171" s="67"/>
      <c r="KP171" s="67"/>
      <c r="KQ171" s="67"/>
      <c r="KR171" s="67"/>
      <c r="KS171" s="67"/>
      <c r="KT171" s="67"/>
      <c r="KU171" s="67"/>
      <c r="KV171" s="67"/>
      <c r="KW171" s="67"/>
      <c r="KX171" s="67"/>
      <c r="KY171" s="67"/>
      <c r="KZ171" s="67"/>
      <c r="LA171" s="67"/>
      <c r="LB171" s="67"/>
      <c r="LC171" s="67"/>
      <c r="LD171" s="67"/>
      <c r="LE171" s="67"/>
      <c r="LF171" s="67"/>
      <c r="LG171" s="67"/>
      <c r="LH171" s="67"/>
      <c r="LI171" s="67"/>
      <c r="LJ171" s="67"/>
      <c r="LK171" s="67"/>
      <c r="LL171" s="67"/>
      <c r="LM171" s="67"/>
      <c r="LN171" s="67"/>
      <c r="LO171" s="67"/>
      <c r="LP171" s="67"/>
      <c r="LQ171" s="67"/>
      <c r="LR171" s="67"/>
      <c r="LS171" s="67"/>
      <c r="LT171" s="67"/>
      <c r="LU171" s="67"/>
      <c r="LV171" s="67"/>
      <c r="LW171" s="67"/>
      <c r="LX171" s="67"/>
      <c r="LY171" s="67"/>
      <c r="LZ171" s="67"/>
      <c r="MA171" s="67"/>
      <c r="MB171" s="67"/>
    </row>
    <row r="172" spans="1:340" s="50" customFormat="1" ht="15.75" hidden="1" customHeight="1" thickBot="1">
      <c r="A172" s="44">
        <v>3</v>
      </c>
      <c r="B172" s="88" t="s">
        <v>176</v>
      </c>
      <c r="C172" s="85" t="s">
        <v>110</v>
      </c>
      <c r="D172" s="86" t="s">
        <v>45</v>
      </c>
      <c r="E172" s="130" t="s">
        <v>46</v>
      </c>
      <c r="F172" s="87" t="s">
        <v>24</v>
      </c>
      <c r="G172" s="139"/>
      <c r="H172" s="68"/>
      <c r="I172" s="68"/>
      <c r="J172" s="68" t="s">
        <v>27</v>
      </c>
      <c r="K172" s="68"/>
      <c r="L172" s="68"/>
      <c r="M172" s="68"/>
      <c r="N172" s="68" t="s">
        <v>27</v>
      </c>
      <c r="O172" s="68"/>
      <c r="P172" s="68"/>
      <c r="Q172" s="68"/>
      <c r="R172" s="153"/>
      <c r="S172" s="68" t="s">
        <v>27</v>
      </c>
      <c r="T172" s="68"/>
      <c r="U172" s="68"/>
      <c r="V172" s="68"/>
      <c r="W172" s="68"/>
      <c r="X172" s="68" t="s">
        <v>27</v>
      </c>
      <c r="Y172" s="68"/>
      <c r="Z172" s="68"/>
      <c r="AA172" s="68"/>
      <c r="AB172" s="153"/>
      <c r="AC172" s="68" t="s">
        <v>27</v>
      </c>
      <c r="AD172" s="68"/>
      <c r="AE172" s="68"/>
      <c r="AF172" s="68"/>
      <c r="AG172" s="68"/>
      <c r="AH172" s="68" t="s">
        <v>27</v>
      </c>
      <c r="AI172" s="68"/>
      <c r="AJ172" s="68"/>
      <c r="AK172" s="68"/>
      <c r="AL172" s="68"/>
      <c r="AM172" s="68"/>
      <c r="AN172" s="68" t="s">
        <v>27</v>
      </c>
      <c r="AO172" s="68"/>
      <c r="AP172" s="68"/>
      <c r="AQ172" s="68"/>
      <c r="AR172" s="68" t="s">
        <v>27</v>
      </c>
      <c r="AS172" s="68"/>
      <c r="AT172" s="68"/>
      <c r="AU172" s="68"/>
      <c r="AV172" s="68" t="s">
        <v>27</v>
      </c>
      <c r="AW172" s="68"/>
      <c r="AX172" s="68"/>
      <c r="AY172" s="68" t="s">
        <v>27</v>
      </c>
      <c r="AZ172" s="68"/>
      <c r="BA172" s="68"/>
      <c r="BB172" s="68"/>
      <c r="BC172" s="68"/>
      <c r="BD172" s="68" t="s">
        <v>27</v>
      </c>
      <c r="BE172" s="68"/>
      <c r="BF172" s="68"/>
      <c r="BG172" s="68"/>
      <c r="BH172" s="68" t="s">
        <v>27</v>
      </c>
      <c r="BI172" s="68"/>
      <c r="BJ172" s="68"/>
      <c r="BK172" s="68"/>
      <c r="BL172" s="68" t="s">
        <v>27</v>
      </c>
      <c r="BM172" s="68"/>
      <c r="BN172" s="68"/>
      <c r="BO172" s="68"/>
      <c r="BP172" s="68" t="s">
        <v>27</v>
      </c>
      <c r="BQ172" s="68" t="s">
        <v>37</v>
      </c>
      <c r="BR172" s="67"/>
      <c r="BS172" s="67"/>
      <c r="BT172" s="67"/>
      <c r="BU172" s="67"/>
      <c r="BV172" s="67"/>
      <c r="BW172" s="67"/>
      <c r="BX172" s="67"/>
      <c r="BY172" s="67"/>
      <c r="BZ172" s="67"/>
      <c r="CA172" s="67"/>
      <c r="CB172" s="67"/>
      <c r="CC172" s="67"/>
      <c r="CD172" s="67"/>
      <c r="CE172" s="67"/>
      <c r="CF172" s="67"/>
      <c r="CG172" s="67"/>
      <c r="CH172" s="67"/>
      <c r="CI172" s="67"/>
      <c r="CJ172" s="67"/>
      <c r="CK172" s="67"/>
      <c r="CL172" s="67"/>
      <c r="CM172" s="67"/>
      <c r="CN172" s="67"/>
      <c r="CO172" s="67"/>
      <c r="CP172" s="67"/>
      <c r="CQ172" s="67"/>
      <c r="CR172" s="67"/>
      <c r="CS172" s="67"/>
      <c r="CT172" s="67"/>
      <c r="CU172" s="67"/>
      <c r="CV172" s="67"/>
      <c r="CW172" s="67"/>
      <c r="CX172" s="67"/>
      <c r="CY172" s="67"/>
      <c r="CZ172" s="67"/>
      <c r="DA172" s="67"/>
      <c r="DB172" s="67"/>
      <c r="DC172" s="67"/>
      <c r="DD172" s="67"/>
      <c r="DE172" s="67"/>
      <c r="DF172" s="67"/>
      <c r="DG172" s="67"/>
      <c r="DH172" s="67"/>
      <c r="DI172" s="67"/>
      <c r="DJ172" s="67"/>
      <c r="DK172" s="67"/>
      <c r="DL172" s="67"/>
      <c r="DM172" s="67"/>
      <c r="DN172" s="67"/>
      <c r="DO172" s="67"/>
      <c r="DP172" s="67"/>
      <c r="DQ172" s="67"/>
      <c r="DR172" s="67"/>
      <c r="DS172" s="67"/>
      <c r="DT172" s="67"/>
      <c r="DU172" s="67"/>
      <c r="DV172" s="67"/>
      <c r="DW172" s="67"/>
      <c r="DX172" s="67"/>
      <c r="DY172" s="67"/>
      <c r="DZ172" s="67"/>
      <c r="EA172" s="67"/>
      <c r="EB172" s="67"/>
      <c r="EC172" s="67"/>
      <c r="ED172" s="67"/>
      <c r="EE172" s="67"/>
      <c r="EF172" s="67"/>
      <c r="EG172" s="67"/>
      <c r="EH172" s="67"/>
      <c r="EI172" s="67"/>
      <c r="EJ172" s="67"/>
      <c r="EK172" s="67"/>
      <c r="EL172" s="67"/>
      <c r="EM172" s="67"/>
      <c r="EN172" s="67"/>
      <c r="EO172" s="67"/>
      <c r="EP172" s="67"/>
      <c r="EQ172" s="67"/>
      <c r="ER172" s="67"/>
      <c r="ES172" s="67"/>
      <c r="ET172" s="67"/>
      <c r="EU172" s="67"/>
      <c r="EV172" s="67"/>
      <c r="EW172" s="67"/>
      <c r="EX172" s="67"/>
      <c r="EY172" s="67"/>
      <c r="EZ172" s="67"/>
      <c r="FA172" s="67"/>
      <c r="FB172" s="67"/>
      <c r="FC172" s="67"/>
      <c r="FD172" s="67"/>
      <c r="FE172" s="67"/>
      <c r="FF172" s="67"/>
      <c r="FG172" s="67"/>
      <c r="FH172" s="67"/>
      <c r="FI172" s="67"/>
      <c r="FJ172" s="67"/>
      <c r="FK172" s="67"/>
      <c r="FL172" s="67"/>
      <c r="FM172" s="67"/>
      <c r="FN172" s="67"/>
      <c r="FO172" s="67"/>
      <c r="FP172" s="67"/>
      <c r="FQ172" s="67"/>
      <c r="FR172" s="67"/>
      <c r="FS172" s="67"/>
      <c r="FT172" s="67"/>
      <c r="FU172" s="67"/>
      <c r="FV172" s="67"/>
      <c r="FW172" s="67"/>
      <c r="FX172" s="67"/>
      <c r="FY172" s="67"/>
      <c r="FZ172" s="67"/>
      <c r="GA172" s="67"/>
      <c r="GB172" s="67"/>
      <c r="GC172" s="67"/>
      <c r="GD172" s="67"/>
      <c r="GE172" s="67"/>
      <c r="GF172" s="67"/>
      <c r="GG172" s="67"/>
      <c r="GH172" s="67"/>
      <c r="GI172" s="67"/>
      <c r="GJ172" s="67"/>
      <c r="GK172" s="67"/>
      <c r="GL172" s="67"/>
      <c r="GM172" s="67"/>
      <c r="GN172" s="67"/>
      <c r="GO172" s="67"/>
      <c r="GP172" s="67"/>
      <c r="GQ172" s="67"/>
      <c r="GR172" s="67"/>
      <c r="GS172" s="67"/>
      <c r="GT172" s="67"/>
      <c r="GU172" s="67"/>
      <c r="GV172" s="67"/>
      <c r="GW172" s="67"/>
      <c r="GX172" s="67"/>
      <c r="GY172" s="67"/>
      <c r="GZ172" s="67"/>
      <c r="HA172" s="67"/>
      <c r="HB172" s="67"/>
      <c r="HC172" s="67"/>
      <c r="HD172" s="67"/>
      <c r="HE172" s="67"/>
      <c r="HF172" s="67"/>
      <c r="HG172" s="67"/>
      <c r="HH172" s="67"/>
      <c r="HI172" s="67"/>
      <c r="HJ172" s="67"/>
      <c r="HK172" s="67"/>
      <c r="HL172" s="67"/>
      <c r="HM172" s="67"/>
      <c r="HN172" s="67"/>
      <c r="HO172" s="67"/>
      <c r="HP172" s="67"/>
      <c r="HQ172" s="67"/>
      <c r="HR172" s="67"/>
      <c r="HS172" s="67"/>
      <c r="HT172" s="67"/>
      <c r="HU172" s="67"/>
      <c r="HV172" s="67"/>
      <c r="HW172" s="67"/>
      <c r="HX172" s="67"/>
      <c r="HY172" s="67"/>
      <c r="HZ172" s="67"/>
      <c r="IA172" s="67"/>
      <c r="IB172" s="67"/>
      <c r="IC172" s="67"/>
      <c r="ID172" s="67"/>
      <c r="IE172" s="67"/>
      <c r="IF172" s="67"/>
      <c r="IG172" s="67"/>
      <c r="IH172" s="67"/>
      <c r="II172" s="67"/>
      <c r="IJ172" s="67"/>
      <c r="IK172" s="67"/>
      <c r="IL172" s="67"/>
      <c r="IM172" s="67"/>
      <c r="IN172" s="67"/>
      <c r="IO172" s="67"/>
      <c r="IP172" s="67"/>
      <c r="IQ172" s="67"/>
      <c r="IR172" s="67"/>
      <c r="IS172" s="67"/>
      <c r="IT172" s="67"/>
      <c r="IU172" s="67"/>
      <c r="IV172" s="67"/>
      <c r="IW172" s="67"/>
      <c r="IX172" s="67"/>
      <c r="IY172" s="67"/>
      <c r="IZ172" s="67"/>
      <c r="JA172" s="67"/>
      <c r="JB172" s="67"/>
      <c r="JC172" s="67"/>
      <c r="JD172" s="67"/>
      <c r="JE172" s="67"/>
      <c r="JF172" s="67"/>
      <c r="JG172" s="67"/>
      <c r="JH172" s="67"/>
      <c r="JI172" s="67"/>
      <c r="JJ172" s="67"/>
      <c r="JK172" s="67"/>
      <c r="JL172" s="67"/>
      <c r="JM172" s="67"/>
      <c r="JN172" s="67"/>
      <c r="JO172" s="67"/>
      <c r="JP172" s="67"/>
      <c r="JQ172" s="67"/>
      <c r="JR172" s="67"/>
      <c r="JS172" s="67"/>
      <c r="JT172" s="67"/>
      <c r="JU172" s="67"/>
      <c r="JV172" s="67"/>
      <c r="JW172" s="67"/>
      <c r="JX172" s="67"/>
      <c r="JY172" s="67"/>
      <c r="JZ172" s="67"/>
      <c r="KA172" s="67"/>
      <c r="KB172" s="67"/>
      <c r="KC172" s="67"/>
      <c r="KD172" s="67"/>
      <c r="KE172" s="67"/>
      <c r="KF172" s="67"/>
      <c r="KG172" s="67"/>
      <c r="KH172" s="67"/>
      <c r="KI172" s="67"/>
      <c r="KJ172" s="67"/>
      <c r="KK172" s="67"/>
      <c r="KL172" s="67"/>
      <c r="KM172" s="67"/>
      <c r="KN172" s="67"/>
      <c r="KO172" s="67"/>
      <c r="KP172" s="67"/>
      <c r="KQ172" s="67"/>
      <c r="KR172" s="67"/>
      <c r="KS172" s="67"/>
      <c r="KT172" s="67"/>
      <c r="KU172" s="67"/>
      <c r="KV172" s="67"/>
      <c r="KW172" s="67"/>
      <c r="KX172" s="67"/>
      <c r="KY172" s="67"/>
      <c r="KZ172" s="67"/>
      <c r="LA172" s="67"/>
      <c r="LB172" s="67"/>
      <c r="LC172" s="67"/>
      <c r="LD172" s="67"/>
      <c r="LE172" s="67"/>
      <c r="LF172" s="67"/>
      <c r="LG172" s="67"/>
      <c r="LH172" s="67"/>
      <c r="LI172" s="67"/>
      <c r="LJ172" s="67"/>
      <c r="LK172" s="67"/>
      <c r="LL172" s="67"/>
      <c r="LM172" s="67"/>
      <c r="LN172" s="67"/>
      <c r="LO172" s="67"/>
      <c r="LP172" s="67"/>
      <c r="LQ172" s="67"/>
      <c r="LR172" s="67"/>
      <c r="LS172" s="67"/>
      <c r="LT172" s="67"/>
      <c r="LU172" s="67"/>
      <c r="LV172" s="67"/>
      <c r="LW172" s="67"/>
      <c r="LX172" s="67"/>
      <c r="LY172" s="67"/>
      <c r="LZ172" s="67"/>
      <c r="MA172" s="67"/>
      <c r="MB172" s="67"/>
    </row>
    <row r="173" spans="1:340" s="50" customFormat="1" ht="15.75" hidden="1" customHeight="1" thickBot="1">
      <c r="A173" s="44">
        <v>3</v>
      </c>
      <c r="B173" s="150" t="s">
        <v>283</v>
      </c>
      <c r="C173" s="85" t="s">
        <v>284</v>
      </c>
      <c r="D173" s="86" t="s">
        <v>49</v>
      </c>
      <c r="E173" s="130" t="s">
        <v>78</v>
      </c>
      <c r="F173" s="87" t="s">
        <v>24</v>
      </c>
      <c r="G173" s="139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 t="s">
        <v>25</v>
      </c>
      <c r="AT173" s="140"/>
      <c r="AU173" s="68" t="s">
        <v>26</v>
      </c>
      <c r="AV173" s="68"/>
      <c r="AW173" s="68"/>
      <c r="AX173" s="68"/>
      <c r="AY173" s="68"/>
      <c r="AZ173" s="68"/>
      <c r="BA173" s="140"/>
      <c r="BB173" s="68" t="s">
        <v>27</v>
      </c>
      <c r="BC173" s="68"/>
      <c r="BD173" s="68"/>
      <c r="BE173" s="68" t="s">
        <v>26</v>
      </c>
      <c r="BF173" s="68"/>
      <c r="BG173" s="68"/>
      <c r="BH173" s="68"/>
      <c r="BI173" s="68" t="s">
        <v>27</v>
      </c>
      <c r="BJ173" s="68"/>
      <c r="BK173" s="140"/>
      <c r="BL173" s="68" t="s">
        <v>26</v>
      </c>
      <c r="BM173" s="68"/>
      <c r="BN173" s="68"/>
      <c r="BO173" s="68"/>
      <c r="BP173" s="68" t="s">
        <v>27</v>
      </c>
      <c r="BQ173" s="68" t="s">
        <v>37</v>
      </c>
      <c r="BR173" s="67"/>
      <c r="BS173" s="67"/>
      <c r="BT173" s="67"/>
      <c r="BU173" s="67"/>
      <c r="BV173" s="67"/>
      <c r="BW173" s="67"/>
      <c r="BX173" s="67"/>
      <c r="BY173" s="67"/>
      <c r="BZ173" s="67"/>
      <c r="CA173" s="67"/>
      <c r="CB173" s="67"/>
      <c r="CC173" s="67"/>
      <c r="CD173" s="67"/>
      <c r="CE173" s="67"/>
      <c r="CF173" s="67"/>
      <c r="CG173" s="67"/>
      <c r="CH173" s="67"/>
      <c r="CI173" s="67"/>
      <c r="CJ173" s="67"/>
      <c r="CK173" s="67"/>
      <c r="CL173" s="67"/>
      <c r="CM173" s="67"/>
      <c r="CN173" s="67"/>
      <c r="CO173" s="67"/>
      <c r="CP173" s="67"/>
      <c r="CQ173" s="67"/>
      <c r="CR173" s="67"/>
      <c r="CS173" s="67"/>
      <c r="CT173" s="67"/>
      <c r="CU173" s="67"/>
      <c r="CV173" s="67"/>
      <c r="CW173" s="67"/>
      <c r="CX173" s="67"/>
      <c r="CY173" s="67"/>
      <c r="CZ173" s="67"/>
      <c r="DA173" s="67"/>
      <c r="DB173" s="67"/>
      <c r="DC173" s="67"/>
      <c r="DD173" s="67"/>
      <c r="DE173" s="67"/>
      <c r="DF173" s="67"/>
      <c r="DG173" s="67"/>
      <c r="DH173" s="67"/>
      <c r="DI173" s="67"/>
      <c r="DJ173" s="67"/>
      <c r="DK173" s="67"/>
      <c r="DL173" s="67"/>
      <c r="DM173" s="67"/>
      <c r="DN173" s="67"/>
      <c r="DO173" s="67"/>
      <c r="DP173" s="67"/>
      <c r="DQ173" s="67"/>
      <c r="DR173" s="67"/>
      <c r="DS173" s="67"/>
      <c r="DT173" s="67"/>
      <c r="DU173" s="67"/>
      <c r="DV173" s="67"/>
      <c r="DW173" s="67"/>
      <c r="DX173" s="67"/>
      <c r="DY173" s="67"/>
      <c r="DZ173" s="67"/>
      <c r="EA173" s="67"/>
      <c r="EB173" s="67"/>
      <c r="EC173" s="67"/>
      <c r="ED173" s="67"/>
      <c r="EE173" s="67"/>
      <c r="EF173" s="67"/>
      <c r="EG173" s="67"/>
      <c r="EH173" s="67"/>
      <c r="EI173" s="67"/>
      <c r="EJ173" s="67"/>
      <c r="EK173" s="67"/>
      <c r="EL173" s="67"/>
      <c r="EM173" s="67"/>
      <c r="EN173" s="67"/>
      <c r="EO173" s="67"/>
      <c r="EP173" s="67"/>
      <c r="EQ173" s="67"/>
      <c r="ER173" s="67"/>
      <c r="ES173" s="67"/>
      <c r="ET173" s="67"/>
      <c r="EU173" s="67"/>
      <c r="EV173" s="67"/>
      <c r="EW173" s="67"/>
      <c r="EX173" s="67"/>
      <c r="EY173" s="67"/>
      <c r="EZ173" s="67"/>
      <c r="FA173" s="67"/>
      <c r="FB173" s="67"/>
      <c r="FC173" s="67"/>
      <c r="FD173" s="67"/>
      <c r="FE173" s="67"/>
      <c r="FF173" s="67"/>
      <c r="FG173" s="67"/>
      <c r="FH173" s="67"/>
      <c r="FI173" s="67"/>
      <c r="FJ173" s="67"/>
      <c r="FK173" s="67"/>
      <c r="FL173" s="67"/>
      <c r="FM173" s="67"/>
      <c r="FN173" s="67"/>
      <c r="FO173" s="67"/>
      <c r="FP173" s="67"/>
      <c r="FQ173" s="67"/>
      <c r="FR173" s="67"/>
      <c r="FS173" s="67"/>
      <c r="FT173" s="67"/>
      <c r="FU173" s="67"/>
      <c r="FV173" s="67"/>
      <c r="FW173" s="67"/>
      <c r="FX173" s="67"/>
      <c r="FY173" s="67"/>
      <c r="FZ173" s="67"/>
      <c r="GA173" s="67"/>
      <c r="GB173" s="67"/>
      <c r="GC173" s="67"/>
      <c r="GD173" s="67"/>
      <c r="GE173" s="67"/>
      <c r="GF173" s="67"/>
      <c r="GG173" s="67"/>
      <c r="GH173" s="67"/>
      <c r="GI173" s="67"/>
      <c r="GJ173" s="67"/>
      <c r="GK173" s="67"/>
      <c r="GL173" s="67"/>
      <c r="GM173" s="67"/>
      <c r="GN173" s="67"/>
      <c r="GO173" s="67"/>
      <c r="GP173" s="67"/>
      <c r="GQ173" s="67"/>
      <c r="GR173" s="67"/>
      <c r="GS173" s="67"/>
      <c r="GT173" s="67"/>
      <c r="GU173" s="67"/>
      <c r="GV173" s="67"/>
      <c r="GW173" s="67"/>
      <c r="GX173" s="67"/>
      <c r="GY173" s="67"/>
      <c r="GZ173" s="67"/>
      <c r="HA173" s="67"/>
      <c r="HB173" s="67"/>
      <c r="HC173" s="67"/>
      <c r="HD173" s="67"/>
      <c r="HE173" s="67"/>
      <c r="HF173" s="67"/>
      <c r="HG173" s="67"/>
      <c r="HH173" s="67"/>
      <c r="HI173" s="67"/>
      <c r="HJ173" s="67"/>
      <c r="HK173" s="67"/>
      <c r="HL173" s="67"/>
      <c r="HM173" s="67"/>
      <c r="HN173" s="67"/>
      <c r="HO173" s="67"/>
      <c r="HP173" s="67"/>
      <c r="HQ173" s="67"/>
      <c r="HR173" s="67"/>
      <c r="HS173" s="67"/>
      <c r="HT173" s="67"/>
      <c r="HU173" s="67"/>
      <c r="HV173" s="67"/>
      <c r="HW173" s="67"/>
      <c r="HX173" s="67"/>
      <c r="HY173" s="67"/>
      <c r="HZ173" s="67"/>
      <c r="IA173" s="67"/>
      <c r="IB173" s="67"/>
      <c r="IC173" s="67"/>
      <c r="ID173" s="67"/>
      <c r="IE173" s="67"/>
      <c r="IF173" s="67"/>
      <c r="IG173" s="67"/>
      <c r="IH173" s="67"/>
      <c r="II173" s="67"/>
      <c r="IJ173" s="67"/>
      <c r="IK173" s="67"/>
      <c r="IL173" s="67"/>
      <c r="IM173" s="67"/>
      <c r="IN173" s="67"/>
      <c r="IO173" s="67"/>
      <c r="IP173" s="67"/>
      <c r="IQ173" s="67"/>
      <c r="IR173" s="67"/>
      <c r="IS173" s="67"/>
      <c r="IT173" s="67"/>
      <c r="IU173" s="67"/>
      <c r="IV173" s="67"/>
      <c r="IW173" s="67"/>
      <c r="IX173" s="67"/>
      <c r="IY173" s="67"/>
      <c r="IZ173" s="67"/>
      <c r="JA173" s="67"/>
      <c r="JB173" s="67"/>
      <c r="JC173" s="67"/>
      <c r="JD173" s="67"/>
      <c r="JE173" s="67"/>
      <c r="JF173" s="67"/>
      <c r="JG173" s="67"/>
      <c r="JH173" s="67"/>
      <c r="JI173" s="67"/>
      <c r="JJ173" s="67"/>
      <c r="JK173" s="67"/>
      <c r="JL173" s="67"/>
      <c r="JM173" s="67"/>
      <c r="JN173" s="67"/>
      <c r="JO173" s="67"/>
      <c r="JP173" s="67"/>
      <c r="JQ173" s="67"/>
      <c r="JR173" s="67"/>
      <c r="JS173" s="67"/>
      <c r="JT173" s="67"/>
      <c r="JU173" s="67"/>
      <c r="JV173" s="67"/>
      <c r="JW173" s="67"/>
      <c r="JX173" s="67"/>
      <c r="JY173" s="67"/>
      <c r="JZ173" s="67"/>
      <c r="KA173" s="67"/>
      <c r="KB173" s="67"/>
      <c r="KC173" s="67"/>
      <c r="KD173" s="67"/>
      <c r="KE173" s="67"/>
      <c r="KF173" s="67"/>
      <c r="KG173" s="67"/>
      <c r="KH173" s="67"/>
      <c r="KI173" s="67"/>
      <c r="KJ173" s="67"/>
      <c r="KK173" s="67"/>
      <c r="KL173" s="67"/>
      <c r="KM173" s="67"/>
      <c r="KN173" s="67"/>
      <c r="KO173" s="67"/>
      <c r="KP173" s="67"/>
      <c r="KQ173" s="67"/>
      <c r="KR173" s="67"/>
      <c r="KS173" s="67"/>
      <c r="KT173" s="67"/>
      <c r="KU173" s="67"/>
      <c r="KV173" s="67"/>
      <c r="KW173" s="67"/>
      <c r="KX173" s="67"/>
      <c r="KY173" s="67"/>
      <c r="KZ173" s="67"/>
      <c r="LA173" s="67"/>
      <c r="LB173" s="67"/>
      <c r="LC173" s="67"/>
      <c r="LD173" s="67"/>
      <c r="LE173" s="67"/>
      <c r="LF173" s="67"/>
      <c r="LG173" s="67"/>
      <c r="LH173" s="67"/>
      <c r="LI173" s="67"/>
      <c r="LJ173" s="67"/>
      <c r="LK173" s="67"/>
      <c r="LL173" s="67"/>
      <c r="LM173" s="67"/>
      <c r="LN173" s="67"/>
      <c r="LO173" s="67"/>
      <c r="LP173" s="67"/>
      <c r="LQ173" s="67"/>
      <c r="LR173" s="67"/>
      <c r="LS173" s="67"/>
      <c r="LT173" s="67"/>
      <c r="LU173" s="67"/>
      <c r="LV173" s="67"/>
      <c r="LW173" s="67"/>
      <c r="LX173" s="67"/>
      <c r="LY173" s="67"/>
      <c r="LZ173" s="67"/>
      <c r="MA173" s="67"/>
      <c r="MB173" s="67"/>
    </row>
    <row r="174" spans="1:340" s="50" customFormat="1" ht="15.75" hidden="1" customHeight="1" thickBot="1">
      <c r="A174" s="44">
        <v>3</v>
      </c>
      <c r="B174" s="88" t="s">
        <v>95</v>
      </c>
      <c r="C174" s="85" t="s">
        <v>96</v>
      </c>
      <c r="D174" s="86" t="s">
        <v>45</v>
      </c>
      <c r="E174" s="130" t="s">
        <v>46</v>
      </c>
      <c r="F174" s="87" t="s">
        <v>24</v>
      </c>
      <c r="G174" s="139"/>
      <c r="H174" s="68"/>
      <c r="I174" s="68" t="s">
        <v>25</v>
      </c>
      <c r="J174" s="153"/>
      <c r="K174" s="68" t="s">
        <v>26</v>
      </c>
      <c r="L174" s="68"/>
      <c r="M174" s="68"/>
      <c r="N174" s="68"/>
      <c r="O174" s="68" t="s">
        <v>85</v>
      </c>
      <c r="P174" s="68"/>
      <c r="Q174" s="68"/>
      <c r="R174" s="68" t="s">
        <v>27</v>
      </c>
      <c r="S174" s="68" t="s">
        <v>26</v>
      </c>
      <c r="T174" s="68"/>
      <c r="U174" s="68"/>
      <c r="V174" s="68" t="s">
        <v>27</v>
      </c>
      <c r="W174" s="68" t="s">
        <v>26</v>
      </c>
      <c r="X174" s="68"/>
      <c r="Y174" s="68"/>
      <c r="Z174" s="68"/>
      <c r="AA174" s="68"/>
      <c r="AB174" s="153"/>
      <c r="AC174" s="68" t="s">
        <v>27</v>
      </c>
      <c r="AD174" s="68" t="s">
        <v>26</v>
      </c>
      <c r="AE174" s="68"/>
      <c r="AF174" s="68"/>
      <c r="AG174" s="68" t="s">
        <v>27</v>
      </c>
      <c r="AH174" s="68" t="s">
        <v>26</v>
      </c>
      <c r="AI174" s="68"/>
      <c r="AJ174" s="68"/>
      <c r="AK174" s="153"/>
      <c r="AL174" s="68" t="s">
        <v>27</v>
      </c>
      <c r="AM174" s="68" t="s">
        <v>26</v>
      </c>
      <c r="AN174" s="68"/>
      <c r="AO174" s="68"/>
      <c r="AP174" s="68" t="s">
        <v>27</v>
      </c>
      <c r="AQ174" s="68" t="s">
        <v>26</v>
      </c>
      <c r="AR174" s="68"/>
      <c r="AS174" s="68"/>
      <c r="AT174" s="68" t="s">
        <v>27</v>
      </c>
      <c r="AU174" s="68"/>
      <c r="AV174" s="68"/>
      <c r="AW174" s="68"/>
      <c r="AX174" s="68"/>
      <c r="AY174" s="68"/>
      <c r="AZ174" s="68" t="s">
        <v>26</v>
      </c>
      <c r="BA174" s="68"/>
      <c r="BB174" s="68" t="s">
        <v>27</v>
      </c>
      <c r="BC174" s="68"/>
      <c r="BD174" s="68" t="s">
        <v>26</v>
      </c>
      <c r="BE174" s="68"/>
      <c r="BF174" s="68"/>
      <c r="BG174" s="68" t="s">
        <v>27</v>
      </c>
      <c r="BH174" s="68"/>
      <c r="BI174" s="68" t="s">
        <v>26</v>
      </c>
      <c r="BJ174" s="68"/>
      <c r="BK174" s="68"/>
      <c r="BL174" s="68" t="s">
        <v>27</v>
      </c>
      <c r="BM174" s="68"/>
      <c r="BN174" s="68" t="s">
        <v>26</v>
      </c>
      <c r="BO174" s="68"/>
      <c r="BP174" s="68" t="s">
        <v>27</v>
      </c>
      <c r="BQ174" s="68" t="s">
        <v>37</v>
      </c>
      <c r="BR174" s="67"/>
      <c r="BS174" s="67"/>
      <c r="BT174" s="67"/>
      <c r="BU174" s="67"/>
      <c r="BV174" s="67"/>
      <c r="BW174" s="67"/>
      <c r="BX174" s="67"/>
      <c r="BY174" s="67"/>
      <c r="BZ174" s="67"/>
      <c r="CA174" s="67"/>
      <c r="CB174" s="67"/>
      <c r="CC174" s="67"/>
      <c r="CD174" s="67"/>
      <c r="CE174" s="67"/>
      <c r="CF174" s="67"/>
      <c r="CG174" s="67"/>
      <c r="CH174" s="67"/>
      <c r="CI174" s="67"/>
      <c r="CJ174" s="67"/>
      <c r="CK174" s="67"/>
      <c r="CL174" s="67"/>
      <c r="CM174" s="67"/>
      <c r="CN174" s="67"/>
      <c r="CO174" s="67"/>
      <c r="CP174" s="67"/>
      <c r="CQ174" s="67"/>
      <c r="CR174" s="67"/>
      <c r="CS174" s="67"/>
      <c r="CT174" s="67"/>
      <c r="CU174" s="67"/>
      <c r="CV174" s="67"/>
      <c r="CW174" s="67"/>
      <c r="CX174" s="67"/>
      <c r="CY174" s="67"/>
      <c r="CZ174" s="67"/>
      <c r="DA174" s="67"/>
      <c r="DB174" s="67"/>
      <c r="DC174" s="67"/>
      <c r="DD174" s="67"/>
      <c r="DE174" s="67"/>
      <c r="DF174" s="67"/>
      <c r="DG174" s="67"/>
      <c r="DH174" s="67"/>
      <c r="DI174" s="67"/>
      <c r="DJ174" s="67"/>
      <c r="DK174" s="67"/>
      <c r="DL174" s="67"/>
      <c r="DM174" s="67"/>
      <c r="DN174" s="67"/>
      <c r="DO174" s="67"/>
      <c r="DP174" s="67"/>
      <c r="DQ174" s="67"/>
      <c r="DR174" s="67"/>
      <c r="DS174" s="67"/>
      <c r="DT174" s="67"/>
      <c r="DU174" s="67"/>
      <c r="DV174" s="67"/>
      <c r="DW174" s="67"/>
      <c r="DX174" s="67"/>
      <c r="DY174" s="67"/>
      <c r="DZ174" s="67"/>
      <c r="EA174" s="67"/>
      <c r="EB174" s="67"/>
      <c r="EC174" s="67"/>
      <c r="ED174" s="67"/>
      <c r="EE174" s="67"/>
      <c r="EF174" s="67"/>
      <c r="EG174" s="67"/>
      <c r="EH174" s="67"/>
      <c r="EI174" s="67"/>
      <c r="EJ174" s="67"/>
      <c r="EK174" s="67"/>
      <c r="EL174" s="67"/>
      <c r="EM174" s="67"/>
      <c r="EN174" s="67"/>
      <c r="EO174" s="67"/>
      <c r="EP174" s="67"/>
      <c r="EQ174" s="67"/>
      <c r="ER174" s="67"/>
      <c r="ES174" s="67"/>
      <c r="ET174" s="67"/>
      <c r="EU174" s="67"/>
      <c r="EV174" s="67"/>
      <c r="EW174" s="67"/>
      <c r="EX174" s="67"/>
      <c r="EY174" s="67"/>
      <c r="EZ174" s="67"/>
      <c r="FA174" s="67"/>
      <c r="FB174" s="67"/>
      <c r="FC174" s="67"/>
      <c r="FD174" s="67"/>
      <c r="FE174" s="67"/>
      <c r="FF174" s="67"/>
      <c r="FG174" s="67"/>
      <c r="FH174" s="67"/>
      <c r="FI174" s="67"/>
      <c r="FJ174" s="67"/>
      <c r="FK174" s="67"/>
      <c r="FL174" s="67"/>
      <c r="FM174" s="67"/>
      <c r="FN174" s="67"/>
      <c r="FO174" s="67"/>
      <c r="FP174" s="67"/>
      <c r="FQ174" s="67"/>
      <c r="FR174" s="67"/>
      <c r="FS174" s="67"/>
      <c r="FT174" s="67"/>
      <c r="FU174" s="67"/>
      <c r="FV174" s="67"/>
      <c r="FW174" s="67"/>
      <c r="FX174" s="67"/>
      <c r="FY174" s="67"/>
      <c r="FZ174" s="67"/>
      <c r="GA174" s="67"/>
      <c r="GB174" s="67"/>
      <c r="GC174" s="67"/>
      <c r="GD174" s="67"/>
      <c r="GE174" s="67"/>
      <c r="GF174" s="67"/>
      <c r="GG174" s="67"/>
      <c r="GH174" s="67"/>
      <c r="GI174" s="67"/>
      <c r="GJ174" s="67"/>
      <c r="GK174" s="67"/>
      <c r="GL174" s="67"/>
      <c r="GM174" s="67"/>
      <c r="GN174" s="67"/>
      <c r="GO174" s="67"/>
      <c r="GP174" s="67"/>
      <c r="GQ174" s="67"/>
      <c r="GR174" s="67"/>
      <c r="GS174" s="67"/>
      <c r="GT174" s="67"/>
      <c r="GU174" s="67"/>
      <c r="GV174" s="67"/>
      <c r="GW174" s="67"/>
      <c r="GX174" s="67"/>
      <c r="GY174" s="67"/>
      <c r="GZ174" s="67"/>
      <c r="HA174" s="67"/>
      <c r="HB174" s="67"/>
      <c r="HC174" s="67"/>
      <c r="HD174" s="67"/>
      <c r="HE174" s="67"/>
      <c r="HF174" s="67"/>
      <c r="HG174" s="67"/>
      <c r="HH174" s="67"/>
      <c r="HI174" s="67"/>
      <c r="HJ174" s="67"/>
      <c r="HK174" s="67"/>
      <c r="HL174" s="67"/>
      <c r="HM174" s="67"/>
      <c r="HN174" s="67"/>
      <c r="HO174" s="67"/>
      <c r="HP174" s="67"/>
      <c r="HQ174" s="67"/>
      <c r="HR174" s="67"/>
      <c r="HS174" s="67"/>
      <c r="HT174" s="67"/>
      <c r="HU174" s="67"/>
      <c r="HV174" s="67"/>
      <c r="HW174" s="67"/>
      <c r="HX174" s="67"/>
      <c r="HY174" s="67"/>
      <c r="HZ174" s="67"/>
      <c r="IA174" s="67"/>
      <c r="IB174" s="67"/>
      <c r="IC174" s="67"/>
      <c r="ID174" s="67"/>
      <c r="IE174" s="67"/>
      <c r="IF174" s="67"/>
      <c r="IG174" s="67"/>
      <c r="IH174" s="67"/>
      <c r="II174" s="67"/>
      <c r="IJ174" s="67"/>
      <c r="IK174" s="67"/>
      <c r="IL174" s="67"/>
      <c r="IM174" s="67"/>
      <c r="IN174" s="67"/>
      <c r="IO174" s="67"/>
      <c r="IP174" s="67"/>
      <c r="IQ174" s="67"/>
      <c r="IR174" s="67"/>
      <c r="IS174" s="67"/>
      <c r="IT174" s="67"/>
      <c r="IU174" s="67"/>
      <c r="IV174" s="67"/>
      <c r="IW174" s="67"/>
      <c r="IX174" s="67"/>
      <c r="IY174" s="67"/>
      <c r="IZ174" s="67"/>
      <c r="JA174" s="67"/>
      <c r="JB174" s="67"/>
      <c r="JC174" s="67"/>
      <c r="JD174" s="67"/>
      <c r="JE174" s="67"/>
      <c r="JF174" s="67"/>
      <c r="JG174" s="67"/>
      <c r="JH174" s="67"/>
      <c r="JI174" s="67"/>
      <c r="JJ174" s="67"/>
      <c r="JK174" s="67"/>
      <c r="JL174" s="67"/>
      <c r="JM174" s="67"/>
      <c r="JN174" s="67"/>
      <c r="JO174" s="67"/>
      <c r="JP174" s="67"/>
      <c r="JQ174" s="67"/>
      <c r="JR174" s="67"/>
      <c r="JS174" s="67"/>
      <c r="JT174" s="67"/>
      <c r="JU174" s="67"/>
      <c r="JV174" s="67"/>
      <c r="JW174" s="67"/>
      <c r="JX174" s="67"/>
      <c r="JY174" s="67"/>
      <c r="JZ174" s="67"/>
      <c r="KA174" s="67"/>
      <c r="KB174" s="67"/>
      <c r="KC174" s="67"/>
      <c r="KD174" s="67"/>
      <c r="KE174" s="67"/>
      <c r="KF174" s="67"/>
      <c r="KG174" s="67"/>
      <c r="KH174" s="67"/>
      <c r="KI174" s="67"/>
      <c r="KJ174" s="67"/>
      <c r="KK174" s="67"/>
      <c r="KL174" s="67"/>
      <c r="KM174" s="67"/>
      <c r="KN174" s="67"/>
      <c r="KO174" s="67"/>
      <c r="KP174" s="67"/>
      <c r="KQ174" s="67"/>
      <c r="KR174" s="67"/>
      <c r="KS174" s="67"/>
      <c r="KT174" s="67"/>
      <c r="KU174" s="67"/>
      <c r="KV174" s="67"/>
      <c r="KW174" s="67"/>
      <c r="KX174" s="67"/>
      <c r="KY174" s="67"/>
      <c r="KZ174" s="67"/>
      <c r="LA174" s="67"/>
      <c r="LB174" s="67"/>
      <c r="LC174" s="67"/>
      <c r="LD174" s="67"/>
      <c r="LE174" s="67"/>
      <c r="LF174" s="67"/>
      <c r="LG174" s="67"/>
      <c r="LH174" s="67"/>
      <c r="LI174" s="67"/>
      <c r="LJ174" s="67"/>
      <c r="LK174" s="67"/>
      <c r="LL174" s="67"/>
      <c r="LM174" s="67"/>
      <c r="LN174" s="67"/>
      <c r="LO174" s="67"/>
      <c r="LP174" s="67"/>
      <c r="LQ174" s="67"/>
      <c r="LR174" s="67"/>
      <c r="LS174" s="67"/>
      <c r="LT174" s="67"/>
      <c r="LU174" s="67"/>
      <c r="LV174" s="67"/>
      <c r="LW174" s="67"/>
      <c r="LX174" s="67"/>
      <c r="LY174" s="67"/>
      <c r="LZ174" s="67"/>
      <c r="MA174" s="67"/>
      <c r="MB174" s="67"/>
    </row>
    <row r="175" spans="1:340" s="50" customFormat="1" ht="15.75" hidden="1" customHeight="1" thickBot="1">
      <c r="A175" s="44">
        <v>3</v>
      </c>
      <c r="B175" s="88" t="s">
        <v>55</v>
      </c>
      <c r="C175" s="85" t="s">
        <v>285</v>
      </c>
      <c r="D175" s="86" t="s">
        <v>35</v>
      </c>
      <c r="E175" s="130" t="s">
        <v>40</v>
      </c>
      <c r="F175" s="87" t="s">
        <v>24</v>
      </c>
      <c r="G175" s="139"/>
      <c r="H175" s="68"/>
      <c r="I175" s="68"/>
      <c r="J175" s="68"/>
      <c r="K175" s="68"/>
      <c r="L175" s="68"/>
      <c r="M175" s="68" t="s">
        <v>28</v>
      </c>
      <c r="N175" s="68" t="s">
        <v>26</v>
      </c>
      <c r="O175" s="68"/>
      <c r="P175" s="68"/>
      <c r="Q175" s="68"/>
      <c r="R175" s="68"/>
      <c r="S175" s="68"/>
      <c r="T175" s="68"/>
      <c r="U175" s="68"/>
      <c r="V175" s="68"/>
      <c r="W175" s="68"/>
      <c r="X175" s="68" t="s">
        <v>27</v>
      </c>
      <c r="Y175" s="68"/>
      <c r="Z175" s="68" t="s">
        <v>28</v>
      </c>
      <c r="AA175" s="68" t="s">
        <v>26</v>
      </c>
      <c r="AB175" s="68"/>
      <c r="AC175" s="68"/>
      <c r="AD175" s="68"/>
      <c r="AE175" s="68"/>
      <c r="AF175" s="68"/>
      <c r="AG175" s="68"/>
      <c r="AH175" s="68"/>
      <c r="AI175" s="68" t="s">
        <v>27</v>
      </c>
      <c r="AJ175" s="68"/>
      <c r="AK175" s="68"/>
      <c r="AL175" s="68"/>
      <c r="AM175" s="68" t="s">
        <v>28</v>
      </c>
      <c r="AN175" s="68" t="s">
        <v>42</v>
      </c>
      <c r="AO175" s="68"/>
      <c r="AP175" s="68" t="s">
        <v>26</v>
      </c>
      <c r="AQ175" s="68"/>
      <c r="AR175" s="68"/>
      <c r="AS175" s="68"/>
      <c r="AT175" s="68"/>
      <c r="AU175" s="68"/>
      <c r="AV175" s="68"/>
      <c r="AW175" s="68"/>
      <c r="AX175" s="68"/>
      <c r="AY175" s="68" t="s">
        <v>28</v>
      </c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  <c r="BK175" s="68"/>
      <c r="BL175" s="68"/>
      <c r="BM175" s="68" t="s">
        <v>27</v>
      </c>
      <c r="BN175" s="68"/>
      <c r="BO175" s="68"/>
      <c r="BP175" s="140"/>
      <c r="BQ175" s="68" t="s">
        <v>37</v>
      </c>
      <c r="BR175" s="67"/>
      <c r="BS175" s="67"/>
      <c r="BT175" s="67"/>
      <c r="BU175" s="67"/>
      <c r="BV175" s="67"/>
      <c r="BW175" s="67"/>
      <c r="BX175" s="67"/>
      <c r="BY175" s="67"/>
      <c r="BZ175" s="67"/>
      <c r="CA175" s="67"/>
      <c r="CB175" s="67"/>
      <c r="CC175" s="67"/>
      <c r="CD175" s="67"/>
      <c r="CE175" s="67"/>
      <c r="CF175" s="67"/>
      <c r="CG175" s="67"/>
      <c r="CH175" s="67"/>
      <c r="CI175" s="67"/>
      <c r="CJ175" s="67"/>
      <c r="CK175" s="67"/>
      <c r="CL175" s="67"/>
      <c r="CM175" s="67"/>
      <c r="CN175" s="67"/>
      <c r="CO175" s="67"/>
      <c r="CP175" s="67"/>
      <c r="CQ175" s="67"/>
      <c r="CR175" s="67"/>
      <c r="CS175" s="67"/>
      <c r="CT175" s="67"/>
      <c r="CU175" s="67"/>
      <c r="CV175" s="67"/>
      <c r="CW175" s="67"/>
      <c r="CX175" s="67"/>
      <c r="CY175" s="67"/>
      <c r="CZ175" s="67"/>
      <c r="DA175" s="67"/>
      <c r="DB175" s="67"/>
      <c r="DC175" s="67"/>
      <c r="DD175" s="67"/>
      <c r="DE175" s="67"/>
      <c r="DF175" s="67"/>
      <c r="DG175" s="67"/>
      <c r="DH175" s="67"/>
      <c r="DI175" s="67"/>
      <c r="DJ175" s="67"/>
      <c r="DK175" s="67"/>
      <c r="DL175" s="67"/>
      <c r="DM175" s="67"/>
      <c r="DN175" s="67"/>
      <c r="DO175" s="67"/>
      <c r="DP175" s="67"/>
      <c r="DQ175" s="67"/>
      <c r="DR175" s="67"/>
      <c r="DS175" s="67"/>
      <c r="DT175" s="67"/>
      <c r="DU175" s="67"/>
      <c r="DV175" s="67"/>
      <c r="DW175" s="67"/>
      <c r="DX175" s="67"/>
      <c r="DY175" s="67"/>
      <c r="DZ175" s="67"/>
      <c r="EA175" s="67"/>
      <c r="EB175" s="67"/>
      <c r="EC175" s="67"/>
      <c r="ED175" s="67"/>
      <c r="EE175" s="67"/>
      <c r="EF175" s="67"/>
      <c r="EG175" s="67"/>
      <c r="EH175" s="67"/>
      <c r="EI175" s="67"/>
      <c r="EJ175" s="67"/>
      <c r="EK175" s="67"/>
      <c r="EL175" s="67"/>
      <c r="EM175" s="67"/>
      <c r="EN175" s="67"/>
      <c r="EO175" s="67"/>
      <c r="EP175" s="67"/>
      <c r="EQ175" s="67"/>
      <c r="ER175" s="67"/>
      <c r="ES175" s="67"/>
      <c r="ET175" s="67"/>
      <c r="EU175" s="67"/>
      <c r="EV175" s="67"/>
      <c r="EW175" s="67"/>
      <c r="EX175" s="67"/>
      <c r="EY175" s="67"/>
      <c r="EZ175" s="67"/>
      <c r="FA175" s="67"/>
      <c r="FB175" s="67"/>
      <c r="FC175" s="67"/>
      <c r="FD175" s="67"/>
      <c r="FE175" s="67"/>
      <c r="FF175" s="67"/>
      <c r="FG175" s="67"/>
      <c r="FH175" s="67"/>
      <c r="FI175" s="67"/>
      <c r="FJ175" s="67"/>
      <c r="FK175" s="67"/>
      <c r="FL175" s="67"/>
      <c r="FM175" s="67"/>
      <c r="FN175" s="67"/>
      <c r="FO175" s="67"/>
      <c r="FP175" s="67"/>
      <c r="FQ175" s="67"/>
      <c r="FR175" s="67"/>
      <c r="FS175" s="67"/>
      <c r="FT175" s="67"/>
      <c r="FU175" s="67"/>
      <c r="FV175" s="67"/>
      <c r="FW175" s="67"/>
      <c r="FX175" s="67"/>
      <c r="FY175" s="67"/>
      <c r="FZ175" s="67"/>
      <c r="GA175" s="67"/>
      <c r="GB175" s="67"/>
      <c r="GC175" s="67"/>
      <c r="GD175" s="67"/>
      <c r="GE175" s="67"/>
      <c r="GF175" s="67"/>
      <c r="GG175" s="67"/>
      <c r="GH175" s="67"/>
      <c r="GI175" s="67"/>
      <c r="GJ175" s="67"/>
      <c r="GK175" s="67"/>
      <c r="GL175" s="67"/>
      <c r="GM175" s="67"/>
      <c r="GN175" s="67"/>
      <c r="GO175" s="67"/>
      <c r="GP175" s="67"/>
      <c r="GQ175" s="67"/>
      <c r="GR175" s="67"/>
      <c r="GS175" s="67"/>
      <c r="GT175" s="67"/>
      <c r="GU175" s="67"/>
      <c r="GV175" s="67"/>
      <c r="GW175" s="67"/>
      <c r="GX175" s="67"/>
      <c r="GY175" s="67"/>
      <c r="GZ175" s="67"/>
      <c r="HA175" s="67"/>
      <c r="HB175" s="67"/>
      <c r="HC175" s="67"/>
      <c r="HD175" s="67"/>
      <c r="HE175" s="67"/>
      <c r="HF175" s="67"/>
      <c r="HG175" s="67"/>
      <c r="HH175" s="67"/>
      <c r="HI175" s="67"/>
      <c r="HJ175" s="67"/>
      <c r="HK175" s="67"/>
      <c r="HL175" s="67"/>
      <c r="HM175" s="67"/>
      <c r="HN175" s="67"/>
      <c r="HO175" s="67"/>
      <c r="HP175" s="67"/>
      <c r="HQ175" s="67"/>
      <c r="HR175" s="67"/>
      <c r="HS175" s="67"/>
      <c r="HT175" s="67"/>
      <c r="HU175" s="67"/>
      <c r="HV175" s="67"/>
      <c r="HW175" s="67"/>
      <c r="HX175" s="67"/>
      <c r="HY175" s="67"/>
      <c r="HZ175" s="67"/>
      <c r="IA175" s="67"/>
      <c r="IB175" s="67"/>
      <c r="IC175" s="67"/>
      <c r="ID175" s="67"/>
      <c r="IE175" s="67"/>
      <c r="IF175" s="67"/>
      <c r="IG175" s="67"/>
      <c r="IH175" s="67"/>
      <c r="II175" s="67"/>
      <c r="IJ175" s="67"/>
      <c r="IK175" s="67"/>
      <c r="IL175" s="67"/>
      <c r="IM175" s="67"/>
      <c r="IN175" s="67"/>
      <c r="IO175" s="67"/>
      <c r="IP175" s="67"/>
      <c r="IQ175" s="67"/>
      <c r="IR175" s="67"/>
      <c r="IS175" s="67"/>
      <c r="IT175" s="67"/>
      <c r="IU175" s="67"/>
      <c r="IV175" s="67"/>
      <c r="IW175" s="67"/>
      <c r="IX175" s="67"/>
      <c r="IY175" s="67"/>
      <c r="IZ175" s="67"/>
      <c r="JA175" s="67"/>
      <c r="JB175" s="67"/>
      <c r="JC175" s="67"/>
      <c r="JD175" s="67"/>
      <c r="JE175" s="67"/>
      <c r="JF175" s="67"/>
      <c r="JG175" s="67"/>
      <c r="JH175" s="67"/>
      <c r="JI175" s="67"/>
      <c r="JJ175" s="67"/>
      <c r="JK175" s="67"/>
      <c r="JL175" s="67"/>
      <c r="JM175" s="67"/>
      <c r="JN175" s="67"/>
      <c r="JO175" s="67"/>
      <c r="JP175" s="67"/>
      <c r="JQ175" s="67"/>
      <c r="JR175" s="67"/>
      <c r="JS175" s="67"/>
      <c r="JT175" s="67"/>
      <c r="JU175" s="67"/>
      <c r="JV175" s="67"/>
      <c r="JW175" s="67"/>
      <c r="JX175" s="67"/>
      <c r="JY175" s="67"/>
      <c r="JZ175" s="67"/>
      <c r="KA175" s="67"/>
      <c r="KB175" s="67"/>
      <c r="KC175" s="67"/>
      <c r="KD175" s="67"/>
      <c r="KE175" s="67"/>
      <c r="KF175" s="67"/>
      <c r="KG175" s="67"/>
      <c r="KH175" s="67"/>
      <c r="KI175" s="67"/>
      <c r="KJ175" s="67"/>
      <c r="KK175" s="67"/>
      <c r="KL175" s="67"/>
      <c r="KM175" s="67"/>
      <c r="KN175" s="67"/>
      <c r="KO175" s="67"/>
      <c r="KP175" s="67"/>
      <c r="KQ175" s="67"/>
      <c r="KR175" s="67"/>
      <c r="KS175" s="67"/>
      <c r="KT175" s="67"/>
      <c r="KU175" s="67"/>
      <c r="KV175" s="67"/>
      <c r="KW175" s="67"/>
      <c r="KX175" s="67"/>
      <c r="KY175" s="67"/>
      <c r="KZ175" s="67"/>
      <c r="LA175" s="67"/>
      <c r="LB175" s="67"/>
      <c r="LC175" s="67"/>
      <c r="LD175" s="67"/>
      <c r="LE175" s="67"/>
      <c r="LF175" s="67"/>
      <c r="LG175" s="67"/>
      <c r="LH175" s="67"/>
      <c r="LI175" s="67"/>
      <c r="LJ175" s="67"/>
      <c r="LK175" s="67"/>
      <c r="LL175" s="67"/>
      <c r="LM175" s="67"/>
      <c r="LN175" s="67"/>
      <c r="LO175" s="67"/>
      <c r="LP175" s="67"/>
      <c r="LQ175" s="67"/>
      <c r="LR175" s="67"/>
      <c r="LS175" s="67"/>
      <c r="LT175" s="67"/>
      <c r="LU175" s="67"/>
      <c r="LV175" s="67"/>
      <c r="LW175" s="67"/>
      <c r="LX175" s="67"/>
      <c r="LY175" s="67"/>
      <c r="LZ175" s="67"/>
      <c r="MA175" s="67"/>
      <c r="MB175" s="67"/>
    </row>
    <row r="176" spans="1:340" s="50" customFormat="1" ht="15.75" hidden="1" customHeight="1" thickBot="1">
      <c r="A176" s="44">
        <v>3</v>
      </c>
      <c r="B176" s="154" t="s">
        <v>202</v>
      </c>
      <c r="C176" s="155" t="s">
        <v>286</v>
      </c>
      <c r="D176" s="156" t="s">
        <v>49</v>
      </c>
      <c r="E176" s="157" t="s">
        <v>78</v>
      </c>
      <c r="F176" s="158" t="s">
        <v>24</v>
      </c>
      <c r="G176" s="139"/>
      <c r="H176" s="68"/>
      <c r="I176" s="68"/>
      <c r="J176" s="68"/>
      <c r="K176" s="68"/>
      <c r="L176" s="68"/>
      <c r="M176" s="68"/>
      <c r="N176" s="68"/>
      <c r="O176" s="68" t="s">
        <v>25</v>
      </c>
      <c r="P176" s="68"/>
      <c r="Q176" s="68" t="s">
        <v>26</v>
      </c>
      <c r="R176" s="68"/>
      <c r="S176" s="68"/>
      <c r="T176" s="68"/>
      <c r="U176" s="68" t="s">
        <v>28</v>
      </c>
      <c r="V176" s="68"/>
      <c r="W176" s="68"/>
      <c r="X176" s="68"/>
      <c r="Y176" s="68"/>
      <c r="Z176" s="68" t="s">
        <v>26</v>
      </c>
      <c r="AA176" s="68"/>
      <c r="AB176" s="68"/>
      <c r="AC176" s="68"/>
      <c r="AD176" s="68"/>
      <c r="AE176" s="68"/>
      <c r="AF176" s="68"/>
      <c r="AG176" s="68"/>
      <c r="AH176" s="68"/>
      <c r="AI176" s="68" t="s">
        <v>27</v>
      </c>
      <c r="AJ176" s="68"/>
      <c r="AK176" s="68" t="s">
        <v>28</v>
      </c>
      <c r="AL176" s="68"/>
      <c r="AM176" s="68" t="s">
        <v>27</v>
      </c>
      <c r="AN176" s="68"/>
      <c r="AO176" s="68"/>
      <c r="AP176" s="68" t="s">
        <v>27</v>
      </c>
      <c r="AQ176" s="68"/>
      <c r="AR176" s="68"/>
      <c r="AS176" s="68" t="s">
        <v>28</v>
      </c>
      <c r="AT176" s="68"/>
      <c r="AU176" s="68" t="s">
        <v>27</v>
      </c>
      <c r="AV176" s="68"/>
      <c r="AW176" s="68"/>
      <c r="AX176" s="68" t="s">
        <v>27</v>
      </c>
      <c r="AY176" s="68" t="s">
        <v>26</v>
      </c>
      <c r="AZ176" s="68"/>
      <c r="BA176" s="68" t="s">
        <v>28</v>
      </c>
      <c r="BB176" s="68"/>
      <c r="BC176" s="68" t="s">
        <v>28</v>
      </c>
      <c r="BD176" s="68"/>
      <c r="BE176" s="68" t="s">
        <v>28</v>
      </c>
      <c r="BF176" s="68"/>
      <c r="BG176" s="68" t="s">
        <v>28</v>
      </c>
      <c r="BH176" s="68" t="s">
        <v>204</v>
      </c>
      <c r="BI176" s="68" t="s">
        <v>28</v>
      </c>
      <c r="BJ176" s="68"/>
      <c r="BK176" s="159"/>
      <c r="BL176" s="68" t="s">
        <v>28</v>
      </c>
      <c r="BM176" s="68" t="s">
        <v>28</v>
      </c>
      <c r="BN176" s="68" t="s">
        <v>28</v>
      </c>
      <c r="BO176" s="68" t="s">
        <v>28</v>
      </c>
      <c r="BP176" s="68" t="s">
        <v>28</v>
      </c>
      <c r="BQ176" s="131" t="s">
        <v>37</v>
      </c>
      <c r="BR176" s="67"/>
      <c r="BS176" s="67"/>
      <c r="BT176" s="67"/>
      <c r="BU176" s="67"/>
      <c r="BV176" s="67"/>
      <c r="BW176" s="67"/>
      <c r="BX176" s="67"/>
      <c r="BY176" s="67"/>
      <c r="BZ176" s="67"/>
      <c r="CA176" s="67"/>
      <c r="CB176" s="67"/>
      <c r="CC176" s="67"/>
      <c r="CD176" s="67"/>
      <c r="CE176" s="67"/>
      <c r="CF176" s="67"/>
      <c r="CG176" s="67"/>
      <c r="CH176" s="67"/>
      <c r="CI176" s="67"/>
      <c r="CJ176" s="67"/>
      <c r="CK176" s="67"/>
      <c r="CL176" s="67"/>
      <c r="CM176" s="67"/>
      <c r="CN176" s="67"/>
      <c r="CO176" s="67"/>
      <c r="CP176" s="67"/>
      <c r="CQ176" s="67"/>
      <c r="CR176" s="67"/>
      <c r="CS176" s="67"/>
      <c r="CT176" s="67"/>
      <c r="CU176" s="67"/>
      <c r="CV176" s="67"/>
      <c r="CW176" s="67"/>
      <c r="CX176" s="67"/>
      <c r="CY176" s="67"/>
      <c r="CZ176" s="67"/>
      <c r="DA176" s="67"/>
      <c r="DB176" s="67"/>
      <c r="DC176" s="67"/>
      <c r="DD176" s="67"/>
      <c r="DE176" s="67"/>
      <c r="DF176" s="67"/>
      <c r="DG176" s="67"/>
      <c r="DH176" s="67"/>
      <c r="DI176" s="67"/>
      <c r="DJ176" s="67"/>
      <c r="DK176" s="67"/>
      <c r="DL176" s="67"/>
      <c r="DM176" s="67"/>
      <c r="DN176" s="67"/>
      <c r="DO176" s="67"/>
      <c r="DP176" s="67"/>
      <c r="DQ176" s="67"/>
      <c r="DR176" s="67"/>
      <c r="DS176" s="67"/>
      <c r="DT176" s="67"/>
      <c r="DU176" s="67"/>
      <c r="DV176" s="67"/>
      <c r="DW176" s="67"/>
      <c r="DX176" s="67"/>
      <c r="DY176" s="67"/>
      <c r="DZ176" s="67"/>
      <c r="EA176" s="67"/>
      <c r="EB176" s="67"/>
      <c r="EC176" s="67"/>
      <c r="ED176" s="67"/>
      <c r="EE176" s="67"/>
      <c r="EF176" s="67"/>
      <c r="EG176" s="67"/>
      <c r="EH176" s="67"/>
      <c r="EI176" s="67"/>
      <c r="EJ176" s="67"/>
      <c r="EK176" s="67"/>
      <c r="EL176" s="67"/>
      <c r="EM176" s="67"/>
      <c r="EN176" s="67"/>
      <c r="EO176" s="67"/>
      <c r="EP176" s="67"/>
      <c r="EQ176" s="67"/>
      <c r="ER176" s="67"/>
      <c r="ES176" s="67"/>
      <c r="ET176" s="67"/>
      <c r="EU176" s="67"/>
      <c r="EV176" s="67"/>
      <c r="EW176" s="67"/>
      <c r="EX176" s="67"/>
      <c r="EY176" s="67"/>
      <c r="EZ176" s="67"/>
      <c r="FA176" s="67"/>
      <c r="FB176" s="67"/>
      <c r="FC176" s="67"/>
      <c r="FD176" s="67"/>
      <c r="FE176" s="67"/>
      <c r="FF176" s="67"/>
      <c r="FG176" s="67"/>
      <c r="FH176" s="67"/>
      <c r="FI176" s="67"/>
      <c r="FJ176" s="67"/>
      <c r="FK176" s="67"/>
      <c r="FL176" s="67"/>
      <c r="FM176" s="67"/>
      <c r="FN176" s="67"/>
      <c r="FO176" s="67"/>
      <c r="FP176" s="67"/>
      <c r="FQ176" s="67"/>
      <c r="FR176" s="67"/>
      <c r="FS176" s="67"/>
      <c r="FT176" s="67"/>
      <c r="FU176" s="67"/>
      <c r="FV176" s="67"/>
      <c r="FW176" s="67"/>
      <c r="FX176" s="67"/>
      <c r="FY176" s="67"/>
      <c r="FZ176" s="67"/>
      <c r="GA176" s="67"/>
      <c r="GB176" s="67"/>
      <c r="GC176" s="67"/>
      <c r="GD176" s="67"/>
      <c r="GE176" s="67"/>
      <c r="GF176" s="67"/>
      <c r="GG176" s="67"/>
      <c r="GH176" s="67"/>
      <c r="GI176" s="67"/>
      <c r="GJ176" s="67"/>
      <c r="GK176" s="67"/>
      <c r="GL176" s="67"/>
      <c r="GM176" s="67"/>
      <c r="GN176" s="67"/>
      <c r="GO176" s="67"/>
      <c r="GP176" s="67"/>
      <c r="GQ176" s="67"/>
      <c r="GR176" s="67"/>
      <c r="GS176" s="67"/>
      <c r="GT176" s="67"/>
      <c r="GU176" s="67"/>
      <c r="GV176" s="67"/>
      <c r="GW176" s="67"/>
      <c r="GX176" s="67"/>
      <c r="GY176" s="67"/>
      <c r="GZ176" s="67"/>
      <c r="HA176" s="67"/>
      <c r="HB176" s="67"/>
      <c r="HC176" s="67"/>
      <c r="HD176" s="67"/>
      <c r="HE176" s="67"/>
      <c r="HF176" s="67"/>
      <c r="HG176" s="67"/>
      <c r="HH176" s="67"/>
      <c r="HI176" s="67"/>
      <c r="HJ176" s="67"/>
      <c r="HK176" s="67"/>
      <c r="HL176" s="67"/>
      <c r="HM176" s="67"/>
      <c r="HN176" s="67"/>
      <c r="HO176" s="67"/>
      <c r="HP176" s="67"/>
      <c r="HQ176" s="67"/>
      <c r="HR176" s="67"/>
      <c r="HS176" s="67"/>
      <c r="HT176" s="67"/>
      <c r="HU176" s="67"/>
      <c r="HV176" s="67"/>
      <c r="HW176" s="67"/>
      <c r="HX176" s="67"/>
      <c r="HY176" s="67"/>
      <c r="HZ176" s="67"/>
      <c r="IA176" s="67"/>
      <c r="IB176" s="67"/>
      <c r="IC176" s="67"/>
      <c r="ID176" s="67"/>
      <c r="IE176" s="67"/>
      <c r="IF176" s="67"/>
      <c r="IG176" s="67"/>
      <c r="IH176" s="67"/>
      <c r="II176" s="67"/>
      <c r="IJ176" s="67"/>
      <c r="IK176" s="67"/>
      <c r="IL176" s="67"/>
      <c r="IM176" s="67"/>
      <c r="IN176" s="67"/>
      <c r="IO176" s="67"/>
      <c r="IP176" s="67"/>
      <c r="IQ176" s="67"/>
      <c r="IR176" s="67"/>
      <c r="IS176" s="67"/>
      <c r="IT176" s="67"/>
      <c r="IU176" s="67"/>
      <c r="IV176" s="67"/>
      <c r="IW176" s="67"/>
      <c r="IX176" s="67"/>
      <c r="IY176" s="67"/>
      <c r="IZ176" s="67"/>
      <c r="JA176" s="67"/>
      <c r="JB176" s="67"/>
      <c r="JC176" s="67"/>
      <c r="JD176" s="67"/>
      <c r="JE176" s="67"/>
      <c r="JF176" s="67"/>
      <c r="JG176" s="67"/>
      <c r="JH176" s="67"/>
      <c r="JI176" s="67"/>
      <c r="JJ176" s="67"/>
      <c r="JK176" s="67"/>
      <c r="JL176" s="67"/>
      <c r="JM176" s="67"/>
      <c r="JN176" s="67"/>
      <c r="JO176" s="67"/>
      <c r="JP176" s="67"/>
      <c r="JQ176" s="67"/>
      <c r="JR176" s="67"/>
      <c r="JS176" s="67"/>
      <c r="JT176" s="67"/>
      <c r="JU176" s="67"/>
      <c r="JV176" s="67"/>
      <c r="JW176" s="67"/>
      <c r="JX176" s="67"/>
      <c r="JY176" s="67"/>
      <c r="JZ176" s="67"/>
      <c r="KA176" s="67"/>
      <c r="KB176" s="67"/>
      <c r="KC176" s="67"/>
      <c r="KD176" s="67"/>
      <c r="KE176" s="67"/>
      <c r="KF176" s="67"/>
      <c r="KG176" s="67"/>
      <c r="KH176" s="67"/>
      <c r="KI176" s="67"/>
      <c r="KJ176" s="67"/>
      <c r="KK176" s="67"/>
      <c r="KL176" s="67"/>
      <c r="KM176" s="67"/>
      <c r="KN176" s="67"/>
      <c r="KO176" s="67"/>
      <c r="KP176" s="67"/>
      <c r="KQ176" s="67"/>
      <c r="KR176" s="67"/>
      <c r="KS176" s="67"/>
      <c r="KT176" s="67"/>
      <c r="KU176" s="67"/>
      <c r="KV176" s="67"/>
      <c r="KW176" s="67"/>
      <c r="KX176" s="67"/>
      <c r="KY176" s="67"/>
      <c r="KZ176" s="67"/>
      <c r="LA176" s="67"/>
      <c r="LB176" s="67"/>
      <c r="LC176" s="67"/>
      <c r="LD176" s="67"/>
      <c r="LE176" s="67"/>
      <c r="LF176" s="67"/>
      <c r="LG176" s="67"/>
      <c r="LH176" s="67"/>
      <c r="LI176" s="67"/>
      <c r="LJ176" s="67"/>
      <c r="LK176" s="67"/>
      <c r="LL176" s="67"/>
      <c r="LM176" s="67"/>
      <c r="LN176" s="67"/>
      <c r="LO176" s="67"/>
      <c r="LP176" s="67"/>
      <c r="LQ176" s="67"/>
      <c r="LR176" s="67"/>
      <c r="LS176" s="67"/>
      <c r="LT176" s="67"/>
      <c r="LU176" s="67"/>
      <c r="LV176" s="67"/>
      <c r="LW176" s="67"/>
      <c r="LX176" s="67"/>
      <c r="LY176" s="67"/>
      <c r="LZ176" s="67"/>
      <c r="MA176" s="67"/>
      <c r="MB176" s="67"/>
    </row>
    <row r="177" spans="1:340" s="50" customFormat="1" ht="15.75" hidden="1" customHeight="1" thickBot="1">
      <c r="A177" s="44">
        <v>3</v>
      </c>
      <c r="B177" s="154" t="s">
        <v>202</v>
      </c>
      <c r="C177" s="155" t="s">
        <v>287</v>
      </c>
      <c r="D177" s="156" t="s">
        <v>49</v>
      </c>
      <c r="E177" s="157" t="s">
        <v>78</v>
      </c>
      <c r="F177" s="158" t="s">
        <v>24</v>
      </c>
      <c r="G177" s="139"/>
      <c r="H177" s="68"/>
      <c r="I177" s="68"/>
      <c r="J177" s="68"/>
      <c r="K177" s="68"/>
      <c r="L177" s="68"/>
      <c r="M177" s="68"/>
      <c r="N177" s="68" t="s">
        <v>25</v>
      </c>
      <c r="O177" s="68"/>
      <c r="P177" s="68"/>
      <c r="Q177" s="68" t="s">
        <v>26</v>
      </c>
      <c r="R177" s="68"/>
      <c r="S177" s="68"/>
      <c r="T177" s="68"/>
      <c r="U177" s="68"/>
      <c r="V177" s="68" t="s">
        <v>27</v>
      </c>
      <c r="W177" s="68"/>
      <c r="X177" s="68"/>
      <c r="Y177" s="68" t="s">
        <v>288</v>
      </c>
      <c r="Z177" s="68" t="s">
        <v>289</v>
      </c>
      <c r="AA177" s="68"/>
      <c r="AB177" s="68"/>
      <c r="AC177" s="68" t="s">
        <v>27</v>
      </c>
      <c r="AD177" s="68"/>
      <c r="AE177" s="68"/>
      <c r="AF177" s="68"/>
      <c r="AG177" s="68"/>
      <c r="AH177" s="68"/>
      <c r="AI177" s="68"/>
      <c r="AJ177" s="68"/>
      <c r="AK177" s="68" t="s">
        <v>28</v>
      </c>
      <c r="AL177" s="68"/>
      <c r="AM177" s="68"/>
      <c r="AN177" s="68" t="s">
        <v>27</v>
      </c>
      <c r="AO177" s="68"/>
      <c r="AP177" s="68"/>
      <c r="AQ177" s="68" t="s">
        <v>27</v>
      </c>
      <c r="AR177" s="68"/>
      <c r="AS177" s="68" t="s">
        <v>28</v>
      </c>
      <c r="AT177" s="68"/>
      <c r="AU177" s="68"/>
      <c r="AV177" s="68" t="s">
        <v>27</v>
      </c>
      <c r="AW177" s="68"/>
      <c r="AX177" s="68" t="s">
        <v>28</v>
      </c>
      <c r="AY177" s="68" t="s">
        <v>204</v>
      </c>
      <c r="AZ177" s="68" t="s">
        <v>27</v>
      </c>
      <c r="BA177" s="68"/>
      <c r="BB177" s="68"/>
      <c r="BC177" s="68" t="s">
        <v>28</v>
      </c>
      <c r="BD177" s="68"/>
      <c r="BE177" s="68" t="s">
        <v>28</v>
      </c>
      <c r="BF177" s="68"/>
      <c r="BG177" s="68" t="s">
        <v>204</v>
      </c>
      <c r="BH177" s="68" t="s">
        <v>204</v>
      </c>
      <c r="BI177" s="68"/>
      <c r="BJ177" s="68" t="s">
        <v>28</v>
      </c>
      <c r="BK177" s="68" t="s">
        <v>28</v>
      </c>
      <c r="BL177" s="68"/>
      <c r="BM177" s="68" t="s">
        <v>28</v>
      </c>
      <c r="BN177" s="68" t="s">
        <v>28</v>
      </c>
      <c r="BO177" s="68" t="s">
        <v>28</v>
      </c>
      <c r="BP177" s="68" t="s">
        <v>28</v>
      </c>
      <c r="BQ177" s="131" t="s">
        <v>37</v>
      </c>
      <c r="BR177" s="67"/>
      <c r="BS177" s="67"/>
      <c r="BT177" s="67"/>
      <c r="BU177" s="67"/>
      <c r="BV177" s="67"/>
      <c r="BW177" s="67"/>
      <c r="BX177" s="67"/>
      <c r="BY177" s="67"/>
      <c r="BZ177" s="67"/>
      <c r="CA177" s="67"/>
      <c r="CB177" s="67"/>
      <c r="CC177" s="67"/>
      <c r="CD177" s="67"/>
      <c r="CE177" s="67"/>
      <c r="CF177" s="67"/>
      <c r="CG177" s="67"/>
      <c r="CH177" s="67"/>
      <c r="CI177" s="67"/>
      <c r="CJ177" s="67"/>
      <c r="CK177" s="67"/>
      <c r="CL177" s="67"/>
      <c r="CM177" s="67"/>
      <c r="CN177" s="67"/>
      <c r="CO177" s="67"/>
      <c r="CP177" s="67"/>
      <c r="CQ177" s="67"/>
      <c r="CR177" s="67"/>
      <c r="CS177" s="67"/>
      <c r="CT177" s="67"/>
      <c r="CU177" s="67"/>
      <c r="CV177" s="67"/>
      <c r="CW177" s="67"/>
      <c r="CX177" s="67"/>
      <c r="CY177" s="67"/>
      <c r="CZ177" s="67"/>
      <c r="DA177" s="67"/>
      <c r="DB177" s="67"/>
      <c r="DC177" s="67"/>
      <c r="DD177" s="67"/>
      <c r="DE177" s="67"/>
      <c r="DF177" s="67"/>
      <c r="DG177" s="67"/>
      <c r="DH177" s="67"/>
      <c r="DI177" s="67"/>
      <c r="DJ177" s="67"/>
      <c r="DK177" s="67"/>
      <c r="DL177" s="67"/>
      <c r="DM177" s="67"/>
      <c r="DN177" s="67"/>
      <c r="DO177" s="67"/>
      <c r="DP177" s="67"/>
      <c r="DQ177" s="67"/>
      <c r="DR177" s="67"/>
      <c r="DS177" s="67"/>
      <c r="DT177" s="67"/>
      <c r="DU177" s="67"/>
      <c r="DV177" s="67"/>
      <c r="DW177" s="67"/>
      <c r="DX177" s="67"/>
      <c r="DY177" s="67"/>
      <c r="DZ177" s="67"/>
      <c r="EA177" s="67"/>
      <c r="EB177" s="67"/>
      <c r="EC177" s="67"/>
      <c r="ED177" s="67"/>
      <c r="EE177" s="67"/>
      <c r="EF177" s="67"/>
      <c r="EG177" s="67"/>
      <c r="EH177" s="67"/>
      <c r="EI177" s="67"/>
      <c r="EJ177" s="67"/>
      <c r="EK177" s="67"/>
      <c r="EL177" s="67"/>
      <c r="EM177" s="67"/>
      <c r="EN177" s="67"/>
      <c r="EO177" s="67"/>
      <c r="EP177" s="67"/>
      <c r="EQ177" s="67"/>
      <c r="ER177" s="67"/>
      <c r="ES177" s="67"/>
      <c r="ET177" s="67"/>
      <c r="EU177" s="67"/>
      <c r="EV177" s="67"/>
      <c r="EW177" s="67"/>
      <c r="EX177" s="67"/>
      <c r="EY177" s="67"/>
      <c r="EZ177" s="67"/>
      <c r="FA177" s="67"/>
      <c r="FB177" s="67"/>
      <c r="FC177" s="67"/>
      <c r="FD177" s="67"/>
      <c r="FE177" s="67"/>
      <c r="FF177" s="67"/>
      <c r="FG177" s="67"/>
      <c r="FH177" s="67"/>
      <c r="FI177" s="67"/>
      <c r="FJ177" s="67"/>
      <c r="FK177" s="67"/>
      <c r="FL177" s="67"/>
      <c r="FM177" s="67"/>
      <c r="FN177" s="67"/>
      <c r="FO177" s="67"/>
      <c r="FP177" s="67"/>
      <c r="FQ177" s="67"/>
      <c r="FR177" s="67"/>
      <c r="FS177" s="67"/>
      <c r="FT177" s="67"/>
      <c r="FU177" s="67"/>
      <c r="FV177" s="67"/>
      <c r="FW177" s="67"/>
      <c r="FX177" s="67"/>
      <c r="FY177" s="67"/>
      <c r="FZ177" s="67"/>
      <c r="GA177" s="67"/>
      <c r="GB177" s="67"/>
      <c r="GC177" s="67"/>
      <c r="GD177" s="67"/>
      <c r="GE177" s="67"/>
      <c r="GF177" s="67"/>
      <c r="GG177" s="67"/>
      <c r="GH177" s="67"/>
      <c r="GI177" s="67"/>
      <c r="GJ177" s="67"/>
      <c r="GK177" s="67"/>
      <c r="GL177" s="67"/>
      <c r="GM177" s="67"/>
      <c r="GN177" s="67"/>
      <c r="GO177" s="67"/>
      <c r="GP177" s="67"/>
      <c r="GQ177" s="67"/>
      <c r="GR177" s="67"/>
      <c r="GS177" s="67"/>
      <c r="GT177" s="67"/>
      <c r="GU177" s="67"/>
      <c r="GV177" s="67"/>
      <c r="GW177" s="67"/>
      <c r="GX177" s="67"/>
      <c r="GY177" s="67"/>
      <c r="GZ177" s="67"/>
      <c r="HA177" s="67"/>
      <c r="HB177" s="67"/>
      <c r="HC177" s="67"/>
      <c r="HD177" s="67"/>
      <c r="HE177" s="67"/>
      <c r="HF177" s="67"/>
      <c r="HG177" s="67"/>
      <c r="HH177" s="67"/>
      <c r="HI177" s="67"/>
      <c r="HJ177" s="67"/>
      <c r="HK177" s="67"/>
      <c r="HL177" s="67"/>
      <c r="HM177" s="67"/>
      <c r="HN177" s="67"/>
      <c r="HO177" s="67"/>
      <c r="HP177" s="67"/>
      <c r="HQ177" s="67"/>
      <c r="HR177" s="67"/>
      <c r="HS177" s="67"/>
      <c r="HT177" s="67"/>
      <c r="HU177" s="67"/>
      <c r="HV177" s="67"/>
      <c r="HW177" s="67"/>
      <c r="HX177" s="67"/>
      <c r="HY177" s="67"/>
      <c r="HZ177" s="67"/>
      <c r="IA177" s="67"/>
      <c r="IB177" s="67"/>
      <c r="IC177" s="67"/>
      <c r="ID177" s="67"/>
      <c r="IE177" s="67"/>
      <c r="IF177" s="67"/>
      <c r="IG177" s="67"/>
      <c r="IH177" s="67"/>
      <c r="II177" s="67"/>
      <c r="IJ177" s="67"/>
      <c r="IK177" s="67"/>
      <c r="IL177" s="67"/>
      <c r="IM177" s="67"/>
      <c r="IN177" s="67"/>
      <c r="IO177" s="67"/>
      <c r="IP177" s="67"/>
      <c r="IQ177" s="67"/>
      <c r="IR177" s="67"/>
      <c r="IS177" s="67"/>
      <c r="IT177" s="67"/>
      <c r="IU177" s="67"/>
      <c r="IV177" s="67"/>
      <c r="IW177" s="67"/>
      <c r="IX177" s="67"/>
      <c r="IY177" s="67"/>
      <c r="IZ177" s="67"/>
      <c r="JA177" s="67"/>
      <c r="JB177" s="67"/>
      <c r="JC177" s="67"/>
      <c r="JD177" s="67"/>
      <c r="JE177" s="67"/>
      <c r="JF177" s="67"/>
      <c r="JG177" s="67"/>
      <c r="JH177" s="67"/>
      <c r="JI177" s="67"/>
      <c r="JJ177" s="67"/>
      <c r="JK177" s="67"/>
      <c r="JL177" s="67"/>
      <c r="JM177" s="67"/>
      <c r="JN177" s="67"/>
      <c r="JO177" s="67"/>
      <c r="JP177" s="67"/>
      <c r="JQ177" s="67"/>
      <c r="JR177" s="67"/>
      <c r="JS177" s="67"/>
      <c r="JT177" s="67"/>
      <c r="JU177" s="67"/>
      <c r="JV177" s="67"/>
      <c r="JW177" s="67"/>
      <c r="JX177" s="67"/>
      <c r="JY177" s="67"/>
      <c r="JZ177" s="67"/>
      <c r="KA177" s="67"/>
      <c r="KB177" s="67"/>
      <c r="KC177" s="67"/>
      <c r="KD177" s="67"/>
      <c r="KE177" s="67"/>
      <c r="KF177" s="67"/>
      <c r="KG177" s="67"/>
      <c r="KH177" s="67"/>
      <c r="KI177" s="67"/>
      <c r="KJ177" s="67"/>
      <c r="KK177" s="67"/>
      <c r="KL177" s="67"/>
      <c r="KM177" s="67"/>
      <c r="KN177" s="67"/>
      <c r="KO177" s="67"/>
      <c r="KP177" s="67"/>
      <c r="KQ177" s="67"/>
      <c r="KR177" s="67"/>
      <c r="KS177" s="67"/>
      <c r="KT177" s="67"/>
      <c r="KU177" s="67"/>
      <c r="KV177" s="67"/>
      <c r="KW177" s="67"/>
      <c r="KX177" s="67"/>
      <c r="KY177" s="67"/>
      <c r="KZ177" s="67"/>
      <c r="LA177" s="67"/>
      <c r="LB177" s="67"/>
      <c r="LC177" s="67"/>
      <c r="LD177" s="67"/>
      <c r="LE177" s="67"/>
      <c r="LF177" s="67"/>
      <c r="LG177" s="67"/>
      <c r="LH177" s="67"/>
      <c r="LI177" s="67"/>
      <c r="LJ177" s="67"/>
      <c r="LK177" s="67"/>
      <c r="LL177" s="67"/>
      <c r="LM177" s="67"/>
      <c r="LN177" s="67"/>
      <c r="LO177" s="67"/>
      <c r="LP177" s="67"/>
      <c r="LQ177" s="67"/>
      <c r="LR177" s="67"/>
      <c r="LS177" s="67"/>
      <c r="LT177" s="67"/>
      <c r="LU177" s="67"/>
      <c r="LV177" s="67"/>
      <c r="LW177" s="67"/>
      <c r="LX177" s="67"/>
      <c r="LY177" s="67"/>
      <c r="LZ177" s="67"/>
      <c r="MA177" s="67"/>
      <c r="MB177" s="67"/>
    </row>
    <row r="178" spans="1:340" s="50" customFormat="1" ht="15.75" hidden="1" customHeight="1" thickBot="1">
      <c r="A178" s="44">
        <v>3</v>
      </c>
      <c r="B178" s="88" t="s">
        <v>83</v>
      </c>
      <c r="C178" s="85" t="s">
        <v>290</v>
      </c>
      <c r="D178" s="86" t="s">
        <v>45</v>
      </c>
      <c r="E178" s="130" t="s">
        <v>62</v>
      </c>
      <c r="F178" s="87" t="s">
        <v>24</v>
      </c>
      <c r="G178" s="139"/>
      <c r="H178" s="68"/>
      <c r="I178" s="68"/>
      <c r="J178" s="68" t="s">
        <v>26</v>
      </c>
      <c r="K178" s="68"/>
      <c r="L178" s="68" t="s">
        <v>41</v>
      </c>
      <c r="M178" s="68"/>
      <c r="N178" s="68"/>
      <c r="O178" s="68"/>
      <c r="P178" s="68" t="s">
        <v>26</v>
      </c>
      <c r="Q178" s="68"/>
      <c r="R178" s="68" t="s">
        <v>41</v>
      </c>
      <c r="S178" s="68"/>
      <c r="T178" s="68"/>
      <c r="U178" s="68" t="s">
        <v>26</v>
      </c>
      <c r="V178" s="68" t="s">
        <v>41</v>
      </c>
      <c r="W178" s="68"/>
      <c r="X178" s="68" t="s">
        <v>26</v>
      </c>
      <c r="Y178" s="68"/>
      <c r="Z178" s="68" t="s">
        <v>41</v>
      </c>
      <c r="AA178" s="68"/>
      <c r="AB178" s="68" t="s">
        <v>26</v>
      </c>
      <c r="AC178" s="68"/>
      <c r="AD178" s="68"/>
      <c r="AE178" s="68" t="s">
        <v>41</v>
      </c>
      <c r="AF178" s="68"/>
      <c r="AG178" s="68"/>
      <c r="AH178" s="68"/>
      <c r="AI178" s="68"/>
      <c r="AJ178" s="153"/>
      <c r="AK178" s="68" t="s">
        <v>26</v>
      </c>
      <c r="AL178" s="68"/>
      <c r="AM178" s="68" t="s">
        <v>41</v>
      </c>
      <c r="AN178" s="68"/>
      <c r="AO178" s="68"/>
      <c r="AP178" s="68"/>
      <c r="AQ178" s="68"/>
      <c r="AR178" s="68" t="s">
        <v>26</v>
      </c>
      <c r="AS178" s="68"/>
      <c r="AT178" s="68" t="s">
        <v>41</v>
      </c>
      <c r="AU178" s="68"/>
      <c r="AV178" s="68"/>
      <c r="AW178" s="68" t="s">
        <v>26</v>
      </c>
      <c r="AX178" s="68"/>
      <c r="AY178" s="68" t="s">
        <v>41</v>
      </c>
      <c r="AZ178" s="68"/>
      <c r="BA178" s="68" t="s">
        <v>26</v>
      </c>
      <c r="BB178" s="68"/>
      <c r="BC178" s="68" t="s">
        <v>41</v>
      </c>
      <c r="BD178" s="68"/>
      <c r="BE178" s="68"/>
      <c r="BF178" s="68" t="s">
        <v>26</v>
      </c>
      <c r="BG178" s="68"/>
      <c r="BH178" s="68"/>
      <c r="BI178" s="68"/>
      <c r="BJ178" s="68" t="s">
        <v>27</v>
      </c>
      <c r="BK178" s="68" t="s">
        <v>26</v>
      </c>
      <c r="BL178" s="68"/>
      <c r="BM178" s="68"/>
      <c r="BN178" s="68" t="s">
        <v>27</v>
      </c>
      <c r="BO178" s="68" t="s">
        <v>26</v>
      </c>
      <c r="BP178" s="68" t="s">
        <v>41</v>
      </c>
      <c r="BQ178" s="68" t="s">
        <v>37</v>
      </c>
      <c r="BR178" s="67"/>
      <c r="BS178" s="67"/>
      <c r="BT178" s="67"/>
      <c r="BU178" s="67"/>
      <c r="BV178" s="67"/>
      <c r="BW178" s="67"/>
      <c r="BX178" s="67"/>
      <c r="BY178" s="67"/>
      <c r="BZ178" s="67"/>
      <c r="CA178" s="67"/>
      <c r="CB178" s="67"/>
      <c r="CC178" s="67"/>
      <c r="CD178" s="67"/>
      <c r="CE178" s="67"/>
      <c r="CF178" s="67"/>
      <c r="CG178" s="67"/>
      <c r="CH178" s="67"/>
      <c r="CI178" s="67"/>
      <c r="CJ178" s="67"/>
      <c r="CK178" s="67"/>
      <c r="CL178" s="67"/>
      <c r="CM178" s="67"/>
      <c r="CN178" s="67"/>
      <c r="CO178" s="67"/>
      <c r="CP178" s="67"/>
      <c r="CQ178" s="67"/>
      <c r="CR178" s="67"/>
      <c r="CS178" s="67"/>
      <c r="CT178" s="67"/>
      <c r="CU178" s="67"/>
      <c r="CV178" s="67"/>
      <c r="CW178" s="67"/>
      <c r="CX178" s="67"/>
      <c r="CY178" s="67"/>
      <c r="CZ178" s="67"/>
      <c r="DA178" s="67"/>
      <c r="DB178" s="67"/>
      <c r="DC178" s="67"/>
      <c r="DD178" s="67"/>
      <c r="DE178" s="67"/>
      <c r="DF178" s="67"/>
      <c r="DG178" s="67"/>
      <c r="DH178" s="67"/>
      <c r="DI178" s="67"/>
      <c r="DJ178" s="67"/>
      <c r="DK178" s="67"/>
      <c r="DL178" s="67"/>
      <c r="DM178" s="67"/>
      <c r="DN178" s="67"/>
      <c r="DO178" s="67"/>
      <c r="DP178" s="67"/>
      <c r="DQ178" s="67"/>
      <c r="DR178" s="67"/>
      <c r="DS178" s="67"/>
      <c r="DT178" s="67"/>
      <c r="DU178" s="67"/>
      <c r="DV178" s="67"/>
      <c r="DW178" s="67"/>
      <c r="DX178" s="67"/>
      <c r="DY178" s="67"/>
      <c r="DZ178" s="67"/>
      <c r="EA178" s="67"/>
      <c r="EB178" s="67"/>
      <c r="EC178" s="67"/>
      <c r="ED178" s="67"/>
      <c r="EE178" s="67"/>
      <c r="EF178" s="67"/>
      <c r="EG178" s="67"/>
      <c r="EH178" s="67"/>
      <c r="EI178" s="67"/>
      <c r="EJ178" s="67"/>
      <c r="EK178" s="67"/>
      <c r="EL178" s="67"/>
      <c r="EM178" s="67"/>
      <c r="EN178" s="67"/>
      <c r="EO178" s="67"/>
      <c r="EP178" s="67"/>
      <c r="EQ178" s="67"/>
      <c r="ER178" s="67"/>
      <c r="ES178" s="67"/>
      <c r="ET178" s="67"/>
      <c r="EU178" s="67"/>
      <c r="EV178" s="67"/>
      <c r="EW178" s="67"/>
      <c r="EX178" s="67"/>
      <c r="EY178" s="67"/>
      <c r="EZ178" s="67"/>
      <c r="FA178" s="67"/>
      <c r="FB178" s="67"/>
      <c r="FC178" s="67"/>
      <c r="FD178" s="67"/>
      <c r="FE178" s="67"/>
      <c r="FF178" s="67"/>
      <c r="FG178" s="67"/>
      <c r="FH178" s="67"/>
      <c r="FI178" s="67"/>
      <c r="FJ178" s="67"/>
      <c r="FK178" s="67"/>
      <c r="FL178" s="67"/>
      <c r="FM178" s="67"/>
      <c r="FN178" s="67"/>
      <c r="FO178" s="67"/>
      <c r="FP178" s="67"/>
      <c r="FQ178" s="67"/>
      <c r="FR178" s="67"/>
      <c r="FS178" s="67"/>
      <c r="FT178" s="67"/>
      <c r="FU178" s="67"/>
      <c r="FV178" s="67"/>
      <c r="FW178" s="67"/>
      <c r="FX178" s="67"/>
      <c r="FY178" s="67"/>
      <c r="FZ178" s="67"/>
      <c r="GA178" s="67"/>
      <c r="GB178" s="67"/>
      <c r="GC178" s="67"/>
      <c r="GD178" s="67"/>
      <c r="GE178" s="67"/>
      <c r="GF178" s="67"/>
      <c r="GG178" s="67"/>
      <c r="GH178" s="67"/>
      <c r="GI178" s="67"/>
      <c r="GJ178" s="67"/>
      <c r="GK178" s="67"/>
      <c r="GL178" s="67"/>
      <c r="GM178" s="67"/>
      <c r="GN178" s="67"/>
      <c r="GO178" s="67"/>
      <c r="GP178" s="67"/>
      <c r="GQ178" s="67"/>
      <c r="GR178" s="67"/>
      <c r="GS178" s="67"/>
      <c r="GT178" s="67"/>
      <c r="GU178" s="67"/>
      <c r="GV178" s="67"/>
      <c r="GW178" s="67"/>
      <c r="GX178" s="67"/>
      <c r="GY178" s="67"/>
      <c r="GZ178" s="67"/>
      <c r="HA178" s="67"/>
      <c r="HB178" s="67"/>
      <c r="HC178" s="67"/>
      <c r="HD178" s="67"/>
      <c r="HE178" s="67"/>
      <c r="HF178" s="67"/>
      <c r="HG178" s="67"/>
      <c r="HH178" s="67"/>
      <c r="HI178" s="67"/>
      <c r="HJ178" s="67"/>
      <c r="HK178" s="67"/>
      <c r="HL178" s="67"/>
      <c r="HM178" s="67"/>
      <c r="HN178" s="67"/>
      <c r="HO178" s="67"/>
      <c r="HP178" s="67"/>
      <c r="HQ178" s="67"/>
      <c r="HR178" s="67"/>
      <c r="HS178" s="67"/>
      <c r="HT178" s="67"/>
      <c r="HU178" s="67"/>
      <c r="HV178" s="67"/>
      <c r="HW178" s="67"/>
      <c r="HX178" s="67"/>
      <c r="HY178" s="67"/>
      <c r="HZ178" s="67"/>
      <c r="IA178" s="67"/>
      <c r="IB178" s="67"/>
      <c r="IC178" s="67"/>
      <c r="ID178" s="67"/>
      <c r="IE178" s="67"/>
      <c r="IF178" s="67"/>
      <c r="IG178" s="67"/>
      <c r="IH178" s="67"/>
      <c r="II178" s="67"/>
      <c r="IJ178" s="67"/>
      <c r="IK178" s="67"/>
      <c r="IL178" s="67"/>
      <c r="IM178" s="67"/>
      <c r="IN178" s="67"/>
      <c r="IO178" s="67"/>
      <c r="IP178" s="67"/>
      <c r="IQ178" s="67"/>
      <c r="IR178" s="67"/>
      <c r="IS178" s="67"/>
      <c r="IT178" s="67"/>
      <c r="IU178" s="67"/>
      <c r="IV178" s="67"/>
      <c r="IW178" s="67"/>
      <c r="IX178" s="67"/>
      <c r="IY178" s="67"/>
      <c r="IZ178" s="67"/>
      <c r="JA178" s="67"/>
      <c r="JB178" s="67"/>
      <c r="JC178" s="67"/>
      <c r="JD178" s="67"/>
      <c r="JE178" s="67"/>
      <c r="JF178" s="67"/>
      <c r="JG178" s="67"/>
      <c r="JH178" s="67"/>
      <c r="JI178" s="67"/>
      <c r="JJ178" s="67"/>
      <c r="JK178" s="67"/>
      <c r="JL178" s="67"/>
      <c r="JM178" s="67"/>
      <c r="JN178" s="67"/>
      <c r="JO178" s="67"/>
      <c r="JP178" s="67"/>
      <c r="JQ178" s="67"/>
      <c r="JR178" s="67"/>
      <c r="JS178" s="67"/>
      <c r="JT178" s="67"/>
      <c r="JU178" s="67"/>
      <c r="JV178" s="67"/>
      <c r="JW178" s="67"/>
      <c r="JX178" s="67"/>
      <c r="JY178" s="67"/>
      <c r="JZ178" s="67"/>
      <c r="KA178" s="67"/>
      <c r="KB178" s="67"/>
      <c r="KC178" s="67"/>
      <c r="KD178" s="67"/>
      <c r="KE178" s="67"/>
      <c r="KF178" s="67"/>
      <c r="KG178" s="67"/>
      <c r="KH178" s="67"/>
      <c r="KI178" s="67"/>
      <c r="KJ178" s="67"/>
      <c r="KK178" s="67"/>
      <c r="KL178" s="67"/>
      <c r="KM178" s="67"/>
      <c r="KN178" s="67"/>
      <c r="KO178" s="67"/>
      <c r="KP178" s="67"/>
      <c r="KQ178" s="67"/>
      <c r="KR178" s="67"/>
      <c r="KS178" s="67"/>
      <c r="KT178" s="67"/>
      <c r="KU178" s="67"/>
      <c r="KV178" s="67"/>
      <c r="KW178" s="67"/>
      <c r="KX178" s="67"/>
      <c r="KY178" s="67"/>
      <c r="KZ178" s="67"/>
      <c r="LA178" s="67"/>
      <c r="LB178" s="67"/>
      <c r="LC178" s="67"/>
      <c r="LD178" s="67"/>
      <c r="LE178" s="67"/>
      <c r="LF178" s="67"/>
      <c r="LG178" s="67"/>
      <c r="LH178" s="67"/>
      <c r="LI178" s="67"/>
      <c r="LJ178" s="67"/>
      <c r="LK178" s="67"/>
      <c r="LL178" s="67"/>
      <c r="LM178" s="67"/>
      <c r="LN178" s="67"/>
      <c r="LO178" s="67"/>
      <c r="LP178" s="67"/>
      <c r="LQ178" s="67"/>
      <c r="LR178" s="67"/>
      <c r="LS178" s="67"/>
      <c r="LT178" s="67"/>
      <c r="LU178" s="67"/>
      <c r="LV178" s="67"/>
      <c r="LW178" s="67"/>
      <c r="LX178" s="67"/>
      <c r="LY178" s="67"/>
      <c r="LZ178" s="67"/>
      <c r="MA178" s="67"/>
      <c r="MB178" s="67"/>
    </row>
    <row r="179" spans="1:340" s="50" customFormat="1" ht="15.75" customHeight="1" thickBot="1">
      <c r="A179" s="44">
        <v>3</v>
      </c>
      <c r="B179" s="88" t="s">
        <v>291</v>
      </c>
      <c r="C179" s="85" t="s">
        <v>292</v>
      </c>
      <c r="D179" s="86" t="s">
        <v>22</v>
      </c>
      <c r="E179" s="130" t="s">
        <v>23</v>
      </c>
      <c r="F179" s="87" t="s">
        <v>24</v>
      </c>
      <c r="G179" s="139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 t="s">
        <v>25</v>
      </c>
      <c r="AL179" s="68"/>
      <c r="AM179" s="68"/>
      <c r="AN179" s="68"/>
      <c r="AO179" s="68" t="s">
        <v>26</v>
      </c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  <c r="BK179" s="68"/>
      <c r="BL179" s="68"/>
      <c r="BM179" s="68"/>
      <c r="BN179" s="68"/>
      <c r="BO179" s="68" t="s">
        <v>28</v>
      </c>
      <c r="BP179" s="68" t="s">
        <v>28</v>
      </c>
      <c r="BQ179" s="68" t="s">
        <v>37</v>
      </c>
      <c r="BR179" s="67"/>
      <c r="BS179" s="67"/>
      <c r="BT179" s="67"/>
      <c r="BU179" s="67"/>
      <c r="BV179" s="67"/>
      <c r="BW179" s="67"/>
      <c r="BX179" s="67"/>
      <c r="BY179" s="67"/>
      <c r="BZ179" s="67"/>
      <c r="CA179" s="67"/>
      <c r="CB179" s="67"/>
      <c r="CC179" s="67"/>
      <c r="CD179" s="67"/>
      <c r="CE179" s="67"/>
      <c r="CF179" s="67"/>
      <c r="CG179" s="67"/>
      <c r="CH179" s="67"/>
      <c r="CI179" s="67"/>
      <c r="CJ179" s="67"/>
      <c r="CK179" s="67"/>
      <c r="CL179" s="67"/>
      <c r="CM179" s="67"/>
      <c r="CN179" s="67"/>
      <c r="CO179" s="67"/>
      <c r="CP179" s="67"/>
      <c r="CQ179" s="67"/>
      <c r="CR179" s="67"/>
      <c r="CS179" s="67"/>
      <c r="CT179" s="67"/>
      <c r="CU179" s="67"/>
      <c r="CV179" s="67"/>
      <c r="CW179" s="67"/>
      <c r="CX179" s="67"/>
      <c r="CY179" s="67"/>
      <c r="CZ179" s="67"/>
      <c r="DA179" s="67"/>
      <c r="DB179" s="67"/>
      <c r="DC179" s="67"/>
      <c r="DD179" s="67"/>
      <c r="DE179" s="67"/>
      <c r="DF179" s="67"/>
      <c r="DG179" s="67"/>
      <c r="DH179" s="67"/>
      <c r="DI179" s="67"/>
      <c r="DJ179" s="67"/>
      <c r="DK179" s="67"/>
      <c r="DL179" s="67"/>
      <c r="DM179" s="67"/>
      <c r="DN179" s="67"/>
      <c r="DO179" s="67"/>
      <c r="DP179" s="67"/>
      <c r="DQ179" s="67"/>
      <c r="DR179" s="67"/>
      <c r="DS179" s="67"/>
      <c r="DT179" s="67"/>
      <c r="DU179" s="67"/>
      <c r="DV179" s="67"/>
      <c r="DW179" s="67"/>
      <c r="DX179" s="67"/>
      <c r="DY179" s="67"/>
      <c r="DZ179" s="67"/>
      <c r="EA179" s="67"/>
      <c r="EB179" s="67"/>
      <c r="EC179" s="67"/>
      <c r="ED179" s="67"/>
      <c r="EE179" s="67"/>
      <c r="EF179" s="67"/>
      <c r="EG179" s="67"/>
      <c r="EH179" s="67"/>
      <c r="EI179" s="67"/>
      <c r="EJ179" s="67"/>
      <c r="EK179" s="67"/>
      <c r="EL179" s="67"/>
      <c r="EM179" s="67"/>
      <c r="EN179" s="67"/>
      <c r="EO179" s="67"/>
      <c r="EP179" s="67"/>
      <c r="EQ179" s="67"/>
      <c r="ER179" s="67"/>
      <c r="ES179" s="67"/>
      <c r="ET179" s="67"/>
      <c r="EU179" s="67"/>
      <c r="EV179" s="67"/>
      <c r="EW179" s="67"/>
      <c r="EX179" s="67"/>
      <c r="EY179" s="67"/>
      <c r="EZ179" s="67"/>
      <c r="FA179" s="67"/>
      <c r="FB179" s="67"/>
      <c r="FC179" s="67"/>
      <c r="FD179" s="67"/>
      <c r="FE179" s="67"/>
      <c r="FF179" s="67"/>
      <c r="FG179" s="67"/>
      <c r="FH179" s="67"/>
      <c r="FI179" s="67"/>
      <c r="FJ179" s="67"/>
      <c r="FK179" s="67"/>
      <c r="FL179" s="67"/>
      <c r="FM179" s="67"/>
      <c r="FN179" s="67"/>
      <c r="FO179" s="67"/>
      <c r="FP179" s="67"/>
      <c r="FQ179" s="67"/>
      <c r="FR179" s="67"/>
      <c r="FS179" s="67"/>
      <c r="FT179" s="67"/>
      <c r="FU179" s="67"/>
      <c r="FV179" s="67"/>
      <c r="FW179" s="67"/>
      <c r="FX179" s="67"/>
      <c r="FY179" s="67"/>
      <c r="FZ179" s="67"/>
      <c r="GA179" s="67"/>
      <c r="GB179" s="67"/>
      <c r="GC179" s="67"/>
      <c r="GD179" s="67"/>
      <c r="GE179" s="67"/>
      <c r="GF179" s="67"/>
      <c r="GG179" s="67"/>
      <c r="GH179" s="67"/>
      <c r="GI179" s="67"/>
      <c r="GJ179" s="67"/>
      <c r="GK179" s="67"/>
      <c r="GL179" s="67"/>
      <c r="GM179" s="67"/>
      <c r="GN179" s="67"/>
      <c r="GO179" s="67"/>
      <c r="GP179" s="67"/>
      <c r="GQ179" s="67"/>
      <c r="GR179" s="67"/>
      <c r="GS179" s="67"/>
      <c r="GT179" s="67"/>
      <c r="GU179" s="67"/>
      <c r="GV179" s="67"/>
      <c r="GW179" s="67"/>
      <c r="GX179" s="67"/>
      <c r="GY179" s="67"/>
      <c r="GZ179" s="67"/>
      <c r="HA179" s="67"/>
      <c r="HB179" s="67"/>
      <c r="HC179" s="67"/>
      <c r="HD179" s="67"/>
      <c r="HE179" s="67"/>
      <c r="HF179" s="67"/>
      <c r="HG179" s="67"/>
      <c r="HH179" s="67"/>
      <c r="HI179" s="67"/>
      <c r="HJ179" s="67"/>
      <c r="HK179" s="67"/>
      <c r="HL179" s="67"/>
      <c r="HM179" s="67"/>
      <c r="HN179" s="67"/>
      <c r="HO179" s="67"/>
      <c r="HP179" s="67"/>
      <c r="HQ179" s="67"/>
      <c r="HR179" s="67"/>
      <c r="HS179" s="67"/>
      <c r="HT179" s="67"/>
      <c r="HU179" s="67"/>
      <c r="HV179" s="67"/>
      <c r="HW179" s="67"/>
      <c r="HX179" s="67"/>
      <c r="HY179" s="67"/>
      <c r="HZ179" s="67"/>
      <c r="IA179" s="67"/>
      <c r="IB179" s="67"/>
      <c r="IC179" s="67"/>
      <c r="ID179" s="67"/>
      <c r="IE179" s="67"/>
      <c r="IF179" s="67"/>
      <c r="IG179" s="67"/>
      <c r="IH179" s="67"/>
      <c r="II179" s="67"/>
      <c r="IJ179" s="67"/>
      <c r="IK179" s="67"/>
      <c r="IL179" s="67"/>
      <c r="IM179" s="67"/>
      <c r="IN179" s="67"/>
      <c r="IO179" s="67"/>
      <c r="IP179" s="67"/>
      <c r="IQ179" s="67"/>
      <c r="IR179" s="67"/>
      <c r="IS179" s="67"/>
      <c r="IT179" s="67"/>
      <c r="IU179" s="67"/>
      <c r="IV179" s="67"/>
      <c r="IW179" s="67"/>
      <c r="IX179" s="67"/>
      <c r="IY179" s="67"/>
      <c r="IZ179" s="67"/>
      <c r="JA179" s="67"/>
      <c r="JB179" s="67"/>
      <c r="JC179" s="67"/>
      <c r="JD179" s="67"/>
      <c r="JE179" s="67"/>
      <c r="JF179" s="67"/>
      <c r="JG179" s="67"/>
      <c r="JH179" s="67"/>
      <c r="JI179" s="67"/>
      <c r="JJ179" s="67"/>
      <c r="JK179" s="67"/>
      <c r="JL179" s="67"/>
      <c r="JM179" s="67"/>
      <c r="JN179" s="67"/>
      <c r="JO179" s="67"/>
      <c r="JP179" s="67"/>
      <c r="JQ179" s="67"/>
      <c r="JR179" s="67"/>
      <c r="JS179" s="67"/>
      <c r="JT179" s="67"/>
      <c r="JU179" s="67"/>
      <c r="JV179" s="67"/>
      <c r="JW179" s="67"/>
      <c r="JX179" s="67"/>
      <c r="JY179" s="67"/>
      <c r="JZ179" s="67"/>
      <c r="KA179" s="67"/>
      <c r="KB179" s="67"/>
      <c r="KC179" s="67"/>
      <c r="KD179" s="67"/>
      <c r="KE179" s="67"/>
      <c r="KF179" s="67"/>
      <c r="KG179" s="67"/>
      <c r="KH179" s="67"/>
      <c r="KI179" s="67"/>
      <c r="KJ179" s="67"/>
      <c r="KK179" s="67"/>
      <c r="KL179" s="67"/>
      <c r="KM179" s="67"/>
      <c r="KN179" s="67"/>
      <c r="KO179" s="67"/>
      <c r="KP179" s="67"/>
      <c r="KQ179" s="67"/>
      <c r="KR179" s="67"/>
      <c r="KS179" s="67"/>
      <c r="KT179" s="67"/>
      <c r="KU179" s="67"/>
      <c r="KV179" s="67"/>
      <c r="KW179" s="67"/>
      <c r="KX179" s="67"/>
      <c r="KY179" s="67"/>
      <c r="KZ179" s="67"/>
      <c r="LA179" s="67"/>
      <c r="LB179" s="67"/>
      <c r="LC179" s="67"/>
      <c r="LD179" s="67"/>
      <c r="LE179" s="67"/>
      <c r="LF179" s="67"/>
      <c r="LG179" s="67"/>
      <c r="LH179" s="67"/>
      <c r="LI179" s="67"/>
      <c r="LJ179" s="67"/>
      <c r="LK179" s="67"/>
      <c r="LL179" s="67"/>
      <c r="LM179" s="67"/>
      <c r="LN179" s="67"/>
      <c r="LO179" s="67"/>
      <c r="LP179" s="67"/>
      <c r="LQ179" s="67"/>
      <c r="LR179" s="67"/>
      <c r="LS179" s="67"/>
      <c r="LT179" s="67"/>
      <c r="LU179" s="67"/>
      <c r="LV179" s="67"/>
      <c r="LW179" s="67"/>
      <c r="LX179" s="67"/>
      <c r="LY179" s="67"/>
      <c r="LZ179" s="67"/>
      <c r="MA179" s="67"/>
      <c r="MB179" s="67"/>
    </row>
    <row r="180" spans="1:340" s="50" customFormat="1" ht="15.75" hidden="1" customHeight="1" thickBot="1">
      <c r="A180" s="44">
        <v>3</v>
      </c>
      <c r="B180" s="88" t="s">
        <v>151</v>
      </c>
      <c r="C180" s="85" t="s">
        <v>293</v>
      </c>
      <c r="D180" s="86" t="s">
        <v>45</v>
      </c>
      <c r="E180" s="130" t="s">
        <v>46</v>
      </c>
      <c r="F180" s="87" t="s">
        <v>24</v>
      </c>
      <c r="G180" s="139"/>
      <c r="H180" s="68"/>
      <c r="I180" s="68"/>
      <c r="J180" s="68"/>
      <c r="K180" s="68"/>
      <c r="L180" s="68"/>
      <c r="M180" s="68" t="s">
        <v>27</v>
      </c>
      <c r="N180" s="68"/>
      <c r="O180" s="68"/>
      <c r="P180" s="68" t="s">
        <v>27</v>
      </c>
      <c r="Q180" s="68"/>
      <c r="R180" s="68"/>
      <c r="S180" s="68" t="s">
        <v>27</v>
      </c>
      <c r="T180" s="68"/>
      <c r="U180" s="68"/>
      <c r="V180" s="68"/>
      <c r="W180" s="68"/>
      <c r="X180" s="68"/>
      <c r="Y180" s="68"/>
      <c r="Z180" s="68" t="s">
        <v>27</v>
      </c>
      <c r="AA180" s="68"/>
      <c r="AB180" s="68"/>
      <c r="AC180" s="68"/>
      <c r="AD180" s="68"/>
      <c r="AE180" s="68" t="s">
        <v>27</v>
      </c>
      <c r="AF180" s="68"/>
      <c r="AG180" s="68"/>
      <c r="AH180" s="68"/>
      <c r="AI180" s="68"/>
      <c r="AJ180" s="153"/>
      <c r="AK180" s="68" t="s">
        <v>27</v>
      </c>
      <c r="AL180" s="68"/>
      <c r="AM180" s="68"/>
      <c r="AN180" s="68"/>
      <c r="AO180" s="68"/>
      <c r="AP180" s="68" t="s">
        <v>27</v>
      </c>
      <c r="AQ180" s="68"/>
      <c r="AR180" s="153"/>
      <c r="AS180" s="68" t="s">
        <v>26</v>
      </c>
      <c r="AT180" s="68"/>
      <c r="AU180" s="68"/>
      <c r="AV180" s="68"/>
      <c r="AW180" s="68"/>
      <c r="AX180" s="68" t="s">
        <v>27</v>
      </c>
      <c r="AY180" s="68" t="s">
        <v>26</v>
      </c>
      <c r="AZ180" s="68"/>
      <c r="BA180" s="68"/>
      <c r="BB180" s="68" t="s">
        <v>41</v>
      </c>
      <c r="BC180" s="68"/>
      <c r="BD180" s="68" t="s">
        <v>26</v>
      </c>
      <c r="BE180" s="68"/>
      <c r="BF180" s="68"/>
      <c r="BG180" s="68"/>
      <c r="BH180" s="68" t="s">
        <v>27</v>
      </c>
      <c r="BI180" s="68"/>
      <c r="BJ180" s="68"/>
      <c r="BK180" s="68" t="s">
        <v>26</v>
      </c>
      <c r="BL180" s="68"/>
      <c r="BM180" s="68"/>
      <c r="BN180" s="68"/>
      <c r="BO180" s="68"/>
      <c r="BP180" s="68" t="s">
        <v>41</v>
      </c>
      <c r="BQ180" s="68" t="s">
        <v>37</v>
      </c>
      <c r="BR180" s="67"/>
      <c r="BS180" s="67"/>
      <c r="BT180" s="67"/>
      <c r="BU180" s="67"/>
      <c r="BV180" s="67"/>
      <c r="BW180" s="67"/>
      <c r="BX180" s="67"/>
      <c r="BY180" s="67"/>
      <c r="BZ180" s="67"/>
      <c r="CA180" s="67"/>
      <c r="CB180" s="67"/>
      <c r="CC180" s="67"/>
      <c r="CD180" s="67"/>
      <c r="CE180" s="67"/>
      <c r="CF180" s="67"/>
      <c r="CG180" s="67"/>
      <c r="CH180" s="67"/>
      <c r="CI180" s="67"/>
      <c r="CJ180" s="67"/>
      <c r="CK180" s="67"/>
      <c r="CL180" s="67"/>
      <c r="CM180" s="67"/>
      <c r="CN180" s="67"/>
      <c r="CO180" s="67"/>
      <c r="CP180" s="67"/>
      <c r="CQ180" s="67"/>
      <c r="CR180" s="67"/>
      <c r="CS180" s="67"/>
      <c r="CT180" s="67"/>
      <c r="CU180" s="67"/>
      <c r="CV180" s="67"/>
      <c r="CW180" s="67"/>
      <c r="CX180" s="67"/>
      <c r="CY180" s="67"/>
      <c r="CZ180" s="67"/>
      <c r="DA180" s="67"/>
      <c r="DB180" s="67"/>
      <c r="DC180" s="67"/>
      <c r="DD180" s="67"/>
      <c r="DE180" s="67"/>
      <c r="DF180" s="67"/>
      <c r="DG180" s="67"/>
      <c r="DH180" s="67"/>
      <c r="DI180" s="67"/>
      <c r="DJ180" s="67"/>
      <c r="DK180" s="67"/>
      <c r="DL180" s="67"/>
      <c r="DM180" s="67"/>
      <c r="DN180" s="67"/>
      <c r="DO180" s="67"/>
      <c r="DP180" s="67"/>
      <c r="DQ180" s="67"/>
      <c r="DR180" s="67"/>
      <c r="DS180" s="67"/>
      <c r="DT180" s="67"/>
      <c r="DU180" s="67"/>
      <c r="DV180" s="67"/>
      <c r="DW180" s="67"/>
      <c r="DX180" s="67"/>
      <c r="DY180" s="67"/>
      <c r="DZ180" s="67"/>
      <c r="EA180" s="67"/>
      <c r="EB180" s="67"/>
      <c r="EC180" s="67"/>
      <c r="ED180" s="67"/>
      <c r="EE180" s="67"/>
      <c r="EF180" s="67"/>
      <c r="EG180" s="67"/>
      <c r="EH180" s="67"/>
      <c r="EI180" s="67"/>
      <c r="EJ180" s="67"/>
      <c r="EK180" s="67"/>
      <c r="EL180" s="67"/>
      <c r="EM180" s="67"/>
      <c r="EN180" s="67"/>
      <c r="EO180" s="67"/>
      <c r="EP180" s="67"/>
      <c r="EQ180" s="67"/>
      <c r="ER180" s="67"/>
      <c r="ES180" s="67"/>
      <c r="ET180" s="67"/>
      <c r="EU180" s="67"/>
      <c r="EV180" s="67"/>
      <c r="EW180" s="67"/>
      <c r="EX180" s="67"/>
      <c r="EY180" s="67"/>
      <c r="EZ180" s="67"/>
      <c r="FA180" s="67"/>
      <c r="FB180" s="67"/>
      <c r="FC180" s="67"/>
      <c r="FD180" s="67"/>
      <c r="FE180" s="67"/>
      <c r="FF180" s="67"/>
      <c r="FG180" s="67"/>
      <c r="FH180" s="67"/>
      <c r="FI180" s="67"/>
      <c r="FJ180" s="67"/>
      <c r="FK180" s="67"/>
      <c r="FL180" s="67"/>
      <c r="FM180" s="67"/>
      <c r="FN180" s="67"/>
      <c r="FO180" s="67"/>
      <c r="FP180" s="67"/>
      <c r="FQ180" s="67"/>
      <c r="FR180" s="67"/>
      <c r="FS180" s="67"/>
      <c r="FT180" s="67"/>
      <c r="FU180" s="67"/>
      <c r="FV180" s="67"/>
      <c r="FW180" s="67"/>
      <c r="FX180" s="67"/>
      <c r="FY180" s="67"/>
      <c r="FZ180" s="67"/>
      <c r="GA180" s="67"/>
      <c r="GB180" s="67"/>
      <c r="GC180" s="67"/>
      <c r="GD180" s="67"/>
      <c r="GE180" s="67"/>
      <c r="GF180" s="67"/>
      <c r="GG180" s="67"/>
      <c r="GH180" s="67"/>
      <c r="GI180" s="67"/>
      <c r="GJ180" s="67"/>
      <c r="GK180" s="67"/>
      <c r="GL180" s="67"/>
      <c r="GM180" s="67"/>
      <c r="GN180" s="67"/>
      <c r="GO180" s="67"/>
      <c r="GP180" s="67"/>
      <c r="GQ180" s="67"/>
      <c r="GR180" s="67"/>
      <c r="GS180" s="67"/>
      <c r="GT180" s="67"/>
      <c r="GU180" s="67"/>
      <c r="GV180" s="67"/>
      <c r="GW180" s="67"/>
      <c r="GX180" s="67"/>
      <c r="GY180" s="67"/>
      <c r="GZ180" s="67"/>
      <c r="HA180" s="67"/>
      <c r="HB180" s="67"/>
      <c r="HC180" s="67"/>
      <c r="HD180" s="67"/>
      <c r="HE180" s="67"/>
      <c r="HF180" s="67"/>
      <c r="HG180" s="67"/>
      <c r="HH180" s="67"/>
      <c r="HI180" s="67"/>
      <c r="HJ180" s="67"/>
      <c r="HK180" s="67"/>
      <c r="HL180" s="67"/>
      <c r="HM180" s="67"/>
      <c r="HN180" s="67"/>
      <c r="HO180" s="67"/>
      <c r="HP180" s="67"/>
      <c r="HQ180" s="67"/>
      <c r="HR180" s="67"/>
      <c r="HS180" s="67"/>
      <c r="HT180" s="67"/>
      <c r="HU180" s="67"/>
      <c r="HV180" s="67"/>
      <c r="HW180" s="67"/>
      <c r="HX180" s="67"/>
      <c r="HY180" s="67"/>
      <c r="HZ180" s="67"/>
      <c r="IA180" s="67"/>
      <c r="IB180" s="67"/>
      <c r="IC180" s="67"/>
      <c r="ID180" s="67"/>
      <c r="IE180" s="67"/>
      <c r="IF180" s="67"/>
      <c r="IG180" s="67"/>
      <c r="IH180" s="67"/>
      <c r="II180" s="67"/>
      <c r="IJ180" s="67"/>
      <c r="IK180" s="67"/>
      <c r="IL180" s="67"/>
      <c r="IM180" s="67"/>
      <c r="IN180" s="67"/>
      <c r="IO180" s="67"/>
      <c r="IP180" s="67"/>
      <c r="IQ180" s="67"/>
      <c r="IR180" s="67"/>
      <c r="IS180" s="67"/>
      <c r="IT180" s="67"/>
      <c r="IU180" s="67"/>
      <c r="IV180" s="67"/>
      <c r="IW180" s="67"/>
      <c r="IX180" s="67"/>
      <c r="IY180" s="67"/>
      <c r="IZ180" s="67"/>
      <c r="JA180" s="67"/>
      <c r="JB180" s="67"/>
      <c r="JC180" s="67"/>
      <c r="JD180" s="67"/>
      <c r="JE180" s="67"/>
      <c r="JF180" s="67"/>
      <c r="JG180" s="67"/>
      <c r="JH180" s="67"/>
      <c r="JI180" s="67"/>
      <c r="JJ180" s="67"/>
      <c r="JK180" s="67"/>
      <c r="JL180" s="67"/>
      <c r="JM180" s="67"/>
      <c r="JN180" s="67"/>
      <c r="JO180" s="67"/>
      <c r="JP180" s="67"/>
      <c r="JQ180" s="67"/>
      <c r="JR180" s="67"/>
      <c r="JS180" s="67"/>
      <c r="JT180" s="67"/>
      <c r="JU180" s="67"/>
      <c r="JV180" s="67"/>
      <c r="JW180" s="67"/>
      <c r="JX180" s="67"/>
      <c r="JY180" s="67"/>
      <c r="JZ180" s="67"/>
      <c r="KA180" s="67"/>
      <c r="KB180" s="67"/>
      <c r="KC180" s="67"/>
      <c r="KD180" s="67"/>
      <c r="KE180" s="67"/>
      <c r="KF180" s="67"/>
      <c r="KG180" s="67"/>
      <c r="KH180" s="67"/>
      <c r="KI180" s="67"/>
      <c r="KJ180" s="67"/>
      <c r="KK180" s="67"/>
      <c r="KL180" s="67"/>
      <c r="KM180" s="67"/>
      <c r="KN180" s="67"/>
      <c r="KO180" s="67"/>
      <c r="KP180" s="67"/>
      <c r="KQ180" s="67"/>
      <c r="KR180" s="67"/>
      <c r="KS180" s="67"/>
      <c r="KT180" s="67"/>
      <c r="KU180" s="67"/>
      <c r="KV180" s="67"/>
      <c r="KW180" s="67"/>
      <c r="KX180" s="67"/>
      <c r="KY180" s="67"/>
      <c r="KZ180" s="67"/>
      <c r="LA180" s="67"/>
      <c r="LB180" s="67"/>
      <c r="LC180" s="67"/>
      <c r="LD180" s="67"/>
      <c r="LE180" s="67"/>
      <c r="LF180" s="67"/>
      <c r="LG180" s="67"/>
      <c r="LH180" s="67"/>
      <c r="LI180" s="67"/>
      <c r="LJ180" s="67"/>
      <c r="LK180" s="67"/>
      <c r="LL180" s="67"/>
      <c r="LM180" s="67"/>
      <c r="LN180" s="67"/>
      <c r="LO180" s="67"/>
      <c r="LP180" s="67"/>
      <c r="LQ180" s="67"/>
      <c r="LR180" s="67"/>
      <c r="LS180" s="67"/>
      <c r="LT180" s="67"/>
      <c r="LU180" s="67"/>
      <c r="LV180" s="67"/>
      <c r="LW180" s="67"/>
      <c r="LX180" s="67"/>
      <c r="LY180" s="67"/>
      <c r="LZ180" s="67"/>
      <c r="MA180" s="67"/>
      <c r="MB180" s="67"/>
    </row>
    <row r="181" spans="1:340" s="50" customFormat="1" ht="15.75" customHeight="1" thickBot="1">
      <c r="A181" s="44">
        <v>3</v>
      </c>
      <c r="B181" s="88" t="s">
        <v>280</v>
      </c>
      <c r="C181" s="85" t="s">
        <v>294</v>
      </c>
      <c r="D181" s="86" t="s">
        <v>22</v>
      </c>
      <c r="E181" s="130" t="s">
        <v>23</v>
      </c>
      <c r="F181" s="87" t="s">
        <v>24</v>
      </c>
      <c r="G181" s="139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 t="s">
        <v>25</v>
      </c>
      <c r="BA181" s="68" t="s">
        <v>26</v>
      </c>
      <c r="BB181" s="68"/>
      <c r="BC181" s="68"/>
      <c r="BD181" s="68"/>
      <c r="BE181" s="68"/>
      <c r="BF181" s="68"/>
      <c r="BG181" s="68"/>
      <c r="BH181" s="153"/>
      <c r="BI181" s="68" t="s">
        <v>27</v>
      </c>
      <c r="BJ181" s="68"/>
      <c r="BK181" s="68" t="s">
        <v>26</v>
      </c>
      <c r="BL181" s="68"/>
      <c r="BM181" s="68"/>
      <c r="BN181" s="68"/>
      <c r="BO181" s="68" t="s">
        <v>28</v>
      </c>
      <c r="BP181" s="68"/>
      <c r="BQ181" s="68" t="s">
        <v>27</v>
      </c>
      <c r="BR181" s="68" t="s">
        <v>37</v>
      </c>
      <c r="BS181" s="67"/>
      <c r="BT181" s="67"/>
      <c r="BU181" s="67"/>
      <c r="BV181" s="67"/>
      <c r="BW181" s="67"/>
      <c r="BX181" s="67"/>
      <c r="BY181" s="67"/>
      <c r="BZ181" s="67"/>
      <c r="CA181" s="67"/>
      <c r="CB181" s="67"/>
      <c r="CC181" s="67"/>
      <c r="CD181" s="67"/>
      <c r="CE181" s="67"/>
      <c r="CF181" s="67"/>
      <c r="CG181" s="67"/>
      <c r="CH181" s="67"/>
      <c r="CI181" s="67"/>
      <c r="CJ181" s="67"/>
      <c r="CK181" s="67"/>
      <c r="CL181" s="67"/>
      <c r="CM181" s="67"/>
      <c r="CN181" s="67"/>
      <c r="CO181" s="67"/>
      <c r="CP181" s="67"/>
      <c r="CQ181" s="67"/>
      <c r="CR181" s="67"/>
      <c r="CS181" s="67"/>
      <c r="CT181" s="67"/>
      <c r="CU181" s="67"/>
      <c r="CV181" s="67"/>
      <c r="CW181" s="67"/>
      <c r="CX181" s="67"/>
      <c r="CY181" s="67"/>
      <c r="CZ181" s="67"/>
      <c r="DA181" s="67"/>
      <c r="DB181" s="67"/>
      <c r="DC181" s="67"/>
      <c r="DD181" s="67"/>
      <c r="DE181" s="67"/>
      <c r="DF181" s="67"/>
      <c r="DG181" s="67"/>
      <c r="DH181" s="67"/>
      <c r="DI181" s="67"/>
      <c r="DJ181" s="67"/>
      <c r="DK181" s="67"/>
      <c r="DL181" s="67"/>
      <c r="DM181" s="67"/>
      <c r="DN181" s="67"/>
      <c r="DO181" s="67"/>
      <c r="DP181" s="67"/>
      <c r="DQ181" s="67"/>
      <c r="DR181" s="67"/>
      <c r="DS181" s="67"/>
      <c r="DT181" s="67"/>
      <c r="DU181" s="67"/>
      <c r="DV181" s="67"/>
      <c r="DW181" s="67"/>
      <c r="DX181" s="67"/>
      <c r="DY181" s="67"/>
      <c r="DZ181" s="67"/>
      <c r="EA181" s="67"/>
      <c r="EB181" s="67"/>
      <c r="EC181" s="67"/>
      <c r="ED181" s="67"/>
      <c r="EE181" s="67"/>
      <c r="EF181" s="67"/>
      <c r="EG181" s="67"/>
      <c r="EH181" s="67"/>
      <c r="EI181" s="67"/>
      <c r="EJ181" s="67"/>
      <c r="EK181" s="67"/>
      <c r="EL181" s="67"/>
      <c r="EM181" s="67"/>
      <c r="EN181" s="67"/>
      <c r="EO181" s="67"/>
      <c r="EP181" s="67"/>
      <c r="EQ181" s="67"/>
      <c r="ER181" s="67"/>
      <c r="ES181" s="67"/>
      <c r="ET181" s="67"/>
      <c r="EU181" s="67"/>
      <c r="EV181" s="67"/>
      <c r="EW181" s="67"/>
      <c r="EX181" s="67"/>
      <c r="EY181" s="67"/>
      <c r="EZ181" s="67"/>
      <c r="FA181" s="67"/>
      <c r="FB181" s="67"/>
      <c r="FC181" s="67"/>
      <c r="FD181" s="67"/>
      <c r="FE181" s="67"/>
      <c r="FF181" s="67"/>
      <c r="FG181" s="67"/>
      <c r="FH181" s="67"/>
      <c r="FI181" s="67"/>
      <c r="FJ181" s="67"/>
      <c r="FK181" s="67"/>
      <c r="FL181" s="67"/>
      <c r="FM181" s="67"/>
      <c r="FN181" s="67"/>
      <c r="FO181" s="67"/>
      <c r="FP181" s="67"/>
      <c r="FQ181" s="67"/>
      <c r="FR181" s="67"/>
      <c r="FS181" s="67"/>
      <c r="FT181" s="67"/>
      <c r="FU181" s="67"/>
      <c r="FV181" s="67"/>
      <c r="FW181" s="67"/>
      <c r="FX181" s="67"/>
      <c r="FY181" s="67"/>
      <c r="FZ181" s="67"/>
      <c r="GA181" s="67"/>
      <c r="GB181" s="67"/>
      <c r="GC181" s="67"/>
      <c r="GD181" s="67"/>
      <c r="GE181" s="67"/>
      <c r="GF181" s="67"/>
      <c r="GG181" s="67"/>
      <c r="GH181" s="67"/>
      <c r="GI181" s="67"/>
      <c r="GJ181" s="67"/>
      <c r="GK181" s="67"/>
      <c r="GL181" s="67"/>
      <c r="GM181" s="67"/>
      <c r="GN181" s="67"/>
      <c r="GO181" s="67"/>
      <c r="GP181" s="67"/>
      <c r="GQ181" s="67"/>
      <c r="GR181" s="67"/>
      <c r="GS181" s="67"/>
      <c r="GT181" s="67"/>
      <c r="GU181" s="67"/>
      <c r="GV181" s="67"/>
      <c r="GW181" s="67"/>
      <c r="GX181" s="67"/>
      <c r="GY181" s="67"/>
      <c r="GZ181" s="67"/>
      <c r="HA181" s="67"/>
      <c r="HB181" s="67"/>
      <c r="HC181" s="67"/>
      <c r="HD181" s="67"/>
      <c r="HE181" s="67"/>
      <c r="HF181" s="67"/>
      <c r="HG181" s="67"/>
      <c r="HH181" s="67"/>
      <c r="HI181" s="67"/>
      <c r="HJ181" s="67"/>
      <c r="HK181" s="67"/>
      <c r="HL181" s="67"/>
      <c r="HM181" s="67"/>
      <c r="HN181" s="67"/>
      <c r="HO181" s="67"/>
      <c r="HP181" s="67"/>
      <c r="HQ181" s="67"/>
      <c r="HR181" s="67"/>
      <c r="HS181" s="67"/>
      <c r="HT181" s="67"/>
      <c r="HU181" s="67"/>
      <c r="HV181" s="67"/>
      <c r="HW181" s="67"/>
      <c r="HX181" s="67"/>
      <c r="HY181" s="67"/>
      <c r="HZ181" s="67"/>
      <c r="IA181" s="67"/>
      <c r="IB181" s="67"/>
      <c r="IC181" s="67"/>
      <c r="ID181" s="67"/>
      <c r="IE181" s="67"/>
      <c r="IF181" s="67"/>
      <c r="IG181" s="67"/>
      <c r="IH181" s="67"/>
      <c r="II181" s="67"/>
      <c r="IJ181" s="67"/>
      <c r="IK181" s="67"/>
      <c r="IL181" s="67"/>
      <c r="IM181" s="67"/>
      <c r="IN181" s="67"/>
      <c r="IO181" s="67"/>
      <c r="IP181" s="67"/>
      <c r="IQ181" s="67"/>
      <c r="IR181" s="67"/>
      <c r="IS181" s="67"/>
      <c r="IT181" s="67"/>
      <c r="IU181" s="67"/>
      <c r="IV181" s="67"/>
      <c r="IW181" s="67"/>
      <c r="IX181" s="67"/>
      <c r="IY181" s="67"/>
      <c r="IZ181" s="67"/>
      <c r="JA181" s="67"/>
      <c r="JB181" s="67"/>
      <c r="JC181" s="67"/>
      <c r="JD181" s="67"/>
      <c r="JE181" s="67"/>
      <c r="JF181" s="67"/>
      <c r="JG181" s="67"/>
      <c r="JH181" s="67"/>
      <c r="JI181" s="67"/>
      <c r="JJ181" s="67"/>
      <c r="JK181" s="67"/>
      <c r="JL181" s="67"/>
      <c r="JM181" s="67"/>
      <c r="JN181" s="67"/>
      <c r="JO181" s="67"/>
      <c r="JP181" s="67"/>
      <c r="JQ181" s="67"/>
      <c r="JR181" s="67"/>
      <c r="JS181" s="67"/>
      <c r="JT181" s="67"/>
      <c r="JU181" s="67"/>
      <c r="JV181" s="67"/>
      <c r="JW181" s="67"/>
      <c r="JX181" s="67"/>
      <c r="JY181" s="67"/>
      <c r="JZ181" s="67"/>
      <c r="KA181" s="67"/>
      <c r="KB181" s="67"/>
      <c r="KC181" s="67"/>
      <c r="KD181" s="67"/>
      <c r="KE181" s="67"/>
      <c r="KF181" s="67"/>
      <c r="KG181" s="67"/>
      <c r="KH181" s="67"/>
      <c r="KI181" s="67"/>
      <c r="KJ181" s="67"/>
      <c r="KK181" s="67"/>
      <c r="KL181" s="67"/>
      <c r="KM181" s="67"/>
      <c r="KN181" s="67"/>
      <c r="KO181" s="67"/>
      <c r="KP181" s="67"/>
      <c r="KQ181" s="67"/>
      <c r="KR181" s="67"/>
      <c r="KS181" s="67"/>
      <c r="KT181" s="67"/>
      <c r="KU181" s="67"/>
      <c r="KV181" s="67"/>
      <c r="KW181" s="67"/>
      <c r="KX181" s="67"/>
      <c r="KY181" s="67"/>
      <c r="KZ181" s="67"/>
      <c r="LA181" s="67"/>
      <c r="LB181" s="67"/>
      <c r="LC181" s="67"/>
      <c r="LD181" s="67"/>
      <c r="LE181" s="67"/>
      <c r="LF181" s="67"/>
      <c r="LG181" s="67"/>
      <c r="LH181" s="67"/>
      <c r="LI181" s="67"/>
      <c r="LJ181" s="67"/>
      <c r="LK181" s="67"/>
      <c r="LL181" s="67"/>
      <c r="LM181" s="67"/>
      <c r="LN181" s="67"/>
      <c r="LO181" s="67"/>
      <c r="LP181" s="67"/>
      <c r="LQ181" s="67"/>
      <c r="LR181" s="67"/>
      <c r="LS181" s="67"/>
      <c r="LT181" s="67"/>
      <c r="LU181" s="67"/>
      <c r="LV181" s="67"/>
      <c r="LW181" s="67"/>
      <c r="LX181" s="67"/>
      <c r="LY181" s="67"/>
      <c r="LZ181" s="67"/>
      <c r="MA181" s="67"/>
      <c r="MB181" s="67"/>
    </row>
    <row r="182" spans="1:340" s="50" customFormat="1" ht="15.75" hidden="1" customHeight="1" thickBot="1">
      <c r="A182" s="44">
        <v>3</v>
      </c>
      <c r="B182" s="88" t="s">
        <v>295</v>
      </c>
      <c r="C182" s="85" t="s">
        <v>129</v>
      </c>
      <c r="D182" s="86" t="s">
        <v>35</v>
      </c>
      <c r="E182" s="130" t="s">
        <v>40</v>
      </c>
      <c r="F182" s="87" t="s">
        <v>24</v>
      </c>
      <c r="G182" s="139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 t="s">
        <v>25</v>
      </c>
      <c r="AT182" s="68"/>
      <c r="AU182" s="68"/>
      <c r="AV182" s="68" t="s">
        <v>26</v>
      </c>
      <c r="AW182" s="68"/>
      <c r="AX182" s="68"/>
      <c r="AY182" s="68"/>
      <c r="AZ182" s="68"/>
      <c r="BA182" s="68"/>
      <c r="BB182" s="68"/>
      <c r="BC182" s="68"/>
      <c r="BD182" s="68"/>
      <c r="BE182" s="153"/>
      <c r="BF182" s="68"/>
      <c r="BG182" s="68"/>
      <c r="BH182" s="68"/>
      <c r="BI182" s="68"/>
      <c r="BJ182" s="68"/>
      <c r="BK182" s="68"/>
      <c r="BL182" s="68"/>
      <c r="BM182" s="68"/>
      <c r="BN182" s="68"/>
      <c r="BO182" s="68"/>
      <c r="BP182" s="68"/>
      <c r="BQ182" s="68" t="s">
        <v>28</v>
      </c>
      <c r="BR182" s="68" t="s">
        <v>37</v>
      </c>
      <c r="BS182" s="67"/>
      <c r="BT182" s="67"/>
      <c r="BU182" s="67"/>
      <c r="BV182" s="67"/>
      <c r="BW182" s="67"/>
      <c r="BX182" s="67"/>
      <c r="BY182" s="67"/>
      <c r="BZ182" s="67"/>
      <c r="CA182" s="67"/>
      <c r="CB182" s="67"/>
      <c r="CC182" s="67"/>
      <c r="CD182" s="67"/>
      <c r="CE182" s="67"/>
      <c r="CF182" s="67"/>
      <c r="CG182" s="67"/>
      <c r="CH182" s="67"/>
      <c r="CI182" s="67"/>
      <c r="CJ182" s="67"/>
      <c r="CK182" s="67"/>
      <c r="CL182" s="67"/>
      <c r="CM182" s="67"/>
      <c r="CN182" s="67"/>
      <c r="CO182" s="67"/>
      <c r="CP182" s="67"/>
      <c r="CQ182" s="67"/>
      <c r="CR182" s="67"/>
      <c r="CS182" s="67"/>
      <c r="CT182" s="67"/>
      <c r="CU182" s="67"/>
      <c r="CV182" s="67"/>
      <c r="CW182" s="67"/>
      <c r="CX182" s="67"/>
      <c r="CY182" s="67"/>
      <c r="CZ182" s="67"/>
      <c r="DA182" s="67"/>
      <c r="DB182" s="67"/>
      <c r="DC182" s="67"/>
      <c r="DD182" s="67"/>
      <c r="DE182" s="67"/>
      <c r="DF182" s="67"/>
      <c r="DG182" s="67"/>
      <c r="DH182" s="67"/>
      <c r="DI182" s="67"/>
      <c r="DJ182" s="67"/>
      <c r="DK182" s="67"/>
      <c r="DL182" s="67"/>
      <c r="DM182" s="67"/>
      <c r="DN182" s="67"/>
      <c r="DO182" s="67"/>
      <c r="DP182" s="67"/>
      <c r="DQ182" s="67"/>
      <c r="DR182" s="67"/>
      <c r="DS182" s="67"/>
      <c r="DT182" s="67"/>
      <c r="DU182" s="67"/>
      <c r="DV182" s="67"/>
      <c r="DW182" s="67"/>
      <c r="DX182" s="67"/>
      <c r="DY182" s="67"/>
      <c r="DZ182" s="67"/>
      <c r="EA182" s="67"/>
      <c r="EB182" s="67"/>
      <c r="EC182" s="67"/>
      <c r="ED182" s="67"/>
      <c r="EE182" s="67"/>
      <c r="EF182" s="67"/>
      <c r="EG182" s="67"/>
      <c r="EH182" s="67"/>
      <c r="EI182" s="67"/>
      <c r="EJ182" s="67"/>
      <c r="EK182" s="67"/>
      <c r="EL182" s="67"/>
      <c r="EM182" s="67"/>
      <c r="EN182" s="67"/>
      <c r="EO182" s="67"/>
      <c r="EP182" s="67"/>
      <c r="EQ182" s="67"/>
      <c r="ER182" s="67"/>
      <c r="ES182" s="67"/>
      <c r="ET182" s="67"/>
      <c r="EU182" s="67"/>
      <c r="EV182" s="67"/>
      <c r="EW182" s="67"/>
      <c r="EX182" s="67"/>
      <c r="EY182" s="67"/>
      <c r="EZ182" s="67"/>
      <c r="FA182" s="67"/>
      <c r="FB182" s="67"/>
      <c r="FC182" s="67"/>
      <c r="FD182" s="67"/>
      <c r="FE182" s="67"/>
      <c r="FF182" s="67"/>
      <c r="FG182" s="67"/>
      <c r="FH182" s="67"/>
      <c r="FI182" s="67"/>
      <c r="FJ182" s="67"/>
      <c r="FK182" s="67"/>
      <c r="FL182" s="67"/>
      <c r="FM182" s="67"/>
      <c r="FN182" s="67"/>
      <c r="FO182" s="67"/>
      <c r="FP182" s="67"/>
      <c r="FQ182" s="67"/>
      <c r="FR182" s="67"/>
      <c r="FS182" s="67"/>
      <c r="FT182" s="67"/>
      <c r="FU182" s="67"/>
      <c r="FV182" s="67"/>
      <c r="FW182" s="67"/>
      <c r="FX182" s="67"/>
      <c r="FY182" s="67"/>
      <c r="FZ182" s="67"/>
      <c r="GA182" s="67"/>
      <c r="GB182" s="67"/>
      <c r="GC182" s="67"/>
      <c r="GD182" s="67"/>
      <c r="GE182" s="67"/>
      <c r="GF182" s="67"/>
      <c r="GG182" s="67"/>
      <c r="GH182" s="67"/>
      <c r="GI182" s="67"/>
      <c r="GJ182" s="67"/>
      <c r="GK182" s="67"/>
      <c r="GL182" s="67"/>
      <c r="GM182" s="67"/>
      <c r="GN182" s="67"/>
      <c r="GO182" s="67"/>
      <c r="GP182" s="67"/>
      <c r="GQ182" s="67"/>
      <c r="GR182" s="67"/>
      <c r="GS182" s="67"/>
      <c r="GT182" s="67"/>
      <c r="GU182" s="67"/>
      <c r="GV182" s="67"/>
      <c r="GW182" s="67"/>
      <c r="GX182" s="67"/>
      <c r="GY182" s="67"/>
      <c r="GZ182" s="67"/>
      <c r="HA182" s="67"/>
      <c r="HB182" s="67"/>
      <c r="HC182" s="67"/>
      <c r="HD182" s="67"/>
      <c r="HE182" s="67"/>
      <c r="HF182" s="67"/>
      <c r="HG182" s="67"/>
      <c r="HH182" s="67"/>
      <c r="HI182" s="67"/>
      <c r="HJ182" s="67"/>
      <c r="HK182" s="67"/>
      <c r="HL182" s="67"/>
      <c r="HM182" s="67"/>
      <c r="HN182" s="67"/>
      <c r="HO182" s="67"/>
      <c r="HP182" s="67"/>
      <c r="HQ182" s="67"/>
      <c r="HR182" s="67"/>
      <c r="HS182" s="67"/>
      <c r="HT182" s="67"/>
      <c r="HU182" s="67"/>
      <c r="HV182" s="67"/>
      <c r="HW182" s="67"/>
      <c r="HX182" s="67"/>
      <c r="HY182" s="67"/>
      <c r="HZ182" s="67"/>
      <c r="IA182" s="67"/>
      <c r="IB182" s="67"/>
      <c r="IC182" s="67"/>
      <c r="ID182" s="67"/>
      <c r="IE182" s="67"/>
      <c r="IF182" s="67"/>
      <c r="IG182" s="67"/>
      <c r="IH182" s="67"/>
      <c r="II182" s="67"/>
      <c r="IJ182" s="67"/>
      <c r="IK182" s="67"/>
      <c r="IL182" s="67"/>
      <c r="IM182" s="67"/>
      <c r="IN182" s="67"/>
      <c r="IO182" s="67"/>
      <c r="IP182" s="67"/>
      <c r="IQ182" s="67"/>
      <c r="IR182" s="67"/>
      <c r="IS182" s="67"/>
      <c r="IT182" s="67"/>
      <c r="IU182" s="67"/>
      <c r="IV182" s="67"/>
      <c r="IW182" s="67"/>
      <c r="IX182" s="67"/>
      <c r="IY182" s="67"/>
      <c r="IZ182" s="67"/>
      <c r="JA182" s="67"/>
      <c r="JB182" s="67"/>
      <c r="JC182" s="67"/>
      <c r="JD182" s="67"/>
      <c r="JE182" s="67"/>
      <c r="JF182" s="67"/>
      <c r="JG182" s="67"/>
      <c r="JH182" s="67"/>
      <c r="JI182" s="67"/>
      <c r="JJ182" s="67"/>
      <c r="JK182" s="67"/>
      <c r="JL182" s="67"/>
      <c r="JM182" s="67"/>
      <c r="JN182" s="67"/>
      <c r="JO182" s="67"/>
      <c r="JP182" s="67"/>
      <c r="JQ182" s="67"/>
      <c r="JR182" s="67"/>
      <c r="JS182" s="67"/>
      <c r="JT182" s="67"/>
      <c r="JU182" s="67"/>
      <c r="JV182" s="67"/>
      <c r="JW182" s="67"/>
      <c r="JX182" s="67"/>
      <c r="JY182" s="67"/>
      <c r="JZ182" s="67"/>
      <c r="KA182" s="67"/>
      <c r="KB182" s="67"/>
      <c r="KC182" s="67"/>
      <c r="KD182" s="67"/>
      <c r="KE182" s="67"/>
      <c r="KF182" s="67"/>
      <c r="KG182" s="67"/>
      <c r="KH182" s="67"/>
      <c r="KI182" s="67"/>
      <c r="KJ182" s="67"/>
      <c r="KK182" s="67"/>
      <c r="KL182" s="67"/>
      <c r="KM182" s="67"/>
      <c r="KN182" s="67"/>
      <c r="KO182" s="67"/>
      <c r="KP182" s="67"/>
      <c r="KQ182" s="67"/>
      <c r="KR182" s="67"/>
      <c r="KS182" s="67"/>
      <c r="KT182" s="67"/>
      <c r="KU182" s="67"/>
      <c r="KV182" s="67"/>
      <c r="KW182" s="67"/>
      <c r="KX182" s="67"/>
      <c r="KY182" s="67"/>
      <c r="KZ182" s="67"/>
      <c r="LA182" s="67"/>
      <c r="LB182" s="67"/>
      <c r="LC182" s="67"/>
      <c r="LD182" s="67"/>
      <c r="LE182" s="67"/>
      <c r="LF182" s="67"/>
      <c r="LG182" s="67"/>
      <c r="LH182" s="67"/>
      <c r="LI182" s="67"/>
      <c r="LJ182" s="67"/>
      <c r="LK182" s="67"/>
      <c r="LL182" s="67"/>
      <c r="LM182" s="67"/>
      <c r="LN182" s="67"/>
      <c r="LO182" s="67"/>
      <c r="LP182" s="67"/>
      <c r="LQ182" s="67"/>
      <c r="LR182" s="67"/>
      <c r="LS182" s="67"/>
      <c r="LT182" s="67"/>
      <c r="LU182" s="67"/>
      <c r="LV182" s="67"/>
      <c r="LW182" s="67"/>
      <c r="LX182" s="67"/>
      <c r="LY182" s="67"/>
      <c r="LZ182" s="67"/>
      <c r="MA182" s="67"/>
      <c r="MB182" s="67"/>
    </row>
    <row r="183" spans="1:340" s="50" customFormat="1" ht="15.75" customHeight="1" thickBot="1">
      <c r="A183" s="44">
        <v>3</v>
      </c>
      <c r="B183" s="88" t="s">
        <v>157</v>
      </c>
      <c r="C183" s="85" t="s">
        <v>296</v>
      </c>
      <c r="D183" s="86" t="s">
        <v>22</v>
      </c>
      <c r="E183" s="130" t="s">
        <v>23</v>
      </c>
      <c r="F183" s="87" t="s">
        <v>24</v>
      </c>
      <c r="G183" s="139"/>
      <c r="H183" s="68"/>
      <c r="I183" s="68"/>
      <c r="J183" s="68"/>
      <c r="K183" s="68"/>
      <c r="L183" s="153"/>
      <c r="M183" s="68" t="s">
        <v>27</v>
      </c>
      <c r="N183" s="68"/>
      <c r="O183" s="68"/>
      <c r="P183" s="68"/>
      <c r="Q183" s="68"/>
      <c r="R183" s="68"/>
      <c r="S183" s="68"/>
      <c r="T183" s="68"/>
      <c r="U183" s="68"/>
      <c r="V183" s="68"/>
      <c r="W183" s="68" t="s">
        <v>26</v>
      </c>
      <c r="X183" s="68" t="s">
        <v>28</v>
      </c>
      <c r="Y183" s="68"/>
      <c r="Z183" s="68" t="s">
        <v>26</v>
      </c>
      <c r="AA183" s="68"/>
      <c r="AB183" s="68" t="s">
        <v>26</v>
      </c>
      <c r="AC183" s="68"/>
      <c r="AD183" s="68"/>
      <c r="AE183" s="68" t="s">
        <v>41</v>
      </c>
      <c r="AF183" s="68"/>
      <c r="AG183" s="68"/>
      <c r="AH183" s="68"/>
      <c r="AI183" s="153"/>
      <c r="AJ183" s="68" t="s">
        <v>41</v>
      </c>
      <c r="AK183" s="68"/>
      <c r="AL183" s="68"/>
      <c r="AM183" s="68"/>
      <c r="AN183" s="68" t="s">
        <v>41</v>
      </c>
      <c r="AO183" s="68"/>
      <c r="AP183" s="68"/>
      <c r="AQ183" s="68"/>
      <c r="AR183" s="68"/>
      <c r="AS183" s="68"/>
      <c r="AT183" s="68"/>
      <c r="AU183" s="68"/>
      <c r="AV183" s="68"/>
      <c r="AW183" s="68" t="s">
        <v>27</v>
      </c>
      <c r="AX183" s="68"/>
      <c r="AY183" s="68"/>
      <c r="AZ183" s="68"/>
      <c r="BA183" s="68"/>
      <c r="BB183" s="68"/>
      <c r="BC183" s="68"/>
      <c r="BD183" s="68"/>
      <c r="BE183" s="68" t="s">
        <v>27</v>
      </c>
      <c r="BF183" s="68"/>
      <c r="BG183" s="68"/>
      <c r="BH183" s="68"/>
      <c r="BI183" s="68"/>
      <c r="BJ183" s="68"/>
      <c r="BK183" s="68"/>
      <c r="BL183" s="68"/>
      <c r="BM183" s="68"/>
      <c r="BN183" s="68"/>
      <c r="BO183" s="68" t="s">
        <v>27</v>
      </c>
      <c r="BP183" s="68"/>
      <c r="BQ183" s="68"/>
      <c r="BR183" s="153"/>
      <c r="BS183" s="68" t="s">
        <v>37</v>
      </c>
      <c r="BT183" s="67"/>
      <c r="BU183" s="67"/>
      <c r="BV183" s="67"/>
      <c r="BW183" s="67"/>
      <c r="BX183" s="67"/>
      <c r="BY183" s="67"/>
      <c r="BZ183" s="67"/>
      <c r="CA183" s="67"/>
      <c r="CB183" s="67"/>
      <c r="CC183" s="67"/>
      <c r="CD183" s="67"/>
      <c r="CE183" s="67"/>
      <c r="CF183" s="67"/>
      <c r="CG183" s="67"/>
      <c r="CH183" s="67"/>
      <c r="CI183" s="67"/>
      <c r="CJ183" s="67"/>
      <c r="CK183" s="67"/>
      <c r="CL183" s="67"/>
      <c r="CM183" s="67"/>
      <c r="CN183" s="67"/>
      <c r="CO183" s="67"/>
      <c r="CP183" s="67"/>
      <c r="CQ183" s="67"/>
      <c r="CR183" s="67"/>
      <c r="CS183" s="67"/>
      <c r="CT183" s="67"/>
      <c r="CU183" s="67"/>
      <c r="CV183" s="67"/>
      <c r="CW183" s="67"/>
      <c r="CX183" s="67"/>
      <c r="CY183" s="67"/>
      <c r="CZ183" s="67"/>
      <c r="DA183" s="67"/>
      <c r="DB183" s="67"/>
      <c r="DC183" s="67"/>
      <c r="DD183" s="67"/>
      <c r="DE183" s="67"/>
      <c r="DF183" s="67"/>
      <c r="DG183" s="67"/>
      <c r="DH183" s="67"/>
      <c r="DI183" s="67"/>
      <c r="DJ183" s="67"/>
      <c r="DK183" s="67"/>
      <c r="DL183" s="67"/>
      <c r="DM183" s="67"/>
      <c r="DN183" s="67"/>
      <c r="DO183" s="67"/>
      <c r="DP183" s="67"/>
      <c r="DQ183" s="67"/>
      <c r="DR183" s="67"/>
      <c r="DS183" s="67"/>
      <c r="DT183" s="67"/>
      <c r="DU183" s="67"/>
      <c r="DV183" s="67"/>
      <c r="DW183" s="67"/>
      <c r="DX183" s="67"/>
      <c r="DY183" s="67"/>
      <c r="DZ183" s="67"/>
      <c r="EA183" s="67"/>
      <c r="EB183" s="67"/>
      <c r="EC183" s="67"/>
      <c r="ED183" s="67"/>
      <c r="EE183" s="67"/>
      <c r="EF183" s="67"/>
      <c r="EG183" s="67"/>
      <c r="EH183" s="67"/>
      <c r="EI183" s="67"/>
      <c r="EJ183" s="67"/>
      <c r="EK183" s="67"/>
      <c r="EL183" s="67"/>
      <c r="EM183" s="67"/>
      <c r="EN183" s="67"/>
      <c r="EO183" s="67"/>
      <c r="EP183" s="67"/>
      <c r="EQ183" s="67"/>
      <c r="ER183" s="67"/>
      <c r="ES183" s="67"/>
      <c r="ET183" s="67"/>
      <c r="EU183" s="67"/>
      <c r="EV183" s="67"/>
      <c r="EW183" s="67"/>
      <c r="EX183" s="67"/>
      <c r="EY183" s="67"/>
      <c r="EZ183" s="67"/>
      <c r="FA183" s="67"/>
      <c r="FB183" s="67"/>
      <c r="FC183" s="67"/>
      <c r="FD183" s="67"/>
      <c r="FE183" s="67"/>
      <c r="FF183" s="67"/>
      <c r="FG183" s="67"/>
      <c r="FH183" s="67"/>
      <c r="FI183" s="67"/>
      <c r="FJ183" s="67"/>
      <c r="FK183" s="67"/>
      <c r="FL183" s="67"/>
      <c r="FM183" s="67"/>
      <c r="FN183" s="67"/>
      <c r="FO183" s="67"/>
      <c r="FP183" s="67"/>
      <c r="FQ183" s="67"/>
      <c r="FR183" s="67"/>
      <c r="FS183" s="67"/>
      <c r="FT183" s="67"/>
      <c r="FU183" s="67"/>
      <c r="FV183" s="67"/>
      <c r="FW183" s="67"/>
      <c r="FX183" s="67"/>
      <c r="FY183" s="67"/>
      <c r="FZ183" s="67"/>
      <c r="GA183" s="67"/>
      <c r="GB183" s="67"/>
      <c r="GC183" s="67"/>
      <c r="GD183" s="67"/>
      <c r="GE183" s="67"/>
      <c r="GF183" s="67"/>
      <c r="GG183" s="67"/>
      <c r="GH183" s="67"/>
      <c r="GI183" s="67"/>
      <c r="GJ183" s="67"/>
      <c r="GK183" s="67"/>
      <c r="GL183" s="67"/>
      <c r="GM183" s="67"/>
      <c r="GN183" s="67"/>
      <c r="GO183" s="67"/>
      <c r="GP183" s="67"/>
      <c r="GQ183" s="67"/>
      <c r="GR183" s="67"/>
      <c r="GS183" s="67"/>
      <c r="GT183" s="67"/>
      <c r="GU183" s="67"/>
      <c r="GV183" s="67"/>
      <c r="GW183" s="67"/>
      <c r="GX183" s="67"/>
      <c r="GY183" s="67"/>
      <c r="GZ183" s="67"/>
      <c r="HA183" s="67"/>
      <c r="HB183" s="67"/>
      <c r="HC183" s="67"/>
      <c r="HD183" s="67"/>
      <c r="HE183" s="67"/>
      <c r="HF183" s="67"/>
      <c r="HG183" s="67"/>
      <c r="HH183" s="67"/>
      <c r="HI183" s="67"/>
      <c r="HJ183" s="67"/>
      <c r="HK183" s="67"/>
      <c r="HL183" s="67"/>
      <c r="HM183" s="67"/>
      <c r="HN183" s="67"/>
      <c r="HO183" s="67"/>
      <c r="HP183" s="67"/>
      <c r="HQ183" s="67"/>
      <c r="HR183" s="67"/>
      <c r="HS183" s="67"/>
      <c r="HT183" s="67"/>
      <c r="HU183" s="67"/>
      <c r="HV183" s="67"/>
      <c r="HW183" s="67"/>
      <c r="HX183" s="67"/>
      <c r="HY183" s="67"/>
      <c r="HZ183" s="67"/>
      <c r="IA183" s="67"/>
      <c r="IB183" s="67"/>
      <c r="IC183" s="67"/>
      <c r="ID183" s="67"/>
      <c r="IE183" s="67"/>
      <c r="IF183" s="67"/>
      <c r="IG183" s="67"/>
      <c r="IH183" s="67"/>
      <c r="II183" s="67"/>
      <c r="IJ183" s="67"/>
      <c r="IK183" s="67"/>
      <c r="IL183" s="67"/>
      <c r="IM183" s="67"/>
      <c r="IN183" s="67"/>
      <c r="IO183" s="67"/>
      <c r="IP183" s="67"/>
      <c r="IQ183" s="67"/>
      <c r="IR183" s="67"/>
      <c r="IS183" s="67"/>
      <c r="IT183" s="67"/>
      <c r="IU183" s="67"/>
      <c r="IV183" s="67"/>
      <c r="IW183" s="67"/>
      <c r="IX183" s="67"/>
      <c r="IY183" s="67"/>
      <c r="IZ183" s="67"/>
      <c r="JA183" s="67"/>
      <c r="JB183" s="67"/>
      <c r="JC183" s="67"/>
      <c r="JD183" s="67"/>
      <c r="JE183" s="67"/>
      <c r="JF183" s="67"/>
      <c r="JG183" s="67"/>
      <c r="JH183" s="67"/>
      <c r="JI183" s="67"/>
      <c r="JJ183" s="67"/>
      <c r="JK183" s="67"/>
      <c r="JL183" s="67"/>
      <c r="JM183" s="67"/>
      <c r="JN183" s="67"/>
      <c r="JO183" s="67"/>
      <c r="JP183" s="67"/>
      <c r="JQ183" s="67"/>
      <c r="JR183" s="67"/>
      <c r="JS183" s="67"/>
      <c r="JT183" s="67"/>
      <c r="JU183" s="67"/>
      <c r="JV183" s="67"/>
      <c r="JW183" s="67"/>
      <c r="JX183" s="67"/>
      <c r="JY183" s="67"/>
      <c r="JZ183" s="67"/>
      <c r="KA183" s="67"/>
      <c r="KB183" s="67"/>
      <c r="KC183" s="67"/>
      <c r="KD183" s="67"/>
      <c r="KE183" s="67"/>
      <c r="KF183" s="67"/>
      <c r="KG183" s="67"/>
      <c r="KH183" s="67"/>
      <c r="KI183" s="67"/>
      <c r="KJ183" s="67"/>
      <c r="KK183" s="67"/>
      <c r="KL183" s="67"/>
      <c r="KM183" s="67"/>
      <c r="KN183" s="67"/>
      <c r="KO183" s="67"/>
      <c r="KP183" s="67"/>
      <c r="KQ183" s="67"/>
      <c r="KR183" s="67"/>
      <c r="KS183" s="67"/>
      <c r="KT183" s="67"/>
      <c r="KU183" s="67"/>
      <c r="KV183" s="67"/>
      <c r="KW183" s="67"/>
      <c r="KX183" s="67"/>
      <c r="KY183" s="67"/>
      <c r="KZ183" s="67"/>
      <c r="LA183" s="67"/>
      <c r="LB183" s="67"/>
      <c r="LC183" s="67"/>
      <c r="LD183" s="67"/>
      <c r="LE183" s="67"/>
      <c r="LF183" s="67"/>
      <c r="LG183" s="67"/>
      <c r="LH183" s="67"/>
      <c r="LI183" s="67"/>
      <c r="LJ183" s="67"/>
      <c r="LK183" s="67"/>
      <c r="LL183" s="67"/>
      <c r="LM183" s="67"/>
      <c r="LN183" s="67"/>
      <c r="LO183" s="67"/>
      <c r="LP183" s="67"/>
      <c r="LQ183" s="67"/>
      <c r="LR183" s="67"/>
      <c r="LS183" s="67"/>
      <c r="LT183" s="67"/>
      <c r="LU183" s="67"/>
      <c r="LV183" s="67"/>
      <c r="LW183" s="67"/>
      <c r="LX183" s="67"/>
      <c r="LY183" s="67"/>
      <c r="LZ183" s="67"/>
      <c r="MA183" s="67"/>
      <c r="MB183" s="67"/>
    </row>
    <row r="184" spans="1:340" s="50" customFormat="1" ht="15.75" hidden="1" customHeight="1" thickBot="1">
      <c r="A184" s="44">
        <v>3</v>
      </c>
      <c r="B184" s="88" t="s">
        <v>176</v>
      </c>
      <c r="C184" s="85" t="s">
        <v>297</v>
      </c>
      <c r="D184" s="86" t="s">
        <v>45</v>
      </c>
      <c r="E184" s="130" t="s">
        <v>46</v>
      </c>
      <c r="F184" s="87" t="s">
        <v>24</v>
      </c>
      <c r="G184" s="139" t="s">
        <v>27</v>
      </c>
      <c r="H184" s="68"/>
      <c r="I184" s="68"/>
      <c r="J184" s="68" t="s">
        <v>27</v>
      </c>
      <c r="K184" s="68"/>
      <c r="L184" s="68" t="s">
        <v>26</v>
      </c>
      <c r="M184" s="68"/>
      <c r="N184" s="68"/>
      <c r="O184" s="68"/>
      <c r="P184" s="68" t="s">
        <v>27</v>
      </c>
      <c r="Q184" s="68"/>
      <c r="R184" s="68" t="s">
        <v>26</v>
      </c>
      <c r="S184" s="68"/>
      <c r="T184" s="68" t="s">
        <v>41</v>
      </c>
      <c r="U184" s="68"/>
      <c r="V184" s="68"/>
      <c r="W184" s="68" t="s">
        <v>27</v>
      </c>
      <c r="X184" s="68"/>
      <c r="Y184" s="68" t="s">
        <v>26</v>
      </c>
      <c r="Z184" s="68"/>
      <c r="AA184" s="68"/>
      <c r="AB184" s="68" t="s">
        <v>41</v>
      </c>
      <c r="AC184" s="68"/>
      <c r="AD184" s="153"/>
      <c r="AE184" s="68" t="s">
        <v>27</v>
      </c>
      <c r="AF184" s="68" t="s">
        <v>26</v>
      </c>
      <c r="AG184" s="68"/>
      <c r="AH184" s="68" t="s">
        <v>41</v>
      </c>
      <c r="AI184" s="68"/>
      <c r="AJ184" s="68"/>
      <c r="AK184" s="68"/>
      <c r="AL184" s="68" t="s">
        <v>27</v>
      </c>
      <c r="AM184" s="68"/>
      <c r="AN184" s="68" t="s">
        <v>26</v>
      </c>
      <c r="AO184" s="68"/>
      <c r="AP184" s="68" t="s">
        <v>41</v>
      </c>
      <c r="AQ184" s="68"/>
      <c r="AR184" s="68"/>
      <c r="AS184" s="68" t="s">
        <v>27</v>
      </c>
      <c r="AT184" s="68"/>
      <c r="AU184" s="68" t="s">
        <v>26</v>
      </c>
      <c r="AV184" s="68"/>
      <c r="AW184" s="68" t="s">
        <v>27</v>
      </c>
      <c r="AX184" s="68"/>
      <c r="AY184" s="68"/>
      <c r="AZ184" s="68"/>
      <c r="BA184" s="68" t="s">
        <v>27</v>
      </c>
      <c r="BB184" s="68"/>
      <c r="BC184" s="68"/>
      <c r="BD184" s="68"/>
      <c r="BE184" s="68"/>
      <c r="BF184" s="68"/>
      <c r="BG184" s="68" t="s">
        <v>27</v>
      </c>
      <c r="BH184" s="68"/>
      <c r="BI184" s="68"/>
      <c r="BJ184" s="68"/>
      <c r="BK184" s="68"/>
      <c r="BL184" s="68"/>
      <c r="BM184" s="68" t="s">
        <v>27</v>
      </c>
      <c r="BN184" s="68"/>
      <c r="BO184" s="68"/>
      <c r="BP184" s="68"/>
      <c r="BQ184" s="68"/>
      <c r="BR184" s="68" t="s">
        <v>27</v>
      </c>
      <c r="BS184" s="68" t="s">
        <v>37</v>
      </c>
      <c r="BT184" s="67"/>
      <c r="BU184" s="67"/>
      <c r="BV184" s="67"/>
      <c r="BW184" s="67"/>
      <c r="BX184" s="67"/>
      <c r="BY184" s="67"/>
      <c r="BZ184" s="67"/>
      <c r="CA184" s="67"/>
      <c r="CB184" s="67"/>
      <c r="CC184" s="67"/>
      <c r="CD184" s="67"/>
      <c r="CE184" s="67"/>
      <c r="CF184" s="67"/>
      <c r="CG184" s="67"/>
      <c r="CH184" s="67"/>
      <c r="CI184" s="67"/>
      <c r="CJ184" s="67"/>
      <c r="CK184" s="67"/>
      <c r="CL184" s="67"/>
      <c r="CM184" s="67"/>
      <c r="CN184" s="67"/>
      <c r="CO184" s="67"/>
      <c r="CP184" s="67"/>
      <c r="CQ184" s="67"/>
      <c r="CR184" s="67"/>
      <c r="CS184" s="67"/>
      <c r="CT184" s="67"/>
      <c r="CU184" s="67"/>
      <c r="CV184" s="67"/>
      <c r="CW184" s="67"/>
      <c r="CX184" s="67"/>
      <c r="CY184" s="67"/>
      <c r="CZ184" s="67"/>
      <c r="DA184" s="67"/>
      <c r="DB184" s="67"/>
      <c r="DC184" s="67"/>
      <c r="DD184" s="67"/>
      <c r="DE184" s="67"/>
      <c r="DF184" s="67"/>
      <c r="DG184" s="67"/>
      <c r="DH184" s="67"/>
      <c r="DI184" s="67"/>
      <c r="DJ184" s="67"/>
      <c r="DK184" s="67"/>
      <c r="DL184" s="67"/>
      <c r="DM184" s="67"/>
      <c r="DN184" s="67"/>
      <c r="DO184" s="67"/>
      <c r="DP184" s="67"/>
      <c r="DQ184" s="67"/>
      <c r="DR184" s="67"/>
      <c r="DS184" s="67"/>
      <c r="DT184" s="67"/>
      <c r="DU184" s="67"/>
      <c r="DV184" s="67"/>
      <c r="DW184" s="67"/>
      <c r="DX184" s="67"/>
      <c r="DY184" s="67"/>
      <c r="DZ184" s="67"/>
      <c r="EA184" s="67"/>
      <c r="EB184" s="67"/>
      <c r="EC184" s="67"/>
      <c r="ED184" s="67"/>
      <c r="EE184" s="67"/>
      <c r="EF184" s="67"/>
      <c r="EG184" s="67"/>
      <c r="EH184" s="67"/>
      <c r="EI184" s="67"/>
      <c r="EJ184" s="67"/>
      <c r="EK184" s="67"/>
      <c r="EL184" s="67"/>
      <c r="EM184" s="67"/>
      <c r="EN184" s="67"/>
      <c r="EO184" s="67"/>
      <c r="EP184" s="67"/>
      <c r="EQ184" s="67"/>
      <c r="ER184" s="67"/>
      <c r="ES184" s="67"/>
      <c r="ET184" s="67"/>
      <c r="EU184" s="67"/>
      <c r="EV184" s="67"/>
      <c r="EW184" s="67"/>
      <c r="EX184" s="67"/>
      <c r="EY184" s="67"/>
      <c r="EZ184" s="67"/>
      <c r="FA184" s="67"/>
      <c r="FB184" s="67"/>
      <c r="FC184" s="67"/>
      <c r="FD184" s="67"/>
      <c r="FE184" s="67"/>
      <c r="FF184" s="67"/>
      <c r="FG184" s="67"/>
      <c r="FH184" s="67"/>
      <c r="FI184" s="67"/>
      <c r="FJ184" s="67"/>
      <c r="FK184" s="67"/>
      <c r="FL184" s="67"/>
      <c r="FM184" s="67"/>
      <c r="FN184" s="67"/>
      <c r="FO184" s="67"/>
      <c r="FP184" s="67"/>
      <c r="FQ184" s="67"/>
      <c r="FR184" s="67"/>
      <c r="FS184" s="67"/>
      <c r="FT184" s="67"/>
      <c r="FU184" s="67"/>
      <c r="FV184" s="67"/>
      <c r="FW184" s="67"/>
      <c r="FX184" s="67"/>
      <c r="FY184" s="67"/>
      <c r="FZ184" s="67"/>
      <c r="GA184" s="67"/>
      <c r="GB184" s="67"/>
      <c r="GC184" s="67"/>
      <c r="GD184" s="67"/>
      <c r="GE184" s="67"/>
      <c r="GF184" s="67"/>
      <c r="GG184" s="67"/>
      <c r="GH184" s="67"/>
      <c r="GI184" s="67"/>
      <c r="GJ184" s="67"/>
      <c r="GK184" s="67"/>
      <c r="GL184" s="67"/>
      <c r="GM184" s="67"/>
      <c r="GN184" s="67"/>
      <c r="GO184" s="67"/>
      <c r="GP184" s="67"/>
      <c r="GQ184" s="67"/>
      <c r="GR184" s="67"/>
      <c r="GS184" s="67"/>
      <c r="GT184" s="67"/>
      <c r="GU184" s="67"/>
      <c r="GV184" s="67"/>
      <c r="GW184" s="67"/>
      <c r="GX184" s="67"/>
      <c r="GY184" s="67"/>
      <c r="GZ184" s="67"/>
      <c r="HA184" s="67"/>
      <c r="HB184" s="67"/>
      <c r="HC184" s="67"/>
      <c r="HD184" s="67"/>
      <c r="HE184" s="67"/>
      <c r="HF184" s="67"/>
      <c r="HG184" s="67"/>
      <c r="HH184" s="67"/>
      <c r="HI184" s="67"/>
      <c r="HJ184" s="67"/>
      <c r="HK184" s="67"/>
      <c r="HL184" s="67"/>
      <c r="HM184" s="67"/>
      <c r="HN184" s="67"/>
      <c r="HO184" s="67"/>
      <c r="HP184" s="67"/>
      <c r="HQ184" s="67"/>
      <c r="HR184" s="67"/>
      <c r="HS184" s="67"/>
      <c r="HT184" s="67"/>
      <c r="HU184" s="67"/>
      <c r="HV184" s="67"/>
      <c r="HW184" s="67"/>
      <c r="HX184" s="67"/>
      <c r="HY184" s="67"/>
      <c r="HZ184" s="67"/>
      <c r="IA184" s="67"/>
      <c r="IB184" s="67"/>
      <c r="IC184" s="67"/>
      <c r="ID184" s="67"/>
      <c r="IE184" s="67"/>
      <c r="IF184" s="67"/>
      <c r="IG184" s="67"/>
      <c r="IH184" s="67"/>
      <c r="II184" s="67"/>
      <c r="IJ184" s="67"/>
      <c r="IK184" s="67"/>
      <c r="IL184" s="67"/>
      <c r="IM184" s="67"/>
      <c r="IN184" s="67"/>
      <c r="IO184" s="67"/>
      <c r="IP184" s="67"/>
      <c r="IQ184" s="67"/>
      <c r="IR184" s="67"/>
      <c r="IS184" s="67"/>
      <c r="IT184" s="67"/>
      <c r="IU184" s="67"/>
      <c r="IV184" s="67"/>
      <c r="IW184" s="67"/>
      <c r="IX184" s="67"/>
      <c r="IY184" s="67"/>
      <c r="IZ184" s="67"/>
      <c r="JA184" s="67"/>
      <c r="JB184" s="67"/>
      <c r="JC184" s="67"/>
      <c r="JD184" s="67"/>
      <c r="JE184" s="67"/>
      <c r="JF184" s="67"/>
      <c r="JG184" s="67"/>
      <c r="JH184" s="67"/>
      <c r="JI184" s="67"/>
      <c r="JJ184" s="67"/>
      <c r="JK184" s="67"/>
      <c r="JL184" s="67"/>
      <c r="JM184" s="67"/>
      <c r="JN184" s="67"/>
      <c r="JO184" s="67"/>
      <c r="JP184" s="67"/>
      <c r="JQ184" s="67"/>
      <c r="JR184" s="67"/>
      <c r="JS184" s="67"/>
      <c r="JT184" s="67"/>
      <c r="JU184" s="67"/>
      <c r="JV184" s="67"/>
      <c r="JW184" s="67"/>
      <c r="JX184" s="67"/>
      <c r="JY184" s="67"/>
      <c r="JZ184" s="67"/>
      <c r="KA184" s="67"/>
      <c r="KB184" s="67"/>
      <c r="KC184" s="67"/>
      <c r="KD184" s="67"/>
      <c r="KE184" s="67"/>
      <c r="KF184" s="67"/>
      <c r="KG184" s="67"/>
      <c r="KH184" s="67"/>
      <c r="KI184" s="67"/>
      <c r="KJ184" s="67"/>
      <c r="KK184" s="67"/>
      <c r="KL184" s="67"/>
      <c r="KM184" s="67"/>
      <c r="KN184" s="67"/>
      <c r="KO184" s="67"/>
      <c r="KP184" s="67"/>
      <c r="KQ184" s="67"/>
      <c r="KR184" s="67"/>
      <c r="KS184" s="67"/>
      <c r="KT184" s="67"/>
      <c r="KU184" s="67"/>
      <c r="KV184" s="67"/>
      <c r="KW184" s="67"/>
      <c r="KX184" s="67"/>
      <c r="KY184" s="67"/>
      <c r="KZ184" s="67"/>
      <c r="LA184" s="67"/>
      <c r="LB184" s="67"/>
      <c r="LC184" s="67"/>
      <c r="LD184" s="67"/>
      <c r="LE184" s="67"/>
      <c r="LF184" s="67"/>
      <c r="LG184" s="67"/>
      <c r="LH184" s="67"/>
      <c r="LI184" s="67"/>
      <c r="LJ184" s="67"/>
      <c r="LK184" s="67"/>
      <c r="LL184" s="67"/>
      <c r="LM184" s="67"/>
      <c r="LN184" s="67"/>
      <c r="LO184" s="67"/>
      <c r="LP184" s="67"/>
      <c r="LQ184" s="67"/>
      <c r="LR184" s="67"/>
      <c r="LS184" s="67"/>
      <c r="LT184" s="67"/>
      <c r="LU184" s="67"/>
      <c r="LV184" s="67"/>
      <c r="LW184" s="67"/>
      <c r="LX184" s="67"/>
      <c r="LY184" s="67"/>
      <c r="LZ184" s="67"/>
      <c r="MA184" s="67"/>
      <c r="MB184" s="67"/>
    </row>
    <row r="185" spans="1:340" s="50" customFormat="1" ht="15.75" hidden="1" customHeight="1" thickBot="1">
      <c r="A185" s="44">
        <v>3</v>
      </c>
      <c r="B185" s="88" t="s">
        <v>43</v>
      </c>
      <c r="C185" s="85" t="s">
        <v>298</v>
      </c>
      <c r="D185" s="86" t="s">
        <v>49</v>
      </c>
      <c r="E185" s="130" t="s">
        <v>78</v>
      </c>
      <c r="F185" s="87" t="s">
        <v>24</v>
      </c>
      <c r="G185" s="139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 t="s">
        <v>25</v>
      </c>
      <c r="AW185" s="68"/>
      <c r="AX185" s="68"/>
      <c r="AY185" s="68" t="s">
        <v>41</v>
      </c>
      <c r="AZ185" s="68"/>
      <c r="BA185" s="68"/>
      <c r="BB185" s="68"/>
      <c r="BC185" s="68"/>
      <c r="BD185" s="68" t="s">
        <v>41</v>
      </c>
      <c r="BE185" s="68"/>
      <c r="BF185" s="68"/>
      <c r="BG185" s="68"/>
      <c r="BH185" s="68"/>
      <c r="BI185" s="159"/>
      <c r="BJ185" s="68" t="s">
        <v>41</v>
      </c>
      <c r="BK185" s="68"/>
      <c r="BL185" s="68"/>
      <c r="BM185" s="68"/>
      <c r="BN185" s="68"/>
      <c r="BO185" s="68" t="s">
        <v>41</v>
      </c>
      <c r="BP185" s="68"/>
      <c r="BQ185" s="68"/>
      <c r="BR185" s="68"/>
      <c r="BS185" s="68" t="s">
        <v>41</v>
      </c>
      <c r="BT185" s="94" t="s">
        <v>37</v>
      </c>
      <c r="BU185" s="67"/>
      <c r="BV185" s="67"/>
      <c r="BW185" s="67"/>
      <c r="BX185" s="67"/>
      <c r="BY185" s="67"/>
      <c r="BZ185" s="67"/>
      <c r="CA185" s="67"/>
      <c r="CB185" s="67"/>
      <c r="CC185" s="67"/>
      <c r="CD185" s="67"/>
      <c r="CE185" s="67"/>
      <c r="CF185" s="67"/>
      <c r="CG185" s="67"/>
      <c r="CH185" s="67"/>
      <c r="CI185" s="67"/>
      <c r="CJ185" s="67"/>
      <c r="CK185" s="67"/>
      <c r="CL185" s="67"/>
      <c r="CM185" s="67"/>
      <c r="CN185" s="67"/>
      <c r="CO185" s="67"/>
      <c r="CP185" s="67"/>
      <c r="CQ185" s="67"/>
      <c r="CR185" s="67"/>
      <c r="CS185" s="67"/>
      <c r="CT185" s="67"/>
      <c r="CU185" s="67"/>
      <c r="CV185" s="67"/>
      <c r="CW185" s="67"/>
      <c r="CX185" s="67"/>
      <c r="CY185" s="67"/>
      <c r="CZ185" s="67"/>
      <c r="DA185" s="67"/>
      <c r="DB185" s="67"/>
      <c r="DC185" s="67"/>
      <c r="DD185" s="67"/>
      <c r="DE185" s="67"/>
      <c r="DF185" s="67"/>
      <c r="DG185" s="67"/>
      <c r="DH185" s="67"/>
      <c r="DI185" s="67"/>
      <c r="DJ185" s="67"/>
      <c r="DK185" s="67"/>
      <c r="DL185" s="67"/>
      <c r="DM185" s="67"/>
      <c r="DN185" s="67"/>
      <c r="DO185" s="67"/>
      <c r="DP185" s="67"/>
      <c r="DQ185" s="67"/>
      <c r="DR185" s="67"/>
      <c r="DS185" s="67"/>
      <c r="DT185" s="67"/>
      <c r="DU185" s="67"/>
      <c r="DV185" s="67"/>
      <c r="DW185" s="67"/>
      <c r="DX185" s="67"/>
      <c r="DY185" s="67"/>
      <c r="DZ185" s="67"/>
      <c r="EA185" s="67"/>
      <c r="EB185" s="67"/>
      <c r="EC185" s="67"/>
      <c r="ED185" s="67"/>
      <c r="EE185" s="67"/>
      <c r="EF185" s="67"/>
      <c r="EG185" s="67"/>
      <c r="EH185" s="67"/>
      <c r="EI185" s="67"/>
      <c r="EJ185" s="67"/>
      <c r="EK185" s="67"/>
      <c r="EL185" s="67"/>
      <c r="EM185" s="67"/>
      <c r="EN185" s="67"/>
      <c r="EO185" s="67"/>
      <c r="EP185" s="67"/>
      <c r="EQ185" s="67"/>
      <c r="ER185" s="67"/>
      <c r="ES185" s="67"/>
      <c r="ET185" s="67"/>
      <c r="EU185" s="67"/>
      <c r="EV185" s="67"/>
      <c r="EW185" s="67"/>
      <c r="EX185" s="67"/>
      <c r="EY185" s="67"/>
      <c r="EZ185" s="67"/>
      <c r="FA185" s="67"/>
      <c r="FB185" s="67"/>
      <c r="FC185" s="67"/>
      <c r="FD185" s="67"/>
      <c r="FE185" s="67"/>
      <c r="FF185" s="67"/>
      <c r="FG185" s="67"/>
      <c r="FH185" s="67"/>
      <c r="FI185" s="67"/>
      <c r="FJ185" s="67"/>
      <c r="FK185" s="67"/>
      <c r="FL185" s="67"/>
      <c r="FM185" s="67"/>
      <c r="FN185" s="67"/>
      <c r="FO185" s="67"/>
      <c r="FP185" s="67"/>
      <c r="FQ185" s="67"/>
      <c r="FR185" s="67"/>
      <c r="FS185" s="67"/>
      <c r="FT185" s="67"/>
      <c r="FU185" s="67"/>
      <c r="FV185" s="67"/>
      <c r="FW185" s="67"/>
      <c r="FX185" s="67"/>
      <c r="FY185" s="67"/>
      <c r="FZ185" s="67"/>
      <c r="GA185" s="67"/>
      <c r="GB185" s="67"/>
      <c r="GC185" s="67"/>
      <c r="GD185" s="67"/>
      <c r="GE185" s="67"/>
      <c r="GF185" s="67"/>
      <c r="GG185" s="67"/>
      <c r="GH185" s="67"/>
      <c r="GI185" s="67"/>
      <c r="GJ185" s="67"/>
      <c r="GK185" s="67"/>
      <c r="GL185" s="67"/>
      <c r="GM185" s="67"/>
      <c r="GN185" s="67"/>
      <c r="GO185" s="67"/>
      <c r="GP185" s="67"/>
      <c r="GQ185" s="67"/>
      <c r="GR185" s="67"/>
      <c r="GS185" s="67"/>
      <c r="GT185" s="67"/>
      <c r="GU185" s="67"/>
      <c r="GV185" s="67"/>
      <c r="GW185" s="67"/>
      <c r="GX185" s="67"/>
      <c r="GY185" s="67"/>
      <c r="GZ185" s="67"/>
      <c r="HA185" s="67"/>
      <c r="HB185" s="67"/>
      <c r="HC185" s="67"/>
      <c r="HD185" s="67"/>
      <c r="HE185" s="67"/>
      <c r="HF185" s="67"/>
      <c r="HG185" s="67"/>
      <c r="HH185" s="67"/>
      <c r="HI185" s="67"/>
      <c r="HJ185" s="67"/>
      <c r="HK185" s="67"/>
      <c r="HL185" s="67"/>
      <c r="HM185" s="67"/>
      <c r="HN185" s="67"/>
      <c r="HO185" s="67"/>
      <c r="HP185" s="67"/>
      <c r="HQ185" s="67"/>
      <c r="HR185" s="67"/>
      <c r="HS185" s="67"/>
      <c r="HT185" s="67"/>
      <c r="HU185" s="67"/>
      <c r="HV185" s="67"/>
      <c r="HW185" s="67"/>
      <c r="HX185" s="67"/>
      <c r="HY185" s="67"/>
      <c r="HZ185" s="67"/>
      <c r="IA185" s="67"/>
      <c r="IB185" s="67"/>
      <c r="IC185" s="67"/>
      <c r="ID185" s="67"/>
      <c r="IE185" s="67"/>
      <c r="IF185" s="67"/>
      <c r="IG185" s="67"/>
      <c r="IH185" s="67"/>
      <c r="II185" s="67"/>
      <c r="IJ185" s="67"/>
      <c r="IK185" s="67"/>
      <c r="IL185" s="67"/>
      <c r="IM185" s="67"/>
      <c r="IN185" s="67"/>
      <c r="IO185" s="67"/>
      <c r="IP185" s="67"/>
      <c r="IQ185" s="67"/>
      <c r="IR185" s="67"/>
      <c r="IS185" s="67"/>
      <c r="IT185" s="67"/>
      <c r="IU185" s="67"/>
      <c r="IV185" s="67"/>
      <c r="IW185" s="67"/>
      <c r="IX185" s="67"/>
      <c r="IY185" s="67"/>
      <c r="IZ185" s="67"/>
      <c r="JA185" s="67"/>
      <c r="JB185" s="67"/>
      <c r="JC185" s="67"/>
      <c r="JD185" s="67"/>
      <c r="JE185" s="67"/>
      <c r="JF185" s="67"/>
      <c r="JG185" s="67"/>
      <c r="JH185" s="67"/>
      <c r="JI185" s="67"/>
      <c r="JJ185" s="67"/>
      <c r="JK185" s="67"/>
      <c r="JL185" s="67"/>
      <c r="JM185" s="67"/>
      <c r="JN185" s="67"/>
      <c r="JO185" s="67"/>
      <c r="JP185" s="67"/>
      <c r="JQ185" s="67"/>
      <c r="JR185" s="67"/>
      <c r="JS185" s="67"/>
      <c r="JT185" s="67"/>
      <c r="JU185" s="67"/>
      <c r="JV185" s="67"/>
      <c r="JW185" s="67"/>
      <c r="JX185" s="67"/>
      <c r="JY185" s="67"/>
      <c r="JZ185" s="67"/>
      <c r="KA185" s="67"/>
      <c r="KB185" s="67"/>
      <c r="KC185" s="67"/>
      <c r="KD185" s="67"/>
      <c r="KE185" s="67"/>
      <c r="KF185" s="67"/>
      <c r="KG185" s="67"/>
      <c r="KH185" s="67"/>
      <c r="KI185" s="67"/>
      <c r="KJ185" s="67"/>
      <c r="KK185" s="67"/>
      <c r="KL185" s="67"/>
      <c r="KM185" s="67"/>
      <c r="KN185" s="67"/>
      <c r="KO185" s="67"/>
      <c r="KP185" s="67"/>
      <c r="KQ185" s="67"/>
      <c r="KR185" s="67"/>
      <c r="KS185" s="67"/>
      <c r="KT185" s="67"/>
      <c r="KU185" s="67"/>
      <c r="KV185" s="67"/>
      <c r="KW185" s="67"/>
      <c r="KX185" s="67"/>
      <c r="KY185" s="67"/>
      <c r="KZ185" s="67"/>
      <c r="LA185" s="67"/>
      <c r="LB185" s="67"/>
      <c r="LC185" s="67"/>
      <c r="LD185" s="67"/>
      <c r="LE185" s="67"/>
      <c r="LF185" s="67"/>
      <c r="LG185" s="67"/>
      <c r="LH185" s="67"/>
      <c r="LI185" s="67"/>
      <c r="LJ185" s="67"/>
      <c r="LK185" s="67"/>
      <c r="LL185" s="67"/>
      <c r="LM185" s="67"/>
      <c r="LN185" s="67"/>
      <c r="LO185" s="67"/>
      <c r="LP185" s="67"/>
      <c r="LQ185" s="67"/>
      <c r="LR185" s="67"/>
      <c r="LS185" s="67"/>
      <c r="LT185" s="67"/>
      <c r="LU185" s="67"/>
      <c r="LV185" s="67"/>
      <c r="LW185" s="67"/>
      <c r="LX185" s="67"/>
      <c r="LY185" s="67"/>
      <c r="LZ185" s="67"/>
      <c r="MA185" s="67"/>
      <c r="MB185" s="67"/>
    </row>
    <row r="186" spans="1:340" s="50" customFormat="1" ht="15.75" hidden="1" customHeight="1" thickBot="1">
      <c r="A186" s="44">
        <v>3</v>
      </c>
      <c r="B186" s="88" t="s">
        <v>176</v>
      </c>
      <c r="C186" s="85" t="s">
        <v>181</v>
      </c>
      <c r="D186" s="86" t="s">
        <v>45</v>
      </c>
      <c r="E186" s="130" t="s">
        <v>62</v>
      </c>
      <c r="F186" s="87" t="s">
        <v>24</v>
      </c>
      <c r="G186" s="139"/>
      <c r="H186" s="68"/>
      <c r="I186" s="68"/>
      <c r="J186" s="68" t="s">
        <v>26</v>
      </c>
      <c r="K186" s="68"/>
      <c r="L186" s="68"/>
      <c r="M186" s="68"/>
      <c r="N186" s="68"/>
      <c r="O186" s="68" t="s">
        <v>41</v>
      </c>
      <c r="P186" s="68"/>
      <c r="Q186" s="68"/>
      <c r="R186" s="68"/>
      <c r="S186" s="153"/>
      <c r="T186" s="68" t="s">
        <v>57</v>
      </c>
      <c r="U186" s="68"/>
      <c r="V186" s="68" t="s">
        <v>26</v>
      </c>
      <c r="W186" s="68"/>
      <c r="X186" s="68"/>
      <c r="Y186" s="153"/>
      <c r="Z186" s="68" t="s">
        <v>41</v>
      </c>
      <c r="AA186" s="68"/>
      <c r="AB186" s="68"/>
      <c r="AC186" s="68"/>
      <c r="AD186" s="68"/>
      <c r="AE186" s="68"/>
      <c r="AF186" s="68" t="s">
        <v>26</v>
      </c>
      <c r="AG186" s="68"/>
      <c r="AH186" s="68"/>
      <c r="AI186" s="68" t="s">
        <v>41</v>
      </c>
      <c r="AJ186" s="68"/>
      <c r="AK186" s="68"/>
      <c r="AL186" s="68"/>
      <c r="AM186" s="68"/>
      <c r="AN186" s="68" t="s">
        <v>26</v>
      </c>
      <c r="AO186" s="68"/>
      <c r="AP186" s="68"/>
      <c r="AQ186" s="68" t="s">
        <v>41</v>
      </c>
      <c r="AR186" s="68"/>
      <c r="AS186" s="68"/>
      <c r="AT186" s="68"/>
      <c r="AU186" s="68"/>
      <c r="AV186" s="68"/>
      <c r="AW186" s="68"/>
      <c r="AX186" s="68" t="s">
        <v>26</v>
      </c>
      <c r="AY186" s="68"/>
      <c r="AZ186" s="68"/>
      <c r="BA186" s="68" t="s">
        <v>41</v>
      </c>
      <c r="BB186" s="68"/>
      <c r="BC186" s="68"/>
      <c r="BD186" s="153"/>
      <c r="BE186" s="68"/>
      <c r="BF186" s="68"/>
      <c r="BG186" s="68"/>
      <c r="BH186" s="68"/>
      <c r="BI186" s="68"/>
      <c r="BJ186" s="68" t="s">
        <v>26</v>
      </c>
      <c r="BK186" s="68"/>
      <c r="BL186" s="68"/>
      <c r="BM186" s="68" t="s">
        <v>41</v>
      </c>
      <c r="BN186" s="68"/>
      <c r="BO186" s="68"/>
      <c r="BP186" s="153"/>
      <c r="BQ186" s="68" t="s">
        <v>190</v>
      </c>
      <c r="BR186" s="68"/>
      <c r="BS186" s="68"/>
      <c r="BT186" s="68" t="s">
        <v>41</v>
      </c>
      <c r="BU186" s="68" t="s">
        <v>37</v>
      </c>
      <c r="BV186" s="67"/>
      <c r="BW186" s="67"/>
      <c r="BX186" s="67"/>
      <c r="BY186" s="67"/>
      <c r="BZ186" s="67"/>
      <c r="CA186" s="67"/>
      <c r="CB186" s="67"/>
      <c r="CC186" s="67"/>
      <c r="CD186" s="67"/>
      <c r="CE186" s="67"/>
      <c r="CF186" s="67"/>
      <c r="CG186" s="67"/>
      <c r="CH186" s="67"/>
      <c r="CI186" s="67"/>
      <c r="CJ186" s="67"/>
      <c r="CK186" s="67"/>
      <c r="CL186" s="67"/>
      <c r="CM186" s="67"/>
      <c r="CN186" s="67"/>
      <c r="CO186" s="67"/>
      <c r="CP186" s="67"/>
      <c r="CQ186" s="67"/>
      <c r="CR186" s="67"/>
      <c r="CS186" s="67"/>
      <c r="CT186" s="67"/>
      <c r="CU186" s="67"/>
      <c r="CV186" s="67"/>
      <c r="CW186" s="67"/>
      <c r="CX186" s="67"/>
      <c r="CY186" s="67"/>
      <c r="CZ186" s="67"/>
      <c r="DA186" s="67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/>
      <c r="DS186" s="67"/>
      <c r="DT186" s="67"/>
      <c r="DU186" s="67"/>
      <c r="DV186" s="67"/>
      <c r="DW186" s="67"/>
      <c r="DX186" s="67"/>
      <c r="DY186" s="67"/>
      <c r="DZ186" s="67"/>
      <c r="EA186" s="67"/>
      <c r="EB186" s="67"/>
      <c r="EC186" s="67"/>
      <c r="ED186" s="67"/>
      <c r="EE186" s="67"/>
      <c r="EF186" s="67"/>
      <c r="EG186" s="67"/>
      <c r="EH186" s="67"/>
      <c r="EI186" s="67"/>
      <c r="EJ186" s="67"/>
      <c r="EK186" s="67"/>
      <c r="EL186" s="67"/>
      <c r="EM186" s="67"/>
      <c r="EN186" s="67"/>
      <c r="EO186" s="67"/>
      <c r="EP186" s="67"/>
      <c r="EQ186" s="67"/>
      <c r="ER186" s="67"/>
      <c r="ES186" s="67"/>
      <c r="ET186" s="67"/>
      <c r="EU186" s="67"/>
      <c r="EV186" s="67"/>
      <c r="EW186" s="67"/>
      <c r="EX186" s="67"/>
      <c r="EY186" s="67"/>
      <c r="EZ186" s="67"/>
      <c r="FA186" s="67"/>
      <c r="FB186" s="67"/>
      <c r="FC186" s="67"/>
      <c r="FD186" s="67"/>
      <c r="FE186" s="67"/>
      <c r="FF186" s="67"/>
      <c r="FG186" s="67"/>
      <c r="FH186" s="67"/>
      <c r="FI186" s="67"/>
      <c r="FJ186" s="67"/>
      <c r="FK186" s="67"/>
      <c r="FL186" s="67"/>
      <c r="FM186" s="67"/>
      <c r="FN186" s="67"/>
      <c r="FO186" s="67"/>
      <c r="FP186" s="67"/>
      <c r="FQ186" s="67"/>
      <c r="FR186" s="67"/>
      <c r="FS186" s="67"/>
      <c r="FT186" s="67"/>
      <c r="FU186" s="67"/>
      <c r="FV186" s="67"/>
      <c r="FW186" s="67"/>
      <c r="FX186" s="67"/>
      <c r="FY186" s="67"/>
      <c r="FZ186" s="67"/>
      <c r="GA186" s="67"/>
      <c r="GB186" s="67"/>
      <c r="GC186" s="67"/>
      <c r="GD186" s="67"/>
      <c r="GE186" s="67"/>
      <c r="GF186" s="67"/>
      <c r="GG186" s="67"/>
      <c r="GH186" s="67"/>
      <c r="GI186" s="67"/>
      <c r="GJ186" s="67"/>
      <c r="GK186" s="67"/>
      <c r="GL186" s="67"/>
      <c r="GM186" s="67"/>
      <c r="GN186" s="67"/>
      <c r="GO186" s="67"/>
      <c r="GP186" s="67"/>
      <c r="GQ186" s="67"/>
      <c r="GR186" s="67"/>
      <c r="GS186" s="67"/>
      <c r="GT186" s="67"/>
      <c r="GU186" s="67"/>
      <c r="GV186" s="67"/>
      <c r="GW186" s="67"/>
      <c r="GX186" s="67"/>
      <c r="GY186" s="67"/>
      <c r="GZ186" s="67"/>
      <c r="HA186" s="67"/>
      <c r="HB186" s="67"/>
      <c r="HC186" s="67"/>
      <c r="HD186" s="67"/>
      <c r="HE186" s="67"/>
      <c r="HF186" s="67"/>
      <c r="HG186" s="67"/>
      <c r="HH186" s="67"/>
      <c r="HI186" s="67"/>
      <c r="HJ186" s="67"/>
      <c r="HK186" s="67"/>
      <c r="HL186" s="67"/>
      <c r="HM186" s="67"/>
      <c r="HN186" s="67"/>
      <c r="HO186" s="67"/>
      <c r="HP186" s="67"/>
      <c r="HQ186" s="67"/>
      <c r="HR186" s="67"/>
      <c r="HS186" s="67"/>
      <c r="HT186" s="67"/>
      <c r="HU186" s="67"/>
      <c r="HV186" s="67"/>
      <c r="HW186" s="67"/>
      <c r="HX186" s="67"/>
      <c r="HY186" s="67"/>
      <c r="HZ186" s="67"/>
      <c r="IA186" s="67"/>
      <c r="IB186" s="67"/>
      <c r="IC186" s="67"/>
      <c r="ID186" s="67"/>
      <c r="IE186" s="67"/>
      <c r="IF186" s="67"/>
      <c r="IG186" s="67"/>
      <c r="IH186" s="67"/>
      <c r="II186" s="67"/>
      <c r="IJ186" s="67"/>
      <c r="IK186" s="67"/>
      <c r="IL186" s="67"/>
      <c r="IM186" s="67"/>
      <c r="IN186" s="67"/>
      <c r="IO186" s="67"/>
      <c r="IP186" s="67"/>
      <c r="IQ186" s="67"/>
      <c r="IR186" s="67"/>
      <c r="IS186" s="67"/>
      <c r="IT186" s="67"/>
      <c r="IU186" s="67"/>
      <c r="IV186" s="67"/>
      <c r="IW186" s="67"/>
      <c r="IX186" s="67"/>
      <c r="IY186" s="67"/>
      <c r="IZ186" s="67"/>
      <c r="JA186" s="67"/>
      <c r="JB186" s="67"/>
      <c r="JC186" s="67"/>
      <c r="JD186" s="67"/>
      <c r="JE186" s="67"/>
      <c r="JF186" s="67"/>
      <c r="JG186" s="67"/>
      <c r="JH186" s="67"/>
      <c r="JI186" s="67"/>
      <c r="JJ186" s="67"/>
      <c r="JK186" s="67"/>
      <c r="JL186" s="67"/>
      <c r="JM186" s="67"/>
      <c r="JN186" s="67"/>
      <c r="JO186" s="67"/>
      <c r="JP186" s="67"/>
      <c r="JQ186" s="67"/>
      <c r="JR186" s="67"/>
      <c r="JS186" s="67"/>
      <c r="JT186" s="67"/>
      <c r="JU186" s="67"/>
      <c r="JV186" s="67"/>
      <c r="JW186" s="67"/>
      <c r="JX186" s="67"/>
      <c r="JY186" s="67"/>
      <c r="JZ186" s="67"/>
      <c r="KA186" s="67"/>
      <c r="KB186" s="67"/>
      <c r="KC186" s="67"/>
      <c r="KD186" s="67"/>
      <c r="KE186" s="67"/>
      <c r="KF186" s="67"/>
      <c r="KG186" s="67"/>
      <c r="KH186" s="67"/>
      <c r="KI186" s="67"/>
      <c r="KJ186" s="67"/>
      <c r="KK186" s="67"/>
      <c r="KL186" s="67"/>
      <c r="KM186" s="67"/>
      <c r="KN186" s="67"/>
      <c r="KO186" s="67"/>
      <c r="KP186" s="67"/>
      <c r="KQ186" s="67"/>
      <c r="KR186" s="67"/>
      <c r="KS186" s="67"/>
      <c r="KT186" s="67"/>
      <c r="KU186" s="67"/>
      <c r="KV186" s="67"/>
      <c r="KW186" s="67"/>
      <c r="KX186" s="67"/>
      <c r="KY186" s="67"/>
      <c r="KZ186" s="67"/>
      <c r="LA186" s="67"/>
      <c r="LB186" s="67"/>
      <c r="LC186" s="67"/>
      <c r="LD186" s="67"/>
      <c r="LE186" s="67"/>
      <c r="LF186" s="67"/>
      <c r="LG186" s="67"/>
      <c r="LH186" s="67"/>
      <c r="LI186" s="67"/>
      <c r="LJ186" s="67"/>
      <c r="LK186" s="67"/>
      <c r="LL186" s="67"/>
      <c r="LM186" s="67"/>
      <c r="LN186" s="67"/>
      <c r="LO186" s="67"/>
      <c r="LP186" s="67"/>
      <c r="LQ186" s="67"/>
      <c r="LR186" s="67"/>
      <c r="LS186" s="67"/>
      <c r="LT186" s="67"/>
      <c r="LU186" s="67"/>
      <c r="LV186" s="67"/>
      <c r="LW186" s="67"/>
      <c r="LX186" s="67"/>
      <c r="LY186" s="67"/>
      <c r="LZ186" s="67"/>
      <c r="MA186" s="67"/>
      <c r="MB186" s="67"/>
    </row>
    <row r="187" spans="1:340" s="50" customFormat="1" ht="15.75" hidden="1" customHeight="1" thickBot="1">
      <c r="A187" s="65">
        <v>3</v>
      </c>
      <c r="B187" s="88" t="s">
        <v>172</v>
      </c>
      <c r="C187" s="85" t="s">
        <v>299</v>
      </c>
      <c r="D187" s="86" t="s">
        <v>35</v>
      </c>
      <c r="E187" s="130" t="s">
        <v>36</v>
      </c>
      <c r="F187" s="87" t="s">
        <v>24</v>
      </c>
      <c r="G187" s="139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 t="s">
        <v>27</v>
      </c>
      <c r="S187" s="68"/>
      <c r="T187" s="68" t="s">
        <v>26</v>
      </c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 t="s">
        <v>27</v>
      </c>
      <c r="AL187" s="68"/>
      <c r="AM187" s="68"/>
      <c r="AN187" s="153"/>
      <c r="AO187" s="68" t="s">
        <v>26</v>
      </c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 t="s">
        <v>27</v>
      </c>
      <c r="BC187" s="68"/>
      <c r="BD187" s="68"/>
      <c r="BE187" s="68"/>
      <c r="BF187" s="68" t="s">
        <v>26</v>
      </c>
      <c r="BG187" s="68"/>
      <c r="BH187" s="68"/>
      <c r="BI187" s="68"/>
      <c r="BJ187" s="68"/>
      <c r="BK187" s="68"/>
      <c r="BL187" s="68"/>
      <c r="BM187" s="68" t="s">
        <v>41</v>
      </c>
      <c r="BN187" s="68"/>
      <c r="BO187" s="68"/>
      <c r="BP187" s="68"/>
      <c r="BQ187" s="68"/>
      <c r="BR187" s="68"/>
      <c r="BS187" s="68"/>
      <c r="BT187" s="68"/>
      <c r="BU187" s="68" t="s">
        <v>37</v>
      </c>
      <c r="BV187" s="67"/>
      <c r="BW187" s="67"/>
      <c r="BX187" s="67"/>
      <c r="BY187" s="67"/>
      <c r="BZ187" s="67"/>
      <c r="CA187" s="67"/>
      <c r="CB187" s="67"/>
      <c r="CC187" s="67"/>
      <c r="CD187" s="67"/>
      <c r="CE187" s="67"/>
      <c r="CF187" s="67"/>
      <c r="CG187" s="67"/>
      <c r="CH187" s="67"/>
      <c r="CI187" s="67"/>
      <c r="CJ187" s="67"/>
      <c r="CK187" s="67"/>
      <c r="CL187" s="67"/>
      <c r="CM187" s="67"/>
      <c r="CN187" s="67"/>
      <c r="CO187" s="67"/>
      <c r="CP187" s="67"/>
      <c r="CQ187" s="67"/>
      <c r="CR187" s="67"/>
      <c r="CS187" s="67"/>
      <c r="CT187" s="67"/>
      <c r="CU187" s="67"/>
      <c r="CV187" s="67"/>
      <c r="CW187" s="67"/>
      <c r="CX187" s="67"/>
      <c r="CY187" s="67"/>
      <c r="CZ187" s="67"/>
      <c r="DA187" s="67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/>
      <c r="DS187" s="67"/>
      <c r="DT187" s="67"/>
      <c r="DU187" s="67"/>
      <c r="DV187" s="67"/>
      <c r="DW187" s="67"/>
      <c r="DX187" s="67"/>
      <c r="DY187" s="67"/>
      <c r="DZ187" s="67"/>
      <c r="EA187" s="67"/>
      <c r="EB187" s="67"/>
      <c r="EC187" s="67"/>
      <c r="ED187" s="67"/>
      <c r="EE187" s="67"/>
      <c r="EF187" s="67"/>
      <c r="EG187" s="67"/>
      <c r="EH187" s="67"/>
      <c r="EI187" s="67"/>
      <c r="EJ187" s="67"/>
      <c r="EK187" s="67"/>
      <c r="EL187" s="67"/>
      <c r="EM187" s="67"/>
      <c r="EN187" s="67"/>
      <c r="EO187" s="67"/>
      <c r="EP187" s="67"/>
      <c r="EQ187" s="67"/>
      <c r="ER187" s="67"/>
      <c r="ES187" s="67"/>
      <c r="ET187" s="67"/>
      <c r="EU187" s="67"/>
      <c r="EV187" s="67"/>
      <c r="EW187" s="67"/>
      <c r="EX187" s="67"/>
      <c r="EY187" s="67"/>
      <c r="EZ187" s="67"/>
      <c r="FA187" s="67"/>
      <c r="FB187" s="67"/>
      <c r="FC187" s="67"/>
      <c r="FD187" s="67"/>
      <c r="FE187" s="67"/>
      <c r="FF187" s="67"/>
      <c r="FG187" s="67"/>
      <c r="FH187" s="67"/>
      <c r="FI187" s="67"/>
      <c r="FJ187" s="67"/>
      <c r="FK187" s="67"/>
      <c r="FL187" s="67"/>
      <c r="FM187" s="67"/>
      <c r="FN187" s="67"/>
      <c r="FO187" s="67"/>
      <c r="FP187" s="67"/>
      <c r="FQ187" s="67"/>
      <c r="FR187" s="67"/>
      <c r="FS187" s="67"/>
      <c r="FT187" s="67"/>
      <c r="FU187" s="67"/>
      <c r="FV187" s="67"/>
      <c r="FW187" s="67"/>
      <c r="FX187" s="67"/>
      <c r="FY187" s="67"/>
      <c r="FZ187" s="67"/>
      <c r="GA187" s="67"/>
      <c r="GB187" s="67"/>
      <c r="GC187" s="67"/>
      <c r="GD187" s="67"/>
      <c r="GE187" s="67"/>
      <c r="GF187" s="67"/>
      <c r="GG187" s="67"/>
      <c r="GH187" s="67"/>
      <c r="GI187" s="67"/>
      <c r="GJ187" s="67"/>
      <c r="GK187" s="67"/>
      <c r="GL187" s="67"/>
      <c r="GM187" s="67"/>
      <c r="GN187" s="67"/>
      <c r="GO187" s="67"/>
      <c r="GP187" s="67"/>
      <c r="GQ187" s="67"/>
      <c r="GR187" s="67"/>
      <c r="GS187" s="67"/>
      <c r="GT187" s="67"/>
      <c r="GU187" s="67"/>
      <c r="GV187" s="67"/>
      <c r="GW187" s="67"/>
      <c r="GX187" s="67"/>
      <c r="GY187" s="67"/>
      <c r="GZ187" s="67"/>
      <c r="HA187" s="67"/>
      <c r="HB187" s="67"/>
      <c r="HC187" s="67"/>
      <c r="HD187" s="67"/>
      <c r="HE187" s="67"/>
      <c r="HF187" s="67"/>
      <c r="HG187" s="67"/>
      <c r="HH187" s="67"/>
      <c r="HI187" s="67"/>
      <c r="HJ187" s="67"/>
      <c r="HK187" s="67"/>
      <c r="HL187" s="67"/>
      <c r="HM187" s="67"/>
      <c r="HN187" s="67"/>
      <c r="HO187" s="67"/>
      <c r="HP187" s="67"/>
      <c r="HQ187" s="67"/>
      <c r="HR187" s="67"/>
      <c r="HS187" s="67"/>
      <c r="HT187" s="67"/>
      <c r="HU187" s="67"/>
      <c r="HV187" s="67"/>
      <c r="HW187" s="67"/>
      <c r="HX187" s="67"/>
      <c r="HY187" s="67"/>
      <c r="HZ187" s="67"/>
      <c r="IA187" s="67"/>
      <c r="IB187" s="67"/>
      <c r="IC187" s="67"/>
      <c r="ID187" s="67"/>
      <c r="IE187" s="67"/>
      <c r="IF187" s="67"/>
      <c r="IG187" s="67"/>
      <c r="IH187" s="67"/>
      <c r="II187" s="67"/>
      <c r="IJ187" s="67"/>
      <c r="IK187" s="67"/>
      <c r="IL187" s="67"/>
      <c r="IM187" s="67"/>
      <c r="IN187" s="67"/>
      <c r="IO187" s="67"/>
      <c r="IP187" s="67"/>
      <c r="IQ187" s="67"/>
      <c r="IR187" s="67"/>
      <c r="IS187" s="67"/>
      <c r="IT187" s="67"/>
      <c r="IU187" s="67"/>
      <c r="IV187" s="67"/>
      <c r="IW187" s="67"/>
      <c r="IX187" s="67"/>
      <c r="IY187" s="67"/>
      <c r="IZ187" s="67"/>
      <c r="JA187" s="67"/>
      <c r="JB187" s="67"/>
      <c r="JC187" s="67"/>
      <c r="JD187" s="67"/>
      <c r="JE187" s="67"/>
      <c r="JF187" s="67"/>
      <c r="JG187" s="67"/>
      <c r="JH187" s="67"/>
      <c r="JI187" s="67"/>
      <c r="JJ187" s="67"/>
      <c r="JK187" s="67"/>
      <c r="JL187" s="67"/>
      <c r="JM187" s="67"/>
      <c r="JN187" s="67"/>
      <c r="JO187" s="67"/>
      <c r="JP187" s="67"/>
      <c r="JQ187" s="67"/>
      <c r="JR187" s="67"/>
      <c r="JS187" s="67"/>
      <c r="JT187" s="67"/>
      <c r="JU187" s="67"/>
      <c r="JV187" s="67"/>
      <c r="JW187" s="67"/>
      <c r="JX187" s="67"/>
      <c r="JY187" s="67"/>
      <c r="JZ187" s="67"/>
      <c r="KA187" s="67"/>
      <c r="KB187" s="67"/>
      <c r="KC187" s="67"/>
      <c r="KD187" s="67"/>
      <c r="KE187" s="67"/>
      <c r="KF187" s="67"/>
      <c r="KG187" s="67"/>
      <c r="KH187" s="67"/>
      <c r="KI187" s="67"/>
      <c r="KJ187" s="67"/>
      <c r="KK187" s="67"/>
      <c r="KL187" s="67"/>
      <c r="KM187" s="67"/>
      <c r="KN187" s="67"/>
      <c r="KO187" s="67"/>
      <c r="KP187" s="67"/>
      <c r="KQ187" s="67"/>
      <c r="KR187" s="67"/>
      <c r="KS187" s="67"/>
      <c r="KT187" s="67"/>
      <c r="KU187" s="67"/>
      <c r="KV187" s="67"/>
      <c r="KW187" s="67"/>
      <c r="KX187" s="67"/>
      <c r="KY187" s="67"/>
      <c r="KZ187" s="67"/>
      <c r="LA187" s="67"/>
      <c r="LB187" s="67"/>
      <c r="LC187" s="67"/>
      <c r="LD187" s="67"/>
      <c r="LE187" s="67"/>
      <c r="LF187" s="67"/>
      <c r="LG187" s="67"/>
      <c r="LH187" s="67"/>
      <c r="LI187" s="67"/>
      <c r="LJ187" s="67"/>
      <c r="LK187" s="67"/>
      <c r="LL187" s="67"/>
      <c r="LM187" s="67"/>
      <c r="LN187" s="67"/>
      <c r="LO187" s="67"/>
      <c r="LP187" s="67"/>
      <c r="LQ187" s="67"/>
      <c r="LR187" s="67"/>
      <c r="LS187" s="67"/>
      <c r="LT187" s="67"/>
      <c r="LU187" s="67"/>
      <c r="LV187" s="67"/>
      <c r="LW187" s="67"/>
      <c r="LX187" s="67"/>
      <c r="LY187" s="67"/>
      <c r="LZ187" s="67"/>
      <c r="MA187" s="67"/>
      <c r="MB187" s="67"/>
    </row>
    <row r="188" spans="1:340" s="50" customFormat="1" ht="15.75" hidden="1" customHeight="1" thickBot="1">
      <c r="A188" s="65">
        <v>3</v>
      </c>
      <c r="B188" s="88" t="s">
        <v>172</v>
      </c>
      <c r="C188" s="85" t="s">
        <v>300</v>
      </c>
      <c r="D188" s="86" t="s">
        <v>35</v>
      </c>
      <c r="E188" s="130" t="s">
        <v>36</v>
      </c>
      <c r="F188" s="87" t="s">
        <v>24</v>
      </c>
      <c r="G188" s="139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153"/>
      <c r="U188" s="68"/>
      <c r="V188" s="68"/>
      <c r="W188" s="68"/>
      <c r="X188" s="68"/>
      <c r="Y188" s="68"/>
      <c r="Z188" s="153"/>
      <c r="AA188" s="68"/>
      <c r="AB188" s="68"/>
      <c r="AC188" s="68"/>
      <c r="AD188" s="68"/>
      <c r="AE188" s="153"/>
      <c r="AF188" s="68" t="s">
        <v>27</v>
      </c>
      <c r="AG188" s="153"/>
      <c r="AH188" s="68"/>
      <c r="AI188" s="68" t="s">
        <v>26</v>
      </c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 t="s">
        <v>27</v>
      </c>
      <c r="BD188" s="68"/>
      <c r="BE188" s="68"/>
      <c r="BF188" s="68"/>
      <c r="BG188" s="68"/>
      <c r="BH188" s="68"/>
      <c r="BI188" s="68" t="s">
        <v>26</v>
      </c>
      <c r="BJ188" s="68"/>
      <c r="BK188" s="68"/>
      <c r="BL188" s="68" t="s">
        <v>41</v>
      </c>
      <c r="BM188" s="68"/>
      <c r="BN188" s="68"/>
      <c r="BO188" s="68"/>
      <c r="BP188" s="68"/>
      <c r="BQ188" s="68"/>
      <c r="BR188" s="68"/>
      <c r="BS188" s="68"/>
      <c r="BT188" s="68"/>
      <c r="BU188" s="68" t="s">
        <v>27</v>
      </c>
      <c r="BV188" s="68" t="s">
        <v>37</v>
      </c>
      <c r="BW188" s="67"/>
      <c r="BX188" s="67"/>
      <c r="BY188" s="67"/>
      <c r="BZ188" s="67"/>
      <c r="CA188" s="67"/>
      <c r="CB188" s="67"/>
      <c r="CC188" s="67"/>
      <c r="CD188" s="67"/>
      <c r="CE188" s="67"/>
      <c r="CF188" s="67"/>
      <c r="CG188" s="67"/>
      <c r="CH188" s="67"/>
      <c r="CI188" s="67"/>
      <c r="CJ188" s="67"/>
      <c r="CK188" s="67"/>
      <c r="CL188" s="67"/>
      <c r="CM188" s="67"/>
      <c r="CN188" s="67"/>
      <c r="CO188" s="67"/>
      <c r="CP188" s="67"/>
      <c r="CQ188" s="67"/>
      <c r="CR188" s="67"/>
      <c r="CS188" s="67"/>
      <c r="CT188" s="67"/>
      <c r="CU188" s="67"/>
      <c r="CV188" s="67"/>
      <c r="CW188" s="67"/>
      <c r="CX188" s="67"/>
      <c r="CY188" s="67"/>
      <c r="CZ188" s="67"/>
      <c r="DA188" s="67"/>
      <c r="DB188" s="67"/>
      <c r="DC188" s="67"/>
      <c r="DD188" s="67"/>
      <c r="DE188" s="67"/>
      <c r="DF188" s="67"/>
      <c r="DG188" s="67"/>
      <c r="DH188" s="67"/>
      <c r="DI188" s="67"/>
      <c r="DJ188" s="67"/>
      <c r="DK188" s="67"/>
      <c r="DL188" s="67"/>
      <c r="DM188" s="67"/>
      <c r="DN188" s="67"/>
      <c r="DO188" s="67"/>
      <c r="DP188" s="67"/>
      <c r="DQ188" s="67"/>
      <c r="DR188" s="67"/>
      <c r="DS188" s="67"/>
      <c r="DT188" s="67"/>
      <c r="DU188" s="67"/>
      <c r="DV188" s="67"/>
      <c r="DW188" s="67"/>
      <c r="DX188" s="67"/>
      <c r="DY188" s="67"/>
      <c r="DZ188" s="67"/>
      <c r="EA188" s="67"/>
      <c r="EB188" s="67"/>
      <c r="EC188" s="67"/>
      <c r="ED188" s="67"/>
      <c r="EE188" s="67"/>
      <c r="EF188" s="67"/>
      <c r="EG188" s="67"/>
      <c r="EH188" s="67"/>
      <c r="EI188" s="67"/>
      <c r="EJ188" s="67"/>
      <c r="EK188" s="67"/>
      <c r="EL188" s="67"/>
      <c r="EM188" s="67"/>
      <c r="EN188" s="67"/>
      <c r="EO188" s="67"/>
      <c r="EP188" s="67"/>
      <c r="EQ188" s="67"/>
      <c r="ER188" s="67"/>
      <c r="ES188" s="67"/>
      <c r="ET188" s="67"/>
      <c r="EU188" s="67"/>
      <c r="EV188" s="67"/>
      <c r="EW188" s="67"/>
      <c r="EX188" s="67"/>
      <c r="EY188" s="67"/>
      <c r="EZ188" s="67"/>
      <c r="FA188" s="67"/>
      <c r="FB188" s="67"/>
      <c r="FC188" s="67"/>
      <c r="FD188" s="67"/>
      <c r="FE188" s="67"/>
      <c r="FF188" s="67"/>
      <c r="FG188" s="67"/>
      <c r="FH188" s="67"/>
      <c r="FI188" s="67"/>
      <c r="FJ188" s="67"/>
      <c r="FK188" s="67"/>
      <c r="FL188" s="67"/>
      <c r="FM188" s="67"/>
      <c r="FN188" s="67"/>
      <c r="FO188" s="67"/>
      <c r="FP188" s="67"/>
      <c r="FQ188" s="67"/>
      <c r="FR188" s="67"/>
      <c r="FS188" s="67"/>
      <c r="FT188" s="67"/>
      <c r="FU188" s="67"/>
      <c r="FV188" s="67"/>
      <c r="FW188" s="67"/>
      <c r="FX188" s="67"/>
      <c r="FY188" s="67"/>
      <c r="FZ188" s="67"/>
      <c r="GA188" s="67"/>
      <c r="GB188" s="67"/>
      <c r="GC188" s="67"/>
      <c r="GD188" s="67"/>
      <c r="GE188" s="67"/>
      <c r="GF188" s="67"/>
      <c r="GG188" s="67"/>
      <c r="GH188" s="67"/>
      <c r="GI188" s="67"/>
      <c r="GJ188" s="67"/>
      <c r="GK188" s="67"/>
      <c r="GL188" s="67"/>
      <c r="GM188" s="67"/>
      <c r="GN188" s="67"/>
      <c r="GO188" s="67"/>
      <c r="GP188" s="67"/>
      <c r="GQ188" s="67"/>
      <c r="GR188" s="67"/>
      <c r="GS188" s="67"/>
      <c r="GT188" s="67"/>
      <c r="GU188" s="67"/>
      <c r="GV188" s="67"/>
      <c r="GW188" s="67"/>
      <c r="GX188" s="67"/>
      <c r="GY188" s="67"/>
      <c r="GZ188" s="67"/>
      <c r="HA188" s="67"/>
      <c r="HB188" s="67"/>
      <c r="HC188" s="67"/>
      <c r="HD188" s="67"/>
      <c r="HE188" s="67"/>
      <c r="HF188" s="67"/>
      <c r="HG188" s="67"/>
      <c r="HH188" s="67"/>
      <c r="HI188" s="67"/>
      <c r="HJ188" s="67"/>
      <c r="HK188" s="67"/>
      <c r="HL188" s="67"/>
      <c r="HM188" s="67"/>
      <c r="HN188" s="67"/>
      <c r="HO188" s="67"/>
      <c r="HP188" s="67"/>
      <c r="HQ188" s="67"/>
      <c r="HR188" s="67"/>
      <c r="HS188" s="67"/>
      <c r="HT188" s="67"/>
      <c r="HU188" s="67"/>
      <c r="HV188" s="67"/>
      <c r="HW188" s="67"/>
      <c r="HX188" s="67"/>
      <c r="HY188" s="67"/>
      <c r="HZ188" s="67"/>
      <c r="IA188" s="67"/>
      <c r="IB188" s="67"/>
      <c r="IC188" s="67"/>
      <c r="ID188" s="67"/>
      <c r="IE188" s="67"/>
      <c r="IF188" s="67"/>
      <c r="IG188" s="67"/>
      <c r="IH188" s="67"/>
      <c r="II188" s="67"/>
      <c r="IJ188" s="67"/>
      <c r="IK188" s="67"/>
      <c r="IL188" s="67"/>
      <c r="IM188" s="67"/>
      <c r="IN188" s="67"/>
      <c r="IO188" s="67"/>
      <c r="IP188" s="67"/>
      <c r="IQ188" s="67"/>
      <c r="IR188" s="67"/>
      <c r="IS188" s="67"/>
      <c r="IT188" s="67"/>
      <c r="IU188" s="67"/>
      <c r="IV188" s="67"/>
      <c r="IW188" s="67"/>
      <c r="IX188" s="67"/>
      <c r="IY188" s="67"/>
      <c r="IZ188" s="67"/>
      <c r="JA188" s="67"/>
      <c r="JB188" s="67"/>
      <c r="JC188" s="67"/>
      <c r="JD188" s="67"/>
      <c r="JE188" s="67"/>
      <c r="JF188" s="67"/>
      <c r="JG188" s="67"/>
      <c r="JH188" s="67"/>
      <c r="JI188" s="67"/>
      <c r="JJ188" s="67"/>
      <c r="JK188" s="67"/>
      <c r="JL188" s="67"/>
      <c r="JM188" s="67"/>
      <c r="JN188" s="67"/>
      <c r="JO188" s="67"/>
      <c r="JP188" s="67"/>
      <c r="JQ188" s="67"/>
      <c r="JR188" s="67"/>
      <c r="JS188" s="67"/>
      <c r="JT188" s="67"/>
      <c r="JU188" s="67"/>
      <c r="JV188" s="67"/>
      <c r="JW188" s="67"/>
      <c r="JX188" s="67"/>
      <c r="JY188" s="67"/>
      <c r="JZ188" s="67"/>
      <c r="KA188" s="67"/>
      <c r="KB188" s="67"/>
      <c r="KC188" s="67"/>
      <c r="KD188" s="67"/>
      <c r="KE188" s="67"/>
      <c r="KF188" s="67"/>
      <c r="KG188" s="67"/>
      <c r="KH188" s="67"/>
      <c r="KI188" s="67"/>
      <c r="KJ188" s="67"/>
      <c r="KK188" s="67"/>
      <c r="KL188" s="67"/>
      <c r="KM188" s="67"/>
      <c r="KN188" s="67"/>
      <c r="KO188" s="67"/>
      <c r="KP188" s="67"/>
      <c r="KQ188" s="67"/>
      <c r="KR188" s="67"/>
      <c r="KS188" s="67"/>
      <c r="KT188" s="67"/>
      <c r="KU188" s="67"/>
      <c r="KV188" s="67"/>
      <c r="KW188" s="67"/>
      <c r="KX188" s="67"/>
      <c r="KY188" s="67"/>
      <c r="KZ188" s="67"/>
      <c r="LA188" s="67"/>
      <c r="LB188" s="67"/>
      <c r="LC188" s="67"/>
      <c r="LD188" s="67"/>
      <c r="LE188" s="67"/>
      <c r="LF188" s="67"/>
      <c r="LG188" s="67"/>
      <c r="LH188" s="67"/>
      <c r="LI188" s="67"/>
      <c r="LJ188" s="67"/>
      <c r="LK188" s="67"/>
      <c r="LL188" s="67"/>
      <c r="LM188" s="67"/>
      <c r="LN188" s="67"/>
      <c r="LO188" s="67"/>
      <c r="LP188" s="67"/>
      <c r="LQ188" s="67"/>
      <c r="LR188" s="67"/>
      <c r="LS188" s="67"/>
      <c r="LT188" s="67"/>
      <c r="LU188" s="67"/>
      <c r="LV188" s="67"/>
      <c r="LW188" s="67"/>
      <c r="LX188" s="67"/>
      <c r="LY188" s="67"/>
      <c r="LZ188" s="67"/>
      <c r="MA188" s="67"/>
      <c r="MB188" s="67"/>
    </row>
    <row r="189" spans="1:340" s="50" customFormat="1" ht="15.75" hidden="1" customHeight="1" thickBot="1">
      <c r="A189" s="44">
        <v>3</v>
      </c>
      <c r="B189" s="88" t="s">
        <v>43</v>
      </c>
      <c r="C189" s="85" t="s">
        <v>47</v>
      </c>
      <c r="D189" s="86" t="s">
        <v>45</v>
      </c>
      <c r="E189" s="130" t="s">
        <v>46</v>
      </c>
      <c r="F189" s="87" t="s">
        <v>24</v>
      </c>
      <c r="G189" s="139"/>
      <c r="H189" s="68"/>
      <c r="I189" s="68"/>
      <c r="J189" s="68"/>
      <c r="K189" s="153"/>
      <c r="L189" s="68" t="s">
        <v>27</v>
      </c>
      <c r="M189" s="68"/>
      <c r="N189" s="68"/>
      <c r="O189" s="68" t="s">
        <v>27</v>
      </c>
      <c r="P189" s="68"/>
      <c r="Q189" s="68"/>
      <c r="R189" s="68" t="s">
        <v>27</v>
      </c>
      <c r="S189" s="68"/>
      <c r="T189" s="68"/>
      <c r="U189" s="68" t="s">
        <v>27</v>
      </c>
      <c r="V189" s="68"/>
      <c r="W189" s="68"/>
      <c r="X189" s="68" t="s">
        <v>27</v>
      </c>
      <c r="Y189" s="68"/>
      <c r="Z189" s="68"/>
      <c r="AA189" s="68"/>
      <c r="AB189" s="68" t="s">
        <v>27</v>
      </c>
      <c r="AC189" s="68"/>
      <c r="AD189" s="68"/>
      <c r="AE189" s="68"/>
      <c r="AF189" s="68" t="s">
        <v>27</v>
      </c>
      <c r="AG189" s="68"/>
      <c r="AH189" s="68"/>
      <c r="AI189" s="68"/>
      <c r="AJ189" s="153"/>
      <c r="AK189" s="68" t="s">
        <v>27</v>
      </c>
      <c r="AL189" s="68"/>
      <c r="AM189" s="68"/>
      <c r="AN189" s="68"/>
      <c r="AO189" s="68" t="s">
        <v>27</v>
      </c>
      <c r="AP189" s="68"/>
      <c r="AQ189" s="68"/>
      <c r="AR189" s="68"/>
      <c r="AS189" s="68" t="s">
        <v>27</v>
      </c>
      <c r="AT189" s="68"/>
      <c r="AU189" s="68"/>
      <c r="AV189" s="68" t="s">
        <v>27</v>
      </c>
      <c r="AW189" s="68"/>
      <c r="AX189" s="68"/>
      <c r="AY189" s="68"/>
      <c r="AZ189" s="68" t="s">
        <v>27</v>
      </c>
      <c r="BA189" s="68"/>
      <c r="BB189" s="68"/>
      <c r="BC189" s="68" t="s">
        <v>27</v>
      </c>
      <c r="BD189" s="68"/>
      <c r="BE189" s="68"/>
      <c r="BF189" s="68"/>
      <c r="BG189" s="153"/>
      <c r="BH189" s="68" t="s">
        <v>27</v>
      </c>
      <c r="BI189" s="68"/>
      <c r="BJ189" s="68"/>
      <c r="BK189" s="68"/>
      <c r="BL189" s="68" t="s">
        <v>27</v>
      </c>
      <c r="BM189" s="68"/>
      <c r="BN189" s="68"/>
      <c r="BO189" s="68"/>
      <c r="BP189" s="68"/>
      <c r="BQ189" s="68" t="s">
        <v>27</v>
      </c>
      <c r="BR189" s="68"/>
      <c r="BS189" s="68"/>
      <c r="BT189" s="68"/>
      <c r="BU189" s="68" t="s">
        <v>27</v>
      </c>
      <c r="BV189" s="68" t="s">
        <v>37</v>
      </c>
      <c r="BW189" s="67"/>
      <c r="BX189" s="67"/>
      <c r="BY189" s="67"/>
      <c r="BZ189" s="67"/>
      <c r="CA189" s="67"/>
      <c r="CB189" s="67"/>
      <c r="CC189" s="67"/>
      <c r="CD189" s="67"/>
      <c r="CE189" s="67"/>
      <c r="CF189" s="67"/>
      <c r="CG189" s="67"/>
      <c r="CH189" s="67"/>
      <c r="CI189" s="67"/>
      <c r="CJ189" s="67"/>
      <c r="CK189" s="67"/>
      <c r="CL189" s="67"/>
      <c r="CM189" s="67"/>
      <c r="CN189" s="67"/>
      <c r="CO189" s="67"/>
      <c r="CP189" s="67"/>
      <c r="CQ189" s="67"/>
      <c r="CR189" s="67"/>
      <c r="CS189" s="67"/>
      <c r="CT189" s="67"/>
      <c r="CU189" s="67"/>
      <c r="CV189" s="67"/>
      <c r="CW189" s="67"/>
      <c r="CX189" s="67"/>
      <c r="CY189" s="67"/>
      <c r="CZ189" s="67"/>
      <c r="DA189" s="67"/>
      <c r="DB189" s="67"/>
      <c r="DC189" s="67"/>
      <c r="DD189" s="67"/>
      <c r="DE189" s="67"/>
      <c r="DF189" s="67"/>
      <c r="DG189" s="67"/>
      <c r="DH189" s="67"/>
      <c r="DI189" s="67"/>
      <c r="DJ189" s="67"/>
      <c r="DK189" s="67"/>
      <c r="DL189" s="67"/>
      <c r="DM189" s="67"/>
      <c r="DN189" s="67"/>
      <c r="DO189" s="67"/>
      <c r="DP189" s="67"/>
      <c r="DQ189" s="67"/>
      <c r="DR189" s="67"/>
      <c r="DS189" s="67"/>
      <c r="DT189" s="67"/>
      <c r="DU189" s="67"/>
      <c r="DV189" s="67"/>
      <c r="DW189" s="67"/>
      <c r="DX189" s="67"/>
      <c r="DY189" s="67"/>
      <c r="DZ189" s="67"/>
      <c r="EA189" s="67"/>
      <c r="EB189" s="67"/>
      <c r="EC189" s="67"/>
      <c r="ED189" s="67"/>
      <c r="EE189" s="67"/>
      <c r="EF189" s="67"/>
      <c r="EG189" s="67"/>
      <c r="EH189" s="67"/>
      <c r="EI189" s="67"/>
      <c r="EJ189" s="67"/>
      <c r="EK189" s="67"/>
      <c r="EL189" s="67"/>
      <c r="EM189" s="67"/>
      <c r="EN189" s="67"/>
      <c r="EO189" s="67"/>
      <c r="EP189" s="67"/>
      <c r="EQ189" s="67"/>
      <c r="ER189" s="67"/>
      <c r="ES189" s="67"/>
      <c r="ET189" s="67"/>
      <c r="EU189" s="67"/>
      <c r="EV189" s="67"/>
      <c r="EW189" s="67"/>
      <c r="EX189" s="67"/>
      <c r="EY189" s="67"/>
      <c r="EZ189" s="67"/>
      <c r="FA189" s="67"/>
      <c r="FB189" s="67"/>
      <c r="FC189" s="67"/>
      <c r="FD189" s="67"/>
      <c r="FE189" s="67"/>
      <c r="FF189" s="67"/>
      <c r="FG189" s="67"/>
      <c r="FH189" s="67"/>
      <c r="FI189" s="67"/>
      <c r="FJ189" s="67"/>
      <c r="FK189" s="67"/>
      <c r="FL189" s="67"/>
      <c r="FM189" s="67"/>
      <c r="FN189" s="67"/>
      <c r="FO189" s="67"/>
      <c r="FP189" s="67"/>
      <c r="FQ189" s="67"/>
      <c r="FR189" s="67"/>
      <c r="FS189" s="67"/>
      <c r="FT189" s="67"/>
      <c r="FU189" s="67"/>
      <c r="FV189" s="67"/>
      <c r="FW189" s="67"/>
      <c r="FX189" s="67"/>
      <c r="FY189" s="67"/>
      <c r="FZ189" s="67"/>
      <c r="GA189" s="67"/>
      <c r="GB189" s="67"/>
      <c r="GC189" s="67"/>
      <c r="GD189" s="67"/>
      <c r="GE189" s="67"/>
      <c r="GF189" s="67"/>
      <c r="GG189" s="67"/>
      <c r="GH189" s="67"/>
      <c r="GI189" s="67"/>
      <c r="GJ189" s="67"/>
      <c r="GK189" s="67"/>
      <c r="GL189" s="67"/>
      <c r="GM189" s="67"/>
      <c r="GN189" s="67"/>
      <c r="GO189" s="67"/>
      <c r="GP189" s="67"/>
      <c r="GQ189" s="67"/>
      <c r="GR189" s="67"/>
      <c r="GS189" s="67"/>
      <c r="GT189" s="67"/>
      <c r="GU189" s="67"/>
      <c r="GV189" s="67"/>
      <c r="GW189" s="67"/>
      <c r="GX189" s="67"/>
      <c r="GY189" s="67"/>
      <c r="GZ189" s="67"/>
      <c r="HA189" s="67"/>
      <c r="HB189" s="67"/>
      <c r="HC189" s="67"/>
      <c r="HD189" s="67"/>
      <c r="HE189" s="67"/>
      <c r="HF189" s="67"/>
      <c r="HG189" s="67"/>
      <c r="HH189" s="67"/>
      <c r="HI189" s="67"/>
      <c r="HJ189" s="67"/>
      <c r="HK189" s="67"/>
      <c r="HL189" s="67"/>
      <c r="HM189" s="67"/>
      <c r="HN189" s="67"/>
      <c r="HO189" s="67"/>
      <c r="HP189" s="67"/>
      <c r="HQ189" s="67"/>
      <c r="HR189" s="67"/>
      <c r="HS189" s="67"/>
      <c r="HT189" s="67"/>
      <c r="HU189" s="67"/>
      <c r="HV189" s="67"/>
      <c r="HW189" s="67"/>
      <c r="HX189" s="67"/>
      <c r="HY189" s="67"/>
      <c r="HZ189" s="67"/>
      <c r="IA189" s="67"/>
      <c r="IB189" s="67"/>
      <c r="IC189" s="67"/>
      <c r="ID189" s="67"/>
      <c r="IE189" s="67"/>
      <c r="IF189" s="67"/>
      <c r="IG189" s="67"/>
      <c r="IH189" s="67"/>
      <c r="II189" s="67"/>
      <c r="IJ189" s="67"/>
      <c r="IK189" s="67"/>
      <c r="IL189" s="67"/>
      <c r="IM189" s="67"/>
      <c r="IN189" s="67"/>
      <c r="IO189" s="67"/>
      <c r="IP189" s="67"/>
      <c r="IQ189" s="67"/>
      <c r="IR189" s="67"/>
      <c r="IS189" s="67"/>
      <c r="IT189" s="67"/>
      <c r="IU189" s="67"/>
      <c r="IV189" s="67"/>
      <c r="IW189" s="67"/>
      <c r="IX189" s="67"/>
      <c r="IY189" s="67"/>
      <c r="IZ189" s="67"/>
      <c r="JA189" s="67"/>
      <c r="JB189" s="67"/>
      <c r="JC189" s="67"/>
      <c r="JD189" s="67"/>
      <c r="JE189" s="67"/>
      <c r="JF189" s="67"/>
      <c r="JG189" s="67"/>
      <c r="JH189" s="67"/>
      <c r="JI189" s="67"/>
      <c r="JJ189" s="67"/>
      <c r="JK189" s="67"/>
      <c r="JL189" s="67"/>
      <c r="JM189" s="67"/>
      <c r="JN189" s="67"/>
      <c r="JO189" s="67"/>
      <c r="JP189" s="67"/>
      <c r="JQ189" s="67"/>
      <c r="JR189" s="67"/>
      <c r="JS189" s="67"/>
      <c r="JT189" s="67"/>
      <c r="JU189" s="67"/>
      <c r="JV189" s="67"/>
      <c r="JW189" s="67"/>
      <c r="JX189" s="67"/>
      <c r="JY189" s="67"/>
      <c r="JZ189" s="67"/>
      <c r="KA189" s="67"/>
      <c r="KB189" s="67"/>
      <c r="KC189" s="67"/>
      <c r="KD189" s="67"/>
      <c r="KE189" s="67"/>
      <c r="KF189" s="67"/>
      <c r="KG189" s="67"/>
      <c r="KH189" s="67"/>
      <c r="KI189" s="67"/>
      <c r="KJ189" s="67"/>
      <c r="KK189" s="67"/>
      <c r="KL189" s="67"/>
      <c r="KM189" s="67"/>
      <c r="KN189" s="67"/>
      <c r="KO189" s="67"/>
      <c r="KP189" s="67"/>
      <c r="KQ189" s="67"/>
      <c r="KR189" s="67"/>
      <c r="KS189" s="67"/>
      <c r="KT189" s="67"/>
      <c r="KU189" s="67"/>
      <c r="KV189" s="67"/>
      <c r="KW189" s="67"/>
      <c r="KX189" s="67"/>
      <c r="KY189" s="67"/>
      <c r="KZ189" s="67"/>
      <c r="LA189" s="67"/>
      <c r="LB189" s="67"/>
      <c r="LC189" s="67"/>
      <c r="LD189" s="67"/>
      <c r="LE189" s="67"/>
      <c r="LF189" s="67"/>
      <c r="LG189" s="67"/>
      <c r="LH189" s="67"/>
      <c r="LI189" s="67"/>
      <c r="LJ189" s="67"/>
      <c r="LK189" s="67"/>
      <c r="LL189" s="67"/>
      <c r="LM189" s="67"/>
      <c r="LN189" s="67"/>
      <c r="LO189" s="67"/>
      <c r="LP189" s="67"/>
      <c r="LQ189" s="67"/>
      <c r="LR189" s="67"/>
      <c r="LS189" s="67"/>
      <c r="LT189" s="67"/>
      <c r="LU189" s="67"/>
      <c r="LV189" s="67"/>
      <c r="LW189" s="67"/>
      <c r="LX189" s="67"/>
      <c r="LY189" s="67"/>
      <c r="LZ189" s="67"/>
      <c r="MA189" s="67"/>
      <c r="MB189" s="67"/>
    </row>
    <row r="190" spans="1:340" s="50" customFormat="1" ht="15.75" hidden="1" customHeight="1" thickBot="1">
      <c r="A190" s="44">
        <v>3</v>
      </c>
      <c r="B190" s="150" t="s">
        <v>188</v>
      </c>
      <c r="C190" s="85" t="s">
        <v>66</v>
      </c>
      <c r="D190" s="86" t="s">
        <v>49</v>
      </c>
      <c r="E190" s="130" t="s">
        <v>78</v>
      </c>
      <c r="F190" s="87" t="s">
        <v>24</v>
      </c>
      <c r="G190" s="139"/>
      <c r="H190" s="68"/>
      <c r="I190" s="68" t="s">
        <v>25</v>
      </c>
      <c r="J190" s="68"/>
      <c r="K190" s="68" t="s">
        <v>26</v>
      </c>
      <c r="L190" s="68"/>
      <c r="M190" s="68"/>
      <c r="N190" s="68" t="s">
        <v>28</v>
      </c>
      <c r="O190" s="68"/>
      <c r="P190" s="68"/>
      <c r="Q190" s="68"/>
      <c r="R190" s="68"/>
      <c r="S190" s="68"/>
      <c r="T190" s="68"/>
      <c r="U190" s="68"/>
      <c r="V190" s="68"/>
      <c r="W190" s="68"/>
      <c r="X190" s="68" t="s">
        <v>26</v>
      </c>
      <c r="Y190" s="68" t="s">
        <v>28</v>
      </c>
      <c r="Z190" s="153"/>
      <c r="AA190" s="68"/>
      <c r="AB190" s="68" t="s">
        <v>26</v>
      </c>
      <c r="AC190" s="68" t="s">
        <v>28</v>
      </c>
      <c r="AD190" s="153"/>
      <c r="AE190" s="68" t="s">
        <v>26</v>
      </c>
      <c r="AF190" s="68" t="s">
        <v>27</v>
      </c>
      <c r="AG190" s="68"/>
      <c r="AH190" s="68" t="s">
        <v>26</v>
      </c>
      <c r="AI190" s="68" t="s">
        <v>28</v>
      </c>
      <c r="AJ190" s="68" t="s">
        <v>204</v>
      </c>
      <c r="AK190" s="68" t="s">
        <v>26</v>
      </c>
      <c r="AL190" s="68" t="s">
        <v>28</v>
      </c>
      <c r="AM190" s="68"/>
      <c r="AN190" s="68" t="s">
        <v>26</v>
      </c>
      <c r="AO190" s="68" t="s">
        <v>28</v>
      </c>
      <c r="AP190" s="68" t="s">
        <v>26</v>
      </c>
      <c r="AQ190" s="68" t="s">
        <v>28</v>
      </c>
      <c r="AR190" s="68"/>
      <c r="AS190" s="68" t="s">
        <v>26</v>
      </c>
      <c r="AT190" s="68" t="s">
        <v>28</v>
      </c>
      <c r="AU190" s="68" t="s">
        <v>26</v>
      </c>
      <c r="AV190" s="68" t="s">
        <v>28</v>
      </c>
      <c r="AW190" s="68" t="s">
        <v>26</v>
      </c>
      <c r="AX190" s="140"/>
      <c r="AY190" s="68" t="s">
        <v>28</v>
      </c>
      <c r="AZ190" s="68" t="s">
        <v>26</v>
      </c>
      <c r="BA190" s="68" t="s">
        <v>28</v>
      </c>
      <c r="BB190" s="68" t="s">
        <v>26</v>
      </c>
      <c r="BC190" s="68"/>
      <c r="BD190" s="68" t="s">
        <v>28</v>
      </c>
      <c r="BE190" s="68" t="s">
        <v>26</v>
      </c>
      <c r="BF190" s="68"/>
      <c r="BG190" s="68" t="s">
        <v>28</v>
      </c>
      <c r="BH190" s="68" t="s">
        <v>27</v>
      </c>
      <c r="BI190" s="68" t="s">
        <v>26</v>
      </c>
      <c r="BJ190" s="68" t="s">
        <v>28</v>
      </c>
      <c r="BK190" s="68" t="s">
        <v>26</v>
      </c>
      <c r="BL190" s="68"/>
      <c r="BM190" s="68"/>
      <c r="BN190" s="68" t="s">
        <v>27</v>
      </c>
      <c r="BO190" s="68" t="s">
        <v>26</v>
      </c>
      <c r="BP190" s="68"/>
      <c r="BQ190" s="68"/>
      <c r="BR190" s="68" t="s">
        <v>27</v>
      </c>
      <c r="BS190" s="68" t="s">
        <v>26</v>
      </c>
      <c r="BT190" s="68"/>
      <c r="BU190" s="68" t="s">
        <v>27</v>
      </c>
      <c r="BV190" s="68" t="s">
        <v>37</v>
      </c>
      <c r="BW190" s="67"/>
      <c r="BX190" s="67"/>
      <c r="BY190" s="67"/>
      <c r="BZ190" s="67"/>
      <c r="CA190" s="67"/>
      <c r="CB190" s="67"/>
      <c r="CC190" s="67"/>
      <c r="CD190" s="67"/>
      <c r="CE190" s="67"/>
      <c r="CF190" s="67"/>
      <c r="CG190" s="67"/>
      <c r="CH190" s="67"/>
      <c r="CI190" s="67"/>
      <c r="CJ190" s="67"/>
      <c r="CK190" s="67"/>
      <c r="CL190" s="67"/>
      <c r="CM190" s="67"/>
      <c r="CN190" s="67"/>
      <c r="CO190" s="67"/>
      <c r="CP190" s="67"/>
      <c r="CQ190" s="67"/>
      <c r="CR190" s="67"/>
      <c r="CS190" s="67"/>
      <c r="CT190" s="67"/>
      <c r="CU190" s="67"/>
      <c r="CV190" s="67"/>
      <c r="CW190" s="67"/>
      <c r="CX190" s="67"/>
      <c r="CY190" s="67"/>
      <c r="CZ190" s="67"/>
      <c r="DA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/>
      <c r="DS190" s="67"/>
      <c r="DT190" s="67"/>
      <c r="DU190" s="67"/>
      <c r="DV190" s="67"/>
      <c r="DW190" s="67"/>
      <c r="DX190" s="67"/>
      <c r="DY190" s="67"/>
      <c r="DZ190" s="67"/>
      <c r="EA190" s="67"/>
      <c r="EB190" s="67"/>
      <c r="EC190" s="67"/>
      <c r="ED190" s="67"/>
      <c r="EE190" s="67"/>
      <c r="EF190" s="67"/>
      <c r="EG190" s="67"/>
      <c r="EH190" s="67"/>
      <c r="EI190" s="67"/>
      <c r="EJ190" s="67"/>
      <c r="EK190" s="67"/>
      <c r="EL190" s="67"/>
      <c r="EM190" s="67"/>
      <c r="EN190" s="67"/>
      <c r="EO190" s="67"/>
      <c r="EP190" s="67"/>
      <c r="EQ190" s="67"/>
      <c r="ER190" s="67"/>
      <c r="ES190" s="67"/>
      <c r="ET190" s="67"/>
      <c r="EU190" s="67"/>
      <c r="EV190" s="67"/>
      <c r="EW190" s="67"/>
      <c r="EX190" s="67"/>
      <c r="EY190" s="67"/>
      <c r="EZ190" s="67"/>
      <c r="FA190" s="67"/>
      <c r="FB190" s="67"/>
      <c r="FC190" s="67"/>
      <c r="FD190" s="67"/>
      <c r="FE190" s="67"/>
      <c r="FF190" s="67"/>
      <c r="FG190" s="67"/>
      <c r="FH190" s="67"/>
      <c r="FI190" s="67"/>
      <c r="FJ190" s="67"/>
      <c r="FK190" s="67"/>
      <c r="FL190" s="67"/>
      <c r="FM190" s="67"/>
      <c r="FN190" s="67"/>
      <c r="FO190" s="67"/>
      <c r="FP190" s="67"/>
      <c r="FQ190" s="67"/>
      <c r="FR190" s="67"/>
      <c r="FS190" s="67"/>
      <c r="FT190" s="67"/>
      <c r="FU190" s="67"/>
      <c r="FV190" s="67"/>
      <c r="FW190" s="67"/>
      <c r="FX190" s="67"/>
      <c r="FY190" s="67"/>
      <c r="FZ190" s="67"/>
      <c r="GA190" s="67"/>
      <c r="GB190" s="67"/>
      <c r="GC190" s="67"/>
      <c r="GD190" s="67"/>
      <c r="GE190" s="67"/>
      <c r="GF190" s="67"/>
      <c r="GG190" s="67"/>
      <c r="GH190" s="67"/>
      <c r="GI190" s="67"/>
      <c r="GJ190" s="67"/>
      <c r="GK190" s="67"/>
      <c r="GL190" s="67"/>
      <c r="GM190" s="67"/>
      <c r="GN190" s="67"/>
      <c r="GO190" s="67"/>
      <c r="GP190" s="67"/>
      <c r="GQ190" s="67"/>
      <c r="GR190" s="67"/>
      <c r="GS190" s="67"/>
      <c r="GT190" s="67"/>
      <c r="GU190" s="67"/>
      <c r="GV190" s="67"/>
      <c r="GW190" s="67"/>
      <c r="GX190" s="67"/>
      <c r="GY190" s="67"/>
      <c r="GZ190" s="67"/>
      <c r="HA190" s="67"/>
      <c r="HB190" s="67"/>
      <c r="HC190" s="67"/>
      <c r="HD190" s="67"/>
      <c r="HE190" s="67"/>
      <c r="HF190" s="67"/>
      <c r="HG190" s="67"/>
      <c r="HH190" s="67"/>
      <c r="HI190" s="67"/>
      <c r="HJ190" s="67"/>
      <c r="HK190" s="67"/>
      <c r="HL190" s="67"/>
      <c r="HM190" s="67"/>
      <c r="HN190" s="67"/>
      <c r="HO190" s="67"/>
      <c r="HP190" s="67"/>
      <c r="HQ190" s="67"/>
      <c r="HR190" s="67"/>
      <c r="HS190" s="67"/>
      <c r="HT190" s="67"/>
      <c r="HU190" s="67"/>
      <c r="HV190" s="67"/>
      <c r="HW190" s="67"/>
      <c r="HX190" s="67"/>
      <c r="HY190" s="67"/>
      <c r="HZ190" s="67"/>
      <c r="IA190" s="67"/>
      <c r="IB190" s="67"/>
      <c r="IC190" s="67"/>
      <c r="ID190" s="67"/>
      <c r="IE190" s="67"/>
      <c r="IF190" s="67"/>
      <c r="IG190" s="67"/>
      <c r="IH190" s="67"/>
      <c r="II190" s="67"/>
      <c r="IJ190" s="67"/>
      <c r="IK190" s="67"/>
      <c r="IL190" s="67"/>
      <c r="IM190" s="67"/>
      <c r="IN190" s="67"/>
      <c r="IO190" s="67"/>
      <c r="IP190" s="67"/>
      <c r="IQ190" s="67"/>
      <c r="IR190" s="67"/>
      <c r="IS190" s="67"/>
      <c r="IT190" s="67"/>
      <c r="IU190" s="67"/>
      <c r="IV190" s="67"/>
      <c r="IW190" s="67"/>
      <c r="IX190" s="67"/>
      <c r="IY190" s="67"/>
      <c r="IZ190" s="67"/>
      <c r="JA190" s="67"/>
      <c r="JB190" s="67"/>
      <c r="JC190" s="67"/>
      <c r="JD190" s="67"/>
      <c r="JE190" s="67"/>
      <c r="JF190" s="67"/>
      <c r="JG190" s="67"/>
      <c r="JH190" s="67"/>
      <c r="JI190" s="67"/>
      <c r="JJ190" s="67"/>
      <c r="JK190" s="67"/>
      <c r="JL190" s="67"/>
      <c r="JM190" s="67"/>
      <c r="JN190" s="67"/>
      <c r="JO190" s="67"/>
      <c r="JP190" s="67"/>
      <c r="JQ190" s="67"/>
      <c r="JR190" s="67"/>
      <c r="JS190" s="67"/>
      <c r="JT190" s="67"/>
      <c r="JU190" s="67"/>
      <c r="JV190" s="67"/>
      <c r="JW190" s="67"/>
      <c r="JX190" s="67"/>
      <c r="JY190" s="67"/>
      <c r="JZ190" s="67"/>
      <c r="KA190" s="67"/>
      <c r="KB190" s="67"/>
      <c r="KC190" s="67"/>
      <c r="KD190" s="67"/>
      <c r="KE190" s="67"/>
      <c r="KF190" s="67"/>
      <c r="KG190" s="67"/>
      <c r="KH190" s="67"/>
      <c r="KI190" s="67"/>
      <c r="KJ190" s="67"/>
      <c r="KK190" s="67"/>
      <c r="KL190" s="67"/>
      <c r="KM190" s="67"/>
      <c r="KN190" s="67"/>
      <c r="KO190" s="67"/>
      <c r="KP190" s="67"/>
      <c r="KQ190" s="67"/>
      <c r="KR190" s="67"/>
      <c r="KS190" s="67"/>
      <c r="KT190" s="67"/>
      <c r="KU190" s="67"/>
      <c r="KV190" s="67"/>
      <c r="KW190" s="67"/>
      <c r="KX190" s="67"/>
      <c r="KY190" s="67"/>
      <c r="KZ190" s="67"/>
      <c r="LA190" s="67"/>
      <c r="LB190" s="67"/>
      <c r="LC190" s="67"/>
      <c r="LD190" s="67"/>
      <c r="LE190" s="67"/>
      <c r="LF190" s="67"/>
      <c r="LG190" s="67"/>
      <c r="LH190" s="67"/>
      <c r="LI190" s="67"/>
      <c r="LJ190" s="67"/>
      <c r="LK190" s="67"/>
      <c r="LL190" s="67"/>
      <c r="LM190" s="67"/>
      <c r="LN190" s="67"/>
      <c r="LO190" s="67"/>
      <c r="LP190" s="67"/>
      <c r="LQ190" s="67"/>
      <c r="LR190" s="67"/>
      <c r="LS190" s="67"/>
      <c r="LT190" s="67"/>
      <c r="LU190" s="67"/>
      <c r="LV190" s="67"/>
      <c r="LW190" s="67"/>
      <c r="LX190" s="67"/>
      <c r="LY190" s="67"/>
      <c r="LZ190" s="67"/>
      <c r="MA190" s="67"/>
      <c r="MB190" s="67"/>
    </row>
    <row r="191" spans="1:340" s="50" customFormat="1" ht="15.75" hidden="1" customHeight="1" thickBot="1">
      <c r="A191" s="44">
        <v>3</v>
      </c>
      <c r="B191" s="88" t="s">
        <v>43</v>
      </c>
      <c r="C191" s="85" t="s">
        <v>48</v>
      </c>
      <c r="D191" s="86" t="s">
        <v>49</v>
      </c>
      <c r="E191" s="130" t="s">
        <v>50</v>
      </c>
      <c r="F191" s="87" t="s">
        <v>24</v>
      </c>
      <c r="G191" s="139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 t="s">
        <v>25</v>
      </c>
      <c r="AG191" s="153"/>
      <c r="AH191" s="68" t="s">
        <v>41</v>
      </c>
      <c r="AI191" s="68"/>
      <c r="AJ191" s="68"/>
      <c r="AK191" s="68"/>
      <c r="AL191" s="153"/>
      <c r="AM191" s="68" t="s">
        <v>41</v>
      </c>
      <c r="AN191" s="68"/>
      <c r="AO191" s="68"/>
      <c r="AP191" s="68"/>
      <c r="AQ191" s="68"/>
      <c r="AR191" s="68"/>
      <c r="AS191" s="68" t="s">
        <v>41</v>
      </c>
      <c r="AT191" s="68"/>
      <c r="AU191" s="68"/>
      <c r="AV191" s="68"/>
      <c r="AW191" s="153"/>
      <c r="AX191" s="68" t="s">
        <v>41</v>
      </c>
      <c r="AY191" s="68"/>
      <c r="AZ191" s="68"/>
      <c r="BA191" s="68"/>
      <c r="BB191" s="153"/>
      <c r="BC191" s="68" t="s">
        <v>41</v>
      </c>
      <c r="BD191" s="68"/>
      <c r="BE191" s="68"/>
      <c r="BF191" s="68"/>
      <c r="BG191" s="153"/>
      <c r="BH191" s="68" t="s">
        <v>41</v>
      </c>
      <c r="BI191" s="68"/>
      <c r="BJ191" s="68"/>
      <c r="BK191" s="68"/>
      <c r="BL191" s="153"/>
      <c r="BM191" s="68" t="s">
        <v>41</v>
      </c>
      <c r="BN191" s="68"/>
      <c r="BO191" s="68"/>
      <c r="BP191" s="68"/>
      <c r="BQ191" s="153"/>
      <c r="BR191" s="68" t="s">
        <v>41</v>
      </c>
      <c r="BS191" s="68"/>
      <c r="BT191" s="68"/>
      <c r="BU191" s="68"/>
      <c r="BV191" s="68" t="s">
        <v>41</v>
      </c>
      <c r="BW191" s="68" t="s">
        <v>37</v>
      </c>
      <c r="BX191" s="67"/>
      <c r="BY191" s="67"/>
      <c r="BZ191" s="67"/>
      <c r="CA191" s="67"/>
      <c r="CB191" s="67"/>
      <c r="CC191" s="67"/>
      <c r="CD191" s="67"/>
      <c r="CE191" s="67"/>
      <c r="CF191" s="67"/>
      <c r="CG191" s="67"/>
      <c r="CH191" s="67"/>
      <c r="CI191" s="67"/>
      <c r="CJ191" s="67"/>
      <c r="CK191" s="67"/>
      <c r="CL191" s="67"/>
      <c r="CM191" s="67"/>
      <c r="CN191" s="67"/>
      <c r="CO191" s="67"/>
      <c r="CP191" s="67"/>
      <c r="CQ191" s="67"/>
      <c r="CR191" s="67"/>
      <c r="CS191" s="67"/>
      <c r="CT191" s="67"/>
      <c r="CU191" s="67"/>
      <c r="CV191" s="67"/>
      <c r="CW191" s="67"/>
      <c r="CX191" s="67"/>
      <c r="CY191" s="67"/>
      <c r="CZ191" s="67"/>
      <c r="DA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/>
      <c r="DS191" s="67"/>
      <c r="DT191" s="67"/>
      <c r="DU191" s="67"/>
      <c r="DV191" s="67"/>
      <c r="DW191" s="67"/>
      <c r="DX191" s="67"/>
      <c r="DY191" s="67"/>
      <c r="DZ191" s="67"/>
      <c r="EA191" s="67"/>
      <c r="EB191" s="67"/>
      <c r="EC191" s="67"/>
      <c r="ED191" s="67"/>
      <c r="EE191" s="67"/>
      <c r="EF191" s="67"/>
      <c r="EG191" s="67"/>
      <c r="EH191" s="67"/>
      <c r="EI191" s="67"/>
      <c r="EJ191" s="67"/>
      <c r="EK191" s="67"/>
      <c r="EL191" s="67"/>
      <c r="EM191" s="67"/>
      <c r="EN191" s="67"/>
      <c r="EO191" s="67"/>
      <c r="EP191" s="67"/>
      <c r="EQ191" s="67"/>
      <c r="ER191" s="67"/>
      <c r="ES191" s="67"/>
      <c r="ET191" s="67"/>
      <c r="EU191" s="67"/>
      <c r="EV191" s="67"/>
      <c r="EW191" s="67"/>
      <c r="EX191" s="67"/>
      <c r="EY191" s="67"/>
      <c r="EZ191" s="67"/>
      <c r="FA191" s="67"/>
      <c r="FB191" s="67"/>
      <c r="FC191" s="67"/>
      <c r="FD191" s="67"/>
      <c r="FE191" s="67"/>
      <c r="FF191" s="67"/>
      <c r="FG191" s="67"/>
      <c r="FH191" s="67"/>
      <c r="FI191" s="67"/>
      <c r="FJ191" s="67"/>
      <c r="FK191" s="67"/>
      <c r="FL191" s="67"/>
      <c r="FM191" s="67"/>
      <c r="FN191" s="67"/>
      <c r="FO191" s="67"/>
      <c r="FP191" s="67"/>
      <c r="FQ191" s="67"/>
      <c r="FR191" s="67"/>
      <c r="FS191" s="67"/>
      <c r="FT191" s="67"/>
      <c r="FU191" s="67"/>
      <c r="FV191" s="67"/>
      <c r="FW191" s="67"/>
      <c r="FX191" s="67"/>
      <c r="FY191" s="67"/>
      <c r="FZ191" s="67"/>
      <c r="GA191" s="67"/>
      <c r="GB191" s="67"/>
      <c r="GC191" s="67"/>
      <c r="GD191" s="67"/>
      <c r="GE191" s="67"/>
      <c r="GF191" s="67"/>
      <c r="GG191" s="67"/>
      <c r="GH191" s="67"/>
      <c r="GI191" s="67"/>
      <c r="GJ191" s="67"/>
      <c r="GK191" s="67"/>
      <c r="GL191" s="67"/>
      <c r="GM191" s="67"/>
      <c r="GN191" s="67"/>
      <c r="GO191" s="67"/>
      <c r="GP191" s="67"/>
      <c r="GQ191" s="67"/>
      <c r="GR191" s="67"/>
      <c r="GS191" s="67"/>
      <c r="GT191" s="67"/>
      <c r="GU191" s="67"/>
      <c r="GV191" s="67"/>
      <c r="GW191" s="67"/>
      <c r="GX191" s="67"/>
      <c r="GY191" s="67"/>
      <c r="GZ191" s="67"/>
      <c r="HA191" s="67"/>
      <c r="HB191" s="67"/>
      <c r="HC191" s="67"/>
      <c r="HD191" s="67"/>
      <c r="HE191" s="67"/>
      <c r="HF191" s="67"/>
      <c r="HG191" s="67"/>
      <c r="HH191" s="67"/>
      <c r="HI191" s="67"/>
      <c r="HJ191" s="67"/>
      <c r="HK191" s="67"/>
      <c r="HL191" s="67"/>
      <c r="HM191" s="67"/>
      <c r="HN191" s="67"/>
      <c r="HO191" s="67"/>
      <c r="HP191" s="67"/>
      <c r="HQ191" s="67"/>
      <c r="HR191" s="67"/>
      <c r="HS191" s="67"/>
      <c r="HT191" s="67"/>
      <c r="HU191" s="67"/>
      <c r="HV191" s="67"/>
      <c r="HW191" s="67"/>
      <c r="HX191" s="67"/>
      <c r="HY191" s="67"/>
      <c r="HZ191" s="67"/>
      <c r="IA191" s="67"/>
      <c r="IB191" s="67"/>
      <c r="IC191" s="67"/>
      <c r="ID191" s="67"/>
      <c r="IE191" s="67"/>
      <c r="IF191" s="67"/>
      <c r="IG191" s="67"/>
      <c r="IH191" s="67"/>
      <c r="II191" s="67"/>
      <c r="IJ191" s="67"/>
      <c r="IK191" s="67"/>
      <c r="IL191" s="67"/>
      <c r="IM191" s="67"/>
      <c r="IN191" s="67"/>
      <c r="IO191" s="67"/>
      <c r="IP191" s="67"/>
      <c r="IQ191" s="67"/>
      <c r="IR191" s="67"/>
      <c r="IS191" s="67"/>
      <c r="IT191" s="67"/>
      <c r="IU191" s="67"/>
      <c r="IV191" s="67"/>
      <c r="IW191" s="67"/>
      <c r="IX191" s="67"/>
      <c r="IY191" s="67"/>
      <c r="IZ191" s="67"/>
      <c r="JA191" s="67"/>
      <c r="JB191" s="67"/>
      <c r="JC191" s="67"/>
      <c r="JD191" s="67"/>
      <c r="JE191" s="67"/>
      <c r="JF191" s="67"/>
      <c r="JG191" s="67"/>
      <c r="JH191" s="67"/>
      <c r="JI191" s="67"/>
      <c r="JJ191" s="67"/>
      <c r="JK191" s="67"/>
      <c r="JL191" s="67"/>
      <c r="JM191" s="67"/>
      <c r="JN191" s="67"/>
      <c r="JO191" s="67"/>
      <c r="JP191" s="67"/>
      <c r="JQ191" s="67"/>
      <c r="JR191" s="67"/>
      <c r="JS191" s="67"/>
      <c r="JT191" s="67"/>
      <c r="JU191" s="67"/>
      <c r="JV191" s="67"/>
      <c r="JW191" s="67"/>
      <c r="JX191" s="67"/>
      <c r="JY191" s="67"/>
      <c r="JZ191" s="67"/>
      <c r="KA191" s="67"/>
      <c r="KB191" s="67"/>
      <c r="KC191" s="67"/>
      <c r="KD191" s="67"/>
      <c r="KE191" s="67"/>
      <c r="KF191" s="67"/>
      <c r="KG191" s="67"/>
      <c r="KH191" s="67"/>
      <c r="KI191" s="67"/>
      <c r="KJ191" s="67"/>
      <c r="KK191" s="67"/>
      <c r="KL191" s="67"/>
      <c r="KM191" s="67"/>
      <c r="KN191" s="67"/>
      <c r="KO191" s="67"/>
      <c r="KP191" s="67"/>
      <c r="KQ191" s="67"/>
      <c r="KR191" s="67"/>
      <c r="KS191" s="67"/>
      <c r="KT191" s="67"/>
      <c r="KU191" s="67"/>
      <c r="KV191" s="67"/>
      <c r="KW191" s="67"/>
      <c r="KX191" s="67"/>
      <c r="KY191" s="67"/>
      <c r="KZ191" s="67"/>
      <c r="LA191" s="67"/>
      <c r="LB191" s="67"/>
      <c r="LC191" s="67"/>
      <c r="LD191" s="67"/>
      <c r="LE191" s="67"/>
      <c r="LF191" s="67"/>
      <c r="LG191" s="67"/>
      <c r="LH191" s="67"/>
      <c r="LI191" s="67"/>
      <c r="LJ191" s="67"/>
      <c r="LK191" s="67"/>
      <c r="LL191" s="67"/>
      <c r="LM191" s="67"/>
      <c r="LN191" s="67"/>
      <c r="LO191" s="67"/>
      <c r="LP191" s="67"/>
      <c r="LQ191" s="67"/>
      <c r="LR191" s="67"/>
      <c r="LS191" s="67"/>
      <c r="LT191" s="67"/>
      <c r="LU191" s="67"/>
      <c r="LV191" s="67"/>
      <c r="LW191" s="67"/>
      <c r="LX191" s="67"/>
      <c r="LY191" s="67"/>
      <c r="LZ191" s="67"/>
      <c r="MA191" s="67"/>
      <c r="MB191" s="67"/>
    </row>
    <row r="192" spans="1:340" s="50" customFormat="1" ht="15.75" hidden="1" customHeight="1" thickBot="1">
      <c r="A192" s="44">
        <v>3</v>
      </c>
      <c r="B192" s="150" t="s">
        <v>188</v>
      </c>
      <c r="C192" s="85" t="s">
        <v>301</v>
      </c>
      <c r="D192" s="86" t="s">
        <v>49</v>
      </c>
      <c r="E192" s="130" t="s">
        <v>78</v>
      </c>
      <c r="F192" s="87" t="s">
        <v>24</v>
      </c>
      <c r="G192" s="139"/>
      <c r="H192" s="68"/>
      <c r="I192" s="68" t="s">
        <v>25</v>
      </c>
      <c r="J192" s="68"/>
      <c r="K192" s="68"/>
      <c r="L192" s="68" t="s">
        <v>26</v>
      </c>
      <c r="M192" s="68"/>
      <c r="N192" s="68"/>
      <c r="O192" s="68"/>
      <c r="P192" s="68" t="s">
        <v>27</v>
      </c>
      <c r="Q192" s="68"/>
      <c r="R192" s="68" t="s">
        <v>26</v>
      </c>
      <c r="S192" s="68"/>
      <c r="T192" s="68"/>
      <c r="U192" s="68" t="s">
        <v>28</v>
      </c>
      <c r="V192" s="68"/>
      <c r="W192" s="68" t="s">
        <v>26</v>
      </c>
      <c r="X192" s="68"/>
      <c r="Y192" s="68" t="s">
        <v>204</v>
      </c>
      <c r="Z192" s="68" t="s">
        <v>27</v>
      </c>
      <c r="AA192" s="68" t="s">
        <v>204</v>
      </c>
      <c r="AB192" s="68" t="s">
        <v>26</v>
      </c>
      <c r="AC192" s="68"/>
      <c r="AD192" s="68"/>
      <c r="AE192" s="68" t="s">
        <v>27</v>
      </c>
      <c r="AF192" s="68" t="s">
        <v>26</v>
      </c>
      <c r="AG192" s="68"/>
      <c r="AH192" s="68"/>
      <c r="AI192" s="68" t="s">
        <v>27</v>
      </c>
      <c r="AJ192" s="68"/>
      <c r="AK192" s="68" t="s">
        <v>26</v>
      </c>
      <c r="AL192" s="68"/>
      <c r="AM192" s="68" t="s">
        <v>28</v>
      </c>
      <c r="AN192" s="68" t="s">
        <v>26</v>
      </c>
      <c r="AO192" s="68" t="s">
        <v>28</v>
      </c>
      <c r="AP192" s="68"/>
      <c r="AQ192" s="68" t="s">
        <v>26</v>
      </c>
      <c r="AR192" s="68"/>
      <c r="AS192" s="68" t="s">
        <v>28</v>
      </c>
      <c r="AT192" s="68"/>
      <c r="AU192" s="68"/>
      <c r="AV192" s="68"/>
      <c r="AW192" s="68"/>
      <c r="AX192" s="68"/>
      <c r="AY192" s="68"/>
      <c r="AZ192" s="68"/>
      <c r="BA192" s="140"/>
      <c r="BB192" s="68" t="s">
        <v>26</v>
      </c>
      <c r="BC192" s="68" t="s">
        <v>27</v>
      </c>
      <c r="BD192" s="68"/>
      <c r="BE192" s="68" t="s">
        <v>26</v>
      </c>
      <c r="BF192" s="68"/>
      <c r="BG192" s="68" t="s">
        <v>28</v>
      </c>
      <c r="BH192" s="140"/>
      <c r="BI192" s="68" t="s">
        <v>26</v>
      </c>
      <c r="BJ192" s="68"/>
      <c r="BK192" s="68"/>
      <c r="BL192" s="68" t="s">
        <v>28</v>
      </c>
      <c r="BM192" s="68" t="s">
        <v>26</v>
      </c>
      <c r="BN192" s="68"/>
      <c r="BO192" s="68"/>
      <c r="BP192" s="68" t="s">
        <v>27</v>
      </c>
      <c r="BQ192" s="68" t="s">
        <v>26</v>
      </c>
      <c r="BR192" s="68" t="s">
        <v>28</v>
      </c>
      <c r="BS192" s="68" t="s">
        <v>26</v>
      </c>
      <c r="BT192" s="68"/>
      <c r="BU192" s="68"/>
      <c r="BV192" s="68" t="s">
        <v>28</v>
      </c>
      <c r="BW192" s="68" t="s">
        <v>37</v>
      </c>
      <c r="BX192" s="67"/>
      <c r="BY192" s="67"/>
      <c r="BZ192" s="67"/>
      <c r="CA192" s="67"/>
      <c r="CB192" s="67"/>
      <c r="CC192" s="67"/>
      <c r="CD192" s="67"/>
      <c r="CE192" s="67"/>
      <c r="CF192" s="67"/>
      <c r="CG192" s="67"/>
      <c r="CH192" s="67"/>
      <c r="CI192" s="67"/>
      <c r="CJ192" s="67"/>
      <c r="CK192" s="67"/>
      <c r="CL192" s="67"/>
      <c r="CM192" s="67"/>
      <c r="CN192" s="67"/>
      <c r="CO192" s="67"/>
      <c r="CP192" s="67"/>
      <c r="CQ192" s="67"/>
      <c r="CR192" s="67"/>
      <c r="CS192" s="67"/>
      <c r="CT192" s="67"/>
      <c r="CU192" s="67"/>
      <c r="CV192" s="67"/>
      <c r="CW192" s="67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/>
      <c r="DS192" s="67"/>
      <c r="DT192" s="67"/>
      <c r="DU192" s="67"/>
      <c r="DV192" s="67"/>
      <c r="DW192" s="67"/>
      <c r="DX192" s="67"/>
      <c r="DY192" s="67"/>
      <c r="DZ192" s="67"/>
      <c r="EA192" s="67"/>
      <c r="EB192" s="67"/>
      <c r="EC192" s="67"/>
      <c r="ED192" s="67"/>
      <c r="EE192" s="67"/>
      <c r="EF192" s="67"/>
      <c r="EG192" s="67"/>
      <c r="EH192" s="67"/>
      <c r="EI192" s="67"/>
      <c r="EJ192" s="67"/>
      <c r="EK192" s="67"/>
      <c r="EL192" s="67"/>
      <c r="EM192" s="67"/>
      <c r="EN192" s="67"/>
      <c r="EO192" s="67"/>
      <c r="EP192" s="67"/>
      <c r="EQ192" s="67"/>
      <c r="ER192" s="67"/>
      <c r="ES192" s="67"/>
      <c r="ET192" s="67"/>
      <c r="EU192" s="67"/>
      <c r="EV192" s="67"/>
      <c r="EW192" s="67"/>
      <c r="EX192" s="67"/>
      <c r="EY192" s="67"/>
      <c r="EZ192" s="67"/>
      <c r="FA192" s="67"/>
      <c r="FB192" s="67"/>
      <c r="FC192" s="67"/>
      <c r="FD192" s="67"/>
      <c r="FE192" s="67"/>
      <c r="FF192" s="67"/>
      <c r="FG192" s="67"/>
      <c r="FH192" s="67"/>
      <c r="FI192" s="67"/>
      <c r="FJ192" s="67"/>
      <c r="FK192" s="67"/>
      <c r="FL192" s="67"/>
      <c r="FM192" s="67"/>
      <c r="FN192" s="67"/>
      <c r="FO192" s="67"/>
      <c r="FP192" s="67"/>
      <c r="FQ192" s="67"/>
      <c r="FR192" s="67"/>
      <c r="FS192" s="67"/>
      <c r="FT192" s="67"/>
      <c r="FU192" s="67"/>
      <c r="FV192" s="67"/>
      <c r="FW192" s="67"/>
      <c r="FX192" s="67"/>
      <c r="FY192" s="67"/>
      <c r="FZ192" s="67"/>
      <c r="GA192" s="67"/>
      <c r="GB192" s="67"/>
      <c r="GC192" s="67"/>
      <c r="GD192" s="67"/>
      <c r="GE192" s="67"/>
      <c r="GF192" s="67"/>
      <c r="GG192" s="67"/>
      <c r="GH192" s="67"/>
      <c r="GI192" s="67"/>
      <c r="GJ192" s="67"/>
      <c r="GK192" s="67"/>
      <c r="GL192" s="67"/>
      <c r="GM192" s="67"/>
      <c r="GN192" s="67"/>
      <c r="GO192" s="67"/>
      <c r="GP192" s="67"/>
      <c r="GQ192" s="67"/>
      <c r="GR192" s="67"/>
      <c r="GS192" s="67"/>
      <c r="GT192" s="67"/>
      <c r="GU192" s="67"/>
      <c r="GV192" s="67"/>
      <c r="GW192" s="67"/>
      <c r="GX192" s="67"/>
      <c r="GY192" s="67"/>
      <c r="GZ192" s="67"/>
      <c r="HA192" s="67"/>
      <c r="HB192" s="67"/>
      <c r="HC192" s="67"/>
      <c r="HD192" s="67"/>
      <c r="HE192" s="67"/>
      <c r="HF192" s="67"/>
      <c r="HG192" s="67"/>
      <c r="HH192" s="67"/>
      <c r="HI192" s="67"/>
      <c r="HJ192" s="67"/>
      <c r="HK192" s="67"/>
      <c r="HL192" s="67"/>
      <c r="HM192" s="67"/>
      <c r="HN192" s="67"/>
      <c r="HO192" s="67"/>
      <c r="HP192" s="67"/>
      <c r="HQ192" s="67"/>
      <c r="HR192" s="67"/>
      <c r="HS192" s="67"/>
      <c r="HT192" s="67"/>
      <c r="HU192" s="67"/>
      <c r="HV192" s="67"/>
      <c r="HW192" s="67"/>
      <c r="HX192" s="67"/>
      <c r="HY192" s="67"/>
      <c r="HZ192" s="67"/>
      <c r="IA192" s="67"/>
      <c r="IB192" s="67"/>
      <c r="IC192" s="67"/>
      <c r="ID192" s="67"/>
      <c r="IE192" s="67"/>
      <c r="IF192" s="67"/>
      <c r="IG192" s="67"/>
      <c r="IH192" s="67"/>
      <c r="II192" s="67"/>
      <c r="IJ192" s="67"/>
      <c r="IK192" s="67"/>
      <c r="IL192" s="67"/>
      <c r="IM192" s="67"/>
      <c r="IN192" s="67"/>
      <c r="IO192" s="67"/>
      <c r="IP192" s="67"/>
      <c r="IQ192" s="67"/>
      <c r="IR192" s="67"/>
      <c r="IS192" s="67"/>
      <c r="IT192" s="67"/>
      <c r="IU192" s="67"/>
      <c r="IV192" s="67"/>
      <c r="IW192" s="67"/>
      <c r="IX192" s="67"/>
      <c r="IY192" s="67"/>
      <c r="IZ192" s="67"/>
      <c r="JA192" s="67"/>
      <c r="JB192" s="67"/>
      <c r="JC192" s="67"/>
      <c r="JD192" s="67"/>
      <c r="JE192" s="67"/>
      <c r="JF192" s="67"/>
      <c r="JG192" s="67"/>
      <c r="JH192" s="67"/>
      <c r="JI192" s="67"/>
      <c r="JJ192" s="67"/>
      <c r="JK192" s="67"/>
      <c r="JL192" s="67"/>
      <c r="JM192" s="67"/>
      <c r="JN192" s="67"/>
      <c r="JO192" s="67"/>
      <c r="JP192" s="67"/>
      <c r="JQ192" s="67"/>
      <c r="JR192" s="67"/>
      <c r="JS192" s="67"/>
      <c r="JT192" s="67"/>
      <c r="JU192" s="67"/>
      <c r="JV192" s="67"/>
      <c r="JW192" s="67"/>
      <c r="JX192" s="67"/>
      <c r="JY192" s="67"/>
      <c r="JZ192" s="67"/>
      <c r="KA192" s="67"/>
      <c r="KB192" s="67"/>
      <c r="KC192" s="67"/>
      <c r="KD192" s="67"/>
      <c r="KE192" s="67"/>
      <c r="KF192" s="67"/>
      <c r="KG192" s="67"/>
      <c r="KH192" s="67"/>
      <c r="KI192" s="67"/>
      <c r="KJ192" s="67"/>
      <c r="KK192" s="67"/>
      <c r="KL192" s="67"/>
      <c r="KM192" s="67"/>
      <c r="KN192" s="67"/>
      <c r="KO192" s="67"/>
      <c r="KP192" s="67"/>
      <c r="KQ192" s="67"/>
      <c r="KR192" s="67"/>
      <c r="KS192" s="67"/>
      <c r="KT192" s="67"/>
      <c r="KU192" s="67"/>
      <c r="KV192" s="67"/>
      <c r="KW192" s="67"/>
      <c r="KX192" s="67"/>
      <c r="KY192" s="67"/>
      <c r="KZ192" s="67"/>
      <c r="LA192" s="67"/>
      <c r="LB192" s="67"/>
      <c r="LC192" s="67"/>
      <c r="LD192" s="67"/>
      <c r="LE192" s="67"/>
      <c r="LF192" s="67"/>
      <c r="LG192" s="67"/>
      <c r="LH192" s="67"/>
      <c r="LI192" s="67"/>
      <c r="LJ192" s="67"/>
      <c r="LK192" s="67"/>
      <c r="LL192" s="67"/>
      <c r="LM192" s="67"/>
      <c r="LN192" s="67"/>
      <c r="LO192" s="67"/>
      <c r="LP192" s="67"/>
      <c r="LQ192" s="67"/>
      <c r="LR192" s="67"/>
      <c r="LS192" s="67"/>
      <c r="LT192" s="67"/>
      <c r="LU192" s="67"/>
      <c r="LV192" s="67"/>
      <c r="LW192" s="67"/>
      <c r="LX192" s="67"/>
      <c r="LY192" s="67"/>
      <c r="LZ192" s="67"/>
      <c r="MA192" s="67"/>
      <c r="MB192" s="67"/>
    </row>
    <row r="193" spans="1:340" s="50" customFormat="1" ht="15.75" customHeight="1" thickBot="1">
      <c r="A193" s="44">
        <v>3</v>
      </c>
      <c r="B193" s="88" t="s">
        <v>176</v>
      </c>
      <c r="C193" s="85" t="s">
        <v>302</v>
      </c>
      <c r="D193" s="86" t="s">
        <v>22</v>
      </c>
      <c r="E193" s="130" t="s">
        <v>23</v>
      </c>
      <c r="F193" s="87" t="s">
        <v>24</v>
      </c>
      <c r="G193" s="139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 t="s">
        <v>27</v>
      </c>
      <c r="W193" s="68"/>
      <c r="X193" s="68"/>
      <c r="Y193" s="68" t="s">
        <v>26</v>
      </c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 t="s">
        <v>27</v>
      </c>
      <c r="AP193" s="68"/>
      <c r="AQ193" s="153"/>
      <c r="AR193" s="68" t="s">
        <v>26</v>
      </c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 t="s">
        <v>27</v>
      </c>
      <c r="BG193" s="68"/>
      <c r="BH193" s="68"/>
      <c r="BI193" s="68" t="s">
        <v>26</v>
      </c>
      <c r="BJ193" s="68"/>
      <c r="BK193" s="68"/>
      <c r="BL193" s="68"/>
      <c r="BM193" s="68"/>
      <c r="BN193" s="68"/>
      <c r="BO193" s="68"/>
      <c r="BP193" s="68"/>
      <c r="BQ193" s="68"/>
      <c r="BR193" s="68"/>
      <c r="BS193" s="68"/>
      <c r="BT193" s="68"/>
      <c r="BU193" s="68"/>
      <c r="BV193" s="68"/>
      <c r="BW193" s="68" t="s">
        <v>27</v>
      </c>
      <c r="BX193" s="68" t="s">
        <v>37</v>
      </c>
      <c r="BY193" s="67"/>
      <c r="BZ193" s="67"/>
      <c r="CA193" s="67"/>
      <c r="CB193" s="67"/>
      <c r="CC193" s="67"/>
      <c r="CD193" s="67"/>
      <c r="CE193" s="67"/>
      <c r="CF193" s="67"/>
      <c r="CG193" s="67"/>
      <c r="CH193" s="67"/>
      <c r="CI193" s="67"/>
      <c r="CJ193" s="67"/>
      <c r="CK193" s="67"/>
      <c r="CL193" s="67"/>
      <c r="CM193" s="67"/>
      <c r="CN193" s="67"/>
      <c r="CO193" s="67"/>
      <c r="CP193" s="67"/>
      <c r="CQ193" s="67"/>
      <c r="CR193" s="67"/>
      <c r="CS193" s="67"/>
      <c r="CT193" s="67"/>
      <c r="CU193" s="67"/>
      <c r="CV193" s="67"/>
      <c r="CW193" s="67"/>
      <c r="CX193" s="67"/>
      <c r="CY193" s="67"/>
      <c r="CZ193" s="67"/>
      <c r="DA193" s="67"/>
      <c r="DB193" s="67"/>
      <c r="DC193" s="67"/>
      <c r="DD193" s="67"/>
      <c r="DE193" s="67"/>
      <c r="DF193" s="67"/>
      <c r="DG193" s="67"/>
      <c r="DH193" s="67"/>
      <c r="DI193" s="67"/>
      <c r="DJ193" s="67"/>
      <c r="DK193" s="67"/>
      <c r="DL193" s="67"/>
      <c r="DM193" s="67"/>
      <c r="DN193" s="67"/>
      <c r="DO193" s="67"/>
      <c r="DP193" s="67"/>
      <c r="DQ193" s="67"/>
      <c r="DR193" s="67"/>
      <c r="DS193" s="67"/>
      <c r="DT193" s="67"/>
      <c r="DU193" s="67"/>
      <c r="DV193" s="67"/>
      <c r="DW193" s="67"/>
      <c r="DX193" s="67"/>
      <c r="DY193" s="67"/>
      <c r="DZ193" s="67"/>
      <c r="EA193" s="67"/>
      <c r="EB193" s="67"/>
      <c r="EC193" s="67"/>
      <c r="ED193" s="67"/>
      <c r="EE193" s="67"/>
      <c r="EF193" s="67"/>
      <c r="EG193" s="67"/>
      <c r="EH193" s="67"/>
      <c r="EI193" s="67"/>
      <c r="EJ193" s="67"/>
      <c r="EK193" s="67"/>
      <c r="EL193" s="67"/>
      <c r="EM193" s="67"/>
      <c r="EN193" s="67"/>
      <c r="EO193" s="67"/>
      <c r="EP193" s="67"/>
      <c r="EQ193" s="67"/>
      <c r="ER193" s="67"/>
      <c r="ES193" s="67"/>
      <c r="ET193" s="67"/>
      <c r="EU193" s="67"/>
      <c r="EV193" s="67"/>
      <c r="EW193" s="67"/>
      <c r="EX193" s="67"/>
      <c r="EY193" s="67"/>
      <c r="EZ193" s="67"/>
      <c r="FA193" s="67"/>
      <c r="FB193" s="67"/>
      <c r="FC193" s="67"/>
      <c r="FD193" s="67"/>
      <c r="FE193" s="67"/>
      <c r="FF193" s="67"/>
      <c r="FG193" s="67"/>
      <c r="FH193" s="67"/>
      <c r="FI193" s="67"/>
      <c r="FJ193" s="67"/>
      <c r="FK193" s="67"/>
      <c r="FL193" s="67"/>
      <c r="FM193" s="67"/>
      <c r="FN193" s="67"/>
      <c r="FO193" s="67"/>
      <c r="FP193" s="67"/>
      <c r="FQ193" s="67"/>
      <c r="FR193" s="67"/>
      <c r="FS193" s="67"/>
      <c r="FT193" s="67"/>
      <c r="FU193" s="67"/>
      <c r="FV193" s="67"/>
      <c r="FW193" s="67"/>
      <c r="FX193" s="67"/>
      <c r="FY193" s="67"/>
      <c r="FZ193" s="67"/>
      <c r="GA193" s="67"/>
      <c r="GB193" s="67"/>
      <c r="GC193" s="67"/>
      <c r="GD193" s="67"/>
      <c r="GE193" s="67"/>
      <c r="GF193" s="67"/>
      <c r="GG193" s="67"/>
      <c r="GH193" s="67"/>
      <c r="GI193" s="67"/>
      <c r="GJ193" s="67"/>
      <c r="GK193" s="67"/>
      <c r="GL193" s="67"/>
      <c r="GM193" s="67"/>
      <c r="GN193" s="67"/>
      <c r="GO193" s="67"/>
      <c r="GP193" s="67"/>
      <c r="GQ193" s="67"/>
      <c r="GR193" s="67"/>
      <c r="GS193" s="67"/>
      <c r="GT193" s="67"/>
      <c r="GU193" s="67"/>
      <c r="GV193" s="67"/>
      <c r="GW193" s="67"/>
      <c r="GX193" s="67"/>
      <c r="GY193" s="67"/>
      <c r="GZ193" s="67"/>
      <c r="HA193" s="67"/>
      <c r="HB193" s="67"/>
      <c r="HC193" s="67"/>
      <c r="HD193" s="67"/>
      <c r="HE193" s="67"/>
      <c r="HF193" s="67"/>
      <c r="HG193" s="67"/>
      <c r="HH193" s="67"/>
      <c r="HI193" s="67"/>
      <c r="HJ193" s="67"/>
      <c r="HK193" s="67"/>
      <c r="HL193" s="67"/>
      <c r="HM193" s="67"/>
      <c r="HN193" s="67"/>
      <c r="HO193" s="67"/>
      <c r="HP193" s="67"/>
      <c r="HQ193" s="67"/>
      <c r="HR193" s="67"/>
      <c r="HS193" s="67"/>
      <c r="HT193" s="67"/>
      <c r="HU193" s="67"/>
      <c r="HV193" s="67"/>
      <c r="HW193" s="67"/>
      <c r="HX193" s="67"/>
      <c r="HY193" s="67"/>
      <c r="HZ193" s="67"/>
      <c r="IA193" s="67"/>
      <c r="IB193" s="67"/>
      <c r="IC193" s="67"/>
      <c r="ID193" s="67"/>
      <c r="IE193" s="67"/>
      <c r="IF193" s="67"/>
      <c r="IG193" s="67"/>
      <c r="IH193" s="67"/>
      <c r="II193" s="67"/>
      <c r="IJ193" s="67"/>
      <c r="IK193" s="67"/>
      <c r="IL193" s="67"/>
      <c r="IM193" s="67"/>
      <c r="IN193" s="67"/>
      <c r="IO193" s="67"/>
      <c r="IP193" s="67"/>
      <c r="IQ193" s="67"/>
      <c r="IR193" s="67"/>
      <c r="IS193" s="67"/>
      <c r="IT193" s="67"/>
      <c r="IU193" s="67"/>
      <c r="IV193" s="67"/>
      <c r="IW193" s="67"/>
      <c r="IX193" s="67"/>
      <c r="IY193" s="67"/>
      <c r="IZ193" s="67"/>
      <c r="JA193" s="67"/>
      <c r="JB193" s="67"/>
      <c r="JC193" s="67"/>
      <c r="JD193" s="67"/>
      <c r="JE193" s="67"/>
      <c r="JF193" s="67"/>
      <c r="JG193" s="67"/>
      <c r="JH193" s="67"/>
      <c r="JI193" s="67"/>
      <c r="JJ193" s="67"/>
      <c r="JK193" s="67"/>
      <c r="JL193" s="67"/>
      <c r="JM193" s="67"/>
      <c r="JN193" s="67"/>
      <c r="JO193" s="67"/>
      <c r="JP193" s="67"/>
      <c r="JQ193" s="67"/>
      <c r="JR193" s="67"/>
      <c r="JS193" s="67"/>
      <c r="JT193" s="67"/>
      <c r="JU193" s="67"/>
      <c r="JV193" s="67"/>
      <c r="JW193" s="67"/>
      <c r="JX193" s="67"/>
      <c r="JY193" s="67"/>
      <c r="JZ193" s="67"/>
      <c r="KA193" s="67"/>
      <c r="KB193" s="67"/>
      <c r="KC193" s="67"/>
      <c r="KD193" s="67"/>
      <c r="KE193" s="67"/>
      <c r="KF193" s="67"/>
      <c r="KG193" s="67"/>
      <c r="KH193" s="67"/>
      <c r="KI193" s="67"/>
      <c r="KJ193" s="67"/>
      <c r="KK193" s="67"/>
      <c r="KL193" s="67"/>
      <c r="KM193" s="67"/>
      <c r="KN193" s="67"/>
      <c r="KO193" s="67"/>
      <c r="KP193" s="67"/>
      <c r="KQ193" s="67"/>
      <c r="KR193" s="67"/>
      <c r="KS193" s="67"/>
      <c r="KT193" s="67"/>
      <c r="KU193" s="67"/>
      <c r="KV193" s="67"/>
      <c r="KW193" s="67"/>
      <c r="KX193" s="67"/>
      <c r="KY193" s="67"/>
      <c r="KZ193" s="67"/>
      <c r="LA193" s="67"/>
      <c r="LB193" s="67"/>
      <c r="LC193" s="67"/>
      <c r="LD193" s="67"/>
      <c r="LE193" s="67"/>
      <c r="LF193" s="67"/>
      <c r="LG193" s="67"/>
      <c r="LH193" s="67"/>
      <c r="LI193" s="67"/>
      <c r="LJ193" s="67"/>
      <c r="LK193" s="67"/>
      <c r="LL193" s="67"/>
      <c r="LM193" s="67"/>
      <c r="LN193" s="67"/>
      <c r="LO193" s="67"/>
      <c r="LP193" s="67"/>
      <c r="LQ193" s="67"/>
      <c r="LR193" s="67"/>
      <c r="LS193" s="67"/>
      <c r="LT193" s="67"/>
      <c r="LU193" s="67"/>
      <c r="LV193" s="67"/>
      <c r="LW193" s="67"/>
      <c r="LX193" s="67"/>
      <c r="LY193" s="67"/>
      <c r="LZ193" s="67"/>
      <c r="MA193" s="67"/>
      <c r="MB193" s="67"/>
    </row>
    <row r="194" spans="1:340" s="50" customFormat="1" ht="15.75" hidden="1" customHeight="1" thickBot="1">
      <c r="A194" s="44">
        <v>3</v>
      </c>
      <c r="B194" s="154" t="s">
        <v>188</v>
      </c>
      <c r="C194" s="155" t="s">
        <v>303</v>
      </c>
      <c r="D194" s="156" t="s">
        <v>49</v>
      </c>
      <c r="E194" s="157" t="s">
        <v>78</v>
      </c>
      <c r="F194" s="158" t="s">
        <v>24</v>
      </c>
      <c r="G194" s="161"/>
      <c r="H194" s="138"/>
      <c r="I194" s="138"/>
      <c r="J194" s="138" t="s">
        <v>25</v>
      </c>
      <c r="K194" s="138" t="s">
        <v>26</v>
      </c>
      <c r="L194" s="138"/>
      <c r="M194" s="138"/>
      <c r="N194" s="138" t="s">
        <v>28</v>
      </c>
      <c r="O194" s="138"/>
      <c r="P194" s="138" t="s">
        <v>26</v>
      </c>
      <c r="Q194" s="138"/>
      <c r="R194" s="138" t="s">
        <v>27</v>
      </c>
      <c r="S194" s="138" t="s">
        <v>26</v>
      </c>
      <c r="T194" s="138"/>
      <c r="U194" s="138"/>
      <c r="V194" s="138" t="s">
        <v>28</v>
      </c>
      <c r="W194" s="138"/>
      <c r="X194" s="138" t="s">
        <v>26</v>
      </c>
      <c r="Y194" s="138"/>
      <c r="Z194" s="138"/>
      <c r="AA194" s="138"/>
      <c r="AB194" s="138"/>
      <c r="AC194" s="138" t="s">
        <v>27</v>
      </c>
      <c r="AD194" s="138" t="s">
        <v>26</v>
      </c>
      <c r="AE194" s="138"/>
      <c r="AF194" s="138"/>
      <c r="AG194" s="138" t="s">
        <v>28</v>
      </c>
      <c r="AH194" s="138" t="s">
        <v>26</v>
      </c>
      <c r="AI194" s="138"/>
      <c r="AJ194" s="138"/>
      <c r="AK194" s="138" t="s">
        <v>27</v>
      </c>
      <c r="AL194" s="138" t="s">
        <v>26</v>
      </c>
      <c r="AM194" s="138"/>
      <c r="AN194" s="138" t="s">
        <v>28</v>
      </c>
      <c r="AO194" s="138"/>
      <c r="AP194" s="138" t="s">
        <v>26</v>
      </c>
      <c r="AQ194" s="138" t="s">
        <v>28</v>
      </c>
      <c r="AR194" s="138"/>
      <c r="AS194" s="138" t="s">
        <v>26</v>
      </c>
      <c r="AT194" s="138"/>
      <c r="AU194" s="138" t="s">
        <v>27</v>
      </c>
      <c r="AV194" s="159"/>
      <c r="AW194" s="138" t="s">
        <v>26</v>
      </c>
      <c r="AX194" s="138" t="s">
        <v>28</v>
      </c>
      <c r="AY194" s="138" t="s">
        <v>26</v>
      </c>
      <c r="AZ194" s="138"/>
      <c r="BA194" s="138" t="s">
        <v>28</v>
      </c>
      <c r="BB194" s="138"/>
      <c r="BC194" s="138" t="s">
        <v>26</v>
      </c>
      <c r="BD194" s="138"/>
      <c r="BE194" s="138" t="s">
        <v>27</v>
      </c>
      <c r="BF194" s="138" t="s">
        <v>26</v>
      </c>
      <c r="BG194" s="138" t="s">
        <v>28</v>
      </c>
      <c r="BH194" s="138"/>
      <c r="BI194" s="138" t="s">
        <v>26</v>
      </c>
      <c r="BJ194" s="138" t="s">
        <v>27</v>
      </c>
      <c r="BK194" s="138" t="s">
        <v>26</v>
      </c>
      <c r="BL194" s="138"/>
      <c r="BM194" s="138"/>
      <c r="BN194" s="138" t="s">
        <v>28</v>
      </c>
      <c r="BO194" s="138" t="s">
        <v>26</v>
      </c>
      <c r="BP194" s="138"/>
      <c r="BQ194" s="138" t="s">
        <v>28</v>
      </c>
      <c r="BR194" s="138" t="s">
        <v>26</v>
      </c>
      <c r="BS194" s="138"/>
      <c r="BT194" s="138" t="s">
        <v>28</v>
      </c>
      <c r="BU194" s="138"/>
      <c r="BV194" s="138" t="s">
        <v>26</v>
      </c>
      <c r="BW194" s="138" t="s">
        <v>28</v>
      </c>
      <c r="BX194" s="138" t="s">
        <v>37</v>
      </c>
      <c r="BY194" s="67"/>
      <c r="BZ194" s="67"/>
      <c r="CA194" s="67"/>
      <c r="CB194" s="67"/>
      <c r="CC194" s="67"/>
      <c r="CD194" s="67"/>
      <c r="CE194" s="67"/>
      <c r="CF194" s="67"/>
      <c r="CG194" s="67"/>
      <c r="CH194" s="67"/>
      <c r="CI194" s="67"/>
      <c r="CJ194" s="67"/>
      <c r="CK194" s="67"/>
      <c r="CL194" s="67"/>
      <c r="CM194" s="67"/>
      <c r="CN194" s="67"/>
      <c r="CO194" s="67"/>
      <c r="CP194" s="67"/>
      <c r="CQ194" s="67"/>
      <c r="CR194" s="67"/>
      <c r="CS194" s="67"/>
      <c r="CT194" s="67"/>
      <c r="CU194" s="67"/>
      <c r="CV194" s="67"/>
      <c r="CW194" s="67"/>
      <c r="CX194" s="67"/>
      <c r="CY194" s="67"/>
      <c r="CZ194" s="67"/>
      <c r="DA194" s="67"/>
      <c r="DB194" s="67"/>
      <c r="DC194" s="67"/>
      <c r="DD194" s="67"/>
      <c r="DE194" s="67"/>
      <c r="DF194" s="67"/>
      <c r="DG194" s="67"/>
      <c r="DH194" s="67"/>
      <c r="DI194" s="67"/>
      <c r="DJ194" s="67"/>
      <c r="DK194" s="67"/>
      <c r="DL194" s="67"/>
      <c r="DM194" s="67"/>
      <c r="DN194" s="67"/>
      <c r="DO194" s="67"/>
      <c r="DP194" s="67"/>
      <c r="DQ194" s="67"/>
      <c r="DR194" s="67"/>
      <c r="DS194" s="67"/>
      <c r="DT194" s="67"/>
      <c r="DU194" s="67"/>
      <c r="DV194" s="67"/>
      <c r="DW194" s="67"/>
      <c r="DX194" s="67"/>
      <c r="DY194" s="67"/>
      <c r="DZ194" s="67"/>
      <c r="EA194" s="67"/>
      <c r="EB194" s="67"/>
      <c r="EC194" s="67"/>
      <c r="ED194" s="67"/>
      <c r="EE194" s="67"/>
      <c r="EF194" s="67"/>
      <c r="EG194" s="67"/>
      <c r="EH194" s="67"/>
      <c r="EI194" s="67"/>
      <c r="EJ194" s="67"/>
      <c r="EK194" s="67"/>
      <c r="EL194" s="67"/>
      <c r="EM194" s="67"/>
      <c r="EN194" s="67"/>
      <c r="EO194" s="67"/>
      <c r="EP194" s="67"/>
      <c r="EQ194" s="67"/>
      <c r="ER194" s="67"/>
      <c r="ES194" s="67"/>
      <c r="ET194" s="67"/>
      <c r="EU194" s="67"/>
      <c r="EV194" s="67"/>
      <c r="EW194" s="67"/>
      <c r="EX194" s="67"/>
      <c r="EY194" s="67"/>
      <c r="EZ194" s="67"/>
      <c r="FA194" s="67"/>
      <c r="FB194" s="67"/>
      <c r="FC194" s="67"/>
      <c r="FD194" s="67"/>
      <c r="FE194" s="67"/>
      <c r="FF194" s="67"/>
      <c r="FG194" s="67"/>
      <c r="FH194" s="67"/>
      <c r="FI194" s="67"/>
      <c r="FJ194" s="67"/>
      <c r="FK194" s="67"/>
      <c r="FL194" s="67"/>
      <c r="FM194" s="67"/>
      <c r="FN194" s="67"/>
      <c r="FO194" s="67"/>
      <c r="FP194" s="67"/>
      <c r="FQ194" s="67"/>
      <c r="FR194" s="67"/>
      <c r="FS194" s="67"/>
      <c r="FT194" s="67"/>
      <c r="FU194" s="67"/>
      <c r="FV194" s="67"/>
      <c r="FW194" s="67"/>
      <c r="FX194" s="67"/>
      <c r="FY194" s="67"/>
      <c r="FZ194" s="67"/>
      <c r="GA194" s="67"/>
      <c r="GB194" s="67"/>
      <c r="GC194" s="67"/>
      <c r="GD194" s="67"/>
      <c r="GE194" s="67"/>
      <c r="GF194" s="67"/>
      <c r="GG194" s="67"/>
      <c r="GH194" s="67"/>
      <c r="GI194" s="67"/>
      <c r="GJ194" s="67"/>
      <c r="GK194" s="67"/>
      <c r="GL194" s="67"/>
      <c r="GM194" s="67"/>
      <c r="GN194" s="67"/>
      <c r="GO194" s="67"/>
      <c r="GP194" s="67"/>
      <c r="GQ194" s="67"/>
      <c r="GR194" s="67"/>
      <c r="GS194" s="67"/>
      <c r="GT194" s="67"/>
      <c r="GU194" s="67"/>
      <c r="GV194" s="67"/>
      <c r="GW194" s="67"/>
      <c r="GX194" s="67"/>
      <c r="GY194" s="67"/>
      <c r="GZ194" s="67"/>
      <c r="HA194" s="67"/>
      <c r="HB194" s="67"/>
      <c r="HC194" s="67"/>
      <c r="HD194" s="67"/>
      <c r="HE194" s="67"/>
      <c r="HF194" s="67"/>
      <c r="HG194" s="67"/>
      <c r="HH194" s="67"/>
      <c r="HI194" s="67"/>
      <c r="HJ194" s="67"/>
      <c r="HK194" s="67"/>
      <c r="HL194" s="67"/>
      <c r="HM194" s="67"/>
      <c r="HN194" s="67"/>
      <c r="HO194" s="67"/>
      <c r="HP194" s="67"/>
      <c r="HQ194" s="67"/>
      <c r="HR194" s="67"/>
      <c r="HS194" s="67"/>
      <c r="HT194" s="67"/>
      <c r="HU194" s="67"/>
      <c r="HV194" s="67"/>
      <c r="HW194" s="67"/>
      <c r="HX194" s="67"/>
      <c r="HY194" s="67"/>
      <c r="HZ194" s="67"/>
      <c r="IA194" s="67"/>
      <c r="IB194" s="67"/>
      <c r="IC194" s="67"/>
      <c r="ID194" s="67"/>
      <c r="IE194" s="67"/>
      <c r="IF194" s="67"/>
      <c r="IG194" s="67"/>
      <c r="IH194" s="67"/>
      <c r="II194" s="67"/>
      <c r="IJ194" s="67"/>
      <c r="IK194" s="67"/>
      <c r="IL194" s="67"/>
      <c r="IM194" s="67"/>
      <c r="IN194" s="67"/>
      <c r="IO194" s="67"/>
      <c r="IP194" s="67"/>
      <c r="IQ194" s="67"/>
      <c r="IR194" s="67"/>
      <c r="IS194" s="67"/>
      <c r="IT194" s="67"/>
      <c r="IU194" s="67"/>
      <c r="IV194" s="67"/>
      <c r="IW194" s="67"/>
      <c r="IX194" s="67"/>
      <c r="IY194" s="67"/>
      <c r="IZ194" s="67"/>
      <c r="JA194" s="67"/>
      <c r="JB194" s="67"/>
      <c r="JC194" s="67"/>
      <c r="JD194" s="67"/>
      <c r="JE194" s="67"/>
      <c r="JF194" s="67"/>
      <c r="JG194" s="67"/>
      <c r="JH194" s="67"/>
      <c r="JI194" s="67"/>
      <c r="JJ194" s="67"/>
      <c r="JK194" s="67"/>
      <c r="JL194" s="67"/>
      <c r="JM194" s="67"/>
      <c r="JN194" s="67"/>
      <c r="JO194" s="67"/>
      <c r="JP194" s="67"/>
      <c r="JQ194" s="67"/>
      <c r="JR194" s="67"/>
      <c r="JS194" s="67"/>
      <c r="JT194" s="67"/>
      <c r="JU194" s="67"/>
      <c r="JV194" s="67"/>
      <c r="JW194" s="67"/>
      <c r="JX194" s="67"/>
      <c r="JY194" s="67"/>
      <c r="JZ194" s="67"/>
      <c r="KA194" s="67"/>
      <c r="KB194" s="67"/>
      <c r="KC194" s="67"/>
      <c r="KD194" s="67"/>
      <c r="KE194" s="67"/>
      <c r="KF194" s="67"/>
      <c r="KG194" s="67"/>
      <c r="KH194" s="67"/>
      <c r="KI194" s="67"/>
      <c r="KJ194" s="67"/>
      <c r="KK194" s="67"/>
      <c r="KL194" s="67"/>
      <c r="KM194" s="67"/>
      <c r="KN194" s="67"/>
      <c r="KO194" s="67"/>
      <c r="KP194" s="67"/>
      <c r="KQ194" s="67"/>
      <c r="KR194" s="67"/>
      <c r="KS194" s="67"/>
      <c r="KT194" s="67"/>
      <c r="KU194" s="67"/>
      <c r="KV194" s="67"/>
      <c r="KW194" s="67"/>
      <c r="KX194" s="67"/>
      <c r="KY194" s="67"/>
      <c r="KZ194" s="67"/>
      <c r="LA194" s="67"/>
      <c r="LB194" s="67"/>
      <c r="LC194" s="67"/>
      <c r="LD194" s="67"/>
      <c r="LE194" s="67"/>
      <c r="LF194" s="67"/>
      <c r="LG194" s="67"/>
      <c r="LH194" s="67"/>
      <c r="LI194" s="67"/>
      <c r="LJ194" s="67"/>
      <c r="LK194" s="67"/>
      <c r="LL194" s="67"/>
      <c r="LM194" s="67"/>
      <c r="LN194" s="67"/>
      <c r="LO194" s="67"/>
      <c r="LP194" s="67"/>
      <c r="LQ194" s="67"/>
      <c r="LR194" s="67"/>
      <c r="LS194" s="67"/>
      <c r="LT194" s="67"/>
      <c r="LU194" s="67"/>
      <c r="LV194" s="67"/>
      <c r="LW194" s="67"/>
      <c r="LX194" s="67"/>
      <c r="LY194" s="67"/>
      <c r="LZ194" s="67"/>
      <c r="MA194" s="67"/>
      <c r="MB194" s="67"/>
    </row>
    <row r="195" spans="1:340" s="50" customFormat="1" ht="15.75" hidden="1" customHeight="1" thickBot="1">
      <c r="A195" s="65">
        <v>3</v>
      </c>
      <c r="B195" s="150" t="s">
        <v>188</v>
      </c>
      <c r="C195" s="85" t="s">
        <v>64</v>
      </c>
      <c r="D195" s="86" t="s">
        <v>49</v>
      </c>
      <c r="E195" s="130" t="s">
        <v>78</v>
      </c>
      <c r="F195" s="87" t="s">
        <v>24</v>
      </c>
      <c r="G195" s="139"/>
      <c r="H195" s="68"/>
      <c r="I195" s="68" t="s">
        <v>25</v>
      </c>
      <c r="J195" s="68"/>
      <c r="K195" s="68" t="s">
        <v>26</v>
      </c>
      <c r="L195" s="153"/>
      <c r="M195" s="68" t="s">
        <v>28</v>
      </c>
      <c r="N195" s="68" t="s">
        <v>26</v>
      </c>
      <c r="O195" s="68" t="s">
        <v>28</v>
      </c>
      <c r="P195" s="68"/>
      <c r="Q195" s="68" t="s">
        <v>26</v>
      </c>
      <c r="R195" s="68" t="s">
        <v>28</v>
      </c>
      <c r="S195" s="68" t="s">
        <v>26</v>
      </c>
      <c r="T195" s="68" t="s">
        <v>28</v>
      </c>
      <c r="U195" s="68" t="s">
        <v>26</v>
      </c>
      <c r="V195" s="68"/>
      <c r="W195" s="68" t="s">
        <v>27</v>
      </c>
      <c r="X195" s="68" t="s">
        <v>26</v>
      </c>
      <c r="Y195" s="68" t="s">
        <v>28</v>
      </c>
      <c r="Z195" s="68"/>
      <c r="AA195" s="68" t="s">
        <v>26</v>
      </c>
      <c r="AB195" s="68" t="s">
        <v>28</v>
      </c>
      <c r="AC195" s="68"/>
      <c r="AD195" s="68" t="s">
        <v>26</v>
      </c>
      <c r="AE195" s="68"/>
      <c r="AF195" s="68" t="s">
        <v>28</v>
      </c>
      <c r="AG195" s="68" t="s">
        <v>26</v>
      </c>
      <c r="AH195" s="68" t="s">
        <v>27</v>
      </c>
      <c r="AI195" s="68" t="s">
        <v>26</v>
      </c>
      <c r="AJ195" s="68" t="s">
        <v>28</v>
      </c>
      <c r="AK195" s="68" t="s">
        <v>26</v>
      </c>
      <c r="AL195" s="68" t="s">
        <v>28</v>
      </c>
      <c r="AM195" s="153"/>
      <c r="AN195" s="68" t="s">
        <v>26</v>
      </c>
      <c r="AO195" s="68" t="s">
        <v>28</v>
      </c>
      <c r="AP195" s="68"/>
      <c r="AQ195" s="68" t="s">
        <v>26</v>
      </c>
      <c r="AR195" s="68" t="s">
        <v>28</v>
      </c>
      <c r="AS195" s="68"/>
      <c r="AT195" s="68"/>
      <c r="AU195" s="68"/>
      <c r="AV195" s="68"/>
      <c r="AW195" s="68"/>
      <c r="AX195" s="68"/>
      <c r="AY195" s="68"/>
      <c r="AZ195" s="140"/>
      <c r="BA195" s="68" t="s">
        <v>26</v>
      </c>
      <c r="BB195" s="140"/>
      <c r="BC195" s="68"/>
      <c r="BD195" s="68" t="s">
        <v>27</v>
      </c>
      <c r="BE195" s="68" t="s">
        <v>26</v>
      </c>
      <c r="BF195" s="68" t="s">
        <v>28</v>
      </c>
      <c r="BG195" s="68" t="s">
        <v>26</v>
      </c>
      <c r="BH195" s="68"/>
      <c r="BI195" s="68"/>
      <c r="BJ195" s="68" t="s">
        <v>28</v>
      </c>
      <c r="BK195" s="68" t="s">
        <v>26</v>
      </c>
      <c r="BL195" s="68" t="s">
        <v>28</v>
      </c>
      <c r="BM195" s="68" t="s">
        <v>26</v>
      </c>
      <c r="BN195" s="140"/>
      <c r="BO195" s="68" t="s">
        <v>28</v>
      </c>
      <c r="BP195" s="68" t="s">
        <v>26</v>
      </c>
      <c r="BQ195" s="68" t="s">
        <v>28</v>
      </c>
      <c r="BR195" s="68" t="s">
        <v>26</v>
      </c>
      <c r="BS195" s="68" t="s">
        <v>28</v>
      </c>
      <c r="BT195" s="68" t="s">
        <v>26</v>
      </c>
      <c r="BU195" s="68" t="s">
        <v>28</v>
      </c>
      <c r="BV195" s="68"/>
      <c r="BW195" s="68" t="s">
        <v>26</v>
      </c>
      <c r="BX195" s="68" t="s">
        <v>28</v>
      </c>
      <c r="BY195" s="68" t="s">
        <v>37</v>
      </c>
      <c r="BZ195" s="67"/>
      <c r="CA195" s="67"/>
      <c r="CB195" s="67"/>
      <c r="CC195" s="67"/>
      <c r="CD195" s="67"/>
      <c r="CE195" s="67"/>
      <c r="CF195" s="67"/>
      <c r="CG195" s="67"/>
      <c r="CH195" s="67"/>
      <c r="CI195" s="67"/>
      <c r="CJ195" s="67"/>
      <c r="CK195" s="67"/>
      <c r="CL195" s="67"/>
      <c r="CM195" s="67"/>
      <c r="CN195" s="67"/>
      <c r="CO195" s="67"/>
      <c r="CP195" s="67"/>
      <c r="CQ195" s="67"/>
      <c r="CR195" s="67"/>
      <c r="CS195" s="67"/>
      <c r="CT195" s="67"/>
      <c r="CU195" s="67"/>
      <c r="CV195" s="67"/>
      <c r="CW195" s="67"/>
      <c r="CX195" s="67"/>
      <c r="CY195" s="67"/>
      <c r="CZ195" s="67"/>
      <c r="DA195" s="67"/>
      <c r="DB195" s="67"/>
      <c r="DC195" s="67"/>
      <c r="DD195" s="67"/>
      <c r="DE195" s="67"/>
      <c r="DF195" s="67"/>
      <c r="DG195" s="67"/>
      <c r="DH195" s="67"/>
      <c r="DI195" s="67"/>
      <c r="DJ195" s="67"/>
      <c r="DK195" s="67"/>
      <c r="DL195" s="67"/>
      <c r="DM195" s="67"/>
      <c r="DN195" s="67"/>
      <c r="DO195" s="67"/>
      <c r="DP195" s="67"/>
      <c r="DQ195" s="67"/>
      <c r="DR195" s="67"/>
      <c r="DS195" s="67"/>
      <c r="DT195" s="67"/>
      <c r="DU195" s="67"/>
      <c r="DV195" s="67"/>
      <c r="DW195" s="67"/>
      <c r="DX195" s="67"/>
      <c r="DY195" s="67"/>
      <c r="DZ195" s="67"/>
      <c r="EA195" s="67"/>
      <c r="EB195" s="67"/>
      <c r="EC195" s="67"/>
      <c r="ED195" s="67"/>
      <c r="EE195" s="67"/>
      <c r="EF195" s="67"/>
      <c r="EG195" s="67"/>
      <c r="EH195" s="67"/>
      <c r="EI195" s="67"/>
      <c r="EJ195" s="67"/>
      <c r="EK195" s="67"/>
      <c r="EL195" s="67"/>
      <c r="EM195" s="67"/>
      <c r="EN195" s="67"/>
      <c r="EO195" s="67"/>
      <c r="EP195" s="67"/>
      <c r="EQ195" s="67"/>
      <c r="ER195" s="67"/>
      <c r="ES195" s="67"/>
      <c r="ET195" s="67"/>
      <c r="EU195" s="67"/>
      <c r="EV195" s="67"/>
      <c r="EW195" s="67"/>
      <c r="EX195" s="67"/>
      <c r="EY195" s="67"/>
      <c r="EZ195" s="67"/>
      <c r="FA195" s="67"/>
      <c r="FB195" s="67"/>
      <c r="FC195" s="67"/>
      <c r="FD195" s="67"/>
      <c r="FE195" s="67"/>
      <c r="FF195" s="67"/>
      <c r="FG195" s="67"/>
      <c r="FH195" s="67"/>
      <c r="FI195" s="67"/>
      <c r="FJ195" s="67"/>
      <c r="FK195" s="67"/>
      <c r="FL195" s="67"/>
      <c r="FM195" s="67"/>
      <c r="FN195" s="67"/>
      <c r="FO195" s="67"/>
      <c r="FP195" s="67"/>
      <c r="FQ195" s="67"/>
      <c r="FR195" s="67"/>
      <c r="FS195" s="67"/>
      <c r="FT195" s="67"/>
      <c r="FU195" s="67"/>
      <c r="FV195" s="67"/>
      <c r="FW195" s="67"/>
      <c r="FX195" s="67"/>
      <c r="FY195" s="67"/>
      <c r="FZ195" s="67"/>
      <c r="GA195" s="67"/>
      <c r="GB195" s="67"/>
      <c r="GC195" s="67"/>
      <c r="GD195" s="67"/>
      <c r="GE195" s="67"/>
      <c r="GF195" s="67"/>
      <c r="GG195" s="67"/>
      <c r="GH195" s="67"/>
      <c r="GI195" s="67"/>
      <c r="GJ195" s="67"/>
      <c r="GK195" s="67"/>
      <c r="GL195" s="67"/>
      <c r="GM195" s="67"/>
      <c r="GN195" s="67"/>
      <c r="GO195" s="67"/>
      <c r="GP195" s="67"/>
      <c r="GQ195" s="67"/>
      <c r="GR195" s="67"/>
      <c r="GS195" s="67"/>
      <c r="GT195" s="67"/>
      <c r="GU195" s="67"/>
      <c r="GV195" s="67"/>
      <c r="GW195" s="67"/>
      <c r="GX195" s="67"/>
      <c r="GY195" s="67"/>
      <c r="GZ195" s="67"/>
      <c r="HA195" s="67"/>
      <c r="HB195" s="67"/>
      <c r="HC195" s="67"/>
      <c r="HD195" s="67"/>
      <c r="HE195" s="67"/>
      <c r="HF195" s="67"/>
      <c r="HG195" s="67"/>
      <c r="HH195" s="67"/>
      <c r="HI195" s="67"/>
      <c r="HJ195" s="67"/>
      <c r="HK195" s="67"/>
      <c r="HL195" s="67"/>
      <c r="HM195" s="67"/>
      <c r="HN195" s="67"/>
      <c r="HO195" s="67"/>
      <c r="HP195" s="67"/>
      <c r="HQ195" s="67"/>
      <c r="HR195" s="67"/>
      <c r="HS195" s="67"/>
      <c r="HT195" s="67"/>
      <c r="HU195" s="67"/>
      <c r="HV195" s="67"/>
      <c r="HW195" s="67"/>
      <c r="HX195" s="67"/>
      <c r="HY195" s="67"/>
      <c r="HZ195" s="67"/>
      <c r="IA195" s="67"/>
      <c r="IB195" s="67"/>
      <c r="IC195" s="67"/>
      <c r="ID195" s="67"/>
      <c r="IE195" s="67"/>
      <c r="IF195" s="67"/>
      <c r="IG195" s="67"/>
      <c r="IH195" s="67"/>
      <c r="II195" s="67"/>
      <c r="IJ195" s="67"/>
      <c r="IK195" s="67"/>
      <c r="IL195" s="67"/>
      <c r="IM195" s="67"/>
      <c r="IN195" s="67"/>
      <c r="IO195" s="67"/>
      <c r="IP195" s="67"/>
      <c r="IQ195" s="67"/>
      <c r="IR195" s="67"/>
      <c r="IS195" s="67"/>
      <c r="IT195" s="67"/>
      <c r="IU195" s="67"/>
      <c r="IV195" s="67"/>
      <c r="IW195" s="67"/>
      <c r="IX195" s="67"/>
      <c r="IY195" s="67"/>
      <c r="IZ195" s="67"/>
      <c r="JA195" s="67"/>
      <c r="JB195" s="67"/>
      <c r="JC195" s="67"/>
      <c r="JD195" s="67"/>
      <c r="JE195" s="67"/>
      <c r="JF195" s="67"/>
      <c r="JG195" s="67"/>
      <c r="JH195" s="67"/>
      <c r="JI195" s="67"/>
      <c r="JJ195" s="67"/>
      <c r="JK195" s="67"/>
      <c r="JL195" s="67"/>
      <c r="JM195" s="67"/>
      <c r="JN195" s="67"/>
      <c r="JO195" s="67"/>
      <c r="JP195" s="67"/>
      <c r="JQ195" s="67"/>
      <c r="JR195" s="67"/>
      <c r="JS195" s="67"/>
      <c r="JT195" s="67"/>
      <c r="JU195" s="67"/>
      <c r="JV195" s="67"/>
      <c r="JW195" s="67"/>
      <c r="JX195" s="67"/>
      <c r="JY195" s="67"/>
      <c r="JZ195" s="67"/>
      <c r="KA195" s="67"/>
      <c r="KB195" s="67"/>
      <c r="KC195" s="67"/>
      <c r="KD195" s="67"/>
      <c r="KE195" s="67"/>
      <c r="KF195" s="67"/>
      <c r="KG195" s="67"/>
      <c r="KH195" s="67"/>
      <c r="KI195" s="67"/>
      <c r="KJ195" s="67"/>
      <c r="KK195" s="67"/>
      <c r="KL195" s="67"/>
      <c r="KM195" s="67"/>
      <c r="KN195" s="67"/>
      <c r="KO195" s="67"/>
      <c r="KP195" s="67"/>
      <c r="KQ195" s="67"/>
      <c r="KR195" s="67"/>
      <c r="KS195" s="67"/>
      <c r="KT195" s="67"/>
      <c r="KU195" s="67"/>
      <c r="KV195" s="67"/>
      <c r="KW195" s="67"/>
      <c r="KX195" s="67"/>
      <c r="KY195" s="67"/>
      <c r="KZ195" s="67"/>
      <c r="LA195" s="67"/>
      <c r="LB195" s="67"/>
      <c r="LC195" s="67"/>
      <c r="LD195" s="67"/>
      <c r="LE195" s="67"/>
      <c r="LF195" s="67"/>
      <c r="LG195" s="67"/>
      <c r="LH195" s="67"/>
      <c r="LI195" s="67"/>
      <c r="LJ195" s="67"/>
      <c r="LK195" s="67"/>
      <c r="LL195" s="67"/>
      <c r="LM195" s="67"/>
      <c r="LN195" s="67"/>
      <c r="LO195" s="67"/>
      <c r="LP195" s="67"/>
      <c r="LQ195" s="67"/>
      <c r="LR195" s="67"/>
      <c r="LS195" s="67"/>
      <c r="LT195" s="67"/>
      <c r="LU195" s="67"/>
      <c r="LV195" s="67"/>
      <c r="LW195" s="67"/>
      <c r="LX195" s="67"/>
      <c r="LY195" s="67"/>
      <c r="LZ195" s="67"/>
      <c r="MA195" s="67"/>
      <c r="MB195" s="67"/>
    </row>
    <row r="196" spans="1:340" s="50" customFormat="1" ht="15.75" hidden="1" customHeight="1" thickBot="1">
      <c r="A196" s="65">
        <v>3</v>
      </c>
      <c r="B196" s="88" t="s">
        <v>304</v>
      </c>
      <c r="C196" s="85" t="s">
        <v>88</v>
      </c>
      <c r="D196" s="86" t="s">
        <v>45</v>
      </c>
      <c r="E196" s="130" t="s">
        <v>46</v>
      </c>
      <c r="F196" s="87" t="s">
        <v>24</v>
      </c>
      <c r="G196" s="139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153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  <c r="BK196" s="68"/>
      <c r="BL196" s="67"/>
      <c r="BM196" s="68"/>
      <c r="BN196" s="68"/>
      <c r="BO196" s="68"/>
      <c r="BP196" s="68"/>
      <c r="BQ196" s="68"/>
      <c r="BR196" s="68"/>
      <c r="BS196" s="68" t="s">
        <v>25</v>
      </c>
      <c r="BT196" s="159"/>
      <c r="BU196" s="68" t="s">
        <v>27</v>
      </c>
      <c r="BV196" s="68" t="s">
        <v>26</v>
      </c>
      <c r="BW196" s="68"/>
      <c r="BX196" s="68" t="s">
        <v>41</v>
      </c>
      <c r="BY196" s="68" t="s">
        <v>37</v>
      </c>
      <c r="BZ196" s="67"/>
      <c r="CA196" s="67"/>
      <c r="CB196" s="67"/>
      <c r="CC196" s="67"/>
      <c r="CD196" s="67"/>
      <c r="CE196" s="67"/>
      <c r="CF196" s="67"/>
      <c r="CG196" s="67"/>
      <c r="CH196" s="67"/>
      <c r="CI196" s="67"/>
      <c r="CJ196" s="67"/>
      <c r="CK196" s="67"/>
      <c r="CL196" s="67"/>
      <c r="CM196" s="67"/>
      <c r="CN196" s="67"/>
      <c r="CO196" s="67"/>
      <c r="CP196" s="67"/>
      <c r="CQ196" s="67"/>
      <c r="CR196" s="67"/>
      <c r="CS196" s="67"/>
      <c r="CT196" s="67"/>
      <c r="CU196" s="67"/>
      <c r="CV196" s="67"/>
      <c r="CW196" s="67"/>
      <c r="CX196" s="67"/>
      <c r="CY196" s="67"/>
      <c r="CZ196" s="67"/>
      <c r="DA196" s="67"/>
      <c r="DB196" s="67"/>
      <c r="DC196" s="67"/>
      <c r="DD196" s="67"/>
      <c r="DE196" s="67"/>
      <c r="DF196" s="67"/>
      <c r="DG196" s="67"/>
      <c r="DH196" s="67"/>
      <c r="DI196" s="67"/>
      <c r="DJ196" s="67"/>
      <c r="DK196" s="67"/>
      <c r="DL196" s="67"/>
      <c r="DM196" s="67"/>
      <c r="DN196" s="67"/>
      <c r="DO196" s="67"/>
      <c r="DP196" s="67"/>
      <c r="DQ196" s="67"/>
      <c r="DR196" s="67"/>
      <c r="DS196" s="67"/>
      <c r="DT196" s="67"/>
      <c r="DU196" s="67"/>
      <c r="DV196" s="67"/>
      <c r="DW196" s="67"/>
      <c r="DX196" s="67"/>
      <c r="DY196" s="67"/>
      <c r="DZ196" s="67"/>
      <c r="EA196" s="67"/>
      <c r="EB196" s="67"/>
      <c r="EC196" s="67"/>
      <c r="ED196" s="67"/>
      <c r="EE196" s="67"/>
      <c r="EF196" s="67"/>
      <c r="EG196" s="67"/>
      <c r="EH196" s="67"/>
      <c r="EI196" s="67"/>
      <c r="EJ196" s="67"/>
      <c r="EK196" s="67"/>
      <c r="EL196" s="67"/>
      <c r="EM196" s="67"/>
      <c r="EN196" s="67"/>
      <c r="EO196" s="67"/>
      <c r="EP196" s="67"/>
      <c r="EQ196" s="67"/>
      <c r="ER196" s="67"/>
      <c r="ES196" s="67"/>
      <c r="ET196" s="67"/>
      <c r="EU196" s="67"/>
      <c r="EV196" s="67"/>
      <c r="EW196" s="67"/>
      <c r="EX196" s="67"/>
      <c r="EY196" s="67"/>
      <c r="EZ196" s="67"/>
      <c r="FA196" s="67"/>
      <c r="FB196" s="67"/>
      <c r="FC196" s="67"/>
      <c r="FD196" s="67"/>
      <c r="FE196" s="67"/>
      <c r="FF196" s="67"/>
      <c r="FG196" s="67"/>
      <c r="FH196" s="67"/>
      <c r="FI196" s="67"/>
      <c r="FJ196" s="67"/>
      <c r="FK196" s="67"/>
      <c r="FL196" s="67"/>
      <c r="FM196" s="67"/>
      <c r="FN196" s="67"/>
      <c r="FO196" s="67"/>
      <c r="FP196" s="67"/>
      <c r="FQ196" s="67"/>
      <c r="FR196" s="67"/>
      <c r="FS196" s="67"/>
      <c r="FT196" s="67"/>
      <c r="FU196" s="67"/>
      <c r="FV196" s="67"/>
      <c r="FW196" s="67"/>
      <c r="FX196" s="67"/>
      <c r="FY196" s="67"/>
      <c r="FZ196" s="67"/>
      <c r="GA196" s="67"/>
      <c r="GB196" s="67"/>
      <c r="GC196" s="67"/>
      <c r="GD196" s="67"/>
      <c r="GE196" s="67"/>
      <c r="GF196" s="67"/>
      <c r="GG196" s="67"/>
      <c r="GH196" s="67"/>
      <c r="GI196" s="67"/>
      <c r="GJ196" s="67"/>
      <c r="GK196" s="67"/>
      <c r="GL196" s="67"/>
      <c r="GM196" s="67"/>
      <c r="GN196" s="67"/>
      <c r="GO196" s="67"/>
      <c r="GP196" s="67"/>
      <c r="GQ196" s="67"/>
      <c r="GR196" s="67"/>
      <c r="GS196" s="67"/>
      <c r="GT196" s="67"/>
      <c r="GU196" s="67"/>
      <c r="GV196" s="67"/>
      <c r="GW196" s="67"/>
      <c r="GX196" s="67"/>
      <c r="GY196" s="67"/>
      <c r="GZ196" s="67"/>
      <c r="HA196" s="67"/>
      <c r="HB196" s="67"/>
      <c r="HC196" s="67"/>
      <c r="HD196" s="67"/>
      <c r="HE196" s="67"/>
      <c r="HF196" s="67"/>
      <c r="HG196" s="67"/>
      <c r="HH196" s="67"/>
      <c r="HI196" s="67"/>
      <c r="HJ196" s="67"/>
      <c r="HK196" s="67"/>
      <c r="HL196" s="67"/>
      <c r="HM196" s="67"/>
      <c r="HN196" s="67"/>
      <c r="HO196" s="67"/>
      <c r="HP196" s="67"/>
      <c r="HQ196" s="67"/>
      <c r="HR196" s="67"/>
      <c r="HS196" s="67"/>
      <c r="HT196" s="67"/>
      <c r="HU196" s="67"/>
      <c r="HV196" s="67"/>
      <c r="HW196" s="67"/>
      <c r="HX196" s="67"/>
      <c r="HY196" s="67"/>
      <c r="HZ196" s="67"/>
      <c r="IA196" s="67"/>
      <c r="IB196" s="67"/>
      <c r="IC196" s="67"/>
      <c r="ID196" s="67"/>
      <c r="IE196" s="67"/>
      <c r="IF196" s="67"/>
      <c r="IG196" s="67"/>
      <c r="IH196" s="67"/>
      <c r="II196" s="67"/>
      <c r="IJ196" s="67"/>
      <c r="IK196" s="67"/>
      <c r="IL196" s="67"/>
      <c r="IM196" s="67"/>
      <c r="IN196" s="67"/>
      <c r="IO196" s="67"/>
      <c r="IP196" s="67"/>
      <c r="IQ196" s="67"/>
      <c r="IR196" s="67"/>
      <c r="IS196" s="67"/>
      <c r="IT196" s="67"/>
      <c r="IU196" s="67"/>
      <c r="IV196" s="67"/>
      <c r="IW196" s="67"/>
      <c r="IX196" s="67"/>
      <c r="IY196" s="67"/>
      <c r="IZ196" s="67"/>
      <c r="JA196" s="67"/>
      <c r="JB196" s="67"/>
      <c r="JC196" s="67"/>
      <c r="JD196" s="67"/>
      <c r="JE196" s="67"/>
      <c r="JF196" s="67"/>
      <c r="JG196" s="67"/>
      <c r="JH196" s="67"/>
      <c r="JI196" s="67"/>
      <c r="JJ196" s="67"/>
      <c r="JK196" s="67"/>
      <c r="JL196" s="67"/>
      <c r="JM196" s="67"/>
      <c r="JN196" s="67"/>
      <c r="JO196" s="67"/>
      <c r="JP196" s="67"/>
      <c r="JQ196" s="67"/>
      <c r="JR196" s="67"/>
      <c r="JS196" s="67"/>
      <c r="JT196" s="67"/>
      <c r="JU196" s="67"/>
      <c r="JV196" s="67"/>
      <c r="JW196" s="67"/>
      <c r="JX196" s="67"/>
      <c r="JY196" s="67"/>
      <c r="JZ196" s="67"/>
      <c r="KA196" s="67"/>
      <c r="KB196" s="67"/>
      <c r="KC196" s="67"/>
      <c r="KD196" s="67"/>
      <c r="KE196" s="67"/>
      <c r="KF196" s="67"/>
      <c r="KG196" s="67"/>
      <c r="KH196" s="67"/>
      <c r="KI196" s="67"/>
      <c r="KJ196" s="67"/>
      <c r="KK196" s="67"/>
      <c r="KL196" s="67"/>
      <c r="KM196" s="67"/>
      <c r="KN196" s="67"/>
      <c r="KO196" s="67"/>
      <c r="KP196" s="67"/>
      <c r="KQ196" s="67"/>
      <c r="KR196" s="67"/>
      <c r="KS196" s="67"/>
      <c r="KT196" s="67"/>
      <c r="KU196" s="67"/>
      <c r="KV196" s="67"/>
      <c r="KW196" s="67"/>
      <c r="KX196" s="67"/>
      <c r="KY196" s="67"/>
      <c r="KZ196" s="67"/>
      <c r="LA196" s="67"/>
      <c r="LB196" s="67"/>
      <c r="LC196" s="67"/>
      <c r="LD196" s="67"/>
      <c r="LE196" s="67"/>
      <c r="LF196" s="67"/>
      <c r="LG196" s="67"/>
      <c r="LH196" s="67"/>
      <c r="LI196" s="67"/>
      <c r="LJ196" s="67"/>
      <c r="LK196" s="67"/>
      <c r="LL196" s="67"/>
      <c r="LM196" s="67"/>
      <c r="LN196" s="67"/>
      <c r="LO196" s="67"/>
      <c r="LP196" s="67"/>
      <c r="LQ196" s="67"/>
      <c r="LR196" s="67"/>
      <c r="LS196" s="67"/>
      <c r="LT196" s="67"/>
      <c r="LU196" s="67"/>
      <c r="LV196" s="67"/>
      <c r="LW196" s="67"/>
      <c r="LX196" s="67"/>
      <c r="LY196" s="67"/>
      <c r="LZ196" s="67"/>
      <c r="MA196" s="67"/>
      <c r="MB196" s="67"/>
    </row>
    <row r="197" spans="1:340" s="50" customFormat="1" ht="15.75" hidden="1" customHeight="1" thickBot="1">
      <c r="A197" s="65">
        <v>3</v>
      </c>
      <c r="B197" s="88" t="s">
        <v>305</v>
      </c>
      <c r="C197" s="85" t="s">
        <v>175</v>
      </c>
      <c r="D197" s="86" t="s">
        <v>49</v>
      </c>
      <c r="E197" s="130" t="s">
        <v>50</v>
      </c>
      <c r="F197" s="87" t="s">
        <v>24</v>
      </c>
      <c r="G197" s="139" t="s">
        <v>26</v>
      </c>
      <c r="H197" s="68"/>
      <c r="I197" s="68" t="s">
        <v>41</v>
      </c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 t="s">
        <v>26</v>
      </c>
      <c r="U197" s="68"/>
      <c r="V197" s="68" t="s">
        <v>41</v>
      </c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 t="s">
        <v>26</v>
      </c>
      <c r="AI197" s="68"/>
      <c r="AJ197" s="153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 t="s">
        <v>26</v>
      </c>
      <c r="AY197" s="68" t="s">
        <v>41</v>
      </c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  <c r="BK197" s="68"/>
      <c r="BL197" s="68"/>
      <c r="BM197" s="68"/>
      <c r="BN197" s="68"/>
      <c r="BO197" s="68"/>
      <c r="BP197" s="68"/>
      <c r="BQ197" s="68" t="s">
        <v>26</v>
      </c>
      <c r="BR197" s="68" t="s">
        <v>41</v>
      </c>
      <c r="BS197" s="68"/>
      <c r="BT197" s="68"/>
      <c r="BU197" s="68"/>
      <c r="BV197" s="68"/>
      <c r="BW197" s="68"/>
      <c r="BX197" s="68"/>
      <c r="BY197" s="68"/>
      <c r="BZ197" s="68" t="s">
        <v>37</v>
      </c>
      <c r="CA197" s="67"/>
      <c r="CB197" s="67"/>
      <c r="CC197" s="67"/>
      <c r="CD197" s="67"/>
      <c r="CE197" s="67"/>
      <c r="CF197" s="67"/>
      <c r="CG197" s="67"/>
      <c r="CH197" s="67"/>
      <c r="CI197" s="67"/>
      <c r="CJ197" s="67"/>
      <c r="CK197" s="67"/>
      <c r="CL197" s="67"/>
      <c r="CM197" s="67"/>
      <c r="CN197" s="67"/>
      <c r="CO197" s="67"/>
      <c r="CP197" s="67"/>
      <c r="CQ197" s="67"/>
      <c r="CR197" s="67"/>
      <c r="CS197" s="67"/>
      <c r="CT197" s="67"/>
      <c r="CU197" s="67"/>
      <c r="CV197" s="67"/>
      <c r="CW197" s="67"/>
      <c r="CX197" s="67"/>
      <c r="CY197" s="67"/>
      <c r="CZ197" s="67"/>
      <c r="DA197" s="67"/>
      <c r="DB197" s="67"/>
      <c r="DC197" s="67"/>
      <c r="DD197" s="67"/>
      <c r="DE197" s="67"/>
      <c r="DF197" s="67"/>
      <c r="DG197" s="67"/>
      <c r="DH197" s="67"/>
      <c r="DI197" s="67"/>
      <c r="DJ197" s="67"/>
      <c r="DK197" s="67"/>
      <c r="DL197" s="67"/>
      <c r="DM197" s="67"/>
      <c r="DN197" s="67"/>
      <c r="DO197" s="67"/>
      <c r="DP197" s="67"/>
      <c r="DQ197" s="67"/>
      <c r="DR197" s="67"/>
      <c r="DS197" s="67"/>
      <c r="DT197" s="67"/>
      <c r="DU197" s="67"/>
      <c r="DV197" s="67"/>
      <c r="DW197" s="67"/>
      <c r="DX197" s="67"/>
      <c r="DY197" s="67"/>
      <c r="DZ197" s="67"/>
      <c r="EA197" s="67"/>
      <c r="EB197" s="67"/>
      <c r="EC197" s="67"/>
      <c r="ED197" s="67"/>
      <c r="EE197" s="67"/>
      <c r="EF197" s="67"/>
      <c r="EG197" s="67"/>
      <c r="EH197" s="67"/>
      <c r="EI197" s="67"/>
      <c r="EJ197" s="67"/>
      <c r="EK197" s="67"/>
      <c r="EL197" s="67"/>
      <c r="EM197" s="67"/>
      <c r="EN197" s="67"/>
      <c r="EO197" s="67"/>
      <c r="EP197" s="67"/>
      <c r="EQ197" s="67"/>
      <c r="ER197" s="67"/>
      <c r="ES197" s="67"/>
      <c r="ET197" s="67"/>
      <c r="EU197" s="67"/>
      <c r="EV197" s="67"/>
      <c r="EW197" s="67"/>
      <c r="EX197" s="67"/>
      <c r="EY197" s="67"/>
      <c r="EZ197" s="67"/>
      <c r="FA197" s="67"/>
      <c r="FB197" s="67"/>
      <c r="FC197" s="67"/>
      <c r="FD197" s="67"/>
      <c r="FE197" s="67"/>
      <c r="FF197" s="67"/>
      <c r="FG197" s="67"/>
      <c r="FH197" s="67"/>
      <c r="FI197" s="67"/>
      <c r="FJ197" s="67"/>
      <c r="FK197" s="67"/>
      <c r="FL197" s="67"/>
      <c r="FM197" s="67"/>
      <c r="FN197" s="67"/>
      <c r="FO197" s="67"/>
      <c r="FP197" s="67"/>
      <c r="FQ197" s="67"/>
      <c r="FR197" s="67"/>
      <c r="FS197" s="67"/>
      <c r="FT197" s="67"/>
      <c r="FU197" s="67"/>
      <c r="FV197" s="67"/>
      <c r="FW197" s="67"/>
      <c r="FX197" s="67"/>
      <c r="FY197" s="67"/>
      <c r="FZ197" s="67"/>
      <c r="GA197" s="67"/>
      <c r="GB197" s="67"/>
      <c r="GC197" s="67"/>
      <c r="GD197" s="67"/>
      <c r="GE197" s="67"/>
      <c r="GF197" s="67"/>
      <c r="GG197" s="67"/>
      <c r="GH197" s="67"/>
      <c r="GI197" s="67"/>
      <c r="GJ197" s="67"/>
      <c r="GK197" s="67"/>
      <c r="GL197" s="67"/>
      <c r="GM197" s="67"/>
      <c r="GN197" s="67"/>
      <c r="GO197" s="67"/>
      <c r="GP197" s="67"/>
      <c r="GQ197" s="67"/>
      <c r="GR197" s="67"/>
      <c r="GS197" s="67"/>
      <c r="GT197" s="67"/>
      <c r="GU197" s="67"/>
      <c r="GV197" s="67"/>
      <c r="GW197" s="67"/>
      <c r="GX197" s="67"/>
      <c r="GY197" s="67"/>
      <c r="GZ197" s="67"/>
      <c r="HA197" s="67"/>
      <c r="HB197" s="67"/>
      <c r="HC197" s="67"/>
      <c r="HD197" s="67"/>
      <c r="HE197" s="67"/>
      <c r="HF197" s="67"/>
      <c r="HG197" s="67"/>
      <c r="HH197" s="67"/>
      <c r="HI197" s="67"/>
      <c r="HJ197" s="67"/>
      <c r="HK197" s="67"/>
      <c r="HL197" s="67"/>
      <c r="HM197" s="67"/>
      <c r="HN197" s="67"/>
      <c r="HO197" s="67"/>
      <c r="HP197" s="67"/>
      <c r="HQ197" s="67"/>
      <c r="HR197" s="67"/>
      <c r="HS197" s="67"/>
      <c r="HT197" s="67"/>
      <c r="HU197" s="67"/>
      <c r="HV197" s="67"/>
      <c r="HW197" s="67"/>
      <c r="HX197" s="67"/>
      <c r="HY197" s="67"/>
      <c r="HZ197" s="67"/>
      <c r="IA197" s="67"/>
      <c r="IB197" s="67"/>
      <c r="IC197" s="67"/>
      <c r="ID197" s="67"/>
      <c r="IE197" s="67"/>
      <c r="IF197" s="67"/>
      <c r="IG197" s="67"/>
      <c r="IH197" s="67"/>
      <c r="II197" s="67"/>
      <c r="IJ197" s="67"/>
      <c r="IK197" s="67"/>
      <c r="IL197" s="67"/>
      <c r="IM197" s="67"/>
      <c r="IN197" s="67"/>
      <c r="IO197" s="67"/>
      <c r="IP197" s="67"/>
      <c r="IQ197" s="67"/>
      <c r="IR197" s="67"/>
      <c r="IS197" s="67"/>
      <c r="IT197" s="67"/>
      <c r="IU197" s="67"/>
      <c r="IV197" s="67"/>
      <c r="IW197" s="67"/>
      <c r="IX197" s="67"/>
      <c r="IY197" s="67"/>
      <c r="IZ197" s="67"/>
      <c r="JA197" s="67"/>
      <c r="JB197" s="67"/>
      <c r="JC197" s="67"/>
      <c r="JD197" s="67"/>
      <c r="JE197" s="67"/>
      <c r="JF197" s="67"/>
      <c r="JG197" s="67"/>
      <c r="JH197" s="67"/>
      <c r="JI197" s="67"/>
      <c r="JJ197" s="67"/>
      <c r="JK197" s="67"/>
      <c r="JL197" s="67"/>
      <c r="JM197" s="67"/>
      <c r="JN197" s="67"/>
      <c r="JO197" s="67"/>
      <c r="JP197" s="67"/>
      <c r="JQ197" s="67"/>
      <c r="JR197" s="67"/>
      <c r="JS197" s="67"/>
      <c r="JT197" s="67"/>
      <c r="JU197" s="67"/>
      <c r="JV197" s="67"/>
      <c r="JW197" s="67"/>
      <c r="JX197" s="67"/>
      <c r="JY197" s="67"/>
      <c r="JZ197" s="67"/>
      <c r="KA197" s="67"/>
      <c r="KB197" s="67"/>
      <c r="KC197" s="67"/>
      <c r="KD197" s="67"/>
      <c r="KE197" s="67"/>
      <c r="KF197" s="67"/>
      <c r="KG197" s="67"/>
      <c r="KH197" s="67"/>
      <c r="KI197" s="67"/>
      <c r="KJ197" s="67"/>
      <c r="KK197" s="67"/>
      <c r="KL197" s="67"/>
      <c r="KM197" s="67"/>
      <c r="KN197" s="67"/>
      <c r="KO197" s="67"/>
      <c r="KP197" s="67"/>
      <c r="KQ197" s="67"/>
      <c r="KR197" s="67"/>
      <c r="KS197" s="67"/>
      <c r="KT197" s="67"/>
      <c r="KU197" s="67"/>
      <c r="KV197" s="67"/>
      <c r="KW197" s="67"/>
      <c r="KX197" s="67"/>
      <c r="KY197" s="67"/>
      <c r="KZ197" s="67"/>
      <c r="LA197" s="67"/>
      <c r="LB197" s="67"/>
      <c r="LC197" s="67"/>
      <c r="LD197" s="67"/>
      <c r="LE197" s="67"/>
      <c r="LF197" s="67"/>
      <c r="LG197" s="67"/>
      <c r="LH197" s="67"/>
      <c r="LI197" s="67"/>
      <c r="LJ197" s="67"/>
      <c r="LK197" s="67"/>
      <c r="LL197" s="67"/>
      <c r="LM197" s="67"/>
      <c r="LN197" s="67"/>
      <c r="LO197" s="67"/>
      <c r="LP197" s="67"/>
      <c r="LQ197" s="67"/>
      <c r="LR197" s="67"/>
      <c r="LS197" s="67"/>
      <c r="LT197" s="67"/>
      <c r="LU197" s="67"/>
      <c r="LV197" s="67"/>
      <c r="LW197" s="67"/>
      <c r="LX197" s="67"/>
      <c r="LY197" s="67"/>
      <c r="LZ197" s="67"/>
      <c r="MA197" s="67"/>
      <c r="MB197" s="67"/>
    </row>
    <row r="198" spans="1:340" s="50" customFormat="1" ht="15.75" hidden="1" customHeight="1" thickBot="1">
      <c r="A198" s="65">
        <v>3</v>
      </c>
      <c r="B198" s="88" t="s">
        <v>176</v>
      </c>
      <c r="C198" s="85" t="s">
        <v>152</v>
      </c>
      <c r="D198" s="86" t="s">
        <v>45</v>
      </c>
      <c r="E198" s="130" t="s">
        <v>46</v>
      </c>
      <c r="F198" s="87" t="s">
        <v>24</v>
      </c>
      <c r="G198" s="139"/>
      <c r="H198" s="68" t="s">
        <v>26</v>
      </c>
      <c r="I198" s="68"/>
      <c r="J198" s="68"/>
      <c r="K198" s="68"/>
      <c r="L198" s="68"/>
      <c r="M198" s="68" t="s">
        <v>27</v>
      </c>
      <c r="N198" s="68" t="s">
        <v>26</v>
      </c>
      <c r="O198" s="68"/>
      <c r="P198" s="68"/>
      <c r="Q198" s="68" t="s">
        <v>27</v>
      </c>
      <c r="R198" s="68" t="s">
        <v>26</v>
      </c>
      <c r="S198" s="68"/>
      <c r="T198" s="68"/>
      <c r="U198" s="68"/>
      <c r="V198" s="68"/>
      <c r="W198" s="68"/>
      <c r="X198" s="68" t="s">
        <v>28</v>
      </c>
      <c r="Y198" s="68"/>
      <c r="Z198" s="68"/>
      <c r="AA198" s="68"/>
      <c r="AB198" s="68" t="s">
        <v>27</v>
      </c>
      <c r="AC198" s="68"/>
      <c r="AD198" s="68" t="s">
        <v>26</v>
      </c>
      <c r="AE198" s="68"/>
      <c r="AF198" s="153"/>
      <c r="AG198" s="68" t="s">
        <v>41</v>
      </c>
      <c r="AH198" s="68"/>
      <c r="AI198" s="68"/>
      <c r="AJ198" s="68"/>
      <c r="AK198" s="68"/>
      <c r="AL198" s="68"/>
      <c r="AM198" s="153"/>
      <c r="AN198" s="68" t="s">
        <v>26</v>
      </c>
      <c r="AO198" s="68"/>
      <c r="AP198" s="68"/>
      <c r="AQ198" s="153"/>
      <c r="AR198" s="68" t="s">
        <v>27</v>
      </c>
      <c r="AS198" s="68" t="s">
        <v>26</v>
      </c>
      <c r="AT198" s="68"/>
      <c r="AU198" s="68"/>
      <c r="AV198" s="68"/>
      <c r="AW198" s="68"/>
      <c r="AX198" s="68"/>
      <c r="AY198" s="68"/>
      <c r="AZ198" s="68"/>
      <c r="BA198" s="68"/>
      <c r="BB198" s="68" t="s">
        <v>27</v>
      </c>
      <c r="BC198" s="68"/>
      <c r="BD198" s="68" t="s">
        <v>26</v>
      </c>
      <c r="BE198" s="68"/>
      <c r="BF198" s="68"/>
      <c r="BG198" s="68"/>
      <c r="BH198" s="68" t="s">
        <v>41</v>
      </c>
      <c r="BI198" s="68"/>
      <c r="BJ198" s="68"/>
      <c r="BK198" s="68"/>
      <c r="BL198" s="153"/>
      <c r="BM198" s="68" t="s">
        <v>57</v>
      </c>
      <c r="BN198" s="68"/>
      <c r="BO198" s="68"/>
      <c r="BP198" s="68"/>
      <c r="BQ198" s="68"/>
      <c r="BR198" s="68"/>
      <c r="BS198" s="68" t="s">
        <v>27</v>
      </c>
      <c r="BT198" s="68"/>
      <c r="BU198" s="68"/>
      <c r="BV198" s="68"/>
      <c r="BW198" s="68"/>
      <c r="BX198" s="68"/>
      <c r="BY198" s="68" t="s">
        <v>27</v>
      </c>
      <c r="BZ198" s="68" t="s">
        <v>37</v>
      </c>
      <c r="CA198" s="67"/>
      <c r="CB198" s="67"/>
      <c r="CC198" s="67"/>
      <c r="CD198" s="67"/>
      <c r="CE198" s="67"/>
      <c r="CF198" s="67"/>
      <c r="CG198" s="67"/>
      <c r="CH198" s="67"/>
      <c r="CI198" s="67"/>
      <c r="CJ198" s="67"/>
      <c r="CK198" s="67"/>
      <c r="CL198" s="67"/>
      <c r="CM198" s="67"/>
      <c r="CN198" s="67"/>
      <c r="CO198" s="67"/>
      <c r="CP198" s="67"/>
      <c r="CQ198" s="67"/>
      <c r="CR198" s="67"/>
      <c r="CS198" s="67"/>
      <c r="CT198" s="67"/>
      <c r="CU198" s="67"/>
      <c r="CV198" s="67"/>
      <c r="CW198" s="67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/>
      <c r="DS198" s="67"/>
      <c r="DT198" s="67"/>
      <c r="DU198" s="67"/>
      <c r="DV198" s="67"/>
      <c r="DW198" s="67"/>
      <c r="DX198" s="67"/>
      <c r="DY198" s="67"/>
      <c r="DZ198" s="67"/>
      <c r="EA198" s="67"/>
      <c r="EB198" s="67"/>
      <c r="EC198" s="67"/>
      <c r="ED198" s="67"/>
      <c r="EE198" s="67"/>
      <c r="EF198" s="67"/>
      <c r="EG198" s="67"/>
      <c r="EH198" s="67"/>
      <c r="EI198" s="67"/>
      <c r="EJ198" s="67"/>
      <c r="EK198" s="67"/>
      <c r="EL198" s="67"/>
      <c r="EM198" s="67"/>
      <c r="EN198" s="67"/>
      <c r="EO198" s="67"/>
      <c r="EP198" s="67"/>
      <c r="EQ198" s="67"/>
      <c r="ER198" s="67"/>
      <c r="ES198" s="67"/>
      <c r="ET198" s="67"/>
      <c r="EU198" s="67"/>
      <c r="EV198" s="67"/>
      <c r="EW198" s="67"/>
      <c r="EX198" s="67"/>
      <c r="EY198" s="67"/>
      <c r="EZ198" s="67"/>
      <c r="FA198" s="67"/>
      <c r="FB198" s="67"/>
      <c r="FC198" s="67"/>
      <c r="FD198" s="67"/>
      <c r="FE198" s="67"/>
      <c r="FF198" s="67"/>
      <c r="FG198" s="67"/>
      <c r="FH198" s="67"/>
      <c r="FI198" s="67"/>
      <c r="FJ198" s="67"/>
      <c r="FK198" s="67"/>
      <c r="FL198" s="67"/>
      <c r="FM198" s="67"/>
      <c r="FN198" s="67"/>
      <c r="FO198" s="67"/>
      <c r="FP198" s="67"/>
      <c r="FQ198" s="67"/>
      <c r="FR198" s="67"/>
      <c r="FS198" s="67"/>
      <c r="FT198" s="67"/>
      <c r="FU198" s="67"/>
      <c r="FV198" s="67"/>
      <c r="FW198" s="67"/>
      <c r="FX198" s="67"/>
      <c r="FY198" s="67"/>
      <c r="FZ198" s="67"/>
      <c r="GA198" s="67"/>
      <c r="GB198" s="67"/>
      <c r="GC198" s="67"/>
      <c r="GD198" s="67"/>
      <c r="GE198" s="67"/>
      <c r="GF198" s="67"/>
      <c r="GG198" s="67"/>
      <c r="GH198" s="67"/>
      <c r="GI198" s="67"/>
      <c r="GJ198" s="67"/>
      <c r="GK198" s="67"/>
      <c r="GL198" s="67"/>
      <c r="GM198" s="67"/>
      <c r="GN198" s="67"/>
      <c r="GO198" s="67"/>
      <c r="GP198" s="67"/>
      <c r="GQ198" s="67"/>
      <c r="GR198" s="67"/>
      <c r="GS198" s="67"/>
      <c r="GT198" s="67"/>
      <c r="GU198" s="67"/>
      <c r="GV198" s="67"/>
      <c r="GW198" s="67"/>
      <c r="GX198" s="67"/>
      <c r="GY198" s="67"/>
      <c r="GZ198" s="67"/>
      <c r="HA198" s="67"/>
      <c r="HB198" s="67"/>
      <c r="HC198" s="67"/>
      <c r="HD198" s="67"/>
      <c r="HE198" s="67"/>
      <c r="HF198" s="67"/>
      <c r="HG198" s="67"/>
      <c r="HH198" s="67"/>
      <c r="HI198" s="67"/>
      <c r="HJ198" s="67"/>
      <c r="HK198" s="67"/>
      <c r="HL198" s="67"/>
      <c r="HM198" s="67"/>
      <c r="HN198" s="67"/>
      <c r="HO198" s="67"/>
      <c r="HP198" s="67"/>
      <c r="HQ198" s="67"/>
      <c r="HR198" s="67"/>
      <c r="HS198" s="67"/>
      <c r="HT198" s="67"/>
      <c r="HU198" s="67"/>
      <c r="HV198" s="67"/>
      <c r="HW198" s="67"/>
      <c r="HX198" s="67"/>
      <c r="HY198" s="67"/>
      <c r="HZ198" s="67"/>
      <c r="IA198" s="67"/>
      <c r="IB198" s="67"/>
      <c r="IC198" s="67"/>
      <c r="ID198" s="67"/>
      <c r="IE198" s="67"/>
      <c r="IF198" s="67"/>
      <c r="IG198" s="67"/>
      <c r="IH198" s="67"/>
      <c r="II198" s="67"/>
      <c r="IJ198" s="67"/>
      <c r="IK198" s="67"/>
      <c r="IL198" s="67"/>
      <c r="IM198" s="67"/>
      <c r="IN198" s="67"/>
      <c r="IO198" s="67"/>
      <c r="IP198" s="67"/>
      <c r="IQ198" s="67"/>
      <c r="IR198" s="67"/>
      <c r="IS198" s="67"/>
      <c r="IT198" s="67"/>
      <c r="IU198" s="67"/>
      <c r="IV198" s="67"/>
      <c r="IW198" s="67"/>
      <c r="IX198" s="67"/>
      <c r="IY198" s="67"/>
      <c r="IZ198" s="67"/>
      <c r="JA198" s="67"/>
      <c r="JB198" s="67"/>
      <c r="JC198" s="67"/>
      <c r="JD198" s="67"/>
      <c r="JE198" s="67"/>
      <c r="JF198" s="67"/>
      <c r="JG198" s="67"/>
      <c r="JH198" s="67"/>
      <c r="JI198" s="67"/>
      <c r="JJ198" s="67"/>
      <c r="JK198" s="67"/>
      <c r="JL198" s="67"/>
      <c r="JM198" s="67"/>
      <c r="JN198" s="67"/>
      <c r="JO198" s="67"/>
      <c r="JP198" s="67"/>
      <c r="JQ198" s="67"/>
      <c r="JR198" s="67"/>
      <c r="JS198" s="67"/>
      <c r="JT198" s="67"/>
      <c r="JU198" s="67"/>
      <c r="JV198" s="67"/>
      <c r="JW198" s="67"/>
      <c r="JX198" s="67"/>
      <c r="JY198" s="67"/>
      <c r="JZ198" s="67"/>
      <c r="KA198" s="67"/>
      <c r="KB198" s="67"/>
      <c r="KC198" s="67"/>
      <c r="KD198" s="67"/>
      <c r="KE198" s="67"/>
      <c r="KF198" s="67"/>
      <c r="KG198" s="67"/>
      <c r="KH198" s="67"/>
      <c r="KI198" s="67"/>
      <c r="KJ198" s="67"/>
      <c r="KK198" s="67"/>
      <c r="KL198" s="67"/>
      <c r="KM198" s="67"/>
      <c r="KN198" s="67"/>
      <c r="KO198" s="67"/>
      <c r="KP198" s="67"/>
      <c r="KQ198" s="67"/>
      <c r="KR198" s="67"/>
      <c r="KS198" s="67"/>
      <c r="KT198" s="67"/>
      <c r="KU198" s="67"/>
      <c r="KV198" s="67"/>
      <c r="KW198" s="67"/>
      <c r="KX198" s="67"/>
      <c r="KY198" s="67"/>
      <c r="KZ198" s="67"/>
      <c r="LA198" s="67"/>
      <c r="LB198" s="67"/>
      <c r="LC198" s="67"/>
      <c r="LD198" s="67"/>
      <c r="LE198" s="67"/>
      <c r="LF198" s="67"/>
      <c r="LG198" s="67"/>
      <c r="LH198" s="67"/>
      <c r="LI198" s="67"/>
      <c r="LJ198" s="67"/>
      <c r="LK198" s="67"/>
      <c r="LL198" s="67"/>
      <c r="LM198" s="67"/>
      <c r="LN198" s="67"/>
      <c r="LO198" s="67"/>
      <c r="LP198" s="67"/>
      <c r="LQ198" s="67"/>
      <c r="LR198" s="67"/>
      <c r="LS198" s="67"/>
      <c r="LT198" s="67"/>
      <c r="LU198" s="67"/>
      <c r="LV198" s="67"/>
      <c r="LW198" s="67"/>
      <c r="LX198" s="67"/>
      <c r="LY198" s="67"/>
      <c r="LZ198" s="67"/>
      <c r="MA198" s="67"/>
      <c r="MB198" s="67"/>
    </row>
    <row r="199" spans="1:340" s="50" customFormat="1" ht="15.75" hidden="1" customHeight="1" thickBot="1">
      <c r="A199" s="65">
        <v>3</v>
      </c>
      <c r="B199" s="88" t="s">
        <v>304</v>
      </c>
      <c r="C199" s="85" t="s">
        <v>306</v>
      </c>
      <c r="D199" s="86" t="s">
        <v>45</v>
      </c>
      <c r="E199" s="130" t="s">
        <v>62</v>
      </c>
      <c r="F199" s="87" t="s">
        <v>24</v>
      </c>
      <c r="G199" s="139"/>
      <c r="H199" s="68" t="s">
        <v>25</v>
      </c>
      <c r="I199" s="68" t="s">
        <v>26</v>
      </c>
      <c r="J199" s="68"/>
      <c r="K199" s="68" t="s">
        <v>41</v>
      </c>
      <c r="L199" s="68"/>
      <c r="M199" s="68"/>
      <c r="N199" s="68"/>
      <c r="O199" s="68"/>
      <c r="P199" s="68"/>
      <c r="Q199" s="153"/>
      <c r="R199" s="68" t="s">
        <v>26</v>
      </c>
      <c r="S199" s="68"/>
      <c r="T199" s="68" t="s">
        <v>41</v>
      </c>
      <c r="U199" s="68"/>
      <c r="V199" s="68"/>
      <c r="W199" s="68"/>
      <c r="X199" s="68"/>
      <c r="Y199" s="68"/>
      <c r="Z199" s="68"/>
      <c r="AA199" s="68"/>
      <c r="AB199" s="68"/>
      <c r="AC199" s="68" t="s">
        <v>26</v>
      </c>
      <c r="AD199" s="68"/>
      <c r="AE199" s="68" t="s">
        <v>41</v>
      </c>
      <c r="AF199" s="68"/>
      <c r="AG199" s="68"/>
      <c r="AH199" s="68"/>
      <c r="AI199" s="68"/>
      <c r="AJ199" s="68"/>
      <c r="AK199" s="68"/>
      <c r="AL199" s="68"/>
      <c r="AM199" s="68"/>
      <c r="AN199" s="68"/>
      <c r="AO199" s="68" t="s">
        <v>26</v>
      </c>
      <c r="AP199" s="68"/>
      <c r="AQ199" s="153"/>
      <c r="AR199" s="68" t="s">
        <v>41</v>
      </c>
      <c r="AS199" s="68"/>
      <c r="AT199" s="68"/>
      <c r="AU199" s="68"/>
      <c r="AV199" s="68"/>
      <c r="AW199" s="68"/>
      <c r="AX199" s="68" t="s">
        <v>26</v>
      </c>
      <c r="AY199" s="68"/>
      <c r="AZ199" s="153"/>
      <c r="BA199" s="68" t="s">
        <v>41</v>
      </c>
      <c r="BB199" s="68"/>
      <c r="BC199" s="68"/>
      <c r="BD199" s="68"/>
      <c r="BE199" s="68"/>
      <c r="BF199" s="68"/>
      <c r="BG199" s="68"/>
      <c r="BH199" s="68" t="s">
        <v>26</v>
      </c>
      <c r="BI199" s="68"/>
      <c r="BJ199" s="159"/>
      <c r="BK199" s="68" t="s">
        <v>41</v>
      </c>
      <c r="BL199" s="68"/>
      <c r="BM199" s="68"/>
      <c r="BN199" s="68" t="s">
        <v>57</v>
      </c>
      <c r="BO199" s="68" t="s">
        <v>26</v>
      </c>
      <c r="BP199" s="68"/>
      <c r="BQ199" s="68"/>
      <c r="BR199" s="68" t="s">
        <v>41</v>
      </c>
      <c r="BS199" s="68"/>
      <c r="BT199" s="68"/>
      <c r="BU199" s="68"/>
      <c r="BV199" s="68" t="s">
        <v>26</v>
      </c>
      <c r="BW199" s="68"/>
      <c r="BX199" s="68"/>
      <c r="BY199" s="68" t="s">
        <v>41</v>
      </c>
      <c r="BZ199" s="68" t="s">
        <v>37</v>
      </c>
      <c r="CA199" s="67"/>
      <c r="CB199" s="67"/>
      <c r="CC199" s="67"/>
      <c r="CD199" s="67"/>
      <c r="CE199" s="67"/>
      <c r="CF199" s="67"/>
      <c r="CG199" s="67"/>
      <c r="CH199" s="67"/>
      <c r="CI199" s="67"/>
      <c r="CJ199" s="67"/>
      <c r="CK199" s="67"/>
      <c r="CL199" s="67"/>
      <c r="CM199" s="67"/>
      <c r="CN199" s="67"/>
      <c r="CO199" s="67"/>
      <c r="CP199" s="67"/>
      <c r="CQ199" s="67"/>
      <c r="CR199" s="67"/>
      <c r="CS199" s="67"/>
      <c r="CT199" s="67"/>
      <c r="CU199" s="67"/>
      <c r="CV199" s="67"/>
      <c r="CW199" s="67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/>
      <c r="DS199" s="67"/>
      <c r="DT199" s="67"/>
      <c r="DU199" s="67"/>
      <c r="DV199" s="67"/>
      <c r="DW199" s="67"/>
      <c r="DX199" s="67"/>
      <c r="DY199" s="67"/>
      <c r="DZ199" s="67"/>
      <c r="EA199" s="67"/>
      <c r="EB199" s="67"/>
      <c r="EC199" s="67"/>
      <c r="ED199" s="67"/>
      <c r="EE199" s="67"/>
      <c r="EF199" s="67"/>
      <c r="EG199" s="67"/>
      <c r="EH199" s="67"/>
      <c r="EI199" s="67"/>
      <c r="EJ199" s="67"/>
      <c r="EK199" s="67"/>
      <c r="EL199" s="67"/>
      <c r="EM199" s="67"/>
      <c r="EN199" s="67"/>
      <c r="EO199" s="67"/>
      <c r="EP199" s="67"/>
      <c r="EQ199" s="67"/>
      <c r="ER199" s="67"/>
      <c r="ES199" s="67"/>
      <c r="ET199" s="67"/>
      <c r="EU199" s="67"/>
      <c r="EV199" s="67"/>
      <c r="EW199" s="67"/>
      <c r="EX199" s="67"/>
      <c r="EY199" s="67"/>
      <c r="EZ199" s="67"/>
      <c r="FA199" s="67"/>
      <c r="FB199" s="67"/>
      <c r="FC199" s="67"/>
      <c r="FD199" s="67"/>
      <c r="FE199" s="67"/>
      <c r="FF199" s="67"/>
      <c r="FG199" s="67"/>
      <c r="FH199" s="67"/>
      <c r="FI199" s="67"/>
      <c r="FJ199" s="67"/>
      <c r="FK199" s="67"/>
      <c r="FL199" s="67"/>
      <c r="FM199" s="67"/>
      <c r="FN199" s="67"/>
      <c r="FO199" s="67"/>
      <c r="FP199" s="67"/>
      <c r="FQ199" s="67"/>
      <c r="FR199" s="67"/>
      <c r="FS199" s="67"/>
      <c r="FT199" s="67"/>
      <c r="FU199" s="67"/>
      <c r="FV199" s="67"/>
      <c r="FW199" s="67"/>
      <c r="FX199" s="67"/>
      <c r="FY199" s="67"/>
      <c r="FZ199" s="67"/>
      <c r="GA199" s="67"/>
      <c r="GB199" s="67"/>
      <c r="GC199" s="67"/>
      <c r="GD199" s="67"/>
      <c r="GE199" s="67"/>
      <c r="GF199" s="67"/>
      <c r="GG199" s="67"/>
      <c r="GH199" s="67"/>
      <c r="GI199" s="67"/>
      <c r="GJ199" s="67"/>
      <c r="GK199" s="67"/>
      <c r="GL199" s="67"/>
      <c r="GM199" s="67"/>
      <c r="GN199" s="67"/>
      <c r="GO199" s="67"/>
      <c r="GP199" s="67"/>
      <c r="GQ199" s="67"/>
      <c r="GR199" s="67"/>
      <c r="GS199" s="67"/>
      <c r="GT199" s="67"/>
      <c r="GU199" s="67"/>
      <c r="GV199" s="67"/>
      <c r="GW199" s="67"/>
      <c r="GX199" s="67"/>
      <c r="GY199" s="67"/>
      <c r="GZ199" s="67"/>
      <c r="HA199" s="67"/>
      <c r="HB199" s="67"/>
      <c r="HC199" s="67"/>
      <c r="HD199" s="67"/>
      <c r="HE199" s="67"/>
      <c r="HF199" s="67"/>
      <c r="HG199" s="67"/>
      <c r="HH199" s="67"/>
      <c r="HI199" s="67"/>
      <c r="HJ199" s="67"/>
      <c r="HK199" s="67"/>
      <c r="HL199" s="67"/>
      <c r="HM199" s="67"/>
      <c r="HN199" s="67"/>
      <c r="HO199" s="67"/>
      <c r="HP199" s="67"/>
      <c r="HQ199" s="67"/>
      <c r="HR199" s="67"/>
      <c r="HS199" s="67"/>
      <c r="HT199" s="67"/>
      <c r="HU199" s="67"/>
      <c r="HV199" s="67"/>
      <c r="HW199" s="67"/>
      <c r="HX199" s="67"/>
      <c r="HY199" s="67"/>
      <c r="HZ199" s="67"/>
      <c r="IA199" s="67"/>
      <c r="IB199" s="67"/>
      <c r="IC199" s="67"/>
      <c r="ID199" s="67"/>
      <c r="IE199" s="67"/>
      <c r="IF199" s="67"/>
      <c r="IG199" s="67"/>
      <c r="IH199" s="67"/>
      <c r="II199" s="67"/>
      <c r="IJ199" s="67"/>
      <c r="IK199" s="67"/>
      <c r="IL199" s="67"/>
      <c r="IM199" s="67"/>
      <c r="IN199" s="67"/>
      <c r="IO199" s="67"/>
      <c r="IP199" s="67"/>
      <c r="IQ199" s="67"/>
      <c r="IR199" s="67"/>
      <c r="IS199" s="67"/>
      <c r="IT199" s="67"/>
      <c r="IU199" s="67"/>
      <c r="IV199" s="67"/>
      <c r="IW199" s="67"/>
      <c r="IX199" s="67"/>
      <c r="IY199" s="67"/>
      <c r="IZ199" s="67"/>
      <c r="JA199" s="67"/>
      <c r="JB199" s="67"/>
      <c r="JC199" s="67"/>
      <c r="JD199" s="67"/>
      <c r="JE199" s="67"/>
      <c r="JF199" s="67"/>
      <c r="JG199" s="67"/>
      <c r="JH199" s="67"/>
      <c r="JI199" s="67"/>
      <c r="JJ199" s="67"/>
      <c r="JK199" s="67"/>
      <c r="JL199" s="67"/>
      <c r="JM199" s="67"/>
      <c r="JN199" s="67"/>
      <c r="JO199" s="67"/>
      <c r="JP199" s="67"/>
      <c r="JQ199" s="67"/>
      <c r="JR199" s="67"/>
      <c r="JS199" s="67"/>
      <c r="JT199" s="67"/>
      <c r="JU199" s="67"/>
      <c r="JV199" s="67"/>
      <c r="JW199" s="67"/>
      <c r="JX199" s="67"/>
      <c r="JY199" s="67"/>
      <c r="JZ199" s="67"/>
      <c r="KA199" s="67"/>
      <c r="KB199" s="67"/>
      <c r="KC199" s="67"/>
      <c r="KD199" s="67"/>
      <c r="KE199" s="67"/>
      <c r="KF199" s="67"/>
      <c r="KG199" s="67"/>
      <c r="KH199" s="67"/>
      <c r="KI199" s="67"/>
      <c r="KJ199" s="67"/>
      <c r="KK199" s="67"/>
      <c r="KL199" s="67"/>
      <c r="KM199" s="67"/>
      <c r="KN199" s="67"/>
      <c r="KO199" s="67"/>
      <c r="KP199" s="67"/>
      <c r="KQ199" s="67"/>
      <c r="KR199" s="67"/>
      <c r="KS199" s="67"/>
      <c r="KT199" s="67"/>
      <c r="KU199" s="67"/>
      <c r="KV199" s="67"/>
      <c r="KW199" s="67"/>
      <c r="KX199" s="67"/>
      <c r="KY199" s="67"/>
      <c r="KZ199" s="67"/>
      <c r="LA199" s="67"/>
      <c r="LB199" s="67"/>
      <c r="LC199" s="67"/>
      <c r="LD199" s="67"/>
      <c r="LE199" s="67"/>
      <c r="LF199" s="67"/>
      <c r="LG199" s="67"/>
      <c r="LH199" s="67"/>
      <c r="LI199" s="67"/>
      <c r="LJ199" s="67"/>
      <c r="LK199" s="67"/>
      <c r="LL199" s="67"/>
      <c r="LM199" s="67"/>
      <c r="LN199" s="67"/>
      <c r="LO199" s="67"/>
      <c r="LP199" s="67"/>
      <c r="LQ199" s="67"/>
      <c r="LR199" s="67"/>
      <c r="LS199" s="67"/>
      <c r="LT199" s="67"/>
      <c r="LU199" s="67"/>
      <c r="LV199" s="67"/>
      <c r="LW199" s="67"/>
      <c r="LX199" s="67"/>
      <c r="LY199" s="67"/>
      <c r="LZ199" s="67"/>
      <c r="MA199" s="67"/>
      <c r="MB199" s="67"/>
    </row>
    <row r="200" spans="1:340" s="50" customFormat="1" ht="15.75" hidden="1" customHeight="1" thickBot="1">
      <c r="A200" s="65">
        <v>3</v>
      </c>
      <c r="B200" s="88" t="s">
        <v>307</v>
      </c>
      <c r="C200" s="85" t="s">
        <v>308</v>
      </c>
      <c r="D200" s="86" t="s">
        <v>45</v>
      </c>
      <c r="E200" s="130" t="s">
        <v>46</v>
      </c>
      <c r="F200" s="87" t="s">
        <v>24</v>
      </c>
      <c r="G200" s="162"/>
      <c r="H200" s="163"/>
      <c r="I200" s="163"/>
      <c r="J200" s="153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153"/>
      <c r="AD200" s="68"/>
      <c r="AE200" s="68"/>
      <c r="AF200" s="68"/>
      <c r="AG200" s="68"/>
      <c r="AH200" s="68"/>
      <c r="AI200" s="68"/>
      <c r="AJ200" s="153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153"/>
      <c r="BB200" s="68"/>
      <c r="BC200" s="68"/>
      <c r="BD200" s="68"/>
      <c r="BE200" s="68"/>
      <c r="BF200" s="68"/>
      <c r="BG200" s="153"/>
      <c r="BH200" s="68"/>
      <c r="BI200" s="68"/>
      <c r="BJ200" s="153"/>
      <c r="BK200" s="68"/>
      <c r="BL200" s="68"/>
      <c r="BM200" s="68"/>
      <c r="BN200" s="68"/>
      <c r="BO200" s="68"/>
      <c r="BP200" s="68"/>
      <c r="BQ200" s="68"/>
      <c r="BR200" s="68"/>
      <c r="BS200" s="68"/>
      <c r="BT200" s="153"/>
      <c r="BU200" s="68" t="s">
        <v>25</v>
      </c>
      <c r="BV200" s="68" t="s">
        <v>27</v>
      </c>
      <c r="BW200" s="68"/>
      <c r="BX200" s="68"/>
      <c r="BY200" s="68"/>
      <c r="BZ200" s="68" t="s">
        <v>27</v>
      </c>
      <c r="CA200" s="68" t="s">
        <v>37</v>
      </c>
      <c r="CB200" s="67"/>
      <c r="CC200" s="67"/>
      <c r="CD200" s="67"/>
      <c r="CE200" s="67"/>
      <c r="CF200" s="67"/>
      <c r="CG200" s="67"/>
      <c r="CH200" s="67"/>
      <c r="CI200" s="67"/>
      <c r="CJ200" s="67"/>
      <c r="CK200" s="67"/>
      <c r="CL200" s="67"/>
      <c r="CM200" s="67"/>
      <c r="CN200" s="67"/>
      <c r="CO200" s="67"/>
      <c r="CP200" s="67"/>
      <c r="CQ200" s="67"/>
      <c r="CR200" s="67"/>
      <c r="CS200" s="67"/>
      <c r="CT200" s="67"/>
      <c r="CU200" s="67"/>
      <c r="CV200" s="67"/>
      <c r="CW200" s="67"/>
      <c r="CX200" s="67"/>
      <c r="CY200" s="67"/>
      <c r="CZ200" s="67"/>
      <c r="DA200" s="67"/>
      <c r="DB200" s="67"/>
      <c r="DC200" s="67"/>
      <c r="DD200" s="67"/>
      <c r="DE200" s="67"/>
      <c r="DF200" s="67"/>
      <c r="DG200" s="67"/>
      <c r="DH200" s="67"/>
      <c r="DI200" s="67"/>
      <c r="DJ200" s="67"/>
      <c r="DK200" s="67"/>
      <c r="DL200" s="67"/>
      <c r="DM200" s="67"/>
      <c r="DN200" s="67"/>
      <c r="DO200" s="67"/>
      <c r="DP200" s="67"/>
      <c r="DQ200" s="67"/>
      <c r="DR200" s="67"/>
      <c r="DS200" s="67"/>
      <c r="DT200" s="67"/>
      <c r="DU200" s="67"/>
      <c r="DV200" s="67"/>
      <c r="DW200" s="67"/>
      <c r="DX200" s="67"/>
      <c r="DY200" s="67"/>
      <c r="DZ200" s="67"/>
      <c r="EA200" s="67"/>
      <c r="EB200" s="67"/>
      <c r="EC200" s="67"/>
      <c r="ED200" s="67"/>
      <c r="EE200" s="67"/>
      <c r="EF200" s="67"/>
      <c r="EG200" s="67"/>
      <c r="EH200" s="67"/>
      <c r="EI200" s="67"/>
      <c r="EJ200" s="67"/>
      <c r="EK200" s="67"/>
      <c r="EL200" s="67"/>
      <c r="EM200" s="67"/>
      <c r="EN200" s="67"/>
      <c r="EO200" s="67"/>
      <c r="EP200" s="67"/>
      <c r="EQ200" s="67"/>
      <c r="ER200" s="67"/>
      <c r="ES200" s="67"/>
      <c r="ET200" s="67"/>
      <c r="EU200" s="67"/>
      <c r="EV200" s="67"/>
      <c r="EW200" s="67"/>
      <c r="EX200" s="67"/>
      <c r="EY200" s="67"/>
      <c r="EZ200" s="67"/>
      <c r="FA200" s="67"/>
      <c r="FB200" s="67"/>
      <c r="FC200" s="67"/>
      <c r="FD200" s="67"/>
      <c r="FE200" s="67"/>
      <c r="FF200" s="67"/>
      <c r="FG200" s="67"/>
      <c r="FH200" s="67"/>
      <c r="FI200" s="67"/>
      <c r="FJ200" s="67"/>
      <c r="FK200" s="67"/>
      <c r="FL200" s="67"/>
      <c r="FM200" s="67"/>
      <c r="FN200" s="67"/>
      <c r="FO200" s="67"/>
      <c r="FP200" s="67"/>
      <c r="FQ200" s="67"/>
      <c r="FR200" s="67"/>
      <c r="FS200" s="67"/>
      <c r="FT200" s="67"/>
      <c r="FU200" s="67"/>
      <c r="FV200" s="67"/>
      <c r="FW200" s="67"/>
      <c r="FX200" s="67"/>
      <c r="FY200" s="67"/>
      <c r="FZ200" s="67"/>
      <c r="GA200" s="67"/>
      <c r="GB200" s="67"/>
      <c r="GC200" s="67"/>
      <c r="GD200" s="67"/>
      <c r="GE200" s="67"/>
      <c r="GF200" s="67"/>
      <c r="GG200" s="67"/>
      <c r="GH200" s="67"/>
      <c r="GI200" s="67"/>
      <c r="GJ200" s="67"/>
      <c r="GK200" s="67"/>
      <c r="GL200" s="67"/>
      <c r="GM200" s="67"/>
      <c r="GN200" s="67"/>
      <c r="GO200" s="67"/>
      <c r="GP200" s="67"/>
      <c r="GQ200" s="67"/>
      <c r="GR200" s="67"/>
      <c r="GS200" s="67"/>
      <c r="GT200" s="67"/>
      <c r="GU200" s="67"/>
      <c r="GV200" s="67"/>
      <c r="GW200" s="67"/>
      <c r="GX200" s="67"/>
      <c r="GY200" s="67"/>
      <c r="GZ200" s="67"/>
      <c r="HA200" s="67"/>
      <c r="HB200" s="67"/>
      <c r="HC200" s="67"/>
      <c r="HD200" s="67"/>
      <c r="HE200" s="67"/>
      <c r="HF200" s="67"/>
      <c r="HG200" s="67"/>
      <c r="HH200" s="67"/>
      <c r="HI200" s="67"/>
      <c r="HJ200" s="67"/>
      <c r="HK200" s="67"/>
      <c r="HL200" s="67"/>
      <c r="HM200" s="67"/>
      <c r="HN200" s="67"/>
      <c r="HO200" s="67"/>
      <c r="HP200" s="67"/>
      <c r="HQ200" s="67"/>
      <c r="HR200" s="67"/>
      <c r="HS200" s="67"/>
      <c r="HT200" s="67"/>
      <c r="HU200" s="67"/>
      <c r="HV200" s="67"/>
      <c r="HW200" s="67"/>
      <c r="HX200" s="67"/>
      <c r="HY200" s="67"/>
      <c r="HZ200" s="67"/>
      <c r="IA200" s="67"/>
      <c r="IB200" s="67"/>
      <c r="IC200" s="67"/>
      <c r="ID200" s="67"/>
      <c r="IE200" s="67"/>
      <c r="IF200" s="67"/>
      <c r="IG200" s="67"/>
      <c r="IH200" s="67"/>
      <c r="II200" s="67"/>
      <c r="IJ200" s="67"/>
      <c r="IK200" s="67"/>
      <c r="IL200" s="67"/>
      <c r="IM200" s="67"/>
      <c r="IN200" s="67"/>
      <c r="IO200" s="67"/>
      <c r="IP200" s="67"/>
      <c r="IQ200" s="67"/>
      <c r="IR200" s="67"/>
      <c r="IS200" s="67"/>
      <c r="IT200" s="67"/>
      <c r="IU200" s="67"/>
      <c r="IV200" s="67"/>
      <c r="IW200" s="67"/>
      <c r="IX200" s="67"/>
      <c r="IY200" s="67"/>
      <c r="IZ200" s="67"/>
      <c r="JA200" s="67"/>
      <c r="JB200" s="67"/>
      <c r="JC200" s="67"/>
      <c r="JD200" s="67"/>
      <c r="JE200" s="67"/>
      <c r="JF200" s="67"/>
      <c r="JG200" s="67"/>
      <c r="JH200" s="67"/>
      <c r="JI200" s="67"/>
      <c r="JJ200" s="67"/>
      <c r="JK200" s="67"/>
      <c r="JL200" s="67"/>
      <c r="JM200" s="67"/>
      <c r="JN200" s="67"/>
      <c r="JO200" s="67"/>
      <c r="JP200" s="67"/>
      <c r="JQ200" s="67"/>
      <c r="JR200" s="67"/>
      <c r="JS200" s="67"/>
      <c r="JT200" s="67"/>
      <c r="JU200" s="67"/>
      <c r="JV200" s="67"/>
      <c r="JW200" s="67"/>
      <c r="JX200" s="67"/>
      <c r="JY200" s="67"/>
      <c r="JZ200" s="67"/>
      <c r="KA200" s="67"/>
      <c r="KB200" s="67"/>
      <c r="KC200" s="67"/>
      <c r="KD200" s="67"/>
      <c r="KE200" s="67"/>
      <c r="KF200" s="67"/>
      <c r="KG200" s="67"/>
      <c r="KH200" s="67"/>
      <c r="KI200" s="67"/>
      <c r="KJ200" s="67"/>
      <c r="KK200" s="67"/>
      <c r="KL200" s="67"/>
      <c r="KM200" s="67"/>
      <c r="KN200" s="67"/>
      <c r="KO200" s="67"/>
      <c r="KP200" s="67"/>
      <c r="KQ200" s="67"/>
      <c r="KR200" s="67"/>
      <c r="KS200" s="67"/>
      <c r="KT200" s="67"/>
      <c r="KU200" s="67"/>
      <c r="KV200" s="67"/>
      <c r="KW200" s="67"/>
      <c r="KX200" s="67"/>
      <c r="KY200" s="67"/>
      <c r="KZ200" s="67"/>
      <c r="LA200" s="67"/>
      <c r="LB200" s="67"/>
      <c r="LC200" s="67"/>
      <c r="LD200" s="67"/>
      <c r="LE200" s="67"/>
      <c r="LF200" s="67"/>
      <c r="LG200" s="67"/>
      <c r="LH200" s="67"/>
      <c r="LI200" s="67"/>
      <c r="LJ200" s="67"/>
      <c r="LK200" s="67"/>
      <c r="LL200" s="67"/>
      <c r="LM200" s="67"/>
      <c r="LN200" s="67"/>
      <c r="LO200" s="67"/>
      <c r="LP200" s="67"/>
      <c r="LQ200" s="67"/>
      <c r="LR200" s="67"/>
      <c r="LS200" s="67"/>
      <c r="LT200" s="67"/>
      <c r="LU200" s="67"/>
      <c r="LV200" s="67"/>
      <c r="LW200" s="67"/>
      <c r="LX200" s="67"/>
      <c r="LY200" s="67"/>
      <c r="LZ200" s="67"/>
      <c r="MA200" s="67"/>
      <c r="MB200" s="67"/>
    </row>
    <row r="201" spans="1:340" s="50" customFormat="1" ht="15.75" hidden="1" customHeight="1" thickBot="1">
      <c r="A201" s="44">
        <v>3</v>
      </c>
      <c r="B201" s="88" t="s">
        <v>167</v>
      </c>
      <c r="C201" s="85" t="s">
        <v>171</v>
      </c>
      <c r="D201" s="86" t="s">
        <v>45</v>
      </c>
      <c r="E201" s="130" t="s">
        <v>62</v>
      </c>
      <c r="F201" s="87" t="s">
        <v>24</v>
      </c>
      <c r="G201" s="162"/>
      <c r="H201" s="163"/>
      <c r="I201" s="163"/>
      <c r="J201" s="153"/>
      <c r="K201" s="68" t="s">
        <v>27</v>
      </c>
      <c r="L201" s="68" t="s">
        <v>26</v>
      </c>
      <c r="M201" s="68"/>
      <c r="N201" s="68"/>
      <c r="O201" s="68"/>
      <c r="P201" s="68" t="s">
        <v>85</v>
      </c>
      <c r="Q201" s="68"/>
      <c r="R201" s="68"/>
      <c r="S201" s="68"/>
      <c r="T201" s="68" t="s">
        <v>27</v>
      </c>
      <c r="U201" s="68" t="s">
        <v>26</v>
      </c>
      <c r="V201" s="68"/>
      <c r="W201" s="68"/>
      <c r="X201" s="68" t="s">
        <v>27</v>
      </c>
      <c r="Y201" s="68" t="s">
        <v>26</v>
      </c>
      <c r="Z201" s="68"/>
      <c r="AA201" s="68"/>
      <c r="AB201" s="68" t="s">
        <v>27</v>
      </c>
      <c r="AC201" s="153"/>
      <c r="AD201" s="68"/>
      <c r="AE201" s="68" t="s">
        <v>26</v>
      </c>
      <c r="AF201" s="68"/>
      <c r="AG201" s="68"/>
      <c r="AH201" s="68" t="s">
        <v>27</v>
      </c>
      <c r="AI201" s="68" t="s">
        <v>26</v>
      </c>
      <c r="AJ201" s="153"/>
      <c r="AK201" s="68"/>
      <c r="AL201" s="68"/>
      <c r="AM201" s="68"/>
      <c r="AN201" s="68" t="s">
        <v>27</v>
      </c>
      <c r="AO201" s="68" t="s">
        <v>26</v>
      </c>
      <c r="AP201" s="68"/>
      <c r="AQ201" s="68" t="s">
        <v>27</v>
      </c>
      <c r="AR201" s="68" t="s">
        <v>26</v>
      </c>
      <c r="AS201" s="68"/>
      <c r="AT201" s="68"/>
      <c r="AU201" s="68" t="s">
        <v>27</v>
      </c>
      <c r="AV201" s="68" t="s">
        <v>26</v>
      </c>
      <c r="AW201" s="68"/>
      <c r="AX201" s="68"/>
      <c r="AY201" s="68" t="s">
        <v>27</v>
      </c>
      <c r="AZ201" s="68" t="s">
        <v>26</v>
      </c>
      <c r="BA201" s="153"/>
      <c r="BB201" s="68"/>
      <c r="BC201" s="68"/>
      <c r="BD201" s="68" t="s">
        <v>27</v>
      </c>
      <c r="BE201" s="68" t="s">
        <v>26</v>
      </c>
      <c r="BF201" s="68"/>
      <c r="BG201" s="153"/>
      <c r="BH201" s="68"/>
      <c r="BI201" s="68" t="s">
        <v>85</v>
      </c>
      <c r="BJ201" s="153"/>
      <c r="BK201" s="68"/>
      <c r="BL201" s="68" t="s">
        <v>41</v>
      </c>
      <c r="BM201" s="68"/>
      <c r="BN201" s="68"/>
      <c r="BO201" s="68" t="s">
        <v>26</v>
      </c>
      <c r="BP201" s="68"/>
      <c r="BQ201" s="68"/>
      <c r="BR201" s="68" t="s">
        <v>27</v>
      </c>
      <c r="BS201" s="68" t="s">
        <v>26</v>
      </c>
      <c r="BT201" s="153"/>
      <c r="BU201" s="68"/>
      <c r="BV201" s="68" t="s">
        <v>27</v>
      </c>
      <c r="BW201" s="68" t="s">
        <v>26</v>
      </c>
      <c r="BX201" s="68"/>
      <c r="BY201" s="153"/>
      <c r="BZ201" s="68" t="s">
        <v>27</v>
      </c>
      <c r="CA201" s="68" t="s">
        <v>37</v>
      </c>
      <c r="CB201" s="67"/>
      <c r="CC201" s="67"/>
      <c r="CD201" s="67"/>
      <c r="CE201" s="67"/>
      <c r="CF201" s="67"/>
      <c r="CG201" s="67"/>
      <c r="CH201" s="67"/>
      <c r="CI201" s="67"/>
      <c r="CJ201" s="67"/>
      <c r="CK201" s="67"/>
      <c r="CL201" s="67"/>
      <c r="CM201" s="67"/>
      <c r="CN201" s="67"/>
      <c r="CO201" s="67"/>
      <c r="CP201" s="67"/>
      <c r="CQ201" s="67"/>
      <c r="CR201" s="67"/>
      <c r="CS201" s="67"/>
      <c r="CT201" s="67"/>
      <c r="CU201" s="67"/>
      <c r="CV201" s="67"/>
      <c r="CW201" s="67"/>
      <c r="CX201" s="67"/>
      <c r="CY201" s="67"/>
      <c r="CZ201" s="67"/>
      <c r="DA201" s="67"/>
      <c r="DB201" s="67"/>
      <c r="DC201" s="67"/>
      <c r="DD201" s="67"/>
      <c r="DE201" s="67"/>
      <c r="DF201" s="67"/>
      <c r="DG201" s="67"/>
      <c r="DH201" s="67"/>
      <c r="DI201" s="67"/>
      <c r="DJ201" s="67"/>
      <c r="DK201" s="67"/>
      <c r="DL201" s="67"/>
      <c r="DM201" s="67"/>
      <c r="DN201" s="67"/>
      <c r="DO201" s="67"/>
      <c r="DP201" s="67"/>
      <c r="DQ201" s="67"/>
      <c r="DR201" s="67"/>
      <c r="DS201" s="67"/>
      <c r="DT201" s="67"/>
      <c r="DU201" s="67"/>
      <c r="DV201" s="67"/>
      <c r="DW201" s="67"/>
      <c r="DX201" s="67"/>
      <c r="DY201" s="67"/>
      <c r="DZ201" s="67"/>
      <c r="EA201" s="67"/>
      <c r="EB201" s="67"/>
      <c r="EC201" s="67"/>
      <c r="ED201" s="67"/>
      <c r="EE201" s="67"/>
      <c r="EF201" s="67"/>
      <c r="EG201" s="67"/>
      <c r="EH201" s="67"/>
      <c r="EI201" s="67"/>
      <c r="EJ201" s="67"/>
      <c r="EK201" s="67"/>
      <c r="EL201" s="67"/>
      <c r="EM201" s="67"/>
      <c r="EN201" s="67"/>
      <c r="EO201" s="67"/>
      <c r="EP201" s="67"/>
      <c r="EQ201" s="67"/>
      <c r="ER201" s="67"/>
      <c r="ES201" s="67"/>
      <c r="ET201" s="67"/>
      <c r="EU201" s="67"/>
      <c r="EV201" s="67"/>
      <c r="EW201" s="67"/>
      <c r="EX201" s="67"/>
      <c r="EY201" s="67"/>
      <c r="EZ201" s="67"/>
      <c r="FA201" s="67"/>
      <c r="FB201" s="67"/>
      <c r="FC201" s="67"/>
      <c r="FD201" s="67"/>
      <c r="FE201" s="67"/>
      <c r="FF201" s="67"/>
      <c r="FG201" s="67"/>
      <c r="FH201" s="67"/>
      <c r="FI201" s="67"/>
      <c r="FJ201" s="67"/>
      <c r="FK201" s="67"/>
      <c r="FL201" s="67"/>
      <c r="FM201" s="67"/>
      <c r="FN201" s="67"/>
      <c r="FO201" s="67"/>
      <c r="FP201" s="67"/>
      <c r="FQ201" s="67"/>
      <c r="FR201" s="67"/>
      <c r="FS201" s="67"/>
      <c r="FT201" s="67"/>
      <c r="FU201" s="67"/>
      <c r="FV201" s="67"/>
      <c r="FW201" s="67"/>
      <c r="FX201" s="67"/>
      <c r="FY201" s="67"/>
      <c r="FZ201" s="67"/>
      <c r="GA201" s="67"/>
      <c r="GB201" s="67"/>
      <c r="GC201" s="67"/>
      <c r="GD201" s="67"/>
      <c r="GE201" s="67"/>
      <c r="GF201" s="67"/>
      <c r="GG201" s="67"/>
      <c r="GH201" s="67"/>
      <c r="GI201" s="67"/>
      <c r="GJ201" s="67"/>
      <c r="GK201" s="67"/>
      <c r="GL201" s="67"/>
      <c r="GM201" s="67"/>
      <c r="GN201" s="67"/>
      <c r="GO201" s="67"/>
      <c r="GP201" s="67"/>
      <c r="GQ201" s="67"/>
      <c r="GR201" s="67"/>
      <c r="GS201" s="67"/>
      <c r="GT201" s="67"/>
      <c r="GU201" s="67"/>
      <c r="GV201" s="67"/>
      <c r="GW201" s="67"/>
      <c r="GX201" s="67"/>
      <c r="GY201" s="67"/>
      <c r="GZ201" s="67"/>
      <c r="HA201" s="67"/>
      <c r="HB201" s="67"/>
      <c r="HC201" s="67"/>
      <c r="HD201" s="67"/>
      <c r="HE201" s="67"/>
      <c r="HF201" s="67"/>
      <c r="HG201" s="67"/>
      <c r="HH201" s="67"/>
      <c r="HI201" s="67"/>
      <c r="HJ201" s="67"/>
      <c r="HK201" s="67"/>
      <c r="HL201" s="67"/>
      <c r="HM201" s="67"/>
      <c r="HN201" s="67"/>
      <c r="HO201" s="67"/>
      <c r="HP201" s="67"/>
      <c r="HQ201" s="67"/>
      <c r="HR201" s="67"/>
      <c r="HS201" s="67"/>
      <c r="HT201" s="67"/>
      <c r="HU201" s="67"/>
      <c r="HV201" s="67"/>
      <c r="HW201" s="67"/>
      <c r="HX201" s="67"/>
      <c r="HY201" s="67"/>
      <c r="HZ201" s="67"/>
      <c r="IA201" s="67"/>
      <c r="IB201" s="67"/>
      <c r="IC201" s="67"/>
      <c r="ID201" s="67"/>
      <c r="IE201" s="67"/>
      <c r="IF201" s="67"/>
      <c r="IG201" s="67"/>
      <c r="IH201" s="67"/>
      <c r="II201" s="67"/>
      <c r="IJ201" s="67"/>
      <c r="IK201" s="67"/>
      <c r="IL201" s="67"/>
      <c r="IM201" s="67"/>
      <c r="IN201" s="67"/>
      <c r="IO201" s="67"/>
      <c r="IP201" s="67"/>
      <c r="IQ201" s="67"/>
      <c r="IR201" s="67"/>
      <c r="IS201" s="67"/>
      <c r="IT201" s="67"/>
      <c r="IU201" s="67"/>
      <c r="IV201" s="67"/>
      <c r="IW201" s="67"/>
      <c r="IX201" s="67"/>
      <c r="IY201" s="67"/>
      <c r="IZ201" s="67"/>
      <c r="JA201" s="67"/>
      <c r="JB201" s="67"/>
      <c r="JC201" s="67"/>
      <c r="JD201" s="67"/>
      <c r="JE201" s="67"/>
      <c r="JF201" s="67"/>
      <c r="JG201" s="67"/>
      <c r="JH201" s="67"/>
      <c r="JI201" s="67"/>
      <c r="JJ201" s="67"/>
      <c r="JK201" s="67"/>
      <c r="JL201" s="67"/>
      <c r="JM201" s="67"/>
      <c r="JN201" s="67"/>
      <c r="JO201" s="67"/>
      <c r="JP201" s="67"/>
      <c r="JQ201" s="67"/>
      <c r="JR201" s="67"/>
      <c r="JS201" s="67"/>
      <c r="JT201" s="67"/>
      <c r="JU201" s="67"/>
      <c r="JV201" s="67"/>
      <c r="JW201" s="67"/>
      <c r="JX201" s="67"/>
      <c r="JY201" s="67"/>
      <c r="JZ201" s="67"/>
      <c r="KA201" s="67"/>
      <c r="KB201" s="67"/>
      <c r="KC201" s="67"/>
      <c r="KD201" s="67"/>
      <c r="KE201" s="67"/>
      <c r="KF201" s="67"/>
      <c r="KG201" s="67"/>
      <c r="KH201" s="67"/>
      <c r="KI201" s="67"/>
      <c r="KJ201" s="67"/>
      <c r="KK201" s="67"/>
      <c r="KL201" s="67"/>
      <c r="KM201" s="67"/>
      <c r="KN201" s="67"/>
      <c r="KO201" s="67"/>
      <c r="KP201" s="67"/>
      <c r="KQ201" s="67"/>
      <c r="KR201" s="67"/>
      <c r="KS201" s="67"/>
      <c r="KT201" s="67"/>
      <c r="KU201" s="67"/>
      <c r="KV201" s="67"/>
      <c r="KW201" s="67"/>
      <c r="KX201" s="67"/>
      <c r="KY201" s="67"/>
      <c r="KZ201" s="67"/>
      <c r="LA201" s="67"/>
      <c r="LB201" s="67"/>
      <c r="LC201" s="67"/>
      <c r="LD201" s="67"/>
      <c r="LE201" s="67"/>
      <c r="LF201" s="67"/>
      <c r="LG201" s="67"/>
      <c r="LH201" s="67"/>
      <c r="LI201" s="67"/>
      <c r="LJ201" s="67"/>
      <c r="LK201" s="67"/>
      <c r="LL201" s="67"/>
      <c r="LM201" s="67"/>
      <c r="LN201" s="67"/>
      <c r="LO201" s="67"/>
      <c r="LP201" s="67"/>
      <c r="LQ201" s="67"/>
      <c r="LR201" s="67"/>
      <c r="LS201" s="67"/>
      <c r="LT201" s="67"/>
      <c r="LU201" s="67"/>
      <c r="LV201" s="67"/>
      <c r="LW201" s="67"/>
      <c r="LX201" s="67"/>
      <c r="LY201" s="67"/>
      <c r="LZ201" s="67"/>
      <c r="MA201" s="67"/>
      <c r="MB201" s="67"/>
    </row>
    <row r="202" spans="1:340" s="50" customFormat="1" ht="15.75" hidden="1" customHeight="1" thickBot="1">
      <c r="A202" s="44">
        <v>3</v>
      </c>
      <c r="B202" s="88" t="s">
        <v>109</v>
      </c>
      <c r="C202" s="85" t="s">
        <v>110</v>
      </c>
      <c r="D202" s="86" t="s">
        <v>45</v>
      </c>
      <c r="E202" s="130" t="s">
        <v>46</v>
      </c>
      <c r="F202" s="87" t="s">
        <v>24</v>
      </c>
      <c r="G202" s="139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  <c r="BK202" s="67"/>
      <c r="BL202" s="68"/>
      <c r="BM202" s="68"/>
      <c r="BN202" s="68"/>
      <c r="BO202" s="68"/>
      <c r="BP202" s="68"/>
      <c r="BQ202" s="68" t="s">
        <v>25</v>
      </c>
      <c r="BR202" s="68"/>
      <c r="BS202" s="68" t="s">
        <v>27</v>
      </c>
      <c r="BT202" s="68"/>
      <c r="BU202" s="68" t="s">
        <v>27</v>
      </c>
      <c r="BV202" s="68"/>
      <c r="BW202" s="68"/>
      <c r="BX202" s="68" t="s">
        <v>27</v>
      </c>
      <c r="BY202" s="68"/>
      <c r="BZ202" s="68"/>
      <c r="CA202" s="68" t="s">
        <v>27</v>
      </c>
      <c r="CB202" s="68" t="s">
        <v>37</v>
      </c>
      <c r="CC202" s="67"/>
      <c r="CD202" s="67"/>
      <c r="CE202" s="67"/>
      <c r="CF202" s="67"/>
      <c r="CG202" s="67"/>
      <c r="CH202" s="67"/>
      <c r="CI202" s="67"/>
      <c r="CJ202" s="67"/>
      <c r="CK202" s="67"/>
      <c r="CL202" s="67"/>
      <c r="CM202" s="67"/>
      <c r="CN202" s="67"/>
      <c r="CO202" s="67"/>
      <c r="CP202" s="67"/>
      <c r="CQ202" s="67"/>
      <c r="CR202" s="67"/>
      <c r="CS202" s="67"/>
      <c r="CT202" s="67"/>
      <c r="CU202" s="67"/>
      <c r="CV202" s="67"/>
      <c r="CW202" s="67"/>
      <c r="CX202" s="67"/>
      <c r="CY202" s="67"/>
      <c r="CZ202" s="67"/>
      <c r="DA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/>
      <c r="DS202" s="67"/>
      <c r="DT202" s="67"/>
      <c r="DU202" s="67"/>
      <c r="DV202" s="67"/>
      <c r="DW202" s="67"/>
      <c r="DX202" s="67"/>
      <c r="DY202" s="67"/>
      <c r="DZ202" s="67"/>
      <c r="EA202" s="67"/>
      <c r="EB202" s="67"/>
      <c r="EC202" s="67"/>
      <c r="ED202" s="67"/>
      <c r="EE202" s="67"/>
      <c r="EF202" s="67"/>
      <c r="EG202" s="67"/>
      <c r="EH202" s="67"/>
      <c r="EI202" s="67"/>
      <c r="EJ202" s="67"/>
      <c r="EK202" s="67"/>
      <c r="EL202" s="67"/>
      <c r="EM202" s="67"/>
      <c r="EN202" s="67"/>
      <c r="EO202" s="67"/>
      <c r="EP202" s="67"/>
      <c r="EQ202" s="67"/>
      <c r="ER202" s="67"/>
      <c r="ES202" s="67"/>
      <c r="ET202" s="67"/>
      <c r="EU202" s="67"/>
      <c r="EV202" s="67"/>
      <c r="EW202" s="67"/>
      <c r="EX202" s="67"/>
      <c r="EY202" s="67"/>
      <c r="EZ202" s="67"/>
      <c r="FA202" s="67"/>
      <c r="FB202" s="67"/>
      <c r="FC202" s="67"/>
      <c r="FD202" s="67"/>
      <c r="FE202" s="67"/>
      <c r="FF202" s="67"/>
      <c r="FG202" s="67"/>
      <c r="FH202" s="67"/>
      <c r="FI202" s="67"/>
      <c r="FJ202" s="67"/>
      <c r="FK202" s="67"/>
      <c r="FL202" s="67"/>
      <c r="FM202" s="67"/>
      <c r="FN202" s="67"/>
      <c r="FO202" s="67"/>
      <c r="FP202" s="67"/>
      <c r="FQ202" s="67"/>
      <c r="FR202" s="67"/>
      <c r="FS202" s="67"/>
      <c r="FT202" s="67"/>
      <c r="FU202" s="67"/>
      <c r="FV202" s="67"/>
      <c r="FW202" s="67"/>
      <c r="FX202" s="67"/>
      <c r="FY202" s="67"/>
      <c r="FZ202" s="67"/>
      <c r="GA202" s="67"/>
      <c r="GB202" s="67"/>
      <c r="GC202" s="67"/>
      <c r="GD202" s="67"/>
      <c r="GE202" s="67"/>
      <c r="GF202" s="67"/>
      <c r="GG202" s="67"/>
      <c r="GH202" s="67"/>
      <c r="GI202" s="67"/>
      <c r="GJ202" s="67"/>
      <c r="GK202" s="67"/>
      <c r="GL202" s="67"/>
      <c r="GM202" s="67"/>
      <c r="GN202" s="67"/>
      <c r="GO202" s="67"/>
      <c r="GP202" s="67"/>
      <c r="GQ202" s="67"/>
      <c r="GR202" s="67"/>
      <c r="GS202" s="67"/>
      <c r="GT202" s="67"/>
      <c r="GU202" s="67"/>
      <c r="GV202" s="67"/>
      <c r="GW202" s="67"/>
      <c r="GX202" s="67"/>
      <c r="GY202" s="67"/>
      <c r="GZ202" s="67"/>
      <c r="HA202" s="67"/>
      <c r="HB202" s="67"/>
      <c r="HC202" s="67"/>
      <c r="HD202" s="67"/>
      <c r="HE202" s="67"/>
      <c r="HF202" s="67"/>
      <c r="HG202" s="67"/>
      <c r="HH202" s="67"/>
      <c r="HI202" s="67"/>
      <c r="HJ202" s="67"/>
      <c r="HK202" s="67"/>
      <c r="HL202" s="67"/>
      <c r="HM202" s="67"/>
      <c r="HN202" s="67"/>
      <c r="HO202" s="67"/>
      <c r="HP202" s="67"/>
      <c r="HQ202" s="67"/>
      <c r="HR202" s="67"/>
      <c r="HS202" s="67"/>
      <c r="HT202" s="67"/>
      <c r="HU202" s="67"/>
      <c r="HV202" s="67"/>
      <c r="HW202" s="67"/>
      <c r="HX202" s="67"/>
      <c r="HY202" s="67"/>
      <c r="HZ202" s="67"/>
      <c r="IA202" s="67"/>
      <c r="IB202" s="67"/>
      <c r="IC202" s="67"/>
      <c r="ID202" s="67"/>
      <c r="IE202" s="67"/>
      <c r="IF202" s="67"/>
      <c r="IG202" s="67"/>
      <c r="IH202" s="67"/>
      <c r="II202" s="67"/>
      <c r="IJ202" s="67"/>
      <c r="IK202" s="67"/>
      <c r="IL202" s="67"/>
      <c r="IM202" s="67"/>
      <c r="IN202" s="67"/>
      <c r="IO202" s="67"/>
      <c r="IP202" s="67"/>
      <c r="IQ202" s="67"/>
      <c r="IR202" s="67"/>
      <c r="IS202" s="67"/>
      <c r="IT202" s="67"/>
      <c r="IU202" s="67"/>
      <c r="IV202" s="67"/>
      <c r="IW202" s="67"/>
      <c r="IX202" s="67"/>
      <c r="IY202" s="67"/>
      <c r="IZ202" s="67"/>
      <c r="JA202" s="67"/>
      <c r="JB202" s="67"/>
      <c r="JC202" s="67"/>
      <c r="JD202" s="67"/>
      <c r="JE202" s="67"/>
      <c r="JF202" s="67"/>
      <c r="JG202" s="67"/>
      <c r="JH202" s="67"/>
      <c r="JI202" s="67"/>
      <c r="JJ202" s="67"/>
      <c r="JK202" s="67"/>
      <c r="JL202" s="67"/>
      <c r="JM202" s="67"/>
      <c r="JN202" s="67"/>
      <c r="JO202" s="67"/>
      <c r="JP202" s="67"/>
      <c r="JQ202" s="67"/>
      <c r="JR202" s="67"/>
      <c r="JS202" s="67"/>
      <c r="JT202" s="67"/>
      <c r="JU202" s="67"/>
      <c r="JV202" s="67"/>
      <c r="JW202" s="67"/>
      <c r="JX202" s="67"/>
      <c r="JY202" s="67"/>
      <c r="JZ202" s="67"/>
      <c r="KA202" s="67"/>
      <c r="KB202" s="67"/>
      <c r="KC202" s="67"/>
      <c r="KD202" s="67"/>
      <c r="KE202" s="67"/>
      <c r="KF202" s="67"/>
      <c r="KG202" s="67"/>
      <c r="KH202" s="67"/>
      <c r="KI202" s="67"/>
      <c r="KJ202" s="67"/>
      <c r="KK202" s="67"/>
      <c r="KL202" s="67"/>
      <c r="KM202" s="67"/>
      <c r="KN202" s="67"/>
      <c r="KO202" s="67"/>
      <c r="KP202" s="67"/>
      <c r="KQ202" s="67"/>
      <c r="KR202" s="67"/>
      <c r="KS202" s="67"/>
      <c r="KT202" s="67"/>
      <c r="KU202" s="67"/>
      <c r="KV202" s="67"/>
      <c r="KW202" s="67"/>
      <c r="KX202" s="67"/>
      <c r="KY202" s="67"/>
      <c r="KZ202" s="67"/>
      <c r="LA202" s="67"/>
      <c r="LB202" s="67"/>
      <c r="LC202" s="67"/>
      <c r="LD202" s="67"/>
      <c r="LE202" s="67"/>
      <c r="LF202" s="67"/>
      <c r="LG202" s="67"/>
      <c r="LH202" s="67"/>
      <c r="LI202" s="67"/>
      <c r="LJ202" s="67"/>
      <c r="LK202" s="67"/>
      <c r="LL202" s="67"/>
      <c r="LM202" s="67"/>
      <c r="LN202" s="67"/>
      <c r="LO202" s="67"/>
      <c r="LP202" s="67"/>
      <c r="LQ202" s="67"/>
      <c r="LR202" s="67"/>
      <c r="LS202" s="67"/>
      <c r="LT202" s="67"/>
      <c r="LU202" s="67"/>
      <c r="LV202" s="67"/>
      <c r="LW202" s="67"/>
      <c r="LX202" s="67"/>
      <c r="LY202" s="67"/>
      <c r="LZ202" s="67"/>
      <c r="MA202" s="67"/>
      <c r="MB202" s="67"/>
    </row>
    <row r="203" spans="1:340" s="50" customFormat="1" ht="15.75" hidden="1" customHeight="1" thickBot="1">
      <c r="A203" s="65">
        <v>3</v>
      </c>
      <c r="B203" s="88" t="s">
        <v>167</v>
      </c>
      <c r="C203" s="168" t="s">
        <v>169</v>
      </c>
      <c r="D203" s="86" t="s">
        <v>45</v>
      </c>
      <c r="E203" s="130" t="s">
        <v>62</v>
      </c>
      <c r="F203" s="87" t="s">
        <v>24</v>
      </c>
      <c r="G203" s="162"/>
      <c r="H203" s="163"/>
      <c r="I203" s="163" t="s">
        <v>25</v>
      </c>
      <c r="J203" s="68" t="s">
        <v>26</v>
      </c>
      <c r="K203" s="68"/>
      <c r="L203" s="68"/>
      <c r="M203" s="68"/>
      <c r="N203" s="68"/>
      <c r="O203" s="68" t="s">
        <v>27</v>
      </c>
      <c r="P203" s="68" t="s">
        <v>26</v>
      </c>
      <c r="Q203" s="68"/>
      <c r="R203" s="68"/>
      <c r="S203" s="153"/>
      <c r="T203" s="68" t="s">
        <v>85</v>
      </c>
      <c r="U203" s="68"/>
      <c r="V203" s="68"/>
      <c r="W203" s="68"/>
      <c r="X203" s="68" t="s">
        <v>27</v>
      </c>
      <c r="Y203" s="68" t="s">
        <v>309</v>
      </c>
      <c r="Z203" s="68"/>
      <c r="AA203" s="68"/>
      <c r="AB203" s="68"/>
      <c r="AC203" s="68"/>
      <c r="AD203" s="68" t="s">
        <v>27</v>
      </c>
      <c r="AE203" s="68" t="s">
        <v>26</v>
      </c>
      <c r="AF203" s="68"/>
      <c r="AG203" s="68"/>
      <c r="AH203" s="68"/>
      <c r="AI203" s="68" t="s">
        <v>27</v>
      </c>
      <c r="AJ203" s="68" t="s">
        <v>26</v>
      </c>
      <c r="AK203" s="68"/>
      <c r="AL203" s="68"/>
      <c r="AM203" s="68"/>
      <c r="AN203" s="153"/>
      <c r="AO203" s="68" t="s">
        <v>27</v>
      </c>
      <c r="AP203" s="68" t="s">
        <v>26</v>
      </c>
      <c r="AQ203" s="68"/>
      <c r="AR203" s="68"/>
      <c r="AS203" s="68"/>
      <c r="AT203" s="68"/>
      <c r="AU203" s="68" t="s">
        <v>27</v>
      </c>
      <c r="AV203" s="68" t="s">
        <v>26</v>
      </c>
      <c r="AW203" s="68"/>
      <c r="AX203" s="68"/>
      <c r="AY203" s="68" t="s">
        <v>27</v>
      </c>
      <c r="AZ203" s="68" t="s">
        <v>26</v>
      </c>
      <c r="BA203" s="68"/>
      <c r="BB203" s="68"/>
      <c r="BC203" s="68"/>
      <c r="BD203" s="68" t="s">
        <v>27</v>
      </c>
      <c r="BE203" s="68" t="s">
        <v>26</v>
      </c>
      <c r="BF203" s="68"/>
      <c r="BG203" s="68"/>
      <c r="BH203" s="68"/>
      <c r="BI203" s="68" t="s">
        <v>27</v>
      </c>
      <c r="BJ203" s="68" t="s">
        <v>26</v>
      </c>
      <c r="BK203" s="68"/>
      <c r="BL203" s="68"/>
      <c r="BM203" s="68"/>
      <c r="BN203" s="68" t="s">
        <v>27</v>
      </c>
      <c r="BO203" s="68" t="s">
        <v>26</v>
      </c>
      <c r="BP203" s="68"/>
      <c r="BQ203" s="68"/>
      <c r="BR203" s="68" t="s">
        <v>27</v>
      </c>
      <c r="BS203" s="68" t="s">
        <v>26</v>
      </c>
      <c r="BT203" s="68"/>
      <c r="BU203" s="68" t="s">
        <v>41</v>
      </c>
      <c r="BV203" s="68"/>
      <c r="BW203" s="68"/>
      <c r="BX203" s="68" t="s">
        <v>27</v>
      </c>
      <c r="BY203" s="68" t="s">
        <v>26</v>
      </c>
      <c r="BZ203" s="68"/>
      <c r="CA203" s="68"/>
      <c r="CB203" s="68" t="s">
        <v>27</v>
      </c>
      <c r="CC203" s="68" t="s">
        <v>37</v>
      </c>
      <c r="CD203" s="67"/>
      <c r="CE203" s="67"/>
      <c r="CF203" s="67"/>
      <c r="CG203" s="67"/>
      <c r="CH203" s="67"/>
      <c r="CI203" s="67"/>
      <c r="CJ203" s="67"/>
      <c r="CK203" s="67"/>
      <c r="CL203" s="67"/>
      <c r="CM203" s="67"/>
      <c r="CN203" s="67"/>
      <c r="CO203" s="67"/>
      <c r="CP203" s="67"/>
      <c r="CQ203" s="67"/>
      <c r="CR203" s="67"/>
      <c r="CS203" s="67"/>
      <c r="CT203" s="67"/>
      <c r="CU203" s="67"/>
      <c r="CV203" s="67"/>
      <c r="CW203" s="67"/>
      <c r="CX203" s="67"/>
      <c r="CY203" s="67"/>
      <c r="CZ203" s="67"/>
      <c r="DA203" s="67"/>
      <c r="DB203" s="67"/>
      <c r="DC203" s="67"/>
      <c r="DD203" s="67"/>
      <c r="DE203" s="67"/>
      <c r="DF203" s="67"/>
      <c r="DG203" s="67"/>
      <c r="DH203" s="67"/>
      <c r="DI203" s="67"/>
      <c r="DJ203" s="67"/>
      <c r="DK203" s="67"/>
      <c r="DL203" s="67"/>
      <c r="DM203" s="67"/>
      <c r="DN203" s="67"/>
      <c r="DO203" s="67"/>
      <c r="DP203" s="67"/>
      <c r="DQ203" s="67"/>
      <c r="DR203" s="67"/>
      <c r="DS203" s="67"/>
      <c r="DT203" s="67"/>
      <c r="DU203" s="67"/>
      <c r="DV203" s="67"/>
      <c r="DW203" s="67"/>
      <c r="DX203" s="67"/>
      <c r="DY203" s="67"/>
      <c r="DZ203" s="67"/>
      <c r="EA203" s="67"/>
      <c r="EB203" s="67"/>
      <c r="EC203" s="67"/>
      <c r="ED203" s="67"/>
      <c r="EE203" s="67"/>
      <c r="EF203" s="67"/>
      <c r="EG203" s="67"/>
      <c r="EH203" s="67"/>
      <c r="EI203" s="67"/>
      <c r="EJ203" s="67"/>
      <c r="EK203" s="67"/>
      <c r="EL203" s="67"/>
      <c r="EM203" s="67"/>
      <c r="EN203" s="67"/>
      <c r="EO203" s="67"/>
      <c r="EP203" s="67"/>
      <c r="EQ203" s="67"/>
      <c r="ER203" s="67"/>
      <c r="ES203" s="67"/>
      <c r="ET203" s="67"/>
      <c r="EU203" s="67"/>
      <c r="EV203" s="67"/>
      <c r="EW203" s="67"/>
      <c r="EX203" s="67"/>
      <c r="EY203" s="67"/>
      <c r="EZ203" s="67"/>
      <c r="FA203" s="67"/>
      <c r="FB203" s="67"/>
      <c r="FC203" s="67"/>
      <c r="FD203" s="67"/>
      <c r="FE203" s="67"/>
      <c r="FF203" s="67"/>
      <c r="FG203" s="67"/>
      <c r="FH203" s="67"/>
      <c r="FI203" s="67"/>
      <c r="FJ203" s="67"/>
      <c r="FK203" s="67"/>
      <c r="FL203" s="67"/>
      <c r="FM203" s="67"/>
      <c r="FN203" s="67"/>
      <c r="FO203" s="67"/>
      <c r="FP203" s="67"/>
      <c r="FQ203" s="67"/>
      <c r="FR203" s="67"/>
      <c r="FS203" s="67"/>
      <c r="FT203" s="67"/>
      <c r="FU203" s="67"/>
      <c r="FV203" s="67"/>
      <c r="FW203" s="67"/>
      <c r="FX203" s="67"/>
      <c r="FY203" s="67"/>
      <c r="FZ203" s="67"/>
      <c r="GA203" s="67"/>
      <c r="GB203" s="67"/>
      <c r="GC203" s="67"/>
      <c r="GD203" s="67"/>
      <c r="GE203" s="67"/>
      <c r="GF203" s="67"/>
      <c r="GG203" s="67"/>
      <c r="GH203" s="67"/>
      <c r="GI203" s="67"/>
      <c r="GJ203" s="67"/>
      <c r="GK203" s="67"/>
      <c r="GL203" s="67"/>
      <c r="GM203" s="67"/>
      <c r="GN203" s="67"/>
      <c r="GO203" s="67"/>
      <c r="GP203" s="67"/>
      <c r="GQ203" s="67"/>
      <c r="GR203" s="67"/>
      <c r="GS203" s="67"/>
      <c r="GT203" s="67"/>
      <c r="GU203" s="67"/>
      <c r="GV203" s="67"/>
      <c r="GW203" s="67"/>
      <c r="GX203" s="67"/>
      <c r="GY203" s="67"/>
      <c r="GZ203" s="67"/>
      <c r="HA203" s="67"/>
      <c r="HB203" s="67"/>
      <c r="HC203" s="67"/>
      <c r="HD203" s="67"/>
      <c r="HE203" s="67"/>
      <c r="HF203" s="67"/>
      <c r="HG203" s="67"/>
      <c r="HH203" s="67"/>
      <c r="HI203" s="67"/>
      <c r="HJ203" s="67"/>
      <c r="HK203" s="67"/>
      <c r="HL203" s="67"/>
      <c r="HM203" s="67"/>
      <c r="HN203" s="67"/>
      <c r="HO203" s="67"/>
      <c r="HP203" s="67"/>
      <c r="HQ203" s="67"/>
      <c r="HR203" s="67"/>
      <c r="HS203" s="67"/>
      <c r="HT203" s="67"/>
      <c r="HU203" s="67"/>
      <c r="HV203" s="67"/>
      <c r="HW203" s="67"/>
      <c r="HX203" s="67"/>
      <c r="HY203" s="67"/>
      <c r="HZ203" s="67"/>
      <c r="IA203" s="67"/>
      <c r="IB203" s="67"/>
      <c r="IC203" s="67"/>
      <c r="ID203" s="67"/>
      <c r="IE203" s="67"/>
      <c r="IF203" s="67"/>
      <c r="IG203" s="67"/>
      <c r="IH203" s="67"/>
      <c r="II203" s="67"/>
      <c r="IJ203" s="67"/>
      <c r="IK203" s="67"/>
      <c r="IL203" s="67"/>
      <c r="IM203" s="67"/>
      <c r="IN203" s="67"/>
      <c r="IO203" s="67"/>
      <c r="IP203" s="67"/>
      <c r="IQ203" s="67"/>
      <c r="IR203" s="67"/>
      <c r="IS203" s="67"/>
      <c r="IT203" s="67"/>
      <c r="IU203" s="67"/>
      <c r="IV203" s="67"/>
      <c r="IW203" s="67"/>
      <c r="IX203" s="67"/>
      <c r="IY203" s="67"/>
      <c r="IZ203" s="67"/>
      <c r="JA203" s="67"/>
      <c r="JB203" s="67"/>
      <c r="JC203" s="67"/>
      <c r="JD203" s="67"/>
      <c r="JE203" s="67"/>
      <c r="JF203" s="67"/>
      <c r="JG203" s="67"/>
      <c r="JH203" s="67"/>
      <c r="JI203" s="67"/>
      <c r="JJ203" s="67"/>
      <c r="JK203" s="67"/>
      <c r="JL203" s="67"/>
      <c r="JM203" s="67"/>
      <c r="JN203" s="67"/>
      <c r="JO203" s="67"/>
      <c r="JP203" s="67"/>
      <c r="JQ203" s="67"/>
      <c r="JR203" s="67"/>
      <c r="JS203" s="67"/>
      <c r="JT203" s="67"/>
      <c r="JU203" s="67"/>
      <c r="JV203" s="67"/>
      <c r="JW203" s="67"/>
      <c r="JX203" s="67"/>
      <c r="JY203" s="67"/>
      <c r="JZ203" s="67"/>
      <c r="KA203" s="67"/>
      <c r="KB203" s="67"/>
      <c r="KC203" s="67"/>
      <c r="KD203" s="67"/>
      <c r="KE203" s="67"/>
      <c r="KF203" s="67"/>
      <c r="KG203" s="67"/>
      <c r="KH203" s="67"/>
      <c r="KI203" s="67"/>
      <c r="KJ203" s="67"/>
      <c r="KK203" s="67"/>
      <c r="KL203" s="67"/>
      <c r="KM203" s="67"/>
      <c r="KN203" s="67"/>
      <c r="KO203" s="67"/>
      <c r="KP203" s="67"/>
      <c r="KQ203" s="67"/>
      <c r="KR203" s="67"/>
      <c r="KS203" s="67"/>
      <c r="KT203" s="67"/>
      <c r="KU203" s="67"/>
      <c r="KV203" s="67"/>
      <c r="KW203" s="67"/>
      <c r="KX203" s="67"/>
      <c r="KY203" s="67"/>
      <c r="KZ203" s="67"/>
      <c r="LA203" s="67"/>
      <c r="LB203" s="67"/>
      <c r="LC203" s="67"/>
      <c r="LD203" s="67"/>
      <c r="LE203" s="67"/>
      <c r="LF203" s="67"/>
      <c r="LG203" s="67"/>
      <c r="LH203" s="67"/>
      <c r="LI203" s="67"/>
      <c r="LJ203" s="67"/>
      <c r="LK203" s="67"/>
      <c r="LL203" s="67"/>
      <c r="LM203" s="67"/>
      <c r="LN203" s="67"/>
      <c r="LO203" s="67"/>
      <c r="LP203" s="67"/>
      <c r="LQ203" s="67"/>
      <c r="LR203" s="67"/>
      <c r="LS203" s="67"/>
      <c r="LT203" s="67"/>
      <c r="LU203" s="67"/>
      <c r="LV203" s="67"/>
      <c r="LW203" s="67"/>
      <c r="LX203" s="67"/>
      <c r="LY203" s="67"/>
      <c r="LZ203" s="67"/>
      <c r="MA203" s="67"/>
      <c r="MB203" s="67"/>
    </row>
    <row r="204" spans="1:340" s="50" customFormat="1" ht="15.75" hidden="1" customHeight="1" thickBot="1">
      <c r="A204" s="44">
        <v>3</v>
      </c>
      <c r="B204" s="88" t="s">
        <v>167</v>
      </c>
      <c r="C204" s="85" t="s">
        <v>170</v>
      </c>
      <c r="D204" s="86" t="s">
        <v>45</v>
      </c>
      <c r="E204" s="130" t="s">
        <v>62</v>
      </c>
      <c r="F204" s="87" t="s">
        <v>24</v>
      </c>
      <c r="G204" s="162"/>
      <c r="H204" s="163"/>
      <c r="I204" s="163"/>
      <c r="J204" s="68"/>
      <c r="K204" s="68"/>
      <c r="L204" s="68"/>
      <c r="M204" s="163" t="s">
        <v>85</v>
      </c>
      <c r="N204" s="68"/>
      <c r="O204" s="68"/>
      <c r="P204" s="68"/>
      <c r="Q204" s="153"/>
      <c r="R204" s="68" t="s">
        <v>85</v>
      </c>
      <c r="S204" s="68"/>
      <c r="T204" s="68"/>
      <c r="U204" s="68"/>
      <c r="V204" s="68" t="s">
        <v>27</v>
      </c>
      <c r="W204" s="68" t="s">
        <v>26</v>
      </c>
      <c r="X204" s="68"/>
      <c r="Y204" s="68"/>
      <c r="Z204" s="68"/>
      <c r="AA204" s="68"/>
      <c r="AB204" s="68" t="s">
        <v>85</v>
      </c>
      <c r="AC204" s="68"/>
      <c r="AD204" s="68"/>
      <c r="AE204" s="68"/>
      <c r="AF204" s="68"/>
      <c r="AG204" s="68" t="s">
        <v>27</v>
      </c>
      <c r="AH204" s="68" t="s">
        <v>26</v>
      </c>
      <c r="AI204" s="68"/>
      <c r="AJ204" s="68"/>
      <c r="AK204" s="68"/>
      <c r="AL204" s="68"/>
      <c r="AM204" s="68" t="s">
        <v>85</v>
      </c>
      <c r="AN204" s="68"/>
      <c r="AO204" s="68"/>
      <c r="AP204" s="68"/>
      <c r="AQ204" s="68" t="s">
        <v>27</v>
      </c>
      <c r="AR204" s="68" t="s">
        <v>26</v>
      </c>
      <c r="AS204" s="68"/>
      <c r="AT204" s="68"/>
      <c r="AU204" s="68"/>
      <c r="AV204" s="68"/>
      <c r="AW204" s="68" t="s">
        <v>27</v>
      </c>
      <c r="AX204" s="68" t="s">
        <v>26</v>
      </c>
      <c r="AY204" s="68"/>
      <c r="AZ204" s="68" t="s">
        <v>85</v>
      </c>
      <c r="BA204" s="68"/>
      <c r="BB204" s="68"/>
      <c r="BC204" s="153"/>
      <c r="BD204" s="68" t="s">
        <v>27</v>
      </c>
      <c r="BE204" s="68" t="s">
        <v>26</v>
      </c>
      <c r="BF204" s="68"/>
      <c r="BG204" s="68"/>
      <c r="BH204" s="68"/>
      <c r="BI204" s="68"/>
      <c r="BJ204" s="68"/>
      <c r="BK204" s="68"/>
      <c r="BL204" s="68"/>
      <c r="BM204" s="68" t="s">
        <v>27</v>
      </c>
      <c r="BN204" s="68" t="s">
        <v>26</v>
      </c>
      <c r="BO204" s="153"/>
      <c r="BP204" s="153"/>
      <c r="BQ204" s="153"/>
      <c r="BR204" s="68" t="s">
        <v>27</v>
      </c>
      <c r="BS204" s="68" t="s">
        <v>26</v>
      </c>
      <c r="BT204" s="68"/>
      <c r="BU204" s="68" t="s">
        <v>41</v>
      </c>
      <c r="BV204" s="68"/>
      <c r="BW204" s="68"/>
      <c r="BX204" s="68"/>
      <c r="BY204" s="68" t="s">
        <v>27</v>
      </c>
      <c r="BZ204" s="68" t="s">
        <v>26</v>
      </c>
      <c r="CA204" s="68"/>
      <c r="CB204" s="68" t="s">
        <v>27</v>
      </c>
      <c r="CC204" s="68" t="s">
        <v>37</v>
      </c>
      <c r="CD204" s="67"/>
      <c r="CE204" s="67"/>
      <c r="CF204" s="67"/>
      <c r="CG204" s="67"/>
      <c r="CH204" s="67"/>
      <c r="CI204" s="67"/>
      <c r="CJ204" s="67"/>
      <c r="CK204" s="67"/>
      <c r="CL204" s="67"/>
      <c r="CM204" s="67"/>
      <c r="CN204" s="67"/>
      <c r="CO204" s="67"/>
      <c r="CP204" s="67"/>
      <c r="CQ204" s="67"/>
      <c r="CR204" s="67"/>
      <c r="CS204" s="67"/>
      <c r="CT204" s="67"/>
      <c r="CU204" s="67"/>
      <c r="CV204" s="67"/>
      <c r="CW204" s="67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/>
      <c r="DS204" s="67"/>
      <c r="DT204" s="67"/>
      <c r="DU204" s="67"/>
      <c r="DV204" s="67"/>
      <c r="DW204" s="67"/>
      <c r="DX204" s="67"/>
      <c r="DY204" s="67"/>
      <c r="DZ204" s="67"/>
      <c r="EA204" s="67"/>
      <c r="EB204" s="67"/>
      <c r="EC204" s="67"/>
      <c r="ED204" s="67"/>
      <c r="EE204" s="67"/>
      <c r="EF204" s="67"/>
      <c r="EG204" s="67"/>
      <c r="EH204" s="67"/>
      <c r="EI204" s="67"/>
      <c r="EJ204" s="67"/>
      <c r="EK204" s="67"/>
      <c r="EL204" s="67"/>
      <c r="EM204" s="67"/>
      <c r="EN204" s="67"/>
      <c r="EO204" s="67"/>
      <c r="EP204" s="67"/>
      <c r="EQ204" s="67"/>
      <c r="ER204" s="67"/>
      <c r="ES204" s="67"/>
      <c r="ET204" s="67"/>
      <c r="EU204" s="67"/>
      <c r="EV204" s="67"/>
      <c r="EW204" s="67"/>
      <c r="EX204" s="67"/>
      <c r="EY204" s="67"/>
      <c r="EZ204" s="67"/>
      <c r="FA204" s="67"/>
      <c r="FB204" s="67"/>
      <c r="FC204" s="67"/>
      <c r="FD204" s="67"/>
      <c r="FE204" s="67"/>
      <c r="FF204" s="67"/>
      <c r="FG204" s="67"/>
      <c r="FH204" s="67"/>
      <c r="FI204" s="67"/>
      <c r="FJ204" s="67"/>
      <c r="FK204" s="67"/>
      <c r="FL204" s="67"/>
      <c r="FM204" s="67"/>
      <c r="FN204" s="67"/>
      <c r="FO204" s="67"/>
      <c r="FP204" s="67"/>
      <c r="FQ204" s="67"/>
      <c r="FR204" s="67"/>
      <c r="FS204" s="67"/>
      <c r="FT204" s="67"/>
      <c r="FU204" s="67"/>
      <c r="FV204" s="67"/>
      <c r="FW204" s="67"/>
      <c r="FX204" s="67"/>
      <c r="FY204" s="67"/>
      <c r="FZ204" s="67"/>
      <c r="GA204" s="67"/>
      <c r="GB204" s="67"/>
      <c r="GC204" s="67"/>
      <c r="GD204" s="67"/>
      <c r="GE204" s="67"/>
      <c r="GF204" s="67"/>
      <c r="GG204" s="67"/>
      <c r="GH204" s="67"/>
      <c r="GI204" s="67"/>
      <c r="GJ204" s="67"/>
      <c r="GK204" s="67"/>
      <c r="GL204" s="67"/>
      <c r="GM204" s="67"/>
      <c r="GN204" s="67"/>
      <c r="GO204" s="67"/>
      <c r="GP204" s="67"/>
      <c r="GQ204" s="67"/>
      <c r="GR204" s="67"/>
      <c r="GS204" s="67"/>
      <c r="GT204" s="67"/>
      <c r="GU204" s="67"/>
      <c r="GV204" s="67"/>
      <c r="GW204" s="67"/>
      <c r="GX204" s="67"/>
      <c r="GY204" s="67"/>
      <c r="GZ204" s="67"/>
      <c r="HA204" s="67"/>
      <c r="HB204" s="67"/>
      <c r="HC204" s="67"/>
      <c r="HD204" s="67"/>
      <c r="HE204" s="67"/>
      <c r="HF204" s="67"/>
      <c r="HG204" s="67"/>
      <c r="HH204" s="67"/>
      <c r="HI204" s="67"/>
      <c r="HJ204" s="67"/>
      <c r="HK204" s="67"/>
      <c r="HL204" s="67"/>
      <c r="HM204" s="67"/>
      <c r="HN204" s="67"/>
      <c r="HO204" s="67"/>
      <c r="HP204" s="67"/>
      <c r="HQ204" s="67"/>
      <c r="HR204" s="67"/>
      <c r="HS204" s="67"/>
      <c r="HT204" s="67"/>
      <c r="HU204" s="67"/>
      <c r="HV204" s="67"/>
      <c r="HW204" s="67"/>
      <c r="HX204" s="67"/>
      <c r="HY204" s="67"/>
      <c r="HZ204" s="67"/>
      <c r="IA204" s="67"/>
      <c r="IB204" s="67"/>
      <c r="IC204" s="67"/>
      <c r="ID204" s="67"/>
      <c r="IE204" s="67"/>
      <c r="IF204" s="67"/>
      <c r="IG204" s="67"/>
      <c r="IH204" s="67"/>
      <c r="II204" s="67"/>
      <c r="IJ204" s="67"/>
      <c r="IK204" s="67"/>
      <c r="IL204" s="67"/>
      <c r="IM204" s="67"/>
      <c r="IN204" s="67"/>
      <c r="IO204" s="67"/>
      <c r="IP204" s="67"/>
      <c r="IQ204" s="67"/>
      <c r="IR204" s="67"/>
      <c r="IS204" s="67"/>
      <c r="IT204" s="67"/>
      <c r="IU204" s="67"/>
      <c r="IV204" s="67"/>
      <c r="IW204" s="67"/>
      <c r="IX204" s="67"/>
      <c r="IY204" s="67"/>
      <c r="IZ204" s="67"/>
      <c r="JA204" s="67"/>
      <c r="JB204" s="67"/>
      <c r="JC204" s="67"/>
      <c r="JD204" s="67"/>
      <c r="JE204" s="67"/>
      <c r="JF204" s="67"/>
      <c r="JG204" s="67"/>
      <c r="JH204" s="67"/>
      <c r="JI204" s="67"/>
      <c r="JJ204" s="67"/>
      <c r="JK204" s="67"/>
      <c r="JL204" s="67"/>
      <c r="JM204" s="67"/>
      <c r="JN204" s="67"/>
      <c r="JO204" s="67"/>
      <c r="JP204" s="67"/>
      <c r="JQ204" s="67"/>
      <c r="JR204" s="67"/>
      <c r="JS204" s="67"/>
      <c r="JT204" s="67"/>
      <c r="JU204" s="67"/>
      <c r="JV204" s="67"/>
      <c r="JW204" s="67"/>
      <c r="JX204" s="67"/>
      <c r="JY204" s="67"/>
      <c r="JZ204" s="67"/>
      <c r="KA204" s="67"/>
      <c r="KB204" s="67"/>
      <c r="KC204" s="67"/>
      <c r="KD204" s="67"/>
      <c r="KE204" s="67"/>
      <c r="KF204" s="67"/>
      <c r="KG204" s="67"/>
      <c r="KH204" s="67"/>
      <c r="KI204" s="67"/>
      <c r="KJ204" s="67"/>
      <c r="KK204" s="67"/>
      <c r="KL204" s="67"/>
      <c r="KM204" s="67"/>
      <c r="KN204" s="67"/>
      <c r="KO204" s="67"/>
      <c r="KP204" s="67"/>
      <c r="KQ204" s="67"/>
      <c r="KR204" s="67"/>
      <c r="KS204" s="67"/>
      <c r="KT204" s="67"/>
      <c r="KU204" s="67"/>
      <c r="KV204" s="67"/>
      <c r="KW204" s="67"/>
      <c r="KX204" s="67"/>
      <c r="KY204" s="67"/>
      <c r="KZ204" s="67"/>
      <c r="LA204" s="67"/>
      <c r="LB204" s="67"/>
      <c r="LC204" s="67"/>
      <c r="LD204" s="67"/>
      <c r="LE204" s="67"/>
      <c r="LF204" s="67"/>
      <c r="LG204" s="67"/>
      <c r="LH204" s="67"/>
      <c r="LI204" s="67"/>
      <c r="LJ204" s="67"/>
      <c r="LK204" s="67"/>
      <c r="LL204" s="67"/>
      <c r="LM204" s="67"/>
      <c r="LN204" s="67"/>
      <c r="LO204" s="67"/>
      <c r="LP204" s="67"/>
      <c r="LQ204" s="67"/>
      <c r="LR204" s="67"/>
      <c r="LS204" s="67"/>
      <c r="LT204" s="67"/>
      <c r="LU204" s="67"/>
      <c r="LV204" s="67"/>
      <c r="LW204" s="67"/>
      <c r="LX204" s="67"/>
      <c r="LY204" s="67"/>
      <c r="LZ204" s="67"/>
      <c r="MA204" s="67"/>
      <c r="MB204" s="67"/>
    </row>
    <row r="205" spans="1:340" s="50" customFormat="1" ht="15.75" hidden="1" customHeight="1" thickBot="1">
      <c r="A205" s="44">
        <v>3</v>
      </c>
      <c r="B205" s="88" t="s">
        <v>86</v>
      </c>
      <c r="C205" s="85" t="s">
        <v>310</v>
      </c>
      <c r="D205" s="86" t="s">
        <v>45</v>
      </c>
      <c r="E205" s="130" t="s">
        <v>62</v>
      </c>
      <c r="F205" s="87" t="s">
        <v>24</v>
      </c>
      <c r="G205" s="139"/>
      <c r="H205" s="68"/>
      <c r="I205" s="68"/>
      <c r="J205" s="153"/>
      <c r="K205" s="68" t="s">
        <v>26</v>
      </c>
      <c r="L205" s="68"/>
      <c r="M205" s="68"/>
      <c r="N205" s="68"/>
      <c r="O205" s="153"/>
      <c r="P205" s="68" t="s">
        <v>41</v>
      </c>
      <c r="Q205" s="68"/>
      <c r="R205" s="68"/>
      <c r="S205" s="68"/>
      <c r="T205" s="68" t="s">
        <v>26</v>
      </c>
      <c r="U205" s="68"/>
      <c r="V205" s="68"/>
      <c r="W205" s="68" t="s">
        <v>41</v>
      </c>
      <c r="X205" s="68"/>
      <c r="Y205" s="68"/>
      <c r="Z205" s="68"/>
      <c r="AA205" s="68"/>
      <c r="AB205" s="68" t="s">
        <v>26</v>
      </c>
      <c r="AC205" s="68"/>
      <c r="AD205" s="68"/>
      <c r="AE205" s="153"/>
      <c r="AF205" s="68" t="s">
        <v>41</v>
      </c>
      <c r="AG205" s="68"/>
      <c r="AH205" s="68"/>
      <c r="AI205" s="68"/>
      <c r="AJ205" s="68"/>
      <c r="AK205" s="68"/>
      <c r="AL205" s="68"/>
      <c r="AM205" s="68"/>
      <c r="AN205" s="68" t="s">
        <v>57</v>
      </c>
      <c r="AO205" s="68"/>
      <c r="AP205" s="68"/>
      <c r="AQ205" s="68" t="s">
        <v>26</v>
      </c>
      <c r="AR205" s="68"/>
      <c r="AS205" s="68"/>
      <c r="AT205" s="68"/>
      <c r="AU205" s="68"/>
      <c r="AV205" s="68" t="s">
        <v>41</v>
      </c>
      <c r="AW205" s="68"/>
      <c r="AX205" s="68"/>
      <c r="AY205" s="68"/>
      <c r="AZ205" s="68"/>
      <c r="BA205" s="68" t="s">
        <v>57</v>
      </c>
      <c r="BB205" s="68"/>
      <c r="BC205" s="153"/>
      <c r="BD205" s="68" t="s">
        <v>26</v>
      </c>
      <c r="BE205" s="68"/>
      <c r="BF205" s="68"/>
      <c r="BG205" s="68"/>
      <c r="BH205" s="68"/>
      <c r="BI205" s="68"/>
      <c r="BJ205" s="68"/>
      <c r="BK205" s="68" t="s">
        <v>41</v>
      </c>
      <c r="BL205" s="68"/>
      <c r="BM205" s="68"/>
      <c r="BN205" s="68"/>
      <c r="BO205" s="68"/>
      <c r="BP205" s="68" t="s">
        <v>57</v>
      </c>
      <c r="BQ205" s="68"/>
      <c r="BR205" s="68" t="s">
        <v>26</v>
      </c>
      <c r="BS205" s="68"/>
      <c r="BT205" s="68"/>
      <c r="BU205" s="68"/>
      <c r="BV205" s="68"/>
      <c r="BW205" s="68" t="s">
        <v>41</v>
      </c>
      <c r="BX205" s="68"/>
      <c r="BY205" s="68"/>
      <c r="BZ205" s="68"/>
      <c r="CA205" s="68"/>
      <c r="CB205" s="68"/>
      <c r="CC205" s="68" t="s">
        <v>57</v>
      </c>
      <c r="CD205" s="68" t="s">
        <v>37</v>
      </c>
      <c r="CE205" s="67"/>
      <c r="CF205" s="67"/>
      <c r="CG205" s="67"/>
      <c r="CH205" s="67"/>
      <c r="CI205" s="67"/>
      <c r="CJ205" s="67"/>
      <c r="CK205" s="67"/>
      <c r="CL205" s="67"/>
      <c r="CM205" s="67"/>
      <c r="CN205" s="67"/>
      <c r="CO205" s="67"/>
      <c r="CP205" s="67"/>
      <c r="CQ205" s="67"/>
      <c r="CR205" s="67"/>
      <c r="CS205" s="67"/>
      <c r="CT205" s="67"/>
      <c r="CU205" s="67"/>
      <c r="CV205" s="67"/>
      <c r="CW205" s="67"/>
      <c r="CX205" s="67"/>
      <c r="CY205" s="67"/>
      <c r="CZ205" s="67"/>
      <c r="DA205" s="67"/>
      <c r="DB205" s="67"/>
      <c r="DC205" s="67"/>
      <c r="DD205" s="67"/>
      <c r="DE205" s="67"/>
      <c r="DF205" s="67"/>
      <c r="DG205" s="67"/>
      <c r="DH205" s="67"/>
      <c r="DI205" s="67"/>
      <c r="DJ205" s="67"/>
      <c r="DK205" s="67"/>
      <c r="DL205" s="67"/>
      <c r="DM205" s="67"/>
      <c r="DN205" s="67"/>
      <c r="DO205" s="67"/>
      <c r="DP205" s="67"/>
      <c r="DQ205" s="67"/>
      <c r="DR205" s="67"/>
      <c r="DS205" s="67"/>
      <c r="DT205" s="67"/>
      <c r="DU205" s="67"/>
      <c r="DV205" s="67"/>
      <c r="DW205" s="67"/>
      <c r="DX205" s="67"/>
      <c r="DY205" s="67"/>
      <c r="DZ205" s="67"/>
      <c r="EA205" s="67"/>
      <c r="EB205" s="67"/>
      <c r="EC205" s="67"/>
      <c r="ED205" s="67"/>
      <c r="EE205" s="67"/>
      <c r="EF205" s="67"/>
      <c r="EG205" s="67"/>
      <c r="EH205" s="67"/>
      <c r="EI205" s="67"/>
      <c r="EJ205" s="67"/>
      <c r="EK205" s="67"/>
      <c r="EL205" s="67"/>
      <c r="EM205" s="67"/>
      <c r="EN205" s="67"/>
      <c r="EO205" s="67"/>
      <c r="EP205" s="67"/>
      <c r="EQ205" s="67"/>
      <c r="ER205" s="67"/>
      <c r="ES205" s="67"/>
      <c r="ET205" s="67"/>
      <c r="EU205" s="67"/>
      <c r="EV205" s="67"/>
      <c r="EW205" s="67"/>
      <c r="EX205" s="67"/>
      <c r="EY205" s="67"/>
      <c r="EZ205" s="67"/>
      <c r="FA205" s="67"/>
      <c r="FB205" s="67"/>
      <c r="FC205" s="67"/>
      <c r="FD205" s="67"/>
      <c r="FE205" s="67"/>
      <c r="FF205" s="67"/>
      <c r="FG205" s="67"/>
      <c r="FH205" s="67"/>
      <c r="FI205" s="67"/>
      <c r="FJ205" s="67"/>
      <c r="FK205" s="67"/>
      <c r="FL205" s="67"/>
      <c r="FM205" s="67"/>
      <c r="FN205" s="67"/>
      <c r="FO205" s="67"/>
      <c r="FP205" s="67"/>
      <c r="FQ205" s="67"/>
      <c r="FR205" s="67"/>
      <c r="FS205" s="67"/>
      <c r="FT205" s="67"/>
      <c r="FU205" s="67"/>
      <c r="FV205" s="67"/>
      <c r="FW205" s="67"/>
      <c r="FX205" s="67"/>
      <c r="FY205" s="67"/>
      <c r="FZ205" s="67"/>
      <c r="GA205" s="67"/>
      <c r="GB205" s="67"/>
      <c r="GC205" s="67"/>
      <c r="GD205" s="67"/>
      <c r="GE205" s="67"/>
      <c r="GF205" s="67"/>
      <c r="GG205" s="67"/>
      <c r="GH205" s="67"/>
      <c r="GI205" s="67"/>
      <c r="GJ205" s="67"/>
      <c r="GK205" s="67"/>
      <c r="GL205" s="67"/>
      <c r="GM205" s="67"/>
      <c r="GN205" s="67"/>
      <c r="GO205" s="67"/>
      <c r="GP205" s="67"/>
      <c r="GQ205" s="67"/>
      <c r="GR205" s="67"/>
      <c r="GS205" s="67"/>
      <c r="GT205" s="67"/>
      <c r="GU205" s="67"/>
      <c r="GV205" s="67"/>
      <c r="GW205" s="67"/>
      <c r="GX205" s="67"/>
      <c r="GY205" s="67"/>
      <c r="GZ205" s="67"/>
      <c r="HA205" s="67"/>
      <c r="HB205" s="67"/>
      <c r="HC205" s="67"/>
      <c r="HD205" s="67"/>
      <c r="HE205" s="67"/>
      <c r="HF205" s="67"/>
      <c r="HG205" s="67"/>
      <c r="HH205" s="67"/>
      <c r="HI205" s="67"/>
      <c r="HJ205" s="67"/>
      <c r="HK205" s="67"/>
      <c r="HL205" s="67"/>
      <c r="HM205" s="67"/>
      <c r="HN205" s="67"/>
      <c r="HO205" s="67"/>
      <c r="HP205" s="67"/>
      <c r="HQ205" s="67"/>
      <c r="HR205" s="67"/>
      <c r="HS205" s="67"/>
      <c r="HT205" s="67"/>
      <c r="HU205" s="67"/>
      <c r="HV205" s="67"/>
      <c r="HW205" s="67"/>
      <c r="HX205" s="67"/>
      <c r="HY205" s="67"/>
      <c r="HZ205" s="67"/>
      <c r="IA205" s="67"/>
      <c r="IB205" s="67"/>
      <c r="IC205" s="67"/>
      <c r="ID205" s="67"/>
      <c r="IE205" s="67"/>
      <c r="IF205" s="67"/>
      <c r="IG205" s="67"/>
      <c r="IH205" s="67"/>
      <c r="II205" s="67"/>
      <c r="IJ205" s="67"/>
      <c r="IK205" s="67"/>
      <c r="IL205" s="67"/>
      <c r="IM205" s="67"/>
      <c r="IN205" s="67"/>
      <c r="IO205" s="67"/>
      <c r="IP205" s="67"/>
      <c r="IQ205" s="67"/>
      <c r="IR205" s="67"/>
      <c r="IS205" s="67"/>
      <c r="IT205" s="67"/>
      <c r="IU205" s="67"/>
      <c r="IV205" s="67"/>
      <c r="IW205" s="67"/>
      <c r="IX205" s="67"/>
      <c r="IY205" s="67"/>
      <c r="IZ205" s="67"/>
      <c r="JA205" s="67"/>
      <c r="JB205" s="67"/>
      <c r="JC205" s="67"/>
      <c r="JD205" s="67"/>
      <c r="JE205" s="67"/>
      <c r="JF205" s="67"/>
      <c r="JG205" s="67"/>
      <c r="JH205" s="67"/>
      <c r="JI205" s="67"/>
      <c r="JJ205" s="67"/>
      <c r="JK205" s="67"/>
      <c r="JL205" s="67"/>
      <c r="JM205" s="67"/>
      <c r="JN205" s="67"/>
      <c r="JO205" s="67"/>
      <c r="JP205" s="67"/>
      <c r="JQ205" s="67"/>
      <c r="JR205" s="67"/>
      <c r="JS205" s="67"/>
      <c r="JT205" s="67"/>
      <c r="JU205" s="67"/>
      <c r="JV205" s="67"/>
      <c r="JW205" s="67"/>
      <c r="JX205" s="67"/>
      <c r="JY205" s="67"/>
      <c r="JZ205" s="67"/>
      <c r="KA205" s="67"/>
      <c r="KB205" s="67"/>
      <c r="KC205" s="67"/>
      <c r="KD205" s="67"/>
      <c r="KE205" s="67"/>
      <c r="KF205" s="67"/>
      <c r="KG205" s="67"/>
      <c r="KH205" s="67"/>
      <c r="KI205" s="67"/>
      <c r="KJ205" s="67"/>
      <c r="KK205" s="67"/>
      <c r="KL205" s="67"/>
      <c r="KM205" s="67"/>
      <c r="KN205" s="67"/>
      <c r="KO205" s="67"/>
      <c r="KP205" s="67"/>
      <c r="KQ205" s="67"/>
      <c r="KR205" s="67"/>
      <c r="KS205" s="67"/>
      <c r="KT205" s="67"/>
      <c r="KU205" s="67"/>
      <c r="KV205" s="67"/>
      <c r="KW205" s="67"/>
      <c r="KX205" s="67"/>
      <c r="KY205" s="67"/>
      <c r="KZ205" s="67"/>
      <c r="LA205" s="67"/>
      <c r="LB205" s="67"/>
      <c r="LC205" s="67"/>
      <c r="LD205" s="67"/>
      <c r="LE205" s="67"/>
      <c r="LF205" s="67"/>
      <c r="LG205" s="67"/>
      <c r="LH205" s="67"/>
      <c r="LI205" s="67"/>
      <c r="LJ205" s="67"/>
      <c r="LK205" s="67"/>
      <c r="LL205" s="67"/>
      <c r="LM205" s="67"/>
      <c r="LN205" s="67"/>
      <c r="LO205" s="67"/>
      <c r="LP205" s="67"/>
      <c r="LQ205" s="67"/>
      <c r="LR205" s="67"/>
      <c r="LS205" s="67"/>
      <c r="LT205" s="67"/>
      <c r="LU205" s="67"/>
      <c r="LV205" s="67"/>
      <c r="LW205" s="67"/>
      <c r="LX205" s="67"/>
      <c r="LY205" s="67"/>
      <c r="LZ205" s="67"/>
      <c r="MA205" s="67"/>
      <c r="MB205" s="67"/>
    </row>
    <row r="206" spans="1:340" s="50" customFormat="1" ht="15.75" hidden="1" customHeight="1" thickBot="1">
      <c r="A206" s="44">
        <v>3</v>
      </c>
      <c r="B206" s="88" t="s">
        <v>167</v>
      </c>
      <c r="C206" s="85" t="s">
        <v>168</v>
      </c>
      <c r="D206" s="86" t="s">
        <v>45</v>
      </c>
      <c r="E206" s="130" t="s">
        <v>62</v>
      </c>
      <c r="F206" s="87" t="s">
        <v>24</v>
      </c>
      <c r="G206" s="162"/>
      <c r="H206" s="153"/>
      <c r="I206" s="68" t="s">
        <v>26</v>
      </c>
      <c r="J206" s="68"/>
      <c r="K206" s="68"/>
      <c r="L206" s="68"/>
      <c r="M206" s="68"/>
      <c r="N206" s="68"/>
      <c r="O206" s="68" t="s">
        <v>41</v>
      </c>
      <c r="P206" s="68"/>
      <c r="Q206" s="68"/>
      <c r="R206" s="68"/>
      <c r="S206" s="68"/>
      <c r="T206" s="68"/>
      <c r="U206" s="68"/>
      <c r="V206" s="68" t="s">
        <v>26</v>
      </c>
      <c r="W206" s="68"/>
      <c r="X206" s="68"/>
      <c r="Y206" s="68"/>
      <c r="Z206" s="68"/>
      <c r="AA206" s="68"/>
      <c r="AB206" s="68"/>
      <c r="AC206" s="68" t="s">
        <v>27</v>
      </c>
      <c r="AD206" s="68" t="s">
        <v>26</v>
      </c>
      <c r="AE206" s="68"/>
      <c r="AF206" s="68"/>
      <c r="AG206" s="68"/>
      <c r="AH206" s="68"/>
      <c r="AI206" s="68"/>
      <c r="AJ206" s="68"/>
      <c r="AK206" s="153"/>
      <c r="AL206" s="68" t="s">
        <v>27</v>
      </c>
      <c r="AM206" s="68" t="s">
        <v>26</v>
      </c>
      <c r="AN206" s="68"/>
      <c r="AO206" s="68"/>
      <c r="AP206" s="68"/>
      <c r="AQ206" s="68"/>
      <c r="AR206" s="68"/>
      <c r="AS206" s="68"/>
      <c r="AT206" s="68"/>
      <c r="AU206" s="68" t="s">
        <v>27</v>
      </c>
      <c r="AV206" s="68" t="s">
        <v>26</v>
      </c>
      <c r="AW206" s="68"/>
      <c r="AX206" s="68"/>
      <c r="AY206" s="68"/>
      <c r="AZ206" s="68"/>
      <c r="BA206" s="68" t="s">
        <v>27</v>
      </c>
      <c r="BB206" s="68"/>
      <c r="BC206" s="68" t="s">
        <v>27</v>
      </c>
      <c r="BD206" s="68" t="s">
        <v>26</v>
      </c>
      <c r="BE206" s="68"/>
      <c r="BF206" s="68"/>
      <c r="BG206" s="68"/>
      <c r="BH206" s="68"/>
      <c r="BI206" s="68"/>
      <c r="BJ206" s="68"/>
      <c r="BK206" s="68" t="s">
        <v>27</v>
      </c>
      <c r="BL206" s="68" t="s">
        <v>26</v>
      </c>
      <c r="BM206" s="68"/>
      <c r="BN206" s="68"/>
      <c r="BO206" s="68"/>
      <c r="BP206" s="68"/>
      <c r="BQ206" s="68"/>
      <c r="BR206" s="68"/>
      <c r="BS206" s="68"/>
      <c r="BT206" s="68"/>
      <c r="BU206" s="68" t="s">
        <v>27</v>
      </c>
      <c r="BV206" s="68" t="s">
        <v>26</v>
      </c>
      <c r="BW206" s="68"/>
      <c r="BX206" s="68"/>
      <c r="BY206" s="68"/>
      <c r="BZ206" s="68"/>
      <c r="CA206" s="68"/>
      <c r="CB206" s="68"/>
      <c r="CC206" s="68" t="s">
        <v>27</v>
      </c>
      <c r="CD206" s="68" t="s">
        <v>37</v>
      </c>
      <c r="CE206" s="67"/>
      <c r="CF206" s="67"/>
      <c r="CG206" s="67"/>
      <c r="CH206" s="67"/>
      <c r="CI206" s="67"/>
      <c r="CJ206" s="67"/>
      <c r="CK206" s="67"/>
      <c r="CL206" s="67"/>
      <c r="CM206" s="67"/>
      <c r="CN206" s="67"/>
      <c r="CO206" s="67"/>
      <c r="CP206" s="67"/>
      <c r="CQ206" s="67"/>
      <c r="CR206" s="67"/>
      <c r="CS206" s="67"/>
      <c r="CT206" s="67"/>
      <c r="CU206" s="67"/>
      <c r="CV206" s="67"/>
      <c r="CW206" s="67"/>
      <c r="CX206" s="67"/>
      <c r="CY206" s="67"/>
      <c r="CZ206" s="67"/>
      <c r="DA206" s="67"/>
      <c r="DB206" s="67"/>
      <c r="DC206" s="67"/>
      <c r="DD206" s="67"/>
      <c r="DE206" s="67"/>
      <c r="DF206" s="67"/>
      <c r="DG206" s="67"/>
      <c r="DH206" s="67"/>
      <c r="DI206" s="67"/>
      <c r="DJ206" s="67"/>
      <c r="DK206" s="67"/>
      <c r="DL206" s="67"/>
      <c r="DM206" s="67"/>
      <c r="DN206" s="67"/>
      <c r="DO206" s="67"/>
      <c r="DP206" s="67"/>
      <c r="DQ206" s="67"/>
      <c r="DR206" s="67"/>
      <c r="DS206" s="67"/>
      <c r="DT206" s="67"/>
      <c r="DU206" s="67"/>
      <c r="DV206" s="67"/>
      <c r="DW206" s="67"/>
      <c r="DX206" s="67"/>
      <c r="DY206" s="67"/>
      <c r="DZ206" s="67"/>
      <c r="EA206" s="67"/>
      <c r="EB206" s="67"/>
      <c r="EC206" s="67"/>
      <c r="ED206" s="67"/>
      <c r="EE206" s="67"/>
      <c r="EF206" s="67"/>
      <c r="EG206" s="67"/>
      <c r="EH206" s="67"/>
      <c r="EI206" s="67"/>
      <c r="EJ206" s="67"/>
      <c r="EK206" s="67"/>
      <c r="EL206" s="67"/>
      <c r="EM206" s="67"/>
      <c r="EN206" s="67"/>
      <c r="EO206" s="67"/>
      <c r="EP206" s="67"/>
      <c r="EQ206" s="67"/>
      <c r="ER206" s="67"/>
      <c r="ES206" s="67"/>
      <c r="ET206" s="67"/>
      <c r="EU206" s="67"/>
      <c r="EV206" s="67"/>
      <c r="EW206" s="67"/>
      <c r="EX206" s="67"/>
      <c r="EY206" s="67"/>
      <c r="EZ206" s="67"/>
      <c r="FA206" s="67"/>
      <c r="FB206" s="67"/>
      <c r="FC206" s="67"/>
      <c r="FD206" s="67"/>
      <c r="FE206" s="67"/>
      <c r="FF206" s="67"/>
      <c r="FG206" s="67"/>
      <c r="FH206" s="67"/>
      <c r="FI206" s="67"/>
      <c r="FJ206" s="67"/>
      <c r="FK206" s="67"/>
      <c r="FL206" s="67"/>
      <c r="FM206" s="67"/>
      <c r="FN206" s="67"/>
      <c r="FO206" s="67"/>
      <c r="FP206" s="67"/>
      <c r="FQ206" s="67"/>
      <c r="FR206" s="67"/>
      <c r="FS206" s="67"/>
      <c r="FT206" s="67"/>
      <c r="FU206" s="67"/>
      <c r="FV206" s="67"/>
      <c r="FW206" s="67"/>
      <c r="FX206" s="67"/>
      <c r="FY206" s="67"/>
      <c r="FZ206" s="67"/>
      <c r="GA206" s="67"/>
      <c r="GB206" s="67"/>
      <c r="GC206" s="67"/>
      <c r="GD206" s="67"/>
      <c r="GE206" s="67"/>
      <c r="GF206" s="67"/>
      <c r="GG206" s="67"/>
      <c r="GH206" s="67"/>
      <c r="GI206" s="67"/>
      <c r="GJ206" s="67"/>
      <c r="GK206" s="67"/>
      <c r="GL206" s="67"/>
      <c r="GM206" s="67"/>
      <c r="GN206" s="67"/>
      <c r="GO206" s="67"/>
      <c r="GP206" s="67"/>
      <c r="GQ206" s="67"/>
      <c r="GR206" s="67"/>
      <c r="GS206" s="67"/>
      <c r="GT206" s="67"/>
      <c r="GU206" s="67"/>
      <c r="GV206" s="67"/>
      <c r="GW206" s="67"/>
      <c r="GX206" s="67"/>
      <c r="GY206" s="67"/>
      <c r="GZ206" s="67"/>
      <c r="HA206" s="67"/>
      <c r="HB206" s="67"/>
      <c r="HC206" s="67"/>
      <c r="HD206" s="67"/>
      <c r="HE206" s="67"/>
      <c r="HF206" s="67"/>
      <c r="HG206" s="67"/>
      <c r="HH206" s="67"/>
      <c r="HI206" s="67"/>
      <c r="HJ206" s="67"/>
      <c r="HK206" s="67"/>
      <c r="HL206" s="67"/>
      <c r="HM206" s="67"/>
      <c r="HN206" s="67"/>
      <c r="HO206" s="67"/>
      <c r="HP206" s="67"/>
      <c r="HQ206" s="67"/>
      <c r="HR206" s="67"/>
      <c r="HS206" s="67"/>
      <c r="HT206" s="67"/>
      <c r="HU206" s="67"/>
      <c r="HV206" s="67"/>
      <c r="HW206" s="67"/>
      <c r="HX206" s="67"/>
      <c r="HY206" s="67"/>
      <c r="HZ206" s="67"/>
      <c r="IA206" s="67"/>
      <c r="IB206" s="67"/>
      <c r="IC206" s="67"/>
      <c r="ID206" s="67"/>
      <c r="IE206" s="67"/>
      <c r="IF206" s="67"/>
      <c r="IG206" s="67"/>
      <c r="IH206" s="67"/>
      <c r="II206" s="67"/>
      <c r="IJ206" s="67"/>
      <c r="IK206" s="67"/>
      <c r="IL206" s="67"/>
      <c r="IM206" s="67"/>
      <c r="IN206" s="67"/>
      <c r="IO206" s="67"/>
      <c r="IP206" s="67"/>
      <c r="IQ206" s="67"/>
      <c r="IR206" s="67"/>
      <c r="IS206" s="67"/>
      <c r="IT206" s="67"/>
      <c r="IU206" s="67"/>
      <c r="IV206" s="67"/>
      <c r="IW206" s="67"/>
      <c r="IX206" s="67"/>
      <c r="IY206" s="67"/>
      <c r="IZ206" s="67"/>
      <c r="JA206" s="67"/>
      <c r="JB206" s="67"/>
      <c r="JC206" s="67"/>
      <c r="JD206" s="67"/>
      <c r="JE206" s="67"/>
      <c r="JF206" s="67"/>
      <c r="JG206" s="67"/>
      <c r="JH206" s="67"/>
      <c r="JI206" s="67"/>
      <c r="JJ206" s="67"/>
      <c r="JK206" s="67"/>
      <c r="JL206" s="67"/>
      <c r="JM206" s="67"/>
      <c r="JN206" s="67"/>
      <c r="JO206" s="67"/>
      <c r="JP206" s="67"/>
      <c r="JQ206" s="67"/>
      <c r="JR206" s="67"/>
      <c r="JS206" s="67"/>
      <c r="JT206" s="67"/>
      <c r="JU206" s="67"/>
      <c r="JV206" s="67"/>
      <c r="JW206" s="67"/>
      <c r="JX206" s="67"/>
      <c r="JY206" s="67"/>
      <c r="JZ206" s="67"/>
      <c r="KA206" s="67"/>
      <c r="KB206" s="67"/>
      <c r="KC206" s="67"/>
      <c r="KD206" s="67"/>
      <c r="KE206" s="67"/>
      <c r="KF206" s="67"/>
      <c r="KG206" s="67"/>
      <c r="KH206" s="67"/>
      <c r="KI206" s="67"/>
      <c r="KJ206" s="67"/>
      <c r="KK206" s="67"/>
      <c r="KL206" s="67"/>
      <c r="KM206" s="67"/>
      <c r="KN206" s="67"/>
      <c r="KO206" s="67"/>
      <c r="KP206" s="67"/>
      <c r="KQ206" s="67"/>
      <c r="KR206" s="67"/>
      <c r="KS206" s="67"/>
      <c r="KT206" s="67"/>
      <c r="KU206" s="67"/>
      <c r="KV206" s="67"/>
      <c r="KW206" s="67"/>
      <c r="KX206" s="67"/>
      <c r="KY206" s="67"/>
      <c r="KZ206" s="67"/>
      <c r="LA206" s="67"/>
      <c r="LB206" s="67"/>
      <c r="LC206" s="67"/>
      <c r="LD206" s="67"/>
      <c r="LE206" s="67"/>
      <c r="LF206" s="67"/>
      <c r="LG206" s="67"/>
      <c r="LH206" s="67"/>
      <c r="LI206" s="67"/>
      <c r="LJ206" s="67"/>
      <c r="LK206" s="67"/>
      <c r="LL206" s="67"/>
      <c r="LM206" s="67"/>
      <c r="LN206" s="67"/>
      <c r="LO206" s="67"/>
      <c r="LP206" s="67"/>
      <c r="LQ206" s="67"/>
      <c r="LR206" s="67"/>
      <c r="LS206" s="67"/>
      <c r="LT206" s="67"/>
      <c r="LU206" s="67"/>
      <c r="LV206" s="67"/>
      <c r="LW206" s="67"/>
      <c r="LX206" s="67"/>
      <c r="LY206" s="67"/>
      <c r="LZ206" s="67"/>
      <c r="MA206" s="67"/>
      <c r="MB206" s="67"/>
    </row>
    <row r="207" spans="1:340" s="50" customFormat="1" ht="15.75" hidden="1" customHeight="1" thickBot="1">
      <c r="A207" s="44">
        <v>3</v>
      </c>
      <c r="B207" s="88" t="s">
        <v>311</v>
      </c>
      <c r="C207" s="85" t="s">
        <v>312</v>
      </c>
      <c r="D207" s="86" t="s">
        <v>49</v>
      </c>
      <c r="E207" s="130" t="s">
        <v>36</v>
      </c>
      <c r="F207" s="87" t="s">
        <v>24</v>
      </c>
      <c r="G207" s="139"/>
      <c r="H207" s="68"/>
      <c r="I207" s="153"/>
      <c r="J207" s="68"/>
      <c r="K207" s="68"/>
      <c r="L207" s="68"/>
      <c r="M207" s="68"/>
      <c r="N207" s="68"/>
      <c r="O207" s="68"/>
      <c r="P207" s="68"/>
      <c r="Q207" s="68"/>
      <c r="R207" s="153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 t="s">
        <v>25</v>
      </c>
      <c r="BI207" s="68" t="s">
        <v>26</v>
      </c>
      <c r="BJ207" s="68"/>
      <c r="BK207" s="68"/>
      <c r="BL207" s="68"/>
      <c r="BM207" s="68" t="s">
        <v>41</v>
      </c>
      <c r="BN207" s="68"/>
      <c r="BO207" s="68"/>
      <c r="BP207" s="68"/>
      <c r="BQ207" s="68"/>
      <c r="BR207" s="68"/>
      <c r="BS207" s="68"/>
      <c r="BT207" s="68"/>
      <c r="BU207" s="68"/>
      <c r="BV207" s="68"/>
      <c r="BW207" s="68"/>
      <c r="BX207" s="68"/>
      <c r="BY207" s="68"/>
      <c r="BZ207" s="68"/>
      <c r="CA207" s="68"/>
      <c r="CB207" s="68"/>
      <c r="CC207" s="68" t="s">
        <v>26</v>
      </c>
      <c r="CD207" s="68"/>
      <c r="CE207" s="68" t="s">
        <v>42</v>
      </c>
      <c r="CF207" s="68" t="s">
        <v>41</v>
      </c>
      <c r="CG207" s="68" t="s">
        <v>37</v>
      </c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  <c r="CU207" s="67"/>
      <c r="CV207" s="67"/>
      <c r="CW207" s="67"/>
      <c r="CX207" s="67"/>
      <c r="CY207" s="67"/>
      <c r="CZ207" s="67"/>
      <c r="DA207" s="67"/>
      <c r="DB207" s="67"/>
      <c r="DC207" s="67"/>
      <c r="DD207" s="67"/>
      <c r="DE207" s="67"/>
      <c r="DF207" s="67"/>
      <c r="DG207" s="67"/>
      <c r="DH207" s="67"/>
      <c r="DI207" s="67"/>
      <c r="DJ207" s="67"/>
      <c r="DK207" s="67"/>
      <c r="DL207" s="67"/>
      <c r="DM207" s="67"/>
      <c r="DN207" s="67"/>
      <c r="DO207" s="67"/>
      <c r="DP207" s="67"/>
      <c r="DQ207" s="67"/>
      <c r="DR207" s="67"/>
      <c r="DS207" s="67"/>
      <c r="DT207" s="67"/>
      <c r="DU207" s="67"/>
      <c r="DV207" s="67"/>
      <c r="DW207" s="67"/>
      <c r="DX207" s="67"/>
      <c r="DY207" s="67"/>
      <c r="DZ207" s="67"/>
      <c r="EA207" s="67"/>
      <c r="EB207" s="67"/>
      <c r="EC207" s="67"/>
      <c r="ED207" s="67"/>
      <c r="EE207" s="67"/>
      <c r="EF207" s="67"/>
      <c r="EG207" s="67"/>
      <c r="EH207" s="67"/>
      <c r="EI207" s="67"/>
      <c r="EJ207" s="67"/>
      <c r="EK207" s="67"/>
      <c r="EL207" s="67"/>
      <c r="EM207" s="67"/>
      <c r="EN207" s="67"/>
      <c r="EO207" s="67"/>
      <c r="EP207" s="67"/>
      <c r="EQ207" s="67"/>
      <c r="ER207" s="67"/>
      <c r="ES207" s="67"/>
      <c r="ET207" s="67"/>
      <c r="EU207" s="67"/>
      <c r="EV207" s="67"/>
      <c r="EW207" s="67"/>
      <c r="EX207" s="67"/>
      <c r="EY207" s="67"/>
      <c r="EZ207" s="67"/>
      <c r="FA207" s="67"/>
      <c r="FB207" s="67"/>
      <c r="FC207" s="67"/>
      <c r="FD207" s="67"/>
      <c r="FE207" s="67"/>
      <c r="FF207" s="67"/>
      <c r="FG207" s="67"/>
      <c r="FH207" s="67"/>
      <c r="FI207" s="67"/>
      <c r="FJ207" s="67"/>
      <c r="FK207" s="67"/>
      <c r="FL207" s="67"/>
      <c r="FM207" s="67"/>
      <c r="FN207" s="67"/>
      <c r="FO207" s="67"/>
      <c r="FP207" s="67"/>
      <c r="FQ207" s="67"/>
      <c r="FR207" s="67"/>
      <c r="FS207" s="67"/>
      <c r="FT207" s="67"/>
      <c r="FU207" s="67"/>
      <c r="FV207" s="67"/>
      <c r="FW207" s="67"/>
      <c r="FX207" s="67"/>
      <c r="FY207" s="67"/>
      <c r="FZ207" s="67"/>
      <c r="GA207" s="67"/>
      <c r="GB207" s="67"/>
      <c r="GC207" s="67"/>
      <c r="GD207" s="67"/>
      <c r="GE207" s="67"/>
      <c r="GF207" s="67"/>
      <c r="GG207" s="67"/>
      <c r="GH207" s="67"/>
      <c r="GI207" s="67"/>
      <c r="GJ207" s="67"/>
      <c r="GK207" s="67"/>
      <c r="GL207" s="67"/>
      <c r="GM207" s="67"/>
      <c r="GN207" s="67"/>
      <c r="GO207" s="67"/>
      <c r="GP207" s="67"/>
      <c r="GQ207" s="67"/>
      <c r="GR207" s="67"/>
      <c r="GS207" s="67"/>
      <c r="GT207" s="67"/>
      <c r="GU207" s="67"/>
      <c r="GV207" s="67"/>
      <c r="GW207" s="67"/>
      <c r="GX207" s="67"/>
      <c r="GY207" s="67"/>
      <c r="GZ207" s="67"/>
      <c r="HA207" s="67"/>
      <c r="HB207" s="67"/>
      <c r="HC207" s="67"/>
      <c r="HD207" s="67"/>
      <c r="HE207" s="67"/>
      <c r="HF207" s="67"/>
      <c r="HG207" s="67"/>
      <c r="HH207" s="67"/>
      <c r="HI207" s="67"/>
      <c r="HJ207" s="67"/>
      <c r="HK207" s="67"/>
      <c r="HL207" s="67"/>
      <c r="HM207" s="67"/>
      <c r="HN207" s="67"/>
      <c r="HO207" s="67"/>
      <c r="HP207" s="67"/>
      <c r="HQ207" s="67"/>
      <c r="HR207" s="67"/>
      <c r="HS207" s="67"/>
      <c r="HT207" s="67"/>
      <c r="HU207" s="67"/>
      <c r="HV207" s="67"/>
      <c r="HW207" s="67"/>
      <c r="HX207" s="67"/>
      <c r="HY207" s="67"/>
      <c r="HZ207" s="67"/>
      <c r="IA207" s="67"/>
      <c r="IB207" s="67"/>
      <c r="IC207" s="67"/>
      <c r="ID207" s="67"/>
      <c r="IE207" s="67"/>
      <c r="IF207" s="67"/>
      <c r="IG207" s="67"/>
      <c r="IH207" s="67"/>
      <c r="II207" s="67"/>
      <c r="IJ207" s="67"/>
      <c r="IK207" s="67"/>
      <c r="IL207" s="67"/>
      <c r="IM207" s="67"/>
      <c r="IN207" s="67"/>
      <c r="IO207" s="67"/>
      <c r="IP207" s="67"/>
      <c r="IQ207" s="67"/>
      <c r="IR207" s="67"/>
      <c r="IS207" s="67"/>
      <c r="IT207" s="67"/>
      <c r="IU207" s="67"/>
      <c r="IV207" s="67"/>
      <c r="IW207" s="67"/>
      <c r="IX207" s="67"/>
      <c r="IY207" s="67"/>
      <c r="IZ207" s="67"/>
      <c r="JA207" s="67"/>
      <c r="JB207" s="67"/>
      <c r="JC207" s="67"/>
      <c r="JD207" s="67"/>
      <c r="JE207" s="67"/>
      <c r="JF207" s="67"/>
      <c r="JG207" s="67"/>
      <c r="JH207" s="67"/>
      <c r="JI207" s="67"/>
      <c r="JJ207" s="67"/>
      <c r="JK207" s="67"/>
      <c r="JL207" s="67"/>
      <c r="JM207" s="67"/>
      <c r="JN207" s="67"/>
      <c r="JO207" s="67"/>
      <c r="JP207" s="67"/>
      <c r="JQ207" s="67"/>
      <c r="JR207" s="67"/>
      <c r="JS207" s="67"/>
      <c r="JT207" s="67"/>
      <c r="JU207" s="67"/>
      <c r="JV207" s="67"/>
      <c r="JW207" s="67"/>
      <c r="JX207" s="67"/>
      <c r="JY207" s="67"/>
      <c r="JZ207" s="67"/>
      <c r="KA207" s="67"/>
      <c r="KB207" s="67"/>
      <c r="KC207" s="67"/>
      <c r="KD207" s="67"/>
      <c r="KE207" s="67"/>
      <c r="KF207" s="67"/>
      <c r="KG207" s="67"/>
      <c r="KH207" s="67"/>
      <c r="KI207" s="67"/>
      <c r="KJ207" s="67"/>
      <c r="KK207" s="67"/>
      <c r="KL207" s="67"/>
      <c r="KM207" s="67"/>
      <c r="KN207" s="67"/>
      <c r="KO207" s="67"/>
      <c r="KP207" s="67"/>
      <c r="KQ207" s="67"/>
      <c r="KR207" s="67"/>
      <c r="KS207" s="67"/>
      <c r="KT207" s="67"/>
      <c r="KU207" s="67"/>
      <c r="KV207" s="67"/>
      <c r="KW207" s="67"/>
      <c r="KX207" s="67"/>
      <c r="KY207" s="67"/>
      <c r="KZ207" s="67"/>
      <c r="LA207" s="67"/>
      <c r="LB207" s="67"/>
      <c r="LC207" s="67"/>
      <c r="LD207" s="67"/>
      <c r="LE207" s="67"/>
      <c r="LF207" s="67"/>
      <c r="LG207" s="67"/>
      <c r="LH207" s="67"/>
      <c r="LI207" s="67"/>
      <c r="LJ207" s="67"/>
      <c r="LK207" s="67"/>
      <c r="LL207" s="67"/>
      <c r="LM207" s="67"/>
      <c r="LN207" s="67"/>
      <c r="LO207" s="67"/>
      <c r="LP207" s="67"/>
      <c r="LQ207" s="67"/>
      <c r="LR207" s="67"/>
      <c r="LS207" s="67"/>
      <c r="LT207" s="67"/>
      <c r="LU207" s="67"/>
      <c r="LV207" s="67"/>
      <c r="LW207" s="67"/>
      <c r="LX207" s="67"/>
      <c r="LY207" s="67"/>
      <c r="LZ207" s="67"/>
      <c r="MA207" s="67"/>
      <c r="MB207" s="67"/>
    </row>
    <row r="208" spans="1:340" s="50" customFormat="1" ht="15.75" customHeight="1" thickBot="1">
      <c r="A208" s="44">
        <v>3</v>
      </c>
      <c r="B208" s="88" t="s">
        <v>313</v>
      </c>
      <c r="C208" s="85" t="s">
        <v>314</v>
      </c>
      <c r="D208" s="86" t="s">
        <v>22</v>
      </c>
      <c r="E208" s="130" t="s">
        <v>23</v>
      </c>
      <c r="F208" s="87" t="s">
        <v>24</v>
      </c>
      <c r="G208" s="139"/>
      <c r="H208" s="68" t="s">
        <v>27</v>
      </c>
      <c r="I208" s="68"/>
      <c r="J208" s="68"/>
      <c r="K208" s="68"/>
      <c r="L208" s="68"/>
      <c r="M208" s="68"/>
      <c r="N208" s="68"/>
      <c r="O208" s="68"/>
      <c r="P208" s="68"/>
      <c r="Q208" s="68" t="s">
        <v>26</v>
      </c>
      <c r="R208" s="68"/>
      <c r="S208" s="68"/>
      <c r="T208" s="68"/>
      <c r="U208" s="68"/>
      <c r="V208" s="68" t="s">
        <v>42</v>
      </c>
      <c r="W208" s="68" t="s">
        <v>42</v>
      </c>
      <c r="X208" s="68" t="s">
        <v>41</v>
      </c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 t="s">
        <v>27</v>
      </c>
      <c r="AW208" s="68"/>
      <c r="AX208" s="68"/>
      <c r="AY208" s="68"/>
      <c r="AZ208" s="68"/>
      <c r="BA208" s="68"/>
      <c r="BB208" s="68" t="s">
        <v>26</v>
      </c>
      <c r="BC208" s="68"/>
      <c r="BD208" s="68"/>
      <c r="BE208" s="68"/>
      <c r="BF208" s="68"/>
      <c r="BG208" s="153"/>
      <c r="BH208" s="153"/>
      <c r="BI208" s="153"/>
      <c r="BJ208" s="68" t="s">
        <v>41</v>
      </c>
      <c r="BK208" s="68"/>
      <c r="BL208" s="68"/>
      <c r="BM208" s="68"/>
      <c r="BN208" s="68"/>
      <c r="BO208" s="68"/>
      <c r="BP208" s="68"/>
      <c r="BQ208" s="68"/>
      <c r="BR208" s="68"/>
      <c r="BS208" s="68"/>
      <c r="BT208" s="68"/>
      <c r="BU208" s="68" t="s">
        <v>28</v>
      </c>
      <c r="BV208" s="68"/>
      <c r="BW208" s="68"/>
      <c r="BX208" s="68"/>
      <c r="BY208" s="68"/>
      <c r="BZ208" s="68"/>
      <c r="CA208" s="68"/>
      <c r="CB208" s="68"/>
      <c r="CC208" s="68"/>
      <c r="CD208" s="68"/>
      <c r="CE208" s="68"/>
      <c r="CF208" s="68" t="s">
        <v>27</v>
      </c>
      <c r="CG208" s="68" t="s">
        <v>37</v>
      </c>
      <c r="CH208" s="67"/>
      <c r="CI208" s="67"/>
      <c r="CJ208" s="67"/>
      <c r="CK208" s="67"/>
      <c r="CL208" s="67"/>
      <c r="CM208" s="67"/>
      <c r="CN208" s="67"/>
      <c r="CO208" s="67"/>
      <c r="CP208" s="67"/>
      <c r="CQ208" s="67"/>
      <c r="CR208" s="67"/>
      <c r="CS208" s="67"/>
      <c r="CT208" s="67"/>
      <c r="CU208" s="67"/>
      <c r="CV208" s="67"/>
      <c r="CW208" s="67"/>
      <c r="CX208" s="67"/>
      <c r="CY208" s="67"/>
      <c r="CZ208" s="67"/>
      <c r="DA208" s="67"/>
      <c r="DB208" s="67"/>
      <c r="DC208" s="67"/>
      <c r="DD208" s="67"/>
      <c r="DE208" s="67"/>
      <c r="DF208" s="67"/>
      <c r="DG208" s="67"/>
      <c r="DH208" s="67"/>
      <c r="DI208" s="67"/>
      <c r="DJ208" s="67"/>
      <c r="DK208" s="67"/>
      <c r="DL208" s="67"/>
      <c r="DM208" s="67"/>
      <c r="DN208" s="67"/>
      <c r="DO208" s="67"/>
      <c r="DP208" s="67"/>
      <c r="DQ208" s="67"/>
      <c r="DR208" s="67"/>
      <c r="DS208" s="67"/>
      <c r="DT208" s="67"/>
      <c r="DU208" s="67"/>
      <c r="DV208" s="67"/>
      <c r="DW208" s="67"/>
      <c r="DX208" s="67"/>
      <c r="DY208" s="67"/>
      <c r="DZ208" s="67"/>
      <c r="EA208" s="67"/>
      <c r="EB208" s="67"/>
      <c r="EC208" s="67"/>
      <c r="ED208" s="67"/>
      <c r="EE208" s="67"/>
      <c r="EF208" s="67"/>
      <c r="EG208" s="67"/>
      <c r="EH208" s="67"/>
      <c r="EI208" s="67"/>
      <c r="EJ208" s="67"/>
      <c r="EK208" s="67"/>
      <c r="EL208" s="67"/>
      <c r="EM208" s="67"/>
      <c r="EN208" s="67"/>
      <c r="EO208" s="67"/>
      <c r="EP208" s="67"/>
      <c r="EQ208" s="67"/>
      <c r="ER208" s="67"/>
      <c r="ES208" s="67"/>
      <c r="ET208" s="67"/>
      <c r="EU208" s="67"/>
      <c r="EV208" s="67"/>
      <c r="EW208" s="67"/>
      <c r="EX208" s="67"/>
      <c r="EY208" s="67"/>
      <c r="EZ208" s="67"/>
      <c r="FA208" s="67"/>
      <c r="FB208" s="67"/>
      <c r="FC208" s="67"/>
      <c r="FD208" s="67"/>
      <c r="FE208" s="67"/>
      <c r="FF208" s="67"/>
      <c r="FG208" s="67"/>
      <c r="FH208" s="67"/>
      <c r="FI208" s="67"/>
      <c r="FJ208" s="67"/>
      <c r="FK208" s="67"/>
      <c r="FL208" s="67"/>
      <c r="FM208" s="67"/>
      <c r="FN208" s="67"/>
      <c r="FO208" s="67"/>
      <c r="FP208" s="67"/>
      <c r="FQ208" s="67"/>
      <c r="FR208" s="67"/>
      <c r="FS208" s="67"/>
      <c r="FT208" s="67"/>
      <c r="FU208" s="67"/>
      <c r="FV208" s="67"/>
      <c r="FW208" s="67"/>
      <c r="FX208" s="67"/>
      <c r="FY208" s="67"/>
      <c r="FZ208" s="67"/>
      <c r="GA208" s="67"/>
      <c r="GB208" s="67"/>
      <c r="GC208" s="67"/>
      <c r="GD208" s="67"/>
      <c r="GE208" s="67"/>
      <c r="GF208" s="67"/>
      <c r="GG208" s="67"/>
      <c r="GH208" s="67"/>
      <c r="GI208" s="67"/>
      <c r="GJ208" s="67"/>
      <c r="GK208" s="67"/>
      <c r="GL208" s="67"/>
      <c r="GM208" s="67"/>
      <c r="GN208" s="67"/>
      <c r="GO208" s="67"/>
      <c r="GP208" s="67"/>
      <c r="GQ208" s="67"/>
      <c r="GR208" s="67"/>
      <c r="GS208" s="67"/>
      <c r="GT208" s="67"/>
      <c r="GU208" s="67"/>
      <c r="GV208" s="67"/>
      <c r="GW208" s="67"/>
      <c r="GX208" s="67"/>
      <c r="GY208" s="67"/>
      <c r="GZ208" s="67"/>
      <c r="HA208" s="67"/>
      <c r="HB208" s="67"/>
      <c r="HC208" s="67"/>
      <c r="HD208" s="67"/>
      <c r="HE208" s="67"/>
      <c r="HF208" s="67"/>
      <c r="HG208" s="67"/>
      <c r="HH208" s="67"/>
      <c r="HI208" s="67"/>
      <c r="HJ208" s="67"/>
      <c r="HK208" s="67"/>
      <c r="HL208" s="67"/>
      <c r="HM208" s="67"/>
      <c r="HN208" s="67"/>
      <c r="HO208" s="67"/>
      <c r="HP208" s="67"/>
      <c r="HQ208" s="67"/>
      <c r="HR208" s="67"/>
      <c r="HS208" s="67"/>
      <c r="HT208" s="67"/>
      <c r="HU208" s="67"/>
      <c r="HV208" s="67"/>
      <c r="HW208" s="67"/>
      <c r="HX208" s="67"/>
      <c r="HY208" s="67"/>
      <c r="HZ208" s="67"/>
      <c r="IA208" s="67"/>
      <c r="IB208" s="67"/>
      <c r="IC208" s="67"/>
      <c r="ID208" s="67"/>
      <c r="IE208" s="67"/>
      <c r="IF208" s="67"/>
      <c r="IG208" s="67"/>
      <c r="IH208" s="67"/>
      <c r="II208" s="67"/>
      <c r="IJ208" s="67"/>
      <c r="IK208" s="67"/>
      <c r="IL208" s="67"/>
      <c r="IM208" s="67"/>
      <c r="IN208" s="67"/>
      <c r="IO208" s="67"/>
      <c r="IP208" s="67"/>
      <c r="IQ208" s="67"/>
      <c r="IR208" s="67"/>
      <c r="IS208" s="67"/>
      <c r="IT208" s="67"/>
      <c r="IU208" s="67"/>
      <c r="IV208" s="67"/>
      <c r="IW208" s="67"/>
      <c r="IX208" s="67"/>
      <c r="IY208" s="67"/>
      <c r="IZ208" s="67"/>
      <c r="JA208" s="67"/>
      <c r="JB208" s="67"/>
      <c r="JC208" s="67"/>
      <c r="JD208" s="67"/>
      <c r="JE208" s="67"/>
      <c r="JF208" s="67"/>
      <c r="JG208" s="67"/>
      <c r="JH208" s="67"/>
      <c r="JI208" s="67"/>
      <c r="JJ208" s="67"/>
      <c r="JK208" s="67"/>
      <c r="JL208" s="67"/>
      <c r="JM208" s="67"/>
      <c r="JN208" s="67"/>
      <c r="JO208" s="67"/>
      <c r="JP208" s="67"/>
      <c r="JQ208" s="67"/>
      <c r="JR208" s="67"/>
      <c r="JS208" s="67"/>
      <c r="JT208" s="67"/>
      <c r="JU208" s="67"/>
      <c r="JV208" s="67"/>
      <c r="JW208" s="67"/>
      <c r="JX208" s="67"/>
      <c r="JY208" s="67"/>
      <c r="JZ208" s="67"/>
      <c r="KA208" s="67"/>
      <c r="KB208" s="67"/>
      <c r="KC208" s="67"/>
      <c r="KD208" s="67"/>
      <c r="KE208" s="67"/>
      <c r="KF208" s="67"/>
      <c r="KG208" s="67"/>
      <c r="KH208" s="67"/>
      <c r="KI208" s="67"/>
      <c r="KJ208" s="67"/>
      <c r="KK208" s="67"/>
      <c r="KL208" s="67"/>
      <c r="KM208" s="67"/>
      <c r="KN208" s="67"/>
      <c r="KO208" s="67"/>
      <c r="KP208" s="67"/>
      <c r="KQ208" s="67"/>
      <c r="KR208" s="67"/>
      <c r="KS208" s="67"/>
      <c r="KT208" s="67"/>
      <c r="KU208" s="67"/>
      <c r="KV208" s="67"/>
      <c r="KW208" s="67"/>
      <c r="KX208" s="67"/>
      <c r="KY208" s="67"/>
      <c r="KZ208" s="67"/>
      <c r="LA208" s="67"/>
      <c r="LB208" s="67"/>
      <c r="LC208" s="67"/>
      <c r="LD208" s="67"/>
      <c r="LE208" s="67"/>
      <c r="LF208" s="67"/>
      <c r="LG208" s="67"/>
      <c r="LH208" s="67"/>
      <c r="LI208" s="67"/>
      <c r="LJ208" s="67"/>
      <c r="LK208" s="67"/>
      <c r="LL208" s="67"/>
      <c r="LM208" s="67"/>
      <c r="LN208" s="67"/>
      <c r="LO208" s="67"/>
      <c r="LP208" s="67"/>
      <c r="LQ208" s="67"/>
      <c r="LR208" s="67"/>
      <c r="LS208" s="67"/>
      <c r="LT208" s="67"/>
      <c r="LU208" s="67"/>
      <c r="LV208" s="67"/>
      <c r="LW208" s="67"/>
      <c r="LX208" s="67"/>
      <c r="LY208" s="67"/>
      <c r="LZ208" s="67"/>
      <c r="MA208" s="67"/>
      <c r="MB208" s="67"/>
    </row>
    <row r="209" spans="1:340" s="50" customFormat="1" ht="15.75" hidden="1" customHeight="1" thickBot="1">
      <c r="A209" s="44">
        <v>3</v>
      </c>
      <c r="B209" s="88" t="s">
        <v>89</v>
      </c>
      <c r="C209" s="85" t="s">
        <v>92</v>
      </c>
      <c r="D209" s="86" t="s">
        <v>35</v>
      </c>
      <c r="E209" s="130" t="s">
        <v>36</v>
      </c>
      <c r="F209" s="87" t="s">
        <v>24</v>
      </c>
      <c r="G209" s="139"/>
      <c r="H209" s="68"/>
      <c r="I209" s="68"/>
      <c r="J209" s="68"/>
      <c r="K209" s="68"/>
      <c r="L209" s="68"/>
      <c r="M209" s="68"/>
      <c r="N209" s="68"/>
      <c r="O209" s="68"/>
      <c r="P209" s="68"/>
      <c r="Q209" s="68" t="s">
        <v>41</v>
      </c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 t="s">
        <v>41</v>
      </c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 t="s">
        <v>41</v>
      </c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 t="s">
        <v>41</v>
      </c>
      <c r="BB209" s="68"/>
      <c r="BC209" s="68"/>
      <c r="BD209" s="68"/>
      <c r="BE209" s="68"/>
      <c r="BF209" s="68"/>
      <c r="BG209" s="68"/>
      <c r="BH209" s="68"/>
      <c r="BI209" s="68"/>
      <c r="BJ209" s="68"/>
      <c r="BK209" s="68"/>
      <c r="BL209" s="159"/>
      <c r="BM209" s="68" t="s">
        <v>41</v>
      </c>
      <c r="BN209" s="68"/>
      <c r="BO209" s="68"/>
      <c r="BP209" s="68"/>
      <c r="BQ209" s="68"/>
      <c r="BR209" s="68"/>
      <c r="BS209" s="68"/>
      <c r="BT209" s="68"/>
      <c r="BU209" s="68"/>
      <c r="BV209" s="68"/>
      <c r="BW209" s="68"/>
      <c r="BX209" s="68" t="s">
        <v>41</v>
      </c>
      <c r="BY209" s="68"/>
      <c r="BZ209" s="68"/>
      <c r="CA209" s="68"/>
      <c r="CB209" s="68"/>
      <c r="CC209" s="68"/>
      <c r="CD209" s="68"/>
      <c r="CE209" s="68"/>
      <c r="CF209" s="68"/>
      <c r="CG209" s="68"/>
      <c r="CH209" s="68" t="s">
        <v>41</v>
      </c>
      <c r="CI209" s="68" t="s">
        <v>37</v>
      </c>
      <c r="CJ209" s="67"/>
      <c r="CK209" s="67"/>
      <c r="CL209" s="67"/>
      <c r="CM209" s="67"/>
      <c r="CN209" s="67"/>
      <c r="CO209" s="67"/>
      <c r="CP209" s="67"/>
      <c r="CQ209" s="67"/>
      <c r="CR209" s="67"/>
      <c r="CS209" s="67"/>
      <c r="CT209" s="67"/>
      <c r="CU209" s="67"/>
      <c r="CV209" s="67"/>
      <c r="CW209" s="67"/>
      <c r="CX209" s="67"/>
      <c r="CY209" s="67"/>
      <c r="CZ209" s="67"/>
      <c r="DA209" s="67"/>
      <c r="DB209" s="67"/>
      <c r="DC209" s="67"/>
      <c r="DD209" s="67"/>
      <c r="DE209" s="67"/>
      <c r="DF209" s="67"/>
      <c r="DG209" s="67"/>
      <c r="DH209" s="67"/>
      <c r="DI209" s="67"/>
      <c r="DJ209" s="67"/>
      <c r="DK209" s="67"/>
      <c r="DL209" s="67"/>
      <c r="DM209" s="67"/>
      <c r="DN209" s="67"/>
      <c r="DO209" s="67"/>
      <c r="DP209" s="67"/>
      <c r="DQ209" s="67"/>
      <c r="DR209" s="67"/>
      <c r="DS209" s="67"/>
      <c r="DT209" s="67"/>
      <c r="DU209" s="67"/>
      <c r="DV209" s="67"/>
      <c r="DW209" s="67"/>
      <c r="DX209" s="67"/>
      <c r="DY209" s="67"/>
      <c r="DZ209" s="67"/>
      <c r="EA209" s="67"/>
      <c r="EB209" s="67"/>
      <c r="EC209" s="67"/>
      <c r="ED209" s="67"/>
      <c r="EE209" s="67"/>
      <c r="EF209" s="67"/>
      <c r="EG209" s="67"/>
      <c r="EH209" s="67"/>
      <c r="EI209" s="67"/>
      <c r="EJ209" s="67"/>
      <c r="EK209" s="67"/>
      <c r="EL209" s="67"/>
      <c r="EM209" s="67"/>
      <c r="EN209" s="67"/>
      <c r="EO209" s="67"/>
      <c r="EP209" s="67"/>
      <c r="EQ209" s="67"/>
      <c r="ER209" s="67"/>
      <c r="ES209" s="67"/>
      <c r="ET209" s="67"/>
      <c r="EU209" s="67"/>
      <c r="EV209" s="67"/>
      <c r="EW209" s="67"/>
      <c r="EX209" s="67"/>
      <c r="EY209" s="67"/>
      <c r="EZ209" s="67"/>
      <c r="FA209" s="67"/>
      <c r="FB209" s="67"/>
      <c r="FC209" s="67"/>
      <c r="FD209" s="67"/>
      <c r="FE209" s="67"/>
      <c r="FF209" s="67"/>
      <c r="FG209" s="67"/>
      <c r="FH209" s="67"/>
      <c r="FI209" s="67"/>
      <c r="FJ209" s="67"/>
      <c r="FK209" s="67"/>
      <c r="FL209" s="67"/>
      <c r="FM209" s="67"/>
      <c r="FN209" s="67"/>
      <c r="FO209" s="67"/>
      <c r="FP209" s="67"/>
      <c r="FQ209" s="67"/>
      <c r="FR209" s="67"/>
      <c r="FS209" s="67"/>
      <c r="FT209" s="67"/>
      <c r="FU209" s="67"/>
      <c r="FV209" s="67"/>
      <c r="FW209" s="67"/>
      <c r="FX209" s="67"/>
      <c r="FY209" s="67"/>
      <c r="FZ209" s="67"/>
      <c r="GA209" s="67"/>
      <c r="GB209" s="67"/>
      <c r="GC209" s="67"/>
      <c r="GD209" s="67"/>
      <c r="GE209" s="67"/>
      <c r="GF209" s="67"/>
      <c r="GG209" s="67"/>
      <c r="GH209" s="67"/>
      <c r="GI209" s="67"/>
      <c r="GJ209" s="67"/>
      <c r="GK209" s="67"/>
      <c r="GL209" s="67"/>
      <c r="GM209" s="67"/>
      <c r="GN209" s="67"/>
      <c r="GO209" s="67"/>
      <c r="GP209" s="67"/>
      <c r="GQ209" s="67"/>
      <c r="GR209" s="67"/>
      <c r="GS209" s="67"/>
      <c r="GT209" s="67"/>
      <c r="GU209" s="67"/>
      <c r="GV209" s="67"/>
      <c r="GW209" s="67"/>
      <c r="GX209" s="67"/>
      <c r="GY209" s="67"/>
      <c r="GZ209" s="67"/>
      <c r="HA209" s="67"/>
      <c r="HB209" s="67"/>
      <c r="HC209" s="67"/>
      <c r="HD209" s="67"/>
      <c r="HE209" s="67"/>
      <c r="HF209" s="67"/>
      <c r="HG209" s="67"/>
      <c r="HH209" s="67"/>
      <c r="HI209" s="67"/>
      <c r="HJ209" s="67"/>
      <c r="HK209" s="67"/>
      <c r="HL209" s="67"/>
      <c r="HM209" s="67"/>
      <c r="HN209" s="67"/>
      <c r="HO209" s="67"/>
      <c r="HP209" s="67"/>
      <c r="HQ209" s="67"/>
      <c r="HR209" s="67"/>
      <c r="HS209" s="67"/>
      <c r="HT209" s="67"/>
      <c r="HU209" s="67"/>
      <c r="HV209" s="67"/>
      <c r="HW209" s="67"/>
      <c r="HX209" s="67"/>
      <c r="HY209" s="67"/>
      <c r="HZ209" s="67"/>
      <c r="IA209" s="67"/>
      <c r="IB209" s="67"/>
      <c r="IC209" s="67"/>
      <c r="ID209" s="67"/>
      <c r="IE209" s="67"/>
      <c r="IF209" s="67"/>
      <c r="IG209" s="67"/>
      <c r="IH209" s="67"/>
      <c r="II209" s="67"/>
      <c r="IJ209" s="67"/>
      <c r="IK209" s="67"/>
      <c r="IL209" s="67"/>
      <c r="IM209" s="67"/>
      <c r="IN209" s="67"/>
      <c r="IO209" s="67"/>
      <c r="IP209" s="67"/>
      <c r="IQ209" s="67"/>
      <c r="IR209" s="67"/>
      <c r="IS209" s="67"/>
      <c r="IT209" s="67"/>
      <c r="IU209" s="67"/>
      <c r="IV209" s="67"/>
      <c r="IW209" s="67"/>
      <c r="IX209" s="67"/>
      <c r="IY209" s="67"/>
      <c r="IZ209" s="67"/>
      <c r="JA209" s="67"/>
      <c r="JB209" s="67"/>
      <c r="JC209" s="67"/>
      <c r="JD209" s="67"/>
      <c r="JE209" s="67"/>
      <c r="JF209" s="67"/>
      <c r="JG209" s="67"/>
      <c r="JH209" s="67"/>
      <c r="JI209" s="67"/>
      <c r="JJ209" s="67"/>
      <c r="JK209" s="67"/>
      <c r="JL209" s="67"/>
      <c r="JM209" s="67"/>
      <c r="JN209" s="67"/>
      <c r="JO209" s="67"/>
      <c r="JP209" s="67"/>
      <c r="JQ209" s="67"/>
      <c r="JR209" s="67"/>
      <c r="JS209" s="67"/>
      <c r="JT209" s="67"/>
      <c r="JU209" s="67"/>
      <c r="JV209" s="67"/>
      <c r="JW209" s="67"/>
      <c r="JX209" s="67"/>
      <c r="JY209" s="67"/>
      <c r="JZ209" s="67"/>
      <c r="KA209" s="67"/>
      <c r="KB209" s="67"/>
      <c r="KC209" s="67"/>
      <c r="KD209" s="67"/>
      <c r="KE209" s="67"/>
      <c r="KF209" s="67"/>
      <c r="KG209" s="67"/>
      <c r="KH209" s="67"/>
      <c r="KI209" s="67"/>
      <c r="KJ209" s="67"/>
      <c r="KK209" s="67"/>
      <c r="KL209" s="67"/>
      <c r="KM209" s="67"/>
      <c r="KN209" s="67"/>
      <c r="KO209" s="67"/>
      <c r="KP209" s="67"/>
      <c r="KQ209" s="67"/>
      <c r="KR209" s="67"/>
      <c r="KS209" s="67"/>
      <c r="KT209" s="67"/>
      <c r="KU209" s="67"/>
      <c r="KV209" s="67"/>
      <c r="KW209" s="67"/>
      <c r="KX209" s="67"/>
      <c r="KY209" s="67"/>
      <c r="KZ209" s="67"/>
      <c r="LA209" s="67"/>
      <c r="LB209" s="67"/>
      <c r="LC209" s="67"/>
      <c r="LD209" s="67"/>
      <c r="LE209" s="67"/>
      <c r="LF209" s="67"/>
      <c r="LG209" s="67"/>
      <c r="LH209" s="67"/>
      <c r="LI209" s="67"/>
      <c r="LJ209" s="67"/>
      <c r="LK209" s="67"/>
      <c r="LL209" s="67"/>
      <c r="LM209" s="67"/>
      <c r="LN209" s="67"/>
      <c r="LO209" s="67"/>
      <c r="LP209" s="67"/>
      <c r="LQ209" s="67"/>
      <c r="LR209" s="67"/>
      <c r="LS209" s="67"/>
      <c r="LT209" s="67"/>
      <c r="LU209" s="67"/>
      <c r="LV209" s="67"/>
      <c r="LW209" s="67"/>
      <c r="LX209" s="67"/>
      <c r="LY209" s="67"/>
      <c r="LZ209" s="67"/>
      <c r="MA209" s="67"/>
      <c r="MB209" s="67"/>
    </row>
    <row r="210" spans="1:340" s="50" customFormat="1" ht="15.75" hidden="1" customHeight="1" thickBot="1">
      <c r="A210" s="44">
        <v>3</v>
      </c>
      <c r="B210" s="88" t="s">
        <v>315</v>
      </c>
      <c r="C210" s="85" t="s">
        <v>144</v>
      </c>
      <c r="D210" s="86" t="s">
        <v>35</v>
      </c>
      <c r="E210" s="130" t="s">
        <v>36</v>
      </c>
      <c r="F210" s="87" t="s">
        <v>24</v>
      </c>
      <c r="G210" s="139"/>
      <c r="H210" s="68"/>
      <c r="I210" s="68"/>
      <c r="J210" s="68"/>
      <c r="K210" s="68"/>
      <c r="L210" s="68"/>
      <c r="M210" s="68"/>
      <c r="N210" s="68"/>
      <c r="O210" s="68"/>
      <c r="P210" s="68"/>
      <c r="Q210" s="153"/>
      <c r="R210" s="68"/>
      <c r="S210" s="68"/>
      <c r="T210" s="68"/>
      <c r="U210" s="68" t="s">
        <v>26</v>
      </c>
      <c r="V210" s="68" t="s">
        <v>41</v>
      </c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 t="s">
        <v>26</v>
      </c>
      <c r="AN210" s="68"/>
      <c r="AO210" s="68" t="s">
        <v>41</v>
      </c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 t="s">
        <v>26</v>
      </c>
      <c r="BB210" s="68"/>
      <c r="BC210" s="68"/>
      <c r="BD210" s="68"/>
      <c r="BE210" s="68"/>
      <c r="BF210" s="68" t="s">
        <v>28</v>
      </c>
      <c r="BG210" s="68"/>
      <c r="BH210" s="68" t="s">
        <v>41</v>
      </c>
      <c r="BI210" s="68"/>
      <c r="BJ210" s="68"/>
      <c r="BK210" s="68"/>
      <c r="BL210" s="68"/>
      <c r="BM210" s="68"/>
      <c r="BN210" s="68"/>
      <c r="BO210" s="68"/>
      <c r="BP210" s="68"/>
      <c r="BQ210" s="68"/>
      <c r="BR210" s="68"/>
      <c r="BS210" s="68"/>
      <c r="BT210" s="68"/>
      <c r="BU210" s="68"/>
      <c r="BV210" s="68" t="s">
        <v>26</v>
      </c>
      <c r="BW210" s="68"/>
      <c r="BX210" s="68" t="s">
        <v>41</v>
      </c>
      <c r="BY210" s="68"/>
      <c r="BZ210" s="68"/>
      <c r="CA210" s="68"/>
      <c r="CB210" s="68"/>
      <c r="CC210" s="68"/>
      <c r="CD210" s="68"/>
      <c r="CE210" s="68"/>
      <c r="CF210" s="68"/>
      <c r="CG210" s="68"/>
      <c r="CH210" s="68" t="s">
        <v>26</v>
      </c>
      <c r="CI210" s="170"/>
      <c r="CJ210" s="68"/>
      <c r="CK210" s="68" t="s">
        <v>41</v>
      </c>
      <c r="CL210" s="68" t="s">
        <v>37</v>
      </c>
      <c r="CM210" s="67"/>
      <c r="CN210" s="67"/>
      <c r="CO210" s="67"/>
      <c r="CP210" s="67"/>
      <c r="CQ210" s="67"/>
      <c r="CR210" s="67"/>
      <c r="CS210" s="67"/>
      <c r="CT210" s="67"/>
      <c r="CU210" s="67"/>
      <c r="CV210" s="67"/>
      <c r="CW210" s="67"/>
      <c r="CX210" s="67"/>
      <c r="CY210" s="67"/>
      <c r="CZ210" s="67"/>
      <c r="DA210" s="67"/>
      <c r="DB210" s="67"/>
      <c r="DC210" s="67"/>
      <c r="DD210" s="67"/>
      <c r="DE210" s="67"/>
      <c r="DF210" s="67"/>
      <c r="DG210" s="67"/>
      <c r="DH210" s="67"/>
      <c r="DI210" s="67"/>
      <c r="DJ210" s="67"/>
      <c r="DK210" s="67"/>
      <c r="DL210" s="67"/>
      <c r="DM210" s="67"/>
      <c r="DN210" s="67"/>
      <c r="DO210" s="67"/>
      <c r="DP210" s="67"/>
      <c r="DQ210" s="67"/>
      <c r="DR210" s="67"/>
      <c r="DS210" s="67"/>
      <c r="DT210" s="67"/>
      <c r="DU210" s="67"/>
      <c r="DV210" s="67"/>
      <c r="DW210" s="67"/>
      <c r="DX210" s="67"/>
      <c r="DY210" s="67"/>
      <c r="DZ210" s="67"/>
      <c r="EA210" s="67"/>
      <c r="EB210" s="67"/>
      <c r="EC210" s="67"/>
      <c r="ED210" s="67"/>
      <c r="EE210" s="67"/>
      <c r="EF210" s="67"/>
      <c r="EG210" s="67"/>
      <c r="EH210" s="67"/>
      <c r="EI210" s="67"/>
      <c r="EJ210" s="67"/>
      <c r="EK210" s="67"/>
      <c r="EL210" s="67"/>
      <c r="EM210" s="67"/>
      <c r="EN210" s="67"/>
      <c r="EO210" s="67"/>
      <c r="EP210" s="67"/>
      <c r="EQ210" s="67"/>
      <c r="ER210" s="67"/>
      <c r="ES210" s="67"/>
      <c r="ET210" s="67"/>
      <c r="EU210" s="67"/>
      <c r="EV210" s="67"/>
      <c r="EW210" s="67"/>
      <c r="EX210" s="67"/>
      <c r="EY210" s="67"/>
      <c r="EZ210" s="67"/>
      <c r="FA210" s="67"/>
      <c r="FB210" s="67"/>
      <c r="FC210" s="67"/>
      <c r="FD210" s="67"/>
      <c r="FE210" s="67"/>
      <c r="FF210" s="67"/>
      <c r="FG210" s="67"/>
      <c r="FH210" s="67"/>
      <c r="FI210" s="67"/>
      <c r="FJ210" s="67"/>
      <c r="FK210" s="67"/>
      <c r="FL210" s="67"/>
      <c r="FM210" s="67"/>
      <c r="FN210" s="67"/>
      <c r="FO210" s="67"/>
      <c r="FP210" s="67"/>
      <c r="FQ210" s="67"/>
      <c r="FR210" s="67"/>
      <c r="FS210" s="67"/>
      <c r="FT210" s="67"/>
      <c r="FU210" s="67"/>
      <c r="FV210" s="67"/>
      <c r="FW210" s="67"/>
      <c r="FX210" s="67"/>
      <c r="FY210" s="67"/>
      <c r="FZ210" s="67"/>
      <c r="GA210" s="67"/>
      <c r="GB210" s="67"/>
      <c r="GC210" s="67"/>
      <c r="GD210" s="67"/>
      <c r="GE210" s="67"/>
      <c r="GF210" s="67"/>
      <c r="GG210" s="67"/>
      <c r="GH210" s="67"/>
      <c r="GI210" s="67"/>
      <c r="GJ210" s="67"/>
      <c r="GK210" s="67"/>
      <c r="GL210" s="67"/>
      <c r="GM210" s="67"/>
      <c r="GN210" s="67"/>
      <c r="GO210" s="67"/>
      <c r="GP210" s="67"/>
      <c r="GQ210" s="67"/>
      <c r="GR210" s="67"/>
      <c r="GS210" s="67"/>
      <c r="GT210" s="67"/>
      <c r="GU210" s="67"/>
      <c r="GV210" s="67"/>
      <c r="GW210" s="67"/>
      <c r="GX210" s="67"/>
      <c r="GY210" s="67"/>
      <c r="GZ210" s="67"/>
      <c r="HA210" s="67"/>
      <c r="HB210" s="67"/>
      <c r="HC210" s="67"/>
      <c r="HD210" s="67"/>
      <c r="HE210" s="67"/>
      <c r="HF210" s="67"/>
      <c r="HG210" s="67"/>
      <c r="HH210" s="67"/>
      <c r="HI210" s="67"/>
      <c r="HJ210" s="67"/>
      <c r="HK210" s="67"/>
      <c r="HL210" s="67"/>
      <c r="HM210" s="67"/>
      <c r="HN210" s="67"/>
      <c r="HO210" s="67"/>
      <c r="HP210" s="67"/>
      <c r="HQ210" s="67"/>
      <c r="HR210" s="67"/>
      <c r="HS210" s="67"/>
      <c r="HT210" s="67"/>
      <c r="HU210" s="67"/>
      <c r="HV210" s="67"/>
      <c r="HW210" s="67"/>
      <c r="HX210" s="67"/>
      <c r="HY210" s="67"/>
      <c r="HZ210" s="67"/>
      <c r="IA210" s="67"/>
      <c r="IB210" s="67"/>
      <c r="IC210" s="67"/>
      <c r="ID210" s="67"/>
      <c r="IE210" s="67"/>
      <c r="IF210" s="67"/>
      <c r="IG210" s="67"/>
      <c r="IH210" s="67"/>
      <c r="II210" s="67"/>
      <c r="IJ210" s="67"/>
      <c r="IK210" s="67"/>
      <c r="IL210" s="67"/>
      <c r="IM210" s="67"/>
      <c r="IN210" s="67"/>
      <c r="IO210" s="67"/>
      <c r="IP210" s="67"/>
      <c r="IQ210" s="67"/>
      <c r="IR210" s="67"/>
      <c r="IS210" s="67"/>
      <c r="IT210" s="67"/>
      <c r="IU210" s="67"/>
      <c r="IV210" s="67"/>
      <c r="IW210" s="67"/>
      <c r="IX210" s="67"/>
      <c r="IY210" s="67"/>
      <c r="IZ210" s="67"/>
      <c r="JA210" s="67"/>
      <c r="JB210" s="67"/>
      <c r="JC210" s="67"/>
      <c r="JD210" s="67"/>
      <c r="JE210" s="67"/>
      <c r="JF210" s="67"/>
      <c r="JG210" s="67"/>
      <c r="JH210" s="67"/>
      <c r="JI210" s="67"/>
      <c r="JJ210" s="67"/>
      <c r="JK210" s="67"/>
      <c r="JL210" s="67"/>
      <c r="JM210" s="67"/>
      <c r="JN210" s="67"/>
      <c r="JO210" s="67"/>
      <c r="JP210" s="67"/>
      <c r="JQ210" s="67"/>
      <c r="JR210" s="67"/>
      <c r="JS210" s="67"/>
      <c r="JT210" s="67"/>
      <c r="JU210" s="67"/>
      <c r="JV210" s="67"/>
      <c r="JW210" s="67"/>
      <c r="JX210" s="67"/>
      <c r="JY210" s="67"/>
      <c r="JZ210" s="67"/>
      <c r="KA210" s="67"/>
      <c r="KB210" s="67"/>
      <c r="KC210" s="67"/>
      <c r="KD210" s="67"/>
      <c r="KE210" s="67"/>
      <c r="KF210" s="67"/>
      <c r="KG210" s="67"/>
      <c r="KH210" s="67"/>
      <c r="KI210" s="67"/>
      <c r="KJ210" s="67"/>
      <c r="KK210" s="67"/>
      <c r="KL210" s="67"/>
      <c r="KM210" s="67"/>
      <c r="KN210" s="67"/>
      <c r="KO210" s="67"/>
      <c r="KP210" s="67"/>
      <c r="KQ210" s="67"/>
      <c r="KR210" s="67"/>
      <c r="KS210" s="67"/>
      <c r="KT210" s="67"/>
      <c r="KU210" s="67"/>
      <c r="KV210" s="67"/>
      <c r="KW210" s="67"/>
      <c r="KX210" s="67"/>
      <c r="KY210" s="67"/>
      <c r="KZ210" s="67"/>
      <c r="LA210" s="67"/>
      <c r="LB210" s="67"/>
      <c r="LC210" s="67"/>
      <c r="LD210" s="67"/>
      <c r="LE210" s="67"/>
      <c r="LF210" s="67"/>
      <c r="LG210" s="67"/>
      <c r="LH210" s="67"/>
      <c r="LI210" s="67"/>
      <c r="LJ210" s="67"/>
      <c r="LK210" s="67"/>
      <c r="LL210" s="67"/>
      <c r="LM210" s="67"/>
      <c r="LN210" s="67"/>
      <c r="LO210" s="67"/>
      <c r="LP210" s="67"/>
      <c r="LQ210" s="67"/>
      <c r="LR210" s="67"/>
      <c r="LS210" s="67"/>
      <c r="LT210" s="67"/>
      <c r="LU210" s="67"/>
      <c r="LV210" s="67"/>
      <c r="LW210" s="67"/>
      <c r="LX210" s="67"/>
      <c r="LY210" s="67"/>
      <c r="LZ210" s="67"/>
      <c r="MA210" s="67"/>
      <c r="MB210" s="67"/>
    </row>
    <row r="211" spans="1:340" s="50" customFormat="1" ht="15.75" customHeight="1" thickBot="1">
      <c r="A211" s="44">
        <v>3</v>
      </c>
      <c r="B211" s="88" t="s">
        <v>115</v>
      </c>
      <c r="C211" s="85" t="s">
        <v>316</v>
      </c>
      <c r="D211" s="86" t="s">
        <v>22</v>
      </c>
      <c r="E211" s="130" t="s">
        <v>23</v>
      </c>
      <c r="F211" s="87" t="s">
        <v>24</v>
      </c>
      <c r="G211" s="139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  <c r="BK211" s="68"/>
      <c r="BL211" s="68"/>
      <c r="BM211" s="68"/>
      <c r="BN211" s="68"/>
      <c r="BO211" s="68"/>
      <c r="BP211" s="68"/>
      <c r="BQ211" s="68"/>
      <c r="BR211" s="68"/>
      <c r="BS211" s="68"/>
      <c r="BT211" s="68"/>
      <c r="BU211" s="68"/>
      <c r="BV211" s="68"/>
      <c r="BW211" s="68"/>
      <c r="BX211" s="68"/>
      <c r="BY211" s="68"/>
      <c r="BZ211" s="68"/>
      <c r="CA211" s="68"/>
      <c r="CB211" s="68"/>
      <c r="CC211" s="68"/>
      <c r="CD211" s="68"/>
      <c r="CE211" s="68"/>
      <c r="CF211" s="68"/>
      <c r="CG211" s="68"/>
      <c r="CH211" s="68"/>
      <c r="CI211" s="68"/>
      <c r="CJ211" s="68"/>
      <c r="CK211" s="68" t="s">
        <v>25</v>
      </c>
      <c r="CL211" s="68" t="s">
        <v>27</v>
      </c>
      <c r="CM211" s="68" t="s">
        <v>37</v>
      </c>
      <c r="CN211" s="67"/>
      <c r="CO211" s="67"/>
      <c r="CP211" s="67"/>
      <c r="CQ211" s="67"/>
      <c r="CR211" s="67"/>
      <c r="CS211" s="67"/>
      <c r="CT211" s="67"/>
      <c r="CU211" s="67"/>
      <c r="CV211" s="67"/>
      <c r="CW211" s="67"/>
      <c r="CX211" s="67"/>
      <c r="CY211" s="67"/>
      <c r="CZ211" s="67"/>
      <c r="DA211" s="67"/>
      <c r="DB211" s="67"/>
      <c r="DC211" s="67"/>
      <c r="DD211" s="67"/>
      <c r="DE211" s="67"/>
      <c r="DF211" s="67"/>
      <c r="DG211" s="67"/>
      <c r="DH211" s="67"/>
      <c r="DI211" s="67"/>
      <c r="DJ211" s="67"/>
      <c r="DK211" s="67"/>
      <c r="DL211" s="67"/>
      <c r="DM211" s="67"/>
      <c r="DN211" s="67"/>
      <c r="DO211" s="67"/>
      <c r="DP211" s="67"/>
      <c r="DQ211" s="67"/>
      <c r="DR211" s="67"/>
      <c r="DS211" s="67"/>
      <c r="DT211" s="67"/>
      <c r="DU211" s="67"/>
      <c r="DV211" s="67"/>
      <c r="DW211" s="67"/>
      <c r="DX211" s="67"/>
      <c r="DY211" s="67"/>
      <c r="DZ211" s="67"/>
      <c r="EA211" s="67"/>
      <c r="EB211" s="67"/>
      <c r="EC211" s="67"/>
      <c r="ED211" s="67"/>
      <c r="EE211" s="67"/>
      <c r="EF211" s="67"/>
      <c r="EG211" s="67"/>
      <c r="EH211" s="67"/>
      <c r="EI211" s="67"/>
      <c r="EJ211" s="67"/>
      <c r="EK211" s="67"/>
      <c r="EL211" s="67"/>
      <c r="EM211" s="67"/>
      <c r="EN211" s="67"/>
      <c r="EO211" s="67"/>
      <c r="EP211" s="67"/>
      <c r="EQ211" s="67"/>
      <c r="ER211" s="67"/>
      <c r="ES211" s="67"/>
      <c r="ET211" s="67"/>
      <c r="EU211" s="67"/>
      <c r="EV211" s="67"/>
      <c r="EW211" s="67"/>
      <c r="EX211" s="67"/>
      <c r="EY211" s="67"/>
      <c r="EZ211" s="67"/>
      <c r="FA211" s="67"/>
      <c r="FB211" s="67"/>
      <c r="FC211" s="67"/>
      <c r="FD211" s="67"/>
      <c r="FE211" s="67"/>
      <c r="FF211" s="67"/>
      <c r="FG211" s="67"/>
      <c r="FH211" s="67"/>
      <c r="FI211" s="67"/>
      <c r="FJ211" s="67"/>
      <c r="FK211" s="67"/>
      <c r="FL211" s="67"/>
      <c r="FM211" s="67"/>
      <c r="FN211" s="67"/>
      <c r="FO211" s="67"/>
      <c r="FP211" s="67"/>
      <c r="FQ211" s="67"/>
      <c r="FR211" s="67"/>
      <c r="FS211" s="67"/>
      <c r="FT211" s="67"/>
      <c r="FU211" s="67"/>
      <c r="FV211" s="67"/>
      <c r="FW211" s="67"/>
      <c r="FX211" s="67"/>
      <c r="FY211" s="67"/>
      <c r="FZ211" s="67"/>
      <c r="GA211" s="67"/>
      <c r="GB211" s="67"/>
      <c r="GC211" s="67"/>
      <c r="GD211" s="67"/>
      <c r="GE211" s="67"/>
      <c r="GF211" s="67"/>
      <c r="GG211" s="67"/>
      <c r="GH211" s="67"/>
      <c r="GI211" s="67"/>
      <c r="GJ211" s="67"/>
      <c r="GK211" s="67"/>
      <c r="GL211" s="67"/>
      <c r="GM211" s="67"/>
      <c r="GN211" s="67"/>
      <c r="GO211" s="67"/>
      <c r="GP211" s="67"/>
      <c r="GQ211" s="67"/>
      <c r="GR211" s="67"/>
      <c r="GS211" s="67"/>
      <c r="GT211" s="67"/>
      <c r="GU211" s="67"/>
      <c r="GV211" s="67"/>
      <c r="GW211" s="67"/>
      <c r="GX211" s="67"/>
      <c r="GY211" s="67"/>
      <c r="GZ211" s="67"/>
      <c r="HA211" s="67"/>
      <c r="HB211" s="67"/>
      <c r="HC211" s="67"/>
      <c r="HD211" s="67"/>
      <c r="HE211" s="67"/>
      <c r="HF211" s="67"/>
      <c r="HG211" s="67"/>
      <c r="HH211" s="67"/>
      <c r="HI211" s="67"/>
      <c r="HJ211" s="67"/>
      <c r="HK211" s="67"/>
      <c r="HL211" s="67"/>
      <c r="HM211" s="67"/>
      <c r="HN211" s="67"/>
      <c r="HO211" s="67"/>
      <c r="HP211" s="67"/>
      <c r="HQ211" s="67"/>
      <c r="HR211" s="67"/>
      <c r="HS211" s="67"/>
      <c r="HT211" s="67"/>
      <c r="HU211" s="67"/>
      <c r="HV211" s="67"/>
      <c r="HW211" s="67"/>
      <c r="HX211" s="67"/>
      <c r="HY211" s="67"/>
      <c r="HZ211" s="67"/>
      <c r="IA211" s="67"/>
      <c r="IB211" s="67"/>
      <c r="IC211" s="67"/>
      <c r="ID211" s="67"/>
      <c r="IE211" s="67"/>
      <c r="IF211" s="67"/>
      <c r="IG211" s="67"/>
      <c r="IH211" s="67"/>
      <c r="II211" s="67"/>
      <c r="IJ211" s="67"/>
      <c r="IK211" s="67"/>
      <c r="IL211" s="67"/>
      <c r="IM211" s="67"/>
      <c r="IN211" s="67"/>
      <c r="IO211" s="67"/>
      <c r="IP211" s="67"/>
      <c r="IQ211" s="67"/>
      <c r="IR211" s="67"/>
      <c r="IS211" s="67"/>
      <c r="IT211" s="67"/>
      <c r="IU211" s="67"/>
      <c r="IV211" s="67"/>
      <c r="IW211" s="67"/>
      <c r="IX211" s="67"/>
      <c r="IY211" s="67"/>
      <c r="IZ211" s="67"/>
      <c r="JA211" s="67"/>
      <c r="JB211" s="67"/>
      <c r="JC211" s="67"/>
      <c r="JD211" s="67"/>
      <c r="JE211" s="67"/>
      <c r="JF211" s="67"/>
      <c r="JG211" s="67"/>
      <c r="JH211" s="67"/>
      <c r="JI211" s="67"/>
      <c r="JJ211" s="67"/>
      <c r="JK211" s="67"/>
      <c r="JL211" s="67"/>
      <c r="JM211" s="67"/>
      <c r="JN211" s="67"/>
      <c r="JO211" s="67"/>
      <c r="JP211" s="67"/>
      <c r="JQ211" s="67"/>
      <c r="JR211" s="67"/>
      <c r="JS211" s="67"/>
      <c r="JT211" s="67"/>
      <c r="JU211" s="67"/>
      <c r="JV211" s="67"/>
      <c r="JW211" s="67"/>
      <c r="JX211" s="67"/>
      <c r="JY211" s="67"/>
      <c r="JZ211" s="67"/>
      <c r="KA211" s="67"/>
      <c r="KB211" s="67"/>
      <c r="KC211" s="67"/>
      <c r="KD211" s="67"/>
      <c r="KE211" s="67"/>
      <c r="KF211" s="67"/>
      <c r="KG211" s="67"/>
      <c r="KH211" s="67"/>
      <c r="KI211" s="67"/>
      <c r="KJ211" s="67"/>
      <c r="KK211" s="67"/>
      <c r="KL211" s="67"/>
      <c r="KM211" s="67"/>
      <c r="KN211" s="67"/>
      <c r="KO211" s="67"/>
      <c r="KP211" s="67"/>
      <c r="KQ211" s="67"/>
      <c r="KR211" s="67"/>
      <c r="KS211" s="67"/>
      <c r="KT211" s="67"/>
      <c r="KU211" s="67"/>
      <c r="KV211" s="67"/>
      <c r="KW211" s="67"/>
      <c r="KX211" s="67"/>
      <c r="KY211" s="67"/>
      <c r="KZ211" s="67"/>
      <c r="LA211" s="67"/>
      <c r="LB211" s="67"/>
      <c r="LC211" s="67"/>
      <c r="LD211" s="67"/>
      <c r="LE211" s="67"/>
      <c r="LF211" s="67"/>
      <c r="LG211" s="67"/>
      <c r="LH211" s="67"/>
      <c r="LI211" s="67"/>
      <c r="LJ211" s="67"/>
      <c r="LK211" s="67"/>
      <c r="LL211" s="67"/>
      <c r="LM211" s="67"/>
      <c r="LN211" s="67"/>
      <c r="LO211" s="67"/>
      <c r="LP211" s="67"/>
      <c r="LQ211" s="67"/>
      <c r="LR211" s="67"/>
      <c r="LS211" s="67"/>
      <c r="LT211" s="67"/>
      <c r="LU211" s="67"/>
      <c r="LV211" s="67"/>
      <c r="LW211" s="67"/>
      <c r="LX211" s="67"/>
      <c r="LY211" s="67"/>
      <c r="LZ211" s="67"/>
      <c r="MA211" s="67"/>
      <c r="MB211" s="67"/>
    </row>
    <row r="212" spans="1:340" s="50" customFormat="1" ht="15.75" customHeight="1" thickBot="1">
      <c r="A212" s="44">
        <v>3</v>
      </c>
      <c r="B212" s="150" t="s">
        <v>317</v>
      </c>
      <c r="C212" s="85" t="s">
        <v>21</v>
      </c>
      <c r="D212" s="86" t="s">
        <v>22</v>
      </c>
      <c r="E212" s="130" t="s">
        <v>23</v>
      </c>
      <c r="F212" s="87" t="s">
        <v>24</v>
      </c>
      <c r="G212" s="139"/>
      <c r="H212" s="68"/>
      <c r="I212" s="68"/>
      <c r="J212" s="68"/>
      <c r="K212" s="68" t="s">
        <v>27</v>
      </c>
      <c r="L212" s="68"/>
      <c r="M212" s="68"/>
      <c r="N212" s="68"/>
      <c r="O212" s="68"/>
      <c r="P212" s="68" t="s">
        <v>42</v>
      </c>
      <c r="Q212" s="68" t="s">
        <v>26</v>
      </c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 t="s">
        <v>27</v>
      </c>
      <c r="AG212" s="68"/>
      <c r="AH212" s="153"/>
      <c r="AI212" s="68" t="s">
        <v>26</v>
      </c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 t="s">
        <v>27</v>
      </c>
      <c r="AV212" s="68"/>
      <c r="AW212" s="68" t="s">
        <v>26</v>
      </c>
      <c r="AX212" s="68"/>
      <c r="AY212" s="153"/>
      <c r="AZ212" s="68"/>
      <c r="BA212" s="68"/>
      <c r="BB212" s="68"/>
      <c r="BC212" s="68"/>
      <c r="BD212" s="68"/>
      <c r="BE212" s="68"/>
      <c r="BF212" s="68"/>
      <c r="BG212" s="68"/>
      <c r="BH212" s="68" t="s">
        <v>27</v>
      </c>
      <c r="BI212" s="68"/>
      <c r="BJ212" s="68"/>
      <c r="BK212" s="68"/>
      <c r="BL212" s="68"/>
      <c r="BM212" s="68"/>
      <c r="BN212" s="68"/>
      <c r="BO212" s="68"/>
      <c r="BP212" s="68"/>
      <c r="BQ212" s="68"/>
      <c r="BR212" s="68" t="s">
        <v>26</v>
      </c>
      <c r="BS212" s="68"/>
      <c r="BT212" s="68"/>
      <c r="BU212" s="68"/>
      <c r="BV212" s="68"/>
      <c r="BW212" s="68"/>
      <c r="BX212" s="159"/>
      <c r="BY212" s="68" t="s">
        <v>27</v>
      </c>
      <c r="BZ212" s="68"/>
      <c r="CA212" s="68" t="s">
        <v>26</v>
      </c>
      <c r="CB212" s="68"/>
      <c r="CC212" s="68"/>
      <c r="CD212" s="68"/>
      <c r="CE212" s="68"/>
      <c r="CF212" s="68"/>
      <c r="CG212" s="68"/>
      <c r="CH212" s="153"/>
      <c r="CI212" s="153"/>
      <c r="CJ212" s="153"/>
      <c r="CK212" s="68"/>
      <c r="CL212" s="68"/>
      <c r="CM212" s="68" t="s">
        <v>27</v>
      </c>
      <c r="CN212" s="68" t="s">
        <v>37</v>
      </c>
      <c r="CO212" s="67"/>
      <c r="CP212" s="67"/>
      <c r="CQ212" s="67"/>
      <c r="CR212" s="67"/>
      <c r="CS212" s="67"/>
      <c r="CT212" s="67"/>
      <c r="CU212" s="67"/>
      <c r="CV212" s="67"/>
      <c r="CW212" s="67"/>
      <c r="CX212" s="67"/>
      <c r="CY212" s="67"/>
      <c r="CZ212" s="67"/>
      <c r="DA212" s="67"/>
      <c r="DB212" s="67"/>
      <c r="DC212" s="67"/>
      <c r="DD212" s="67"/>
      <c r="DE212" s="67"/>
      <c r="DF212" s="67"/>
      <c r="DG212" s="67"/>
      <c r="DH212" s="67"/>
      <c r="DI212" s="67"/>
      <c r="DJ212" s="67"/>
      <c r="DK212" s="67"/>
      <c r="DL212" s="67"/>
      <c r="DM212" s="67"/>
      <c r="DN212" s="67"/>
      <c r="DO212" s="67"/>
      <c r="DP212" s="67"/>
      <c r="DQ212" s="67"/>
      <c r="DR212" s="67"/>
      <c r="DS212" s="67"/>
      <c r="DT212" s="67"/>
      <c r="DU212" s="67"/>
      <c r="DV212" s="67"/>
      <c r="DW212" s="67"/>
      <c r="DX212" s="67"/>
      <c r="DY212" s="67"/>
      <c r="DZ212" s="67"/>
      <c r="EA212" s="67"/>
      <c r="EB212" s="67"/>
      <c r="EC212" s="67"/>
      <c r="ED212" s="67"/>
      <c r="EE212" s="67"/>
      <c r="EF212" s="67"/>
      <c r="EG212" s="67"/>
      <c r="EH212" s="67"/>
      <c r="EI212" s="67"/>
      <c r="EJ212" s="67"/>
      <c r="EK212" s="67"/>
      <c r="EL212" s="67"/>
      <c r="EM212" s="67"/>
      <c r="EN212" s="67"/>
      <c r="EO212" s="67"/>
      <c r="EP212" s="67"/>
      <c r="EQ212" s="67"/>
      <c r="ER212" s="67"/>
      <c r="ES212" s="67"/>
      <c r="ET212" s="67"/>
      <c r="EU212" s="67"/>
      <c r="EV212" s="67"/>
      <c r="EW212" s="67"/>
      <c r="EX212" s="67"/>
      <c r="EY212" s="67"/>
      <c r="EZ212" s="67"/>
      <c r="FA212" s="67"/>
      <c r="FB212" s="67"/>
      <c r="FC212" s="67"/>
      <c r="FD212" s="67"/>
      <c r="FE212" s="67"/>
      <c r="FF212" s="67"/>
      <c r="FG212" s="67"/>
      <c r="FH212" s="67"/>
      <c r="FI212" s="67"/>
      <c r="FJ212" s="67"/>
      <c r="FK212" s="67"/>
      <c r="FL212" s="67"/>
      <c r="FM212" s="67"/>
      <c r="FN212" s="67"/>
      <c r="FO212" s="67"/>
      <c r="FP212" s="67"/>
      <c r="FQ212" s="67"/>
      <c r="FR212" s="67"/>
      <c r="FS212" s="67"/>
      <c r="FT212" s="67"/>
      <c r="FU212" s="67"/>
      <c r="FV212" s="67"/>
      <c r="FW212" s="67"/>
      <c r="FX212" s="67"/>
      <c r="FY212" s="67"/>
      <c r="FZ212" s="67"/>
      <c r="GA212" s="67"/>
      <c r="GB212" s="67"/>
      <c r="GC212" s="67"/>
      <c r="GD212" s="67"/>
      <c r="GE212" s="67"/>
      <c r="GF212" s="67"/>
      <c r="GG212" s="67"/>
      <c r="GH212" s="67"/>
      <c r="GI212" s="67"/>
      <c r="GJ212" s="67"/>
      <c r="GK212" s="67"/>
      <c r="GL212" s="67"/>
      <c r="GM212" s="67"/>
      <c r="GN212" s="67"/>
      <c r="GO212" s="67"/>
      <c r="GP212" s="67"/>
      <c r="GQ212" s="67"/>
      <c r="GR212" s="67"/>
      <c r="GS212" s="67"/>
      <c r="GT212" s="67"/>
      <c r="GU212" s="67"/>
      <c r="GV212" s="67"/>
      <c r="GW212" s="67"/>
      <c r="GX212" s="67"/>
      <c r="GY212" s="67"/>
      <c r="GZ212" s="67"/>
      <c r="HA212" s="67"/>
      <c r="HB212" s="67"/>
      <c r="HC212" s="67"/>
      <c r="HD212" s="67"/>
      <c r="HE212" s="67"/>
      <c r="HF212" s="67"/>
      <c r="HG212" s="67"/>
      <c r="HH212" s="67"/>
      <c r="HI212" s="67"/>
      <c r="HJ212" s="67"/>
      <c r="HK212" s="67"/>
      <c r="HL212" s="67"/>
      <c r="HM212" s="67"/>
      <c r="HN212" s="67"/>
      <c r="HO212" s="67"/>
      <c r="HP212" s="67"/>
      <c r="HQ212" s="67"/>
      <c r="HR212" s="67"/>
      <c r="HS212" s="67"/>
      <c r="HT212" s="67"/>
      <c r="HU212" s="67"/>
      <c r="HV212" s="67"/>
      <c r="HW212" s="67"/>
      <c r="HX212" s="67"/>
      <c r="HY212" s="67"/>
      <c r="HZ212" s="67"/>
      <c r="IA212" s="67"/>
      <c r="IB212" s="67"/>
      <c r="IC212" s="67"/>
      <c r="ID212" s="67"/>
      <c r="IE212" s="67"/>
      <c r="IF212" s="67"/>
      <c r="IG212" s="67"/>
      <c r="IH212" s="67"/>
      <c r="II212" s="67"/>
      <c r="IJ212" s="67"/>
      <c r="IK212" s="67"/>
      <c r="IL212" s="67"/>
      <c r="IM212" s="67"/>
      <c r="IN212" s="67"/>
      <c r="IO212" s="67"/>
      <c r="IP212" s="67"/>
      <c r="IQ212" s="67"/>
      <c r="IR212" s="67"/>
      <c r="IS212" s="67"/>
      <c r="IT212" s="67"/>
      <c r="IU212" s="67"/>
      <c r="IV212" s="67"/>
      <c r="IW212" s="67"/>
      <c r="IX212" s="67"/>
      <c r="IY212" s="67"/>
      <c r="IZ212" s="67"/>
      <c r="JA212" s="67"/>
      <c r="JB212" s="67"/>
      <c r="JC212" s="67"/>
      <c r="JD212" s="67"/>
      <c r="JE212" s="67"/>
      <c r="JF212" s="67"/>
      <c r="JG212" s="67"/>
      <c r="JH212" s="67"/>
      <c r="JI212" s="67"/>
      <c r="JJ212" s="67"/>
      <c r="JK212" s="67"/>
      <c r="JL212" s="67"/>
      <c r="JM212" s="67"/>
      <c r="JN212" s="67"/>
      <c r="JO212" s="67"/>
      <c r="JP212" s="67"/>
      <c r="JQ212" s="67"/>
      <c r="JR212" s="67"/>
      <c r="JS212" s="67"/>
      <c r="JT212" s="67"/>
      <c r="JU212" s="67"/>
      <c r="JV212" s="67"/>
      <c r="JW212" s="67"/>
      <c r="JX212" s="67"/>
      <c r="JY212" s="67"/>
      <c r="JZ212" s="67"/>
      <c r="KA212" s="67"/>
      <c r="KB212" s="67"/>
      <c r="KC212" s="67"/>
      <c r="KD212" s="67"/>
      <c r="KE212" s="67"/>
      <c r="KF212" s="67"/>
      <c r="KG212" s="67"/>
      <c r="KH212" s="67"/>
      <c r="KI212" s="67"/>
      <c r="KJ212" s="67"/>
      <c r="KK212" s="67"/>
      <c r="KL212" s="67"/>
      <c r="KM212" s="67"/>
      <c r="KN212" s="67"/>
      <c r="KO212" s="67"/>
      <c r="KP212" s="67"/>
      <c r="KQ212" s="67"/>
      <c r="KR212" s="67"/>
      <c r="KS212" s="67"/>
      <c r="KT212" s="67"/>
      <c r="KU212" s="67"/>
      <c r="KV212" s="67"/>
      <c r="KW212" s="67"/>
      <c r="KX212" s="67"/>
      <c r="KY212" s="67"/>
      <c r="KZ212" s="67"/>
      <c r="LA212" s="67"/>
      <c r="LB212" s="67"/>
      <c r="LC212" s="67"/>
      <c r="LD212" s="67"/>
      <c r="LE212" s="67"/>
      <c r="LF212" s="67"/>
      <c r="LG212" s="67"/>
      <c r="LH212" s="67"/>
      <c r="LI212" s="67"/>
      <c r="LJ212" s="67"/>
      <c r="LK212" s="67"/>
      <c r="LL212" s="67"/>
      <c r="LM212" s="67"/>
      <c r="LN212" s="67"/>
      <c r="LO212" s="67"/>
      <c r="LP212" s="67"/>
      <c r="LQ212" s="67"/>
      <c r="LR212" s="67"/>
      <c r="LS212" s="67"/>
      <c r="LT212" s="67"/>
      <c r="LU212" s="67"/>
      <c r="LV212" s="67"/>
      <c r="LW212" s="67"/>
      <c r="LX212" s="67"/>
      <c r="LY212" s="67"/>
      <c r="LZ212" s="67"/>
      <c r="MA212" s="67"/>
      <c r="MB212" s="67"/>
    </row>
    <row r="213" spans="1:340" s="50" customFormat="1" ht="15.75" hidden="1" customHeight="1" thickBot="1">
      <c r="A213" s="44">
        <v>3</v>
      </c>
      <c r="B213" s="88" t="s">
        <v>176</v>
      </c>
      <c r="C213" s="85" t="s">
        <v>184</v>
      </c>
      <c r="D213" s="86" t="s">
        <v>35</v>
      </c>
      <c r="E213" s="130" t="s">
        <v>40</v>
      </c>
      <c r="F213" s="87" t="s">
        <v>24</v>
      </c>
      <c r="G213" s="139"/>
      <c r="H213" s="68"/>
      <c r="I213" s="68"/>
      <c r="J213" s="153"/>
      <c r="K213" s="68"/>
      <c r="L213" s="68"/>
      <c r="M213" s="68"/>
      <c r="N213" s="68"/>
      <c r="O213" s="68"/>
      <c r="P213" s="68" t="s">
        <v>41</v>
      </c>
      <c r="Q213" s="68"/>
      <c r="R213" s="68"/>
      <c r="S213" s="68"/>
      <c r="T213" s="68"/>
      <c r="U213" s="68"/>
      <c r="V213" s="68"/>
      <c r="W213" s="68"/>
      <c r="X213" s="68"/>
      <c r="Y213" s="68" t="s">
        <v>42</v>
      </c>
      <c r="Z213" s="68"/>
      <c r="AA213" s="68"/>
      <c r="AB213" s="68"/>
      <c r="AC213" s="68"/>
      <c r="AD213" s="68"/>
      <c r="AE213" s="68" t="s">
        <v>57</v>
      </c>
      <c r="AF213" s="68"/>
      <c r="AG213" s="153"/>
      <c r="AH213" s="68"/>
      <c r="AI213" s="68"/>
      <c r="AJ213" s="68" t="s">
        <v>26</v>
      </c>
      <c r="AK213" s="68"/>
      <c r="AL213" s="68"/>
      <c r="AM213" s="68"/>
      <c r="AN213" s="68"/>
      <c r="AO213" s="68"/>
      <c r="AP213" s="68"/>
      <c r="AQ213" s="68" t="s">
        <v>41</v>
      </c>
      <c r="AR213" s="68"/>
      <c r="AS213" s="68"/>
      <c r="AT213" s="68"/>
      <c r="AU213" s="68"/>
      <c r="AV213" s="68"/>
      <c r="AW213" s="68"/>
      <c r="AX213" s="68"/>
      <c r="AY213" s="68" t="s">
        <v>57</v>
      </c>
      <c r="AZ213" s="68"/>
      <c r="BA213" s="68"/>
      <c r="BB213" s="68"/>
      <c r="BC213" s="68" t="s">
        <v>26</v>
      </c>
      <c r="BD213" s="68"/>
      <c r="BE213" s="68"/>
      <c r="BF213" s="68"/>
      <c r="BG213" s="68"/>
      <c r="BH213" s="68"/>
      <c r="BI213" s="153"/>
      <c r="BJ213" s="68"/>
      <c r="BK213" s="68" t="s">
        <v>41</v>
      </c>
      <c r="BL213" s="68"/>
      <c r="BM213" s="68"/>
      <c r="BN213" s="68"/>
      <c r="BO213" s="68"/>
      <c r="BP213" s="68"/>
      <c r="BQ213" s="68"/>
      <c r="BR213" s="68"/>
      <c r="BS213" s="68"/>
      <c r="BT213" s="68"/>
      <c r="BU213" s="68"/>
      <c r="BV213" s="68" t="s">
        <v>57</v>
      </c>
      <c r="BW213" s="68"/>
      <c r="BX213" s="68"/>
      <c r="BY213" s="68"/>
      <c r="BZ213" s="68"/>
      <c r="CA213" s="68" t="s">
        <v>26</v>
      </c>
      <c r="CB213" s="68"/>
      <c r="CC213" s="68"/>
      <c r="CD213" s="68"/>
      <c r="CE213" s="68"/>
      <c r="CF213" s="68"/>
      <c r="CG213" s="68"/>
      <c r="CH213" s="68"/>
      <c r="CI213" s="68" t="s">
        <v>41</v>
      </c>
      <c r="CJ213" s="68"/>
      <c r="CK213" s="68"/>
      <c r="CL213" s="68"/>
      <c r="CM213" s="68"/>
      <c r="CN213" s="68" t="s">
        <v>57</v>
      </c>
      <c r="CO213" s="68" t="s">
        <v>37</v>
      </c>
      <c r="CP213" s="67"/>
      <c r="CQ213" s="67"/>
      <c r="CR213" s="67"/>
      <c r="CS213" s="67"/>
      <c r="CT213" s="67"/>
      <c r="CU213" s="67"/>
      <c r="CV213" s="67"/>
      <c r="CW213" s="67"/>
      <c r="CX213" s="67"/>
      <c r="CY213" s="67"/>
      <c r="CZ213" s="67"/>
      <c r="DA213" s="67"/>
      <c r="DB213" s="67"/>
      <c r="DC213" s="67"/>
      <c r="DD213" s="67"/>
      <c r="DE213" s="67"/>
      <c r="DF213" s="67"/>
      <c r="DG213" s="67"/>
      <c r="DH213" s="67"/>
      <c r="DI213" s="67"/>
      <c r="DJ213" s="67"/>
      <c r="DK213" s="67"/>
      <c r="DL213" s="67"/>
      <c r="DM213" s="67"/>
      <c r="DN213" s="67"/>
      <c r="DO213" s="67"/>
      <c r="DP213" s="67"/>
      <c r="DQ213" s="67"/>
      <c r="DR213" s="67"/>
      <c r="DS213" s="67"/>
      <c r="DT213" s="67"/>
      <c r="DU213" s="67"/>
      <c r="DV213" s="67"/>
      <c r="DW213" s="67"/>
      <c r="DX213" s="67"/>
      <c r="DY213" s="67"/>
      <c r="DZ213" s="67"/>
      <c r="EA213" s="67"/>
      <c r="EB213" s="67"/>
      <c r="EC213" s="67"/>
      <c r="ED213" s="67"/>
      <c r="EE213" s="67"/>
      <c r="EF213" s="67"/>
      <c r="EG213" s="67"/>
      <c r="EH213" s="67"/>
      <c r="EI213" s="67"/>
      <c r="EJ213" s="67"/>
      <c r="EK213" s="67"/>
      <c r="EL213" s="67"/>
      <c r="EM213" s="67"/>
      <c r="EN213" s="67"/>
      <c r="EO213" s="67"/>
      <c r="EP213" s="67"/>
      <c r="EQ213" s="67"/>
      <c r="ER213" s="67"/>
      <c r="ES213" s="67"/>
      <c r="ET213" s="67"/>
      <c r="EU213" s="67"/>
      <c r="EV213" s="67"/>
      <c r="EW213" s="67"/>
      <c r="EX213" s="67"/>
      <c r="EY213" s="67"/>
      <c r="EZ213" s="67"/>
      <c r="FA213" s="67"/>
      <c r="FB213" s="67"/>
      <c r="FC213" s="67"/>
      <c r="FD213" s="67"/>
      <c r="FE213" s="67"/>
      <c r="FF213" s="67"/>
      <c r="FG213" s="67"/>
      <c r="FH213" s="67"/>
      <c r="FI213" s="67"/>
      <c r="FJ213" s="67"/>
      <c r="FK213" s="67"/>
      <c r="FL213" s="67"/>
      <c r="FM213" s="67"/>
      <c r="FN213" s="67"/>
      <c r="FO213" s="67"/>
      <c r="FP213" s="67"/>
      <c r="FQ213" s="67"/>
      <c r="FR213" s="67"/>
      <c r="FS213" s="67"/>
      <c r="FT213" s="67"/>
      <c r="FU213" s="67"/>
      <c r="FV213" s="67"/>
      <c r="FW213" s="67"/>
      <c r="FX213" s="67"/>
      <c r="FY213" s="67"/>
      <c r="FZ213" s="67"/>
      <c r="GA213" s="67"/>
      <c r="GB213" s="67"/>
      <c r="GC213" s="67"/>
      <c r="GD213" s="67"/>
      <c r="GE213" s="67"/>
      <c r="GF213" s="67"/>
      <c r="GG213" s="67"/>
      <c r="GH213" s="67"/>
      <c r="GI213" s="67"/>
      <c r="GJ213" s="67"/>
      <c r="GK213" s="67"/>
      <c r="GL213" s="67"/>
      <c r="GM213" s="67"/>
      <c r="GN213" s="67"/>
      <c r="GO213" s="67"/>
      <c r="GP213" s="67"/>
      <c r="GQ213" s="67"/>
      <c r="GR213" s="67"/>
      <c r="GS213" s="67"/>
      <c r="GT213" s="67"/>
      <c r="GU213" s="67"/>
      <c r="GV213" s="67"/>
      <c r="GW213" s="67"/>
      <c r="GX213" s="67"/>
      <c r="GY213" s="67"/>
      <c r="GZ213" s="67"/>
      <c r="HA213" s="67"/>
      <c r="HB213" s="67"/>
      <c r="HC213" s="67"/>
      <c r="HD213" s="67"/>
      <c r="HE213" s="67"/>
      <c r="HF213" s="67"/>
      <c r="HG213" s="67"/>
      <c r="HH213" s="67"/>
      <c r="HI213" s="67"/>
      <c r="HJ213" s="67"/>
      <c r="HK213" s="67"/>
      <c r="HL213" s="67"/>
      <c r="HM213" s="67"/>
      <c r="HN213" s="67"/>
      <c r="HO213" s="67"/>
      <c r="HP213" s="67"/>
      <c r="HQ213" s="67"/>
      <c r="HR213" s="67"/>
      <c r="HS213" s="67"/>
      <c r="HT213" s="67"/>
      <c r="HU213" s="67"/>
      <c r="HV213" s="67"/>
      <c r="HW213" s="67"/>
      <c r="HX213" s="67"/>
      <c r="HY213" s="67"/>
      <c r="HZ213" s="67"/>
      <c r="IA213" s="67"/>
      <c r="IB213" s="67"/>
      <c r="IC213" s="67"/>
      <c r="ID213" s="67"/>
      <c r="IE213" s="67"/>
      <c r="IF213" s="67"/>
      <c r="IG213" s="67"/>
      <c r="IH213" s="67"/>
      <c r="II213" s="67"/>
      <c r="IJ213" s="67"/>
      <c r="IK213" s="67"/>
      <c r="IL213" s="67"/>
      <c r="IM213" s="67"/>
      <c r="IN213" s="67"/>
      <c r="IO213" s="67"/>
      <c r="IP213" s="67"/>
      <c r="IQ213" s="67"/>
      <c r="IR213" s="67"/>
      <c r="IS213" s="67"/>
      <c r="IT213" s="67"/>
      <c r="IU213" s="67"/>
      <c r="IV213" s="67"/>
      <c r="IW213" s="67"/>
      <c r="IX213" s="67"/>
      <c r="IY213" s="67"/>
      <c r="IZ213" s="67"/>
      <c r="JA213" s="67"/>
      <c r="JB213" s="67"/>
      <c r="JC213" s="67"/>
      <c r="JD213" s="67"/>
      <c r="JE213" s="67"/>
      <c r="JF213" s="67"/>
      <c r="JG213" s="67"/>
      <c r="JH213" s="67"/>
      <c r="JI213" s="67"/>
      <c r="JJ213" s="67"/>
      <c r="JK213" s="67"/>
      <c r="JL213" s="67"/>
      <c r="JM213" s="67"/>
      <c r="JN213" s="67"/>
      <c r="JO213" s="67"/>
      <c r="JP213" s="67"/>
      <c r="JQ213" s="67"/>
      <c r="JR213" s="67"/>
      <c r="JS213" s="67"/>
      <c r="JT213" s="67"/>
      <c r="JU213" s="67"/>
      <c r="JV213" s="67"/>
      <c r="JW213" s="67"/>
      <c r="JX213" s="67"/>
      <c r="JY213" s="67"/>
      <c r="JZ213" s="67"/>
      <c r="KA213" s="67"/>
      <c r="KB213" s="67"/>
      <c r="KC213" s="67"/>
      <c r="KD213" s="67"/>
      <c r="KE213" s="67"/>
      <c r="KF213" s="67"/>
      <c r="KG213" s="67"/>
      <c r="KH213" s="67"/>
      <c r="KI213" s="67"/>
      <c r="KJ213" s="67"/>
      <c r="KK213" s="67"/>
      <c r="KL213" s="67"/>
      <c r="KM213" s="67"/>
      <c r="KN213" s="67"/>
      <c r="KO213" s="67"/>
      <c r="KP213" s="67"/>
      <c r="KQ213" s="67"/>
      <c r="KR213" s="67"/>
      <c r="KS213" s="67"/>
      <c r="KT213" s="67"/>
      <c r="KU213" s="67"/>
      <c r="KV213" s="67"/>
      <c r="KW213" s="67"/>
      <c r="KX213" s="67"/>
      <c r="KY213" s="67"/>
      <c r="KZ213" s="67"/>
      <c r="LA213" s="67"/>
      <c r="LB213" s="67"/>
      <c r="LC213" s="67"/>
      <c r="LD213" s="67"/>
      <c r="LE213" s="67"/>
      <c r="LF213" s="67"/>
      <c r="LG213" s="67"/>
      <c r="LH213" s="67"/>
      <c r="LI213" s="67"/>
      <c r="LJ213" s="67"/>
      <c r="LK213" s="67"/>
      <c r="LL213" s="67"/>
      <c r="LM213" s="67"/>
      <c r="LN213" s="67"/>
      <c r="LO213" s="67"/>
      <c r="LP213" s="67"/>
      <c r="LQ213" s="67"/>
      <c r="LR213" s="67"/>
      <c r="LS213" s="67"/>
      <c r="LT213" s="67"/>
      <c r="LU213" s="67"/>
      <c r="LV213" s="67"/>
      <c r="LW213" s="67"/>
      <c r="LX213" s="67"/>
      <c r="LY213" s="67"/>
      <c r="LZ213" s="67"/>
      <c r="MA213" s="67"/>
      <c r="MB213" s="67"/>
    </row>
    <row r="214" spans="1:340" s="50" customFormat="1" ht="15.75" hidden="1" customHeight="1" thickBot="1">
      <c r="A214" s="44">
        <v>3</v>
      </c>
      <c r="B214" s="88" t="s">
        <v>139</v>
      </c>
      <c r="C214" s="85" t="s">
        <v>140</v>
      </c>
      <c r="D214" s="86" t="s">
        <v>35</v>
      </c>
      <c r="E214" s="130" t="s">
        <v>36</v>
      </c>
      <c r="F214" s="87" t="s">
        <v>24</v>
      </c>
      <c r="G214" s="139"/>
      <c r="H214" s="68"/>
      <c r="I214" s="153"/>
      <c r="J214" s="68" t="s">
        <v>27</v>
      </c>
      <c r="K214" s="68"/>
      <c r="L214" s="68" t="s">
        <v>26</v>
      </c>
      <c r="M214" s="68"/>
      <c r="N214" s="68"/>
      <c r="O214" s="68"/>
      <c r="P214" s="68"/>
      <c r="Q214" s="68"/>
      <c r="R214" s="153"/>
      <c r="S214" s="68" t="s">
        <v>27</v>
      </c>
      <c r="T214" s="68"/>
      <c r="U214" s="68"/>
      <c r="V214" s="68" t="s">
        <v>26</v>
      </c>
      <c r="W214" s="68"/>
      <c r="X214" s="68"/>
      <c r="Y214" s="68"/>
      <c r="Z214" s="68"/>
      <c r="AA214" s="68"/>
      <c r="AB214" s="68" t="s">
        <v>27</v>
      </c>
      <c r="AC214" s="68"/>
      <c r="AD214" s="68" t="s">
        <v>26</v>
      </c>
      <c r="AE214" s="68"/>
      <c r="AF214" s="68"/>
      <c r="AG214" s="68"/>
      <c r="AH214" s="68"/>
      <c r="AI214" s="68" t="s">
        <v>27</v>
      </c>
      <c r="AJ214" s="68"/>
      <c r="AK214" s="68"/>
      <c r="AL214" s="68"/>
      <c r="AM214" s="68" t="s">
        <v>26</v>
      </c>
      <c r="AN214" s="68"/>
      <c r="AO214" s="68"/>
      <c r="AP214" s="68"/>
      <c r="AQ214" s="68"/>
      <c r="AR214" s="68" t="s">
        <v>27</v>
      </c>
      <c r="AS214" s="68"/>
      <c r="AT214" s="68"/>
      <c r="AU214" s="68"/>
      <c r="AV214" s="68"/>
      <c r="AW214" s="68" t="s">
        <v>26</v>
      </c>
      <c r="AX214" s="68"/>
      <c r="AY214" s="68"/>
      <c r="AZ214" s="68"/>
      <c r="BA214" s="68"/>
      <c r="BB214" s="68" t="s">
        <v>41</v>
      </c>
      <c r="BC214" s="68"/>
      <c r="BD214" s="68"/>
      <c r="BE214" s="68"/>
      <c r="BF214" s="68"/>
      <c r="BG214" s="68"/>
      <c r="BH214" s="68"/>
      <c r="BI214" s="68"/>
      <c r="BJ214" s="68"/>
      <c r="BK214" s="68"/>
      <c r="BL214" s="68"/>
      <c r="BM214" s="68"/>
      <c r="BN214" s="68"/>
      <c r="BO214" s="68"/>
      <c r="BP214" s="68"/>
      <c r="BQ214" s="68"/>
      <c r="BR214" s="68"/>
      <c r="BS214" s="68" t="s">
        <v>26</v>
      </c>
      <c r="BT214" s="68"/>
      <c r="BU214" s="68"/>
      <c r="BV214" s="68"/>
      <c r="BW214" s="68"/>
      <c r="BX214" s="68"/>
      <c r="BY214" s="68" t="s">
        <v>41</v>
      </c>
      <c r="BZ214" s="68"/>
      <c r="CA214" s="68"/>
      <c r="CB214" s="68"/>
      <c r="CC214" s="68"/>
      <c r="CD214" s="68"/>
      <c r="CE214" s="68"/>
      <c r="CF214" s="68"/>
      <c r="CG214" s="68"/>
      <c r="CH214" s="68"/>
      <c r="CI214" s="68"/>
      <c r="CJ214" s="68" t="s">
        <v>26</v>
      </c>
      <c r="CK214" s="68"/>
      <c r="CL214" s="68"/>
      <c r="CM214" s="68"/>
      <c r="CN214" s="68"/>
      <c r="CO214" s="68" t="s">
        <v>41</v>
      </c>
      <c r="CP214" s="68" t="s">
        <v>37</v>
      </c>
      <c r="CQ214" s="67"/>
      <c r="CR214" s="67"/>
      <c r="CS214" s="67"/>
      <c r="CT214" s="67"/>
      <c r="CU214" s="67"/>
      <c r="CV214" s="67"/>
      <c r="CW214" s="67"/>
      <c r="CX214" s="67"/>
      <c r="CY214" s="67"/>
      <c r="CZ214" s="67"/>
      <c r="DA214" s="67"/>
      <c r="DB214" s="67"/>
      <c r="DC214" s="67"/>
      <c r="DD214" s="67"/>
      <c r="DE214" s="67"/>
      <c r="DF214" s="67"/>
      <c r="DG214" s="67"/>
      <c r="DH214" s="67"/>
      <c r="DI214" s="67"/>
      <c r="DJ214" s="67"/>
      <c r="DK214" s="67"/>
      <c r="DL214" s="67"/>
      <c r="DM214" s="67"/>
      <c r="DN214" s="67"/>
      <c r="DO214" s="67"/>
      <c r="DP214" s="67"/>
      <c r="DQ214" s="67"/>
      <c r="DR214" s="67"/>
      <c r="DS214" s="67"/>
      <c r="DT214" s="67"/>
      <c r="DU214" s="67"/>
      <c r="DV214" s="67"/>
      <c r="DW214" s="67"/>
      <c r="DX214" s="67"/>
      <c r="DY214" s="67"/>
      <c r="DZ214" s="67"/>
      <c r="EA214" s="67"/>
      <c r="EB214" s="67"/>
      <c r="EC214" s="67"/>
      <c r="ED214" s="67"/>
      <c r="EE214" s="67"/>
      <c r="EF214" s="67"/>
      <c r="EG214" s="67"/>
      <c r="EH214" s="67"/>
      <c r="EI214" s="67"/>
      <c r="EJ214" s="67"/>
      <c r="EK214" s="67"/>
      <c r="EL214" s="67"/>
      <c r="EM214" s="67"/>
      <c r="EN214" s="67"/>
      <c r="EO214" s="67"/>
      <c r="EP214" s="67"/>
      <c r="EQ214" s="67"/>
      <c r="ER214" s="67"/>
      <c r="ES214" s="67"/>
      <c r="ET214" s="67"/>
      <c r="EU214" s="67"/>
      <c r="EV214" s="67"/>
      <c r="EW214" s="67"/>
      <c r="EX214" s="67"/>
      <c r="EY214" s="67"/>
      <c r="EZ214" s="67"/>
      <c r="FA214" s="67"/>
      <c r="FB214" s="67"/>
      <c r="FC214" s="67"/>
      <c r="FD214" s="67"/>
      <c r="FE214" s="67"/>
      <c r="FF214" s="67"/>
      <c r="FG214" s="67"/>
      <c r="FH214" s="67"/>
      <c r="FI214" s="67"/>
      <c r="FJ214" s="67"/>
      <c r="FK214" s="67"/>
      <c r="FL214" s="67"/>
      <c r="FM214" s="67"/>
      <c r="FN214" s="67"/>
      <c r="FO214" s="67"/>
      <c r="FP214" s="67"/>
      <c r="FQ214" s="67"/>
      <c r="FR214" s="67"/>
      <c r="FS214" s="67"/>
      <c r="FT214" s="67"/>
      <c r="FU214" s="67"/>
      <c r="FV214" s="67"/>
      <c r="FW214" s="67"/>
      <c r="FX214" s="67"/>
      <c r="FY214" s="67"/>
      <c r="FZ214" s="67"/>
      <c r="GA214" s="67"/>
      <c r="GB214" s="67"/>
      <c r="GC214" s="67"/>
      <c r="GD214" s="67"/>
      <c r="GE214" s="67"/>
      <c r="GF214" s="67"/>
      <c r="GG214" s="67"/>
      <c r="GH214" s="67"/>
      <c r="GI214" s="67"/>
      <c r="GJ214" s="67"/>
      <c r="GK214" s="67"/>
      <c r="GL214" s="67"/>
      <c r="GM214" s="67"/>
      <c r="GN214" s="67"/>
      <c r="GO214" s="67"/>
      <c r="GP214" s="67"/>
      <c r="GQ214" s="67"/>
      <c r="GR214" s="67"/>
      <c r="GS214" s="67"/>
      <c r="GT214" s="67"/>
      <c r="GU214" s="67"/>
      <c r="GV214" s="67"/>
      <c r="GW214" s="67"/>
      <c r="GX214" s="67"/>
      <c r="GY214" s="67"/>
      <c r="GZ214" s="67"/>
      <c r="HA214" s="67"/>
      <c r="HB214" s="67"/>
      <c r="HC214" s="67"/>
      <c r="HD214" s="67"/>
      <c r="HE214" s="67"/>
      <c r="HF214" s="67"/>
      <c r="HG214" s="67"/>
      <c r="HH214" s="67"/>
      <c r="HI214" s="67"/>
      <c r="HJ214" s="67"/>
      <c r="HK214" s="67"/>
      <c r="HL214" s="67"/>
      <c r="HM214" s="67"/>
      <c r="HN214" s="67"/>
      <c r="HO214" s="67"/>
      <c r="HP214" s="67"/>
      <c r="HQ214" s="67"/>
      <c r="HR214" s="67"/>
      <c r="HS214" s="67"/>
      <c r="HT214" s="67"/>
      <c r="HU214" s="67"/>
      <c r="HV214" s="67"/>
      <c r="HW214" s="67"/>
      <c r="HX214" s="67"/>
      <c r="HY214" s="67"/>
      <c r="HZ214" s="67"/>
      <c r="IA214" s="67"/>
      <c r="IB214" s="67"/>
      <c r="IC214" s="67"/>
      <c r="ID214" s="67"/>
      <c r="IE214" s="67"/>
      <c r="IF214" s="67"/>
      <c r="IG214" s="67"/>
      <c r="IH214" s="67"/>
      <c r="II214" s="67"/>
      <c r="IJ214" s="67"/>
      <c r="IK214" s="67"/>
      <c r="IL214" s="67"/>
      <c r="IM214" s="67"/>
      <c r="IN214" s="67"/>
      <c r="IO214" s="67"/>
      <c r="IP214" s="67"/>
      <c r="IQ214" s="67"/>
      <c r="IR214" s="67"/>
      <c r="IS214" s="67"/>
      <c r="IT214" s="67"/>
      <c r="IU214" s="67"/>
      <c r="IV214" s="67"/>
      <c r="IW214" s="67"/>
      <c r="IX214" s="67"/>
      <c r="IY214" s="67"/>
      <c r="IZ214" s="67"/>
      <c r="JA214" s="67"/>
      <c r="JB214" s="67"/>
      <c r="JC214" s="67"/>
      <c r="JD214" s="67"/>
      <c r="JE214" s="67"/>
      <c r="JF214" s="67"/>
      <c r="JG214" s="67"/>
      <c r="JH214" s="67"/>
      <c r="JI214" s="67"/>
      <c r="JJ214" s="67"/>
      <c r="JK214" s="67"/>
      <c r="JL214" s="67"/>
      <c r="JM214" s="67"/>
      <c r="JN214" s="67"/>
      <c r="JO214" s="67"/>
      <c r="JP214" s="67"/>
      <c r="JQ214" s="67"/>
      <c r="JR214" s="67"/>
      <c r="JS214" s="67"/>
      <c r="JT214" s="67"/>
      <c r="JU214" s="67"/>
      <c r="JV214" s="67"/>
      <c r="JW214" s="67"/>
      <c r="JX214" s="67"/>
      <c r="JY214" s="67"/>
      <c r="JZ214" s="67"/>
      <c r="KA214" s="67"/>
      <c r="KB214" s="67"/>
      <c r="KC214" s="67"/>
      <c r="KD214" s="67"/>
      <c r="KE214" s="67"/>
      <c r="KF214" s="67"/>
      <c r="KG214" s="67"/>
      <c r="KH214" s="67"/>
      <c r="KI214" s="67"/>
      <c r="KJ214" s="67"/>
      <c r="KK214" s="67"/>
      <c r="KL214" s="67"/>
      <c r="KM214" s="67"/>
      <c r="KN214" s="67"/>
      <c r="KO214" s="67"/>
      <c r="KP214" s="67"/>
      <c r="KQ214" s="67"/>
      <c r="KR214" s="67"/>
      <c r="KS214" s="67"/>
      <c r="KT214" s="67"/>
      <c r="KU214" s="67"/>
      <c r="KV214" s="67"/>
      <c r="KW214" s="67"/>
      <c r="KX214" s="67"/>
      <c r="KY214" s="67"/>
      <c r="KZ214" s="67"/>
      <c r="LA214" s="67"/>
      <c r="LB214" s="67"/>
      <c r="LC214" s="67"/>
      <c r="LD214" s="67"/>
      <c r="LE214" s="67"/>
      <c r="LF214" s="67"/>
      <c r="LG214" s="67"/>
      <c r="LH214" s="67"/>
      <c r="LI214" s="67"/>
      <c r="LJ214" s="67"/>
      <c r="LK214" s="67"/>
      <c r="LL214" s="67"/>
      <c r="LM214" s="67"/>
      <c r="LN214" s="67"/>
      <c r="LO214" s="67"/>
      <c r="LP214" s="67"/>
      <c r="LQ214" s="67"/>
      <c r="LR214" s="67"/>
      <c r="LS214" s="67"/>
      <c r="LT214" s="67"/>
      <c r="LU214" s="67"/>
      <c r="LV214" s="67"/>
      <c r="LW214" s="67"/>
      <c r="LX214" s="67"/>
      <c r="LY214" s="67"/>
      <c r="LZ214" s="67"/>
      <c r="MA214" s="67"/>
      <c r="MB214" s="67"/>
    </row>
    <row r="215" spans="1:340" s="50" customFormat="1" ht="15.75" hidden="1" customHeight="1">
      <c r="A215" s="44">
        <v>3</v>
      </c>
      <c r="B215" s="88" t="s">
        <v>58</v>
      </c>
      <c r="C215" s="85" t="s">
        <v>59</v>
      </c>
      <c r="D215" s="86" t="s">
        <v>35</v>
      </c>
      <c r="E215" s="130" t="s">
        <v>36</v>
      </c>
      <c r="F215" s="87" t="s">
        <v>24</v>
      </c>
      <c r="G215" s="139" t="s">
        <v>26</v>
      </c>
      <c r="H215" s="68"/>
      <c r="I215" s="68"/>
      <c r="J215" s="68"/>
      <c r="K215" s="68" t="s">
        <v>27</v>
      </c>
      <c r="L215" s="68"/>
      <c r="M215" s="68" t="s">
        <v>26</v>
      </c>
      <c r="N215" s="68"/>
      <c r="O215" s="68"/>
      <c r="P215" s="68"/>
      <c r="Q215" s="153"/>
      <c r="R215" s="68" t="s">
        <v>27</v>
      </c>
      <c r="S215" s="68"/>
      <c r="T215" s="68" t="s">
        <v>26</v>
      </c>
      <c r="U215" s="68"/>
      <c r="V215" s="68"/>
      <c r="W215" s="68" t="s">
        <v>27</v>
      </c>
      <c r="X215" s="68"/>
      <c r="Y215" s="68" t="s">
        <v>26</v>
      </c>
      <c r="Z215" s="68"/>
      <c r="AA215" s="68"/>
      <c r="AB215" s="68"/>
      <c r="AC215" s="68" t="s">
        <v>27</v>
      </c>
      <c r="AD215" s="68"/>
      <c r="AE215" s="68" t="s">
        <v>26</v>
      </c>
      <c r="AF215" s="68"/>
      <c r="AG215" s="68"/>
      <c r="AH215" s="68"/>
      <c r="AI215" s="68"/>
      <c r="AJ215" s="68"/>
      <c r="AK215" s="68"/>
      <c r="AL215" s="68"/>
      <c r="AM215" s="68" t="s">
        <v>27</v>
      </c>
      <c r="AN215" s="153"/>
      <c r="AO215" s="68" t="s">
        <v>26</v>
      </c>
      <c r="AP215" s="68"/>
      <c r="AQ215" s="68"/>
      <c r="AR215" s="68"/>
      <c r="AS215" s="68"/>
      <c r="AT215" s="68" t="s">
        <v>27</v>
      </c>
      <c r="AU215" s="68" t="s">
        <v>26</v>
      </c>
      <c r="AV215" s="68"/>
      <c r="AW215" s="68"/>
      <c r="AX215" s="68"/>
      <c r="AY215" s="68"/>
      <c r="AZ215" s="153"/>
      <c r="BA215" s="68" t="s">
        <v>27</v>
      </c>
      <c r="BB215" s="153"/>
      <c r="BC215" s="68" t="s">
        <v>26</v>
      </c>
      <c r="BD215" s="68"/>
      <c r="BE215" s="68"/>
      <c r="BF215" s="68"/>
      <c r="BG215" s="68"/>
      <c r="BH215" s="68"/>
      <c r="BI215" s="68"/>
      <c r="BJ215" s="68" t="s">
        <v>27</v>
      </c>
      <c r="BK215" s="68"/>
      <c r="BL215" s="68"/>
      <c r="BM215" s="68" t="s">
        <v>26</v>
      </c>
      <c r="BN215" s="68"/>
      <c r="BO215" s="68"/>
      <c r="BP215" s="68"/>
      <c r="BQ215" s="68"/>
      <c r="BR215" s="68"/>
      <c r="BS215" s="68" t="s">
        <v>27</v>
      </c>
      <c r="BT215" s="68"/>
      <c r="BU215" s="68" t="s">
        <v>26</v>
      </c>
      <c r="BV215" s="68"/>
      <c r="BW215" s="68"/>
      <c r="BX215" s="68"/>
      <c r="BY215" s="68"/>
      <c r="BZ215" s="68" t="s">
        <v>27</v>
      </c>
      <c r="CA215" s="68"/>
      <c r="CB215" s="68" t="s">
        <v>26</v>
      </c>
      <c r="CC215" s="68"/>
      <c r="CD215" s="68"/>
      <c r="CE215" s="68"/>
      <c r="CF215" s="68"/>
      <c r="CG215" s="68"/>
      <c r="CH215" s="68" t="s">
        <v>27</v>
      </c>
      <c r="CI215" s="68"/>
      <c r="CJ215" s="68" t="s">
        <v>26</v>
      </c>
      <c r="CK215" s="68"/>
      <c r="CL215" s="68"/>
      <c r="CM215" s="68"/>
      <c r="CN215" s="68" t="s">
        <v>27</v>
      </c>
      <c r="CO215" s="68"/>
      <c r="CP215" s="68" t="s">
        <v>26</v>
      </c>
      <c r="CQ215" s="68"/>
      <c r="CR215" s="68"/>
      <c r="CS215" s="68"/>
      <c r="CT215" s="68"/>
      <c r="CU215" s="68" t="s">
        <v>27</v>
      </c>
      <c r="CV215" s="68" t="s">
        <v>26</v>
      </c>
      <c r="CW215" s="68"/>
      <c r="CX215" s="68"/>
      <c r="CY215" s="68"/>
      <c r="CZ215" s="68"/>
      <c r="DA215" s="68" t="s">
        <v>27</v>
      </c>
      <c r="DB215" s="68" t="s">
        <v>26</v>
      </c>
      <c r="DC215" s="68"/>
      <c r="DD215" s="68"/>
      <c r="DE215" s="68"/>
      <c r="DF215" s="68"/>
      <c r="DG215" s="68"/>
      <c r="DH215" s="68" t="s">
        <v>27</v>
      </c>
      <c r="DI215" s="68" t="s">
        <v>37</v>
      </c>
      <c r="DJ215" s="67"/>
      <c r="DK215" s="67"/>
      <c r="DL215" s="67"/>
      <c r="DM215" s="67"/>
      <c r="DN215" s="67"/>
      <c r="DO215" s="67"/>
      <c r="DP215" s="67"/>
      <c r="DQ215" s="67"/>
      <c r="DR215" s="67"/>
      <c r="DS215" s="67"/>
      <c r="DT215" s="67"/>
      <c r="DU215" s="67"/>
      <c r="DV215" s="67"/>
      <c r="DW215" s="67"/>
      <c r="DX215" s="67"/>
      <c r="DY215" s="67"/>
      <c r="DZ215" s="67"/>
      <c r="EA215" s="67"/>
      <c r="EB215" s="67"/>
      <c r="EC215" s="67"/>
      <c r="ED215" s="67"/>
      <c r="EE215" s="67"/>
      <c r="EF215" s="67"/>
      <c r="EG215" s="67"/>
      <c r="EH215" s="67"/>
      <c r="EI215" s="67"/>
      <c r="EJ215" s="67"/>
      <c r="EK215" s="67"/>
      <c r="EL215" s="67"/>
      <c r="EM215" s="67"/>
      <c r="EN215" s="67"/>
      <c r="EO215" s="67"/>
      <c r="EP215" s="67"/>
      <c r="EQ215" s="67"/>
      <c r="ER215" s="67"/>
      <c r="ES215" s="67"/>
      <c r="ET215" s="67"/>
      <c r="EU215" s="67"/>
      <c r="EV215" s="67"/>
      <c r="EW215" s="67"/>
      <c r="EX215" s="67"/>
      <c r="EY215" s="67"/>
      <c r="EZ215" s="67"/>
      <c r="FA215" s="67"/>
      <c r="FB215" s="67"/>
      <c r="FC215" s="67"/>
      <c r="FD215" s="67"/>
      <c r="FE215" s="67"/>
      <c r="FF215" s="67"/>
      <c r="FG215" s="67"/>
      <c r="FH215" s="67"/>
      <c r="FI215" s="67"/>
      <c r="FJ215" s="67"/>
      <c r="FK215" s="67"/>
      <c r="FL215" s="67"/>
      <c r="FM215" s="67"/>
      <c r="FN215" s="67"/>
      <c r="FO215" s="67"/>
      <c r="FP215" s="67"/>
      <c r="FQ215" s="67"/>
      <c r="FR215" s="67"/>
      <c r="FS215" s="67"/>
      <c r="FT215" s="67"/>
      <c r="FU215" s="67"/>
      <c r="FV215" s="67"/>
      <c r="FW215" s="67"/>
      <c r="FX215" s="67"/>
      <c r="FY215" s="67"/>
      <c r="FZ215" s="67"/>
      <c r="GA215" s="67"/>
      <c r="GB215" s="67"/>
      <c r="GC215" s="67"/>
      <c r="GD215" s="67"/>
      <c r="GE215" s="67"/>
      <c r="GF215" s="67"/>
      <c r="GG215" s="67"/>
      <c r="GH215" s="67"/>
      <c r="GI215" s="67"/>
      <c r="GJ215" s="67"/>
      <c r="GK215" s="67"/>
      <c r="GL215" s="67"/>
      <c r="GM215" s="67"/>
      <c r="GN215" s="67"/>
      <c r="GO215" s="67"/>
      <c r="GP215" s="67"/>
      <c r="GQ215" s="67"/>
      <c r="GR215" s="67"/>
      <c r="GS215" s="67"/>
      <c r="GT215" s="67"/>
      <c r="GU215" s="67"/>
      <c r="GV215" s="67"/>
      <c r="GW215" s="67"/>
      <c r="GX215" s="67"/>
      <c r="GY215" s="67"/>
      <c r="GZ215" s="67"/>
      <c r="HA215" s="67"/>
      <c r="HB215" s="67"/>
      <c r="HC215" s="67"/>
      <c r="HD215" s="67"/>
      <c r="HE215" s="67"/>
      <c r="HF215" s="67"/>
      <c r="HG215" s="67"/>
      <c r="HH215" s="67"/>
      <c r="HI215" s="67"/>
      <c r="HJ215" s="67"/>
      <c r="HK215" s="67"/>
      <c r="HL215" s="67"/>
      <c r="HM215" s="67"/>
      <c r="HN215" s="67"/>
      <c r="HO215" s="67"/>
      <c r="HP215" s="67"/>
      <c r="HQ215" s="67"/>
      <c r="HR215" s="67"/>
      <c r="HS215" s="67"/>
      <c r="HT215" s="67"/>
      <c r="HU215" s="67"/>
      <c r="HV215" s="67"/>
      <c r="HW215" s="67"/>
      <c r="HX215" s="67"/>
      <c r="HY215" s="67"/>
      <c r="HZ215" s="67"/>
      <c r="IA215" s="67"/>
      <c r="IB215" s="67"/>
      <c r="IC215" s="67"/>
      <c r="ID215" s="67"/>
      <c r="IE215" s="67"/>
      <c r="IF215" s="67"/>
      <c r="IG215" s="67"/>
      <c r="IH215" s="67"/>
      <c r="II215" s="67"/>
      <c r="IJ215" s="67"/>
      <c r="IK215" s="67"/>
      <c r="IL215" s="67"/>
      <c r="IM215" s="67"/>
      <c r="IN215" s="67"/>
      <c r="IO215" s="67"/>
      <c r="IP215" s="67"/>
      <c r="IQ215" s="67"/>
      <c r="IR215" s="67"/>
      <c r="IS215" s="67"/>
      <c r="IT215" s="67"/>
      <c r="IU215" s="67"/>
      <c r="IV215" s="67"/>
      <c r="IW215" s="67"/>
      <c r="IX215" s="67"/>
      <c r="IY215" s="67"/>
      <c r="IZ215" s="67"/>
      <c r="JA215" s="67"/>
      <c r="JB215" s="67"/>
      <c r="JC215" s="67"/>
      <c r="JD215" s="67"/>
      <c r="JE215" s="67"/>
      <c r="JF215" s="67"/>
      <c r="JG215" s="67"/>
      <c r="JH215" s="67"/>
      <c r="JI215" s="67"/>
      <c r="JJ215" s="67"/>
      <c r="JK215" s="67"/>
      <c r="JL215" s="67"/>
      <c r="JM215" s="67"/>
      <c r="JN215" s="67"/>
      <c r="JO215" s="67"/>
      <c r="JP215" s="67"/>
      <c r="JQ215" s="67"/>
      <c r="JR215" s="67"/>
      <c r="JS215" s="67"/>
      <c r="JT215" s="67"/>
      <c r="JU215" s="67"/>
      <c r="JV215" s="67"/>
      <c r="JW215" s="67"/>
      <c r="JX215" s="67"/>
      <c r="JY215" s="67"/>
      <c r="JZ215" s="67"/>
      <c r="KA215" s="67"/>
      <c r="KB215" s="67"/>
      <c r="KC215" s="67"/>
      <c r="KD215" s="67"/>
      <c r="KE215" s="67"/>
      <c r="KF215" s="67"/>
      <c r="KG215" s="67"/>
      <c r="KH215" s="67"/>
      <c r="KI215" s="67"/>
      <c r="KJ215" s="67"/>
      <c r="KK215" s="67"/>
      <c r="KL215" s="67"/>
      <c r="KM215" s="67"/>
      <c r="KN215" s="67"/>
      <c r="KO215" s="67"/>
      <c r="KP215" s="67"/>
      <c r="KQ215" s="67"/>
      <c r="KR215" s="67"/>
      <c r="KS215" s="67"/>
      <c r="KT215" s="67"/>
      <c r="KU215" s="67"/>
      <c r="KV215" s="67"/>
      <c r="KW215" s="67"/>
      <c r="KX215" s="67"/>
      <c r="KY215" s="67"/>
      <c r="KZ215" s="67"/>
      <c r="LA215" s="67"/>
      <c r="LB215" s="67"/>
      <c r="LC215" s="67"/>
      <c r="LD215" s="67"/>
      <c r="LE215" s="67"/>
      <c r="LF215" s="67"/>
      <c r="LG215" s="67"/>
      <c r="LH215" s="67"/>
      <c r="LI215" s="67"/>
      <c r="LJ215" s="67"/>
      <c r="LK215" s="67"/>
      <c r="LL215" s="67"/>
      <c r="LM215" s="67"/>
      <c r="LN215" s="67"/>
      <c r="LO215" s="67"/>
      <c r="LP215" s="67"/>
      <c r="LQ215" s="67"/>
      <c r="LR215" s="67"/>
      <c r="LS215" s="67"/>
      <c r="LT215" s="67"/>
      <c r="LU215" s="67"/>
      <c r="LV215" s="67"/>
      <c r="LW215" s="67"/>
      <c r="LX215" s="67"/>
      <c r="LY215" s="67"/>
      <c r="LZ215" s="67"/>
      <c r="MA215" s="67"/>
      <c r="MB215" s="67"/>
    </row>
    <row r="216" spans="1:340" s="50" customFormat="1" ht="15.75" hidden="1" customHeight="1" thickBot="1">
      <c r="A216" s="44">
        <v>3</v>
      </c>
      <c r="B216" s="88" t="s">
        <v>104</v>
      </c>
      <c r="C216" s="85" t="s">
        <v>105</v>
      </c>
      <c r="D216" s="86" t="s">
        <v>49</v>
      </c>
      <c r="E216" s="130" t="s">
        <v>78</v>
      </c>
      <c r="F216" s="87" t="s">
        <v>24</v>
      </c>
      <c r="G216" s="139"/>
      <c r="H216" s="68"/>
      <c r="I216" s="68"/>
      <c r="J216" s="153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  <c r="BK216" s="68"/>
      <c r="BL216" s="68"/>
      <c r="BM216" s="68"/>
      <c r="BN216" s="68"/>
      <c r="BO216" s="68"/>
      <c r="BP216" s="68"/>
      <c r="BQ216" s="68"/>
      <c r="BR216" s="68"/>
      <c r="BS216" s="68"/>
      <c r="BT216" s="68"/>
      <c r="BU216" s="68"/>
      <c r="BV216" s="68"/>
      <c r="BW216" s="68"/>
      <c r="BX216" s="68"/>
      <c r="BY216" s="68"/>
      <c r="BZ216" s="68"/>
      <c r="CA216" s="68"/>
      <c r="CB216" s="68"/>
      <c r="CC216" s="68"/>
      <c r="CD216" s="68"/>
      <c r="CE216" s="68"/>
      <c r="CF216" s="68"/>
      <c r="CG216" s="68"/>
      <c r="CH216" s="68"/>
      <c r="CI216" s="68"/>
      <c r="CJ216" s="68"/>
      <c r="CK216" s="68"/>
      <c r="CL216" s="68"/>
      <c r="CM216" s="68"/>
      <c r="CN216" s="68"/>
      <c r="CO216" s="68"/>
      <c r="CP216" s="68"/>
      <c r="CQ216" s="68"/>
      <c r="CR216" s="68"/>
      <c r="CS216" s="68" t="s">
        <v>25</v>
      </c>
      <c r="CT216" s="68" t="s">
        <v>26</v>
      </c>
      <c r="CU216" s="68" t="s">
        <v>41</v>
      </c>
      <c r="CV216" s="68" t="s">
        <v>26</v>
      </c>
      <c r="CW216" s="68" t="s">
        <v>42</v>
      </c>
      <c r="CX216" s="68" t="s">
        <v>41</v>
      </c>
      <c r="CY216" s="68" t="s">
        <v>26</v>
      </c>
      <c r="CZ216" s="68"/>
      <c r="DA216" s="68" t="s">
        <v>41</v>
      </c>
      <c r="DB216" s="68" t="s">
        <v>26</v>
      </c>
      <c r="DC216" s="68"/>
      <c r="DD216" s="68" t="s">
        <v>41</v>
      </c>
      <c r="DE216" s="68" t="s">
        <v>37</v>
      </c>
      <c r="DF216" s="67"/>
      <c r="DG216" s="67"/>
      <c r="DH216" s="67"/>
      <c r="DI216" s="67"/>
      <c r="DJ216" s="67"/>
      <c r="DK216" s="67"/>
      <c r="DL216" s="67"/>
      <c r="DM216" s="67"/>
      <c r="DN216" s="67"/>
      <c r="DO216" s="67"/>
      <c r="DP216" s="67"/>
      <c r="DQ216" s="67"/>
      <c r="DR216" s="67"/>
      <c r="DS216" s="67"/>
      <c r="DT216" s="67"/>
      <c r="DU216" s="67"/>
      <c r="DV216" s="67"/>
      <c r="DW216" s="67"/>
      <c r="DX216" s="67"/>
      <c r="DY216" s="67"/>
      <c r="DZ216" s="67"/>
      <c r="EA216" s="67"/>
      <c r="EB216" s="67"/>
      <c r="EC216" s="67"/>
      <c r="ED216" s="67"/>
      <c r="EE216" s="67"/>
      <c r="EF216" s="67"/>
      <c r="EG216" s="67"/>
      <c r="EH216" s="67"/>
      <c r="EI216" s="67"/>
      <c r="EJ216" s="67"/>
      <c r="EK216" s="67"/>
      <c r="EL216" s="67"/>
      <c r="EM216" s="67"/>
      <c r="EN216" s="67"/>
      <c r="EO216" s="67"/>
      <c r="EP216" s="67"/>
      <c r="EQ216" s="67"/>
      <c r="ER216" s="67"/>
      <c r="ES216" s="67"/>
      <c r="ET216" s="67"/>
      <c r="EU216" s="67"/>
      <c r="EV216" s="67"/>
      <c r="EW216" s="67"/>
      <c r="EX216" s="67"/>
      <c r="EY216" s="67"/>
      <c r="EZ216" s="67"/>
      <c r="FA216" s="67"/>
      <c r="FB216" s="67"/>
      <c r="FC216" s="67"/>
      <c r="FD216" s="67"/>
      <c r="FE216" s="67"/>
      <c r="FF216" s="67"/>
      <c r="FG216" s="67"/>
      <c r="FH216" s="67"/>
      <c r="FI216" s="67"/>
      <c r="FJ216" s="67"/>
      <c r="FK216" s="67"/>
      <c r="FL216" s="67"/>
      <c r="FM216" s="67"/>
      <c r="FN216" s="67"/>
      <c r="FO216" s="67"/>
      <c r="FP216" s="67"/>
      <c r="FQ216" s="67"/>
      <c r="FR216" s="67"/>
      <c r="FS216" s="67"/>
      <c r="FT216" s="67"/>
      <c r="FU216" s="67"/>
      <c r="FV216" s="67"/>
      <c r="FW216" s="67"/>
      <c r="FX216" s="67"/>
      <c r="FY216" s="67"/>
      <c r="FZ216" s="67"/>
      <c r="GA216" s="67"/>
      <c r="GB216" s="67"/>
      <c r="GC216" s="67"/>
      <c r="GD216" s="67"/>
      <c r="GE216" s="67"/>
      <c r="GF216" s="67"/>
      <c r="GG216" s="67"/>
      <c r="GH216" s="67"/>
      <c r="GI216" s="67"/>
      <c r="GJ216" s="67"/>
      <c r="GK216" s="67"/>
      <c r="GL216" s="67"/>
      <c r="GM216" s="67"/>
      <c r="GN216" s="67"/>
      <c r="GO216" s="67"/>
      <c r="GP216" s="67"/>
      <c r="GQ216" s="67"/>
      <c r="GR216" s="67"/>
      <c r="GS216" s="67"/>
      <c r="GT216" s="67"/>
      <c r="GU216" s="67"/>
      <c r="GV216" s="67"/>
      <c r="GW216" s="67"/>
      <c r="GX216" s="67"/>
      <c r="GY216" s="67"/>
      <c r="GZ216" s="67"/>
      <c r="HA216" s="67"/>
      <c r="HB216" s="67"/>
      <c r="HC216" s="67"/>
      <c r="HD216" s="67"/>
      <c r="HE216" s="67"/>
      <c r="HF216" s="67"/>
      <c r="HG216" s="67"/>
      <c r="HH216" s="67"/>
      <c r="HI216" s="67"/>
      <c r="HJ216" s="67"/>
      <c r="HK216" s="67"/>
      <c r="HL216" s="67"/>
      <c r="HM216" s="67"/>
      <c r="HN216" s="67"/>
      <c r="HO216" s="67"/>
      <c r="HP216" s="67"/>
      <c r="HQ216" s="67"/>
      <c r="HR216" s="67"/>
      <c r="HS216" s="67"/>
      <c r="HT216" s="67"/>
      <c r="HU216" s="67"/>
      <c r="HV216" s="67"/>
      <c r="HW216" s="67"/>
      <c r="HX216" s="67"/>
      <c r="HY216" s="67"/>
      <c r="HZ216" s="67"/>
      <c r="IA216" s="67"/>
      <c r="IB216" s="67"/>
      <c r="IC216" s="67"/>
      <c r="ID216" s="67"/>
      <c r="IE216" s="67"/>
      <c r="IF216" s="67"/>
      <c r="IG216" s="67"/>
      <c r="IH216" s="67"/>
      <c r="II216" s="67"/>
      <c r="IJ216" s="67"/>
      <c r="IK216" s="67"/>
      <c r="IL216" s="67"/>
      <c r="IM216" s="67"/>
      <c r="IN216" s="67"/>
      <c r="IO216" s="67"/>
      <c r="IP216" s="67"/>
      <c r="IQ216" s="67"/>
      <c r="IR216" s="67"/>
      <c r="IS216" s="67"/>
      <c r="IT216" s="67"/>
      <c r="IU216" s="67"/>
      <c r="IV216" s="67"/>
      <c r="IW216" s="67"/>
      <c r="IX216" s="67"/>
      <c r="IY216" s="67"/>
      <c r="IZ216" s="67"/>
      <c r="JA216" s="67"/>
      <c r="JB216" s="67"/>
      <c r="JC216" s="67"/>
      <c r="JD216" s="67"/>
      <c r="JE216" s="67"/>
      <c r="JF216" s="67"/>
      <c r="JG216" s="67"/>
      <c r="JH216" s="67"/>
      <c r="JI216" s="67"/>
      <c r="JJ216" s="67"/>
      <c r="JK216" s="67"/>
      <c r="JL216" s="67"/>
      <c r="JM216" s="67"/>
      <c r="JN216" s="67"/>
      <c r="JO216" s="67"/>
      <c r="JP216" s="67"/>
      <c r="JQ216" s="67"/>
      <c r="JR216" s="67"/>
      <c r="JS216" s="67"/>
      <c r="JT216" s="67"/>
      <c r="JU216" s="67"/>
      <c r="JV216" s="67"/>
      <c r="JW216" s="67"/>
      <c r="JX216" s="67"/>
      <c r="JY216" s="67"/>
      <c r="JZ216" s="67"/>
      <c r="KA216" s="67"/>
      <c r="KB216" s="67"/>
      <c r="KC216" s="67"/>
      <c r="KD216" s="67"/>
      <c r="KE216" s="67"/>
      <c r="KF216" s="67"/>
      <c r="KG216" s="67"/>
      <c r="KH216" s="67"/>
      <c r="KI216" s="67"/>
      <c r="KJ216" s="67"/>
      <c r="KK216" s="67"/>
      <c r="KL216" s="67"/>
      <c r="KM216" s="67"/>
      <c r="KN216" s="67"/>
      <c r="KO216" s="67"/>
      <c r="KP216" s="67"/>
      <c r="KQ216" s="67"/>
      <c r="KR216" s="67"/>
      <c r="KS216" s="67"/>
      <c r="KT216" s="67"/>
      <c r="KU216" s="67"/>
      <c r="KV216" s="67"/>
      <c r="KW216" s="67"/>
      <c r="KX216" s="67"/>
      <c r="KY216" s="67"/>
      <c r="KZ216" s="67"/>
      <c r="LA216" s="67"/>
      <c r="LB216" s="67"/>
      <c r="LC216" s="67"/>
      <c r="LD216" s="67"/>
      <c r="LE216" s="67"/>
      <c r="LF216" s="67"/>
      <c r="LG216" s="67"/>
      <c r="LH216" s="67"/>
      <c r="LI216" s="67"/>
      <c r="LJ216" s="67"/>
      <c r="LK216" s="67"/>
      <c r="LL216" s="67"/>
      <c r="LM216" s="67"/>
      <c r="LN216" s="67"/>
      <c r="LO216" s="67"/>
      <c r="LP216" s="67"/>
      <c r="LQ216" s="67"/>
      <c r="LR216" s="67"/>
      <c r="LS216" s="67"/>
      <c r="LT216" s="67"/>
      <c r="LU216" s="67"/>
      <c r="LV216" s="67"/>
      <c r="LW216" s="67"/>
      <c r="LX216" s="67"/>
      <c r="LY216" s="67"/>
      <c r="LZ216" s="67"/>
      <c r="MA216" s="67"/>
      <c r="MB216" s="67"/>
    </row>
    <row r="217" spans="1:340" s="50" customFormat="1" ht="15.75" hidden="1" customHeight="1" thickBot="1">
      <c r="A217" s="44">
        <v>3</v>
      </c>
      <c r="B217" s="88" t="s">
        <v>73</v>
      </c>
      <c r="C217" s="85" t="s">
        <v>318</v>
      </c>
      <c r="D217" s="86" t="s">
        <v>49</v>
      </c>
      <c r="E217" s="130" t="s">
        <v>78</v>
      </c>
      <c r="F217" s="87" t="s">
        <v>24</v>
      </c>
      <c r="G217" s="139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153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  <c r="BK217" s="68"/>
      <c r="BL217" s="68"/>
      <c r="BM217" s="68"/>
      <c r="BN217" s="68"/>
      <c r="BO217" s="68"/>
      <c r="BP217" s="68"/>
      <c r="BQ217" s="68"/>
      <c r="BR217" s="68"/>
      <c r="BS217" s="68"/>
      <c r="BT217" s="68"/>
      <c r="BU217" s="68"/>
      <c r="BV217" s="68"/>
      <c r="BW217" s="68"/>
      <c r="BX217" s="68"/>
      <c r="BY217" s="68"/>
      <c r="BZ217" s="68"/>
      <c r="CA217" s="68"/>
      <c r="CB217" s="68"/>
      <c r="CC217" s="68"/>
      <c r="CD217" s="68"/>
      <c r="CE217" s="68"/>
      <c r="CF217" s="68"/>
      <c r="CG217" s="68"/>
      <c r="CH217" s="68"/>
      <c r="CI217" s="68"/>
      <c r="CJ217" s="68"/>
      <c r="CK217" s="68"/>
      <c r="CL217" s="68"/>
      <c r="CM217" s="68"/>
      <c r="CN217" s="68"/>
      <c r="CO217" s="68"/>
      <c r="CP217" s="68"/>
      <c r="CQ217" s="68"/>
      <c r="CR217" s="68"/>
      <c r="CS217" s="68"/>
      <c r="CT217" s="68"/>
      <c r="CU217" s="68"/>
      <c r="CV217" s="68" t="s">
        <v>25</v>
      </c>
      <c r="CW217" s="68"/>
      <c r="CX217" s="68" t="s">
        <v>26</v>
      </c>
      <c r="CY217" s="68"/>
      <c r="CZ217" s="68"/>
      <c r="DA217" s="68" t="s">
        <v>41</v>
      </c>
      <c r="DB217" s="68"/>
      <c r="DC217" s="68"/>
      <c r="DD217" s="68"/>
      <c r="DE217" s="68" t="s">
        <v>26</v>
      </c>
      <c r="DF217" s="68"/>
      <c r="DG217" s="68" t="s">
        <v>41</v>
      </c>
      <c r="DH217" s="68"/>
      <c r="DI217" s="68"/>
      <c r="DJ217" s="68"/>
      <c r="DK217" s="68"/>
      <c r="DL217" s="68" t="s">
        <v>26</v>
      </c>
      <c r="DM217" s="68"/>
      <c r="DN217" s="68" t="s">
        <v>41</v>
      </c>
      <c r="DO217" s="68"/>
      <c r="DP217" s="68"/>
      <c r="DQ217" s="68"/>
      <c r="DR217" s="68" t="s">
        <v>26</v>
      </c>
      <c r="DS217" s="68"/>
      <c r="DT217" s="68" t="s">
        <v>41</v>
      </c>
      <c r="DU217" s="68"/>
      <c r="DV217" s="68"/>
      <c r="DW217" s="68" t="s">
        <v>26</v>
      </c>
      <c r="DX217" s="68"/>
      <c r="DY217" s="68" t="s">
        <v>41</v>
      </c>
      <c r="DZ217" s="68"/>
      <c r="EA217" s="68"/>
      <c r="EB217" s="68" t="s">
        <v>26</v>
      </c>
      <c r="EC217" s="68"/>
      <c r="ED217" s="68"/>
      <c r="EE217" s="68" t="s">
        <v>41</v>
      </c>
      <c r="EF217" s="68" t="s">
        <v>37</v>
      </c>
      <c r="EG217" s="67"/>
      <c r="EH217" s="67"/>
      <c r="EI217" s="67"/>
      <c r="EJ217" s="67"/>
      <c r="EK217" s="67"/>
      <c r="EL217" s="67"/>
      <c r="EM217" s="67"/>
      <c r="EN217" s="67"/>
      <c r="EO217" s="67"/>
      <c r="EP217" s="67"/>
      <c r="EQ217" s="67"/>
      <c r="ER217" s="67"/>
      <c r="ES217" s="67"/>
      <c r="ET217" s="67"/>
      <c r="EU217" s="67"/>
      <c r="EV217" s="67"/>
      <c r="EW217" s="67"/>
      <c r="EX217" s="67"/>
      <c r="EY217" s="67"/>
      <c r="EZ217" s="67"/>
      <c r="FA217" s="67"/>
      <c r="FB217" s="67"/>
      <c r="FC217" s="67"/>
      <c r="FD217" s="67"/>
      <c r="FE217" s="67"/>
      <c r="FF217" s="67"/>
      <c r="FG217" s="67"/>
      <c r="FH217" s="67"/>
      <c r="FI217" s="67"/>
      <c r="FJ217" s="67"/>
      <c r="FK217" s="67"/>
      <c r="FL217" s="67"/>
      <c r="FM217" s="67"/>
      <c r="FN217" s="67"/>
      <c r="FO217" s="67"/>
      <c r="FP217" s="67"/>
      <c r="FQ217" s="67"/>
      <c r="FR217" s="67"/>
      <c r="FS217" s="67"/>
      <c r="FT217" s="67"/>
      <c r="FU217" s="67"/>
      <c r="FV217" s="67"/>
      <c r="FW217" s="67"/>
      <c r="FX217" s="67"/>
      <c r="FY217" s="67"/>
      <c r="FZ217" s="67"/>
      <c r="GA217" s="67"/>
      <c r="GB217" s="67"/>
      <c r="GC217" s="67"/>
      <c r="GD217" s="67"/>
      <c r="GE217" s="67"/>
      <c r="GF217" s="67"/>
      <c r="GG217" s="67"/>
      <c r="GH217" s="67"/>
      <c r="GI217" s="67"/>
      <c r="GJ217" s="67"/>
      <c r="GK217" s="67"/>
      <c r="GL217" s="67"/>
      <c r="GM217" s="67"/>
      <c r="GN217" s="67"/>
      <c r="GO217" s="67"/>
      <c r="GP217" s="67"/>
      <c r="GQ217" s="67"/>
      <c r="GR217" s="67"/>
      <c r="GS217" s="67"/>
      <c r="GT217" s="67"/>
      <c r="GU217" s="67"/>
      <c r="GV217" s="67"/>
      <c r="GW217" s="67"/>
      <c r="GX217" s="67"/>
      <c r="GY217" s="67"/>
      <c r="GZ217" s="67"/>
      <c r="HA217" s="67"/>
      <c r="HB217" s="67"/>
      <c r="HC217" s="67"/>
      <c r="HD217" s="67"/>
      <c r="HE217" s="67"/>
      <c r="HF217" s="67"/>
      <c r="HG217" s="67"/>
      <c r="HH217" s="67"/>
      <c r="HI217" s="67"/>
      <c r="HJ217" s="67"/>
      <c r="HK217" s="67"/>
      <c r="HL217" s="67"/>
      <c r="HM217" s="67"/>
      <c r="HN217" s="67"/>
      <c r="HO217" s="67"/>
      <c r="HP217" s="67"/>
      <c r="HQ217" s="67"/>
      <c r="HR217" s="67"/>
      <c r="HS217" s="67"/>
      <c r="HT217" s="67"/>
      <c r="HU217" s="67"/>
      <c r="HV217" s="67"/>
      <c r="HW217" s="67"/>
      <c r="HX217" s="67"/>
      <c r="HY217" s="67"/>
      <c r="HZ217" s="67"/>
      <c r="IA217" s="67"/>
      <c r="IB217" s="67"/>
      <c r="IC217" s="67"/>
      <c r="ID217" s="67"/>
      <c r="IE217" s="67"/>
      <c r="IF217" s="67"/>
      <c r="IG217" s="67"/>
      <c r="IH217" s="67"/>
      <c r="II217" s="67"/>
      <c r="IJ217" s="67"/>
      <c r="IK217" s="67"/>
      <c r="IL217" s="67"/>
      <c r="IM217" s="67"/>
      <c r="IN217" s="67"/>
      <c r="IO217" s="67"/>
      <c r="IP217" s="67"/>
      <c r="IQ217" s="67"/>
      <c r="IR217" s="67"/>
      <c r="IS217" s="67"/>
      <c r="IT217" s="67"/>
      <c r="IU217" s="67"/>
      <c r="IV217" s="67"/>
      <c r="IW217" s="67"/>
      <c r="IX217" s="67"/>
      <c r="IY217" s="67"/>
      <c r="IZ217" s="67"/>
      <c r="JA217" s="67"/>
      <c r="JB217" s="67"/>
      <c r="JC217" s="67"/>
      <c r="JD217" s="67"/>
      <c r="JE217" s="67"/>
      <c r="JF217" s="67"/>
      <c r="JG217" s="67"/>
      <c r="JH217" s="67"/>
      <c r="JI217" s="67"/>
      <c r="JJ217" s="67"/>
      <c r="JK217" s="67"/>
      <c r="JL217" s="67"/>
      <c r="JM217" s="67"/>
      <c r="JN217" s="67"/>
      <c r="JO217" s="67"/>
      <c r="JP217" s="67"/>
      <c r="JQ217" s="67"/>
      <c r="JR217" s="67"/>
      <c r="JS217" s="67"/>
      <c r="JT217" s="67"/>
      <c r="JU217" s="67"/>
      <c r="JV217" s="67"/>
      <c r="JW217" s="67"/>
      <c r="JX217" s="67"/>
      <c r="JY217" s="67"/>
      <c r="JZ217" s="67"/>
      <c r="KA217" s="67"/>
      <c r="KB217" s="67"/>
      <c r="KC217" s="67"/>
      <c r="KD217" s="67"/>
      <c r="KE217" s="67"/>
      <c r="KF217" s="67"/>
      <c r="KG217" s="67"/>
      <c r="KH217" s="67"/>
      <c r="KI217" s="67"/>
      <c r="KJ217" s="67"/>
      <c r="KK217" s="67"/>
      <c r="KL217" s="67"/>
      <c r="KM217" s="67"/>
      <c r="KN217" s="67"/>
      <c r="KO217" s="67"/>
      <c r="KP217" s="67"/>
      <c r="KQ217" s="67"/>
      <c r="KR217" s="67"/>
      <c r="KS217" s="67"/>
      <c r="KT217" s="67"/>
      <c r="KU217" s="67"/>
      <c r="KV217" s="67"/>
      <c r="KW217" s="67"/>
      <c r="KX217" s="67"/>
      <c r="KY217" s="67"/>
      <c r="KZ217" s="67"/>
      <c r="LA217" s="67"/>
      <c r="LB217" s="67"/>
      <c r="LC217" s="67"/>
      <c r="LD217" s="67"/>
      <c r="LE217" s="67"/>
      <c r="LF217" s="67"/>
      <c r="LG217" s="67"/>
      <c r="LH217" s="67"/>
      <c r="LI217" s="67"/>
      <c r="LJ217" s="67"/>
      <c r="LK217" s="67"/>
      <c r="LL217" s="67"/>
      <c r="LM217" s="67"/>
      <c r="LN217" s="67"/>
      <c r="LO217" s="67"/>
      <c r="LP217" s="67"/>
      <c r="LQ217" s="67"/>
      <c r="LR217" s="67"/>
      <c r="LS217" s="67"/>
      <c r="LT217" s="67"/>
      <c r="LU217" s="67"/>
      <c r="LV217" s="67"/>
      <c r="LW217" s="67"/>
      <c r="LX217" s="67"/>
      <c r="LY217" s="67"/>
      <c r="LZ217" s="67"/>
      <c r="MA217" s="67"/>
      <c r="MB217" s="67"/>
    </row>
    <row r="218" spans="1:340" s="50" customFormat="1" ht="15.75" customHeight="1" thickBot="1">
      <c r="A218" s="44">
        <v>3</v>
      </c>
      <c r="B218" s="88" t="s">
        <v>139</v>
      </c>
      <c r="C218" s="85" t="s">
        <v>156</v>
      </c>
      <c r="D218" s="86" t="s">
        <v>22</v>
      </c>
      <c r="E218" s="130" t="s">
        <v>23</v>
      </c>
      <c r="F218" s="87" t="s">
        <v>24</v>
      </c>
      <c r="G218" s="139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 t="s">
        <v>27</v>
      </c>
      <c r="AA218" s="68"/>
      <c r="AB218" s="68"/>
      <c r="AC218" s="68"/>
      <c r="AD218" s="153"/>
      <c r="AE218" s="68" t="s">
        <v>26</v>
      </c>
      <c r="AF218" s="68"/>
      <c r="AG218" s="68"/>
      <c r="AH218" s="68"/>
      <c r="AI218" s="68"/>
      <c r="AJ218" s="68"/>
      <c r="AK218" s="68"/>
      <c r="AL218" s="68"/>
      <c r="AM218" s="68" t="s">
        <v>28</v>
      </c>
      <c r="AN218" s="68"/>
      <c r="AO218" s="68"/>
      <c r="AP218" s="68"/>
      <c r="AQ218" s="68"/>
      <c r="AR218" s="68"/>
      <c r="AS218" s="68" t="s">
        <v>41</v>
      </c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 t="s">
        <v>57</v>
      </c>
      <c r="BG218" s="68"/>
      <c r="BH218" s="68"/>
      <c r="BI218" s="68"/>
      <c r="BJ218" s="68"/>
      <c r="BK218" s="68" t="s">
        <v>26</v>
      </c>
      <c r="BL218" s="68"/>
      <c r="BM218" s="68"/>
      <c r="BN218" s="68"/>
      <c r="BO218" s="68"/>
      <c r="BP218" s="68"/>
      <c r="BQ218" s="68"/>
      <c r="BR218" s="68"/>
      <c r="BS218" s="68"/>
      <c r="BT218" s="68"/>
      <c r="BU218" s="68"/>
      <c r="BV218" s="68"/>
      <c r="BW218" s="68"/>
      <c r="BX218" s="68"/>
      <c r="BY218" s="68"/>
      <c r="BZ218" s="68"/>
      <c r="CA218" s="68"/>
      <c r="CB218" s="68"/>
      <c r="CC218" s="68"/>
      <c r="CD218" s="68" t="s">
        <v>27</v>
      </c>
      <c r="CE218" s="68"/>
      <c r="CF218" s="68"/>
      <c r="CG218" s="68"/>
      <c r="CH218" s="68" t="s">
        <v>26</v>
      </c>
      <c r="CI218" s="68"/>
      <c r="CJ218" s="68"/>
      <c r="CK218" s="68"/>
      <c r="CL218" s="68"/>
      <c r="CM218" s="68"/>
      <c r="CN218" s="68"/>
      <c r="CO218" s="68"/>
      <c r="CP218" s="68"/>
      <c r="CQ218" s="68"/>
      <c r="CR218" s="68"/>
      <c r="CS218" s="68"/>
      <c r="CT218" s="68"/>
      <c r="CU218" s="68"/>
      <c r="CV218" s="68"/>
      <c r="CW218" s="68"/>
      <c r="CX218" s="68"/>
      <c r="CY218" s="68"/>
      <c r="CZ218" s="68"/>
      <c r="DA218" s="68"/>
      <c r="DB218" s="68"/>
      <c r="DC218" s="68"/>
      <c r="DD218" s="68" t="s">
        <v>28</v>
      </c>
      <c r="DE218" s="68" t="s">
        <v>28</v>
      </c>
      <c r="DF218" s="68"/>
      <c r="DG218" s="68"/>
      <c r="DH218" s="68"/>
      <c r="DI218" s="68"/>
      <c r="DJ218" s="68"/>
      <c r="DK218" s="68"/>
      <c r="DL218" s="68"/>
      <c r="DM218" s="68"/>
      <c r="DN218" s="68"/>
      <c r="DO218" s="68"/>
      <c r="DP218" s="68"/>
      <c r="DQ218" s="68"/>
      <c r="DR218" s="68"/>
      <c r="DS218" s="68"/>
      <c r="DT218" s="68"/>
      <c r="DU218" s="68"/>
      <c r="DV218" s="68"/>
      <c r="DW218" s="68"/>
      <c r="DX218" s="68"/>
      <c r="DY218" s="68"/>
      <c r="DZ218" s="68"/>
      <c r="EA218" s="68"/>
      <c r="EB218" s="68"/>
      <c r="EC218" s="68"/>
      <c r="ED218" s="68"/>
      <c r="EE218" s="68"/>
      <c r="EF218" s="68"/>
      <c r="EG218" s="68"/>
      <c r="EH218" s="68"/>
      <c r="EI218" s="68" t="s">
        <v>27</v>
      </c>
      <c r="EJ218" s="68" t="s">
        <v>37</v>
      </c>
      <c r="EK218" s="67"/>
      <c r="EL218" s="67"/>
      <c r="EM218" s="67"/>
      <c r="EN218" s="67"/>
      <c r="EO218" s="67"/>
      <c r="EP218" s="67"/>
      <c r="EQ218" s="67"/>
      <c r="ER218" s="67"/>
      <c r="ES218" s="67"/>
      <c r="ET218" s="67"/>
      <c r="EU218" s="67"/>
      <c r="EV218" s="67"/>
      <c r="EW218" s="67"/>
      <c r="EX218" s="67"/>
      <c r="EY218" s="67"/>
      <c r="EZ218" s="67"/>
      <c r="FA218" s="67"/>
      <c r="FB218" s="67"/>
      <c r="FC218" s="67"/>
      <c r="FD218" s="67"/>
      <c r="FE218" s="67"/>
      <c r="FF218" s="67"/>
      <c r="FG218" s="67"/>
      <c r="FH218" s="67"/>
      <c r="FI218" s="67"/>
      <c r="FJ218" s="67"/>
      <c r="FK218" s="67"/>
      <c r="FL218" s="67"/>
      <c r="FM218" s="67"/>
      <c r="FN218" s="67"/>
      <c r="FO218" s="67"/>
      <c r="FP218" s="67"/>
      <c r="FQ218" s="67"/>
      <c r="FR218" s="67"/>
      <c r="FS218" s="67"/>
      <c r="FT218" s="67"/>
      <c r="FU218" s="67"/>
      <c r="FV218" s="67"/>
      <c r="FW218" s="67"/>
      <c r="FX218" s="67"/>
      <c r="FY218" s="67"/>
      <c r="FZ218" s="67"/>
      <c r="GA218" s="67"/>
      <c r="GB218" s="67"/>
      <c r="GC218" s="67"/>
      <c r="GD218" s="67"/>
      <c r="GE218" s="67"/>
      <c r="GF218" s="67"/>
      <c r="GG218" s="67"/>
      <c r="GH218" s="67"/>
      <c r="GI218" s="67"/>
      <c r="GJ218" s="67"/>
      <c r="GK218" s="67"/>
      <c r="GL218" s="67"/>
      <c r="GM218" s="67"/>
      <c r="GN218" s="67"/>
      <c r="GO218" s="67"/>
      <c r="GP218" s="67"/>
      <c r="GQ218" s="67"/>
      <c r="GR218" s="67"/>
      <c r="GS218" s="67"/>
      <c r="GT218" s="67"/>
      <c r="GU218" s="67"/>
      <c r="GV218" s="67"/>
      <c r="GW218" s="67"/>
      <c r="GX218" s="67"/>
      <c r="GY218" s="67"/>
      <c r="GZ218" s="67"/>
      <c r="HA218" s="67"/>
      <c r="HB218" s="67"/>
      <c r="HC218" s="67"/>
      <c r="HD218" s="67"/>
      <c r="HE218" s="67"/>
      <c r="HF218" s="67"/>
      <c r="HG218" s="67"/>
      <c r="HH218" s="67"/>
      <c r="HI218" s="67"/>
      <c r="HJ218" s="67"/>
      <c r="HK218" s="67"/>
      <c r="HL218" s="67"/>
      <c r="HM218" s="67"/>
      <c r="HN218" s="67"/>
      <c r="HO218" s="67"/>
      <c r="HP218" s="67"/>
      <c r="HQ218" s="67"/>
      <c r="HR218" s="67"/>
      <c r="HS218" s="67"/>
      <c r="HT218" s="67"/>
      <c r="HU218" s="67"/>
      <c r="HV218" s="67"/>
      <c r="HW218" s="67"/>
      <c r="HX218" s="67"/>
      <c r="HY218" s="67"/>
      <c r="HZ218" s="67"/>
      <c r="IA218" s="67"/>
      <c r="IB218" s="67"/>
      <c r="IC218" s="67"/>
      <c r="ID218" s="67"/>
      <c r="IE218" s="67"/>
      <c r="IF218" s="67"/>
      <c r="IG218" s="67"/>
      <c r="IH218" s="67"/>
      <c r="II218" s="67"/>
      <c r="IJ218" s="67"/>
      <c r="IK218" s="67"/>
      <c r="IL218" s="67"/>
      <c r="IM218" s="67"/>
      <c r="IN218" s="67"/>
      <c r="IO218" s="67"/>
      <c r="IP218" s="67"/>
      <c r="IQ218" s="67"/>
      <c r="IR218" s="67"/>
      <c r="IS218" s="67"/>
      <c r="IT218" s="67"/>
      <c r="IU218" s="67"/>
      <c r="IV218" s="67"/>
      <c r="IW218" s="67"/>
      <c r="IX218" s="67"/>
      <c r="IY218" s="67"/>
      <c r="IZ218" s="67"/>
      <c r="JA218" s="67"/>
      <c r="JB218" s="67"/>
      <c r="JC218" s="67"/>
      <c r="JD218" s="67"/>
      <c r="JE218" s="67"/>
      <c r="JF218" s="67"/>
      <c r="JG218" s="67"/>
      <c r="JH218" s="67"/>
      <c r="JI218" s="67"/>
      <c r="JJ218" s="67"/>
      <c r="JK218" s="67"/>
      <c r="JL218" s="67"/>
      <c r="JM218" s="67"/>
      <c r="JN218" s="67"/>
      <c r="JO218" s="67"/>
      <c r="JP218" s="67"/>
      <c r="JQ218" s="67"/>
      <c r="JR218" s="67"/>
      <c r="JS218" s="67"/>
      <c r="JT218" s="67"/>
      <c r="JU218" s="67"/>
      <c r="JV218" s="67"/>
      <c r="JW218" s="67"/>
      <c r="JX218" s="67"/>
      <c r="JY218" s="67"/>
      <c r="JZ218" s="67"/>
      <c r="KA218" s="67"/>
      <c r="KB218" s="67"/>
      <c r="KC218" s="67"/>
      <c r="KD218" s="67"/>
      <c r="KE218" s="67"/>
      <c r="KF218" s="67"/>
      <c r="KG218" s="67"/>
      <c r="KH218" s="67"/>
      <c r="KI218" s="67"/>
      <c r="KJ218" s="67"/>
      <c r="KK218" s="67"/>
      <c r="KL218" s="67"/>
      <c r="KM218" s="67"/>
      <c r="KN218" s="67"/>
      <c r="KO218" s="67"/>
      <c r="KP218" s="67"/>
      <c r="KQ218" s="67"/>
      <c r="KR218" s="67"/>
      <c r="KS218" s="67"/>
      <c r="KT218" s="67"/>
      <c r="KU218" s="67"/>
      <c r="KV218" s="67"/>
      <c r="KW218" s="67"/>
      <c r="KX218" s="67"/>
      <c r="KY218" s="67"/>
      <c r="KZ218" s="67"/>
      <c r="LA218" s="67"/>
      <c r="LB218" s="67"/>
      <c r="LC218" s="67"/>
      <c r="LD218" s="67"/>
      <c r="LE218" s="67"/>
      <c r="LF218" s="67"/>
      <c r="LG218" s="67"/>
      <c r="LH218" s="67"/>
      <c r="LI218" s="67"/>
      <c r="LJ218" s="67"/>
      <c r="LK218" s="67"/>
      <c r="LL218" s="67"/>
      <c r="LM218" s="67"/>
      <c r="LN218" s="67"/>
      <c r="LO218" s="67"/>
      <c r="LP218" s="67"/>
      <c r="LQ218" s="67"/>
      <c r="LR218" s="67"/>
      <c r="LS218" s="67"/>
      <c r="LT218" s="67"/>
      <c r="LU218" s="67"/>
      <c r="LV218" s="67"/>
      <c r="LW218" s="67"/>
      <c r="LX218" s="67"/>
      <c r="LY218" s="67"/>
      <c r="LZ218" s="67"/>
      <c r="MA218" s="67"/>
      <c r="MB218" s="67"/>
    </row>
    <row r="219" spans="1:340" s="50" customFormat="1" ht="15.75" hidden="1" customHeight="1" thickBot="1">
      <c r="A219" s="44">
        <v>3</v>
      </c>
      <c r="B219" s="88" t="s">
        <v>319</v>
      </c>
      <c r="C219" s="85" t="s">
        <v>61</v>
      </c>
      <c r="D219" s="86" t="s">
        <v>45</v>
      </c>
      <c r="E219" s="130" t="s">
        <v>62</v>
      </c>
      <c r="F219" s="87" t="s">
        <v>24</v>
      </c>
      <c r="G219" s="139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153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153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  <c r="BK219" s="68"/>
      <c r="BL219" s="68"/>
      <c r="BM219" s="68"/>
      <c r="BN219" s="68"/>
      <c r="BO219" s="68"/>
      <c r="BP219" s="68"/>
      <c r="BQ219" s="68"/>
      <c r="BR219" s="68"/>
      <c r="BS219" s="68"/>
      <c r="BT219" s="68"/>
      <c r="BU219" s="68"/>
      <c r="BV219" s="68"/>
      <c r="BW219" s="68"/>
      <c r="BX219" s="68"/>
      <c r="BY219" s="68"/>
      <c r="BZ219" s="68"/>
      <c r="CA219" s="68"/>
      <c r="CB219" s="68"/>
      <c r="CC219" s="68"/>
      <c r="CD219" s="68"/>
      <c r="CE219" s="68"/>
      <c r="CF219" s="68"/>
      <c r="CG219" s="68"/>
      <c r="CH219" s="68"/>
      <c r="CI219" s="68"/>
      <c r="CJ219" s="68"/>
      <c r="CK219" s="68"/>
      <c r="CL219" s="68"/>
      <c r="CM219" s="68"/>
      <c r="CN219" s="68"/>
      <c r="CO219" s="68"/>
      <c r="CP219" s="68"/>
      <c r="CQ219" s="68"/>
      <c r="CR219" s="68"/>
      <c r="CS219" s="68"/>
      <c r="CT219" s="68"/>
      <c r="CU219" s="68"/>
      <c r="CV219" s="67"/>
      <c r="CW219" s="68"/>
      <c r="CX219" s="68"/>
      <c r="CY219" s="68"/>
      <c r="CZ219" s="68"/>
      <c r="DA219" s="68"/>
      <c r="DB219" s="68"/>
      <c r="DC219" s="68"/>
      <c r="DD219" s="68"/>
      <c r="DE219" s="68"/>
      <c r="DF219" s="68"/>
      <c r="DG219" s="68"/>
      <c r="DH219" s="68"/>
      <c r="DI219" s="68"/>
      <c r="DJ219" s="68"/>
      <c r="DK219" s="68"/>
      <c r="DL219" s="68"/>
      <c r="DM219" s="68"/>
      <c r="DN219" s="68"/>
      <c r="DO219" s="68"/>
      <c r="DP219" s="68"/>
      <c r="DQ219" s="68"/>
      <c r="DR219" s="68"/>
      <c r="DS219" s="68"/>
      <c r="DT219" s="68"/>
      <c r="DU219" s="68"/>
      <c r="DV219" s="68"/>
      <c r="DW219" s="68"/>
      <c r="DX219" s="68"/>
      <c r="DY219" s="68"/>
      <c r="DZ219" s="68"/>
      <c r="EA219" s="68"/>
      <c r="EB219" s="68"/>
      <c r="EC219" s="68"/>
      <c r="ED219" s="68"/>
      <c r="EE219" s="68"/>
      <c r="EF219" s="68"/>
      <c r="EG219" s="68"/>
      <c r="EH219" s="68"/>
      <c r="EI219" s="68"/>
      <c r="EJ219" s="68"/>
      <c r="EK219" s="68"/>
      <c r="EL219" s="68"/>
      <c r="EM219" s="68"/>
      <c r="EN219" s="68"/>
      <c r="EO219" s="68"/>
      <c r="EP219" s="68"/>
      <c r="EQ219" s="68"/>
      <c r="ER219" s="68"/>
      <c r="ES219" s="68"/>
      <c r="ET219" s="68" t="s">
        <v>25</v>
      </c>
      <c r="EU219" s="68" t="s">
        <v>26</v>
      </c>
      <c r="EV219" s="68"/>
      <c r="EW219" s="68"/>
      <c r="EX219" s="68" t="s">
        <v>27</v>
      </c>
      <c r="EY219" s="68" t="s">
        <v>37</v>
      </c>
      <c r="EZ219" s="67"/>
      <c r="FA219" s="67"/>
      <c r="FB219" s="67"/>
      <c r="FC219" s="67"/>
      <c r="FD219" s="67"/>
      <c r="FE219" s="67"/>
      <c r="FF219" s="67"/>
      <c r="FG219" s="67"/>
      <c r="FH219" s="67"/>
      <c r="FI219" s="67"/>
      <c r="FJ219" s="67"/>
      <c r="FK219" s="67"/>
      <c r="FL219" s="67"/>
      <c r="FM219" s="67"/>
      <c r="FN219" s="67"/>
      <c r="FO219" s="67"/>
      <c r="FP219" s="67"/>
      <c r="FQ219" s="67"/>
      <c r="FR219" s="67"/>
      <c r="FS219" s="67"/>
      <c r="FT219" s="67"/>
      <c r="FU219" s="67"/>
      <c r="FV219" s="67"/>
      <c r="FW219" s="67"/>
      <c r="FX219" s="67"/>
      <c r="FY219" s="67"/>
      <c r="FZ219" s="67"/>
      <c r="GA219" s="67"/>
      <c r="GB219" s="67"/>
      <c r="GC219" s="67"/>
      <c r="GD219" s="67"/>
      <c r="GE219" s="67"/>
      <c r="GF219" s="67"/>
      <c r="GG219" s="67"/>
      <c r="GH219" s="67"/>
      <c r="GI219" s="67"/>
      <c r="GJ219" s="67"/>
      <c r="GK219" s="67"/>
      <c r="GL219" s="67"/>
      <c r="GM219" s="67"/>
      <c r="GN219" s="67"/>
      <c r="GO219" s="67"/>
      <c r="GP219" s="67"/>
      <c r="GQ219" s="67"/>
      <c r="GR219" s="67"/>
      <c r="GS219" s="67"/>
      <c r="GT219" s="67"/>
      <c r="GU219" s="67"/>
      <c r="GV219" s="67"/>
      <c r="GW219" s="67"/>
      <c r="GX219" s="67"/>
      <c r="GY219" s="67"/>
      <c r="GZ219" s="67"/>
      <c r="HA219" s="67"/>
      <c r="HB219" s="67"/>
      <c r="HC219" s="67"/>
      <c r="HD219" s="67"/>
      <c r="HE219" s="67"/>
      <c r="HF219" s="67"/>
      <c r="HG219" s="67"/>
      <c r="HH219" s="67"/>
      <c r="HI219" s="67"/>
      <c r="HJ219" s="67"/>
      <c r="HK219" s="67"/>
      <c r="HL219" s="67"/>
      <c r="HM219" s="67"/>
      <c r="HN219" s="67"/>
      <c r="HO219" s="67"/>
      <c r="HP219" s="67"/>
      <c r="HQ219" s="67"/>
      <c r="HR219" s="67"/>
      <c r="HS219" s="67"/>
      <c r="HT219" s="67"/>
      <c r="HU219" s="67"/>
      <c r="HV219" s="67"/>
      <c r="HW219" s="67"/>
      <c r="HX219" s="67"/>
      <c r="HY219" s="67"/>
      <c r="HZ219" s="67"/>
      <c r="IA219" s="67"/>
      <c r="IB219" s="67"/>
      <c r="IC219" s="67"/>
      <c r="ID219" s="67"/>
      <c r="IE219" s="67"/>
      <c r="IF219" s="67"/>
      <c r="IG219" s="67"/>
      <c r="IH219" s="67"/>
      <c r="II219" s="67"/>
      <c r="IJ219" s="67"/>
      <c r="IK219" s="67"/>
      <c r="IL219" s="67"/>
      <c r="IM219" s="67"/>
      <c r="IN219" s="67"/>
      <c r="IO219" s="67"/>
      <c r="IP219" s="67"/>
      <c r="IQ219" s="67"/>
      <c r="IR219" s="67"/>
      <c r="IS219" s="67"/>
      <c r="IT219" s="67"/>
      <c r="IU219" s="67"/>
      <c r="IV219" s="67"/>
      <c r="IW219" s="67"/>
      <c r="IX219" s="67"/>
      <c r="IY219" s="67"/>
      <c r="IZ219" s="67"/>
      <c r="JA219" s="67"/>
      <c r="JB219" s="67"/>
      <c r="JC219" s="67"/>
      <c r="JD219" s="67"/>
      <c r="JE219" s="67"/>
      <c r="JF219" s="67"/>
      <c r="JG219" s="67"/>
      <c r="JH219" s="67"/>
      <c r="JI219" s="67"/>
      <c r="JJ219" s="67"/>
      <c r="JK219" s="67"/>
      <c r="JL219" s="67"/>
      <c r="JM219" s="67"/>
      <c r="JN219" s="67"/>
      <c r="JO219" s="67"/>
      <c r="JP219" s="67"/>
      <c r="JQ219" s="67"/>
      <c r="JR219" s="67"/>
      <c r="JS219" s="67"/>
      <c r="JT219" s="67"/>
      <c r="JU219" s="67"/>
      <c r="JV219" s="67"/>
      <c r="JW219" s="67"/>
      <c r="JX219" s="67"/>
      <c r="JY219" s="67"/>
      <c r="JZ219" s="67"/>
      <c r="KA219" s="67"/>
      <c r="KB219" s="67"/>
      <c r="KC219" s="67"/>
      <c r="KD219" s="67"/>
      <c r="KE219" s="67"/>
      <c r="KF219" s="67"/>
      <c r="KG219" s="67"/>
      <c r="KH219" s="67"/>
      <c r="KI219" s="67"/>
      <c r="KJ219" s="67"/>
      <c r="KK219" s="67"/>
      <c r="KL219" s="67"/>
      <c r="KM219" s="67"/>
      <c r="KN219" s="67"/>
      <c r="KO219" s="67"/>
      <c r="KP219" s="67"/>
      <c r="KQ219" s="67"/>
      <c r="KR219" s="67"/>
      <c r="KS219" s="67"/>
      <c r="KT219" s="67"/>
      <c r="KU219" s="67"/>
      <c r="KV219" s="67"/>
      <c r="KW219" s="67"/>
      <c r="KX219" s="67"/>
      <c r="KY219" s="67"/>
      <c r="KZ219" s="67"/>
      <c r="LA219" s="67"/>
      <c r="LB219" s="67"/>
      <c r="LC219" s="67"/>
      <c r="LD219" s="67"/>
      <c r="LE219" s="67"/>
      <c r="LF219" s="67"/>
      <c r="LG219" s="67"/>
      <c r="LH219" s="67"/>
      <c r="LI219" s="67"/>
      <c r="LJ219" s="67"/>
      <c r="LK219" s="67"/>
      <c r="LL219" s="67"/>
      <c r="LM219" s="67"/>
      <c r="LN219" s="67"/>
      <c r="LO219" s="67"/>
      <c r="LP219" s="67"/>
      <c r="LQ219" s="67"/>
      <c r="LR219" s="67"/>
      <c r="LS219" s="67"/>
      <c r="LT219" s="67"/>
      <c r="LU219" s="67"/>
      <c r="LV219" s="67"/>
      <c r="LW219" s="67"/>
      <c r="LX219" s="67"/>
      <c r="LY219" s="67"/>
      <c r="LZ219" s="67"/>
      <c r="MA219" s="67"/>
      <c r="MB219" s="67"/>
    </row>
    <row r="220" spans="1:340" s="50" customFormat="1" ht="15.75" hidden="1" customHeight="1" thickBot="1">
      <c r="A220" s="44">
        <v>3</v>
      </c>
      <c r="B220" s="154" t="s">
        <v>197</v>
      </c>
      <c r="C220" s="155" t="s">
        <v>320</v>
      </c>
      <c r="D220" s="156" t="s">
        <v>49</v>
      </c>
      <c r="E220" s="157" t="s">
        <v>78</v>
      </c>
      <c r="F220" s="158" t="s">
        <v>24</v>
      </c>
      <c r="G220" s="139"/>
      <c r="H220" s="68"/>
      <c r="I220" s="68"/>
      <c r="J220" s="68"/>
      <c r="K220" s="68"/>
      <c r="L220" s="68" t="s">
        <v>25</v>
      </c>
      <c r="M220" s="68"/>
      <c r="N220" s="68"/>
      <c r="O220" s="68"/>
      <c r="P220" s="68"/>
      <c r="Q220" s="68"/>
      <c r="R220" s="68"/>
      <c r="S220" s="68" t="s">
        <v>26</v>
      </c>
      <c r="T220" s="68"/>
      <c r="U220" s="68" t="s">
        <v>26</v>
      </c>
      <c r="V220" s="68"/>
      <c r="W220" s="68" t="s">
        <v>26</v>
      </c>
      <c r="X220" s="68"/>
      <c r="Y220" s="68" t="s">
        <v>26</v>
      </c>
      <c r="Z220" s="68"/>
      <c r="AA220" s="68" t="s">
        <v>26</v>
      </c>
      <c r="AB220" s="68" t="s">
        <v>26</v>
      </c>
      <c r="AC220" s="68" t="s">
        <v>26</v>
      </c>
      <c r="AD220" s="68" t="s">
        <v>26</v>
      </c>
      <c r="AE220" s="68" t="s">
        <v>80</v>
      </c>
      <c r="AF220" s="68" t="s">
        <v>26</v>
      </c>
      <c r="AG220" s="68" t="s">
        <v>26</v>
      </c>
      <c r="AH220" s="68"/>
      <c r="AI220" s="68" t="s">
        <v>26</v>
      </c>
      <c r="AJ220" s="68" t="s">
        <v>26</v>
      </c>
      <c r="AK220" s="68"/>
      <c r="AL220" s="68" t="s">
        <v>26</v>
      </c>
      <c r="AM220" s="68"/>
      <c r="AN220" s="68" t="s">
        <v>26</v>
      </c>
      <c r="AO220" s="68" t="s">
        <v>26</v>
      </c>
      <c r="AP220" s="68" t="s">
        <v>26</v>
      </c>
      <c r="AQ220" s="68" t="s">
        <v>26</v>
      </c>
      <c r="AR220" s="68" t="s">
        <v>26</v>
      </c>
      <c r="AS220" s="68" t="s">
        <v>80</v>
      </c>
      <c r="AT220" s="68" t="s">
        <v>80</v>
      </c>
      <c r="AU220" s="68"/>
      <c r="AV220" s="68" t="s">
        <v>26</v>
      </c>
      <c r="AW220" s="68"/>
      <c r="AX220" s="68"/>
      <c r="AY220" s="68"/>
      <c r="AZ220" s="68" t="s">
        <v>41</v>
      </c>
      <c r="BA220" s="68"/>
      <c r="BB220" s="68" t="s">
        <v>41</v>
      </c>
      <c r="BC220" s="68"/>
      <c r="BD220" s="68" t="s">
        <v>41</v>
      </c>
      <c r="BE220" s="68"/>
      <c r="BF220" s="68" t="s">
        <v>41</v>
      </c>
      <c r="BG220" s="68"/>
      <c r="BH220" s="68"/>
      <c r="BI220" s="68" t="s">
        <v>41</v>
      </c>
      <c r="BJ220" s="68"/>
      <c r="BK220" s="68"/>
      <c r="BL220" s="68" t="s">
        <v>41</v>
      </c>
      <c r="BM220" s="68"/>
      <c r="BN220" s="68"/>
      <c r="BO220" s="68"/>
      <c r="BP220" s="68"/>
      <c r="BQ220" s="68" t="s">
        <v>28</v>
      </c>
      <c r="BR220" s="68"/>
      <c r="BS220" s="68"/>
      <c r="BT220" s="68" t="s">
        <v>41</v>
      </c>
      <c r="BU220" s="68"/>
      <c r="BV220" s="68"/>
      <c r="BW220" s="68" t="s">
        <v>41</v>
      </c>
      <c r="BX220" s="68"/>
      <c r="BY220" s="68"/>
      <c r="BZ220" s="68"/>
      <c r="CA220" s="68" t="s">
        <v>41</v>
      </c>
      <c r="CB220" s="68"/>
      <c r="CC220" s="68"/>
      <c r="CD220" s="68" t="s">
        <v>27</v>
      </c>
      <c r="CE220" s="68"/>
      <c r="CF220" s="68"/>
      <c r="CG220" s="68" t="s">
        <v>27</v>
      </c>
      <c r="CH220" s="68"/>
      <c r="CI220" s="68"/>
      <c r="CJ220" s="68"/>
      <c r="CK220" s="68" t="s">
        <v>27</v>
      </c>
      <c r="CL220" s="68"/>
      <c r="CM220" s="68"/>
      <c r="CN220" s="68"/>
      <c r="CO220" s="68"/>
      <c r="CP220" s="68"/>
      <c r="CQ220" s="68" t="s">
        <v>57</v>
      </c>
      <c r="CR220" s="68"/>
      <c r="CS220" s="68" t="s">
        <v>57</v>
      </c>
      <c r="CT220" s="68"/>
      <c r="CU220" s="68"/>
      <c r="CV220" s="68" t="s">
        <v>57</v>
      </c>
      <c r="CW220" s="68"/>
      <c r="CX220" s="68" t="s">
        <v>57</v>
      </c>
      <c r="CY220" s="68"/>
      <c r="CZ220" s="68"/>
      <c r="DA220" s="68" t="s">
        <v>57</v>
      </c>
      <c r="DB220" s="68"/>
      <c r="DC220" s="68"/>
      <c r="DD220" s="68"/>
      <c r="DE220" s="68"/>
      <c r="DF220" s="68"/>
      <c r="DG220" s="68"/>
      <c r="DH220" s="68"/>
      <c r="DI220" s="68"/>
      <c r="DJ220" s="68"/>
      <c r="DK220" s="68"/>
      <c r="DL220" s="68"/>
      <c r="DM220" s="68"/>
      <c r="DN220" s="68"/>
      <c r="DO220" s="68"/>
      <c r="DP220" s="68"/>
      <c r="DQ220" s="68" t="s">
        <v>41</v>
      </c>
      <c r="DR220" s="68"/>
      <c r="DS220" s="68" t="s">
        <v>41</v>
      </c>
      <c r="DT220" s="68" t="s">
        <v>41</v>
      </c>
      <c r="DU220" s="68"/>
      <c r="DV220" s="68" t="s">
        <v>41</v>
      </c>
      <c r="DW220" s="68"/>
      <c r="DX220" s="68" t="s">
        <v>41</v>
      </c>
      <c r="DY220" s="68"/>
      <c r="DZ220" s="68" t="s">
        <v>41</v>
      </c>
      <c r="EA220" s="68"/>
      <c r="EB220" s="68" t="s">
        <v>41</v>
      </c>
      <c r="EC220" s="68"/>
      <c r="ED220" s="68" t="s">
        <v>27</v>
      </c>
      <c r="EE220" s="68"/>
      <c r="EF220" s="68" t="s">
        <v>27</v>
      </c>
      <c r="EG220" s="68" t="s">
        <v>27</v>
      </c>
      <c r="EH220" s="68"/>
      <c r="EI220" s="68" t="s">
        <v>27</v>
      </c>
      <c r="EJ220" s="68"/>
      <c r="EK220" s="68" t="s">
        <v>57</v>
      </c>
      <c r="EL220" s="68"/>
      <c r="EM220" s="68" t="s">
        <v>57</v>
      </c>
      <c r="EN220" s="68" t="s">
        <v>57</v>
      </c>
      <c r="EO220" s="68"/>
      <c r="EP220" s="68"/>
      <c r="EQ220" s="68"/>
      <c r="ER220" s="68"/>
      <c r="ES220" s="68"/>
      <c r="ET220" s="68"/>
      <c r="EU220" s="68" t="s">
        <v>57</v>
      </c>
      <c r="EV220" s="68"/>
      <c r="EW220" s="68"/>
      <c r="EX220" s="68" t="s">
        <v>57</v>
      </c>
      <c r="EY220" s="68"/>
      <c r="EZ220" s="68"/>
      <c r="FA220" s="68" t="s">
        <v>57</v>
      </c>
      <c r="FB220" s="68" t="s">
        <v>37</v>
      </c>
      <c r="FC220" s="68"/>
      <c r="FD220" s="68"/>
      <c r="FE220" s="68"/>
      <c r="FF220" s="68"/>
      <c r="FG220" s="68"/>
      <c r="FH220" s="68"/>
      <c r="FI220" s="68"/>
      <c r="FJ220" s="68"/>
      <c r="FK220" s="68"/>
      <c r="FL220" s="68"/>
      <c r="FM220" s="68"/>
      <c r="FN220" s="68"/>
      <c r="FO220" s="68"/>
      <c r="FP220" s="68"/>
      <c r="FQ220" s="68"/>
      <c r="FR220" s="68"/>
      <c r="FS220" s="68"/>
      <c r="FT220" s="68"/>
      <c r="FU220" s="68"/>
      <c r="FV220" s="68"/>
      <c r="FW220" s="68"/>
      <c r="FX220" s="68"/>
      <c r="FY220" s="68"/>
      <c r="FZ220" s="68"/>
      <c r="GA220" s="68"/>
      <c r="GB220" s="68"/>
      <c r="GC220" s="68"/>
      <c r="GD220" s="68"/>
      <c r="GE220" s="68"/>
      <c r="GF220" s="68"/>
      <c r="GG220" s="68"/>
      <c r="GH220" s="68"/>
      <c r="GI220" s="68"/>
      <c r="GJ220" s="68"/>
      <c r="GK220" s="68"/>
      <c r="GL220" s="68"/>
      <c r="GM220" s="68"/>
      <c r="GN220" s="68"/>
      <c r="GO220" s="68"/>
      <c r="GP220" s="68"/>
      <c r="GQ220" s="68"/>
      <c r="GR220" s="68"/>
      <c r="GS220" s="68"/>
      <c r="GT220" s="68"/>
      <c r="GU220" s="68"/>
      <c r="GV220" s="68"/>
      <c r="GW220" s="68"/>
      <c r="GX220" s="68"/>
      <c r="GY220" s="68"/>
      <c r="GZ220" s="68"/>
      <c r="HA220" s="68"/>
      <c r="HB220" s="68"/>
      <c r="HC220" s="68"/>
      <c r="HD220" s="68"/>
      <c r="HE220" s="68"/>
      <c r="HF220" s="68"/>
      <c r="HG220" s="68"/>
      <c r="HH220" s="68"/>
      <c r="HI220" s="68"/>
      <c r="HJ220" s="68"/>
      <c r="HK220" s="68"/>
      <c r="HL220" s="68"/>
      <c r="HM220" s="68"/>
      <c r="HN220" s="67"/>
      <c r="HO220" s="67"/>
      <c r="HP220" s="67"/>
      <c r="HQ220" s="67"/>
      <c r="HR220" s="67"/>
      <c r="HS220" s="67"/>
      <c r="HT220" s="67"/>
      <c r="HU220" s="67"/>
      <c r="HV220" s="67"/>
      <c r="HW220" s="67"/>
      <c r="HX220" s="67"/>
      <c r="HY220" s="67"/>
      <c r="HZ220" s="67"/>
      <c r="IA220" s="67"/>
      <c r="IB220" s="67"/>
      <c r="IC220" s="67"/>
      <c r="ID220" s="67"/>
      <c r="IE220" s="67"/>
      <c r="IF220" s="67"/>
      <c r="IG220" s="67"/>
      <c r="IH220" s="67"/>
      <c r="II220" s="67"/>
      <c r="IJ220" s="67"/>
      <c r="IK220" s="67"/>
      <c r="IL220" s="67"/>
      <c r="IM220" s="67"/>
      <c r="IN220" s="67"/>
      <c r="IO220" s="67"/>
      <c r="IP220" s="67"/>
      <c r="IQ220" s="67"/>
      <c r="IR220" s="67"/>
      <c r="IS220" s="67"/>
      <c r="IT220" s="67"/>
      <c r="IU220" s="67"/>
      <c r="IV220" s="67"/>
      <c r="IW220" s="67"/>
      <c r="IX220" s="67"/>
      <c r="IY220" s="67"/>
      <c r="IZ220" s="67"/>
      <c r="JA220" s="67"/>
      <c r="JB220" s="67"/>
      <c r="JC220" s="67"/>
      <c r="JD220" s="67"/>
      <c r="JE220" s="67"/>
      <c r="JF220" s="67"/>
      <c r="JG220" s="67"/>
      <c r="JH220" s="67"/>
      <c r="JI220" s="67"/>
      <c r="JJ220" s="67"/>
      <c r="JK220" s="67"/>
      <c r="JL220" s="67"/>
      <c r="JM220" s="67"/>
      <c r="JN220" s="67"/>
      <c r="JO220" s="67"/>
      <c r="JP220" s="67"/>
      <c r="JQ220" s="67"/>
      <c r="JR220" s="67"/>
      <c r="JS220" s="67"/>
      <c r="JT220" s="67"/>
      <c r="JU220" s="67"/>
      <c r="JV220" s="67"/>
      <c r="JW220" s="67"/>
      <c r="JX220" s="67"/>
      <c r="JY220" s="67"/>
      <c r="JZ220" s="67"/>
      <c r="KA220" s="67"/>
      <c r="KB220" s="67"/>
      <c r="KC220" s="67"/>
      <c r="KD220" s="67"/>
      <c r="KE220" s="67"/>
      <c r="KF220" s="67"/>
      <c r="KG220" s="67"/>
      <c r="KH220" s="67"/>
      <c r="KI220" s="67"/>
      <c r="KJ220" s="67"/>
      <c r="KK220" s="67"/>
      <c r="KL220" s="67"/>
      <c r="KM220" s="67"/>
      <c r="KN220" s="67"/>
      <c r="KO220" s="67"/>
      <c r="KP220" s="67"/>
      <c r="KQ220" s="67"/>
      <c r="KR220" s="67"/>
      <c r="KS220" s="67"/>
      <c r="KT220" s="67"/>
      <c r="KU220" s="67"/>
      <c r="KV220" s="67"/>
      <c r="KW220" s="67"/>
      <c r="KX220" s="67"/>
      <c r="KY220" s="67"/>
      <c r="KZ220" s="67"/>
      <c r="LA220" s="67"/>
      <c r="LB220" s="67"/>
      <c r="LC220" s="67"/>
      <c r="LD220" s="67"/>
      <c r="LE220" s="67"/>
      <c r="LF220" s="67"/>
      <c r="LG220" s="67"/>
      <c r="LH220" s="67"/>
      <c r="LI220" s="67"/>
      <c r="LJ220" s="67"/>
      <c r="LK220" s="67"/>
      <c r="LL220" s="67"/>
      <c r="LM220" s="67"/>
      <c r="LN220" s="67"/>
      <c r="LO220" s="67"/>
      <c r="LP220" s="67"/>
      <c r="LQ220" s="67"/>
      <c r="LR220" s="67"/>
      <c r="LS220" s="67"/>
      <c r="LT220" s="67"/>
      <c r="LU220" s="67"/>
      <c r="LV220" s="67"/>
      <c r="LW220" s="67"/>
      <c r="LX220" s="67"/>
      <c r="LY220" s="67"/>
      <c r="LZ220" s="67"/>
      <c r="MA220" s="67"/>
      <c r="MB220" s="67"/>
    </row>
    <row r="221" spans="1:340" s="50" customFormat="1" ht="15.75" hidden="1" customHeight="1" thickBot="1">
      <c r="A221" s="44">
        <v>3</v>
      </c>
      <c r="B221" s="88" t="s">
        <v>149</v>
      </c>
      <c r="C221" s="85" t="s">
        <v>70</v>
      </c>
      <c r="D221" s="86" t="s">
        <v>49</v>
      </c>
      <c r="E221" s="130" t="s">
        <v>78</v>
      </c>
      <c r="F221" s="87" t="s">
        <v>24</v>
      </c>
      <c r="G221" s="139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153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153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  <c r="BK221" s="68"/>
      <c r="BL221" s="68"/>
      <c r="BM221" s="68"/>
      <c r="BN221" s="68"/>
      <c r="BO221" s="68"/>
      <c r="BP221" s="68"/>
      <c r="BQ221" s="68"/>
      <c r="BR221" s="68"/>
      <c r="BS221" s="68"/>
      <c r="BT221" s="68"/>
      <c r="BU221" s="68"/>
      <c r="BV221" s="68"/>
      <c r="BW221" s="68"/>
      <c r="BX221" s="68"/>
      <c r="BY221" s="68"/>
      <c r="BZ221" s="68"/>
      <c r="CA221" s="68"/>
      <c r="CB221" s="68"/>
      <c r="CC221" s="68"/>
      <c r="CD221" s="68"/>
      <c r="CE221" s="68"/>
      <c r="CF221" s="68"/>
      <c r="CG221" s="68"/>
      <c r="CH221" s="68"/>
      <c r="CI221" s="68"/>
      <c r="CJ221" s="68"/>
      <c r="CK221" s="68"/>
      <c r="CL221" s="68"/>
      <c r="CM221" s="68"/>
      <c r="CN221" s="68"/>
      <c r="CO221" s="68"/>
      <c r="CP221" s="68"/>
      <c r="CQ221" s="68"/>
      <c r="CR221" s="68"/>
      <c r="CS221" s="68"/>
      <c r="CT221" s="68"/>
      <c r="CU221" s="68"/>
      <c r="CV221" s="68"/>
      <c r="CW221" s="68"/>
      <c r="CX221" s="68"/>
      <c r="CY221" s="68"/>
      <c r="CZ221" s="68"/>
      <c r="DA221" s="68"/>
      <c r="DB221" s="68"/>
      <c r="DC221" s="68"/>
      <c r="DD221" s="68"/>
      <c r="DE221" s="68"/>
      <c r="DF221" s="68"/>
      <c r="DG221" s="68"/>
      <c r="DH221" s="68"/>
      <c r="DI221" s="68"/>
      <c r="DJ221" s="68"/>
      <c r="DK221" s="68"/>
      <c r="DL221" s="68"/>
      <c r="DM221" s="68"/>
      <c r="DN221" s="68" t="s">
        <v>25</v>
      </c>
      <c r="DO221" s="68" t="s">
        <v>26</v>
      </c>
      <c r="DP221" s="68"/>
      <c r="DQ221" s="68" t="s">
        <v>26</v>
      </c>
      <c r="DR221" s="68" t="s">
        <v>26</v>
      </c>
      <c r="DS221" s="68"/>
      <c r="DT221" s="68"/>
      <c r="DU221" s="68" t="s">
        <v>27</v>
      </c>
      <c r="DV221" s="68"/>
      <c r="DW221" s="68"/>
      <c r="DX221" s="68"/>
      <c r="DY221" s="68" t="s">
        <v>27</v>
      </c>
      <c r="DZ221" s="68"/>
      <c r="EA221" s="68" t="s">
        <v>27</v>
      </c>
      <c r="EB221" s="68" t="s">
        <v>37</v>
      </c>
      <c r="EC221" s="68"/>
      <c r="ED221" s="68"/>
      <c r="EE221" s="68"/>
      <c r="EF221" s="68"/>
      <c r="EG221" s="68"/>
      <c r="EH221" s="68"/>
      <c r="EI221" s="68"/>
      <c r="EJ221" s="68"/>
      <c r="EK221" s="68"/>
      <c r="EL221" s="68"/>
      <c r="EM221" s="68"/>
      <c r="EN221" s="68"/>
      <c r="EO221" s="68"/>
      <c r="EP221" s="68"/>
      <c r="EQ221" s="68"/>
      <c r="ER221" s="68"/>
      <c r="ES221" s="68"/>
      <c r="ET221" s="68"/>
      <c r="EU221" s="68" t="s">
        <v>25</v>
      </c>
      <c r="EV221" s="68" t="s">
        <v>26</v>
      </c>
      <c r="EW221" s="68"/>
      <c r="EX221" s="68" t="s">
        <v>27</v>
      </c>
      <c r="EY221" s="68"/>
      <c r="EZ221" s="68" t="s">
        <v>26</v>
      </c>
      <c r="FA221" s="68"/>
      <c r="FB221" s="68" t="s">
        <v>27</v>
      </c>
      <c r="FC221" s="68" t="s">
        <v>37</v>
      </c>
      <c r="FD221" s="67"/>
      <c r="FE221" s="67"/>
      <c r="FF221" s="67"/>
      <c r="FG221" s="67"/>
      <c r="FH221" s="67"/>
      <c r="FI221" s="67"/>
      <c r="FJ221" s="67"/>
      <c r="FK221" s="67"/>
      <c r="FL221" s="67"/>
      <c r="FM221" s="67"/>
      <c r="FN221" s="67"/>
      <c r="FO221" s="67"/>
      <c r="FP221" s="67"/>
      <c r="FQ221" s="67"/>
      <c r="FR221" s="67"/>
      <c r="FS221" s="67"/>
      <c r="FT221" s="67"/>
      <c r="FU221" s="67"/>
      <c r="FV221" s="67"/>
      <c r="FW221" s="67"/>
      <c r="FX221" s="67"/>
      <c r="FY221" s="67"/>
      <c r="FZ221" s="67"/>
      <c r="GA221" s="67"/>
      <c r="GB221" s="67"/>
      <c r="GC221" s="67"/>
      <c r="GD221" s="67"/>
      <c r="GE221" s="67"/>
      <c r="GF221" s="67"/>
      <c r="GG221" s="67"/>
      <c r="GH221" s="67"/>
      <c r="GI221" s="67"/>
      <c r="GJ221" s="67"/>
      <c r="GK221" s="67"/>
      <c r="GL221" s="67"/>
      <c r="GM221" s="67"/>
      <c r="GN221" s="67"/>
      <c r="GO221" s="67"/>
      <c r="GP221" s="67"/>
      <c r="GQ221" s="67"/>
      <c r="GR221" s="67"/>
      <c r="GS221" s="67"/>
      <c r="GT221" s="67"/>
      <c r="GU221" s="67"/>
      <c r="GV221" s="67"/>
      <c r="GW221" s="67"/>
      <c r="GX221" s="67"/>
      <c r="GY221" s="67"/>
      <c r="GZ221" s="67"/>
      <c r="HA221" s="67"/>
      <c r="HB221" s="67"/>
      <c r="HC221" s="67"/>
      <c r="HD221" s="67"/>
      <c r="HE221" s="67"/>
      <c r="HF221" s="67"/>
      <c r="HG221" s="67"/>
      <c r="HH221" s="67"/>
      <c r="HI221" s="67"/>
      <c r="HJ221" s="67"/>
      <c r="HK221" s="67"/>
      <c r="HL221" s="67"/>
      <c r="HM221" s="67"/>
      <c r="HN221" s="67"/>
      <c r="HO221" s="67"/>
      <c r="HP221" s="67"/>
      <c r="HQ221" s="67"/>
      <c r="HR221" s="67"/>
      <c r="HS221" s="67"/>
      <c r="HT221" s="67"/>
      <c r="HU221" s="67"/>
      <c r="HV221" s="67"/>
      <c r="HW221" s="67"/>
      <c r="HX221" s="67"/>
      <c r="HY221" s="67"/>
      <c r="HZ221" s="67"/>
      <c r="IA221" s="67"/>
      <c r="IB221" s="67"/>
      <c r="IC221" s="67"/>
      <c r="ID221" s="67"/>
      <c r="IE221" s="67"/>
      <c r="IF221" s="67"/>
      <c r="IG221" s="67"/>
      <c r="IH221" s="67"/>
      <c r="II221" s="67"/>
      <c r="IJ221" s="67"/>
      <c r="IK221" s="67"/>
      <c r="IL221" s="67"/>
      <c r="IM221" s="67"/>
      <c r="IN221" s="67"/>
      <c r="IO221" s="67"/>
      <c r="IP221" s="67"/>
      <c r="IQ221" s="67"/>
      <c r="IR221" s="67"/>
      <c r="IS221" s="67"/>
      <c r="IT221" s="67"/>
      <c r="IU221" s="67"/>
      <c r="IV221" s="67"/>
      <c r="IW221" s="67"/>
      <c r="IX221" s="67"/>
      <c r="IY221" s="67"/>
      <c r="IZ221" s="67"/>
      <c r="JA221" s="67"/>
      <c r="JB221" s="67"/>
      <c r="JC221" s="67"/>
      <c r="JD221" s="67"/>
      <c r="JE221" s="67"/>
      <c r="JF221" s="67"/>
      <c r="JG221" s="67"/>
      <c r="JH221" s="67"/>
      <c r="JI221" s="67"/>
      <c r="JJ221" s="67"/>
      <c r="JK221" s="67"/>
      <c r="JL221" s="67"/>
      <c r="JM221" s="67"/>
      <c r="JN221" s="67"/>
      <c r="JO221" s="67"/>
      <c r="JP221" s="67"/>
      <c r="JQ221" s="67"/>
      <c r="JR221" s="67"/>
      <c r="JS221" s="67"/>
      <c r="JT221" s="67"/>
      <c r="JU221" s="67"/>
      <c r="JV221" s="67"/>
      <c r="JW221" s="67"/>
      <c r="JX221" s="67"/>
      <c r="JY221" s="67"/>
      <c r="JZ221" s="67"/>
      <c r="KA221" s="67"/>
      <c r="KB221" s="67"/>
      <c r="KC221" s="67"/>
      <c r="KD221" s="67"/>
      <c r="KE221" s="67"/>
      <c r="KF221" s="67"/>
      <c r="KG221" s="67"/>
      <c r="KH221" s="67"/>
      <c r="KI221" s="67"/>
      <c r="KJ221" s="67"/>
      <c r="KK221" s="67"/>
      <c r="KL221" s="67"/>
      <c r="KM221" s="67"/>
      <c r="KN221" s="67"/>
      <c r="KO221" s="67"/>
      <c r="KP221" s="67"/>
      <c r="KQ221" s="67"/>
      <c r="KR221" s="67"/>
      <c r="KS221" s="67"/>
      <c r="KT221" s="67"/>
      <c r="KU221" s="67"/>
      <c r="KV221" s="67"/>
      <c r="KW221" s="67"/>
      <c r="KX221" s="67"/>
      <c r="KY221" s="67"/>
      <c r="KZ221" s="67"/>
      <c r="LA221" s="67"/>
      <c r="LB221" s="67"/>
      <c r="LC221" s="67"/>
      <c r="LD221" s="67"/>
      <c r="LE221" s="67"/>
      <c r="LF221" s="67"/>
      <c r="LG221" s="67"/>
      <c r="LH221" s="67"/>
      <c r="LI221" s="67"/>
      <c r="LJ221" s="67"/>
      <c r="LK221" s="67"/>
      <c r="LL221" s="67"/>
      <c r="LM221" s="67"/>
      <c r="LN221" s="67"/>
      <c r="LO221" s="67"/>
      <c r="LP221" s="67"/>
      <c r="LQ221" s="67"/>
      <c r="LR221" s="67"/>
      <c r="LS221" s="67"/>
      <c r="LT221" s="67"/>
      <c r="LU221" s="67"/>
      <c r="LV221" s="67"/>
      <c r="LW221" s="67"/>
      <c r="LX221" s="67"/>
      <c r="LY221" s="67"/>
      <c r="LZ221" s="67"/>
      <c r="MA221" s="67"/>
      <c r="MB221" s="67"/>
    </row>
    <row r="222" spans="1:340" s="50" customFormat="1" ht="15.75" hidden="1" customHeight="1" thickBot="1">
      <c r="A222" s="44">
        <v>3</v>
      </c>
      <c r="B222" s="150" t="s">
        <v>193</v>
      </c>
      <c r="C222" s="85" t="s">
        <v>65</v>
      </c>
      <c r="D222" s="86" t="s">
        <v>49</v>
      </c>
      <c r="E222" s="130" t="s">
        <v>78</v>
      </c>
      <c r="F222" s="87" t="s">
        <v>24</v>
      </c>
      <c r="G222" s="139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 t="s">
        <v>25</v>
      </c>
      <c r="BD222" s="68" t="s">
        <v>26</v>
      </c>
      <c r="BE222" s="68" t="s">
        <v>26</v>
      </c>
      <c r="BF222" s="68"/>
      <c r="BG222" s="68" t="s">
        <v>26</v>
      </c>
      <c r="BH222" s="68" t="s">
        <v>26</v>
      </c>
      <c r="BI222" s="68" t="s">
        <v>26</v>
      </c>
      <c r="BJ222" s="68" t="s">
        <v>26</v>
      </c>
      <c r="BK222" s="68" t="s">
        <v>26</v>
      </c>
      <c r="BL222" s="68" t="s">
        <v>26</v>
      </c>
      <c r="BM222" s="68" t="s">
        <v>80</v>
      </c>
      <c r="BN222" s="68"/>
      <c r="BO222" s="68"/>
      <c r="BP222" s="68" t="s">
        <v>41</v>
      </c>
      <c r="BQ222" s="68"/>
      <c r="BR222" s="68" t="s">
        <v>41</v>
      </c>
      <c r="BS222" s="68" t="s">
        <v>41</v>
      </c>
      <c r="BT222" s="68"/>
      <c r="BU222" s="68" t="s">
        <v>41</v>
      </c>
      <c r="BV222" s="68"/>
      <c r="BW222" s="68" t="s">
        <v>41</v>
      </c>
      <c r="BX222" s="68"/>
      <c r="BY222" s="68"/>
      <c r="BZ222" s="68"/>
      <c r="CA222" s="68"/>
      <c r="CB222" s="68"/>
      <c r="CC222" s="68"/>
      <c r="CD222" s="68"/>
      <c r="CE222" s="68"/>
      <c r="CF222" s="68"/>
      <c r="CG222" s="68"/>
      <c r="CH222" s="68"/>
      <c r="CI222" s="68"/>
      <c r="CJ222" s="68"/>
      <c r="CK222" s="68"/>
      <c r="CL222" s="68"/>
      <c r="CM222" s="68"/>
      <c r="CN222" s="68" t="s">
        <v>41</v>
      </c>
      <c r="CO222" s="68"/>
      <c r="CP222" s="68"/>
      <c r="CQ222" s="68" t="s">
        <v>41</v>
      </c>
      <c r="CR222" s="68" t="s">
        <v>41</v>
      </c>
      <c r="CS222" s="68"/>
      <c r="CT222" s="68" t="s">
        <v>41</v>
      </c>
      <c r="CU222" s="68"/>
      <c r="CV222" s="68" t="s">
        <v>41</v>
      </c>
      <c r="CW222" s="68"/>
      <c r="CX222" s="68"/>
      <c r="CY222" s="68"/>
      <c r="CZ222" s="68"/>
      <c r="DA222" s="68"/>
      <c r="DB222" s="68"/>
      <c r="DC222" s="68"/>
      <c r="DD222" s="68"/>
      <c r="DE222" s="68"/>
      <c r="DF222" s="68"/>
      <c r="DG222" s="68"/>
      <c r="DH222" s="68"/>
      <c r="DI222" s="68"/>
      <c r="DJ222" s="68"/>
      <c r="DK222" s="68"/>
      <c r="DL222" s="68"/>
      <c r="DM222" s="68"/>
      <c r="DN222" s="68"/>
      <c r="DO222" s="68"/>
      <c r="DP222" s="68"/>
      <c r="DQ222" s="68"/>
      <c r="DR222" s="68"/>
      <c r="DS222" s="68"/>
      <c r="DT222" s="68"/>
      <c r="DU222" s="68"/>
      <c r="DV222" s="68"/>
      <c r="DW222" s="68"/>
      <c r="DX222" s="68"/>
      <c r="DY222" s="68"/>
      <c r="DZ222" s="68"/>
      <c r="EA222" s="68"/>
      <c r="EB222" s="68"/>
      <c r="EC222" s="68"/>
      <c r="ED222" s="68"/>
      <c r="EE222" s="68"/>
      <c r="EF222" s="68"/>
      <c r="EG222" s="68"/>
      <c r="EH222" s="68"/>
      <c r="EI222" s="68"/>
      <c r="EJ222" s="68"/>
      <c r="EK222" s="68"/>
      <c r="EL222" s="68"/>
      <c r="EM222" s="68"/>
      <c r="EN222" s="68"/>
      <c r="EO222" s="68"/>
      <c r="EP222" s="68"/>
      <c r="EQ222" s="68"/>
      <c r="ER222" s="68"/>
      <c r="ES222" s="68"/>
      <c r="ET222" s="68"/>
      <c r="EU222" s="68"/>
      <c r="EV222" s="68"/>
      <c r="EW222" s="68"/>
      <c r="EX222" s="68"/>
      <c r="EY222" s="68"/>
      <c r="EZ222" s="68"/>
      <c r="FA222" s="68"/>
      <c r="FB222" s="68"/>
      <c r="FC222" s="68"/>
      <c r="FD222" s="68" t="s">
        <v>37</v>
      </c>
      <c r="FE222" s="67"/>
      <c r="FF222" s="67"/>
      <c r="FG222" s="67"/>
      <c r="FH222" s="67"/>
      <c r="FI222" s="67"/>
      <c r="FJ222" s="67"/>
      <c r="FK222" s="67"/>
      <c r="FL222" s="67"/>
      <c r="FM222" s="67"/>
      <c r="FN222" s="67"/>
      <c r="FO222" s="67"/>
      <c r="FP222" s="67"/>
      <c r="FQ222" s="67"/>
      <c r="FR222" s="67"/>
      <c r="FS222" s="67"/>
      <c r="FT222" s="67"/>
      <c r="FU222" s="67"/>
      <c r="FV222" s="67"/>
      <c r="FW222" s="67"/>
      <c r="FX222" s="67"/>
      <c r="FY222" s="67"/>
      <c r="FZ222" s="67"/>
      <c r="GA222" s="67"/>
      <c r="GB222" s="67"/>
      <c r="GC222" s="67"/>
      <c r="GD222" s="67"/>
      <c r="GE222" s="67"/>
      <c r="GF222" s="67"/>
      <c r="GG222" s="67"/>
      <c r="GH222" s="67"/>
      <c r="GI222" s="67"/>
      <c r="GJ222" s="67"/>
      <c r="GK222" s="67"/>
      <c r="GL222" s="67"/>
      <c r="GM222" s="67"/>
      <c r="GN222" s="67"/>
      <c r="GO222" s="67"/>
      <c r="GP222" s="67"/>
      <c r="GQ222" s="67"/>
      <c r="GR222" s="67"/>
      <c r="GS222" s="67"/>
      <c r="GT222" s="67"/>
      <c r="GU222" s="67"/>
      <c r="GV222" s="67"/>
      <c r="GW222" s="67"/>
      <c r="GX222" s="67"/>
      <c r="GY222" s="67"/>
      <c r="GZ222" s="67"/>
      <c r="HA222" s="67"/>
      <c r="HB222" s="67"/>
      <c r="HC222" s="67"/>
      <c r="HD222" s="67"/>
      <c r="HE222" s="67"/>
      <c r="HF222" s="67"/>
      <c r="HG222" s="67"/>
      <c r="HH222" s="67"/>
      <c r="HI222" s="67"/>
      <c r="HJ222" s="67"/>
      <c r="HK222" s="67"/>
      <c r="HL222" s="67"/>
      <c r="HM222" s="67"/>
      <c r="HN222" s="67"/>
      <c r="HO222" s="67"/>
      <c r="HP222" s="67"/>
      <c r="HQ222" s="67"/>
      <c r="HR222" s="67"/>
      <c r="HS222" s="67"/>
      <c r="HT222" s="67"/>
      <c r="HU222" s="67"/>
      <c r="HV222" s="67"/>
      <c r="HW222" s="67"/>
      <c r="HX222" s="67"/>
      <c r="HY222" s="67"/>
      <c r="HZ222" s="67"/>
      <c r="IA222" s="67"/>
      <c r="IB222" s="67"/>
      <c r="IC222" s="67"/>
      <c r="ID222" s="67"/>
      <c r="IE222" s="67"/>
      <c r="IF222" s="67"/>
      <c r="IG222" s="67"/>
      <c r="IH222" s="67"/>
      <c r="II222" s="67"/>
      <c r="IJ222" s="67"/>
      <c r="IK222" s="67"/>
      <c r="IL222" s="67"/>
      <c r="IM222" s="67"/>
      <c r="IN222" s="67"/>
      <c r="IO222" s="67"/>
      <c r="IP222" s="67"/>
      <c r="IQ222" s="67"/>
      <c r="IR222" s="67"/>
      <c r="IS222" s="67"/>
      <c r="IT222" s="67"/>
      <c r="IU222" s="67"/>
      <c r="IV222" s="67"/>
      <c r="IW222" s="67"/>
      <c r="IX222" s="67"/>
      <c r="IY222" s="67"/>
      <c r="IZ222" s="67"/>
      <c r="JA222" s="67"/>
      <c r="JB222" s="67"/>
      <c r="JC222" s="67"/>
      <c r="JD222" s="67"/>
      <c r="JE222" s="67"/>
      <c r="JF222" s="67"/>
      <c r="JG222" s="67"/>
      <c r="JH222" s="67"/>
      <c r="JI222" s="67"/>
      <c r="JJ222" s="67"/>
      <c r="JK222" s="67"/>
      <c r="JL222" s="67"/>
      <c r="JM222" s="67"/>
      <c r="JN222" s="67"/>
      <c r="JO222" s="67"/>
      <c r="JP222" s="67"/>
      <c r="JQ222" s="67"/>
      <c r="JR222" s="67"/>
      <c r="JS222" s="67"/>
      <c r="JT222" s="67"/>
      <c r="JU222" s="67"/>
      <c r="JV222" s="67"/>
      <c r="JW222" s="67"/>
      <c r="JX222" s="67"/>
      <c r="JY222" s="67"/>
      <c r="JZ222" s="67"/>
      <c r="KA222" s="67"/>
      <c r="KB222" s="67"/>
      <c r="KC222" s="67"/>
      <c r="KD222" s="67"/>
      <c r="KE222" s="67"/>
      <c r="KF222" s="67"/>
      <c r="KG222" s="67"/>
      <c r="KH222" s="67"/>
      <c r="KI222" s="67"/>
      <c r="KJ222" s="67"/>
      <c r="KK222" s="67"/>
      <c r="KL222" s="67"/>
      <c r="KM222" s="67"/>
      <c r="KN222" s="67"/>
      <c r="KO222" s="67"/>
      <c r="KP222" s="67"/>
      <c r="KQ222" s="67"/>
      <c r="KR222" s="67"/>
      <c r="KS222" s="67"/>
      <c r="KT222" s="67"/>
      <c r="KU222" s="67"/>
      <c r="KV222" s="67"/>
      <c r="KW222" s="67"/>
      <c r="KX222" s="67"/>
      <c r="KY222" s="67"/>
      <c r="KZ222" s="67"/>
      <c r="LA222" s="67"/>
      <c r="LB222" s="67"/>
      <c r="LC222" s="67"/>
      <c r="LD222" s="67"/>
      <c r="LE222" s="67"/>
      <c r="LF222" s="67"/>
      <c r="LG222" s="67"/>
      <c r="LH222" s="67"/>
      <c r="LI222" s="67"/>
      <c r="LJ222" s="67"/>
      <c r="LK222" s="67"/>
      <c r="LL222" s="67"/>
      <c r="LM222" s="67"/>
      <c r="LN222" s="67"/>
      <c r="LO222" s="67"/>
      <c r="LP222" s="67"/>
      <c r="LQ222" s="67"/>
      <c r="LR222" s="67"/>
      <c r="LS222" s="67"/>
      <c r="LT222" s="67"/>
      <c r="LU222" s="67"/>
      <c r="LV222" s="67"/>
      <c r="LW222" s="67"/>
      <c r="LX222" s="67"/>
      <c r="LY222" s="67"/>
      <c r="LZ222" s="67"/>
      <c r="MA222" s="67"/>
      <c r="MB222" s="67"/>
    </row>
    <row r="223" spans="1:340" s="50" customFormat="1" ht="15.75" hidden="1" thickBot="1">
      <c r="A223" s="44">
        <v>3</v>
      </c>
      <c r="B223" s="88" t="s">
        <v>321</v>
      </c>
      <c r="C223" s="85" t="s">
        <v>277</v>
      </c>
      <c r="D223" s="86" t="s">
        <v>49</v>
      </c>
      <c r="E223" s="130" t="s">
        <v>78</v>
      </c>
      <c r="F223" s="87" t="s">
        <v>24</v>
      </c>
      <c r="G223" s="139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153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153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  <c r="BK223" s="68"/>
      <c r="BL223" s="68"/>
      <c r="BM223" s="68"/>
      <c r="BN223" s="68"/>
      <c r="BO223" s="68"/>
      <c r="BP223" s="68"/>
      <c r="BQ223" s="68"/>
      <c r="BR223" s="68"/>
      <c r="BS223" s="68"/>
      <c r="BT223" s="68"/>
      <c r="BU223" s="68"/>
      <c r="BV223" s="68"/>
      <c r="BW223" s="68"/>
      <c r="BX223" s="68"/>
      <c r="BY223" s="68"/>
      <c r="BZ223" s="159"/>
      <c r="CA223" s="68"/>
      <c r="CB223" s="68"/>
      <c r="CC223" s="68"/>
      <c r="CD223" s="68"/>
      <c r="CE223" s="68"/>
      <c r="CF223" s="68"/>
      <c r="CG223" s="68"/>
      <c r="CH223" s="68"/>
      <c r="CI223" s="68"/>
      <c r="CJ223" s="68"/>
      <c r="CK223" s="68"/>
      <c r="CL223" s="68"/>
      <c r="CM223" s="68"/>
      <c r="CN223" s="68"/>
      <c r="CO223" s="68"/>
      <c r="CP223" s="68"/>
      <c r="CQ223" s="68"/>
      <c r="CR223" s="68"/>
      <c r="CS223" s="68"/>
      <c r="CT223" s="68"/>
      <c r="CU223" s="68"/>
      <c r="CV223" s="68"/>
      <c r="CW223" s="68"/>
      <c r="CX223" s="68"/>
      <c r="CY223" s="68"/>
      <c r="CZ223" s="68"/>
      <c r="DA223" s="68"/>
      <c r="DB223" s="68"/>
      <c r="DC223" s="68"/>
      <c r="DD223" s="68"/>
      <c r="DE223" s="68"/>
      <c r="DF223" s="68"/>
      <c r="DG223" s="68"/>
      <c r="DH223" s="68"/>
      <c r="DI223" s="68"/>
      <c r="DJ223" s="68"/>
      <c r="DK223" s="68"/>
      <c r="DL223" s="68"/>
      <c r="DM223" s="68"/>
      <c r="DN223" s="68"/>
      <c r="DO223" s="68"/>
      <c r="DP223" s="68"/>
      <c r="DQ223" s="68"/>
      <c r="DR223" s="68"/>
      <c r="DS223" s="68"/>
      <c r="DT223" s="68"/>
      <c r="DU223" s="68"/>
      <c r="DV223" s="68"/>
      <c r="DW223" s="68"/>
      <c r="DX223" s="68"/>
      <c r="DY223" s="68"/>
      <c r="DZ223" s="68"/>
      <c r="EA223" s="68"/>
      <c r="EB223" s="68"/>
      <c r="EC223" s="68"/>
      <c r="ED223" s="68"/>
      <c r="EE223" s="68"/>
      <c r="EF223" s="68"/>
      <c r="EG223" s="68"/>
      <c r="EH223" s="68"/>
      <c r="EI223" s="68"/>
      <c r="EJ223" s="68"/>
      <c r="EK223" s="68"/>
      <c r="EL223" s="68"/>
      <c r="EM223" s="68"/>
      <c r="EN223" s="68"/>
      <c r="EO223" s="68"/>
      <c r="EP223" s="68"/>
      <c r="EQ223" s="68"/>
      <c r="ER223" s="68"/>
      <c r="ES223" s="68"/>
      <c r="ET223" s="68"/>
      <c r="EU223" s="68"/>
      <c r="EV223" s="68"/>
      <c r="EW223" s="68"/>
      <c r="EX223" s="68"/>
      <c r="EY223" s="68"/>
      <c r="EZ223" s="68"/>
      <c r="FA223" s="68"/>
      <c r="FB223" s="68" t="s">
        <v>25</v>
      </c>
      <c r="FC223" s="68" t="s">
        <v>26</v>
      </c>
      <c r="FD223" s="68"/>
      <c r="FE223" s="68"/>
      <c r="FF223" s="68"/>
      <c r="FG223" s="68"/>
      <c r="FH223" s="68" t="s">
        <v>27</v>
      </c>
      <c r="FI223" s="68"/>
      <c r="FJ223" s="68" t="s">
        <v>26</v>
      </c>
      <c r="FK223" s="68"/>
      <c r="FL223" s="68"/>
      <c r="FM223" s="68"/>
      <c r="FN223" s="68"/>
      <c r="FO223" s="68"/>
      <c r="FP223" s="68" t="s">
        <v>27</v>
      </c>
      <c r="FQ223" s="68" t="s">
        <v>37</v>
      </c>
      <c r="FR223" s="67"/>
      <c r="FS223" s="67"/>
      <c r="FT223" s="67"/>
      <c r="FU223" s="67"/>
      <c r="FV223" s="67"/>
      <c r="FW223" s="67"/>
      <c r="FX223" s="67"/>
      <c r="FY223" s="67"/>
      <c r="FZ223" s="67"/>
      <c r="GA223" s="67"/>
      <c r="GB223" s="67"/>
      <c r="GC223" s="67"/>
      <c r="GD223" s="67"/>
      <c r="GE223" s="67"/>
      <c r="GF223" s="67"/>
      <c r="GG223" s="67"/>
      <c r="GH223" s="67"/>
      <c r="GI223" s="67"/>
      <c r="GJ223" s="67"/>
      <c r="GK223" s="67"/>
      <c r="GL223" s="67"/>
      <c r="GM223" s="67"/>
      <c r="GN223" s="67"/>
      <c r="GO223" s="67"/>
      <c r="GP223" s="67"/>
      <c r="GQ223" s="67"/>
      <c r="GR223" s="67"/>
      <c r="GS223" s="67"/>
      <c r="GT223" s="67"/>
      <c r="GU223" s="67"/>
      <c r="GV223" s="67"/>
      <c r="GW223" s="67"/>
      <c r="GX223" s="67"/>
      <c r="GY223" s="67"/>
      <c r="GZ223" s="67"/>
      <c r="HA223" s="67"/>
      <c r="HB223" s="67"/>
      <c r="HC223" s="67"/>
      <c r="HD223" s="67"/>
      <c r="HE223" s="67"/>
      <c r="HF223" s="67"/>
      <c r="HG223" s="67"/>
      <c r="HH223" s="67"/>
      <c r="HI223" s="67"/>
      <c r="HJ223" s="67"/>
      <c r="HK223" s="67"/>
      <c r="HL223" s="67"/>
      <c r="HM223" s="67"/>
      <c r="HN223" s="67"/>
      <c r="HO223" s="67"/>
      <c r="HP223" s="67"/>
      <c r="HQ223" s="67"/>
      <c r="HR223" s="67"/>
      <c r="HS223" s="67"/>
      <c r="HT223" s="67"/>
      <c r="HU223" s="67"/>
      <c r="HV223" s="67"/>
      <c r="HW223" s="67"/>
      <c r="HX223" s="67"/>
      <c r="HY223" s="67"/>
      <c r="HZ223" s="67"/>
      <c r="IA223" s="67"/>
      <c r="IB223" s="67"/>
      <c r="IC223" s="67"/>
      <c r="ID223" s="67"/>
      <c r="IE223" s="67"/>
      <c r="IF223" s="67"/>
      <c r="IG223" s="67"/>
      <c r="IH223" s="67"/>
      <c r="II223" s="67"/>
      <c r="IJ223" s="67"/>
      <c r="IK223" s="67"/>
      <c r="IL223" s="67"/>
      <c r="IM223" s="67"/>
      <c r="IN223" s="67"/>
      <c r="IO223" s="67"/>
      <c r="IP223" s="67"/>
      <c r="IQ223" s="67"/>
      <c r="IR223" s="67"/>
      <c r="IS223" s="67"/>
      <c r="IT223" s="67"/>
      <c r="IU223" s="67"/>
      <c r="IV223" s="67"/>
      <c r="IW223" s="67"/>
      <c r="IX223" s="67"/>
      <c r="IY223" s="67"/>
      <c r="IZ223" s="67"/>
      <c r="JA223" s="67"/>
      <c r="JB223" s="67"/>
      <c r="JC223" s="67"/>
      <c r="JD223" s="67"/>
      <c r="JE223" s="67"/>
      <c r="JF223" s="67"/>
      <c r="JG223" s="67"/>
      <c r="JH223" s="67"/>
      <c r="JI223" s="67"/>
      <c r="JJ223" s="67"/>
      <c r="JK223" s="67"/>
      <c r="JL223" s="67"/>
      <c r="JM223" s="67"/>
      <c r="JN223" s="67"/>
      <c r="JO223" s="67"/>
      <c r="JP223" s="67"/>
      <c r="JQ223" s="67"/>
      <c r="JR223" s="67"/>
      <c r="JS223" s="67"/>
      <c r="JT223" s="67"/>
      <c r="JU223" s="67"/>
      <c r="JV223" s="67"/>
      <c r="JW223" s="67"/>
      <c r="JX223" s="67"/>
      <c r="JY223" s="67"/>
      <c r="JZ223" s="67"/>
      <c r="KA223" s="67"/>
      <c r="KB223" s="67"/>
      <c r="KC223" s="67"/>
      <c r="KD223" s="67"/>
      <c r="KE223" s="67"/>
      <c r="KF223" s="67"/>
      <c r="KG223" s="67"/>
      <c r="KH223" s="67"/>
      <c r="KI223" s="67"/>
      <c r="KJ223" s="67"/>
      <c r="KK223" s="67"/>
      <c r="KL223" s="67"/>
      <c r="KM223" s="67"/>
      <c r="KN223" s="67"/>
      <c r="KO223" s="67"/>
      <c r="KP223" s="67"/>
      <c r="KQ223" s="67"/>
      <c r="KR223" s="67"/>
      <c r="KS223" s="67"/>
      <c r="KT223" s="67"/>
      <c r="KU223" s="67"/>
      <c r="KV223" s="67"/>
      <c r="KW223" s="67"/>
      <c r="KX223" s="67"/>
      <c r="KY223" s="67"/>
      <c r="KZ223" s="67"/>
      <c r="LA223" s="67"/>
      <c r="LB223" s="67"/>
      <c r="LC223" s="67"/>
      <c r="LD223" s="67"/>
      <c r="LE223" s="67"/>
      <c r="LF223" s="67"/>
      <c r="LG223" s="67"/>
      <c r="LH223" s="67"/>
      <c r="LI223" s="67"/>
      <c r="LJ223" s="67"/>
      <c r="LK223" s="67"/>
      <c r="LL223" s="67"/>
      <c r="LM223" s="67"/>
      <c r="LN223" s="67"/>
      <c r="LO223" s="67"/>
      <c r="LP223" s="67"/>
      <c r="LQ223" s="67"/>
      <c r="LR223" s="67"/>
      <c r="LS223" s="67"/>
      <c r="LT223" s="67"/>
      <c r="LU223" s="67"/>
      <c r="LV223" s="67"/>
      <c r="LW223" s="67"/>
      <c r="LX223" s="67"/>
      <c r="LY223" s="67"/>
      <c r="LZ223" s="67"/>
      <c r="MA223" s="67"/>
      <c r="MB223" s="67"/>
    </row>
    <row r="224" spans="1:340" s="50" customFormat="1" ht="15.75" hidden="1" customHeight="1" thickBot="1">
      <c r="A224" s="44">
        <v>3</v>
      </c>
      <c r="B224" s="88" t="s">
        <v>322</v>
      </c>
      <c r="C224" s="85" t="s">
        <v>181</v>
      </c>
      <c r="D224" s="86" t="s">
        <v>45</v>
      </c>
      <c r="E224" s="130" t="s">
        <v>62</v>
      </c>
      <c r="F224" s="87" t="s">
        <v>24</v>
      </c>
      <c r="G224" s="139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153"/>
      <c r="Z224" s="68"/>
      <c r="AA224" s="68"/>
      <c r="AB224" s="68"/>
      <c r="AC224" s="68"/>
      <c r="AD224" s="153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  <c r="BK224" s="68"/>
      <c r="BL224" s="68"/>
      <c r="BM224" s="68"/>
      <c r="BN224" s="68"/>
      <c r="BO224" s="68"/>
      <c r="BP224" s="68"/>
      <c r="BQ224" s="68"/>
      <c r="BR224" s="68"/>
      <c r="BS224" s="68"/>
      <c r="BT224" s="68"/>
      <c r="BU224" s="68"/>
      <c r="BV224" s="68"/>
      <c r="BW224" s="68"/>
      <c r="BX224" s="68"/>
      <c r="BY224" s="68"/>
      <c r="BZ224" s="68"/>
      <c r="CA224" s="68"/>
      <c r="CB224" s="68"/>
      <c r="CC224" s="68"/>
      <c r="CD224" s="68"/>
      <c r="CE224" s="68"/>
      <c r="CF224" s="68"/>
      <c r="CG224" s="68"/>
      <c r="CH224" s="68"/>
      <c r="CI224" s="68"/>
      <c r="CJ224" s="68"/>
      <c r="CK224" s="68"/>
      <c r="CL224" s="68"/>
      <c r="CM224" s="68"/>
      <c r="CN224" s="68"/>
      <c r="CO224" s="68"/>
      <c r="CP224" s="68"/>
      <c r="CQ224" s="68"/>
      <c r="CR224" s="68"/>
      <c r="CS224" s="68"/>
      <c r="CT224" s="68"/>
      <c r="CU224" s="68"/>
      <c r="CV224" s="68"/>
      <c r="CW224" s="68"/>
      <c r="CX224" s="68"/>
      <c r="CY224" s="68"/>
      <c r="CZ224" s="68"/>
      <c r="DA224" s="68"/>
      <c r="DB224" s="68"/>
      <c r="DC224" s="68"/>
      <c r="DD224" s="68"/>
      <c r="DE224" s="68"/>
      <c r="DF224" s="68"/>
      <c r="DG224" s="68"/>
      <c r="DH224" s="68"/>
      <c r="DI224" s="68"/>
      <c r="DJ224" s="68"/>
      <c r="DK224" s="68"/>
      <c r="DL224" s="68"/>
      <c r="DM224" s="68"/>
      <c r="DN224" s="68"/>
      <c r="DO224" s="68"/>
      <c r="DP224" s="68"/>
      <c r="DQ224" s="68"/>
      <c r="DR224" s="68"/>
      <c r="DS224" s="68"/>
      <c r="DT224" s="68"/>
      <c r="DU224" s="68"/>
      <c r="DV224" s="68"/>
      <c r="DW224" s="68"/>
      <c r="DX224" s="68"/>
      <c r="DY224" s="68"/>
      <c r="DZ224" s="68"/>
      <c r="EA224" s="68"/>
      <c r="EB224" s="68"/>
      <c r="EC224" s="68"/>
      <c r="ED224" s="68"/>
      <c r="EE224" s="68"/>
      <c r="EF224" s="68"/>
      <c r="EG224" s="68"/>
      <c r="EH224" s="68"/>
      <c r="EI224" s="68"/>
      <c r="EJ224" s="68"/>
      <c r="EK224" s="68"/>
      <c r="EL224" s="68"/>
      <c r="EM224" s="68"/>
      <c r="EN224" s="68"/>
      <c r="EO224" s="68"/>
      <c r="EP224" s="68"/>
      <c r="EQ224" s="68"/>
      <c r="ER224" s="68"/>
      <c r="ES224" s="68"/>
      <c r="ET224" s="68"/>
      <c r="EU224" s="68"/>
      <c r="EV224" s="68"/>
      <c r="EW224" s="68"/>
      <c r="EX224" s="68"/>
      <c r="EY224" s="68"/>
      <c r="EZ224" s="68"/>
      <c r="FA224" s="68"/>
      <c r="FB224" s="68"/>
      <c r="FC224" s="68"/>
      <c r="FD224" s="68"/>
      <c r="FE224" s="68" t="s">
        <v>25</v>
      </c>
      <c r="FF224" s="68" t="s">
        <v>26</v>
      </c>
      <c r="FG224" s="68"/>
      <c r="FH224" s="68"/>
      <c r="FI224" s="68"/>
      <c r="FJ224" s="68" t="s">
        <v>41</v>
      </c>
      <c r="FK224" s="68"/>
      <c r="FL224" s="68"/>
      <c r="FM224" s="68"/>
      <c r="FN224" s="68"/>
      <c r="FO224" s="68"/>
      <c r="FP224" s="68" t="s">
        <v>57</v>
      </c>
      <c r="FQ224" s="68" t="s">
        <v>37</v>
      </c>
      <c r="FR224" s="67"/>
      <c r="FS224" s="67"/>
      <c r="FT224" s="67"/>
      <c r="FU224" s="67"/>
      <c r="FV224" s="67"/>
      <c r="FW224" s="67"/>
      <c r="FX224" s="67"/>
      <c r="FY224" s="67"/>
      <c r="FZ224" s="67"/>
      <c r="GA224" s="67"/>
      <c r="GB224" s="67"/>
      <c r="GC224" s="67"/>
      <c r="GD224" s="67"/>
      <c r="GE224" s="67"/>
      <c r="GF224" s="67"/>
      <c r="GG224" s="67"/>
      <c r="GH224" s="67"/>
      <c r="GI224" s="67"/>
      <c r="GJ224" s="67"/>
      <c r="GK224" s="67"/>
      <c r="GL224" s="67"/>
      <c r="GM224" s="67"/>
      <c r="GN224" s="67"/>
      <c r="GO224" s="67"/>
      <c r="GP224" s="67"/>
      <c r="GQ224" s="67"/>
      <c r="GR224" s="67"/>
      <c r="GS224" s="67"/>
      <c r="GT224" s="67"/>
      <c r="GU224" s="67"/>
      <c r="GV224" s="67"/>
      <c r="GW224" s="67"/>
      <c r="GX224" s="67"/>
      <c r="GY224" s="67"/>
      <c r="GZ224" s="67"/>
      <c r="HA224" s="67"/>
      <c r="HB224" s="67"/>
      <c r="HC224" s="67"/>
      <c r="HD224" s="67"/>
      <c r="HE224" s="67"/>
      <c r="HF224" s="67"/>
      <c r="HG224" s="67"/>
      <c r="HH224" s="67"/>
      <c r="HI224" s="67"/>
      <c r="HJ224" s="67"/>
      <c r="HK224" s="67"/>
      <c r="HL224" s="67"/>
      <c r="HM224" s="67"/>
      <c r="HN224" s="67"/>
      <c r="HO224" s="67"/>
      <c r="HP224" s="67"/>
      <c r="HQ224" s="67"/>
      <c r="HR224" s="67"/>
      <c r="HS224" s="67"/>
      <c r="HT224" s="67"/>
      <c r="HU224" s="67"/>
      <c r="HV224" s="67"/>
      <c r="HW224" s="67"/>
      <c r="HX224" s="67"/>
      <c r="HY224" s="67"/>
      <c r="HZ224" s="67"/>
      <c r="IA224" s="67"/>
      <c r="IB224" s="67"/>
      <c r="IC224" s="67"/>
      <c r="ID224" s="67"/>
      <c r="IE224" s="67"/>
      <c r="IF224" s="67"/>
      <c r="IG224" s="67"/>
      <c r="IH224" s="67"/>
      <c r="II224" s="67"/>
      <c r="IJ224" s="67"/>
      <c r="IK224" s="67"/>
      <c r="IL224" s="67"/>
      <c r="IM224" s="67"/>
      <c r="IN224" s="67"/>
      <c r="IO224" s="67"/>
      <c r="IP224" s="67"/>
      <c r="IQ224" s="67"/>
      <c r="IR224" s="67"/>
      <c r="IS224" s="67"/>
      <c r="IT224" s="67"/>
      <c r="IU224" s="67"/>
      <c r="IV224" s="67"/>
      <c r="IW224" s="67"/>
      <c r="IX224" s="67"/>
      <c r="IY224" s="67"/>
      <c r="IZ224" s="67"/>
      <c r="JA224" s="67"/>
      <c r="JB224" s="67"/>
      <c r="JC224" s="67"/>
      <c r="JD224" s="67"/>
      <c r="JE224" s="67"/>
      <c r="JF224" s="67"/>
      <c r="JG224" s="67"/>
      <c r="JH224" s="67"/>
      <c r="JI224" s="67"/>
      <c r="JJ224" s="67"/>
      <c r="JK224" s="67"/>
      <c r="JL224" s="67"/>
      <c r="JM224" s="67"/>
      <c r="JN224" s="67"/>
      <c r="JO224" s="67"/>
      <c r="JP224" s="67"/>
      <c r="JQ224" s="67"/>
      <c r="JR224" s="67"/>
      <c r="JS224" s="67"/>
      <c r="JT224" s="67"/>
      <c r="JU224" s="67"/>
      <c r="JV224" s="67"/>
      <c r="JW224" s="67"/>
      <c r="JX224" s="67"/>
      <c r="JY224" s="67"/>
      <c r="JZ224" s="67"/>
      <c r="KA224" s="67"/>
      <c r="KB224" s="67"/>
      <c r="KC224" s="67"/>
      <c r="KD224" s="67"/>
      <c r="KE224" s="67"/>
      <c r="KF224" s="67"/>
      <c r="KG224" s="67"/>
      <c r="KH224" s="67"/>
      <c r="KI224" s="67"/>
      <c r="KJ224" s="67"/>
      <c r="KK224" s="67"/>
      <c r="KL224" s="67"/>
      <c r="KM224" s="67"/>
      <c r="KN224" s="67"/>
      <c r="KO224" s="67"/>
      <c r="KP224" s="67"/>
      <c r="KQ224" s="67"/>
      <c r="KR224" s="67"/>
      <c r="KS224" s="67"/>
      <c r="KT224" s="67"/>
      <c r="KU224" s="67"/>
      <c r="KV224" s="67"/>
      <c r="KW224" s="67"/>
      <c r="KX224" s="67"/>
      <c r="KY224" s="67"/>
      <c r="KZ224" s="67"/>
      <c r="LA224" s="67"/>
      <c r="LB224" s="67"/>
      <c r="LC224" s="67"/>
      <c r="LD224" s="67"/>
      <c r="LE224" s="67"/>
      <c r="LF224" s="67"/>
      <c r="LG224" s="67"/>
      <c r="LH224" s="67"/>
      <c r="LI224" s="67"/>
      <c r="LJ224" s="67"/>
      <c r="LK224" s="67"/>
      <c r="LL224" s="67"/>
      <c r="LM224" s="67"/>
      <c r="LN224" s="67"/>
      <c r="LO224" s="67"/>
      <c r="LP224" s="67"/>
      <c r="LQ224" s="67"/>
      <c r="LR224" s="67"/>
      <c r="LS224" s="67"/>
      <c r="LT224" s="67"/>
      <c r="LU224" s="67"/>
      <c r="LV224" s="67"/>
      <c r="LW224" s="67"/>
      <c r="LX224" s="67"/>
      <c r="LY224" s="67"/>
      <c r="LZ224" s="67"/>
      <c r="MA224" s="67"/>
      <c r="MB224" s="67"/>
    </row>
    <row r="225" spans="1:340" s="50" customFormat="1" ht="15.75" hidden="1" customHeight="1">
      <c r="A225" s="44">
        <v>3</v>
      </c>
      <c r="B225" s="88" t="s">
        <v>323</v>
      </c>
      <c r="C225" s="85" t="s">
        <v>324</v>
      </c>
      <c r="D225" s="86" t="s">
        <v>35</v>
      </c>
      <c r="E225" s="130" t="s">
        <v>40</v>
      </c>
      <c r="F225" s="87" t="s">
        <v>24</v>
      </c>
      <c r="G225" s="139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  <c r="BK225" s="68"/>
      <c r="BL225" s="68"/>
      <c r="BM225" s="68"/>
      <c r="BN225" s="68"/>
      <c r="BO225" s="68"/>
      <c r="BP225" s="68"/>
      <c r="BQ225" s="68"/>
      <c r="BR225" s="68"/>
      <c r="BS225" s="68"/>
      <c r="BT225" s="68"/>
      <c r="BU225" s="68"/>
      <c r="BV225" s="68"/>
      <c r="BW225" s="68"/>
      <c r="BX225" s="68"/>
      <c r="BY225" s="68"/>
      <c r="BZ225" s="68"/>
      <c r="CA225" s="68"/>
      <c r="CB225" s="68"/>
      <c r="CC225" s="68"/>
      <c r="CD225" s="68"/>
      <c r="CE225" s="68"/>
      <c r="CF225" s="68"/>
      <c r="CG225" s="68"/>
      <c r="CH225" s="68"/>
      <c r="CI225" s="68"/>
      <c r="CJ225" s="68"/>
      <c r="CK225" s="68"/>
      <c r="CL225" s="68"/>
      <c r="CM225" s="68"/>
      <c r="CN225" s="68"/>
      <c r="CO225" s="68"/>
      <c r="CP225" s="68"/>
      <c r="CQ225" s="68"/>
      <c r="CR225" s="68"/>
      <c r="CS225" s="68"/>
      <c r="CT225" s="68"/>
      <c r="CU225" s="68"/>
      <c r="CV225" s="68"/>
      <c r="CW225" s="68"/>
      <c r="CX225" s="68"/>
      <c r="CY225" s="68"/>
      <c r="CZ225" s="68"/>
      <c r="DA225" s="68"/>
      <c r="DB225" s="68"/>
      <c r="DC225" s="68"/>
      <c r="DD225" s="68"/>
      <c r="DE225" s="68"/>
      <c r="DF225" s="68"/>
      <c r="DG225" s="68"/>
      <c r="DH225" s="68"/>
      <c r="DI225" s="68"/>
      <c r="DJ225" s="68" t="s">
        <v>25</v>
      </c>
      <c r="DK225" s="68"/>
      <c r="DL225" s="68"/>
      <c r="DM225" s="68" t="s">
        <v>26</v>
      </c>
      <c r="DN225" s="68"/>
      <c r="DO225" s="68"/>
      <c r="DP225" s="68"/>
      <c r="DQ225" s="68"/>
      <c r="DR225" s="68"/>
      <c r="DS225" s="68"/>
      <c r="DT225" s="68"/>
      <c r="DU225" s="68"/>
      <c r="DV225" s="68" t="s">
        <v>27</v>
      </c>
      <c r="DW225" s="68"/>
      <c r="DX225" s="68"/>
      <c r="DY225" s="68"/>
      <c r="DZ225" s="68"/>
      <c r="EA225" s="68" t="s">
        <v>26</v>
      </c>
      <c r="EB225" s="68"/>
      <c r="EC225" s="68"/>
      <c r="ED225" s="68"/>
      <c r="EE225" s="68"/>
      <c r="EF225" s="68"/>
      <c r="EG225" s="68"/>
      <c r="EH225" s="68"/>
      <c r="EI225" s="68"/>
      <c r="EJ225" s="68"/>
      <c r="EK225" s="68"/>
      <c r="EL225" s="68" t="s">
        <v>27</v>
      </c>
      <c r="EM225" s="170"/>
      <c r="EN225" s="170"/>
      <c r="EO225" s="170"/>
      <c r="EP225" s="68"/>
      <c r="EQ225" s="68"/>
      <c r="ER225" s="68"/>
      <c r="ES225" s="68" t="s">
        <v>26</v>
      </c>
      <c r="ET225" s="68"/>
      <c r="EU225" s="68"/>
      <c r="EV225" s="68"/>
      <c r="EW225" s="68"/>
      <c r="EX225" s="68"/>
      <c r="EY225" s="68"/>
      <c r="EZ225" s="68"/>
      <c r="FA225" s="68"/>
      <c r="FB225" s="68"/>
      <c r="FC225" s="68"/>
      <c r="FD225" s="68" t="s">
        <v>27</v>
      </c>
      <c r="FE225" s="68"/>
      <c r="FF225" s="68"/>
      <c r="FG225" s="68" t="s">
        <v>26</v>
      </c>
      <c r="FH225" s="68"/>
      <c r="FI225" s="68"/>
      <c r="FJ225" s="68"/>
      <c r="FK225" s="68"/>
      <c r="FL225" s="68"/>
      <c r="FM225" s="68"/>
      <c r="FN225" s="68"/>
      <c r="FO225" s="68"/>
      <c r="FP225" s="68"/>
      <c r="FQ225" s="68"/>
      <c r="FR225" s="68" t="s">
        <v>27</v>
      </c>
      <c r="FS225" s="68" t="s">
        <v>37</v>
      </c>
      <c r="FT225" s="67"/>
      <c r="FU225" s="67"/>
      <c r="FV225" s="67"/>
      <c r="FW225" s="67"/>
      <c r="FX225" s="67"/>
      <c r="FY225" s="67"/>
      <c r="FZ225" s="67"/>
      <c r="GA225" s="67"/>
      <c r="GB225" s="67"/>
      <c r="GC225" s="67"/>
      <c r="GD225" s="67"/>
      <c r="GE225" s="67"/>
      <c r="GF225" s="67"/>
      <c r="GG225" s="67"/>
      <c r="GH225" s="67"/>
      <c r="GI225" s="67"/>
      <c r="GJ225" s="67"/>
      <c r="GK225" s="67"/>
      <c r="GL225" s="67"/>
      <c r="GM225" s="67"/>
      <c r="GN225" s="67"/>
      <c r="GO225" s="67"/>
      <c r="GP225" s="67"/>
      <c r="GQ225" s="67"/>
      <c r="GR225" s="67"/>
      <c r="GS225" s="67"/>
      <c r="GT225" s="67"/>
      <c r="GU225" s="67"/>
      <c r="GV225" s="67"/>
      <c r="GW225" s="67"/>
      <c r="GX225" s="67"/>
      <c r="GY225" s="67"/>
      <c r="GZ225" s="67"/>
      <c r="HA225" s="67"/>
      <c r="HB225" s="67"/>
      <c r="HC225" s="67"/>
      <c r="HD225" s="67"/>
      <c r="HE225" s="67"/>
      <c r="HF225" s="67"/>
      <c r="HG225" s="67"/>
      <c r="HH225" s="67"/>
      <c r="HI225" s="67"/>
      <c r="HJ225" s="67"/>
      <c r="HK225" s="67"/>
      <c r="HL225" s="67"/>
      <c r="HM225" s="67"/>
      <c r="HN225" s="67"/>
      <c r="HO225" s="67"/>
      <c r="HP225" s="67"/>
      <c r="HQ225" s="67"/>
      <c r="HR225" s="67"/>
      <c r="HS225" s="67"/>
      <c r="HT225" s="67"/>
      <c r="HU225" s="67"/>
      <c r="HV225" s="67"/>
      <c r="HW225" s="67"/>
      <c r="HX225" s="67"/>
      <c r="HY225" s="67"/>
      <c r="HZ225" s="67"/>
      <c r="IA225" s="67"/>
      <c r="IB225" s="67"/>
      <c r="IC225" s="67"/>
      <c r="ID225" s="67"/>
      <c r="IE225" s="67"/>
      <c r="IF225" s="67"/>
      <c r="IG225" s="67"/>
      <c r="IH225" s="67"/>
      <c r="II225" s="67"/>
      <c r="IJ225" s="67"/>
      <c r="IK225" s="67"/>
      <c r="IL225" s="67"/>
      <c r="IM225" s="67"/>
      <c r="IN225" s="67"/>
      <c r="IO225" s="67"/>
      <c r="IP225" s="67"/>
      <c r="IQ225" s="67"/>
      <c r="IR225" s="67"/>
      <c r="IS225" s="67"/>
      <c r="IT225" s="67"/>
      <c r="IU225" s="67"/>
      <c r="IV225" s="67"/>
      <c r="IW225" s="67"/>
      <c r="IX225" s="67"/>
      <c r="IY225" s="67"/>
      <c r="IZ225" s="67"/>
      <c r="JA225" s="67"/>
      <c r="JB225" s="67"/>
      <c r="JC225" s="67"/>
      <c r="JD225" s="67"/>
      <c r="JE225" s="67"/>
      <c r="JF225" s="67"/>
      <c r="JG225" s="67"/>
      <c r="JH225" s="67"/>
      <c r="JI225" s="67"/>
      <c r="JJ225" s="67"/>
      <c r="JK225" s="67"/>
      <c r="JL225" s="67"/>
      <c r="JM225" s="67"/>
      <c r="JN225" s="67"/>
      <c r="JO225" s="67"/>
      <c r="JP225" s="67"/>
      <c r="JQ225" s="67"/>
      <c r="JR225" s="67"/>
      <c r="JS225" s="67"/>
      <c r="JT225" s="67"/>
      <c r="JU225" s="67"/>
      <c r="JV225" s="67"/>
      <c r="JW225" s="67"/>
      <c r="JX225" s="67"/>
      <c r="JY225" s="67"/>
      <c r="JZ225" s="67"/>
      <c r="KA225" s="67"/>
      <c r="KB225" s="67"/>
      <c r="KC225" s="67"/>
      <c r="KD225" s="67"/>
      <c r="KE225" s="67"/>
      <c r="KF225" s="67"/>
      <c r="KG225" s="67"/>
      <c r="KH225" s="67"/>
      <c r="KI225" s="67"/>
      <c r="KJ225" s="67"/>
      <c r="KK225" s="67"/>
      <c r="KL225" s="67"/>
      <c r="KM225" s="67"/>
      <c r="KN225" s="67"/>
      <c r="KO225" s="67"/>
      <c r="KP225" s="67"/>
      <c r="KQ225" s="67"/>
      <c r="KR225" s="67"/>
      <c r="KS225" s="67"/>
      <c r="KT225" s="67"/>
      <c r="KU225" s="67"/>
      <c r="KV225" s="67"/>
      <c r="KW225" s="67"/>
      <c r="KX225" s="67"/>
      <c r="KY225" s="67"/>
      <c r="KZ225" s="67"/>
      <c r="LA225" s="67"/>
      <c r="LB225" s="67"/>
      <c r="LC225" s="67"/>
      <c r="LD225" s="67"/>
      <c r="LE225" s="67"/>
      <c r="LF225" s="67"/>
      <c r="LG225" s="67"/>
      <c r="LH225" s="67"/>
      <c r="LI225" s="67"/>
      <c r="LJ225" s="67"/>
      <c r="LK225" s="67"/>
      <c r="LL225" s="67"/>
      <c r="LM225" s="67"/>
      <c r="LN225" s="67"/>
      <c r="LO225" s="67"/>
      <c r="LP225" s="67"/>
      <c r="LQ225" s="67"/>
      <c r="LR225" s="67"/>
      <c r="LS225" s="67"/>
      <c r="LT225" s="67"/>
      <c r="LU225" s="67"/>
      <c r="LV225" s="67"/>
      <c r="LW225" s="67"/>
      <c r="LX225" s="67"/>
      <c r="LY225" s="67"/>
      <c r="LZ225" s="67"/>
      <c r="MA225" s="67"/>
      <c r="MB225" s="67"/>
    </row>
    <row r="226" spans="1:340" s="50" customFormat="1" ht="15.75" hidden="1" customHeight="1" thickBot="1">
      <c r="A226" s="44">
        <v>3</v>
      </c>
      <c r="B226" s="88" t="s">
        <v>325</v>
      </c>
      <c r="C226" s="85" t="s">
        <v>326</v>
      </c>
      <c r="D226" s="86" t="s">
        <v>45</v>
      </c>
      <c r="E226" s="130" t="s">
        <v>46</v>
      </c>
      <c r="F226" s="87" t="s">
        <v>24</v>
      </c>
      <c r="G226" s="139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  <c r="BM226" s="68"/>
      <c r="BN226" s="68"/>
      <c r="BO226" s="68"/>
      <c r="BP226" s="68"/>
      <c r="BQ226" s="68"/>
      <c r="BR226" s="68"/>
      <c r="BS226" s="68"/>
      <c r="BT226" s="68"/>
      <c r="BU226" s="68"/>
      <c r="BV226" s="68"/>
      <c r="BW226" s="68"/>
      <c r="BX226" s="68"/>
      <c r="BY226" s="68"/>
      <c r="BZ226" s="68"/>
      <c r="CA226" s="68"/>
      <c r="CB226" s="68"/>
      <c r="CC226" s="68"/>
      <c r="CD226" s="68"/>
      <c r="CE226" s="68"/>
      <c r="CF226" s="68"/>
      <c r="CG226" s="68"/>
      <c r="CH226" s="68"/>
      <c r="CI226" s="68"/>
      <c r="CJ226" s="68"/>
      <c r="CK226" s="68"/>
      <c r="CL226" s="68"/>
      <c r="CM226" s="68"/>
      <c r="CN226" s="68"/>
      <c r="CO226" s="68"/>
      <c r="CP226" s="68"/>
      <c r="CQ226" s="68"/>
      <c r="CR226" s="68"/>
      <c r="CS226" s="68"/>
      <c r="CT226" s="68"/>
      <c r="CU226" s="68"/>
      <c r="CV226" s="68"/>
      <c r="CW226" s="68"/>
      <c r="CX226" s="68"/>
      <c r="CY226" s="68"/>
      <c r="CZ226" s="68"/>
      <c r="DA226" s="68"/>
      <c r="DB226" s="68"/>
      <c r="DC226" s="68"/>
      <c r="DD226" s="68"/>
      <c r="DE226" s="68"/>
      <c r="DF226" s="68"/>
      <c r="DG226" s="68"/>
      <c r="DH226" s="68"/>
      <c r="DI226" s="68"/>
      <c r="DJ226" s="68"/>
      <c r="DK226" s="68"/>
      <c r="DL226" s="68"/>
      <c r="DM226" s="68"/>
      <c r="DN226" s="68"/>
      <c r="DO226" s="68"/>
      <c r="DP226" s="68"/>
      <c r="DQ226" s="68"/>
      <c r="DR226" s="68"/>
      <c r="DS226" s="68"/>
      <c r="DT226" s="68"/>
      <c r="DU226" s="68"/>
      <c r="DV226" s="68"/>
      <c r="DW226" s="68"/>
      <c r="DX226" s="68"/>
      <c r="DY226" s="68"/>
      <c r="DZ226" s="68"/>
      <c r="EA226" s="68"/>
      <c r="EB226" s="68"/>
      <c r="EC226" s="68"/>
      <c r="ED226" s="68"/>
      <c r="EE226" s="68"/>
      <c r="EF226" s="68"/>
      <c r="EG226" s="68"/>
      <c r="EH226" s="68" t="s">
        <v>25</v>
      </c>
      <c r="EI226" s="68" t="s">
        <v>26</v>
      </c>
      <c r="EJ226" s="68"/>
      <c r="EK226" s="68"/>
      <c r="EL226" s="68"/>
      <c r="EM226" s="68"/>
      <c r="EN226" s="68"/>
      <c r="EO226" s="68" t="s">
        <v>27</v>
      </c>
      <c r="EP226" s="68"/>
      <c r="EQ226" s="68" t="s">
        <v>26</v>
      </c>
      <c r="ER226" s="68"/>
      <c r="ES226" s="68" t="s">
        <v>28</v>
      </c>
      <c r="ET226" s="68"/>
      <c r="EU226" s="68"/>
      <c r="EV226" s="68"/>
      <c r="EW226" s="68" t="s">
        <v>27</v>
      </c>
      <c r="EX226" s="68"/>
      <c r="EY226" s="68"/>
      <c r="EZ226" s="68"/>
      <c r="FA226" s="68"/>
      <c r="FB226" s="68"/>
      <c r="FC226" s="68" t="s">
        <v>27</v>
      </c>
      <c r="FD226" s="68"/>
      <c r="FE226" s="68"/>
      <c r="FF226" s="68" t="s">
        <v>26</v>
      </c>
      <c r="FG226" s="68"/>
      <c r="FH226" s="68"/>
      <c r="FI226" s="68"/>
      <c r="FJ226" s="68"/>
      <c r="FK226" s="68"/>
      <c r="FL226" s="68" t="s">
        <v>27</v>
      </c>
      <c r="FM226" s="68"/>
      <c r="FN226" s="68"/>
      <c r="FO226" s="68"/>
      <c r="FP226" s="68" t="s">
        <v>28</v>
      </c>
      <c r="FQ226" s="68"/>
      <c r="FR226" s="68" t="s">
        <v>26</v>
      </c>
      <c r="FS226" s="68"/>
      <c r="FT226" s="68"/>
      <c r="FU226" s="68"/>
      <c r="FV226" s="68"/>
      <c r="FW226" s="68"/>
      <c r="FX226" s="68"/>
      <c r="FY226" s="68"/>
      <c r="FZ226" s="68"/>
      <c r="GA226" s="68" t="s">
        <v>27</v>
      </c>
      <c r="GB226" s="68" t="s">
        <v>37</v>
      </c>
      <c r="GC226" s="67"/>
      <c r="GD226" s="67"/>
      <c r="GE226" s="67"/>
      <c r="GF226" s="67"/>
      <c r="GG226" s="67"/>
      <c r="GH226" s="67"/>
      <c r="GI226" s="67"/>
      <c r="GJ226" s="67"/>
      <c r="GK226" s="67"/>
      <c r="GL226" s="67"/>
      <c r="GM226" s="67"/>
      <c r="GN226" s="67"/>
      <c r="GO226" s="67"/>
      <c r="GP226" s="67"/>
      <c r="GQ226" s="67"/>
      <c r="GR226" s="67"/>
      <c r="GS226" s="67"/>
      <c r="GT226" s="67"/>
      <c r="GU226" s="67"/>
      <c r="GV226" s="67"/>
      <c r="GW226" s="67"/>
      <c r="GX226" s="67"/>
      <c r="GY226" s="67"/>
      <c r="GZ226" s="67"/>
      <c r="HA226" s="67"/>
      <c r="HB226" s="67"/>
      <c r="HC226" s="67"/>
      <c r="HD226" s="67"/>
      <c r="HE226" s="67"/>
      <c r="HF226" s="67"/>
      <c r="HG226" s="67"/>
      <c r="HH226" s="67"/>
      <c r="HI226" s="67"/>
      <c r="HJ226" s="67"/>
      <c r="HK226" s="67"/>
      <c r="HL226" s="67"/>
      <c r="HM226" s="67"/>
      <c r="HN226" s="67"/>
      <c r="HO226" s="67"/>
      <c r="HP226" s="67"/>
      <c r="HQ226" s="67"/>
      <c r="HR226" s="67"/>
      <c r="HS226" s="67"/>
      <c r="HT226" s="67"/>
      <c r="HU226" s="67"/>
      <c r="HV226" s="67"/>
      <c r="HW226" s="67"/>
      <c r="HX226" s="67"/>
      <c r="HY226" s="67"/>
      <c r="HZ226" s="67"/>
      <c r="IA226" s="67"/>
      <c r="IB226" s="67"/>
      <c r="IC226" s="67"/>
      <c r="ID226" s="67"/>
      <c r="IE226" s="67"/>
      <c r="IF226" s="67"/>
      <c r="IG226" s="67"/>
      <c r="IH226" s="67"/>
      <c r="II226" s="67"/>
      <c r="IJ226" s="67"/>
      <c r="IK226" s="67"/>
      <c r="IL226" s="67"/>
      <c r="IM226" s="67"/>
      <c r="IN226" s="67"/>
      <c r="IO226" s="67"/>
      <c r="IP226" s="67"/>
      <c r="IQ226" s="67"/>
      <c r="IR226" s="67"/>
      <c r="IS226" s="67"/>
      <c r="IT226" s="67"/>
      <c r="IU226" s="67"/>
      <c r="IV226" s="67"/>
      <c r="IW226" s="67"/>
      <c r="IX226" s="67"/>
      <c r="IY226" s="67"/>
      <c r="IZ226" s="67"/>
      <c r="JA226" s="67"/>
      <c r="JB226" s="67"/>
      <c r="JC226" s="67"/>
      <c r="JD226" s="67"/>
      <c r="JE226" s="67"/>
      <c r="JF226" s="67"/>
      <c r="JG226" s="67"/>
      <c r="JH226" s="67"/>
      <c r="JI226" s="67"/>
      <c r="JJ226" s="67"/>
      <c r="JK226" s="67"/>
      <c r="JL226" s="67"/>
      <c r="JM226" s="67"/>
      <c r="JN226" s="67"/>
      <c r="JO226" s="67"/>
      <c r="JP226" s="67"/>
      <c r="JQ226" s="67"/>
      <c r="JR226" s="67"/>
      <c r="JS226" s="67"/>
      <c r="JT226" s="67"/>
      <c r="JU226" s="67"/>
      <c r="JV226" s="67"/>
      <c r="JW226" s="67"/>
      <c r="JX226" s="67"/>
      <c r="JY226" s="67"/>
      <c r="JZ226" s="67"/>
      <c r="KA226" s="67"/>
      <c r="KB226" s="67"/>
      <c r="KC226" s="67"/>
      <c r="KD226" s="67"/>
      <c r="KE226" s="67"/>
      <c r="KF226" s="67"/>
      <c r="KG226" s="67"/>
      <c r="KH226" s="67"/>
      <c r="KI226" s="67"/>
      <c r="KJ226" s="67"/>
      <c r="KK226" s="67"/>
      <c r="KL226" s="67"/>
      <c r="KM226" s="67"/>
      <c r="KN226" s="67"/>
      <c r="KO226" s="67"/>
      <c r="KP226" s="67"/>
      <c r="KQ226" s="67"/>
      <c r="KR226" s="67"/>
      <c r="KS226" s="67"/>
      <c r="KT226" s="67"/>
      <c r="KU226" s="67"/>
      <c r="KV226" s="67"/>
      <c r="KW226" s="67"/>
      <c r="KX226" s="67"/>
      <c r="KY226" s="67"/>
      <c r="KZ226" s="67"/>
      <c r="LA226" s="67"/>
      <c r="LB226" s="67"/>
      <c r="LC226" s="67"/>
      <c r="LD226" s="67"/>
      <c r="LE226" s="67"/>
      <c r="LF226" s="67"/>
      <c r="LG226" s="67"/>
      <c r="LH226" s="67"/>
      <c r="LI226" s="67"/>
      <c r="LJ226" s="67"/>
      <c r="LK226" s="67"/>
      <c r="LL226" s="67"/>
      <c r="LM226" s="67"/>
      <c r="LN226" s="67"/>
      <c r="LO226" s="67"/>
      <c r="LP226" s="67"/>
      <c r="LQ226" s="67"/>
      <c r="LR226" s="67"/>
      <c r="LS226" s="67"/>
      <c r="LT226" s="67"/>
      <c r="LU226" s="67"/>
      <c r="LV226" s="67"/>
      <c r="LW226" s="67"/>
      <c r="LX226" s="67"/>
      <c r="LY226" s="67"/>
      <c r="LZ226" s="67"/>
      <c r="MA226" s="67"/>
      <c r="MB226" s="67"/>
    </row>
    <row r="227" spans="1:340" s="50" customFormat="1" ht="15.75" hidden="1" customHeight="1" thickBot="1">
      <c r="A227" s="44">
        <v>3</v>
      </c>
      <c r="B227" s="88" t="s">
        <v>327</v>
      </c>
      <c r="C227" s="85" t="s">
        <v>328</v>
      </c>
      <c r="D227" s="86" t="s">
        <v>45</v>
      </c>
      <c r="E227" s="130" t="s">
        <v>46</v>
      </c>
      <c r="F227" s="87" t="s">
        <v>24</v>
      </c>
      <c r="G227" s="139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 t="s">
        <v>25</v>
      </c>
      <c r="AR227" s="68" t="s">
        <v>26</v>
      </c>
      <c r="AS227" s="68"/>
      <c r="AT227" s="68" t="s">
        <v>26</v>
      </c>
      <c r="AU227" s="68" t="s">
        <v>26</v>
      </c>
      <c r="AV227" s="68" t="s">
        <v>80</v>
      </c>
      <c r="AW227" s="68" t="s">
        <v>26</v>
      </c>
      <c r="AX227" s="68" t="s">
        <v>80</v>
      </c>
      <c r="AY227" s="68" t="s">
        <v>26</v>
      </c>
      <c r="AZ227" s="68" t="s">
        <v>80</v>
      </c>
      <c r="BA227" s="68" t="s">
        <v>80</v>
      </c>
      <c r="BB227" s="68" t="s">
        <v>26</v>
      </c>
      <c r="BC227" s="68" t="s">
        <v>26</v>
      </c>
      <c r="BD227" s="68" t="s">
        <v>26</v>
      </c>
      <c r="BE227" s="68"/>
      <c r="BF227" s="68"/>
      <c r="BG227" s="68"/>
      <c r="BH227" s="68"/>
      <c r="BI227" s="68"/>
      <c r="BJ227" s="68"/>
      <c r="BK227" s="68"/>
      <c r="BL227" s="68"/>
      <c r="BM227" s="68"/>
      <c r="BN227" s="68"/>
      <c r="BO227" s="68"/>
      <c r="BP227" s="68" t="s">
        <v>27</v>
      </c>
      <c r="BQ227" s="68"/>
      <c r="BR227" s="68"/>
      <c r="BS227" s="68"/>
      <c r="BT227" s="68"/>
      <c r="BU227" s="68" t="s">
        <v>27</v>
      </c>
      <c r="BV227" s="68"/>
      <c r="BW227" s="68"/>
      <c r="BX227" s="68"/>
      <c r="BY227" s="68"/>
      <c r="BZ227" s="68"/>
      <c r="CA227" s="68" t="s">
        <v>27</v>
      </c>
      <c r="CB227" s="68"/>
      <c r="CC227" s="68"/>
      <c r="CD227" s="68"/>
      <c r="CE227" s="68"/>
      <c r="CF227" s="68"/>
      <c r="CG227" s="68"/>
      <c r="CH227" s="68" t="s">
        <v>27</v>
      </c>
      <c r="CI227" s="68"/>
      <c r="CJ227" s="68"/>
      <c r="CK227" s="68"/>
      <c r="CL227" s="68"/>
      <c r="CM227" s="68"/>
      <c r="CN227" s="68"/>
      <c r="CO227" s="159"/>
      <c r="CP227" s="68" t="s">
        <v>27</v>
      </c>
      <c r="CQ227" s="68"/>
      <c r="CR227" s="68"/>
      <c r="CS227" s="68"/>
      <c r="CT227" s="68"/>
      <c r="CU227" s="68"/>
      <c r="CV227" s="68"/>
      <c r="CW227" s="68" t="s">
        <v>27</v>
      </c>
      <c r="CX227" s="68"/>
      <c r="CY227" s="68"/>
      <c r="CZ227" s="68"/>
      <c r="DA227" s="68"/>
      <c r="DB227" s="68"/>
      <c r="DC227" s="68" t="s">
        <v>27</v>
      </c>
      <c r="DD227" s="68"/>
      <c r="DE227" s="68"/>
      <c r="DF227" s="68"/>
      <c r="DG227" s="68"/>
      <c r="DH227" s="68"/>
      <c r="DI227" s="68" t="s">
        <v>27</v>
      </c>
      <c r="DJ227" s="68"/>
      <c r="DK227" s="68"/>
      <c r="DL227" s="68"/>
      <c r="DM227" s="68"/>
      <c r="DN227" s="68"/>
      <c r="DO227" s="68" t="s">
        <v>27</v>
      </c>
      <c r="DP227" s="68"/>
      <c r="DQ227" s="68"/>
      <c r="DR227" s="68"/>
      <c r="DS227" s="68"/>
      <c r="DT227" s="68"/>
      <c r="DU227" s="68"/>
      <c r="DV227" s="68"/>
      <c r="DW227" s="68"/>
      <c r="DX227" s="68"/>
      <c r="DY227" s="68"/>
      <c r="DZ227" s="68"/>
      <c r="EA227" s="68"/>
      <c r="EB227" s="68"/>
      <c r="EC227" s="68"/>
      <c r="ED227" s="68"/>
      <c r="EE227" s="68"/>
      <c r="EF227" s="68"/>
      <c r="EG227" s="68"/>
      <c r="EH227" s="68"/>
      <c r="EI227" s="68"/>
      <c r="EJ227" s="68"/>
      <c r="EK227" s="68"/>
      <c r="EL227" s="68"/>
      <c r="EM227" s="68"/>
      <c r="EN227" s="68"/>
      <c r="EO227" s="68"/>
      <c r="EP227" s="68"/>
      <c r="EQ227" s="68"/>
      <c r="ER227" s="68"/>
      <c r="ES227" s="68"/>
      <c r="ET227" s="68"/>
      <c r="EU227" s="68"/>
      <c r="EV227" s="68"/>
      <c r="EW227" s="68"/>
      <c r="EX227" s="68" t="s">
        <v>27</v>
      </c>
      <c r="EY227" s="68"/>
      <c r="EZ227" s="68"/>
      <c r="FA227" s="68"/>
      <c r="FB227" s="68"/>
      <c r="FC227" s="68"/>
      <c r="FD227" s="68"/>
      <c r="FE227" s="68" t="s">
        <v>27</v>
      </c>
      <c r="FF227" s="68"/>
      <c r="FG227" s="68"/>
      <c r="FH227" s="68"/>
      <c r="FI227" s="68" t="s">
        <v>27</v>
      </c>
      <c r="FJ227" s="68"/>
      <c r="FK227" s="68"/>
      <c r="FL227" s="68"/>
      <c r="FM227" s="68"/>
      <c r="FN227" s="68"/>
      <c r="FO227" s="68" t="s">
        <v>27</v>
      </c>
      <c r="FP227" s="68"/>
      <c r="FQ227" s="68"/>
      <c r="FR227" s="68"/>
      <c r="FS227" s="68"/>
      <c r="FT227" s="68" t="s">
        <v>27</v>
      </c>
      <c r="FU227" s="68"/>
      <c r="FV227" s="68"/>
      <c r="FW227" s="68"/>
      <c r="FX227" s="68"/>
      <c r="FY227" s="68" t="s">
        <v>27</v>
      </c>
      <c r="FZ227" s="68"/>
      <c r="GA227" s="68"/>
      <c r="GB227" s="68"/>
      <c r="GC227" s="68"/>
      <c r="GD227" s="68" t="s">
        <v>27</v>
      </c>
      <c r="GE227" s="68" t="s">
        <v>37</v>
      </c>
      <c r="GF227" s="67"/>
      <c r="GG227" s="67"/>
      <c r="GH227" s="67"/>
      <c r="GI227" s="67"/>
      <c r="GJ227" s="67"/>
      <c r="GK227" s="67"/>
      <c r="GL227" s="67"/>
      <c r="GM227" s="67"/>
      <c r="GN227" s="67"/>
      <c r="GO227" s="67"/>
      <c r="GP227" s="67"/>
      <c r="GQ227" s="67"/>
      <c r="GR227" s="67"/>
      <c r="GS227" s="67"/>
      <c r="GT227" s="67"/>
      <c r="GU227" s="67"/>
      <c r="GV227" s="67"/>
      <c r="GW227" s="67"/>
      <c r="GX227" s="67"/>
      <c r="GY227" s="67"/>
      <c r="GZ227" s="67"/>
      <c r="HA227" s="67"/>
      <c r="HB227" s="67"/>
      <c r="HC227" s="67"/>
      <c r="HD227" s="67"/>
      <c r="HE227" s="67"/>
      <c r="HF227" s="67"/>
      <c r="HG227" s="67"/>
      <c r="HH227" s="67"/>
      <c r="HI227" s="67"/>
      <c r="HJ227" s="67"/>
      <c r="HK227" s="67"/>
      <c r="HL227" s="67"/>
      <c r="HM227" s="67"/>
      <c r="HN227" s="67"/>
      <c r="HO227" s="67"/>
      <c r="HP227" s="67"/>
      <c r="HQ227" s="67"/>
      <c r="HR227" s="67"/>
      <c r="HS227" s="67"/>
      <c r="HT227" s="67"/>
      <c r="HU227" s="67"/>
      <c r="HV227" s="67"/>
      <c r="HW227" s="67"/>
      <c r="HX227" s="67"/>
      <c r="HY227" s="67"/>
      <c r="HZ227" s="67"/>
      <c r="IA227" s="67"/>
      <c r="IB227" s="67"/>
      <c r="IC227" s="67"/>
      <c r="ID227" s="67"/>
      <c r="IE227" s="67"/>
      <c r="IF227" s="67"/>
      <c r="IG227" s="67"/>
      <c r="IH227" s="67"/>
      <c r="II227" s="67"/>
      <c r="IJ227" s="67"/>
      <c r="IK227" s="67"/>
      <c r="IL227" s="67"/>
      <c r="IM227" s="67"/>
      <c r="IN227" s="67"/>
      <c r="IO227" s="67"/>
      <c r="IP227" s="67"/>
      <c r="IQ227" s="67"/>
      <c r="IR227" s="67"/>
      <c r="IS227" s="67"/>
      <c r="IT227" s="67"/>
      <c r="IU227" s="67"/>
      <c r="IV227" s="67"/>
      <c r="IW227" s="67"/>
      <c r="IX227" s="67"/>
      <c r="IY227" s="67"/>
      <c r="IZ227" s="67"/>
      <c r="JA227" s="67"/>
      <c r="JB227" s="67"/>
      <c r="JC227" s="67"/>
      <c r="JD227" s="67"/>
      <c r="JE227" s="67"/>
      <c r="JF227" s="67"/>
      <c r="JG227" s="67"/>
      <c r="JH227" s="67"/>
      <c r="JI227" s="67"/>
      <c r="JJ227" s="67"/>
      <c r="JK227" s="67"/>
      <c r="JL227" s="67"/>
      <c r="JM227" s="67"/>
      <c r="JN227" s="67"/>
      <c r="JO227" s="67"/>
      <c r="JP227" s="67"/>
      <c r="JQ227" s="67"/>
      <c r="JR227" s="67"/>
      <c r="JS227" s="67"/>
      <c r="JT227" s="67"/>
      <c r="JU227" s="67"/>
      <c r="JV227" s="67"/>
      <c r="JW227" s="67"/>
      <c r="JX227" s="67"/>
      <c r="JY227" s="67"/>
      <c r="JZ227" s="67"/>
      <c r="KA227" s="67"/>
      <c r="KB227" s="67"/>
      <c r="KC227" s="67"/>
      <c r="KD227" s="67"/>
      <c r="KE227" s="67"/>
      <c r="KF227" s="67"/>
      <c r="KG227" s="67"/>
      <c r="KH227" s="67"/>
      <c r="KI227" s="67"/>
      <c r="KJ227" s="67"/>
      <c r="KK227" s="67"/>
      <c r="KL227" s="67"/>
      <c r="KM227" s="67"/>
      <c r="KN227" s="67"/>
      <c r="KO227" s="67"/>
      <c r="KP227" s="67"/>
      <c r="KQ227" s="67"/>
      <c r="KR227" s="67"/>
      <c r="KS227" s="67"/>
      <c r="KT227" s="67"/>
      <c r="KU227" s="67"/>
      <c r="KV227" s="67"/>
      <c r="KW227" s="67"/>
      <c r="KX227" s="67"/>
      <c r="KY227" s="67"/>
      <c r="KZ227" s="67"/>
      <c r="LA227" s="67"/>
      <c r="LB227" s="67"/>
      <c r="LC227" s="67"/>
      <c r="LD227" s="67"/>
      <c r="LE227" s="67"/>
      <c r="LF227" s="67"/>
      <c r="LG227" s="67"/>
      <c r="LH227" s="67"/>
      <c r="LI227" s="67"/>
      <c r="LJ227" s="67"/>
      <c r="LK227" s="67"/>
      <c r="LL227" s="67"/>
      <c r="LM227" s="67"/>
      <c r="LN227" s="67"/>
      <c r="LO227" s="67"/>
      <c r="LP227" s="67"/>
      <c r="LQ227" s="67"/>
      <c r="LR227" s="67"/>
      <c r="LS227" s="67"/>
      <c r="LT227" s="67"/>
      <c r="LU227" s="67"/>
      <c r="LV227" s="67"/>
      <c r="LW227" s="67"/>
      <c r="LX227" s="67"/>
      <c r="LY227" s="67"/>
      <c r="LZ227" s="67"/>
      <c r="MA227" s="67"/>
      <c r="MB227" s="67"/>
    </row>
    <row r="228" spans="1:340" s="50" customFormat="1" ht="15.75" customHeight="1" thickBot="1">
      <c r="A228" s="44">
        <v>3</v>
      </c>
      <c r="B228" s="88" t="s">
        <v>137</v>
      </c>
      <c r="C228" s="85" t="s">
        <v>276</v>
      </c>
      <c r="D228" s="86" t="s">
        <v>22</v>
      </c>
      <c r="E228" s="130" t="s">
        <v>23</v>
      </c>
      <c r="F228" s="87" t="s">
        <v>24</v>
      </c>
      <c r="G228" s="139" t="s">
        <v>26</v>
      </c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 t="s">
        <v>27</v>
      </c>
      <c r="V228" s="153"/>
      <c r="W228" s="68" t="s">
        <v>26</v>
      </c>
      <c r="X228" s="68"/>
      <c r="Y228" s="68"/>
      <c r="Z228" s="68"/>
      <c r="AA228" s="68"/>
      <c r="AB228" s="68"/>
      <c r="AC228" s="68"/>
      <c r="AD228" s="68"/>
      <c r="AE228" s="68"/>
      <c r="AF228" s="68"/>
      <c r="AG228" s="153"/>
      <c r="AH228" s="68"/>
      <c r="AI228" s="68"/>
      <c r="AJ228" s="68" t="s">
        <v>27</v>
      </c>
      <c r="AK228" s="68" t="s">
        <v>42</v>
      </c>
      <c r="AL228" s="68" t="s">
        <v>26</v>
      </c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153"/>
      <c r="AX228" s="68" t="s">
        <v>27</v>
      </c>
      <c r="AY228" s="153"/>
      <c r="AZ228" s="68" t="s">
        <v>26</v>
      </c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  <c r="BK228" s="68"/>
      <c r="BL228" s="68"/>
      <c r="BM228" s="68"/>
      <c r="BN228" s="68"/>
      <c r="BO228" s="68"/>
      <c r="BP228" s="68" t="s">
        <v>27</v>
      </c>
      <c r="BQ228" s="153"/>
      <c r="BR228" s="68"/>
      <c r="BS228" s="68"/>
      <c r="BT228" s="68" t="s">
        <v>26</v>
      </c>
      <c r="BU228" s="68"/>
      <c r="BV228" s="68"/>
      <c r="BW228" s="68"/>
      <c r="BX228" s="68"/>
      <c r="BY228" s="68"/>
      <c r="BZ228" s="68"/>
      <c r="CA228" s="68"/>
      <c r="CB228" s="68"/>
      <c r="CC228" s="68"/>
      <c r="CD228" s="68"/>
      <c r="CE228" s="68"/>
      <c r="CF228" s="68" t="s">
        <v>27</v>
      </c>
      <c r="CG228" s="153"/>
      <c r="CH228" s="68" t="s">
        <v>26</v>
      </c>
      <c r="CI228" s="68"/>
      <c r="CJ228" s="68"/>
      <c r="CK228" s="68"/>
      <c r="CL228" s="68"/>
      <c r="CM228" s="68"/>
      <c r="CN228" s="68"/>
      <c r="CO228" s="68"/>
      <c r="CP228" s="68"/>
      <c r="CQ228" s="68"/>
      <c r="CR228" s="68"/>
      <c r="CS228" s="68"/>
      <c r="CT228" s="68"/>
      <c r="CU228" s="68"/>
      <c r="CV228" s="68" t="s">
        <v>27</v>
      </c>
      <c r="CW228" s="68"/>
      <c r="CX228" s="68"/>
      <c r="CY228" s="68"/>
      <c r="CZ228" s="68" t="s">
        <v>26</v>
      </c>
      <c r="DA228" s="68"/>
      <c r="DB228" s="68"/>
      <c r="DC228" s="68"/>
      <c r="DD228" s="68"/>
      <c r="DE228" s="68"/>
      <c r="DF228" s="68"/>
      <c r="DG228" s="68"/>
      <c r="DH228" s="68"/>
      <c r="DI228" s="68"/>
      <c r="DJ228" s="68"/>
      <c r="DK228" s="68" t="s">
        <v>27</v>
      </c>
      <c r="DL228" s="68"/>
      <c r="DM228" s="68" t="s">
        <v>26</v>
      </c>
      <c r="DN228" s="68"/>
      <c r="DO228" s="68"/>
      <c r="DP228" s="68"/>
      <c r="DQ228" s="153"/>
      <c r="DR228" s="68"/>
      <c r="DS228" s="68"/>
      <c r="DT228" s="68"/>
      <c r="DU228" s="68"/>
      <c r="DV228" s="68"/>
      <c r="DW228" s="68"/>
      <c r="DX228" s="68"/>
      <c r="DY228" s="68"/>
      <c r="DZ228" s="68"/>
      <c r="EA228" s="68"/>
      <c r="EB228" s="68"/>
      <c r="EC228" s="68"/>
      <c r="ED228" s="68" t="s">
        <v>27</v>
      </c>
      <c r="EE228" s="68"/>
      <c r="EF228" s="68" t="s">
        <v>26</v>
      </c>
      <c r="EG228" s="153"/>
      <c r="EH228" s="68"/>
      <c r="EI228" s="68"/>
      <c r="EJ228" s="68"/>
      <c r="EK228" s="68"/>
      <c r="EL228" s="68"/>
      <c r="EM228" s="68"/>
      <c r="EN228" s="68"/>
      <c r="EO228" s="68"/>
      <c r="EP228" s="68" t="s">
        <v>27</v>
      </c>
      <c r="EQ228" s="68"/>
      <c r="ER228" s="68"/>
      <c r="ES228" s="68"/>
      <c r="ET228" s="68" t="s">
        <v>26</v>
      </c>
      <c r="EU228" s="68"/>
      <c r="EV228" s="68"/>
      <c r="EW228" s="153"/>
      <c r="EX228" s="68"/>
      <c r="EY228" s="68"/>
      <c r="EZ228" s="68"/>
      <c r="FA228" s="68"/>
      <c r="FB228" s="68"/>
      <c r="FC228" s="68"/>
      <c r="FD228" s="68" t="s">
        <v>27</v>
      </c>
      <c r="FE228" s="68"/>
      <c r="FF228" s="68" t="s">
        <v>26</v>
      </c>
      <c r="FG228" s="68"/>
      <c r="FH228" s="68"/>
      <c r="FI228" s="68"/>
      <c r="FJ228" s="68"/>
      <c r="FK228" s="68"/>
      <c r="FL228" s="68"/>
      <c r="FM228" s="68"/>
      <c r="FN228" s="68"/>
      <c r="FO228" s="68"/>
      <c r="FP228" s="68"/>
      <c r="FQ228" s="68" t="s">
        <v>27</v>
      </c>
      <c r="FR228" s="68"/>
      <c r="FS228" s="68"/>
      <c r="FT228" s="68"/>
      <c r="FU228" s="68"/>
      <c r="FV228" s="68"/>
      <c r="FW228" s="68"/>
      <c r="FX228" s="68"/>
      <c r="FY228" s="68"/>
      <c r="FZ228" s="68"/>
      <c r="GA228" s="68"/>
      <c r="GB228" s="68"/>
      <c r="GC228" s="68"/>
      <c r="GD228" s="68"/>
      <c r="GE228" s="68"/>
      <c r="GF228" s="68"/>
      <c r="GG228" s="68"/>
      <c r="GH228" s="68"/>
      <c r="GI228" s="68"/>
      <c r="GJ228" s="68"/>
      <c r="GK228" s="68" t="s">
        <v>26</v>
      </c>
      <c r="GL228" s="68"/>
      <c r="GM228" s="68"/>
      <c r="GN228" s="68" t="s">
        <v>41</v>
      </c>
      <c r="GO228" s="68" t="s">
        <v>37</v>
      </c>
      <c r="GP228" s="67"/>
      <c r="GQ228" s="67"/>
      <c r="GR228" s="67"/>
      <c r="GS228" s="67"/>
      <c r="GT228" s="67"/>
      <c r="GU228" s="67"/>
      <c r="GV228" s="67"/>
      <c r="GW228" s="67"/>
      <c r="GX228" s="67"/>
      <c r="GY228" s="67"/>
      <c r="GZ228" s="67"/>
      <c r="HA228" s="67"/>
      <c r="HB228" s="67"/>
      <c r="HC228" s="67"/>
      <c r="HD228" s="67"/>
      <c r="HE228" s="67"/>
      <c r="HF228" s="67"/>
      <c r="HG228" s="67"/>
      <c r="HH228" s="67"/>
      <c r="HI228" s="67"/>
      <c r="HJ228" s="67"/>
      <c r="HK228" s="67"/>
      <c r="HL228" s="67"/>
      <c r="HM228" s="67"/>
      <c r="HN228" s="67"/>
      <c r="HO228" s="67"/>
      <c r="HP228" s="67"/>
      <c r="HQ228" s="67"/>
      <c r="HR228" s="67"/>
      <c r="HS228" s="67"/>
      <c r="HT228" s="67"/>
      <c r="HU228" s="67"/>
      <c r="HV228" s="67"/>
      <c r="HW228" s="67"/>
      <c r="HX228" s="67"/>
      <c r="HY228" s="67"/>
      <c r="HZ228" s="67"/>
      <c r="IA228" s="67"/>
      <c r="IB228" s="67"/>
      <c r="IC228" s="67"/>
      <c r="ID228" s="67"/>
      <c r="IE228" s="67"/>
      <c r="IF228" s="67"/>
      <c r="IG228" s="67"/>
      <c r="IH228" s="67"/>
      <c r="II228" s="67"/>
      <c r="IJ228" s="67"/>
      <c r="IK228" s="67"/>
      <c r="IL228" s="67"/>
      <c r="IM228" s="67"/>
      <c r="IN228" s="67"/>
      <c r="IO228" s="67"/>
      <c r="IP228" s="67"/>
      <c r="IQ228" s="67"/>
      <c r="IR228" s="67"/>
      <c r="IS228" s="67"/>
      <c r="IT228" s="67"/>
      <c r="IU228" s="67"/>
      <c r="IV228" s="67"/>
      <c r="IW228" s="67"/>
      <c r="IX228" s="67"/>
      <c r="IY228" s="67"/>
      <c r="IZ228" s="67"/>
      <c r="JA228" s="67"/>
      <c r="JB228" s="67"/>
      <c r="JC228" s="67"/>
      <c r="JD228" s="67"/>
      <c r="JE228" s="67"/>
      <c r="JF228" s="67"/>
      <c r="JG228" s="67"/>
      <c r="JH228" s="67"/>
      <c r="JI228" s="67"/>
      <c r="JJ228" s="67"/>
      <c r="JK228" s="67"/>
      <c r="JL228" s="67"/>
      <c r="JM228" s="67"/>
      <c r="JN228" s="67"/>
      <c r="JO228" s="67"/>
      <c r="JP228" s="67"/>
      <c r="JQ228" s="67"/>
      <c r="JR228" s="67"/>
      <c r="JS228" s="67"/>
      <c r="JT228" s="67"/>
      <c r="JU228" s="67"/>
      <c r="JV228" s="67"/>
      <c r="JW228" s="67"/>
      <c r="JX228" s="67"/>
      <c r="JY228" s="67"/>
      <c r="JZ228" s="67"/>
      <c r="KA228" s="67"/>
      <c r="KB228" s="67"/>
      <c r="KC228" s="67"/>
      <c r="KD228" s="67"/>
      <c r="KE228" s="67"/>
      <c r="KF228" s="67"/>
      <c r="KG228" s="67"/>
      <c r="KH228" s="67"/>
      <c r="KI228" s="67"/>
      <c r="KJ228" s="67"/>
      <c r="KK228" s="67"/>
      <c r="KL228" s="67"/>
      <c r="KM228" s="67"/>
      <c r="KN228" s="67"/>
      <c r="KO228" s="67"/>
      <c r="KP228" s="67"/>
      <c r="KQ228" s="67"/>
      <c r="KR228" s="67"/>
      <c r="KS228" s="67"/>
      <c r="KT228" s="67"/>
      <c r="KU228" s="67"/>
      <c r="KV228" s="67"/>
      <c r="KW228" s="67"/>
      <c r="KX228" s="67"/>
      <c r="KY228" s="67"/>
      <c r="KZ228" s="67"/>
      <c r="LA228" s="67"/>
      <c r="LB228" s="67"/>
      <c r="LC228" s="67"/>
      <c r="LD228" s="67"/>
      <c r="LE228" s="67"/>
      <c r="LF228" s="67"/>
      <c r="LG228" s="67"/>
      <c r="LH228" s="67"/>
      <c r="LI228" s="67"/>
      <c r="LJ228" s="67"/>
      <c r="LK228" s="67"/>
      <c r="LL228" s="67"/>
      <c r="LM228" s="67"/>
      <c r="LN228" s="67"/>
      <c r="LO228" s="67"/>
      <c r="LP228" s="67"/>
      <c r="LQ228" s="67"/>
      <c r="LR228" s="67"/>
      <c r="LS228" s="67"/>
      <c r="LT228" s="67"/>
      <c r="LU228" s="67"/>
      <c r="LV228" s="67"/>
      <c r="LW228" s="67"/>
      <c r="LX228" s="67"/>
      <c r="LY228" s="67"/>
      <c r="LZ228" s="67"/>
      <c r="MA228" s="67"/>
      <c r="MB228" s="67"/>
    </row>
    <row r="229" spans="1:340" s="50" customFormat="1" ht="15.75" customHeight="1" thickBot="1">
      <c r="A229" s="44">
        <v>3</v>
      </c>
      <c r="B229" s="88" t="s">
        <v>155</v>
      </c>
      <c r="C229" s="85" t="s">
        <v>329</v>
      </c>
      <c r="D229" s="86" t="s">
        <v>22</v>
      </c>
      <c r="E229" s="130" t="s">
        <v>76</v>
      </c>
      <c r="F229" s="87" t="s">
        <v>24</v>
      </c>
      <c r="G229" s="139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153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159"/>
      <c r="BI229" s="68"/>
      <c r="BJ229" s="68"/>
      <c r="BK229" s="67"/>
      <c r="BL229" s="68"/>
      <c r="BM229" s="68"/>
      <c r="BN229" s="68"/>
      <c r="BO229" s="68"/>
      <c r="BP229" s="68"/>
      <c r="BQ229" s="159"/>
      <c r="BR229" s="68"/>
      <c r="BS229" s="68"/>
      <c r="BT229" s="68"/>
      <c r="BU229" s="68"/>
      <c r="BV229" s="68"/>
      <c r="BW229" s="68"/>
      <c r="BX229" s="68"/>
      <c r="BY229" s="68"/>
      <c r="BZ229" s="68"/>
      <c r="CA229" s="68"/>
      <c r="CB229" s="67"/>
      <c r="CC229" s="68"/>
      <c r="CD229" s="68"/>
      <c r="CE229" s="68"/>
      <c r="CF229" s="68"/>
      <c r="CG229" s="68"/>
      <c r="CH229" s="68"/>
      <c r="CI229" s="68"/>
      <c r="CJ229" s="68"/>
      <c r="CK229" s="68"/>
      <c r="CL229" s="68"/>
      <c r="CM229" s="68"/>
      <c r="CN229" s="68"/>
      <c r="CO229" s="68"/>
      <c r="CP229" s="68"/>
      <c r="CQ229" s="68"/>
      <c r="CR229" s="68"/>
      <c r="CS229" s="68"/>
      <c r="CT229" s="68"/>
      <c r="CU229" s="68"/>
      <c r="CV229" s="68"/>
      <c r="CW229" s="68"/>
      <c r="CX229" s="68"/>
      <c r="CY229" s="68"/>
      <c r="CZ229" s="68"/>
      <c r="DA229" s="68"/>
      <c r="DB229" s="68"/>
      <c r="DC229" s="68"/>
      <c r="DD229" s="68"/>
      <c r="DE229" s="68"/>
      <c r="DF229" s="68"/>
      <c r="DG229" s="68"/>
      <c r="DH229" s="68"/>
      <c r="DI229" s="68"/>
      <c r="DJ229" s="68"/>
      <c r="DK229" s="68"/>
      <c r="DL229" s="68"/>
      <c r="DM229" s="68"/>
      <c r="DN229" s="68"/>
      <c r="DO229" s="68"/>
      <c r="DP229" s="68"/>
      <c r="DQ229" s="68"/>
      <c r="DR229" s="68"/>
      <c r="DS229" s="68"/>
      <c r="DT229" s="68"/>
      <c r="DU229" s="68"/>
      <c r="DV229" s="68"/>
      <c r="DW229" s="68"/>
      <c r="DX229" s="68"/>
      <c r="DY229" s="68"/>
      <c r="DZ229" s="68"/>
      <c r="EA229" s="68"/>
      <c r="EB229" s="68"/>
      <c r="EC229" s="68"/>
      <c r="ED229" s="68"/>
      <c r="EE229" s="68"/>
      <c r="EF229" s="68"/>
      <c r="EG229" s="68"/>
      <c r="EH229" s="68"/>
      <c r="EI229" s="68"/>
      <c r="EJ229" s="68"/>
      <c r="EK229" s="68"/>
      <c r="EL229" s="68"/>
      <c r="EM229" s="68"/>
      <c r="EN229" s="68"/>
      <c r="EO229" s="68"/>
      <c r="EP229" s="68"/>
      <c r="EQ229" s="68"/>
      <c r="ER229" s="68"/>
      <c r="ES229" s="68"/>
      <c r="ET229" s="68"/>
      <c r="EU229" s="68"/>
      <c r="EV229" s="68"/>
      <c r="EW229" s="68"/>
      <c r="EX229" s="68"/>
      <c r="EY229" s="68"/>
      <c r="EZ229" s="68"/>
      <c r="FA229" s="68"/>
      <c r="FB229" s="68"/>
      <c r="FC229" s="68"/>
      <c r="FD229" s="68"/>
      <c r="FE229" s="68"/>
      <c r="FF229" s="68"/>
      <c r="FG229" s="68"/>
      <c r="FH229" s="68"/>
      <c r="FI229" s="68"/>
      <c r="FJ229" s="68"/>
      <c r="FK229" s="68"/>
      <c r="FL229" s="68"/>
      <c r="FM229" s="68"/>
      <c r="FN229" s="68"/>
      <c r="FO229" s="68"/>
      <c r="FP229" s="68"/>
      <c r="FQ229" s="68"/>
      <c r="FR229" s="68"/>
      <c r="FS229" s="68"/>
      <c r="FT229" s="68"/>
      <c r="FU229" s="68" t="s">
        <v>25</v>
      </c>
      <c r="FV229" s="68"/>
      <c r="FW229" s="68"/>
      <c r="FX229" s="68"/>
      <c r="FY229" s="68" t="s">
        <v>26</v>
      </c>
      <c r="FZ229" s="68" t="s">
        <v>26</v>
      </c>
      <c r="GA229" s="68" t="s">
        <v>26</v>
      </c>
      <c r="GB229" s="68"/>
      <c r="GC229" s="68"/>
      <c r="GD229" s="68"/>
      <c r="GE229" s="68"/>
      <c r="GF229" s="68"/>
      <c r="GG229" s="68"/>
      <c r="GH229" s="68" t="s">
        <v>27</v>
      </c>
      <c r="GI229" s="68"/>
      <c r="GJ229" s="68"/>
      <c r="GK229" s="68"/>
      <c r="GL229" s="68"/>
      <c r="GM229" s="68"/>
      <c r="GN229" s="68" t="s">
        <v>27</v>
      </c>
      <c r="GO229" s="68"/>
      <c r="GP229" s="68"/>
      <c r="GQ229" s="68"/>
      <c r="GR229" s="68"/>
      <c r="GS229" s="68"/>
      <c r="GT229" s="68"/>
      <c r="GU229" s="68" t="s">
        <v>27</v>
      </c>
      <c r="GV229" s="68" t="s">
        <v>37</v>
      </c>
      <c r="GW229" s="67"/>
      <c r="GX229" s="67"/>
      <c r="GY229" s="67"/>
      <c r="GZ229" s="67"/>
      <c r="HA229" s="67"/>
      <c r="HB229" s="67"/>
      <c r="HC229" s="67"/>
      <c r="HD229" s="67"/>
      <c r="HE229" s="67"/>
      <c r="HF229" s="67"/>
      <c r="HG229" s="67"/>
      <c r="HH229" s="67"/>
      <c r="HI229" s="67"/>
      <c r="HJ229" s="67"/>
      <c r="HK229" s="67"/>
      <c r="HL229" s="67"/>
      <c r="HM229" s="67"/>
      <c r="HN229" s="67"/>
      <c r="HO229" s="67"/>
      <c r="HP229" s="67"/>
      <c r="HQ229" s="67"/>
      <c r="HR229" s="67"/>
      <c r="HS229" s="67"/>
      <c r="HT229" s="67"/>
      <c r="HU229" s="67"/>
      <c r="HV229" s="67"/>
      <c r="HW229" s="67"/>
      <c r="HX229" s="67"/>
      <c r="HY229" s="67"/>
      <c r="HZ229" s="67"/>
      <c r="IA229" s="67"/>
      <c r="IB229" s="67"/>
      <c r="IC229" s="67"/>
      <c r="ID229" s="67"/>
      <c r="IE229" s="67"/>
      <c r="IF229" s="67"/>
      <c r="IG229" s="67"/>
      <c r="IH229" s="67"/>
      <c r="II229" s="67"/>
      <c r="IJ229" s="67"/>
      <c r="IK229" s="67"/>
      <c r="IL229" s="67"/>
      <c r="IM229" s="67"/>
      <c r="IN229" s="67"/>
      <c r="IO229" s="67"/>
      <c r="IP229" s="67"/>
      <c r="IQ229" s="67"/>
      <c r="IR229" s="67"/>
      <c r="IS229" s="67"/>
      <c r="IT229" s="67"/>
      <c r="IU229" s="67"/>
      <c r="IV229" s="67"/>
      <c r="IW229" s="67"/>
      <c r="IX229" s="67"/>
      <c r="IY229" s="67"/>
      <c r="IZ229" s="67"/>
      <c r="JA229" s="67"/>
      <c r="JB229" s="67"/>
      <c r="JC229" s="67"/>
      <c r="JD229" s="67"/>
      <c r="JE229" s="67"/>
      <c r="JF229" s="67"/>
      <c r="JG229" s="67"/>
      <c r="JH229" s="67"/>
      <c r="JI229" s="67"/>
      <c r="JJ229" s="67"/>
      <c r="JK229" s="67"/>
      <c r="JL229" s="67"/>
      <c r="JM229" s="67"/>
      <c r="JN229" s="67"/>
      <c r="JO229" s="67"/>
      <c r="JP229" s="67"/>
      <c r="JQ229" s="67"/>
      <c r="JR229" s="67"/>
      <c r="JS229" s="67"/>
      <c r="JT229" s="67"/>
      <c r="JU229" s="67"/>
      <c r="JV229" s="67"/>
      <c r="JW229" s="67"/>
      <c r="JX229" s="67"/>
      <c r="JY229" s="67"/>
      <c r="JZ229" s="67"/>
      <c r="KA229" s="67"/>
      <c r="KB229" s="67"/>
      <c r="KC229" s="67"/>
      <c r="KD229" s="67"/>
      <c r="KE229" s="67"/>
      <c r="KF229" s="67"/>
      <c r="KG229" s="67"/>
      <c r="KH229" s="67"/>
      <c r="KI229" s="67"/>
      <c r="KJ229" s="67"/>
      <c r="KK229" s="67"/>
      <c r="KL229" s="67"/>
      <c r="KM229" s="67"/>
      <c r="KN229" s="67"/>
      <c r="KO229" s="67"/>
      <c r="KP229" s="67"/>
      <c r="KQ229" s="67"/>
      <c r="KR229" s="67"/>
      <c r="KS229" s="67"/>
      <c r="KT229" s="67"/>
      <c r="KU229" s="67"/>
      <c r="KV229" s="67"/>
      <c r="KW229" s="67"/>
      <c r="KX229" s="67"/>
      <c r="KY229" s="67"/>
      <c r="KZ229" s="67"/>
      <c r="LA229" s="67"/>
      <c r="LB229" s="67"/>
      <c r="LC229" s="67"/>
      <c r="LD229" s="67"/>
      <c r="LE229" s="67"/>
      <c r="LF229" s="67"/>
      <c r="LG229" s="67"/>
      <c r="LH229" s="67"/>
      <c r="LI229" s="67"/>
      <c r="LJ229" s="67"/>
      <c r="LK229" s="67"/>
      <c r="LL229" s="67"/>
      <c r="LM229" s="67"/>
      <c r="LN229" s="67"/>
      <c r="LO229" s="67"/>
      <c r="LP229" s="67"/>
      <c r="LQ229" s="67"/>
      <c r="LR229" s="67"/>
      <c r="LS229" s="67"/>
      <c r="LT229" s="67"/>
      <c r="LU229" s="67"/>
      <c r="LV229" s="67"/>
      <c r="LW229" s="67"/>
      <c r="LX229" s="67"/>
      <c r="LY229" s="67"/>
      <c r="LZ229" s="67"/>
      <c r="MA229" s="67"/>
      <c r="MB229" s="67"/>
    </row>
    <row r="230" spans="1:340" s="50" customFormat="1" ht="15.75" hidden="1" customHeight="1" thickBot="1">
      <c r="A230" s="44">
        <v>3</v>
      </c>
      <c r="B230" s="88" t="s">
        <v>73</v>
      </c>
      <c r="C230" s="85" t="s">
        <v>330</v>
      </c>
      <c r="D230" s="86" t="s">
        <v>49</v>
      </c>
      <c r="E230" s="130" t="s">
        <v>78</v>
      </c>
      <c r="F230" s="87" t="s">
        <v>24</v>
      </c>
      <c r="G230" s="139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153"/>
      <c r="Z230" s="68"/>
      <c r="AA230" s="68"/>
      <c r="AB230" s="68"/>
      <c r="AC230" s="68"/>
      <c r="AD230" s="153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  <c r="BK230" s="68"/>
      <c r="BL230" s="68"/>
      <c r="BM230" s="68"/>
      <c r="BN230" s="68"/>
      <c r="BO230" s="68"/>
      <c r="BP230" s="68"/>
      <c r="BQ230" s="68"/>
      <c r="BR230" s="68"/>
      <c r="BS230" s="68"/>
      <c r="BT230" s="68"/>
      <c r="BU230" s="68"/>
      <c r="BV230" s="68"/>
      <c r="BW230" s="68"/>
      <c r="BX230" s="68"/>
      <c r="BY230" s="68"/>
      <c r="BZ230" s="68"/>
      <c r="CA230" s="68"/>
      <c r="CB230" s="68"/>
      <c r="CC230" s="68"/>
      <c r="CD230" s="68"/>
      <c r="CE230" s="68"/>
      <c r="CF230" s="68"/>
      <c r="CG230" s="68"/>
      <c r="CH230" s="68"/>
      <c r="CI230" s="68"/>
      <c r="CJ230" s="68"/>
      <c r="CK230" s="68"/>
      <c r="CL230" s="68"/>
      <c r="CM230" s="68"/>
      <c r="CN230" s="68"/>
      <c r="CO230" s="68"/>
      <c r="CP230" s="68"/>
      <c r="CQ230" s="68"/>
      <c r="CR230" s="68"/>
      <c r="CS230" s="68"/>
      <c r="CT230" s="68"/>
      <c r="CU230" s="68"/>
      <c r="CV230" s="68"/>
      <c r="CW230" s="68"/>
      <c r="CX230" s="68"/>
      <c r="CY230" s="68"/>
      <c r="CZ230" s="68"/>
      <c r="DA230" s="68"/>
      <c r="DB230" s="68"/>
      <c r="DC230" s="68"/>
      <c r="DD230" s="68"/>
      <c r="DE230" s="68"/>
      <c r="DF230" s="68"/>
      <c r="DG230" s="68"/>
      <c r="DH230" s="68"/>
      <c r="DI230" s="68"/>
      <c r="DJ230" s="68"/>
      <c r="DK230" s="68"/>
      <c r="DL230" s="68"/>
      <c r="DM230" s="68"/>
      <c r="DN230" s="68"/>
      <c r="DO230" s="68"/>
      <c r="DP230" s="68"/>
      <c r="DQ230" s="68"/>
      <c r="DR230" s="68"/>
      <c r="DS230" s="68"/>
      <c r="DT230" s="68"/>
      <c r="DU230" s="68"/>
      <c r="DV230" s="68"/>
      <c r="DW230" s="68"/>
      <c r="DX230" s="68"/>
      <c r="DY230" s="68"/>
      <c r="DZ230" s="68"/>
      <c r="EA230" s="68"/>
      <c r="EB230" s="68"/>
      <c r="EC230" s="68"/>
      <c r="ED230" s="68"/>
      <c r="EE230" s="68"/>
      <c r="EF230" s="68"/>
      <c r="EG230" s="68"/>
      <c r="EH230" s="68"/>
      <c r="EI230" s="68"/>
      <c r="EJ230" s="68"/>
      <c r="EK230" s="68"/>
      <c r="EL230" s="68"/>
      <c r="EM230" s="68"/>
      <c r="EN230" s="68"/>
      <c r="EO230" s="68"/>
      <c r="EP230" s="68"/>
      <c r="EQ230" s="68"/>
      <c r="ER230" s="68"/>
      <c r="ES230" s="68"/>
      <c r="ET230" s="68"/>
      <c r="EU230" s="68"/>
      <c r="EV230" s="68"/>
      <c r="EW230" s="68"/>
      <c r="EX230" s="68"/>
      <c r="EY230" s="68"/>
      <c r="EZ230" s="68"/>
      <c r="FA230" s="68"/>
      <c r="FB230" s="68"/>
      <c r="FC230" s="68"/>
      <c r="FD230" s="68"/>
      <c r="FE230" s="68"/>
      <c r="FF230" s="68"/>
      <c r="FG230" s="68"/>
      <c r="FH230" s="68"/>
      <c r="FI230" s="68"/>
      <c r="FJ230" s="68"/>
      <c r="FK230" s="68"/>
      <c r="FL230" s="68"/>
      <c r="FM230" s="68"/>
      <c r="FN230" s="68"/>
      <c r="FO230" s="68"/>
      <c r="FP230" s="68"/>
      <c r="FQ230" s="68"/>
      <c r="FR230" s="68"/>
      <c r="FS230" s="68"/>
      <c r="FT230" s="68"/>
      <c r="FU230" s="68"/>
      <c r="FV230" s="68"/>
      <c r="FW230" s="68"/>
      <c r="FX230" s="68"/>
      <c r="FY230" s="68"/>
      <c r="FZ230" s="68"/>
      <c r="GA230" s="68"/>
      <c r="GB230" s="68"/>
      <c r="GC230" s="68"/>
      <c r="GD230" s="68"/>
      <c r="GE230" s="68"/>
      <c r="GF230" s="68"/>
      <c r="GG230" s="68"/>
      <c r="GH230" s="68"/>
      <c r="GI230" s="68" t="s">
        <v>25</v>
      </c>
      <c r="GJ230" s="68"/>
      <c r="GK230" s="68" t="s">
        <v>26</v>
      </c>
      <c r="GL230" s="68"/>
      <c r="GM230" s="68"/>
      <c r="GN230" s="68" t="s">
        <v>41</v>
      </c>
      <c r="GO230" s="68"/>
      <c r="GP230" s="68"/>
      <c r="GQ230" s="68"/>
      <c r="GR230" s="68"/>
      <c r="GS230" s="68"/>
      <c r="GT230" s="68" t="s">
        <v>26</v>
      </c>
      <c r="GU230" s="68"/>
      <c r="GV230" s="68" t="s">
        <v>41</v>
      </c>
      <c r="GW230" s="68"/>
      <c r="GX230" s="68" t="s">
        <v>37</v>
      </c>
      <c r="GY230" s="67"/>
      <c r="GZ230" s="67"/>
      <c r="HA230" s="67"/>
      <c r="HB230" s="67"/>
      <c r="HC230" s="67"/>
      <c r="HD230" s="67"/>
      <c r="HE230" s="67"/>
      <c r="HF230" s="67"/>
      <c r="HG230" s="67"/>
      <c r="HH230" s="67"/>
      <c r="HI230" s="67"/>
      <c r="HJ230" s="67"/>
      <c r="HK230" s="67"/>
      <c r="HL230" s="67"/>
      <c r="HM230" s="67"/>
      <c r="HN230" s="67"/>
      <c r="HO230" s="67"/>
      <c r="HP230" s="67"/>
      <c r="HQ230" s="67"/>
      <c r="HR230" s="67"/>
      <c r="HS230" s="67"/>
      <c r="HT230" s="67"/>
      <c r="HU230" s="67"/>
      <c r="HV230" s="67"/>
      <c r="HW230" s="67"/>
      <c r="HX230" s="67"/>
      <c r="HY230" s="67"/>
      <c r="HZ230" s="67"/>
      <c r="IA230" s="67"/>
      <c r="IB230" s="67"/>
      <c r="IC230" s="67"/>
      <c r="ID230" s="67"/>
      <c r="IE230" s="67"/>
      <c r="IF230" s="67"/>
      <c r="IG230" s="67"/>
      <c r="IH230" s="67"/>
      <c r="II230" s="67"/>
      <c r="IJ230" s="67"/>
      <c r="IK230" s="67"/>
      <c r="IL230" s="67"/>
      <c r="IM230" s="67"/>
      <c r="IN230" s="67"/>
      <c r="IO230" s="67"/>
      <c r="IP230" s="67"/>
      <c r="IQ230" s="67"/>
      <c r="IR230" s="67"/>
      <c r="IS230" s="67"/>
      <c r="IT230" s="67"/>
      <c r="IU230" s="67"/>
      <c r="IV230" s="67"/>
      <c r="IW230" s="67"/>
      <c r="IX230" s="67"/>
      <c r="IY230" s="67"/>
      <c r="IZ230" s="67"/>
      <c r="JA230" s="67"/>
      <c r="JB230" s="67"/>
      <c r="JC230" s="67"/>
      <c r="JD230" s="67"/>
      <c r="JE230" s="67"/>
      <c r="JF230" s="67"/>
      <c r="JG230" s="67"/>
      <c r="JH230" s="67"/>
      <c r="JI230" s="67"/>
      <c r="JJ230" s="67"/>
      <c r="JK230" s="67"/>
      <c r="JL230" s="67"/>
      <c r="JM230" s="67"/>
      <c r="JN230" s="67"/>
      <c r="JO230" s="67"/>
      <c r="JP230" s="67"/>
      <c r="JQ230" s="67"/>
      <c r="JR230" s="67"/>
      <c r="JS230" s="67"/>
      <c r="JT230" s="67"/>
      <c r="JU230" s="67"/>
      <c r="JV230" s="67"/>
      <c r="JW230" s="67"/>
      <c r="JX230" s="67"/>
      <c r="JY230" s="67"/>
      <c r="JZ230" s="67"/>
      <c r="KA230" s="67"/>
      <c r="KB230" s="67"/>
      <c r="KC230" s="67"/>
      <c r="KD230" s="67"/>
      <c r="KE230" s="67"/>
      <c r="KF230" s="67"/>
      <c r="KG230" s="67"/>
      <c r="KH230" s="67"/>
      <c r="KI230" s="67"/>
      <c r="KJ230" s="67"/>
      <c r="KK230" s="67"/>
      <c r="KL230" s="67"/>
      <c r="KM230" s="67"/>
      <c r="KN230" s="67"/>
      <c r="KO230" s="67"/>
      <c r="KP230" s="67"/>
      <c r="KQ230" s="67"/>
      <c r="KR230" s="67"/>
      <c r="KS230" s="67"/>
      <c r="KT230" s="67"/>
      <c r="KU230" s="67"/>
      <c r="KV230" s="67"/>
      <c r="KW230" s="67"/>
      <c r="KX230" s="67"/>
      <c r="KY230" s="67"/>
      <c r="KZ230" s="67"/>
      <c r="LA230" s="67"/>
      <c r="LB230" s="67"/>
      <c r="LC230" s="67"/>
      <c r="LD230" s="67"/>
      <c r="LE230" s="67"/>
      <c r="LF230" s="67"/>
      <c r="LG230" s="67"/>
      <c r="LH230" s="67"/>
      <c r="LI230" s="67"/>
      <c r="LJ230" s="67"/>
      <c r="LK230" s="67"/>
      <c r="LL230" s="67"/>
      <c r="LM230" s="67"/>
      <c r="LN230" s="67"/>
      <c r="LO230" s="67"/>
      <c r="LP230" s="67"/>
      <c r="LQ230" s="67"/>
      <c r="LR230" s="67"/>
      <c r="LS230" s="67"/>
      <c r="LT230" s="67"/>
      <c r="LU230" s="67"/>
      <c r="LV230" s="67"/>
      <c r="LW230" s="67"/>
      <c r="LX230" s="67"/>
      <c r="LY230" s="67"/>
      <c r="LZ230" s="67"/>
      <c r="MA230" s="67"/>
      <c r="MB230" s="67"/>
    </row>
    <row r="231" spans="1:340" s="50" customFormat="1" ht="15.75" customHeight="1" thickBot="1">
      <c r="A231" s="44">
        <v>3</v>
      </c>
      <c r="B231" s="88" t="s">
        <v>331</v>
      </c>
      <c r="C231" s="85" t="s">
        <v>332</v>
      </c>
      <c r="D231" s="86" t="s">
        <v>22</v>
      </c>
      <c r="E231" s="130" t="s">
        <v>23</v>
      </c>
      <c r="F231" s="87" t="s">
        <v>24</v>
      </c>
      <c r="G231" s="139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  <c r="BK231" s="68"/>
      <c r="BL231" s="159"/>
      <c r="BM231" s="68"/>
      <c r="BN231" s="68"/>
      <c r="BO231" s="68"/>
      <c r="BP231" s="68"/>
      <c r="BQ231" s="68"/>
      <c r="BR231" s="68"/>
      <c r="BS231" s="68"/>
      <c r="BT231" s="68"/>
      <c r="BU231" s="68"/>
      <c r="BV231" s="68"/>
      <c r="BW231" s="68"/>
      <c r="BX231" s="68"/>
      <c r="BY231" s="67"/>
      <c r="BZ231" s="68"/>
      <c r="CA231" s="68"/>
      <c r="CB231" s="68"/>
      <c r="CC231" s="68"/>
      <c r="CD231" s="68"/>
      <c r="CE231" s="68"/>
      <c r="CF231" s="68"/>
      <c r="CG231" s="68"/>
      <c r="CH231" s="68"/>
      <c r="CI231" s="68"/>
      <c r="CJ231" s="68"/>
      <c r="CK231" s="68"/>
      <c r="CL231" s="68"/>
      <c r="CM231" s="68"/>
      <c r="CN231" s="68"/>
      <c r="CO231" s="68"/>
      <c r="CP231" s="68"/>
      <c r="CQ231" s="68"/>
      <c r="CR231" s="68"/>
      <c r="CS231" s="68"/>
      <c r="CT231" s="68"/>
      <c r="CU231" s="68"/>
      <c r="CV231" s="68"/>
      <c r="CW231" s="68"/>
      <c r="CX231" s="68"/>
      <c r="CY231" s="68"/>
      <c r="CZ231" s="68"/>
      <c r="DA231" s="68"/>
      <c r="DB231" s="68"/>
      <c r="DC231" s="68"/>
      <c r="DD231" s="68"/>
      <c r="DE231" s="68"/>
      <c r="DF231" s="68"/>
      <c r="DG231" s="68"/>
      <c r="DH231" s="68"/>
      <c r="DI231" s="68"/>
      <c r="DJ231" s="68"/>
      <c r="DK231" s="68"/>
      <c r="DL231" s="68"/>
      <c r="DM231" s="68"/>
      <c r="DN231" s="68"/>
      <c r="DO231" s="68"/>
      <c r="DP231" s="68"/>
      <c r="DQ231" s="68"/>
      <c r="DR231" s="68"/>
      <c r="DS231" s="68"/>
      <c r="DT231" s="68"/>
      <c r="DU231" s="68"/>
      <c r="DV231" s="68"/>
      <c r="DW231" s="68"/>
      <c r="DX231" s="68"/>
      <c r="DY231" s="68"/>
      <c r="DZ231" s="68"/>
      <c r="EA231" s="68"/>
      <c r="EB231" s="68"/>
      <c r="EC231" s="68"/>
      <c r="ED231" s="68"/>
      <c r="EE231" s="68"/>
      <c r="EF231" s="68"/>
      <c r="EG231" s="68"/>
      <c r="EH231" s="68"/>
      <c r="EI231" s="68"/>
      <c r="EJ231" s="68"/>
      <c r="EK231" s="68"/>
      <c r="EL231" s="68"/>
      <c r="EM231" s="68"/>
      <c r="EN231" s="68"/>
      <c r="EO231" s="68"/>
      <c r="EP231" s="68"/>
      <c r="EQ231" s="68"/>
      <c r="ER231" s="68"/>
      <c r="ES231" s="68"/>
      <c r="ET231" s="68"/>
      <c r="EU231" s="68"/>
      <c r="EV231" s="68" t="s">
        <v>25</v>
      </c>
      <c r="EW231" s="68" t="s">
        <v>26</v>
      </c>
      <c r="EX231" s="68"/>
      <c r="EY231" s="68"/>
      <c r="EZ231" s="68"/>
      <c r="FA231" s="68"/>
      <c r="FB231" s="68"/>
      <c r="FC231" s="68"/>
      <c r="FD231" s="68"/>
      <c r="FE231" s="68"/>
      <c r="FF231" s="68"/>
      <c r="FG231" s="68"/>
      <c r="FH231" s="68"/>
      <c r="FI231" s="68"/>
      <c r="FJ231" s="68" t="s">
        <v>27</v>
      </c>
      <c r="FK231" s="68"/>
      <c r="FL231" s="68" t="s">
        <v>26</v>
      </c>
      <c r="FM231" s="68"/>
      <c r="FN231" s="68"/>
      <c r="FO231" s="68"/>
      <c r="FP231" s="68"/>
      <c r="FQ231" s="68"/>
      <c r="FR231" s="68"/>
      <c r="FS231" s="68"/>
      <c r="FT231" s="68"/>
      <c r="FU231" s="68"/>
      <c r="FV231" s="68"/>
      <c r="FW231" s="68"/>
      <c r="FX231" s="68"/>
      <c r="FY231" s="68" t="s">
        <v>27</v>
      </c>
      <c r="FZ231" s="68"/>
      <c r="GA231" s="68" t="s">
        <v>26</v>
      </c>
      <c r="GB231" s="68"/>
      <c r="GC231" s="68"/>
      <c r="GD231" s="68"/>
      <c r="GE231" s="68"/>
      <c r="GF231" s="68"/>
      <c r="GG231" s="68"/>
      <c r="GH231" s="68"/>
      <c r="GI231" s="68"/>
      <c r="GJ231" s="68"/>
      <c r="GK231" s="68"/>
      <c r="GL231" s="68" t="s">
        <v>27</v>
      </c>
      <c r="GM231" s="68"/>
      <c r="GN231" s="68" t="s">
        <v>26</v>
      </c>
      <c r="GO231" s="68"/>
      <c r="GP231" s="68"/>
      <c r="GQ231" s="68"/>
      <c r="GR231" s="68"/>
      <c r="GS231" s="68"/>
      <c r="GT231" s="68"/>
      <c r="GU231" s="68"/>
      <c r="GV231" s="68"/>
      <c r="GW231" s="68"/>
      <c r="GX231" s="68"/>
      <c r="GY231" s="68" t="s">
        <v>27</v>
      </c>
      <c r="GZ231" s="68"/>
      <c r="HA231" s="68" t="s">
        <v>26</v>
      </c>
      <c r="HB231" s="68"/>
      <c r="HC231" s="68"/>
      <c r="HD231" s="68"/>
      <c r="HE231" s="68"/>
      <c r="HF231" s="68"/>
      <c r="HG231" s="68"/>
      <c r="HH231" s="68"/>
      <c r="HI231" s="68"/>
      <c r="HJ231" s="68"/>
      <c r="HK231" s="68"/>
      <c r="HL231" s="68" t="s">
        <v>27</v>
      </c>
      <c r="HM231" s="68" t="s">
        <v>37</v>
      </c>
      <c r="HN231" s="67"/>
      <c r="HO231" s="67"/>
      <c r="HP231" s="67"/>
      <c r="HQ231" s="67"/>
      <c r="HR231" s="67"/>
      <c r="HS231" s="67"/>
      <c r="HT231" s="67"/>
      <c r="HU231" s="67"/>
      <c r="HV231" s="67"/>
      <c r="HW231" s="67"/>
      <c r="HX231" s="67"/>
      <c r="HY231" s="67"/>
      <c r="HZ231" s="67"/>
      <c r="IA231" s="67"/>
      <c r="IB231" s="67"/>
      <c r="IC231" s="67"/>
      <c r="ID231" s="67"/>
      <c r="IE231" s="67"/>
      <c r="IF231" s="67"/>
      <c r="IG231" s="67"/>
      <c r="IH231" s="67"/>
      <c r="II231" s="67"/>
      <c r="IJ231" s="67"/>
      <c r="IK231" s="67"/>
      <c r="IL231" s="67"/>
      <c r="IM231" s="67"/>
      <c r="IN231" s="67"/>
      <c r="IO231" s="67"/>
      <c r="IP231" s="67"/>
      <c r="IQ231" s="67"/>
      <c r="IR231" s="67"/>
      <c r="IS231" s="67"/>
      <c r="IT231" s="67"/>
      <c r="IU231" s="67"/>
      <c r="IV231" s="67"/>
      <c r="IW231" s="67"/>
      <c r="IX231" s="67"/>
      <c r="IY231" s="67"/>
      <c r="IZ231" s="67"/>
      <c r="JA231" s="67"/>
      <c r="JB231" s="67"/>
      <c r="JC231" s="67"/>
      <c r="JD231" s="67"/>
      <c r="JE231" s="67"/>
      <c r="JF231" s="67"/>
      <c r="JG231" s="67"/>
      <c r="JH231" s="67"/>
      <c r="JI231" s="67"/>
      <c r="JJ231" s="67"/>
      <c r="JK231" s="67"/>
      <c r="JL231" s="67"/>
      <c r="JM231" s="67"/>
      <c r="JN231" s="67"/>
      <c r="JO231" s="67"/>
      <c r="JP231" s="67"/>
      <c r="JQ231" s="67"/>
      <c r="JR231" s="67"/>
      <c r="JS231" s="67"/>
      <c r="JT231" s="67"/>
      <c r="JU231" s="67"/>
      <c r="JV231" s="67"/>
      <c r="JW231" s="67"/>
      <c r="JX231" s="67"/>
      <c r="JY231" s="67"/>
      <c r="JZ231" s="67"/>
      <c r="KA231" s="67"/>
      <c r="KB231" s="67"/>
      <c r="KC231" s="67"/>
      <c r="KD231" s="67"/>
      <c r="KE231" s="67"/>
      <c r="KF231" s="67"/>
      <c r="KG231" s="67"/>
      <c r="KH231" s="67"/>
      <c r="KI231" s="67"/>
      <c r="KJ231" s="67"/>
      <c r="KK231" s="67"/>
      <c r="KL231" s="67"/>
      <c r="KM231" s="67"/>
      <c r="KN231" s="67"/>
      <c r="KO231" s="67"/>
      <c r="KP231" s="67"/>
      <c r="KQ231" s="67"/>
      <c r="KR231" s="67"/>
      <c r="KS231" s="67"/>
      <c r="KT231" s="67"/>
      <c r="KU231" s="67"/>
      <c r="KV231" s="67"/>
      <c r="KW231" s="67"/>
      <c r="KX231" s="67"/>
      <c r="KY231" s="67"/>
      <c r="KZ231" s="67"/>
      <c r="LA231" s="67"/>
      <c r="LB231" s="67"/>
      <c r="LC231" s="67"/>
      <c r="LD231" s="67"/>
      <c r="LE231" s="67"/>
      <c r="LF231" s="67"/>
      <c r="LG231" s="67"/>
      <c r="LH231" s="67"/>
      <c r="LI231" s="67"/>
      <c r="LJ231" s="67"/>
      <c r="LK231" s="67"/>
      <c r="LL231" s="67"/>
      <c r="LM231" s="67"/>
      <c r="LN231" s="67"/>
      <c r="LO231" s="67"/>
      <c r="LP231" s="67"/>
      <c r="LQ231" s="67"/>
      <c r="LR231" s="67"/>
      <c r="LS231" s="67"/>
      <c r="LT231" s="67"/>
      <c r="LU231" s="67"/>
      <c r="LV231" s="67"/>
      <c r="LW231" s="67"/>
      <c r="LX231" s="67"/>
      <c r="LY231" s="67"/>
      <c r="LZ231" s="67"/>
      <c r="MA231" s="67"/>
      <c r="MB231" s="67"/>
    </row>
    <row r="232" spans="1:340" s="50" customFormat="1" ht="15.75" customHeight="1" thickBot="1">
      <c r="A232" s="44">
        <v>3</v>
      </c>
      <c r="B232" s="88" t="s">
        <v>291</v>
      </c>
      <c r="C232" s="85" t="s">
        <v>333</v>
      </c>
      <c r="D232" s="86" t="s">
        <v>22</v>
      </c>
      <c r="E232" s="130" t="s">
        <v>23</v>
      </c>
      <c r="F232" s="87" t="s">
        <v>24</v>
      </c>
      <c r="G232" s="139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153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  <c r="BK232" s="68"/>
      <c r="BL232" s="67"/>
      <c r="BM232" s="68"/>
      <c r="BN232" s="68"/>
      <c r="BO232" s="68"/>
      <c r="BP232" s="68"/>
      <c r="BQ232" s="68"/>
      <c r="BR232" s="68"/>
      <c r="BS232" s="68"/>
      <c r="BT232" s="68"/>
      <c r="BU232" s="68"/>
      <c r="BV232" s="68"/>
      <c r="BW232" s="68"/>
      <c r="BX232" s="68"/>
      <c r="BY232" s="68"/>
      <c r="BZ232" s="68"/>
      <c r="CA232" s="68"/>
      <c r="CB232" s="68"/>
      <c r="CC232" s="68"/>
      <c r="CD232" s="68"/>
      <c r="CE232" s="68"/>
      <c r="CF232" s="68"/>
      <c r="CG232" s="68"/>
      <c r="CH232" s="68"/>
      <c r="CI232" s="68"/>
      <c r="CJ232" s="68"/>
      <c r="CK232" s="68"/>
      <c r="CL232" s="68"/>
      <c r="CM232" s="68"/>
      <c r="CN232" s="68"/>
      <c r="CO232" s="68"/>
      <c r="CP232" s="68"/>
      <c r="CQ232" s="68"/>
      <c r="CR232" s="68"/>
      <c r="CS232" s="68"/>
      <c r="CT232" s="68"/>
      <c r="CU232" s="68"/>
      <c r="CV232" s="68"/>
      <c r="CW232" s="68"/>
      <c r="CX232" s="68"/>
      <c r="CY232" s="68"/>
      <c r="CZ232" s="68"/>
      <c r="DA232" s="68"/>
      <c r="DB232" s="68"/>
      <c r="DC232" s="68"/>
      <c r="DD232" s="68"/>
      <c r="DE232" s="68"/>
      <c r="DF232" s="68"/>
      <c r="DG232" s="68"/>
      <c r="DH232" s="68"/>
      <c r="DI232" s="68"/>
      <c r="DJ232" s="68"/>
      <c r="DK232" s="68"/>
      <c r="DL232" s="68"/>
      <c r="DM232" s="68"/>
      <c r="DN232" s="68"/>
      <c r="DO232" s="68"/>
      <c r="DP232" s="68"/>
      <c r="DQ232" s="68"/>
      <c r="DR232" s="68"/>
      <c r="DS232" s="68"/>
      <c r="DT232" s="68"/>
      <c r="DU232" s="68"/>
      <c r="DV232" s="68"/>
      <c r="DW232" s="68"/>
      <c r="DX232" s="68"/>
      <c r="DY232" s="68"/>
      <c r="DZ232" s="68"/>
      <c r="EA232" s="68"/>
      <c r="EB232" s="68"/>
      <c r="EC232" s="68"/>
      <c r="ED232" s="68"/>
      <c r="EE232" s="68"/>
      <c r="EF232" s="68"/>
      <c r="EG232" s="68"/>
      <c r="EH232" s="68"/>
      <c r="EI232" s="68"/>
      <c r="EJ232" s="68"/>
      <c r="EK232" s="68"/>
      <c r="EL232" s="68"/>
      <c r="EM232" s="68"/>
      <c r="EN232" s="68"/>
      <c r="EO232" s="68"/>
      <c r="EP232" s="68"/>
      <c r="EQ232" s="68"/>
      <c r="ER232" s="68"/>
      <c r="ES232" s="68"/>
      <c r="ET232" s="68"/>
      <c r="EU232" s="68"/>
      <c r="EV232" s="68"/>
      <c r="EW232" s="68"/>
      <c r="EX232" s="68"/>
      <c r="EY232" s="68"/>
      <c r="EZ232" s="68"/>
      <c r="FA232" s="67"/>
      <c r="FB232" s="68"/>
      <c r="FC232" s="68"/>
      <c r="FD232" s="68"/>
      <c r="FE232" s="68"/>
      <c r="FF232" s="68"/>
      <c r="FG232" s="68"/>
      <c r="FH232" s="68"/>
      <c r="FI232" s="68"/>
      <c r="FJ232" s="68"/>
      <c r="FK232" s="68"/>
      <c r="FL232" s="68"/>
      <c r="FM232" s="68"/>
      <c r="FN232" s="68"/>
      <c r="FO232" s="68"/>
      <c r="FP232" s="68" t="s">
        <v>25</v>
      </c>
      <c r="FQ232" s="68" t="s">
        <v>28</v>
      </c>
      <c r="FR232" s="68" t="s">
        <v>26</v>
      </c>
      <c r="FS232" s="159"/>
      <c r="FT232" s="68"/>
      <c r="FU232" s="68"/>
      <c r="FV232" s="68"/>
      <c r="FW232" s="68"/>
      <c r="FX232" s="68"/>
      <c r="FY232" s="68"/>
      <c r="FZ232" s="68"/>
      <c r="GA232" s="68"/>
      <c r="GB232" s="68"/>
      <c r="GC232" s="68"/>
      <c r="GD232" s="68"/>
      <c r="GE232" s="68"/>
      <c r="GF232" s="68"/>
      <c r="GG232" s="68"/>
      <c r="GH232" s="68"/>
      <c r="GI232" s="68"/>
      <c r="GJ232" s="68"/>
      <c r="GK232" s="68"/>
      <c r="GL232" s="68" t="s">
        <v>41</v>
      </c>
      <c r="GM232" s="68"/>
      <c r="GN232" s="68"/>
      <c r="GO232" s="68"/>
      <c r="GP232" s="68"/>
      <c r="GQ232" s="68"/>
      <c r="GR232" s="68"/>
      <c r="GS232" s="68"/>
      <c r="GT232" s="68"/>
      <c r="GU232" s="68"/>
      <c r="GV232" s="67"/>
      <c r="GW232" s="68"/>
      <c r="GX232" s="68"/>
      <c r="GY232" s="68"/>
      <c r="GZ232" s="68"/>
      <c r="HA232" s="68"/>
      <c r="HB232" s="68"/>
      <c r="HC232" s="68"/>
      <c r="HD232" s="68"/>
      <c r="HE232" s="68"/>
      <c r="HF232" s="68"/>
      <c r="HG232" s="68"/>
      <c r="HH232" s="68"/>
      <c r="HI232" s="68"/>
      <c r="HJ232" s="68"/>
      <c r="HK232" s="68"/>
      <c r="HL232" s="68"/>
      <c r="HM232" s="68"/>
      <c r="HN232" s="68" t="s">
        <v>57</v>
      </c>
      <c r="HO232" s="68" t="s">
        <v>37</v>
      </c>
      <c r="HP232" s="67"/>
      <c r="HQ232" s="67"/>
      <c r="HR232" s="67"/>
      <c r="HS232" s="67"/>
      <c r="HT232" s="67"/>
      <c r="HU232" s="67"/>
      <c r="HV232" s="67"/>
      <c r="HW232" s="67"/>
      <c r="HX232" s="67"/>
      <c r="HY232" s="67"/>
      <c r="HZ232" s="67"/>
      <c r="IA232" s="67"/>
      <c r="IB232" s="67"/>
      <c r="IC232" s="67"/>
      <c r="ID232" s="67"/>
      <c r="IE232" s="67"/>
      <c r="IF232" s="67"/>
      <c r="IG232" s="67"/>
      <c r="IH232" s="67"/>
      <c r="II232" s="67"/>
      <c r="IJ232" s="67"/>
      <c r="IK232" s="67"/>
      <c r="IL232" s="67"/>
      <c r="IM232" s="67"/>
      <c r="IN232" s="67"/>
      <c r="IO232" s="67"/>
      <c r="IP232" s="67"/>
      <c r="IQ232" s="67"/>
      <c r="IR232" s="67"/>
      <c r="IS232" s="67"/>
      <c r="IT232" s="67"/>
      <c r="IU232" s="67"/>
      <c r="IV232" s="67"/>
      <c r="IW232" s="67"/>
      <c r="IX232" s="67"/>
      <c r="IY232" s="67"/>
      <c r="IZ232" s="67"/>
      <c r="JA232" s="67"/>
      <c r="JB232" s="67"/>
      <c r="JC232" s="67"/>
      <c r="JD232" s="67"/>
      <c r="JE232" s="67"/>
      <c r="JF232" s="67"/>
      <c r="JG232" s="67"/>
      <c r="JH232" s="67"/>
      <c r="JI232" s="67"/>
      <c r="JJ232" s="67"/>
      <c r="JK232" s="67"/>
      <c r="JL232" s="67"/>
      <c r="JM232" s="67"/>
      <c r="JN232" s="67"/>
      <c r="JO232" s="67"/>
      <c r="JP232" s="67"/>
      <c r="JQ232" s="67"/>
      <c r="JR232" s="67"/>
      <c r="JS232" s="67"/>
      <c r="JT232" s="67"/>
      <c r="JU232" s="67"/>
      <c r="JV232" s="67"/>
      <c r="JW232" s="67"/>
      <c r="JX232" s="67"/>
      <c r="JY232" s="67"/>
      <c r="JZ232" s="67"/>
      <c r="KA232" s="67"/>
      <c r="KB232" s="67"/>
      <c r="KC232" s="67"/>
      <c r="KD232" s="67"/>
      <c r="KE232" s="67"/>
      <c r="KF232" s="67"/>
      <c r="KG232" s="67"/>
      <c r="KH232" s="67"/>
      <c r="KI232" s="67"/>
      <c r="KJ232" s="67"/>
      <c r="KK232" s="67"/>
      <c r="KL232" s="67"/>
      <c r="KM232" s="67"/>
      <c r="KN232" s="67"/>
      <c r="KO232" s="67"/>
      <c r="KP232" s="67"/>
      <c r="KQ232" s="67"/>
      <c r="KR232" s="67"/>
      <c r="KS232" s="67"/>
      <c r="KT232" s="67"/>
      <c r="KU232" s="67"/>
      <c r="KV232" s="67"/>
      <c r="KW232" s="67"/>
      <c r="KX232" s="67"/>
      <c r="KY232" s="67"/>
      <c r="KZ232" s="67"/>
      <c r="LA232" s="67"/>
      <c r="LB232" s="67"/>
      <c r="LC232" s="67"/>
      <c r="LD232" s="67"/>
      <c r="LE232" s="67"/>
      <c r="LF232" s="67"/>
      <c r="LG232" s="67"/>
      <c r="LH232" s="67"/>
      <c r="LI232" s="67"/>
      <c r="LJ232" s="67"/>
      <c r="LK232" s="67"/>
      <c r="LL232" s="67"/>
      <c r="LM232" s="67"/>
      <c r="LN232" s="67"/>
      <c r="LO232" s="67"/>
      <c r="LP232" s="67"/>
      <c r="LQ232" s="67"/>
      <c r="LR232" s="67"/>
      <c r="LS232" s="67"/>
      <c r="LT232" s="67"/>
      <c r="LU232" s="67"/>
      <c r="LV232" s="67"/>
      <c r="LW232" s="67"/>
      <c r="LX232" s="67"/>
      <c r="LY232" s="67"/>
      <c r="LZ232" s="67"/>
      <c r="MA232" s="67"/>
      <c r="MB232" s="67"/>
    </row>
    <row r="233" spans="1:340" s="50" customFormat="1" ht="15.75" hidden="1" customHeight="1" thickBot="1">
      <c r="A233" s="44">
        <v>3</v>
      </c>
      <c r="B233" s="88" t="s">
        <v>334</v>
      </c>
      <c r="C233" s="85" t="s">
        <v>335</v>
      </c>
      <c r="D233" s="86" t="s">
        <v>45</v>
      </c>
      <c r="E233" s="130" t="s">
        <v>46</v>
      </c>
      <c r="F233" s="87" t="s">
        <v>24</v>
      </c>
      <c r="G233" s="139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153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  <c r="BK233" s="68"/>
      <c r="BL233" s="68"/>
      <c r="BM233" s="68"/>
      <c r="BN233" s="68"/>
      <c r="BO233" s="68"/>
      <c r="BP233" s="68"/>
      <c r="BQ233" s="68"/>
      <c r="BR233" s="68"/>
      <c r="BS233" s="68"/>
      <c r="BT233" s="68"/>
      <c r="BU233" s="68"/>
      <c r="BV233" s="68"/>
      <c r="BW233" s="68"/>
      <c r="BX233" s="68"/>
      <c r="BY233" s="68"/>
      <c r="BZ233" s="68"/>
      <c r="CA233" s="68"/>
      <c r="CB233" s="68"/>
      <c r="CC233" s="68"/>
      <c r="CD233" s="68"/>
      <c r="CE233" s="68"/>
      <c r="CF233" s="68"/>
      <c r="CG233" s="68"/>
      <c r="CH233" s="68"/>
      <c r="CI233" s="68"/>
      <c r="CJ233" s="68"/>
      <c r="CK233" s="68"/>
      <c r="CL233" s="68"/>
      <c r="CM233" s="68"/>
      <c r="CN233" s="68"/>
      <c r="CO233" s="68"/>
      <c r="CP233" s="68"/>
      <c r="CQ233" s="68"/>
      <c r="CR233" s="68"/>
      <c r="CS233" s="68"/>
      <c r="CT233" s="68"/>
      <c r="CU233" s="68"/>
      <c r="CV233" s="68"/>
      <c r="CW233" s="68"/>
      <c r="CX233" s="68"/>
      <c r="CY233" s="68"/>
      <c r="CZ233" s="68"/>
      <c r="DA233" s="68"/>
      <c r="DB233" s="68"/>
      <c r="DC233" s="68"/>
      <c r="DD233" s="68"/>
      <c r="DE233" s="68"/>
      <c r="DF233" s="68"/>
      <c r="DG233" s="68"/>
      <c r="DH233" s="68"/>
      <c r="DI233" s="68"/>
      <c r="DJ233" s="68"/>
      <c r="DK233" s="68"/>
      <c r="DL233" s="68"/>
      <c r="DM233" s="68"/>
      <c r="DN233" s="68"/>
      <c r="DO233" s="68"/>
      <c r="DP233" s="68"/>
      <c r="DQ233" s="68"/>
      <c r="DR233" s="68"/>
      <c r="DS233" s="68"/>
      <c r="DT233" s="68"/>
      <c r="DU233" s="68"/>
      <c r="DV233" s="68"/>
      <c r="DW233" s="68"/>
      <c r="DX233" s="68"/>
      <c r="DY233" s="68"/>
      <c r="DZ233" s="68"/>
      <c r="EA233" s="68"/>
      <c r="EB233" s="68"/>
      <c r="EC233" s="68"/>
      <c r="ED233" s="68"/>
      <c r="EE233" s="68"/>
      <c r="EF233" s="68"/>
      <c r="EG233" s="68"/>
      <c r="EH233" s="68"/>
      <c r="EI233" s="68"/>
      <c r="EJ233" s="68"/>
      <c r="EK233" s="68"/>
      <c r="EL233" s="68"/>
      <c r="EM233" s="68"/>
      <c r="EN233" s="68"/>
      <c r="EO233" s="68"/>
      <c r="EP233" s="68"/>
      <c r="EQ233" s="68"/>
      <c r="ER233" s="68"/>
      <c r="ES233" s="68"/>
      <c r="ET233" s="68"/>
      <c r="EU233" s="68"/>
      <c r="EV233" s="68"/>
      <c r="EW233" s="68"/>
      <c r="EX233" s="68"/>
      <c r="EY233" s="68"/>
      <c r="EZ233" s="68"/>
      <c r="FA233" s="68"/>
      <c r="FB233" s="68"/>
      <c r="FC233" s="68"/>
      <c r="FD233" s="68"/>
      <c r="FE233" s="68"/>
      <c r="FF233" s="68"/>
      <c r="FG233" s="68"/>
      <c r="FH233" s="68"/>
      <c r="FI233" s="68"/>
      <c r="FJ233" s="68"/>
      <c r="FK233" s="68"/>
      <c r="FL233" s="68"/>
      <c r="FM233" s="68"/>
      <c r="FN233" s="68"/>
      <c r="FO233" s="68"/>
      <c r="FP233" s="68"/>
      <c r="FQ233" s="68"/>
      <c r="FR233" s="68"/>
      <c r="FS233" s="68"/>
      <c r="FT233" s="68"/>
      <c r="FU233" s="68"/>
      <c r="FV233" s="68"/>
      <c r="FW233" s="68"/>
      <c r="FX233" s="68"/>
      <c r="FY233" s="68"/>
      <c r="FZ233" s="68"/>
      <c r="GA233" s="68"/>
      <c r="GB233" s="68"/>
      <c r="GC233" s="68"/>
      <c r="GD233" s="68"/>
      <c r="GE233" s="68"/>
      <c r="GF233" s="68"/>
      <c r="GG233" s="68"/>
      <c r="GH233" s="68"/>
      <c r="GI233" s="68"/>
      <c r="GJ233" s="68"/>
      <c r="GK233" s="68"/>
      <c r="GL233" s="68"/>
      <c r="GM233" s="68"/>
      <c r="GN233" s="68"/>
      <c r="GO233" s="68"/>
      <c r="GP233" s="68"/>
      <c r="GQ233" s="68"/>
      <c r="GR233" s="68"/>
      <c r="GS233" s="68"/>
      <c r="GT233" s="68" t="s">
        <v>25</v>
      </c>
      <c r="GU233" s="68"/>
      <c r="GV233" s="68"/>
      <c r="GW233" s="68"/>
      <c r="GX233" s="68" t="s">
        <v>26</v>
      </c>
      <c r="GY233" s="68"/>
      <c r="GZ233" s="68"/>
      <c r="HA233" s="68"/>
      <c r="HB233" s="68"/>
      <c r="HC233" s="68"/>
      <c r="HD233" s="68"/>
      <c r="HE233" s="68"/>
      <c r="HF233" s="68"/>
      <c r="HG233" s="68"/>
      <c r="HH233" s="68"/>
      <c r="HI233" s="68" t="s">
        <v>41</v>
      </c>
      <c r="HJ233" s="68"/>
      <c r="HK233" s="68"/>
      <c r="HL233" s="68"/>
      <c r="HM233" s="68"/>
      <c r="HN233" s="68"/>
      <c r="HO233" s="68" t="s">
        <v>57</v>
      </c>
      <c r="HP233" s="68" t="s">
        <v>37</v>
      </c>
      <c r="HQ233" s="67"/>
      <c r="HR233" s="67"/>
      <c r="HS233" s="67"/>
      <c r="HT233" s="67"/>
      <c r="HU233" s="67"/>
      <c r="HV233" s="67"/>
      <c r="HW233" s="67"/>
      <c r="HX233" s="67"/>
      <c r="HY233" s="67"/>
      <c r="HZ233" s="67"/>
      <c r="IA233" s="67"/>
      <c r="IB233" s="67"/>
      <c r="IC233" s="67"/>
      <c r="ID233" s="67"/>
      <c r="IE233" s="67"/>
      <c r="IF233" s="67"/>
      <c r="IG233" s="67"/>
      <c r="IH233" s="67"/>
      <c r="II233" s="67"/>
      <c r="IJ233" s="67"/>
      <c r="IK233" s="67"/>
      <c r="IL233" s="67"/>
      <c r="IM233" s="67"/>
      <c r="IN233" s="67"/>
      <c r="IO233" s="67"/>
      <c r="IP233" s="67"/>
      <c r="IQ233" s="67"/>
      <c r="IR233" s="67"/>
      <c r="IS233" s="67"/>
      <c r="IT233" s="67"/>
      <c r="IU233" s="67"/>
      <c r="IV233" s="67"/>
      <c r="IW233" s="67"/>
      <c r="IX233" s="67"/>
      <c r="IY233" s="67"/>
      <c r="IZ233" s="67"/>
      <c r="JA233" s="67"/>
      <c r="JB233" s="67"/>
      <c r="JC233" s="67"/>
      <c r="JD233" s="67"/>
      <c r="JE233" s="67"/>
      <c r="JF233" s="67"/>
      <c r="JG233" s="67"/>
      <c r="JH233" s="67"/>
      <c r="JI233" s="67"/>
      <c r="JJ233" s="67"/>
      <c r="JK233" s="67"/>
      <c r="JL233" s="67"/>
      <c r="JM233" s="67"/>
      <c r="JN233" s="67"/>
      <c r="JO233" s="67"/>
      <c r="JP233" s="67"/>
      <c r="JQ233" s="67"/>
      <c r="JR233" s="67"/>
      <c r="JS233" s="67"/>
      <c r="JT233" s="67"/>
      <c r="JU233" s="67"/>
      <c r="JV233" s="67"/>
      <c r="JW233" s="67"/>
      <c r="JX233" s="67"/>
      <c r="JY233" s="67"/>
      <c r="JZ233" s="67"/>
      <c r="KA233" s="67"/>
      <c r="KB233" s="67"/>
      <c r="KC233" s="67"/>
      <c r="KD233" s="67"/>
      <c r="KE233" s="67"/>
      <c r="KF233" s="67"/>
      <c r="KG233" s="67"/>
      <c r="KH233" s="67"/>
      <c r="KI233" s="67"/>
      <c r="KJ233" s="67"/>
      <c r="KK233" s="67"/>
      <c r="KL233" s="67"/>
      <c r="KM233" s="67"/>
      <c r="KN233" s="67"/>
      <c r="KO233" s="67"/>
      <c r="KP233" s="67"/>
      <c r="KQ233" s="67"/>
      <c r="KR233" s="67"/>
      <c r="KS233" s="67"/>
      <c r="KT233" s="67"/>
      <c r="KU233" s="67"/>
      <c r="KV233" s="67"/>
      <c r="KW233" s="67"/>
      <c r="KX233" s="67"/>
      <c r="KY233" s="67"/>
      <c r="KZ233" s="67"/>
      <c r="LA233" s="67"/>
      <c r="LB233" s="67"/>
      <c r="LC233" s="67"/>
      <c r="LD233" s="67"/>
      <c r="LE233" s="67"/>
      <c r="LF233" s="67"/>
      <c r="LG233" s="67"/>
      <c r="LH233" s="67"/>
      <c r="LI233" s="67"/>
      <c r="LJ233" s="67"/>
      <c r="LK233" s="67"/>
      <c r="LL233" s="67"/>
      <c r="LM233" s="67"/>
      <c r="LN233" s="67"/>
      <c r="LO233" s="67"/>
      <c r="LP233" s="67"/>
      <c r="LQ233" s="67"/>
      <c r="LR233" s="67"/>
      <c r="LS233" s="67"/>
      <c r="LT233" s="67"/>
      <c r="LU233" s="67"/>
      <c r="LV233" s="67"/>
      <c r="LW233" s="67"/>
      <c r="LX233" s="67"/>
      <c r="LY233" s="67"/>
      <c r="LZ233" s="67"/>
      <c r="MA233" s="67"/>
      <c r="MB233" s="67"/>
    </row>
    <row r="234" spans="1:340" s="50" customFormat="1" ht="15.75" hidden="1" thickBot="1">
      <c r="A234" s="44">
        <v>3</v>
      </c>
      <c r="B234" s="88" t="s">
        <v>33</v>
      </c>
      <c r="C234" s="85" t="s">
        <v>34</v>
      </c>
      <c r="D234" s="86" t="s">
        <v>35</v>
      </c>
      <c r="E234" s="130" t="s">
        <v>36</v>
      </c>
      <c r="F234" s="87" t="s">
        <v>24</v>
      </c>
      <c r="G234" s="139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  <c r="BJ234" s="68"/>
      <c r="BK234" s="68"/>
      <c r="BL234" s="68"/>
      <c r="BM234" s="68"/>
      <c r="BN234" s="68"/>
      <c r="BO234" s="68"/>
      <c r="BP234" s="68"/>
      <c r="BQ234" s="68"/>
      <c r="BR234" s="68"/>
      <c r="BS234" s="68"/>
      <c r="BT234" s="68"/>
      <c r="BU234" s="68"/>
      <c r="BV234" s="68"/>
      <c r="BW234" s="68"/>
      <c r="BX234" s="68"/>
      <c r="BY234" s="68"/>
      <c r="BZ234" s="68"/>
      <c r="CA234" s="68"/>
      <c r="CB234" s="68"/>
      <c r="CC234" s="68"/>
      <c r="CD234" s="68"/>
      <c r="CE234" s="68"/>
      <c r="CF234" s="68"/>
      <c r="CG234" s="68"/>
      <c r="CH234" s="68"/>
      <c r="CI234" s="68"/>
      <c r="CJ234" s="68"/>
      <c r="CK234" s="68"/>
      <c r="CL234" s="68"/>
      <c r="CM234" s="68"/>
      <c r="CN234" s="68"/>
      <c r="CO234" s="68"/>
      <c r="CP234" s="68"/>
      <c r="CQ234" s="68"/>
      <c r="CR234" s="68"/>
      <c r="CS234" s="68"/>
      <c r="CT234" s="68"/>
      <c r="CU234" s="68"/>
      <c r="CV234" s="68"/>
      <c r="CW234" s="68"/>
      <c r="CX234" s="68"/>
      <c r="CY234" s="68"/>
      <c r="CZ234" s="68"/>
      <c r="DA234" s="68"/>
      <c r="DB234" s="68"/>
      <c r="DC234" s="68"/>
      <c r="DD234" s="68"/>
      <c r="DE234" s="68"/>
      <c r="DF234" s="68"/>
      <c r="DG234" s="68"/>
      <c r="DH234" s="68"/>
      <c r="DI234" s="68"/>
      <c r="DJ234" s="68"/>
      <c r="DK234" s="68"/>
      <c r="DL234" s="68"/>
      <c r="DM234" s="68"/>
      <c r="DN234" s="68"/>
      <c r="DO234" s="68"/>
      <c r="DP234" s="68"/>
      <c r="DQ234" s="68"/>
      <c r="DR234" s="68"/>
      <c r="DS234" s="68"/>
      <c r="DT234" s="68"/>
      <c r="DU234" s="68"/>
      <c r="DV234" s="68"/>
      <c r="DW234" s="68"/>
      <c r="DX234" s="68"/>
      <c r="DY234" s="68"/>
      <c r="DZ234" s="68"/>
      <c r="EA234" s="68"/>
      <c r="EB234" s="68"/>
      <c r="EC234" s="68"/>
      <c r="ED234" s="68"/>
      <c r="EE234" s="68"/>
      <c r="EF234" s="68"/>
      <c r="EG234" s="68"/>
      <c r="EH234" s="68"/>
      <c r="EI234" s="68"/>
      <c r="EJ234" s="68"/>
      <c r="EK234" s="68"/>
      <c r="EL234" s="68"/>
      <c r="EM234" s="68"/>
      <c r="EN234" s="68"/>
      <c r="EO234" s="68"/>
      <c r="EP234" s="68"/>
      <c r="EQ234" s="68"/>
      <c r="ER234" s="68"/>
      <c r="ES234" s="68"/>
      <c r="ET234" s="68"/>
      <c r="EU234" s="68" t="s">
        <v>25</v>
      </c>
      <c r="EV234" s="68"/>
      <c r="EW234" s="68"/>
      <c r="EX234" s="68"/>
      <c r="EY234" s="68" t="s">
        <v>26</v>
      </c>
      <c r="EZ234" s="68"/>
      <c r="FA234" s="68"/>
      <c r="FB234" s="68"/>
      <c r="FC234" s="68"/>
      <c r="FD234" s="68"/>
      <c r="FE234" s="68"/>
      <c r="FF234" s="68"/>
      <c r="FG234" s="68"/>
      <c r="FH234" s="68"/>
      <c r="FI234" s="68"/>
      <c r="FJ234" s="68"/>
      <c r="FK234" s="68"/>
      <c r="FL234" s="68"/>
      <c r="FM234" s="68"/>
      <c r="FN234" s="68" t="s">
        <v>27</v>
      </c>
      <c r="FO234" s="68"/>
      <c r="FP234" s="68"/>
      <c r="FQ234" s="68"/>
      <c r="FR234" s="68"/>
      <c r="FS234" s="68"/>
      <c r="FT234" s="68"/>
      <c r="FU234" s="68"/>
      <c r="FV234" s="68"/>
      <c r="FW234" s="68"/>
      <c r="FX234" s="68"/>
      <c r="FY234" s="68"/>
      <c r="FZ234" s="68"/>
      <c r="GA234" s="68"/>
      <c r="GB234" s="68"/>
      <c r="GC234" s="68"/>
      <c r="GD234" s="68"/>
      <c r="GE234" s="68"/>
      <c r="GF234" s="68"/>
      <c r="GG234" s="68"/>
      <c r="GH234" s="68"/>
      <c r="GI234" s="68"/>
      <c r="GJ234" s="68"/>
      <c r="GK234" s="68"/>
      <c r="GL234" s="68"/>
      <c r="GM234" s="68"/>
      <c r="GN234" s="68"/>
      <c r="GO234" s="68"/>
      <c r="GP234" s="68"/>
      <c r="GQ234" s="68"/>
      <c r="GR234" s="68" t="s">
        <v>27</v>
      </c>
      <c r="GS234" s="68"/>
      <c r="GT234" s="68"/>
      <c r="GU234" s="68"/>
      <c r="GV234" s="68" t="s">
        <v>26</v>
      </c>
      <c r="GW234" s="68"/>
      <c r="GX234" s="68"/>
      <c r="GY234" s="68"/>
      <c r="GZ234" s="68"/>
      <c r="HA234" s="68"/>
      <c r="HB234" s="68"/>
      <c r="HC234" s="68"/>
      <c r="HD234" s="68" t="s">
        <v>27</v>
      </c>
      <c r="HE234" s="68"/>
      <c r="HF234" s="68"/>
      <c r="HG234" s="68" t="s">
        <v>26</v>
      </c>
      <c r="HH234" s="68"/>
      <c r="HI234" s="68"/>
      <c r="HJ234" s="68"/>
      <c r="HK234" s="68"/>
      <c r="HL234" s="68"/>
      <c r="HM234" s="68" t="s">
        <v>27</v>
      </c>
      <c r="HN234" s="68"/>
      <c r="HO234" s="68" t="s">
        <v>26</v>
      </c>
      <c r="HP234" s="68" t="s">
        <v>27</v>
      </c>
      <c r="HQ234" s="68"/>
      <c r="HR234" s="68" t="s">
        <v>37</v>
      </c>
      <c r="HS234" s="67"/>
      <c r="HT234" s="67"/>
      <c r="HU234" s="67"/>
      <c r="HV234" s="67"/>
      <c r="HW234" s="67"/>
      <c r="HX234" s="67"/>
      <c r="HY234" s="67"/>
      <c r="HZ234" s="67"/>
      <c r="IA234" s="67"/>
      <c r="IB234" s="67"/>
      <c r="IC234" s="67"/>
      <c r="ID234" s="67"/>
      <c r="IE234" s="67"/>
      <c r="IF234" s="67"/>
      <c r="IG234" s="67"/>
      <c r="IH234" s="67"/>
      <c r="II234" s="67"/>
      <c r="IJ234" s="67"/>
      <c r="IK234" s="67"/>
      <c r="IL234" s="67"/>
      <c r="IM234" s="67"/>
      <c r="IN234" s="67"/>
      <c r="IO234" s="67"/>
      <c r="IP234" s="67"/>
      <c r="IQ234" s="67"/>
      <c r="IR234" s="67"/>
      <c r="IS234" s="67"/>
      <c r="IT234" s="67"/>
      <c r="IU234" s="67"/>
      <c r="IV234" s="67"/>
      <c r="IW234" s="67"/>
      <c r="IX234" s="67"/>
      <c r="IY234" s="67"/>
      <c r="IZ234" s="67"/>
      <c r="JA234" s="67"/>
      <c r="JB234" s="67"/>
      <c r="JC234" s="67"/>
      <c r="JD234" s="67"/>
      <c r="JE234" s="67"/>
      <c r="JF234" s="67"/>
      <c r="JG234" s="67"/>
      <c r="JH234" s="67"/>
      <c r="JI234" s="67"/>
      <c r="JJ234" s="67"/>
      <c r="JK234" s="67"/>
      <c r="JL234" s="67"/>
      <c r="JM234" s="67"/>
      <c r="JN234" s="67"/>
      <c r="JO234" s="67"/>
      <c r="JP234" s="67"/>
      <c r="JQ234" s="67"/>
      <c r="JR234" s="67"/>
      <c r="JS234" s="67"/>
      <c r="JT234" s="67"/>
      <c r="JU234" s="67"/>
      <c r="JV234" s="67"/>
      <c r="JW234" s="67"/>
      <c r="JX234" s="67"/>
      <c r="JY234" s="67"/>
      <c r="JZ234" s="67"/>
      <c r="KA234" s="67"/>
      <c r="KB234" s="67"/>
      <c r="KC234" s="67"/>
      <c r="KD234" s="67"/>
      <c r="KE234" s="67"/>
      <c r="KF234" s="67"/>
      <c r="KG234" s="67"/>
      <c r="KH234" s="67"/>
      <c r="KI234" s="67"/>
      <c r="KJ234" s="67"/>
      <c r="KK234" s="67"/>
      <c r="KL234" s="67"/>
      <c r="KM234" s="67"/>
      <c r="KN234" s="67"/>
      <c r="KO234" s="67"/>
      <c r="KP234" s="67"/>
      <c r="KQ234" s="67"/>
      <c r="KR234" s="67"/>
      <c r="KS234" s="67"/>
      <c r="KT234" s="67"/>
      <c r="KU234" s="67"/>
      <c r="KV234" s="67"/>
      <c r="KW234" s="67"/>
      <c r="KX234" s="67"/>
      <c r="KY234" s="67"/>
      <c r="KZ234" s="67"/>
      <c r="LA234" s="67"/>
      <c r="LB234" s="67"/>
      <c r="LC234" s="67"/>
      <c r="LD234" s="67"/>
      <c r="LE234" s="67"/>
      <c r="LF234" s="67"/>
      <c r="LG234" s="67"/>
      <c r="LH234" s="67"/>
      <c r="LI234" s="67"/>
      <c r="LJ234" s="67"/>
      <c r="LK234" s="67"/>
      <c r="LL234" s="67"/>
      <c r="LM234" s="67"/>
      <c r="LN234" s="67"/>
      <c r="LO234" s="67"/>
      <c r="LP234" s="67"/>
      <c r="LQ234" s="67"/>
      <c r="LR234" s="67"/>
      <c r="LS234" s="67"/>
      <c r="LT234" s="67"/>
      <c r="LU234" s="67"/>
      <c r="LV234" s="67"/>
      <c r="LW234" s="67"/>
      <c r="LX234" s="67"/>
      <c r="LY234" s="67"/>
      <c r="LZ234" s="67"/>
      <c r="MA234" s="67"/>
      <c r="MB234" s="67"/>
    </row>
    <row r="235" spans="1:340" s="50" customFormat="1" ht="15.75" hidden="1" customHeight="1" thickBot="1">
      <c r="A235" s="44">
        <v>3</v>
      </c>
      <c r="B235" s="88" t="s">
        <v>155</v>
      </c>
      <c r="C235" s="85" t="s">
        <v>336</v>
      </c>
      <c r="D235" s="86" t="s">
        <v>35</v>
      </c>
      <c r="E235" s="130" t="s">
        <v>36</v>
      </c>
      <c r="F235" s="87" t="s">
        <v>24</v>
      </c>
      <c r="G235" s="139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153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159"/>
      <c r="BI235" s="68"/>
      <c r="BJ235" s="68"/>
      <c r="BK235" s="67"/>
      <c r="BL235" s="68"/>
      <c r="BM235" s="68"/>
      <c r="BN235" s="68"/>
      <c r="BO235" s="68"/>
      <c r="BP235" s="68"/>
      <c r="BQ235" s="159"/>
      <c r="BR235" s="68"/>
      <c r="BS235" s="68"/>
      <c r="BT235" s="68"/>
      <c r="BU235" s="68"/>
      <c r="BV235" s="68"/>
      <c r="BW235" s="68"/>
      <c r="BX235" s="68"/>
      <c r="BY235" s="68"/>
      <c r="BZ235" s="68"/>
      <c r="CA235" s="68"/>
      <c r="CB235" s="67"/>
      <c r="CC235" s="68"/>
      <c r="CD235" s="68"/>
      <c r="CE235" s="68"/>
      <c r="CF235" s="68"/>
      <c r="CG235" s="68"/>
      <c r="CH235" s="68"/>
      <c r="CI235" s="68"/>
      <c r="CJ235" s="68"/>
      <c r="CK235" s="68"/>
      <c r="CL235" s="68"/>
      <c r="CM235" s="68"/>
      <c r="CN235" s="68"/>
      <c r="CO235" s="68"/>
      <c r="CP235" s="68"/>
      <c r="CQ235" s="68"/>
      <c r="CR235" s="68"/>
      <c r="CS235" s="68"/>
      <c r="CT235" s="68"/>
      <c r="CU235" s="68"/>
      <c r="CV235" s="68"/>
      <c r="CW235" s="68"/>
      <c r="CX235" s="68"/>
      <c r="CY235" s="68"/>
      <c r="CZ235" s="68"/>
      <c r="DA235" s="68"/>
      <c r="DB235" s="68"/>
      <c r="DC235" s="68"/>
      <c r="DD235" s="68"/>
      <c r="DE235" s="68"/>
      <c r="DF235" s="68"/>
      <c r="DG235" s="68"/>
      <c r="DH235" s="68"/>
      <c r="DI235" s="68"/>
      <c r="DJ235" s="68"/>
      <c r="DK235" s="68"/>
      <c r="DL235" s="68"/>
      <c r="DM235" s="68"/>
      <c r="DN235" s="68"/>
      <c r="DO235" s="68"/>
      <c r="DP235" s="68"/>
      <c r="DQ235" s="68"/>
      <c r="DR235" s="68"/>
      <c r="DS235" s="68"/>
      <c r="DT235" s="68"/>
      <c r="DU235" s="68"/>
      <c r="DV235" s="68"/>
      <c r="DW235" s="68"/>
      <c r="DX235" s="68"/>
      <c r="DY235" s="68"/>
      <c r="DZ235" s="68"/>
      <c r="EA235" s="68"/>
      <c r="EB235" s="68"/>
      <c r="EC235" s="68"/>
      <c r="ED235" s="68"/>
      <c r="EE235" s="68"/>
      <c r="EF235" s="68"/>
      <c r="EG235" s="68"/>
      <c r="EH235" s="68"/>
      <c r="EI235" s="68"/>
      <c r="EJ235" s="68"/>
      <c r="EK235" s="68"/>
      <c r="EL235" s="68"/>
      <c r="EM235" s="68"/>
      <c r="EN235" s="68"/>
      <c r="EO235" s="68"/>
      <c r="EP235" s="68"/>
      <c r="EQ235" s="68"/>
      <c r="ER235" s="68"/>
      <c r="ES235" s="68"/>
      <c r="ET235" s="68"/>
      <c r="EU235" s="68"/>
      <c r="EV235" s="68"/>
      <c r="EW235" s="68"/>
      <c r="EX235" s="68"/>
      <c r="EY235" s="68"/>
      <c r="EZ235" s="68"/>
      <c r="FA235" s="68"/>
      <c r="FB235" s="68"/>
      <c r="FC235" s="68"/>
      <c r="FD235" s="68"/>
      <c r="FE235" s="68"/>
      <c r="FF235" s="68"/>
      <c r="FG235" s="68"/>
      <c r="FH235" s="68"/>
      <c r="FI235" s="68"/>
      <c r="FJ235" s="68"/>
      <c r="FK235" s="68"/>
      <c r="FL235" s="68"/>
      <c r="FM235" s="68"/>
      <c r="FN235" s="68" t="s">
        <v>25</v>
      </c>
      <c r="FO235" s="68"/>
      <c r="FP235" s="68"/>
      <c r="FQ235" s="68"/>
      <c r="FR235" s="68"/>
      <c r="FS235" s="68" t="s">
        <v>28</v>
      </c>
      <c r="FT235" s="68"/>
      <c r="FU235" s="159"/>
      <c r="FV235" s="68" t="s">
        <v>26</v>
      </c>
      <c r="FW235" s="68"/>
      <c r="FX235" s="68"/>
      <c r="FY235" s="68"/>
      <c r="FZ235" s="68"/>
      <c r="GA235" s="68"/>
      <c r="GB235" s="68"/>
      <c r="GC235" s="68"/>
      <c r="GD235" s="68"/>
      <c r="GE235" s="159"/>
      <c r="GF235" s="68"/>
      <c r="GG235" s="68"/>
      <c r="GH235" s="68"/>
      <c r="GI235" s="68"/>
      <c r="GJ235" s="68"/>
      <c r="GK235" s="68"/>
      <c r="GL235" s="68" t="s">
        <v>27</v>
      </c>
      <c r="GM235" s="68"/>
      <c r="GN235" s="68"/>
      <c r="GO235" s="68" t="s">
        <v>26</v>
      </c>
      <c r="GP235" s="68" t="s">
        <v>26</v>
      </c>
      <c r="GQ235" s="68" t="s">
        <v>26</v>
      </c>
      <c r="GR235" s="68"/>
      <c r="GS235" s="68"/>
      <c r="GT235" s="68"/>
      <c r="GU235" s="68"/>
      <c r="GV235" s="68"/>
      <c r="GW235" s="68"/>
      <c r="GX235" s="68"/>
      <c r="GY235" s="68" t="s">
        <v>27</v>
      </c>
      <c r="GZ235" s="68"/>
      <c r="HA235" s="68"/>
      <c r="HB235" s="68"/>
      <c r="HC235" s="68"/>
      <c r="HD235" s="68"/>
      <c r="HE235" s="68"/>
      <c r="HF235" s="68" t="s">
        <v>27</v>
      </c>
      <c r="HG235" s="68"/>
      <c r="HH235" s="68"/>
      <c r="HI235" s="68"/>
      <c r="HJ235" s="68"/>
      <c r="HK235" s="68"/>
      <c r="HL235" s="68"/>
      <c r="HM235" s="68"/>
      <c r="HN235" s="68"/>
      <c r="HO235" s="68"/>
      <c r="HP235" s="68"/>
      <c r="HQ235" s="68" t="s">
        <v>27</v>
      </c>
      <c r="HR235" s="68" t="s">
        <v>37</v>
      </c>
      <c r="HS235" s="67"/>
      <c r="HT235" s="67"/>
      <c r="HU235" s="67"/>
      <c r="HV235" s="67"/>
      <c r="HW235" s="67"/>
      <c r="HX235" s="67"/>
      <c r="HY235" s="67"/>
      <c r="HZ235" s="67"/>
      <c r="IA235" s="67"/>
      <c r="IB235" s="67"/>
      <c r="IC235" s="67"/>
      <c r="ID235" s="67"/>
      <c r="IE235" s="67"/>
      <c r="IF235" s="67"/>
      <c r="IG235" s="67"/>
      <c r="IH235" s="67"/>
      <c r="II235" s="67"/>
      <c r="IJ235" s="67"/>
      <c r="IK235" s="67"/>
      <c r="IL235" s="67"/>
      <c r="IM235" s="67"/>
      <c r="IN235" s="67"/>
      <c r="IO235" s="67"/>
      <c r="IP235" s="67"/>
      <c r="IQ235" s="67"/>
      <c r="IR235" s="67"/>
      <c r="IS235" s="67"/>
      <c r="IT235" s="67"/>
      <c r="IU235" s="67"/>
      <c r="IV235" s="67"/>
      <c r="IW235" s="67"/>
      <c r="IX235" s="67"/>
      <c r="IY235" s="67"/>
      <c r="IZ235" s="67"/>
      <c r="JA235" s="67"/>
      <c r="JB235" s="67"/>
      <c r="JC235" s="67"/>
      <c r="JD235" s="67"/>
      <c r="JE235" s="67"/>
      <c r="JF235" s="67"/>
      <c r="JG235" s="67"/>
      <c r="JH235" s="67"/>
      <c r="JI235" s="67"/>
      <c r="JJ235" s="67"/>
      <c r="JK235" s="67"/>
      <c r="JL235" s="67"/>
      <c r="JM235" s="67"/>
      <c r="JN235" s="67"/>
      <c r="JO235" s="67"/>
      <c r="JP235" s="67"/>
      <c r="JQ235" s="67"/>
      <c r="JR235" s="67"/>
      <c r="JS235" s="67"/>
      <c r="JT235" s="67"/>
      <c r="JU235" s="67"/>
      <c r="JV235" s="67"/>
      <c r="JW235" s="67"/>
      <c r="JX235" s="67"/>
      <c r="JY235" s="67"/>
      <c r="JZ235" s="67"/>
      <c r="KA235" s="67"/>
      <c r="KB235" s="67"/>
      <c r="KC235" s="67"/>
      <c r="KD235" s="67"/>
      <c r="KE235" s="67"/>
      <c r="KF235" s="67"/>
      <c r="KG235" s="67"/>
      <c r="KH235" s="67"/>
      <c r="KI235" s="67"/>
      <c r="KJ235" s="67"/>
      <c r="KK235" s="67"/>
      <c r="KL235" s="67"/>
      <c r="KM235" s="67"/>
      <c r="KN235" s="67"/>
      <c r="KO235" s="67"/>
      <c r="KP235" s="67"/>
      <c r="KQ235" s="67"/>
      <c r="KR235" s="67"/>
      <c r="KS235" s="67"/>
      <c r="KT235" s="67"/>
      <c r="KU235" s="67"/>
      <c r="KV235" s="67"/>
      <c r="KW235" s="67"/>
      <c r="KX235" s="67"/>
      <c r="KY235" s="67"/>
      <c r="KZ235" s="67"/>
      <c r="LA235" s="67"/>
      <c r="LB235" s="67"/>
      <c r="LC235" s="67"/>
      <c r="LD235" s="67"/>
      <c r="LE235" s="67"/>
      <c r="LF235" s="67"/>
      <c r="LG235" s="67"/>
      <c r="LH235" s="67"/>
      <c r="LI235" s="67"/>
      <c r="LJ235" s="67"/>
      <c r="LK235" s="67"/>
      <c r="LL235" s="67"/>
      <c r="LM235" s="67"/>
      <c r="LN235" s="67"/>
      <c r="LO235" s="67"/>
      <c r="LP235" s="67"/>
      <c r="LQ235" s="67"/>
      <c r="LR235" s="67"/>
      <c r="LS235" s="67"/>
      <c r="LT235" s="67"/>
      <c r="LU235" s="67"/>
      <c r="LV235" s="67"/>
      <c r="LW235" s="67"/>
      <c r="LX235" s="67"/>
      <c r="LY235" s="67"/>
      <c r="LZ235" s="67"/>
      <c r="MA235" s="67"/>
      <c r="MB235" s="67"/>
    </row>
    <row r="236" spans="1:340" s="50" customFormat="1" ht="15.75" hidden="1" customHeight="1" thickBot="1">
      <c r="A236" s="44">
        <v>3</v>
      </c>
      <c r="B236" s="88" t="s">
        <v>337</v>
      </c>
      <c r="C236" s="85" t="s">
        <v>338</v>
      </c>
      <c r="D236" s="86" t="s">
        <v>35</v>
      </c>
      <c r="E236" s="130" t="s">
        <v>40</v>
      </c>
      <c r="F236" s="87" t="s">
        <v>24</v>
      </c>
      <c r="G236" s="139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153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153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153"/>
      <c r="AX236" s="68"/>
      <c r="AY236" s="153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159"/>
      <c r="BP236" s="68"/>
      <c r="BQ236" s="153"/>
      <c r="BR236" s="68"/>
      <c r="BS236" s="68"/>
      <c r="BT236" s="68"/>
      <c r="BU236" s="68"/>
      <c r="BV236" s="68"/>
      <c r="BW236" s="68"/>
      <c r="BX236" s="68"/>
      <c r="BY236" s="68"/>
      <c r="BZ236" s="68"/>
      <c r="CA236" s="68"/>
      <c r="CB236" s="68"/>
      <c r="CC236" s="68"/>
      <c r="CD236" s="68"/>
      <c r="CE236" s="68"/>
      <c r="CF236" s="68"/>
      <c r="CG236" s="153"/>
      <c r="CH236" s="68"/>
      <c r="CI236" s="68"/>
      <c r="CJ236" s="68"/>
      <c r="CK236" s="68"/>
      <c r="CL236" s="68"/>
      <c r="CM236" s="68"/>
      <c r="CN236" s="68"/>
      <c r="CO236" s="68"/>
      <c r="CP236" s="68"/>
      <c r="CQ236" s="68"/>
      <c r="CR236" s="68"/>
      <c r="CS236" s="68"/>
      <c r="CT236" s="68"/>
      <c r="CU236" s="68"/>
      <c r="CV236" s="68"/>
      <c r="CW236" s="68"/>
      <c r="CX236" s="68"/>
      <c r="CY236" s="68"/>
      <c r="CZ236" s="68"/>
      <c r="DA236" s="68"/>
      <c r="DB236" s="68"/>
      <c r="DC236" s="68"/>
      <c r="DD236" s="68"/>
      <c r="DE236" s="68"/>
      <c r="DF236" s="68"/>
      <c r="DG236" s="68"/>
      <c r="DH236" s="68"/>
      <c r="DI236" s="68"/>
      <c r="DJ236" s="159"/>
      <c r="DK236" s="68"/>
      <c r="DL236" s="68"/>
      <c r="DM236" s="68"/>
      <c r="DN236" s="68"/>
      <c r="DO236" s="68"/>
      <c r="DP236" s="68"/>
      <c r="DQ236" s="153"/>
      <c r="DR236" s="68"/>
      <c r="DS236" s="68"/>
      <c r="DT236" s="68"/>
      <c r="DU236" s="68"/>
      <c r="DV236" s="68"/>
      <c r="DW236" s="68"/>
      <c r="DX236" s="68"/>
      <c r="DY236" s="68"/>
      <c r="DZ236" s="68"/>
      <c r="EA236" s="68"/>
      <c r="EB236" s="68"/>
      <c r="EC236" s="68"/>
      <c r="ED236" s="68"/>
      <c r="EE236" s="68"/>
      <c r="EF236" s="68"/>
      <c r="EG236" s="153"/>
      <c r="EH236" s="68"/>
      <c r="EI236" s="68"/>
      <c r="EJ236" s="68"/>
      <c r="EK236" s="68"/>
      <c r="EL236" s="68"/>
      <c r="EM236" s="68"/>
      <c r="EN236" s="68"/>
      <c r="EO236" s="68"/>
      <c r="EP236" s="68"/>
      <c r="EQ236" s="68"/>
      <c r="ER236" s="68"/>
      <c r="ES236" s="68"/>
      <c r="ET236" s="68"/>
      <c r="EU236" s="68"/>
      <c r="EV236" s="68"/>
      <c r="EW236" s="153"/>
      <c r="EX236" s="68"/>
      <c r="EY236" s="68"/>
      <c r="EZ236" s="68"/>
      <c r="FA236" s="68"/>
      <c r="FB236" s="68"/>
      <c r="FC236" s="68"/>
      <c r="FD236" s="68"/>
      <c r="FE236" s="68"/>
      <c r="FF236" s="68"/>
      <c r="FG236" s="68" t="s">
        <v>25</v>
      </c>
      <c r="FH236" s="68"/>
      <c r="FI236" s="68"/>
      <c r="FJ236" s="68"/>
      <c r="FK236" s="68"/>
      <c r="FL236" s="159"/>
      <c r="FM236" s="68" t="s">
        <v>26</v>
      </c>
      <c r="FN236" s="153"/>
      <c r="FO236" s="68"/>
      <c r="FP236" s="68"/>
      <c r="FQ236" s="68"/>
      <c r="FR236" s="68" t="s">
        <v>41</v>
      </c>
      <c r="FS236" s="68"/>
      <c r="FT236" s="68"/>
      <c r="FU236" s="68"/>
      <c r="FV236" s="68"/>
      <c r="FW236" s="68"/>
      <c r="FX236" s="68" t="s">
        <v>57</v>
      </c>
      <c r="FY236" s="68"/>
      <c r="FZ236" s="68"/>
      <c r="GA236" s="68"/>
      <c r="GB236" s="68"/>
      <c r="GC236" s="68"/>
      <c r="GD236" s="68"/>
      <c r="GE236" s="153"/>
      <c r="GF236" s="68"/>
      <c r="GG236" s="68" t="s">
        <v>26</v>
      </c>
      <c r="GH236" s="68"/>
      <c r="GI236" s="68"/>
      <c r="GJ236" s="68"/>
      <c r="GK236" s="68"/>
      <c r="GL236" s="68" t="s">
        <v>41</v>
      </c>
      <c r="GM236" s="68"/>
      <c r="GN236" s="68"/>
      <c r="GO236" s="68"/>
      <c r="GP236" s="68"/>
      <c r="GQ236" s="68"/>
      <c r="GR236" s="68" t="s">
        <v>57</v>
      </c>
      <c r="GS236" s="153"/>
      <c r="GT236" s="68"/>
      <c r="GU236" s="68" t="s">
        <v>26</v>
      </c>
      <c r="GV236" s="68"/>
      <c r="GW236" s="68"/>
      <c r="GX236" s="68"/>
      <c r="GY236" s="68" t="s">
        <v>41</v>
      </c>
      <c r="GZ236" s="68"/>
      <c r="HA236" s="68"/>
      <c r="HB236" s="68"/>
      <c r="HC236" s="68"/>
      <c r="HD236" s="68"/>
      <c r="HE236" s="68" t="s">
        <v>57</v>
      </c>
      <c r="HF236" s="68"/>
      <c r="HG236" s="68"/>
      <c r="HH236" s="68" t="s">
        <v>26</v>
      </c>
      <c r="HI236" s="68"/>
      <c r="HJ236" s="68"/>
      <c r="HK236" s="68"/>
      <c r="HL236" s="68"/>
      <c r="HM236" s="68" t="s">
        <v>41</v>
      </c>
      <c r="HN236" s="68"/>
      <c r="HO236" s="68"/>
      <c r="HP236" s="68"/>
      <c r="HQ236" s="68"/>
      <c r="HR236" s="68" t="s">
        <v>57</v>
      </c>
      <c r="HS236" s="68" t="s">
        <v>37</v>
      </c>
      <c r="HT236" s="67"/>
      <c r="HU236" s="67"/>
      <c r="HV236" s="67"/>
      <c r="HW236" s="67"/>
      <c r="HX236" s="67"/>
      <c r="HY236" s="67"/>
      <c r="HZ236" s="67"/>
      <c r="IA236" s="67"/>
      <c r="IB236" s="67"/>
      <c r="IC236" s="67"/>
      <c r="ID236" s="67"/>
      <c r="IE236" s="67"/>
      <c r="IF236" s="67"/>
      <c r="IG236" s="67"/>
      <c r="IH236" s="67"/>
      <c r="II236" s="67"/>
      <c r="IJ236" s="67"/>
      <c r="IK236" s="67"/>
      <c r="IL236" s="67"/>
      <c r="IM236" s="67"/>
      <c r="IN236" s="67"/>
      <c r="IO236" s="67"/>
      <c r="IP236" s="67"/>
      <c r="IQ236" s="67"/>
      <c r="IR236" s="67"/>
      <c r="IS236" s="67"/>
      <c r="IT236" s="67"/>
      <c r="IU236" s="67"/>
      <c r="IV236" s="67"/>
      <c r="IW236" s="67"/>
      <c r="IX236" s="67"/>
      <c r="IY236" s="67"/>
      <c r="IZ236" s="67"/>
      <c r="JA236" s="67"/>
      <c r="JB236" s="67"/>
      <c r="JC236" s="67"/>
      <c r="JD236" s="67"/>
      <c r="JE236" s="67"/>
      <c r="JF236" s="67"/>
      <c r="JG236" s="67"/>
      <c r="JH236" s="67"/>
      <c r="JI236" s="67"/>
      <c r="JJ236" s="67"/>
      <c r="JK236" s="67"/>
      <c r="JL236" s="67"/>
      <c r="JM236" s="67"/>
      <c r="JN236" s="67"/>
      <c r="JO236" s="67"/>
      <c r="JP236" s="67"/>
      <c r="JQ236" s="67"/>
      <c r="JR236" s="67"/>
      <c r="JS236" s="67"/>
      <c r="JT236" s="67"/>
      <c r="JU236" s="67"/>
      <c r="JV236" s="67"/>
      <c r="JW236" s="67"/>
      <c r="JX236" s="67"/>
      <c r="JY236" s="67"/>
      <c r="JZ236" s="67"/>
      <c r="KA236" s="67"/>
      <c r="KB236" s="67"/>
      <c r="KC236" s="67"/>
      <c r="KD236" s="67"/>
      <c r="KE236" s="67"/>
      <c r="KF236" s="67"/>
      <c r="KG236" s="67"/>
      <c r="KH236" s="67"/>
      <c r="KI236" s="67"/>
      <c r="KJ236" s="67"/>
      <c r="KK236" s="67"/>
      <c r="KL236" s="67"/>
      <c r="KM236" s="67"/>
      <c r="KN236" s="67"/>
      <c r="KO236" s="67"/>
      <c r="KP236" s="67"/>
      <c r="KQ236" s="67"/>
      <c r="KR236" s="67"/>
      <c r="KS236" s="67"/>
      <c r="KT236" s="67"/>
      <c r="KU236" s="67"/>
      <c r="KV236" s="67"/>
      <c r="KW236" s="67"/>
      <c r="KX236" s="67"/>
      <c r="KY236" s="67"/>
      <c r="KZ236" s="67"/>
      <c r="LA236" s="67"/>
      <c r="LB236" s="67"/>
      <c r="LC236" s="67"/>
      <c r="LD236" s="67"/>
      <c r="LE236" s="67"/>
      <c r="LF236" s="67"/>
      <c r="LG236" s="67"/>
      <c r="LH236" s="67"/>
      <c r="LI236" s="67"/>
      <c r="LJ236" s="67"/>
      <c r="LK236" s="67"/>
      <c r="LL236" s="67"/>
      <c r="LM236" s="67"/>
      <c r="LN236" s="67"/>
      <c r="LO236" s="67"/>
      <c r="LP236" s="67"/>
      <c r="LQ236" s="67"/>
      <c r="LR236" s="67"/>
      <c r="LS236" s="67"/>
      <c r="LT236" s="67"/>
      <c r="LU236" s="67"/>
      <c r="LV236" s="67"/>
      <c r="LW236" s="67"/>
      <c r="LX236" s="67"/>
      <c r="LY236" s="67"/>
      <c r="LZ236" s="67"/>
      <c r="MA236" s="67"/>
      <c r="MB236" s="67"/>
    </row>
    <row r="237" spans="1:340" s="50" customFormat="1" ht="15.75" hidden="1" customHeight="1" thickBot="1">
      <c r="A237" s="44">
        <v>3</v>
      </c>
      <c r="B237" s="88" t="s">
        <v>339</v>
      </c>
      <c r="C237" s="85" t="s">
        <v>340</v>
      </c>
      <c r="D237" s="86" t="s">
        <v>45</v>
      </c>
      <c r="E237" s="130" t="s">
        <v>46</v>
      </c>
      <c r="F237" s="87" t="s">
        <v>24</v>
      </c>
      <c r="G237" s="139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  <c r="BK237" s="68"/>
      <c r="BL237" s="68"/>
      <c r="BM237" s="68"/>
      <c r="BN237" s="68"/>
      <c r="BO237" s="68"/>
      <c r="BP237" s="68"/>
      <c r="BQ237" s="68"/>
      <c r="BR237" s="68"/>
      <c r="BS237" s="68"/>
      <c r="BT237" s="68"/>
      <c r="BU237" s="68"/>
      <c r="BV237" s="68"/>
      <c r="BW237" s="68"/>
      <c r="BX237" s="68"/>
      <c r="BY237" s="68"/>
      <c r="BZ237" s="68"/>
      <c r="CA237" s="68"/>
      <c r="CB237" s="68"/>
      <c r="CC237" s="68"/>
      <c r="CD237" s="68"/>
      <c r="CE237" s="68"/>
      <c r="CF237" s="68"/>
      <c r="CG237" s="68"/>
      <c r="CH237" s="68"/>
      <c r="CI237" s="68"/>
      <c r="CJ237" s="68"/>
      <c r="CK237" s="68"/>
      <c r="CL237" s="68"/>
      <c r="CM237" s="68"/>
      <c r="CN237" s="68"/>
      <c r="CO237" s="68"/>
      <c r="CP237" s="68"/>
      <c r="CQ237" s="68"/>
      <c r="CR237" s="68"/>
      <c r="CS237" s="68"/>
      <c r="CT237" s="68"/>
      <c r="CU237" s="68"/>
      <c r="CV237" s="68"/>
      <c r="CW237" s="68"/>
      <c r="CX237" s="68"/>
      <c r="CY237" s="68"/>
      <c r="CZ237" s="68"/>
      <c r="DA237" s="68"/>
      <c r="DB237" s="68"/>
      <c r="DC237" s="68"/>
      <c r="DD237" s="68"/>
      <c r="DE237" s="68"/>
      <c r="DF237" s="68"/>
      <c r="DG237" s="68"/>
      <c r="DH237" s="68"/>
      <c r="DI237" s="68"/>
      <c r="DJ237" s="68"/>
      <c r="DK237" s="68"/>
      <c r="DL237" s="68"/>
      <c r="DM237" s="68"/>
      <c r="DN237" s="68"/>
      <c r="DO237" s="68"/>
      <c r="DP237" s="68"/>
      <c r="DQ237" s="68"/>
      <c r="DR237" s="68"/>
      <c r="DS237" s="68"/>
      <c r="DT237" s="68"/>
      <c r="DU237" s="68"/>
      <c r="DV237" s="68"/>
      <c r="DW237" s="68"/>
      <c r="DX237" s="68"/>
      <c r="DY237" s="68"/>
      <c r="DZ237" s="68"/>
      <c r="EA237" s="68"/>
      <c r="EB237" s="68"/>
      <c r="EC237" s="68"/>
      <c r="ED237" s="68"/>
      <c r="EE237" s="68"/>
      <c r="EF237" s="68"/>
      <c r="EG237" s="68"/>
      <c r="EH237" s="68"/>
      <c r="EI237" s="68"/>
      <c r="EJ237" s="68"/>
      <c r="EK237" s="68"/>
      <c r="EL237" s="68"/>
      <c r="EM237" s="68"/>
      <c r="EN237" s="68"/>
      <c r="EO237" s="68"/>
      <c r="EP237" s="68"/>
      <c r="EQ237" s="68"/>
      <c r="ER237" s="68"/>
      <c r="ES237" s="68"/>
      <c r="ET237" s="68"/>
      <c r="EU237" s="68"/>
      <c r="EV237" s="68"/>
      <c r="EW237" s="68"/>
      <c r="EX237" s="68"/>
      <c r="EY237" s="68"/>
      <c r="EZ237" s="68"/>
      <c r="FA237" s="68"/>
      <c r="FB237" s="68"/>
      <c r="FC237" s="68"/>
      <c r="FD237" s="68"/>
      <c r="FE237" s="68"/>
      <c r="FF237" s="68"/>
      <c r="FG237" s="68"/>
      <c r="FH237" s="68"/>
      <c r="FI237" s="68"/>
      <c r="FJ237" s="68"/>
      <c r="FK237" s="68"/>
      <c r="FL237" s="68"/>
      <c r="FM237" s="68"/>
      <c r="FN237" s="68"/>
      <c r="FO237" s="68"/>
      <c r="FP237" s="68"/>
      <c r="FQ237" s="68"/>
      <c r="FR237" s="68"/>
      <c r="FS237" s="68"/>
      <c r="FT237" s="68"/>
      <c r="FU237" s="68"/>
      <c r="FV237" s="68"/>
      <c r="FW237" s="68"/>
      <c r="FX237" s="68"/>
      <c r="FY237" s="68"/>
      <c r="FZ237" s="68"/>
      <c r="GA237" s="68"/>
      <c r="GB237" s="68"/>
      <c r="GC237" s="68"/>
      <c r="GD237" s="68"/>
      <c r="GE237" s="68"/>
      <c r="GF237" s="68"/>
      <c r="GG237" s="68"/>
      <c r="GH237" s="68"/>
      <c r="GI237" s="68"/>
      <c r="GJ237" s="68"/>
      <c r="GK237" s="68"/>
      <c r="GL237" s="68"/>
      <c r="GM237" s="68"/>
      <c r="GN237" s="68"/>
      <c r="GO237" s="68"/>
      <c r="GP237" s="68"/>
      <c r="GQ237" s="68"/>
      <c r="GR237" s="68"/>
      <c r="GS237" s="68"/>
      <c r="GT237" s="68"/>
      <c r="GU237" s="68"/>
      <c r="GV237" s="68"/>
      <c r="GW237" s="68"/>
      <c r="GX237" s="68"/>
      <c r="GY237" s="68"/>
      <c r="GZ237" s="68"/>
      <c r="HA237" s="68"/>
      <c r="HB237" s="68" t="s">
        <v>25</v>
      </c>
      <c r="HC237" s="68" t="s">
        <v>26</v>
      </c>
      <c r="HD237" s="68"/>
      <c r="HE237" s="68"/>
      <c r="HF237" s="68"/>
      <c r="HG237" s="68"/>
      <c r="HH237" s="68"/>
      <c r="HI237" s="68"/>
      <c r="HJ237" s="68"/>
      <c r="HK237" s="68"/>
      <c r="HL237" s="68" t="s">
        <v>28</v>
      </c>
      <c r="HM237" s="68" t="s">
        <v>28</v>
      </c>
      <c r="HN237" s="68"/>
      <c r="HO237" s="68"/>
      <c r="HP237" s="68"/>
      <c r="HQ237" s="68"/>
      <c r="HR237" s="68"/>
      <c r="HS237" s="68"/>
      <c r="HT237" s="68"/>
      <c r="HU237" s="68"/>
      <c r="HV237" s="94" t="s">
        <v>28</v>
      </c>
      <c r="HW237" s="94" t="s">
        <v>37</v>
      </c>
      <c r="HX237" s="67"/>
      <c r="HY237" s="67"/>
      <c r="HZ237" s="67"/>
      <c r="IA237" s="67"/>
      <c r="IB237" s="67"/>
      <c r="IC237" s="67"/>
      <c r="ID237" s="67"/>
      <c r="IE237" s="67"/>
      <c r="IF237" s="67"/>
      <c r="IG237" s="67"/>
      <c r="IH237" s="67"/>
      <c r="II237" s="67"/>
      <c r="IJ237" s="67"/>
      <c r="IK237" s="67"/>
      <c r="IL237" s="67"/>
      <c r="IM237" s="67"/>
      <c r="IN237" s="67"/>
      <c r="IO237" s="67"/>
      <c r="IP237" s="67"/>
      <c r="IQ237" s="67"/>
      <c r="IR237" s="67"/>
      <c r="IS237" s="67"/>
      <c r="IT237" s="67"/>
      <c r="IU237" s="67"/>
      <c r="IV237" s="67"/>
      <c r="IW237" s="67"/>
      <c r="IX237" s="67"/>
      <c r="IY237" s="67"/>
      <c r="IZ237" s="67"/>
      <c r="JA237" s="67"/>
      <c r="JB237" s="67"/>
      <c r="JC237" s="67"/>
      <c r="JD237" s="67"/>
      <c r="JE237" s="67"/>
      <c r="JF237" s="67"/>
      <c r="JG237" s="67"/>
      <c r="JH237" s="67"/>
      <c r="JI237" s="67"/>
      <c r="JJ237" s="67"/>
      <c r="JK237" s="67"/>
      <c r="JL237" s="67"/>
      <c r="JM237" s="67"/>
      <c r="JN237" s="67"/>
      <c r="JO237" s="67"/>
      <c r="JP237" s="67"/>
      <c r="JQ237" s="67"/>
      <c r="JR237" s="67"/>
      <c r="JS237" s="67"/>
      <c r="JT237" s="67"/>
      <c r="JU237" s="67"/>
      <c r="JV237" s="67"/>
      <c r="JW237" s="67"/>
      <c r="JX237" s="67"/>
      <c r="JY237" s="67"/>
      <c r="JZ237" s="67"/>
      <c r="KA237" s="67"/>
      <c r="KB237" s="67"/>
      <c r="KC237" s="67"/>
      <c r="KD237" s="67"/>
      <c r="KE237" s="67"/>
      <c r="KF237" s="67"/>
      <c r="KG237" s="67"/>
      <c r="KH237" s="67"/>
      <c r="KI237" s="67"/>
      <c r="KJ237" s="67"/>
      <c r="KK237" s="67"/>
      <c r="KL237" s="67"/>
      <c r="KM237" s="67"/>
      <c r="KN237" s="67"/>
      <c r="KO237" s="67"/>
      <c r="KP237" s="67"/>
      <c r="KQ237" s="67"/>
      <c r="KR237" s="67"/>
      <c r="KS237" s="67"/>
      <c r="KT237" s="67"/>
      <c r="KU237" s="67"/>
      <c r="KV237" s="67"/>
      <c r="KW237" s="67"/>
      <c r="KX237" s="67"/>
      <c r="KY237" s="67"/>
      <c r="KZ237" s="67"/>
      <c r="LA237" s="67"/>
      <c r="LB237" s="67"/>
      <c r="LC237" s="67"/>
      <c r="LD237" s="67"/>
      <c r="LE237" s="67"/>
      <c r="LF237" s="67"/>
      <c r="LG237" s="67"/>
      <c r="LH237" s="67"/>
      <c r="LI237" s="67"/>
      <c r="LJ237" s="67"/>
      <c r="LK237" s="67"/>
      <c r="LL237" s="67"/>
      <c r="LM237" s="67"/>
      <c r="LN237" s="67"/>
      <c r="LO237" s="67"/>
      <c r="LP237" s="67"/>
      <c r="LQ237" s="67"/>
      <c r="LR237" s="67"/>
      <c r="LS237" s="67"/>
      <c r="LT237" s="67"/>
      <c r="LU237" s="67"/>
      <c r="LV237" s="67"/>
      <c r="LW237" s="67"/>
      <c r="LX237" s="67"/>
      <c r="LY237" s="67"/>
      <c r="LZ237" s="67"/>
      <c r="MA237" s="67"/>
      <c r="MB237" s="67"/>
    </row>
    <row r="238" spans="1:340" s="50" customFormat="1" ht="15.75" customHeight="1" thickBot="1">
      <c r="A238" s="44">
        <v>3</v>
      </c>
      <c r="B238" s="88" t="s">
        <v>139</v>
      </c>
      <c r="C238" s="85" t="s">
        <v>302</v>
      </c>
      <c r="D238" s="86" t="s">
        <v>22</v>
      </c>
      <c r="E238" s="130" t="s">
        <v>23</v>
      </c>
      <c r="F238" s="87" t="s">
        <v>24</v>
      </c>
      <c r="G238" s="139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153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  <c r="BK238" s="68"/>
      <c r="BL238" s="68"/>
      <c r="BM238" s="68"/>
      <c r="BN238" s="68"/>
      <c r="BO238" s="68"/>
      <c r="BP238" s="68"/>
      <c r="BQ238" s="68"/>
      <c r="BR238" s="68"/>
      <c r="BS238" s="68"/>
      <c r="BT238" s="68"/>
      <c r="BU238" s="68"/>
      <c r="BV238" s="68"/>
      <c r="BW238" s="68"/>
      <c r="BX238" s="68"/>
      <c r="BY238" s="68"/>
      <c r="BZ238" s="68"/>
      <c r="CA238" s="68"/>
      <c r="CB238" s="68"/>
      <c r="CC238" s="68"/>
      <c r="CD238" s="68"/>
      <c r="CE238" s="68"/>
      <c r="CF238" s="68"/>
      <c r="CG238" s="68"/>
      <c r="CH238" s="68"/>
      <c r="CI238" s="68"/>
      <c r="CJ238" s="68"/>
      <c r="CK238" s="68"/>
      <c r="CL238" s="68"/>
      <c r="CM238" s="68"/>
      <c r="CN238" s="68"/>
      <c r="CO238" s="68"/>
      <c r="CP238" s="68"/>
      <c r="CQ238" s="68"/>
      <c r="CR238" s="68"/>
      <c r="CS238" s="68"/>
      <c r="CT238" s="68"/>
      <c r="CU238" s="68"/>
      <c r="CV238" s="68"/>
      <c r="CW238" s="68"/>
      <c r="CX238" s="68"/>
      <c r="CY238" s="68"/>
      <c r="CZ238" s="68"/>
      <c r="DA238" s="68"/>
      <c r="DB238" s="68"/>
      <c r="DC238" s="68"/>
      <c r="DD238" s="68"/>
      <c r="DE238" s="68"/>
      <c r="DF238" s="68"/>
      <c r="DG238" s="68"/>
      <c r="DH238" s="68"/>
      <c r="DI238" s="68"/>
      <c r="DJ238" s="68"/>
      <c r="DK238" s="68"/>
      <c r="DL238" s="68"/>
      <c r="DM238" s="68"/>
      <c r="DN238" s="68"/>
      <c r="DO238" s="68"/>
      <c r="DP238" s="68"/>
      <c r="DQ238" s="68"/>
      <c r="DR238" s="68"/>
      <c r="DS238" s="68"/>
      <c r="DT238" s="68"/>
      <c r="DU238" s="68"/>
      <c r="DV238" s="68"/>
      <c r="DW238" s="68"/>
      <c r="DX238" s="68"/>
      <c r="DY238" s="68"/>
      <c r="DZ238" s="68"/>
      <c r="EA238" s="68"/>
      <c r="EB238" s="68"/>
      <c r="EC238" s="68"/>
      <c r="ED238" s="68"/>
      <c r="EE238" s="68"/>
      <c r="EF238" s="68"/>
      <c r="EG238" s="68"/>
      <c r="EH238" s="68"/>
      <c r="EI238" s="68"/>
      <c r="EJ238" s="68"/>
      <c r="EK238" s="68"/>
      <c r="EL238" s="68"/>
      <c r="EM238" s="68"/>
      <c r="EN238" s="68"/>
      <c r="EO238" s="68"/>
      <c r="EP238" s="68"/>
      <c r="EQ238" s="68"/>
      <c r="ER238" s="68"/>
      <c r="ES238" s="68"/>
      <c r="ET238" s="68"/>
      <c r="EU238" s="68"/>
      <c r="EV238" s="68"/>
      <c r="EW238" s="68"/>
      <c r="EX238" s="68"/>
      <c r="EY238" s="68"/>
      <c r="EZ238" s="68"/>
      <c r="FA238" s="68"/>
      <c r="FB238" s="68"/>
      <c r="FC238" s="68"/>
      <c r="FD238" s="68"/>
      <c r="FE238" s="68"/>
      <c r="FF238" s="68"/>
      <c r="FG238" s="68"/>
      <c r="FH238" s="68"/>
      <c r="FI238" s="68"/>
      <c r="FJ238" s="68"/>
      <c r="FK238" s="68"/>
      <c r="FL238" s="68"/>
      <c r="FM238" s="68"/>
      <c r="FN238" s="68"/>
      <c r="FO238" s="68"/>
      <c r="FP238" s="68"/>
      <c r="FQ238" s="68"/>
      <c r="FR238" s="68"/>
      <c r="FS238" s="68"/>
      <c r="FT238" s="68"/>
      <c r="FU238" s="68"/>
      <c r="FV238" s="68"/>
      <c r="FW238" s="68"/>
      <c r="FX238" s="68"/>
      <c r="FY238" s="68"/>
      <c r="FZ238" s="68"/>
      <c r="GA238" s="68"/>
      <c r="GB238" s="68"/>
      <c r="GC238" s="68"/>
      <c r="GD238" s="68"/>
      <c r="GE238" s="68"/>
      <c r="GF238" s="68"/>
      <c r="GG238" s="68"/>
      <c r="GH238" s="68"/>
      <c r="GI238" s="68"/>
      <c r="GJ238" s="68"/>
      <c r="GK238" s="68"/>
      <c r="GL238" s="68"/>
      <c r="GM238" s="68"/>
      <c r="GN238" s="68"/>
      <c r="GO238" s="68"/>
      <c r="GP238" s="68"/>
      <c r="GQ238" s="68"/>
      <c r="GR238" s="68"/>
      <c r="GS238" s="68"/>
      <c r="GT238" s="68"/>
      <c r="GU238" s="68"/>
      <c r="GV238" s="68"/>
      <c r="GW238" s="68"/>
      <c r="GX238" s="68"/>
      <c r="GY238" s="68"/>
      <c r="GZ238" s="68"/>
      <c r="HA238" s="68"/>
      <c r="HB238" s="68"/>
      <c r="HC238" s="68"/>
      <c r="HD238" s="68"/>
      <c r="HE238" s="68"/>
      <c r="HF238" s="68"/>
      <c r="HG238" s="68"/>
      <c r="HH238" s="68"/>
      <c r="HI238" s="68"/>
      <c r="HJ238" s="68"/>
      <c r="HK238" s="68"/>
      <c r="HL238" s="68"/>
      <c r="HM238" s="68"/>
      <c r="HN238" s="68"/>
      <c r="HO238" s="68"/>
      <c r="HP238" s="68"/>
      <c r="HQ238" s="68"/>
      <c r="HR238" s="68"/>
      <c r="HS238" s="68"/>
      <c r="HT238" s="68" t="s">
        <v>25</v>
      </c>
      <c r="HU238" s="68" t="s">
        <v>26</v>
      </c>
      <c r="HV238" s="68"/>
      <c r="HW238" s="68"/>
      <c r="HX238" s="68" t="s">
        <v>28</v>
      </c>
      <c r="HY238" s="68"/>
      <c r="HZ238" s="68"/>
      <c r="IA238" s="68"/>
      <c r="IB238" s="68"/>
      <c r="IC238" s="68"/>
      <c r="ID238" s="68" t="s">
        <v>27</v>
      </c>
      <c r="IE238" s="68" t="s">
        <v>37</v>
      </c>
      <c r="IF238" s="67"/>
      <c r="IG238" s="67"/>
      <c r="IH238" s="67"/>
      <c r="II238" s="67"/>
      <c r="IJ238" s="67"/>
      <c r="IK238" s="67"/>
      <c r="IL238" s="67"/>
      <c r="IM238" s="67"/>
      <c r="IN238" s="67"/>
      <c r="IO238" s="67"/>
      <c r="IP238" s="67"/>
      <c r="IQ238" s="67"/>
      <c r="IR238" s="67"/>
      <c r="IS238" s="67"/>
      <c r="IT238" s="67"/>
      <c r="IU238" s="67"/>
      <c r="IV238" s="67"/>
      <c r="IW238" s="67"/>
      <c r="IX238" s="67"/>
      <c r="IY238" s="67"/>
      <c r="IZ238" s="67"/>
      <c r="JA238" s="67"/>
      <c r="JB238" s="67"/>
      <c r="JC238" s="67"/>
      <c r="JD238" s="67"/>
      <c r="JE238" s="67"/>
      <c r="JF238" s="67"/>
      <c r="JG238" s="67"/>
      <c r="JH238" s="67"/>
      <c r="JI238" s="67"/>
      <c r="JJ238" s="67"/>
      <c r="JK238" s="67"/>
      <c r="JL238" s="67"/>
      <c r="JM238" s="67"/>
      <c r="JN238" s="67"/>
      <c r="JO238" s="67"/>
      <c r="JP238" s="67"/>
      <c r="JQ238" s="67"/>
      <c r="JR238" s="67"/>
      <c r="JS238" s="67"/>
      <c r="JT238" s="67"/>
      <c r="JU238" s="67"/>
      <c r="JV238" s="67"/>
      <c r="JW238" s="67"/>
      <c r="JX238" s="67"/>
      <c r="JY238" s="67"/>
      <c r="JZ238" s="67"/>
      <c r="KA238" s="67"/>
      <c r="KB238" s="67"/>
      <c r="KC238" s="67"/>
      <c r="KD238" s="67"/>
      <c r="KE238" s="67"/>
      <c r="KF238" s="67"/>
      <c r="KG238" s="67"/>
      <c r="KH238" s="67"/>
      <c r="KI238" s="67"/>
      <c r="KJ238" s="67"/>
      <c r="KK238" s="67"/>
      <c r="KL238" s="67"/>
      <c r="KM238" s="67"/>
      <c r="KN238" s="67"/>
      <c r="KO238" s="67"/>
      <c r="KP238" s="67"/>
      <c r="KQ238" s="67"/>
      <c r="KR238" s="67"/>
      <c r="KS238" s="67"/>
      <c r="KT238" s="67"/>
      <c r="KU238" s="67"/>
      <c r="KV238" s="67"/>
      <c r="KW238" s="67"/>
      <c r="KX238" s="67"/>
      <c r="KY238" s="67"/>
      <c r="KZ238" s="67"/>
      <c r="LA238" s="67"/>
      <c r="LB238" s="67"/>
      <c r="LC238" s="67"/>
      <c r="LD238" s="67"/>
      <c r="LE238" s="67"/>
      <c r="LF238" s="67"/>
      <c r="LG238" s="67"/>
      <c r="LH238" s="67"/>
      <c r="LI238" s="67"/>
      <c r="LJ238" s="67"/>
      <c r="LK238" s="67"/>
      <c r="LL238" s="67"/>
      <c r="LM238" s="67"/>
      <c r="LN238" s="67"/>
      <c r="LO238" s="67"/>
      <c r="LP238" s="67"/>
      <c r="LQ238" s="67"/>
      <c r="LR238" s="67"/>
      <c r="LS238" s="67"/>
      <c r="LT238" s="67"/>
      <c r="LU238" s="67"/>
      <c r="LV238" s="67"/>
      <c r="LW238" s="67"/>
      <c r="LX238" s="67"/>
      <c r="LY238" s="67"/>
      <c r="LZ238" s="67"/>
      <c r="MA238" s="67"/>
      <c r="MB238" s="67"/>
    </row>
    <row r="239" spans="1:340" s="50" customFormat="1" ht="15.75" hidden="1" customHeight="1" thickBot="1">
      <c r="A239" s="44">
        <v>3</v>
      </c>
      <c r="B239" s="88" t="s">
        <v>176</v>
      </c>
      <c r="C239" s="85" t="s">
        <v>341</v>
      </c>
      <c r="D239" s="86" t="s">
        <v>35</v>
      </c>
      <c r="E239" s="130" t="s">
        <v>40</v>
      </c>
      <c r="F239" s="87" t="s">
        <v>24</v>
      </c>
      <c r="G239" s="139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153"/>
      <c r="BC239" s="68"/>
      <c r="BD239" s="68"/>
      <c r="BE239" s="68"/>
      <c r="BF239" s="68"/>
      <c r="BG239" s="68"/>
      <c r="BH239" s="68"/>
      <c r="BI239" s="68"/>
      <c r="BJ239" s="68"/>
      <c r="BK239" s="68"/>
      <c r="BL239" s="68"/>
      <c r="BM239" s="68"/>
      <c r="BN239" s="68"/>
      <c r="BO239" s="68"/>
      <c r="BP239" s="68"/>
      <c r="BQ239" s="68"/>
      <c r="BR239" s="68"/>
      <c r="BS239" s="68"/>
      <c r="BT239" s="68"/>
      <c r="BU239" s="68"/>
      <c r="BV239" s="68"/>
      <c r="BW239" s="68"/>
      <c r="BX239" s="68"/>
      <c r="BY239" s="68"/>
      <c r="BZ239" s="68"/>
      <c r="CA239" s="68"/>
      <c r="CB239" s="68"/>
      <c r="CC239" s="68"/>
      <c r="CD239" s="68"/>
      <c r="CE239" s="68"/>
      <c r="CF239" s="68"/>
      <c r="CG239" s="68"/>
      <c r="CH239" s="68"/>
      <c r="CI239" s="68"/>
      <c r="CJ239" s="68"/>
      <c r="CK239" s="68"/>
      <c r="CL239" s="68"/>
      <c r="CM239" s="68"/>
      <c r="CN239" s="68"/>
      <c r="CO239" s="68"/>
      <c r="CP239" s="68"/>
      <c r="CQ239" s="68"/>
      <c r="CR239" s="68"/>
      <c r="CS239" s="68"/>
      <c r="CT239" s="68"/>
      <c r="CU239" s="68"/>
      <c r="CV239" s="68"/>
      <c r="CW239" s="68"/>
      <c r="CX239" s="68"/>
      <c r="CY239" s="68"/>
      <c r="CZ239" s="68"/>
      <c r="DA239" s="68"/>
      <c r="DB239" s="68"/>
      <c r="DC239" s="68"/>
      <c r="DD239" s="68"/>
      <c r="DE239" s="68"/>
      <c r="DF239" s="68"/>
      <c r="DG239" s="68"/>
      <c r="DH239" s="68"/>
      <c r="DI239" s="68"/>
      <c r="DJ239" s="68"/>
      <c r="DK239" s="68"/>
      <c r="DL239" s="68"/>
      <c r="DM239" s="68"/>
      <c r="DN239" s="68"/>
      <c r="DO239" s="68"/>
      <c r="DP239" s="68"/>
      <c r="DQ239" s="68"/>
      <c r="DR239" s="68"/>
      <c r="DS239" s="68"/>
      <c r="DT239" s="68"/>
      <c r="DU239" s="68"/>
      <c r="DV239" s="68"/>
      <c r="DW239" s="68"/>
      <c r="DX239" s="68"/>
      <c r="DY239" s="68"/>
      <c r="DZ239" s="68"/>
      <c r="EA239" s="68"/>
      <c r="EB239" s="68"/>
      <c r="EC239" s="68"/>
      <c r="ED239" s="68"/>
      <c r="EE239" s="68"/>
      <c r="EF239" s="68"/>
      <c r="EG239" s="68"/>
      <c r="EH239" s="68"/>
      <c r="EI239" s="68"/>
      <c r="EJ239" s="68"/>
      <c r="EK239" s="68"/>
      <c r="EL239" s="68"/>
      <c r="EM239" s="68"/>
      <c r="EN239" s="68"/>
      <c r="EO239" s="68"/>
      <c r="EP239" s="68"/>
      <c r="EQ239" s="68"/>
      <c r="ER239" s="68"/>
      <c r="ES239" s="68"/>
      <c r="ET239" s="68"/>
      <c r="EU239" s="68"/>
      <c r="EV239" s="68"/>
      <c r="EW239" s="68"/>
      <c r="EX239" s="68"/>
      <c r="EY239" s="68"/>
      <c r="EZ239" s="68"/>
      <c r="FA239" s="68"/>
      <c r="FB239" s="68"/>
      <c r="FC239" s="68"/>
      <c r="FD239" s="68"/>
      <c r="FE239" s="68"/>
      <c r="FF239" s="68"/>
      <c r="FG239" s="68"/>
      <c r="FH239" s="68"/>
      <c r="FI239" s="68"/>
      <c r="FJ239" s="68"/>
      <c r="FK239" s="68"/>
      <c r="FL239" s="68"/>
      <c r="FM239" s="68"/>
      <c r="FN239" s="68"/>
      <c r="FO239" s="68"/>
      <c r="FP239" s="68"/>
      <c r="FQ239" s="68"/>
      <c r="FR239" s="68"/>
      <c r="FS239" s="68"/>
      <c r="FT239" s="68"/>
      <c r="FU239" s="68"/>
      <c r="FV239" s="68"/>
      <c r="FW239" s="68"/>
      <c r="FX239" s="68"/>
      <c r="FY239" s="68"/>
      <c r="FZ239" s="68"/>
      <c r="GA239" s="68"/>
      <c r="GB239" s="68"/>
      <c r="GC239" s="68"/>
      <c r="GD239" s="68"/>
      <c r="GE239" s="68"/>
      <c r="GF239" s="68"/>
      <c r="GG239" s="68"/>
      <c r="GH239" s="68"/>
      <c r="GI239" s="68"/>
      <c r="GJ239" s="68"/>
      <c r="GK239" s="68"/>
      <c r="GL239" s="68"/>
      <c r="GM239" s="68"/>
      <c r="GN239" s="68" t="s">
        <v>25</v>
      </c>
      <c r="GO239" s="68"/>
      <c r="GP239" s="68"/>
      <c r="GQ239" s="68"/>
      <c r="GR239" s="68"/>
      <c r="GS239" s="68" t="s">
        <v>26</v>
      </c>
      <c r="GT239" s="68"/>
      <c r="GU239" s="68"/>
      <c r="GV239" s="68"/>
      <c r="GW239" s="68"/>
      <c r="GX239" s="68"/>
      <c r="GY239" s="68"/>
      <c r="GZ239" s="68"/>
      <c r="HA239" s="68"/>
      <c r="HB239" s="68"/>
      <c r="HC239" s="68"/>
      <c r="HD239" s="68"/>
      <c r="HE239" s="68"/>
      <c r="HF239" s="68"/>
      <c r="HG239" s="68" t="s">
        <v>27</v>
      </c>
      <c r="HH239" s="68"/>
      <c r="HI239" s="68"/>
      <c r="HJ239" s="68"/>
      <c r="HK239" s="68" t="s">
        <v>26</v>
      </c>
      <c r="HL239" s="68"/>
      <c r="HM239" s="68"/>
      <c r="HN239" s="68"/>
      <c r="HO239" s="68"/>
      <c r="HP239" s="68"/>
      <c r="HQ239" s="68"/>
      <c r="HR239" s="68"/>
      <c r="HS239" s="68"/>
      <c r="HT239" s="68"/>
      <c r="HU239" s="68"/>
      <c r="HV239" s="68"/>
      <c r="HW239" s="68"/>
      <c r="HX239" s="68"/>
      <c r="HY239" s="68"/>
      <c r="HZ239" s="68"/>
      <c r="IA239" s="68"/>
      <c r="IB239" s="68"/>
      <c r="IC239" s="68"/>
      <c r="ID239" s="68"/>
      <c r="IE239" s="68" t="s">
        <v>27</v>
      </c>
      <c r="IF239" s="68" t="s">
        <v>37</v>
      </c>
      <c r="IG239" s="67"/>
      <c r="IH239" s="67"/>
      <c r="II239" s="67"/>
      <c r="IJ239" s="67"/>
      <c r="IK239" s="67"/>
      <c r="IL239" s="67"/>
      <c r="IM239" s="67"/>
      <c r="IN239" s="67"/>
      <c r="IO239" s="67"/>
      <c r="IP239" s="67"/>
      <c r="IQ239" s="67"/>
      <c r="IR239" s="67"/>
      <c r="IS239" s="67"/>
      <c r="IT239" s="67"/>
      <c r="IU239" s="67"/>
      <c r="IV239" s="67"/>
      <c r="IW239" s="67"/>
      <c r="IX239" s="67"/>
      <c r="IY239" s="67"/>
      <c r="IZ239" s="67"/>
      <c r="JA239" s="67"/>
      <c r="JB239" s="67"/>
      <c r="JC239" s="67"/>
      <c r="JD239" s="67"/>
      <c r="JE239" s="67"/>
      <c r="JF239" s="67"/>
      <c r="JG239" s="67"/>
      <c r="JH239" s="67"/>
      <c r="JI239" s="67"/>
      <c r="JJ239" s="67"/>
      <c r="JK239" s="67"/>
      <c r="JL239" s="67"/>
      <c r="JM239" s="67"/>
      <c r="JN239" s="67"/>
      <c r="JO239" s="67"/>
      <c r="JP239" s="67"/>
      <c r="JQ239" s="67"/>
      <c r="JR239" s="67"/>
      <c r="JS239" s="67"/>
      <c r="JT239" s="67"/>
      <c r="JU239" s="67"/>
      <c r="JV239" s="67"/>
      <c r="JW239" s="67"/>
      <c r="JX239" s="67"/>
      <c r="JY239" s="67"/>
      <c r="JZ239" s="67"/>
      <c r="KA239" s="67"/>
      <c r="KB239" s="67"/>
      <c r="KC239" s="67"/>
      <c r="KD239" s="67"/>
      <c r="KE239" s="67"/>
      <c r="KF239" s="67"/>
      <c r="KG239" s="67"/>
      <c r="KH239" s="67"/>
      <c r="KI239" s="67"/>
      <c r="KJ239" s="67"/>
      <c r="KK239" s="67"/>
      <c r="KL239" s="67"/>
      <c r="KM239" s="67"/>
      <c r="KN239" s="67"/>
      <c r="KO239" s="67"/>
      <c r="KP239" s="67"/>
      <c r="KQ239" s="67"/>
      <c r="KR239" s="67"/>
      <c r="KS239" s="67"/>
      <c r="KT239" s="67"/>
      <c r="KU239" s="67"/>
      <c r="KV239" s="67"/>
      <c r="KW239" s="67"/>
      <c r="KX239" s="67"/>
      <c r="KY239" s="67"/>
      <c r="KZ239" s="67"/>
      <c r="LA239" s="67"/>
      <c r="LB239" s="67"/>
      <c r="LC239" s="67"/>
      <c r="LD239" s="67"/>
      <c r="LE239" s="67"/>
      <c r="LF239" s="67"/>
      <c r="LG239" s="67"/>
      <c r="LH239" s="67"/>
      <c r="LI239" s="67"/>
      <c r="LJ239" s="67"/>
      <c r="LK239" s="67"/>
      <c r="LL239" s="67"/>
      <c r="LM239" s="67"/>
      <c r="LN239" s="67"/>
      <c r="LO239" s="67"/>
      <c r="LP239" s="67"/>
      <c r="LQ239" s="67"/>
      <c r="LR239" s="67"/>
      <c r="LS239" s="67"/>
      <c r="LT239" s="67"/>
      <c r="LU239" s="67"/>
      <c r="LV239" s="67"/>
      <c r="LW239" s="67"/>
      <c r="LX239" s="67"/>
      <c r="LY239" s="67"/>
      <c r="LZ239" s="67"/>
      <c r="MA239" s="67"/>
      <c r="MB239" s="67"/>
    </row>
    <row r="240" spans="1:340" s="50" customFormat="1" ht="15.75" hidden="1" customHeight="1">
      <c r="A240" s="44">
        <v>3</v>
      </c>
      <c r="B240" s="88" t="s">
        <v>342</v>
      </c>
      <c r="C240" s="85" t="s">
        <v>343</v>
      </c>
      <c r="D240" s="86" t="s">
        <v>35</v>
      </c>
      <c r="E240" s="130" t="s">
        <v>36</v>
      </c>
      <c r="F240" s="87" t="s">
        <v>24</v>
      </c>
      <c r="G240" s="139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153"/>
      <c r="BC240" s="68"/>
      <c r="BD240" s="68"/>
      <c r="BE240" s="68"/>
      <c r="BF240" s="68"/>
      <c r="BG240" s="68"/>
      <c r="BH240" s="68"/>
      <c r="BI240" s="68"/>
      <c r="BJ240" s="68"/>
      <c r="BK240" s="68"/>
      <c r="BL240" s="68"/>
      <c r="BM240" s="68"/>
      <c r="BN240" s="68"/>
      <c r="BO240" s="68"/>
      <c r="BP240" s="68"/>
      <c r="BQ240" s="68"/>
      <c r="BR240" s="68"/>
      <c r="BS240" s="68"/>
      <c r="BT240" s="68"/>
      <c r="BU240" s="68"/>
      <c r="BV240" s="68"/>
      <c r="BW240" s="68"/>
      <c r="BX240" s="68"/>
      <c r="BY240" s="68"/>
      <c r="BZ240" s="68"/>
      <c r="CA240" s="68"/>
      <c r="CB240" s="68"/>
      <c r="CC240" s="68"/>
      <c r="CD240" s="68"/>
      <c r="CE240" s="68"/>
      <c r="CF240" s="68"/>
      <c r="CG240" s="68"/>
      <c r="CH240" s="68"/>
      <c r="CI240" s="68"/>
      <c r="CJ240" s="68"/>
      <c r="CK240" s="68"/>
      <c r="CL240" s="68"/>
      <c r="CM240" s="68"/>
      <c r="CN240" s="68"/>
      <c r="CO240" s="68"/>
      <c r="CP240" s="68"/>
      <c r="CQ240" s="68"/>
      <c r="CR240" s="68"/>
      <c r="CS240" s="68"/>
      <c r="CT240" s="68"/>
      <c r="CU240" s="68"/>
      <c r="CV240" s="68"/>
      <c r="CW240" s="68"/>
      <c r="CX240" s="68"/>
      <c r="CY240" s="68"/>
      <c r="CZ240" s="68"/>
      <c r="DA240" s="68"/>
      <c r="DB240" s="68"/>
      <c r="DC240" s="68"/>
      <c r="DD240" s="68"/>
      <c r="DE240" s="68"/>
      <c r="DF240" s="68"/>
      <c r="DG240" s="68"/>
      <c r="DH240" s="68"/>
      <c r="DI240" s="68"/>
      <c r="DJ240" s="68"/>
      <c r="DK240" s="68"/>
      <c r="DL240" s="68"/>
      <c r="DM240" s="68"/>
      <c r="DN240" s="68"/>
      <c r="DO240" s="68"/>
      <c r="DP240" s="68"/>
      <c r="DQ240" s="68"/>
      <c r="DR240" s="68"/>
      <c r="DS240" s="68"/>
      <c r="DT240" s="68"/>
      <c r="DU240" s="68"/>
      <c r="DV240" s="68"/>
      <c r="DW240" s="68"/>
      <c r="DX240" s="68"/>
      <c r="DY240" s="68"/>
      <c r="DZ240" s="68"/>
      <c r="EA240" s="68"/>
      <c r="EB240" s="68"/>
      <c r="EC240" s="68"/>
      <c r="ED240" s="68"/>
      <c r="EE240" s="68"/>
      <c r="EF240" s="68"/>
      <c r="EG240" s="68"/>
      <c r="EH240" s="68"/>
      <c r="EI240" s="68"/>
      <c r="EJ240" s="68"/>
      <c r="EK240" s="68"/>
      <c r="EL240" s="68"/>
      <c r="EM240" s="68"/>
      <c r="EN240" s="68"/>
      <c r="EO240" s="68"/>
      <c r="EP240" s="68"/>
      <c r="EQ240" s="68"/>
      <c r="ER240" s="68"/>
      <c r="ES240" s="68"/>
      <c r="ET240" s="68"/>
      <c r="EU240" s="68"/>
      <c r="EV240" s="68"/>
      <c r="EW240" s="68"/>
      <c r="EX240" s="68"/>
      <c r="EY240" s="68"/>
      <c r="EZ240" s="68"/>
      <c r="FA240" s="68"/>
      <c r="FB240" s="68"/>
      <c r="FC240" s="68"/>
      <c r="FD240" s="68"/>
      <c r="FE240" s="68"/>
      <c r="FF240" s="68"/>
      <c r="FG240" s="68"/>
      <c r="FH240" s="68"/>
      <c r="FI240" s="68"/>
      <c r="FJ240" s="68"/>
      <c r="FK240" s="68"/>
      <c r="FL240" s="68"/>
      <c r="FM240" s="68"/>
      <c r="FN240" s="68"/>
      <c r="FO240" s="68"/>
      <c r="FP240" s="68"/>
      <c r="FQ240" s="68"/>
      <c r="FR240" s="68"/>
      <c r="FS240" s="68"/>
      <c r="FT240" s="68"/>
      <c r="FU240" s="68"/>
      <c r="FV240" s="68"/>
      <c r="FW240" s="68"/>
      <c r="FX240" s="68"/>
      <c r="FY240" s="68"/>
      <c r="FZ240" s="68"/>
      <c r="GA240" s="68"/>
      <c r="GB240" s="68"/>
      <c r="GC240" s="68"/>
      <c r="GD240" s="68"/>
      <c r="GE240" s="68"/>
      <c r="GF240" s="68"/>
      <c r="GG240" s="68"/>
      <c r="GH240" s="68"/>
      <c r="GI240" s="68"/>
      <c r="GJ240" s="68"/>
      <c r="GK240" s="68"/>
      <c r="GL240" s="68"/>
      <c r="GM240" s="68"/>
      <c r="GN240" s="68"/>
      <c r="GO240" s="68"/>
      <c r="GP240" s="68"/>
      <c r="GQ240" s="68"/>
      <c r="GR240" s="68" t="s">
        <v>25</v>
      </c>
      <c r="GS240" s="68"/>
      <c r="GT240" s="68"/>
      <c r="GU240" s="68" t="s">
        <v>26</v>
      </c>
      <c r="GV240" s="68"/>
      <c r="GW240" s="68"/>
      <c r="GX240" s="68"/>
      <c r="GY240" s="68"/>
      <c r="GZ240" s="68" t="s">
        <v>41</v>
      </c>
      <c r="HA240" s="68"/>
      <c r="HB240" s="68"/>
      <c r="HC240" s="68"/>
      <c r="HD240" s="68"/>
      <c r="HE240" s="68"/>
      <c r="HF240" s="68"/>
      <c r="HG240" s="68"/>
      <c r="HH240" s="68"/>
      <c r="HI240" s="68"/>
      <c r="HJ240" s="68"/>
      <c r="HK240" s="68"/>
      <c r="HL240" s="68"/>
      <c r="HM240" s="68"/>
      <c r="HN240" s="68"/>
      <c r="HO240" s="68"/>
      <c r="HP240" s="68"/>
      <c r="HQ240" s="68"/>
      <c r="HR240" s="68"/>
      <c r="HS240" s="68"/>
      <c r="HT240" s="68"/>
      <c r="HU240" s="68"/>
      <c r="HV240" s="68"/>
      <c r="HW240" s="68" t="s">
        <v>26</v>
      </c>
      <c r="HX240" s="68"/>
      <c r="HY240" s="68"/>
      <c r="HZ240" s="68"/>
      <c r="IA240" s="68"/>
      <c r="IB240" s="68"/>
      <c r="IC240" s="68"/>
      <c r="ID240" s="68" t="s">
        <v>41</v>
      </c>
      <c r="IE240" s="68"/>
      <c r="IF240" s="68"/>
      <c r="IG240" s="68"/>
      <c r="IH240" s="68"/>
      <c r="II240" s="68"/>
      <c r="IJ240" s="68"/>
      <c r="IK240" s="68"/>
      <c r="IL240" s="68"/>
      <c r="IM240" s="68"/>
      <c r="IN240" s="68"/>
      <c r="IO240" s="68" t="s">
        <v>57</v>
      </c>
      <c r="IP240" s="68" t="s">
        <v>37</v>
      </c>
      <c r="IQ240" s="67"/>
      <c r="IR240" s="67"/>
      <c r="IS240" s="67"/>
      <c r="IT240" s="67"/>
      <c r="IU240" s="67"/>
      <c r="IV240" s="67"/>
      <c r="IW240" s="67"/>
      <c r="IX240" s="67"/>
      <c r="IY240" s="67"/>
      <c r="IZ240" s="67"/>
      <c r="JA240" s="67"/>
      <c r="JB240" s="67"/>
      <c r="JC240" s="67"/>
      <c r="JD240" s="67"/>
      <c r="JE240" s="67"/>
      <c r="JF240" s="67"/>
      <c r="JG240" s="67"/>
      <c r="JH240" s="67"/>
      <c r="JI240" s="67"/>
      <c r="JJ240" s="67"/>
      <c r="JK240" s="67"/>
      <c r="JL240" s="67"/>
      <c r="JM240" s="67"/>
      <c r="JN240" s="67"/>
      <c r="JO240" s="67"/>
      <c r="JP240" s="67"/>
      <c r="JQ240" s="67"/>
      <c r="JR240" s="67"/>
      <c r="JS240" s="67"/>
      <c r="JT240" s="67"/>
      <c r="JU240" s="67"/>
      <c r="JV240" s="67"/>
      <c r="JW240" s="67"/>
      <c r="JX240" s="67"/>
      <c r="JY240" s="67"/>
      <c r="JZ240" s="67"/>
      <c r="KA240" s="67"/>
      <c r="KB240" s="67"/>
      <c r="KC240" s="67"/>
      <c r="KD240" s="67"/>
      <c r="KE240" s="67"/>
      <c r="KF240" s="67"/>
      <c r="KG240" s="67"/>
      <c r="KH240" s="67"/>
      <c r="KI240" s="67"/>
      <c r="KJ240" s="67"/>
      <c r="KK240" s="67"/>
      <c r="KL240" s="67"/>
      <c r="KM240" s="67"/>
      <c r="KN240" s="67"/>
      <c r="KO240" s="67"/>
      <c r="KP240" s="67"/>
      <c r="KQ240" s="67"/>
      <c r="KR240" s="67"/>
      <c r="KS240" s="67"/>
      <c r="KT240" s="67"/>
      <c r="KU240" s="67"/>
      <c r="KV240" s="67"/>
      <c r="KW240" s="67"/>
      <c r="KX240" s="67"/>
      <c r="KY240" s="67"/>
      <c r="KZ240" s="67"/>
      <c r="LA240" s="67"/>
      <c r="LB240" s="67"/>
      <c r="LC240" s="67"/>
      <c r="LD240" s="67"/>
      <c r="LE240" s="67"/>
      <c r="LF240" s="67"/>
      <c r="LG240" s="67"/>
      <c r="LH240" s="67"/>
      <c r="LI240" s="67"/>
      <c r="LJ240" s="67"/>
      <c r="LK240" s="67"/>
      <c r="LL240" s="67"/>
      <c r="LM240" s="67"/>
      <c r="LN240" s="67"/>
      <c r="LO240" s="67"/>
      <c r="LP240" s="67"/>
      <c r="LQ240" s="67"/>
      <c r="LR240" s="67"/>
      <c r="LS240" s="67"/>
      <c r="LT240" s="67"/>
      <c r="LU240" s="67"/>
      <c r="LV240" s="67"/>
      <c r="LW240" s="67"/>
      <c r="LX240" s="67"/>
      <c r="LY240" s="67"/>
      <c r="LZ240" s="67"/>
      <c r="MA240" s="67"/>
      <c r="MB240" s="67"/>
    </row>
    <row r="276" spans="3:6">
      <c r="C276" s="69"/>
      <c r="D276" s="99"/>
    </row>
    <row r="277" spans="3:6">
      <c r="C277" s="70"/>
      <c r="D277" s="101"/>
    </row>
    <row r="278" spans="3:6">
      <c r="C278" s="70" t="s">
        <v>25</v>
      </c>
      <c r="D278" s="101"/>
      <c r="E278" s="69" t="s">
        <v>76</v>
      </c>
    </row>
    <row r="279" spans="3:6">
      <c r="C279" s="70" t="s">
        <v>344</v>
      </c>
      <c r="D279" s="101"/>
      <c r="E279" s="70" t="s">
        <v>23</v>
      </c>
    </row>
    <row r="280" spans="3:6">
      <c r="C280" s="70" t="s">
        <v>26</v>
      </c>
      <c r="D280" s="101" t="s">
        <v>22</v>
      </c>
      <c r="E280" s="102" t="s">
        <v>36</v>
      </c>
      <c r="F280" s="99" t="s">
        <v>53</v>
      </c>
    </row>
    <row r="281" spans="3:6" hidden="1">
      <c r="C281" s="70" t="s">
        <v>80</v>
      </c>
      <c r="D281" s="101" t="s">
        <v>49</v>
      </c>
      <c r="E281" s="102" t="s">
        <v>40</v>
      </c>
      <c r="F281" s="100" t="s">
        <v>24</v>
      </c>
    </row>
    <row r="282" spans="3:6" hidden="1">
      <c r="C282" s="70" t="s">
        <v>41</v>
      </c>
      <c r="D282" s="101" t="s">
        <v>45</v>
      </c>
      <c r="E282" s="70" t="s">
        <v>78</v>
      </c>
    </row>
    <row r="283" spans="3:6" hidden="1">
      <c r="C283" s="70" t="s">
        <v>27</v>
      </c>
      <c r="D283" s="101" t="s">
        <v>35</v>
      </c>
      <c r="E283" s="70" t="s">
        <v>50</v>
      </c>
    </row>
    <row r="284" spans="3:6">
      <c r="C284" s="70" t="s">
        <v>85</v>
      </c>
      <c r="D284" s="101"/>
      <c r="E284" s="70" t="s">
        <v>46</v>
      </c>
    </row>
    <row r="285" spans="3:6">
      <c r="C285" s="70" t="s">
        <v>57</v>
      </c>
      <c r="D285" s="101"/>
      <c r="E285" s="114" t="s">
        <v>62</v>
      </c>
    </row>
    <row r="286" spans="3:6">
      <c r="C286" s="70" t="s">
        <v>28</v>
      </c>
      <c r="D286" s="101"/>
    </row>
    <row r="287" spans="3:6">
      <c r="C287" s="70" t="s">
        <v>42</v>
      </c>
      <c r="D287" s="101"/>
    </row>
    <row r="288" spans="3:6">
      <c r="C288" s="70" t="s">
        <v>204</v>
      </c>
      <c r="D288" s="100"/>
    </row>
    <row r="289" spans="3:191">
      <c r="C289" s="102" t="s">
        <v>106</v>
      </c>
    </row>
    <row r="290" spans="3:191">
      <c r="C290" s="102" t="s">
        <v>37</v>
      </c>
    </row>
    <row r="291" spans="3:191">
      <c r="C291" s="102"/>
    </row>
    <row r="292" spans="3:191">
      <c r="C292" s="102"/>
    </row>
    <row r="293" spans="3:191">
      <c r="C293" s="103"/>
    </row>
    <row r="298" spans="3:191">
      <c r="E298" s="174"/>
    </row>
    <row r="301" spans="3:191">
      <c r="GI301" s="174">
        <v>44757</v>
      </c>
    </row>
  </sheetData>
  <sheetProtection insertRows="0" autoFilter="0" pivotTables="0"/>
  <protectedRanges>
    <protectedRange algorithmName="SHA-512" hashValue="m1VOKaXbFAUTBYw3lzO9wL5WkDXxj/ZcL2nta1RKMoUwWL0l0fgx592MNnVAJdGsT/IpiVWMNG+HUOVNXelGuw==" saltValue="AoXveg/AsnluVFSvNClLRw==" spinCount="100000" sqref="D276:F288 C276:C293" name="Drop downs"/>
  </protectedRanges>
  <autoFilter ref="B1:E294" xr:uid="{5858A4DC-4A1A-4C80-85F7-D58F2FD21D89}">
    <filterColumn colId="2">
      <filters blank="1">
        <filter val="Northwest"/>
      </filters>
    </filterColumn>
  </autoFilter>
  <mergeCells count="22">
    <mergeCell ref="A9:F9"/>
    <mergeCell ref="A7:F7"/>
    <mergeCell ref="A2:F2"/>
    <mergeCell ref="A3:F3"/>
    <mergeCell ref="A4:F4"/>
    <mergeCell ref="A8:F8"/>
    <mergeCell ref="A6:F6"/>
    <mergeCell ref="C16:F16"/>
    <mergeCell ref="C17:F17"/>
    <mergeCell ref="A17:B17"/>
    <mergeCell ref="A16:B16"/>
    <mergeCell ref="A141:F141"/>
    <mergeCell ref="A130:F130"/>
    <mergeCell ref="A117:F117"/>
    <mergeCell ref="A133:F133"/>
    <mergeCell ref="B124:F124"/>
    <mergeCell ref="A18:E18"/>
    <mergeCell ref="A10:F10"/>
    <mergeCell ref="A12:F12"/>
    <mergeCell ref="A11:F11"/>
    <mergeCell ref="A13:F13"/>
    <mergeCell ref="A15:F15"/>
  </mergeCells>
  <phoneticPr fontId="1" type="noConversion"/>
  <conditionalFormatting sqref="G1:MB1">
    <cfRule type="expression" dxfId="453" priority="6131">
      <formula>G1=TODAY()</formula>
    </cfRule>
  </conditionalFormatting>
  <conditionalFormatting sqref="G3:MB3">
    <cfRule type="colorScale" priority="6549">
      <colorScale>
        <cfvo type="num" val="0"/>
        <cfvo type="percentile" val="70"/>
        <cfvo type="num" val="5"/>
        <color rgb="FF00B050"/>
        <color rgb="FFFFEB84"/>
        <color rgb="FFFF0000"/>
      </colorScale>
    </cfRule>
  </conditionalFormatting>
  <conditionalFormatting sqref="G2:MB2">
    <cfRule type="colorScale" priority="1030750">
      <colorScale>
        <cfvo type="percent" val="0"/>
        <cfvo type="percentile" val="50"/>
        <cfvo type="num" val="25"/>
        <color rgb="FF00B050"/>
        <color rgb="FFFFEB84"/>
        <color rgb="FFFF0000"/>
      </colorScale>
    </cfRule>
  </conditionalFormatting>
  <conditionalFormatting sqref="G16:MB18">
    <cfRule type="colorScale" priority="1031347">
      <colorScale>
        <cfvo type="percent" val="0"/>
        <cfvo type="percentile" val="50"/>
        <cfvo type="num" val="10"/>
        <color rgb="FF0070C0"/>
        <color rgb="FF92D050"/>
        <color rgb="FFFFC000"/>
      </colorScale>
    </cfRule>
  </conditionalFormatting>
  <dataValidations count="4">
    <dataValidation type="list" allowBlank="1" showInputMessage="1" showErrorMessage="1" sqref="D134:E139 F85:F88 F93:F94 F62 F51:F52 F215:F222 D118:D123 D132 F237 F226:F233 D125:D129 D142:D240 D19:D116" xr:uid="{23C25D2D-4851-41C8-8198-3FC3D2BAB66C}">
      <formula1>$D$280:$D$283</formula1>
    </dataValidation>
    <dataValidation type="list" allowBlank="1" showInputMessage="1" showErrorMessage="1" sqref="G122:AY122 HI29:MB29 G41:MB42 G238:MB240 IC63:MB64 JF128:MB128 JF126:MB126 HY109:MB109 GG87:MB87 G85:MB85 GS84:MB84 LO66:LY66 MB66 G193:MB231 L118:MB118 MA119:MB119 LC119:LE119 LS119:LT119 LM119:LQ119 LG119:LK119 KU119:KV119 KO119:KS119 KI119:KM119 KC119:KG119 JW119:KA119 JQ119:JU119 JK119:JO119 JE119:JI119 HJ20:MB21 HJ72:MB72 GA127:MB127 LZ49:MB49 LU49:LX49 IJ49:IR49 G110:MB110 G64:IK64 ID70:IV70 FI125:MB125 EM46:MB46 IP35:MB35 IG32:IV32 HV33:MB33 HW78:MB78 HA104:MB104 LQ120:LR120 LI120:LJ120 LA119:LB120 LU119:LW120 LM120:LO120 LE120:LG120 KW119:KY120 IC26:MB26 BO79:MB79 HF47:MB47 JV68:MB68 G22:HT24 HY59:MB59 LB77:LO77 KM77:KZ77 JX77:KK77 KR75:LG75 LE70:LV70 KE70:KV70 KZ66:LJ66 KK66:KU66 JV66:KF66 LM66 KX66 KI66 JT66 LF49:LI49 LA49:LD49 KV49:KY49 KQ49:KT49 KL49:KO49 KG49:KJ49 KB49:KE49 JW49:JZ49 G100:MB100 G98:MB98 IB99:MB99 HR96:MB96 HO94:MB94 IC92:MB92 HJ93:MB93 AD37:MB40 LQ77:MB77 IM74:MB74 GD74:IK74 GI71:MB71 AV65:MB65 HS107:MB107 IF44:MB44 AE81:MB82 KV27:MB27 KK27:KT27 JZ27:KI27 HQ27:JX27 JB61:MB61 G61:IZ61 G62:MB62 IB34:MB34 FO87:GE87 G86:FM87 IF35:IJ35 DX67:MB67 FN86:MB86 HK105:MB105 FT58:MB58 JR57:MB57 IT126:JD126 IF126:II126 AE84:GN85 G84:AC85 IY53:MB53 HV232:MB235 G80:MB80 Y50:MB50 GM30:KK30 G113:MB117 HY103:MB103 CH83:MB83 HS70:IB70 HV66:II66 IL66:IP66 HN54:MB55 HL53:IW53 G88:MB88 HW22:IC24 HZ35:ID35 HE26:IA26 CV45:IC45 HD121:MB121 HW49:HY49 HY28 CC95:CW98 G99:BZ101 G97:AF98 AE96:BA98 G96:AB98 AA95:AW98 G95:M98 O95:Y98 AZ95:BZ98 G60:MB60 HJ59:HS59 HU35:HX35 AD33:HS33 HD28:HR28 FW25:HS25 HN111:HS111 HC92:HR92 HT92:IA92 ID22 HS24:MB24 IT49:IV49 HP49:HU49 JF32:JL32 IX32:JD32 GX112:HH112 GT107:HJ107 FX105:HH105 GL101:HO101 G94:HL94 G93:HH93 G232:HU233 GZ77:HI77 HM77:HN77 DJ72:HH72 FW70:HH70 GF68:HH68 HJ66:HS66 GG54:HJ55 GK53:HI53 G43:IE43 AD35:HJ35 HJ49:HN49 GO29:HG29 G106:HF106 GQ49:HH49 HF75:HV75 FT59:HH59 HB96:HM96 HA34:HE35 KQ30:MB30 FF102:HJ102 FZ78:HE78 GA48:HG48 GD47:HD47 BO76:MB76 GV108:MB108 G19:HH21 JI77:JV77 JZ75:KP75 JH75:JX75 IP75:JF75 HX75:IN75 LP49:LS49 LK49:LN49 JG66:JQ66 JE66 HB44:ID44 HI48:MB48 HH106:MB106 G81:AC82 W83:AF83 AE46:EI46 AH83:AV83 AX83 G83:U83 AZ83:BN83 CF83 BR83:CD83 BP83 FF89:GQ91 IR66:JB66 G44:CN44 AC79:AE79 AD78:AE78 CS47:EJ48 FE77:GF77 DX68:GD68 GE73 IT77:JG77 G73:GB74 DT54:GB55 AY58:FS61 EK47:GA47 FL105:FO105 FN49:FQ49 CS49:FL49 G107:GR107 IE77:IR77 BC96:GZ96 FT34:GE35 FH105:FJ105 FL66:FN66 FF105 FF48:FM48 EI29:FN29 EK102:FD102 EA89:FD92 EK48:FD48 HP77:IC77 EZ66:FB66 DV29:EG29 GD28:GN28 CO56:EF57 EG28:GA28 DT77:DU77 EB69:FB69 DY69 CX70:DS70 CC66:DR66 G50:CR52 GQ28:HA28 FP29:GM29 G72:DF72 BC69:CX69 BM29:CU29 CB45:CT45 BZ56:CM57 CE67:CH68 G45:BZ45 AY76:BM76 AO29:BJ29 G67:BA69 AD29:AM29 G56:AM57 M76:S76 J65:Q65 G76:K76 L29:N29 G65:H65 G29:J29 S29:AB29 T65:AE65 U76:AE76 G77:AE77 AI65:AT65 AO56:AV57 AG76:AW76 AG77:BQ77 BC67:BY68 AX56:BX57 G66:BM66 DV28:EE28 CX29:DH29 DB69:DI69 DK29:DN29 G28:DP28 CJ67:DQ68 BT77:DQ77 GW66:HG66 GE108:GT110 BM53:DR55 DT67:DU68 DK69:DR69 DP29:DT29 G58:AW61 DT66:EK66 DW77:EL77 EN77:FC77 EN66:EW66 FD102:FD105 G102:EJ105 G25:FB25 G89:U92 W89:AO92 AQ89:BY92 DS89:DY92 CX89:DQ92 CA89:CT92 FD25:FU25 AD34:FR35 FZ49:GC49 IX49:JA49 JC49:JF49 JH49:JK49 JM49:JP49 JR49:JU49 HL102:MB102 FP48:FS48 FV49:FX49 FS49:FT49 FU66:GT66 FY48 FU48:FW48 FG103:FV103 FQ105:FV105 DU70:FU70 G70:CO70 BO78:FX78 GH77:GX77 DT53:GI53 G71:GE71 GG71 G26:GI26 GE49:GO49 G101:GJ101 GG34:GY35 LI75:LX75 FH104:GW104 G99:HZ99 FX103:GY103 GK26:HC26 CP44:GZ44 G75:HD75 JE70:JV70 FF92:HA92 G53:BK55 HH34:HK35 AD36:HM36 HG111:HL111 IE45:MB45 HS36:MB36 DC95:DG98 EJ56:MB56 IL35:IN35 HG78:HT78 G78:AB79 AF78:BN79 HK68:JQ68 IE28:IH28 G51:MB51 G109:HX110 HA103:HW103 IE22:MB24 GM31:HY31 HT34:HY34 HP63:HZ64 G27:GP27 L119:S119 GR27:HN27 CS51:CX52 AE47:CR52 Z46:AC52 G46:X52 HL63:HM64 G63:HG64 G108:GB110 G111:HE111 FG66:FJ66 H121:AV121 IW120:JC120 G182:BD182 G181:BG181 G129:MB132 G184:AC185 G191:AF191 BV184:MB186 AX121:CD121 CN122 FZ119:GF119 BF186:BJ192 W192:AZ192 AA190:AW192 L189:AI192 AH186:AK192 BL186:BP192 AV186:AX192 AP186:AS192 Z186:AD192 T186:X192 G186:R192 G190:Y192 U188:Y192 AF186:AF192 AZ186:BD192 AN186:AN192 G188:S192 AH188:MB192 IK112:MB112 HQ120:HR120 U119:Z119 AC119:AT119 O120:DL120 CP121:DN121 JI120:JK120 G235:FT235 DG119:DI119 GC122 G234:GB234 BB97:CB98 HT122:HU122 HQ122:HR122 HN122:HO122 DU119:DX119 HK122:HL122 HH122:HI122 HE122:HF122 HB121:HC122 GY122:GZ122 CX122:FE122 HF120:HH120 GS122:GT122 G126:AE126 KS120:KT120 CY52:MB52 JM120:JN120 JE120:JG120 G127:EG127 AE184:BU185 FE120:FS120 IG120:IH120 HU120:HZ120 JX120:KD120 KO120:KQ120 GX119:HF119 EZ119:FW119 GV120:GY120 HA120:HD120 HJ120:HL120 G123:MB124 IF122:IG122 HZ122:IA122 FU120:FY120 EJ120:FC120 GG234:HE234 DN120:EH120 FG122:FX122 FZ122:GA122 JQ120:JV120 IC122:ID122 KF120:KL120 IS120:IU120 IJ120:IM120 GE122:GL122 II122:IK122 GA120:GT120 GN122:GQ122 GH119:GV119 IM119:IR119 JQ122:MB122 JE122:JF122 IY122:JC122 IV122:IW122 IS122:IT122 IP122:IQ122 IM122:IN122 JN122:JO122 JH122:JI122 JK122:JL122 DI128:JD128 DZ119:EE119 GG73:MB73 JN32:MB32 IB31:MB31 IK28:JE28 IT119:IW119 HY119:ID119 IF119:IK119 DK119:DM119 G118:K119 CC128:DC128 DD119:DE119 IY119:JC119 JH28:MB28 CQ119:CV119 DO119:DP119 CT122:CU122 CR122 ET119:EX119 EM119:EQ119 EG119:EK119 GV121:GW122 BZ122:CL122 GF111:GW114 G128:CA128 G111:FZ114 DR119:DS119 CX119:DB119 BV122:BW122 G185:BT185 BR186:BU187 HN120:HO120 BI181:BR181 BF182:BR182 FM236:HJ237 BN183:BQ183 AJ183:BL183 BS181:MB183 BW119:CO119 LZ75:MB75 BL119:BU119 G236:FK237 HI119:HW119 BI119:BJ119 GX121:HA121 G187:AM187 HW122:HX122 W183:AH183 G183:K183 BA119:BG119 AG126:IA126 M183:N183 LY119:LZ120 DV121:GU121 HG234:HU234 AV119:AY119 FV235:HU235 AO187:MB187 G142:MB180 IC120:IE120 IO120:IP120 EJ57:JC57 FG69:MB69 AH97:MB97 DI95:MB95 HJ112:II112 HU111:MB111 G237:HX237 HM236:MB237 G125:FF125 G30:AB40 HS101:MB101 AD30:GL31 G32:IE32 HJ19:IP19 IR19:MB19 HU25:MB25 IJ43:KS43 KU43:MB43 GS89:MB91" xr:uid="{1BBE3D2C-19F3-4071-9C20-3D6D4EAAA879}">
      <formula1>$C$278:$C$290</formula1>
    </dataValidation>
    <dataValidation type="list" allowBlank="1" showInputMessage="1" showErrorMessage="1" sqref="F134:F139 F118:F123 F132 F125:F129 F142:F240 F19:F116" xr:uid="{49B1F0A0-3B01-46BF-946B-7515C978083B}">
      <formula1>$F$280:$F$281</formula1>
    </dataValidation>
    <dataValidation type="list" allowBlank="1" showInputMessage="1" showErrorMessage="1" sqref="E132 E118:E123 E125:E129 E142:E240 E19:E116" xr:uid="{25CEE8B6-73CF-427A-9FCE-C6CF662558B2}">
      <formula1>$E$278:$E$285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592" operator="containsText" id="{A3B4F87E-27E7-4A03-ADFA-1520FA67BBDB}">
            <xm:f>NOT(ISERROR(SEARCH($C$278,G19)))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6593" operator="containsText" id="{F01BF16A-AE6A-4212-89AA-315C68FCEDC7}">
            <xm:f>NOT(ISERROR(SEARCH($C$286,G19)))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6594" operator="containsText" id="{3FC80085-0B64-4A6B-A4C9-91BE32B7B195}">
            <xm:f>NOT(ISERROR(SEARCH($C$279,G19)))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6595" operator="containsText" id="{4C826E85-7060-48D6-89D2-A3E42B700EFF}">
            <xm:f>NOT(ISERROR(SEARCH($C$280,G19)))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G183:K183 G122:T122 M183:AC183 AE183:AH183 G187:AM187 G121:AV121 V122:AY122 G182:BD182 G181:BG181 AJ183:BQ183 BF182:BR182 BI181:BR181 G142:FA178 G179:BR180 AP187:BU187 AS180:FA180 BS179:FA183 BV186:FA187 G184:AC185 AE184:FA185 G191:AF191 G185:FA185 BA122:BW122 G128:CA128 G188:S192 G192:U192 U188:Y192 T186:X192 BE186:BO192 BQ186:BU192 G186:R192 AH188:FA192 L189:AI192 Z186:BC192 AX121:CN121 BY122:CR122 FB142:GE213 G193:FA213 G211:GE211 G120:DL120 CC128:DG128 G119:S119 U119:AT119 AV119:AY119 BA119:BG119 BI119:BJ119 BL119:CG119 CI119:CL119 CN119:CO119 CX119:DC119 CQ119:CV119 DE119 G214:GE214 GF142:IO214 CT122:FE122 DN120:FC120 FE120:FS120 GV120:GY120 HA120:HD120 DG119:FW119 FU120:FY120 FG122:FX122 FZ122:GA122 GE122:GF122 GS122:GT122 GV122:GW122 GY122:GZ122 HB122:HC122 HE122:HF122 HH122:HI122 HK122:HL122 HN122:HO122 HQ122:HR122 HT122:HU122 HW122:HX122 HZ122:IA122 IC122:ID122 IF122:IG122 G129:JS132 GC122 FV235:GD235 GA120:GI120 GH122:GL122 GK120:GT120 II122:IJ122 GN122:GQ122 G123:JS124 IM122:IN122 IP122:IQ122 IS122:IT122 IV122:IW122 JE122:JF122 JH122:JI122 JK122:JL122 JN122:JO122 JQ122:JS122 HF120:HG120 HI120:HR120 GF235:HR235 KQ120:KT120 KN120:KO120 G235:FT235 G236:FK237 HT120:HZ120 G234:HR234 HS234:HS235 FM236:KX237 G232:HU233 HT233:HU235 HV232:KX235 DI128:JS128 IB120:IK120 IM120:IS120 G76:K76 G29:J29 J65:R65 M76:S76 L29:AB29 U76:X76 AE76:AK76 AM76:AQ76 AZ76:BF76 BH76:BL76 BU76:CA76 BS29:CD29 G56:AM57 AD29:AM29 AO29:AP29 AR29:BB29 T65:AT65 AO56:AV57 G67:BA69 BD29:BQ29 AX56:BX57 G45:BZ45 BC67:CH68 BZ56:CM57 CF29:CP29 CB45:CT45 BC69:DI69 CR29:DN29 G66:DR66 AV65:DU65 DP29:DT29 G28:DT28 DU28:DU29 DK69:DZ69 G77:DU77 DW77:EL77 EN77:FC77 DV29:FH29 HP77:IC77 G25:FB25 AQ89:BY92 G89:U92 W89:AO92 DT66:FJ66 G105:FJ105 IE77:IR77 AE49:FL49 FL105:FO105 AD34:FR35 FN49:FQ49 FZ49:GC49 IX49:JA49 JC49:JF49 JH49:JK49 JM49:JP49 JR49:JU49 AE48:FS48 FV49:FX49 FS49:FT49 FD25:FU25 G70:FU70 FU48:FW48 G103:FV103 FQ105:FV105 AD78:FX78 CJ68:GD68 FE77:GF77 G96:GZ96 FJ29:GM29 FT34:GE35 BM53:GI53 G71:GE71 GG71 GH77:GX77 G73:GE73 G26:GI26 G44:CN44 FY48:GJ48 GE49:GJ49 GM49:GO49 GK48:GL49 G101:GJ101 CA89:GQ91 G107:GR107 GE108:GT110 G83:U83 AH83:AV83 AX83 AZ83:BN83 BP83 BR83:CF83 DR83:EF83 EH83:EV83 CH83:DP83 IT77:JG77 GG34:GY35 G81:AC82 W83:AF83 GK26:HC26 CP44:GZ44 G75:HD75 CA92:HA92 G99:HZ99 HX75:IN75 IP75:JF75 JH75:JX75 JZ75:KP75 JI77:JV77 HF75:HV75 G106:HF106 GZ77:HN77 G93:HH93 HJ93:HO93 HQ93:HV93 HX93:IC93 IT93:IY93 JA93:JF93 G112:HH112 IT49:IV49 G53:BK55 HN111:HS111 GQ49:HN49 G95:M95 O95:Y95 G78:AB79 FX103:HW103 CV45:IC45 FS35 GF35 GZ35:ID35 HT24:KX24 G109:GD110 G27:GP27 HT22:IC23 HB44:ID44 FW70:IB70 G108:GC108 G111:HL111 AC32:IE32 IG32:IL32 IX32:JD32 JF32:JL32 HP49:IE49 GM48:IE48 IF48:IF49 Z46:AC52 G46:X52 Y50:Y52 G58:AW64 G115:M115 O115:Y115 EX83:KX83 G84:AC85 AY58:KX58 IG49 CO57:KX57 EB69:KX69 G86:FM87 FO87:GE87 HJ112:II112 G61:IZ61 JB61:KX61 JZ27:KI27 KK27:KT27 G74:IK74 IE93:IR93 HH106:KX106 HA34:MB34 IG48:MB48 JW49:JZ49 KB49:KE49 KG49:KJ49 KL49:KO49 KQ49:KT49 KV49:KY49 LA49:LD49 LF49:LI49 LK49:LN49 LP49:LS49 IE23:KX23 KY23:MB24 ID22:MB22 GK53:MB53 BM54:MB55 KY57:MB58 CO56:MB56 KY68:MB69 DW65:MB65 CJ67:MB67 GI71:MB71 IM74:MB74 KR75:LG75 LI75:LX75 LZ75:MB75 CC76:MB76 JX77:KK77 KM77:KZ77 LB77:LO77 LQ77:MB77 G80:MB80 KY83:MB84 AE81:MB82 FN86:MB86 JH93:MB93 HC92:MB92 HB96:MB96 G94:MB94 AA95:MB95 KY106:MB107 G102:MB102 HY103:MB103 FX105:MB105 HU111:MB111 IK112:MB112 KY120:LB120 LG120:LJ120 LO120:LR120 LW120:LZ120 KV120:KW120 LD120:LE120 LL120:LM120 LT120:LU120 MB120 GT107:KX107 GR27:JX27 KV27:MB27 JT128:MB132 JF126:MB126 AD33:IL33 IN33:MB33 IM32:IM33 IF35:MB35 G125:KX125 KY60:MB62 AX62:KX62 ID70:MB70 G88:MB88 GU109:MB110 II49:IR49 LU49:LX49 LZ49:MB49 G104:MB104 AX60:KX60 G72:MB72 G20:MB21 DV28:MB28 AD30:MB31 IN32:IV32 IE45:MB45 AD50:MB52 AY59:MB59 GF68:KX68 GG73:MB73 AD36:MB40 AC79:MB79 G113:MB114 HE26:MB26 FY119:MB119 AX63:MB64 FL66:MB66 AE84:KX84 G85:MB85 GV108:MB108 G22:HS24 G215:IO219 IP142:MB219 G221:KX231 G220:MB220 GG87:MB87 G64:MB64 G127:MB127 G116:MB118 AA115:MB115 G97:MB98 IB99:MB99 G100:MB100 GL101:MB101 G126:JD126 G30:AB40 JN32:MB32 KY221:MB239 G237:KX239 G240:MB240 JT122:KX124 KY122:MB125 CP121:MB121 IY122:JC122 IU120:KL120 G19:IP19 IR19:MB19 FW25:MB25 IF44:MB44 AE46:MB47 FZ78:MB78 G41:MB43 GS89:MB91 GO29:MB29</xm:sqref>
        </x14:conditionalFormatting>
        <x14:conditionalFormatting xmlns:xm="http://schemas.microsoft.com/office/excel/2006/main">
          <x14:cfRule type="containsText" priority="5967" operator="containsText" id="{1649B331-035B-4882-8704-263EC5407701}">
            <xm:f>NOT(ISERROR(SEARCH($C$284,G19)))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5968" operator="containsText" id="{B32141AD-C0BA-4B3A-A338-004C6D192AA6}">
            <xm:f>NOT(ISERROR(SEARCH($C$282,G19)))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5969" operator="containsText" id="{83F8E351-D4BA-4497-AE27-93A91BB71C95}">
            <xm:f>NOT(ISERROR(SEARCH($C$283,G19)))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5970" operator="containsText" id="{95BE2F63-9C53-47AF-BF48-84E6B01502EE}">
            <xm:f>NOT(ISERROR(SEARCH($C$287,G19)))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585" operator="containsText" id="{2B794DBF-CA1F-41AC-86B9-BB42D7FE68A1}">
            <xm:f>NOT(ISERROR(SEARCH($C$283,G19)))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586" operator="containsText" id="{ED44A587-11E2-4653-8A43-B5CAF2720140}">
            <xm:f>NOT(ISERROR(SEARCH($C$282,G19)))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587" operator="containsText" id="{46E6CCA8-0332-4945-B2AB-725C400A5BBF}">
            <xm:f>NOT(ISERROR(SEARCH($C$287,G19)))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588" operator="containsText" id="{83D002B0-5CF3-4D84-A4D3-7A358B1B06D8}">
            <xm:f>NOT(ISERROR(SEARCH($C$289,G19)))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6589" operator="containsText" id="{D8B9DB17-363F-4642-BB20-2F76BEB65A45}">
            <xm:f>NOT(ISERROR(SEARCH($C$288,G19)))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6590" operator="containsText" id="{471E1ED1-AEC8-4F25-8DD7-62C854D7442B}">
            <xm:f>NOT(ISERROR(SEARCH($C$285,G19)))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591" operator="containsText" id="{85F82B7B-29FF-410B-9FBA-4ED366EA7C3E}">
            <xm:f>NOT(ISERROR(SEARCH($C$290,G19)))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G183:K183 G122:T122 M183:AC183 AE183:AH183 G187:AM187 G121:AV121 V122:AY122 G182:BD182 G181:BG181 AJ183:BQ183 BF182:BR182 BI181:BR181 G142:FA178 G179:BR180 AP187:BU187 AS180:FA180 BS179:FA183 BV186:FA187 G184:AC185 AE184:FA185 G191:AF191 G185:FA185 BA122:BW122 G128:CA128 G188:S192 G192:U192 U188:Y192 T186:X192 BE186:BO192 BQ186:BU192 G186:R192 AH188:FA192 L189:AI192 Z186:BC192 AX121:CN121 BY122:CR122 FB142:GE213 G193:FA213 G211:GE211 G120:DL120 CC128:DG128 G119:S119 U119:AT119 AV119:AY119 BA119:BG119 BI119:BJ119 BL119:CG119 CI119:CL119 CN119:CO119 CX119:DC119 CQ119:CV119 DE119 G214:GE214 GF142:IO214 CT122:FE122 DN120:FC120 FE120:FS120 GV120:GY120 HA120:HD120 DG119:FW119 FU120:FY120 FG122:FX122 FZ122:GA122 GE122:GF122 GS122:GT122 GV122:GW122 GY122:GZ122 HB122:HC122 HE122:HF122 HH122:HI122 HK122:HL122 HN122:HO122 HQ122:HR122 HT122:HU122 HW122:HX122 HZ122:IA122 IC122:ID122 IF122:IG122 G129:JS132 GC122 FV235:GD235 GA120:GI120 GH122:GL122 GK120:GT120 II122:IJ122 GN122:GQ122 G123:JS124 IM122:IN122 IP122:IQ122 IS122:IT122 IV122:IW122 JE122:JF122 JH122:JI122 JK122:JL122 JN122:JO122 JQ122:JS122 HF120:HG120 HI120:HR120 GF235:HR235 KQ120:KT120 KN120:KO120 G235:FT235 G236:FK237 HT120:HZ120 G234:HR234 HS234:HS235 FM236:KX237 G232:HU233 HT233:HU235 HV232:KX235 DI128:JS128 IB120:IK120 IM120:IS120 G76:K76 G29:J29 J65:R65 M76:S76 L29:AB29 U76:X76 AE76:AK76 AM76:AQ76 AZ76:BF76 BH76:BL76 BU76:CA76 BS29:CD29 G56:AM57 AD29:AM29 AO29:AP29 AR29:BB29 T65:AT65 AO56:AV57 G67:BA69 BD29:BQ29 AX56:BX57 G45:BZ45 BC67:CH68 BZ56:CM57 CF29:CP29 CB45:CT45 BC69:DI69 CR29:DN29 G66:DR66 AV65:DU65 DP29:DT29 G28:DT28 DU28:DU29 DK69:DZ69 G77:DU77 DW77:EL77 EN77:FC77 DV29:FH29 HP77:IC77 G25:FB25 AQ89:BY92 G89:U92 W89:AO92 DT66:FJ66 G105:FJ105 IE77:IR77 AE49:FL49 FL105:FO105 AD34:FR35 FN49:FQ49 FZ49:GC49 IX49:JA49 JC49:JF49 JH49:JK49 JM49:JP49 JR49:JU49 AE48:FS48 FV49:FX49 FS49:FT49 FD25:FU25 G70:FU70 FU48:FW48 G103:FV103 FQ105:FV105 AD78:FX78 CJ68:GD68 FE77:GF77 G96:GZ96 FJ29:GM29 FT34:GE35 BM53:GI53 G71:GE71 GG71 GH77:GX77 G73:GE73 G26:GI26 G44:CN44 FY48:GJ48 GE49:GJ49 GM49:GO49 GK48:GL49 G101:GJ101 CA89:GQ91 G107:GR107 GE108:GT110 G83:U83 AH83:AV83 AX83 AZ83:BN83 BP83 BR83:CF83 DR83:EF83 EH83:EV83 CH83:DP83 IT77:JG77 GG34:GY35 G81:AC82 W83:AF83 GK26:HC26 CP44:GZ44 G75:HD75 CA92:HA92 G99:HZ99 HX75:IN75 IP75:JF75 JH75:JX75 JZ75:KP75 JI77:JV77 HF75:HV75 G106:HF106 GZ77:HN77 G93:HH93 HJ93:HO93 HQ93:HV93 HX93:IC93 IT93:IY93 JA93:JF93 G112:HH112 IT49:IV49 G53:BK55 HN111:HS111 GQ49:HN49 G95:M95 O95:Y95 G78:AB79 FX103:HW103 CV45:IC45 FS35 GF35 GZ35:ID35 HT24:KX24 G109:GD110 G27:GP27 HT22:IC23 HB44:ID44 FW70:IB70 G108:GC108 G111:HL111 AC32:IE32 IG32:IL32 IX32:JD32 JF32:JL32 HP49:IE49 GM48:IE48 IF48:IF49 Z46:AC52 G46:X52 Y50:Y52 G58:AW64 G115:M115 O115:Y115 EX83:KX83 G84:AC85 AY58:KX58 IG49 CO57:KX57 EB69:KX69 G86:FM87 FO87:GE87 HJ112:II112 G61:IZ61 JB61:KX61 JZ27:KI27 KK27:KT27 G74:IK74 IE93:IR93 HH106:KX106 HA34:MB34 IG48:MB48 JW49:JZ49 KB49:KE49 KG49:KJ49 KL49:KO49 KQ49:KT49 KV49:KY49 LA49:LD49 LF49:LI49 LK49:LN49 LP49:LS49 IE23:KX23 KY23:MB24 ID22:MB22 GK53:MB53 BM54:MB55 KY57:MB58 CO56:MB56 KY68:MB69 DW65:MB65 CJ67:MB67 GI71:MB71 IM74:MB74 KR75:LG75 LI75:LX75 LZ75:MB75 CC76:MB76 JX77:KK77 KM77:KZ77 LB77:LO77 LQ77:MB77 G80:MB80 KY83:MB84 AE81:MB82 FN86:MB86 JH93:MB93 HC92:MB92 HB96:MB96 G94:MB94 AA95:MB95 KY106:MB107 G102:MB102 HY103:MB103 FX105:MB105 HU111:MB111 IK112:MB112 KY120:LB120 LG120:LJ120 LO120:LR120 LW120:LZ120 KV120:KW120 LD120:LE120 LL120:LM120 LT120:LU120 MB120 GT107:KX107 GR27:JX27 KV27:MB27 JT128:MB132 JF126:MB126 AD33:IL33 IN33:MB33 IM32:IM33 IF35:MB35 G125:KX125 KY60:MB62 AX62:KX62 ID70:MB70 G88:MB88 GU109:MB110 II49:IR49 LU49:LX49 LZ49:MB49 G104:MB104 AX60:KX60 G72:MB72 G20:MB21 DV28:MB28 AD30:MB31 IN32:IV32 IE45:MB45 AD50:MB52 AY59:MB59 GF68:KX68 GG73:MB73 AD36:MB40 AC79:MB79 G113:MB114 HE26:MB26 FY119:MB119 AX63:MB64 FL66:MB66 AE84:KX84 G85:MB85 GV108:MB108 G22:HS24 G215:IO219 IP142:MB219 G221:KX231 G220:MB220 GG87:MB87 G64:MB64 G127:MB127 G116:MB118 AA115:MB115 G97:MB98 IB99:MB99 G100:MB100 GL101:MB101 G126:JD126 G30:AB40 JN32:MB32 KY221:MB239 G237:KX239 G240:MB240 JT122:KX124 KY122:MB125 CP121:MB121 IY122:JC122 IU120:KL120 G19:IP19 IR19:MB19 FW25:MB25 IF44:MB44 AE46:MB47 FZ78:MB78 G41:MB43 GS89:MB91 GO29:MB29</xm:sqref>
        </x14:conditionalFormatting>
        <x14:conditionalFormatting xmlns:xm="http://schemas.microsoft.com/office/excel/2006/main">
          <x14:cfRule type="containsText" priority="2632" operator="containsText" id="{4FD2B4AB-BC91-463C-82AE-D63469F0C1B2}">
            <xm:f>NOT(ISERROR(SEARCH($C$278,Z153)))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2633" operator="containsText" id="{F29F3EAA-2C9F-40D0-BE1B-04D1F4128E21}">
            <xm:f>NOT(ISERROR(SEARCH($C$286,Z153)))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634" operator="containsText" id="{D71D685F-F81B-45DD-AEF0-B4AD73329AD8}">
            <xm:f>NOT(ISERROR(SEARCH($C$279,Z153)))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2635" operator="containsText" id="{973CB390-9077-4333-9BD3-E09CCEDB5078}">
            <xm:f>NOT(ISERROR(SEARCH($C$280,Z153)))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Z153:AC153</xm:sqref>
        </x14:conditionalFormatting>
        <x14:conditionalFormatting xmlns:xm="http://schemas.microsoft.com/office/excel/2006/main">
          <x14:cfRule type="containsText" priority="2621" operator="containsText" id="{758C4083-BB71-4CDF-AD65-AEA8760BB7E1}">
            <xm:f>NOT(ISERROR(SEARCH($C$284,Z153)))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2622" operator="containsText" id="{5E7014FD-FE07-4921-97F5-E472A9CDE4F7}">
            <xm:f>NOT(ISERROR(SEARCH($C$282,Z153)))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623" operator="containsText" id="{431BEA1C-1465-46C2-97D3-4B0A6687BE57}">
            <xm:f>NOT(ISERROR(SEARCH($C$283,Z153)))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624" operator="containsText" id="{DAA53AC4-9160-4207-80D2-5E44AB49CAF0}">
            <xm:f>NOT(ISERROR(SEARCH($C$287,Z153)))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625" operator="containsText" id="{A21B0EA7-BF34-4FB9-BB45-51F017AF4BE5}">
            <xm:f>NOT(ISERROR(SEARCH($C$283,Z153)))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626" operator="containsText" id="{652C7306-BC88-4C66-A4D1-91089B2860B7}">
            <xm:f>NOT(ISERROR(SEARCH($C$282,Z153)))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627" operator="containsText" id="{0CE65C41-708E-4358-B87D-9DD7DB7452D0}">
            <xm:f>NOT(ISERROR(SEARCH($C$287,Z153)))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628" operator="containsText" id="{BE5E11C7-BD81-4192-90BE-174A418C88B1}">
            <xm:f>NOT(ISERROR(SEARCH($C$289,Z153)))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2629" operator="containsText" id="{C0A02611-BF8A-45E0-8F12-DA173AE1DFE1}">
            <xm:f>NOT(ISERROR(SEARCH($C$288,Z153)))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2630" operator="containsText" id="{187D5F24-2A3B-4E6C-A9AB-A05F5E6FA8E4}">
            <xm:f>NOT(ISERROR(SEARCH($C$285,Z153)))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31" operator="containsText" id="{F848B899-42B0-4EA8-9924-E7072489D57F}">
            <xm:f>NOT(ISERROR(SEARCH($C$290,Z153)))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Z153:AC153</xm:sqref>
        </x14:conditionalFormatting>
        <x14:conditionalFormatting xmlns:xm="http://schemas.microsoft.com/office/excel/2006/main">
          <x14:cfRule type="containsText" priority="1977" operator="containsText" id="{2E5FFFA9-EC58-4EF6-8C64-300964B90EFD}">
            <xm:f>NOT(ISERROR(SEARCH($C$278,S122)))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978" operator="containsText" id="{0610FE4A-B337-444E-98F2-998672FD54B6}">
            <xm:f>NOT(ISERROR(SEARCH($C$286,S122)))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979" operator="containsText" id="{44736DB2-0675-40E3-A8C2-78B053C154A8}">
            <xm:f>NOT(ISERROR(SEARCH($C$279,S122)))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980" operator="containsText" id="{6697CD88-7E6E-4028-9914-55987082BB56}">
            <xm:f>NOT(ISERROR(SEARCH($C$280,S122)))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S122:W122</xm:sqref>
        </x14:conditionalFormatting>
        <x14:conditionalFormatting xmlns:xm="http://schemas.microsoft.com/office/excel/2006/main">
          <x14:cfRule type="containsText" priority="1966" operator="containsText" id="{9465EF48-C3F5-46CB-B964-6412D56DAF76}">
            <xm:f>NOT(ISERROR(SEARCH($C$284,S122)))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967" operator="containsText" id="{4163D58D-D9A6-4F3C-9A20-B5BD1744461C}">
            <xm:f>NOT(ISERROR(SEARCH($C$282,S122)))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968" operator="containsText" id="{D9D55C89-045E-45EF-8BAC-4CAD99AE571A}">
            <xm:f>NOT(ISERROR(SEARCH($C$283,S122)))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969" operator="containsText" id="{6F32842F-6E9D-4CC9-94DF-CC4EB0656528}">
            <xm:f>NOT(ISERROR(SEARCH($C$287,S122)))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970" operator="containsText" id="{F0987CA5-4CF1-4CB4-8E56-946DBA6C289F}">
            <xm:f>NOT(ISERROR(SEARCH($C$283,S122)))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971" operator="containsText" id="{04C16E93-6FBE-4339-893E-834D03C11A34}">
            <xm:f>NOT(ISERROR(SEARCH($C$282,S122)))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972" operator="containsText" id="{86A31BE3-3068-46F8-8989-7A106F64AFDF}">
            <xm:f>NOT(ISERROR(SEARCH($C$287,S122)))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973" operator="containsText" id="{A37BBDBC-2DDF-4C25-9062-085AD4F8B550}">
            <xm:f>NOT(ISERROR(SEARCH($C$289,S122)))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974" operator="containsText" id="{EC4D7919-E3BA-405E-B2B4-C9C1E9E38BA4}">
            <xm:f>NOT(ISERROR(SEARCH($C$288,S122)))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975" operator="containsText" id="{2B3D8F3B-3FCB-4F8A-8AEA-9C5D1B0105D3}">
            <xm:f>NOT(ISERROR(SEARCH($C$285,S122)))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976" operator="containsText" id="{E4A509FF-38CF-4164-9BD0-1228DEAFA66A}">
            <xm:f>NOT(ISERROR(SEARCH($C$290,S122)))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S122:W122</xm:sqref>
        </x14:conditionalFormatting>
        <x14:conditionalFormatting xmlns:xm="http://schemas.microsoft.com/office/excel/2006/main">
          <x14:cfRule type="containsText" priority="1777" operator="containsText" id="{3FEFFDBC-4C4E-4368-A54B-2B05953F94B1}">
            <xm:f>NOT(ISERROR(SEARCH($C$278,BG199)))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778" operator="containsText" id="{747CA3A1-1C39-484C-A320-161AD566E775}">
            <xm:f>NOT(ISERROR(SEARCH($C$286,BG199)))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779" operator="containsText" id="{FF9673F8-7E40-4326-A54E-6BD627974413}">
            <xm:f>NOT(ISERROR(SEARCH($C$279,BG199)))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780" operator="containsText" id="{1E78FF8F-17A3-4CBB-978B-048EE3C34916}">
            <xm:f>NOT(ISERROR(SEARCH($C$280,BG199)))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BG199</xm:sqref>
        </x14:conditionalFormatting>
        <x14:conditionalFormatting xmlns:xm="http://schemas.microsoft.com/office/excel/2006/main">
          <x14:cfRule type="containsText" priority="1766" operator="containsText" id="{9E05E19F-3488-4B98-8324-1AE723C12B22}">
            <xm:f>NOT(ISERROR(SEARCH($C$284,BG199)))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767" operator="containsText" id="{356A77D6-6967-4BC8-86E0-00C57E53B250}">
            <xm:f>NOT(ISERROR(SEARCH($C$282,BG199)))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768" operator="containsText" id="{631135A8-65E7-4612-A832-D08A3E74479A}">
            <xm:f>NOT(ISERROR(SEARCH($C$283,BG199)))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769" operator="containsText" id="{28E28B2A-24AE-4984-A9BD-AB85E3671ECD}">
            <xm:f>NOT(ISERROR(SEARCH($C$287,BG199)))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770" operator="containsText" id="{CF9BCC10-8E58-45B6-8AC8-EDD937F06FA8}">
            <xm:f>NOT(ISERROR(SEARCH($C$283,BG199)))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771" operator="containsText" id="{A9338059-AB82-4457-9453-01ED5FD33E23}">
            <xm:f>NOT(ISERROR(SEARCH($C$282,BG199)))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772" operator="containsText" id="{46F451BB-AD90-4342-A9F3-0D854E30E840}">
            <xm:f>NOT(ISERROR(SEARCH($C$287,BG199)))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773" operator="containsText" id="{5EA42272-8B22-43F9-9E89-CCBB819CB129}">
            <xm:f>NOT(ISERROR(SEARCH($C$289,BG199)))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774" operator="containsText" id="{5FB96870-59FB-493A-9F8F-E785B2B28240}">
            <xm:f>NOT(ISERROR(SEARCH($C$288,BG199)))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775" operator="containsText" id="{E9BE1346-86FE-44E1-B50B-E86EA8DBBE57}">
            <xm:f>NOT(ISERROR(SEARCH($C$285,BG199)))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76" operator="containsText" id="{7E8B08E1-43A1-4E94-85EE-25E1E91B9AB8}">
            <xm:f>NOT(ISERROR(SEARCH($C$290,BG199)))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BG199</xm:sqref>
        </x14:conditionalFormatting>
        <x14:conditionalFormatting xmlns:xm="http://schemas.microsoft.com/office/excel/2006/main">
          <x14:cfRule type="containsText" priority="1747" operator="containsText" id="{41B0136D-C2D5-4D5A-8B65-B772F3338407}">
            <xm:f>NOT(ISERROR(SEARCH($C$278,BO199)))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748" operator="containsText" id="{5615F6EC-BF08-4B43-826E-A39168833701}">
            <xm:f>NOT(ISERROR(SEARCH($C$286,BO199)))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749" operator="containsText" id="{1434A024-4877-43EB-9BC6-B89E78019CFA}">
            <xm:f>NOT(ISERROR(SEARCH($C$279,BO199)))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750" operator="containsText" id="{D5CFD454-75B4-4975-8ABF-30BA3E8D5E52}">
            <xm:f>NOT(ISERROR(SEARCH($C$280,BO199)))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BO199</xm:sqref>
        </x14:conditionalFormatting>
        <x14:conditionalFormatting xmlns:xm="http://schemas.microsoft.com/office/excel/2006/main">
          <x14:cfRule type="containsText" priority="1736" operator="containsText" id="{93215386-CB48-4F35-9538-BCEEDCEDB20D}">
            <xm:f>NOT(ISERROR(SEARCH($C$284,BO199)))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737" operator="containsText" id="{F38B792D-253D-45C6-BC66-A1DD3605457F}">
            <xm:f>NOT(ISERROR(SEARCH($C$282,BO199)))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738" operator="containsText" id="{45C8A212-B22B-4358-8A12-FF757DAA8B3E}">
            <xm:f>NOT(ISERROR(SEARCH($C$283,BO199)))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739" operator="containsText" id="{E65DA9D1-10AD-4458-8ED4-25F4ADAE7C56}">
            <xm:f>NOT(ISERROR(SEARCH($C$287,BO199)))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740" operator="containsText" id="{42476683-B966-426D-9004-07F7B7145E33}">
            <xm:f>NOT(ISERROR(SEARCH($C$283,BO199)))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741" operator="containsText" id="{B0A95ACC-802C-4682-AD05-459FCE44E82B}">
            <xm:f>NOT(ISERROR(SEARCH($C$282,BO199)))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742" operator="containsText" id="{6F0EB7C8-B3A4-4141-BB10-6B8F31621B05}">
            <xm:f>NOT(ISERROR(SEARCH($C$287,BO199)))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743" operator="containsText" id="{45BA9381-96AF-4E38-8EAA-9324158B4068}">
            <xm:f>NOT(ISERROR(SEARCH($C$289,BO199)))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744" operator="containsText" id="{07203DC7-C20C-40FF-9A33-F1435F45F810}">
            <xm:f>NOT(ISERROR(SEARCH($C$288,BO199)))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745" operator="containsText" id="{EBCB7C11-9BFA-45E9-AD8D-FCCB13772275}">
            <xm:f>NOT(ISERROR(SEARCH($C$285,BO199)))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46" operator="containsText" id="{EB577CB0-5327-42AB-AEAA-CB4BD397BE36}">
            <xm:f>NOT(ISERROR(SEARCH($C$290,BO199)))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BO199</xm:sqref>
        </x14:conditionalFormatting>
        <x14:conditionalFormatting xmlns:xm="http://schemas.microsoft.com/office/excel/2006/main">
          <x14:cfRule type="containsText" priority="1014" operator="containsText" id="{C42CF5C5-3B6E-4D4E-B4BC-1F2BCD9FA72D}">
            <xm:f>NOT(ISERROR(SEARCH($C$278,AD183)))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015" operator="containsText" id="{14C868F0-2D42-47B3-AF35-EF5233F153E9}">
            <xm:f>NOT(ISERROR(SEARCH($C$286,AD183)))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016" operator="containsText" id="{A6E2986E-825D-445C-B44E-B157600A8FCF}">
            <xm:f>NOT(ISERROR(SEARCH($C$279,AD183)))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017" operator="containsText" id="{F66B2D22-5BD5-4BA1-9809-B093457145D9}">
            <xm:f>NOT(ISERROR(SEARCH($C$280,AD183)))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AD183</xm:sqref>
        </x14:conditionalFormatting>
        <x14:conditionalFormatting xmlns:xm="http://schemas.microsoft.com/office/excel/2006/main">
          <x14:cfRule type="containsText" priority="1003" operator="containsText" id="{7367FADC-DE0E-4BAC-8218-DEF3EBE12AFB}">
            <xm:f>NOT(ISERROR(SEARCH($C$284,AD183)))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004" operator="containsText" id="{AF26DDCD-C147-4160-8B56-FBBFEBE5B3DD}">
            <xm:f>NOT(ISERROR(SEARCH($C$282,AD183)))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005" operator="containsText" id="{F64F331E-91FE-400A-8808-79C8BD2696AE}">
            <xm:f>NOT(ISERROR(SEARCH($C$283,AD183)))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006" operator="containsText" id="{2AB435EB-7B4A-49EA-AE74-CF7EB8D09A24}">
            <xm:f>NOT(ISERROR(SEARCH($C$287,AD183)))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007" operator="containsText" id="{360713A4-4A39-4FDF-A69A-74637114239D}">
            <xm:f>NOT(ISERROR(SEARCH($C$283,AD183)))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008" operator="containsText" id="{F8AD0D0F-2EA1-4F6D-A5B4-BEB8E3344347}">
            <xm:f>NOT(ISERROR(SEARCH($C$282,AD183)))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009" operator="containsText" id="{2135786E-3F0E-4781-9DD7-19B317D7FEF0}">
            <xm:f>NOT(ISERROR(SEARCH($C$287,AD183)))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010" operator="containsText" id="{C50ED656-4FFC-4D41-97F6-637C9A821D50}">
            <xm:f>NOT(ISERROR(SEARCH($C$289,AD183)))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011" operator="containsText" id="{F3C30C4C-5F55-48EC-B269-6FE9E03A79D0}">
            <xm:f>NOT(ISERROR(SEARCH($C$288,AD183)))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012" operator="containsText" id="{3DD22F9C-C1F8-487A-94D6-754B6F577473}">
            <xm:f>NOT(ISERROR(SEARCH($C$285,AD183)))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13" operator="containsText" id="{D8F74266-48A8-4720-BA4E-9231B4D9B7F3}">
            <xm:f>NOT(ISERROR(SEARCH($C$290,AD183)))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AD183</xm:sqref>
        </x14:conditionalFormatting>
        <x14:conditionalFormatting xmlns:xm="http://schemas.microsoft.com/office/excel/2006/main">
          <x14:cfRule type="containsText" priority="761" operator="containsText" id="{BC492AD6-08B8-4282-A45F-DD6CC4E5BF7D}">
            <xm:f>NOT(ISERROR(SEARCH($C$278,AD153)))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762" operator="containsText" id="{C826B648-FD91-4AB2-A4B0-0A5343C90129}">
            <xm:f>NOT(ISERROR(SEARCH($C$286,AD153)))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763" operator="containsText" id="{7BD09858-0250-402F-9311-E9CCACC0560A}">
            <xm:f>NOT(ISERROR(SEARCH($C$279,AD153)))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764" operator="containsText" id="{D86AA4B1-72A4-46C6-BA41-9D9B15F5C3AB}">
            <xm:f>NOT(ISERROR(SEARCH($C$280,AD153)))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AD153:AH153</xm:sqref>
        </x14:conditionalFormatting>
        <x14:conditionalFormatting xmlns:xm="http://schemas.microsoft.com/office/excel/2006/main">
          <x14:cfRule type="containsText" priority="750" operator="containsText" id="{498BF4B2-BD56-4540-BC68-C2C63649324D}">
            <xm:f>NOT(ISERROR(SEARCH($C$284,AD153)))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751" operator="containsText" id="{F45EFEFA-3F7D-4670-B1BE-57EB91C2DDF0}">
            <xm:f>NOT(ISERROR(SEARCH($C$282,AD153)))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52" operator="containsText" id="{20061F38-E2D9-4D5C-ADB5-ECA7B38FBE6B}">
            <xm:f>NOT(ISERROR(SEARCH($C$283,AD153)))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53" operator="containsText" id="{09D0F2AA-8C33-44A5-BC8F-81D93AD979D7}">
            <xm:f>NOT(ISERROR(SEARCH($C$287,AD153)))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54" operator="containsText" id="{C974F49E-F506-407A-A7AD-62F83A8C991A}">
            <xm:f>NOT(ISERROR(SEARCH($C$283,AD153)))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55" operator="containsText" id="{F86EAFB1-1E47-44A1-9962-E3FB03E85C06}">
            <xm:f>NOT(ISERROR(SEARCH($C$282,AD153)))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56" operator="containsText" id="{0C641AC2-C10A-4997-B485-322E903BA1CA}">
            <xm:f>NOT(ISERROR(SEARCH($C$287,AD153)))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57" operator="containsText" id="{BFF511CC-5297-41F4-8382-DF14B11E8DD8}">
            <xm:f>NOT(ISERROR(SEARCH($C$289,AD153)))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758" operator="containsText" id="{33F9F8BF-19EC-4BBC-BBEE-57EA79377CE3}">
            <xm:f>NOT(ISERROR(SEARCH($C$288,AD153)))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759" operator="containsText" id="{36E8C7AF-D2A9-4681-A530-EFD6805D299D}">
            <xm:f>NOT(ISERROR(SEARCH($C$285,AD153)))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60" operator="containsText" id="{D223CF0C-DB27-4935-A9ED-05928F2FA820}">
            <xm:f>NOT(ISERROR(SEARCH($C$290,AD153)))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AD153:AH153</xm:sqref>
        </x14:conditionalFormatting>
        <x14:conditionalFormatting xmlns:xm="http://schemas.microsoft.com/office/excel/2006/main">
          <x14:cfRule type="containsText" priority="746" operator="containsText" id="{94788321-16D4-4569-825F-AF0AC39DE894}">
            <xm:f>NOT(ISERROR(SEARCH($C$278,AJ153)))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747" operator="containsText" id="{B88B515B-C603-4823-8251-79E19B7B5AB5}">
            <xm:f>NOT(ISERROR(SEARCH($C$286,AJ153)))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748" operator="containsText" id="{1BE1EC7E-EDD3-4E76-B5CE-1DA451622E2D}">
            <xm:f>NOT(ISERROR(SEARCH($C$279,AJ153)))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749" operator="containsText" id="{C161493D-25AF-4B9E-AE3E-E12C3F220D98}">
            <xm:f>NOT(ISERROR(SEARCH($C$280,AJ153)))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AJ153</xm:sqref>
        </x14:conditionalFormatting>
        <x14:conditionalFormatting xmlns:xm="http://schemas.microsoft.com/office/excel/2006/main">
          <x14:cfRule type="containsText" priority="735" operator="containsText" id="{E30A38DB-BE32-4369-BE79-56876521B9EC}">
            <xm:f>NOT(ISERROR(SEARCH($C$284,AJ153)))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736" operator="containsText" id="{02305FE3-078B-47AD-A76B-6831CCD6F432}">
            <xm:f>NOT(ISERROR(SEARCH($C$282,AJ153)))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37" operator="containsText" id="{89869E12-628F-4054-8612-EAEEE2076D77}">
            <xm:f>NOT(ISERROR(SEARCH($C$283,AJ153)))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38" operator="containsText" id="{E7983688-76C6-4D2A-AFAE-D417E58D487C}">
            <xm:f>NOT(ISERROR(SEARCH($C$287,AJ153)))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39" operator="containsText" id="{097708E9-3843-4601-B403-F78083B560AF}">
            <xm:f>NOT(ISERROR(SEARCH($C$283,AJ153)))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40" operator="containsText" id="{9B3DE492-281D-4EDF-98F0-48D4272946E2}">
            <xm:f>NOT(ISERROR(SEARCH($C$282,AJ153)))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41" operator="containsText" id="{A2E06B79-A722-4092-BF70-676B65EE3A2C}">
            <xm:f>NOT(ISERROR(SEARCH($C$287,AJ153)))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42" operator="containsText" id="{6CBCD4CF-6EB3-4142-B455-EB6C42CDA3AE}">
            <xm:f>NOT(ISERROR(SEARCH($C$289,AJ153)))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743" operator="containsText" id="{8B423C0F-C010-45F5-9FAD-EEAB05D77920}">
            <xm:f>NOT(ISERROR(SEARCH($C$288,AJ153)))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744" operator="containsText" id="{9B7565C2-4896-4814-B110-CE5A4B7C8670}">
            <xm:f>NOT(ISERROR(SEARCH($C$285,AJ153)))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45" operator="containsText" id="{EBF0BE85-7EEA-40AC-811E-D7792B5310D8}">
            <xm:f>NOT(ISERROR(SEARCH($C$290,AJ153)))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AJ153</xm:sqref>
        </x14:conditionalFormatting>
        <x14:conditionalFormatting xmlns:xm="http://schemas.microsoft.com/office/excel/2006/main">
          <x14:cfRule type="containsText" priority="731" operator="containsText" id="{282516B6-79A8-4FDA-870D-008D3A693DDF}">
            <xm:f>NOT(ISERROR(SEARCH($C$278,AK153)))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732" operator="containsText" id="{B462D529-5196-4181-89BA-637560474088}">
            <xm:f>NOT(ISERROR(SEARCH($C$286,AK153)))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733" operator="containsText" id="{B61952BA-5EF9-4C2A-B0AD-A0317B1DE2BC}">
            <xm:f>NOT(ISERROR(SEARCH($C$279,AK153)))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734" operator="containsText" id="{9B3CA3B9-924E-4493-9A26-21443DCC9ECD}">
            <xm:f>NOT(ISERROR(SEARCH($C$280,AK153)))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AK153</xm:sqref>
        </x14:conditionalFormatting>
        <x14:conditionalFormatting xmlns:xm="http://schemas.microsoft.com/office/excel/2006/main">
          <x14:cfRule type="containsText" priority="720" operator="containsText" id="{FF0B41ED-7E60-4620-973A-222C7080B203}">
            <xm:f>NOT(ISERROR(SEARCH($C$284,AK153)))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721" operator="containsText" id="{C6B048B8-3653-4359-9CEF-6D6628F0A4CF}">
            <xm:f>NOT(ISERROR(SEARCH($C$282,AK153)))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22" operator="containsText" id="{F45C0273-8D38-4295-ACCF-D248C26011CD}">
            <xm:f>NOT(ISERROR(SEARCH($C$283,AK153)))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23" operator="containsText" id="{9EAECD9B-94C5-42F5-884F-821BA2770263}">
            <xm:f>NOT(ISERROR(SEARCH($C$287,AK153)))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24" operator="containsText" id="{1E3E6613-F1F7-418D-81F1-EA51D52ADFD4}">
            <xm:f>NOT(ISERROR(SEARCH($C$283,AK153)))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25" operator="containsText" id="{94907BEA-1F74-4617-874A-D2ECAE62661B}">
            <xm:f>NOT(ISERROR(SEARCH($C$282,AK153)))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26" operator="containsText" id="{8F0D2AAE-DB3A-48FE-BA6A-ACB5A7273A8A}">
            <xm:f>NOT(ISERROR(SEARCH($C$287,AK153)))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27" operator="containsText" id="{F77A63D6-42EC-4403-8E4D-A0353BF3B0DE}">
            <xm:f>NOT(ISERROR(SEARCH($C$289,AK153)))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728" operator="containsText" id="{AF647E38-720A-4944-98FC-EA4F195E6D16}">
            <xm:f>NOT(ISERROR(SEARCH($C$288,AK153)))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729" operator="containsText" id="{DA0E8485-7104-48D9-A7CD-D24B1A4B13C9}">
            <xm:f>NOT(ISERROR(SEARCH($C$285,AK153)))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30" operator="containsText" id="{3279CF1F-3DFB-426F-9355-D2E745097A33}">
            <xm:f>NOT(ISERROR(SEARCH($C$290,AK153)))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AK153</xm:sqref>
        </x14:conditionalFormatting>
        <x14:conditionalFormatting xmlns:xm="http://schemas.microsoft.com/office/excel/2006/main">
          <x14:cfRule type="containsText" priority="716" operator="containsText" id="{A896C720-4514-47B0-B85A-6BFDFE5A67A1}">
            <xm:f>NOT(ISERROR(SEARCH($C$278,AK153)))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717" operator="containsText" id="{4FF41699-C28A-42FF-BBE0-4E9370131C3B}">
            <xm:f>NOT(ISERROR(SEARCH($C$286,AK153)))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718" operator="containsText" id="{B35C9F85-9049-4D04-97A3-D9134D13C3F2}">
            <xm:f>NOT(ISERROR(SEARCH($C$279,AK153)))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719" operator="containsText" id="{75B4B4E1-C14A-4DDE-A46C-5419311DED6C}">
            <xm:f>NOT(ISERROR(SEARCH($C$280,AK153)))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AK153</xm:sqref>
        </x14:conditionalFormatting>
        <x14:conditionalFormatting xmlns:xm="http://schemas.microsoft.com/office/excel/2006/main">
          <x14:cfRule type="containsText" priority="705" operator="containsText" id="{C7F609E8-4C13-4F87-8B3B-12EA0D0413F9}">
            <xm:f>NOT(ISERROR(SEARCH($C$284,AK153)))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706" operator="containsText" id="{E42B41AE-C0A2-4F5B-978D-3DEAD0A9A1B9}">
            <xm:f>NOT(ISERROR(SEARCH($C$282,AK153)))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07" operator="containsText" id="{285C663E-3A38-49A1-A9DC-C4964F851FCA}">
            <xm:f>NOT(ISERROR(SEARCH($C$283,AK153)))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08" operator="containsText" id="{82B7995F-6EAB-43CF-946D-56065048C47C}">
            <xm:f>NOT(ISERROR(SEARCH($C$287,AK153)))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09" operator="containsText" id="{567528F1-4298-4205-A117-D356417A0005}">
            <xm:f>NOT(ISERROR(SEARCH($C$283,AK153)))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10" operator="containsText" id="{1127CAD6-872A-42FF-869A-714839A5C7D0}">
            <xm:f>NOT(ISERROR(SEARCH($C$282,AK153)))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11" operator="containsText" id="{BE74AB85-278D-42A5-A660-31A606537A90}">
            <xm:f>NOT(ISERROR(SEARCH($C$287,AK153)))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712" operator="containsText" id="{655E03EC-913E-405C-99EB-B683C180DC26}">
            <xm:f>NOT(ISERROR(SEARCH($C$289,AK153)))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713" operator="containsText" id="{C7F2E893-AA6C-43C1-B4D9-DB6401725447}">
            <xm:f>NOT(ISERROR(SEARCH($C$288,AK153)))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714" operator="containsText" id="{A3AB7914-9524-4D99-B842-FCC3836F85E3}">
            <xm:f>NOT(ISERROR(SEARCH($C$285,AK153)))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15" operator="containsText" id="{5CBA698F-797E-4E43-89A1-FB5CAC829104}">
            <xm:f>NOT(ISERROR(SEARCH($C$290,AK153)))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AK153</xm:sqref>
        </x14:conditionalFormatting>
        <x14:conditionalFormatting xmlns:xm="http://schemas.microsoft.com/office/excel/2006/main">
          <x14:cfRule type="containsText" priority="701" operator="containsText" id="{5F619A59-ADB0-4347-B387-42F8E03E7B11}">
            <xm:f>NOT(ISERROR(SEARCH($C$278,AL153)))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702" operator="containsText" id="{D405E01F-8841-4C31-97AB-5E8CE2844E0C}">
            <xm:f>NOT(ISERROR(SEARCH($C$286,AL153)))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703" operator="containsText" id="{635C9261-B74F-47DA-82C5-73B7269D4F40}">
            <xm:f>NOT(ISERROR(SEARCH($C$279,AL153)))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704" operator="containsText" id="{4558C271-3D03-4BC3-A4BA-42C20096A4EE}">
            <xm:f>NOT(ISERROR(SEARCH($C$280,AL153)))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AL153:AO153</xm:sqref>
        </x14:conditionalFormatting>
        <x14:conditionalFormatting xmlns:xm="http://schemas.microsoft.com/office/excel/2006/main">
          <x14:cfRule type="containsText" priority="690" operator="containsText" id="{EF222CFE-3105-429F-8537-A64B4AEA0EA0}">
            <xm:f>NOT(ISERROR(SEARCH($C$284,AL153)))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691" operator="containsText" id="{A466EF46-7EAC-42A0-A146-6131788C5FAF}">
            <xm:f>NOT(ISERROR(SEARCH($C$282,AL153)))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92" operator="containsText" id="{39BF3588-2798-4636-8E38-275777BA452E}">
            <xm:f>NOT(ISERROR(SEARCH($C$283,AL153)))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93" operator="containsText" id="{9533FAC1-4470-4B49-9E4A-358F5528BC87}">
            <xm:f>NOT(ISERROR(SEARCH($C$287,AL153)))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94" operator="containsText" id="{A19699AF-2664-4944-AE37-A58F335967F2}">
            <xm:f>NOT(ISERROR(SEARCH($C$283,AL153)))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95" operator="containsText" id="{40328E97-FBB2-4796-8F32-CB551FFDB2FB}">
            <xm:f>NOT(ISERROR(SEARCH($C$282,AL153)))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96" operator="containsText" id="{613A7F24-2989-43B6-B56E-F6C267A91422}">
            <xm:f>NOT(ISERROR(SEARCH($C$287,AL153)))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97" operator="containsText" id="{CCB16C77-9D6A-43FD-98A5-8C22DA39F040}">
            <xm:f>NOT(ISERROR(SEARCH($C$289,AL153)))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698" operator="containsText" id="{7415BDDE-A254-441C-8E7D-6E9A68A69602}">
            <xm:f>NOT(ISERROR(SEARCH($C$288,AL153)))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699" operator="containsText" id="{C09C9F39-1652-4EC4-BDA7-6F4CB41E1546}">
            <xm:f>NOT(ISERROR(SEARCH($C$285,AL153)))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00" operator="containsText" id="{4DC4DDF9-4509-4A87-B77F-B6A2844E3475}">
            <xm:f>NOT(ISERROR(SEARCH($C$290,AL153)))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AL153:AO153</xm:sqref>
        </x14:conditionalFormatting>
        <x14:conditionalFormatting xmlns:xm="http://schemas.microsoft.com/office/excel/2006/main">
          <x14:cfRule type="containsText" priority="686" operator="containsText" id="{64944289-18F4-4818-94A1-ED3774A6C329}">
            <xm:f>NOT(ISERROR(SEARCH($C$278,AR153)))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687" operator="containsText" id="{94A4F049-9562-4C10-B99A-4458340F4E07}">
            <xm:f>NOT(ISERROR(SEARCH($C$286,AR153)))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688" operator="containsText" id="{1D9149A1-FC5C-46F7-8F8C-557F719CAAEB}">
            <xm:f>NOT(ISERROR(SEARCH($C$279,AR153)))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689" operator="containsText" id="{D0185734-334D-43BA-80A2-703C7011305D}">
            <xm:f>NOT(ISERROR(SEARCH($C$280,AR153)))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AR153</xm:sqref>
        </x14:conditionalFormatting>
        <x14:conditionalFormatting xmlns:xm="http://schemas.microsoft.com/office/excel/2006/main">
          <x14:cfRule type="containsText" priority="675" operator="containsText" id="{C561ACFA-3120-49F2-85C4-2CA6154CCD97}">
            <xm:f>NOT(ISERROR(SEARCH($C$284,AR153)))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676" operator="containsText" id="{EC23C90A-1066-48D7-981C-BDA2349C1547}">
            <xm:f>NOT(ISERROR(SEARCH($C$282,AR153)))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77" operator="containsText" id="{83CF1097-1A16-4C18-8399-EF2BBF0E4FEF}">
            <xm:f>NOT(ISERROR(SEARCH($C$283,AR153)))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78" operator="containsText" id="{369BFFF8-C326-4970-A30A-1DD563D4935A}">
            <xm:f>NOT(ISERROR(SEARCH($C$287,AR153)))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79" operator="containsText" id="{58F61834-70A4-4401-9965-356DA3D0C901}">
            <xm:f>NOT(ISERROR(SEARCH($C$283,AR153)))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80" operator="containsText" id="{1F086708-F7B3-4BE2-A34B-8B4D15C5BA4A}">
            <xm:f>NOT(ISERROR(SEARCH($C$282,AR153)))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81" operator="containsText" id="{340059CE-32DC-44C0-B9B7-F282BE019DA3}">
            <xm:f>NOT(ISERROR(SEARCH($C$287,AR153)))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82" operator="containsText" id="{4A223B5E-9736-422A-928E-58E79F7BB259}">
            <xm:f>NOT(ISERROR(SEARCH($C$289,AR153)))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683" operator="containsText" id="{336BBD23-7529-400B-A263-AEB16CF3BC8A}">
            <xm:f>NOT(ISERROR(SEARCH($C$288,AR153)))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684" operator="containsText" id="{5D36F34B-A7D4-41A3-87EE-83ED526ACA44}">
            <xm:f>NOT(ISERROR(SEARCH($C$285,AR153)))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85" operator="containsText" id="{0B3F0406-A99A-458C-9DC9-3282C94E0308}">
            <xm:f>NOT(ISERROR(SEARCH($C$290,AR153)))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AR153</xm:sqref>
        </x14:conditionalFormatting>
        <x14:conditionalFormatting xmlns:xm="http://schemas.microsoft.com/office/excel/2006/main">
          <x14:cfRule type="containsText" priority="559" operator="containsText" id="{E7E875C2-D920-4003-AA58-9E79BC7B2379}">
            <xm:f>NOT(ISERROR(SEARCH($C$278,AO187)))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560" operator="containsText" id="{C8E8A386-36D5-4020-B197-E8B170D3BC33}">
            <xm:f>NOT(ISERROR(SEARCH($C$286,AO187)))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561" operator="containsText" id="{FE89284D-6242-4A71-B50E-34FBAB7A03B0}">
            <xm:f>NOT(ISERROR(SEARCH($C$279,AO187)))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562" operator="containsText" id="{70EBF54F-C651-46FB-9E1A-70D927B8C67B}">
            <xm:f>NOT(ISERROR(SEARCH($C$280,AO187)))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AO187</xm:sqref>
        </x14:conditionalFormatting>
        <x14:conditionalFormatting xmlns:xm="http://schemas.microsoft.com/office/excel/2006/main">
          <x14:cfRule type="containsText" priority="548" operator="containsText" id="{5A74FE3A-1F0C-43F4-A331-A0A48E15CAAE}">
            <xm:f>NOT(ISERROR(SEARCH($C$284,AO187)))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549" operator="containsText" id="{EF03CBBD-E747-447B-9587-752A2D169AF0}">
            <xm:f>NOT(ISERROR(SEARCH($C$282,AO187)))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550" operator="containsText" id="{FC085330-2170-4FC0-9D45-8CF4DBB5A128}">
            <xm:f>NOT(ISERROR(SEARCH($C$283,AO187)))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551" operator="containsText" id="{DE068AA5-7913-400A-86F8-5434D0DE4E90}">
            <xm:f>NOT(ISERROR(SEARCH($C$287,AO187)))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552" operator="containsText" id="{45AAE372-FDB7-4F54-8D26-FC56332CF911}">
            <xm:f>NOT(ISERROR(SEARCH($C$283,AO187)))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553" operator="containsText" id="{B6352B81-8361-4FAA-84AF-BCA221F91188}">
            <xm:f>NOT(ISERROR(SEARCH($C$282,AO187)))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554" operator="containsText" id="{171C0006-C82C-4064-AA0B-1C9060218C6A}">
            <xm:f>NOT(ISERROR(SEARCH($C$287,AO187)))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555" operator="containsText" id="{12A4E7A7-CC7B-4DCC-8225-897FC434E23B}">
            <xm:f>NOT(ISERROR(SEARCH($C$289,AO187)))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556" operator="containsText" id="{501F06DC-8155-4768-B715-FA765A4D21F6}">
            <xm:f>NOT(ISERROR(SEARCH($C$288,AO187)))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557" operator="containsText" id="{9D320B30-471E-4EFA-A846-77D834A3B679}">
            <xm:f>NOT(ISERROR(SEARCH($C$285,AO187)))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58" operator="containsText" id="{F4362A21-2986-4C1A-8266-7ED1C80656B5}">
            <xm:f>NOT(ISERROR(SEARCH($C$290,AO187)))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AO187</xm:sqref>
        </x14:conditionalFormatting>
        <x14:conditionalFormatting xmlns:xm="http://schemas.microsoft.com/office/excel/2006/main">
          <x14:cfRule type="containsText" priority="297" operator="containsText" id="{A8C87CEE-F92F-453C-BDE5-00D3DFD9D9F2}">
            <xm:f>NOT(ISERROR(SEARCH($C$278,EJ220)))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298" operator="containsText" id="{1869CCB3-A334-4A60-9369-8514934A8A10}">
            <xm:f>NOT(ISERROR(SEARCH($C$286,EJ220)))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99" operator="containsText" id="{9187059B-9A06-4E77-9DBE-692AEAF40A28}">
            <xm:f>NOT(ISERROR(SEARCH($C$279,EJ220)))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300" operator="containsText" id="{FF21A189-0EEF-43E7-B7DE-8C4B16A78FAC}">
            <xm:f>NOT(ISERROR(SEARCH($C$280,EJ220)))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EJ220</xm:sqref>
        </x14:conditionalFormatting>
        <x14:conditionalFormatting xmlns:xm="http://schemas.microsoft.com/office/excel/2006/main">
          <x14:cfRule type="containsText" priority="286" operator="containsText" id="{71DE3F24-EDF4-48BC-A0E6-2174CC394E75}">
            <xm:f>NOT(ISERROR(SEARCH($C$284,EJ220)))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287" operator="containsText" id="{5B1A2F00-DED7-438A-9051-5C2BFB2EFFF3}">
            <xm:f>NOT(ISERROR(SEARCH($C$282,EJ220)))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88" operator="containsText" id="{F68C6D55-B1E7-4ADB-923C-CAA7178210D7}">
            <xm:f>NOT(ISERROR(SEARCH($C$283,EJ220)))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89" operator="containsText" id="{8E8A256B-F1EE-416E-A8E3-DAB344AAB491}">
            <xm:f>NOT(ISERROR(SEARCH($C$287,EJ220)))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90" operator="containsText" id="{FA445BA2-1A17-4AAF-BBEA-146FEC689355}">
            <xm:f>NOT(ISERROR(SEARCH($C$283,EJ220)))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91" operator="containsText" id="{AA3D92A9-84CE-4810-9FE1-87F8132F7B5E}">
            <xm:f>NOT(ISERROR(SEARCH($C$282,EJ220)))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92" operator="containsText" id="{125ABE97-3A2C-418A-A6C5-5126C08017F3}">
            <xm:f>NOT(ISERROR(SEARCH($C$287,EJ220)))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93" operator="containsText" id="{DCD8F9C2-21EF-4288-83C0-20A754E0B99A}">
            <xm:f>NOT(ISERROR(SEARCH($C$289,EJ220)))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294" operator="containsText" id="{847CD9BF-D71C-4F6A-A19F-C3003DFA79D7}">
            <xm:f>NOT(ISERROR(SEARCH($C$288,EJ220)))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295" operator="containsText" id="{A9387358-DE75-46A7-9389-ABC1E686C042}">
            <xm:f>NOT(ISERROR(SEARCH($C$285,EJ220)))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96" operator="containsText" id="{7E5BEC19-55D9-4F6A-A87F-4C8FA71D3E5C}">
            <xm:f>NOT(ISERROR(SEARCH($C$290,EJ220)))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EJ220</xm:sqref>
        </x14:conditionalFormatting>
        <x14:conditionalFormatting xmlns:xm="http://schemas.microsoft.com/office/excel/2006/main">
          <x14:cfRule type="containsText" priority="237" operator="containsText" id="{021B6194-C31D-4B75-8EFF-C41C315B63CA}">
            <xm:f>NOT(ISERROR(SEARCH($C$278,GG122)))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238" operator="containsText" id="{4A0FC093-DA36-4C6E-93E9-30A04DEC4948}">
            <xm:f>NOT(ISERROR(SEARCH($C$286,GG122)))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39" operator="containsText" id="{56C19523-B538-4BAF-BF9A-705BF2037B95}">
            <xm:f>NOT(ISERROR(SEARCH($C$279,GG122)))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240" operator="containsText" id="{D3EFCADE-18EE-4A31-BF0B-10F997464BA8}">
            <xm:f>NOT(ISERROR(SEARCH($C$280,GG122)))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GG122</xm:sqref>
        </x14:conditionalFormatting>
        <x14:conditionalFormatting xmlns:xm="http://schemas.microsoft.com/office/excel/2006/main">
          <x14:cfRule type="containsText" priority="226" operator="containsText" id="{FECD9094-A1A9-42F9-A287-02C50C173849}">
            <xm:f>NOT(ISERROR(SEARCH($C$284,GG122)))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227" operator="containsText" id="{08A27B1E-4BB4-4934-B4DC-93FBAF3CA217}">
            <xm:f>NOT(ISERROR(SEARCH($C$282,GG122)))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28" operator="containsText" id="{53DD34AC-65C6-4003-A1A3-7CCC70967D47}">
            <xm:f>NOT(ISERROR(SEARCH($C$283,GG122)))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29" operator="containsText" id="{3718D1B7-EB71-4E99-BD66-451F7C8F98C1}">
            <xm:f>NOT(ISERROR(SEARCH($C$287,GG122)))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30" operator="containsText" id="{C6B5B73E-5202-4595-AAC1-A78201FEA3BA}">
            <xm:f>NOT(ISERROR(SEARCH($C$283,GG122)))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31" operator="containsText" id="{94A9E845-EB21-4B83-9849-2C31735EAC5C}">
            <xm:f>NOT(ISERROR(SEARCH($C$282,GG122)))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32" operator="containsText" id="{BC08B105-B0EC-4175-998B-C582F60A3919}">
            <xm:f>NOT(ISERROR(SEARCH($C$287,GG122)))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33" operator="containsText" id="{B59BD58B-4596-42EC-B8E1-6733A3A43283}">
            <xm:f>NOT(ISERROR(SEARCH($C$289,GG122)))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234" operator="containsText" id="{5B0B3C47-8D0B-4462-8B95-491B40C12BD7}">
            <xm:f>NOT(ISERROR(SEARCH($C$288,GG122)))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235" operator="containsText" id="{F6B5299F-527E-4F79-ABFD-B1C9B6D61EB3}">
            <xm:f>NOT(ISERROR(SEARCH($C$285,GG122)))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6" operator="containsText" id="{99E3F54E-D491-407E-A892-9E8AB04DBF51}">
            <xm:f>NOT(ISERROR(SEARCH($C$290,GG122)))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GG122</xm:sqref>
        </x14:conditionalFormatting>
        <x14:conditionalFormatting xmlns:xm="http://schemas.microsoft.com/office/excel/2006/main">
          <x14:cfRule type="containsText" priority="222" operator="containsText" id="{D82A27A8-FC3C-4666-BE53-B5900BEFEC12}">
            <xm:f>NOT(ISERROR(SEARCH($C$278,GJ120)))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223" operator="containsText" id="{350442D4-4165-4F55-AABA-3270997E4C9A}">
            <xm:f>NOT(ISERROR(SEARCH($C$286,GJ120)))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24" operator="containsText" id="{8D471E90-D47B-45D7-A426-189EDAD86EEA}">
            <xm:f>NOT(ISERROR(SEARCH($C$279,GJ120)))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225" operator="containsText" id="{57CE8E2A-DF30-40BE-94E1-2A863AA128BF}">
            <xm:f>NOT(ISERROR(SEARCH($C$280,GJ120)))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GJ120</xm:sqref>
        </x14:conditionalFormatting>
        <x14:conditionalFormatting xmlns:xm="http://schemas.microsoft.com/office/excel/2006/main">
          <x14:cfRule type="containsText" priority="211" operator="containsText" id="{AE48FAFB-65AF-480D-A277-94F4762D4E74}">
            <xm:f>NOT(ISERROR(SEARCH($C$284,GJ120)))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212" operator="containsText" id="{BADFF89D-1816-41B1-8B03-2B773C633EF2}">
            <xm:f>NOT(ISERROR(SEARCH($C$282,GJ120)))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13" operator="containsText" id="{A6041B7E-D659-4E3F-AC7B-569286FC98CE}">
            <xm:f>NOT(ISERROR(SEARCH($C$283,GJ120)))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14" operator="containsText" id="{34CDF4BB-874F-4011-B135-470E7374B475}">
            <xm:f>NOT(ISERROR(SEARCH($C$287,GJ120)))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15" operator="containsText" id="{D82B283D-EB60-4888-AD1D-A34B34B38FE8}">
            <xm:f>NOT(ISERROR(SEARCH($C$283,GJ120)))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16" operator="containsText" id="{AF2A1EEA-70CD-4935-84F0-D155AD8DBD70}">
            <xm:f>NOT(ISERROR(SEARCH($C$282,GJ120)))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17" operator="containsText" id="{0111B38E-5B51-4349-971F-B48FCF51D625}">
            <xm:f>NOT(ISERROR(SEARCH($C$287,GJ120)))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18" operator="containsText" id="{56F8CDDE-D386-46C2-BED3-62522B9BD944}">
            <xm:f>NOT(ISERROR(SEARCH($C$289,GJ120)))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219" operator="containsText" id="{EBE88A20-5BC3-4329-B280-31C191EF65EA}">
            <xm:f>NOT(ISERROR(SEARCH($C$288,GJ120)))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220" operator="containsText" id="{4673E1EB-58A0-4C60-BED4-24C32D61D4FF}">
            <xm:f>NOT(ISERROR(SEARCH($C$285,GJ120)))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21" operator="containsText" id="{F60EB1D9-BE64-4E14-95D6-B8AF41D888ED}">
            <xm:f>NOT(ISERROR(SEARCH($C$290,GJ120)))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GJ120</xm:sqref>
        </x14:conditionalFormatting>
        <x14:conditionalFormatting xmlns:xm="http://schemas.microsoft.com/office/excel/2006/main">
          <x14:cfRule type="containsText" priority="207" operator="containsText" id="{3395C8D4-6FCA-4C3D-A82E-CC1A1F4459E2}">
            <xm:f>NOT(ISERROR(SEARCH($C$278,IK122)))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208" operator="containsText" id="{5FA34873-F9E9-4B39-9C05-B91FB8B6CC4B}">
            <xm:f>NOT(ISERROR(SEARCH($C$286,IK122)))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09" operator="containsText" id="{85EE6588-DDE7-4000-ABEA-6B62D057D53A}">
            <xm:f>NOT(ISERROR(SEARCH($C$279,IK122)))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210" operator="containsText" id="{088ABE5F-6F4E-494C-A9AD-E40CCF3355AA}">
            <xm:f>NOT(ISERROR(SEARCH($C$280,IK122)))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IK122</xm:sqref>
        </x14:conditionalFormatting>
        <x14:conditionalFormatting xmlns:xm="http://schemas.microsoft.com/office/excel/2006/main">
          <x14:cfRule type="containsText" priority="196" operator="containsText" id="{D67C0CFA-FEF2-44DB-8B69-DA46DC87B15D}">
            <xm:f>NOT(ISERROR(SEARCH($C$284,IK122)))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97" operator="containsText" id="{9797CF9D-CE1E-419B-811D-13E53A2D5767}">
            <xm:f>NOT(ISERROR(SEARCH($C$282,IK122)))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98" operator="containsText" id="{DC0B1EB6-38D5-4E47-8224-FAAF92060D01}">
            <xm:f>NOT(ISERROR(SEARCH($C$283,IK122)))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99" operator="containsText" id="{2B0B7F83-19A4-4F4E-AD33-7D1A5BDD7AC7}">
            <xm:f>NOT(ISERROR(SEARCH($C$287,IK122)))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00" operator="containsText" id="{AACFA66A-482E-4252-B04C-4F5150105E73}">
            <xm:f>NOT(ISERROR(SEARCH($C$283,IK122)))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01" operator="containsText" id="{D5C7A26B-00D1-4C8B-BF04-E64007355CB5}">
            <xm:f>NOT(ISERROR(SEARCH($C$282,IK122)))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02" operator="containsText" id="{4A4CEB97-9994-43B8-8196-D4CE37626435}">
            <xm:f>NOT(ISERROR(SEARCH($C$287,IK122)))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03" operator="containsText" id="{C08D356D-8CE9-4FC8-84F9-A22C34504086}">
            <xm:f>NOT(ISERROR(SEARCH($C$289,IK122)))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204" operator="containsText" id="{806B92E5-A684-448F-A369-0A330D111C6A}">
            <xm:f>NOT(ISERROR(SEARCH($C$288,IK122)))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205" operator="containsText" id="{3FAF73B8-9D18-40C7-97D7-90A6349C3C76}">
            <xm:f>NOT(ISERROR(SEARCH($C$285,IK122)))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06" operator="containsText" id="{FA1713DB-98F8-40C8-9AFC-EF89B35D1439}">
            <xm:f>NOT(ISERROR(SEARCH($C$290,IK122)))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IK122</xm:sqref>
        </x14:conditionalFormatting>
        <x14:conditionalFormatting xmlns:xm="http://schemas.microsoft.com/office/excel/2006/main">
          <x14:cfRule type="containsText" priority="192" operator="containsText" id="{20E6A4B2-3664-4287-8215-8B2D7F07AA27}">
            <xm:f>NOT(ISERROR(SEARCH($C$278,G65)))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93" operator="containsText" id="{6C33F787-BEF6-4F79-9939-F06D89A37EC8}">
            <xm:f>NOT(ISERROR(SEARCH($C$286,G65)))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94" operator="containsText" id="{DD8F491B-333C-42C6-A0FF-BF089E53665A}">
            <xm:f>NOT(ISERROR(SEARCH($C$279,G65)))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95" operator="containsText" id="{CD026BB6-8A5E-41B9-A053-147F84B0C26C}">
            <xm:f>NOT(ISERROR(SEARCH($C$280,G65)))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G65:H65</xm:sqref>
        </x14:conditionalFormatting>
        <x14:conditionalFormatting xmlns:xm="http://schemas.microsoft.com/office/excel/2006/main">
          <x14:cfRule type="containsText" priority="181" operator="containsText" id="{68FD6C8D-F652-4852-9B8B-A51EDFED22B8}">
            <xm:f>NOT(ISERROR(SEARCH($C$284,G65)))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82" operator="containsText" id="{24934BCE-4642-4950-9C49-806BB36F3203}">
            <xm:f>NOT(ISERROR(SEARCH($C$282,G65)))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83" operator="containsText" id="{58ADB431-927F-4CB5-9E8C-3B73520E1627}">
            <xm:f>NOT(ISERROR(SEARCH($C$283,G65)))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84" operator="containsText" id="{C302E3FA-6FA5-4981-9B53-B5A2690F402A}">
            <xm:f>NOT(ISERROR(SEARCH($C$287,G65)))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85" operator="containsText" id="{4B8CD51A-18DC-45B2-A174-CBB42D834207}">
            <xm:f>NOT(ISERROR(SEARCH($C$283,G65)))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86" operator="containsText" id="{BE509E64-F77A-4A27-80CE-FA4FD77DE029}">
            <xm:f>NOT(ISERROR(SEARCH($C$282,G65)))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87" operator="containsText" id="{E7DCA356-AC3D-4653-8368-9139EBF48B22}">
            <xm:f>NOT(ISERROR(SEARCH($C$287,G65)))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88" operator="containsText" id="{14B91E3C-69F6-4E3A-889F-F8D4C432CB94}">
            <xm:f>NOT(ISERROR(SEARCH($C$289,G65)))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89" operator="containsText" id="{F102CFC3-81B0-4D0B-B9D4-AA7EBF87A484}">
            <xm:f>NOT(ISERROR(SEARCH($C$288,G65)))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90" operator="containsText" id="{B1E342A0-7368-4033-83B5-B761FA116AA2}">
            <xm:f>NOT(ISERROR(SEARCH($C$285,G65)))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91" operator="containsText" id="{F75D19C4-97A6-4A4D-88CB-7A732D64F2F9}">
            <xm:f>NOT(ISERROR(SEARCH($C$290,G65)))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G65:H65</xm:sqref>
        </x14:conditionalFormatting>
        <x14:conditionalFormatting xmlns:xm="http://schemas.microsoft.com/office/excel/2006/main">
          <x14:cfRule type="containsText" priority="177" operator="containsText" id="{2F3FC613-6ABD-4E8C-B662-E1B4C343AAD2}">
            <xm:f>NOT(ISERROR(SEARCH($C$278,Y76)))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78" operator="containsText" id="{4B76DC5B-25D7-43F9-9F4B-1C595C4E8023}">
            <xm:f>NOT(ISERROR(SEARCH($C$286,Y76)))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79" operator="containsText" id="{0AE0ACCC-698E-4108-AA0D-054509CDD19E}">
            <xm:f>NOT(ISERROR(SEARCH($C$279,Y76)))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80" operator="containsText" id="{9D9AC4E5-1EF6-4EC1-B0F8-F760D556A14B}">
            <xm:f>NOT(ISERROR(SEARCH($C$280,Y76)))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Y76:AC76</xm:sqref>
        </x14:conditionalFormatting>
        <x14:conditionalFormatting xmlns:xm="http://schemas.microsoft.com/office/excel/2006/main">
          <x14:cfRule type="containsText" priority="166" operator="containsText" id="{6DB41B8D-8C9A-42EF-B127-11573B6295D3}">
            <xm:f>NOT(ISERROR(SEARCH($C$284,Y76)))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67" operator="containsText" id="{2F23B045-5589-489A-B652-23340A81F825}">
            <xm:f>NOT(ISERROR(SEARCH($C$282,Y76)))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68" operator="containsText" id="{2DF2DBB0-290B-476A-A653-354D83927AF7}">
            <xm:f>NOT(ISERROR(SEARCH($C$283,Y76)))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69" operator="containsText" id="{B8E68793-F026-42D0-AB52-641C45EE4F85}">
            <xm:f>NOT(ISERROR(SEARCH($C$287,Y76)))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70" operator="containsText" id="{0721FE39-38E1-43CC-B3FF-FC636FF4B629}">
            <xm:f>NOT(ISERROR(SEARCH($C$283,Y76)))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71" operator="containsText" id="{0A12B367-80AD-449B-9F6B-505B55D6EDE1}">
            <xm:f>NOT(ISERROR(SEARCH($C$282,Y76)))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72" operator="containsText" id="{8CFB071B-831A-43D2-9D5A-E9D9612FC7B6}">
            <xm:f>NOT(ISERROR(SEARCH($C$287,Y76)))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73" operator="containsText" id="{AEE85A76-D97B-46EE-860E-D370FFAA784E}">
            <xm:f>NOT(ISERROR(SEARCH($C$289,Y76)))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74" operator="containsText" id="{41E58BFC-DE40-461C-B5E2-416A4A442E80}">
            <xm:f>NOT(ISERROR(SEARCH($C$288,Y76)))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75" operator="containsText" id="{32EBB123-9420-41EC-96AA-B565B5AC24F4}">
            <xm:f>NOT(ISERROR(SEARCH($C$285,Y76)))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6" operator="containsText" id="{F7C7F0C8-8526-4EED-BB9C-ED4CE4B7E8FC}">
            <xm:f>NOT(ISERROR(SEARCH($C$290,Y76)))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Y76:AC76</xm:sqref>
        </x14:conditionalFormatting>
        <x14:conditionalFormatting xmlns:xm="http://schemas.microsoft.com/office/excel/2006/main">
          <x14:cfRule type="containsText" priority="162" operator="containsText" id="{26EE4B12-565B-4856-B6E1-B6C5BED041C3}">
            <xm:f>NOT(ISERROR(SEARCH($C$278,AR76)))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63" operator="containsText" id="{CC2B2EAD-44F0-4923-96B4-B7C9B8048853}">
            <xm:f>NOT(ISERROR(SEARCH($C$286,AR76)))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64" operator="containsText" id="{CB4FB44B-65BD-4565-9C9F-A2F8A1907959}">
            <xm:f>NOT(ISERROR(SEARCH($C$279,AR76)))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65" operator="containsText" id="{221786BA-2B8C-4B42-B440-50C7BC6E4729}">
            <xm:f>NOT(ISERROR(SEARCH($C$280,AR76)))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AR76</xm:sqref>
        </x14:conditionalFormatting>
        <x14:conditionalFormatting xmlns:xm="http://schemas.microsoft.com/office/excel/2006/main">
          <x14:cfRule type="containsText" priority="151" operator="containsText" id="{5756C7C5-E322-49B8-9A93-0572F0E68799}">
            <xm:f>NOT(ISERROR(SEARCH($C$284,AR76)))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52" operator="containsText" id="{8BDF65D3-6389-4304-AD36-B6A4257C3F35}">
            <xm:f>NOT(ISERROR(SEARCH($C$282,AR76)))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53" operator="containsText" id="{CA1F9410-EEAF-4E1C-94C9-8543A93DAF34}">
            <xm:f>NOT(ISERROR(SEARCH($C$283,AR76)))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54" operator="containsText" id="{0AB6870F-3579-4B78-A261-496CFF250760}">
            <xm:f>NOT(ISERROR(SEARCH($C$287,AR76)))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55" operator="containsText" id="{C2307F52-1036-41E8-B22F-E369D57E6A13}">
            <xm:f>NOT(ISERROR(SEARCH($C$283,AR76)))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56" operator="containsText" id="{F1EEDDF8-59AA-470D-822F-1D93CE31E259}">
            <xm:f>NOT(ISERROR(SEARCH($C$282,AR76)))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57" operator="containsText" id="{F395071D-A384-49A8-AD53-F201C16CD5BF}">
            <xm:f>NOT(ISERROR(SEARCH($C$287,AR76)))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58" operator="containsText" id="{29D8A628-1A17-412F-81D4-EFE067D054B3}">
            <xm:f>NOT(ISERROR(SEARCH($C$289,AR76)))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59" operator="containsText" id="{D18A407D-B2BA-42CB-8223-B40F2F771549}">
            <xm:f>NOT(ISERROR(SEARCH($C$288,AR76)))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60" operator="containsText" id="{6A4E06E9-5FC6-4E3E-8ED2-3A9C64CD2CFE}">
            <xm:f>NOT(ISERROR(SEARCH($C$285,AR76)))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61" operator="containsText" id="{86831BF0-F2EC-4EA4-A40E-78A6E170249A}">
            <xm:f>NOT(ISERROR(SEARCH($C$290,AR76)))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AR76</xm:sqref>
        </x14:conditionalFormatting>
        <x14:conditionalFormatting xmlns:xm="http://schemas.microsoft.com/office/excel/2006/main">
          <x14:cfRule type="containsText" priority="147" operator="containsText" id="{038880CB-8972-4310-BF3F-4D0F84BF7699}">
            <xm:f>NOT(ISERROR(SEARCH($C$278,AS76)))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48" operator="containsText" id="{5477674C-06C5-482B-9966-C09433858432}">
            <xm:f>NOT(ISERROR(SEARCH($C$286,AS76)))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49" operator="containsText" id="{AC5AF8F8-431D-4D89-88F4-2951B66A5BCF}">
            <xm:f>NOT(ISERROR(SEARCH($C$279,AS76)))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50" operator="containsText" id="{71A64810-8184-4C53-A646-9A859B6F0264}">
            <xm:f>NOT(ISERROR(SEARCH($C$280,AS76)))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AS76:AW76</xm:sqref>
        </x14:conditionalFormatting>
        <x14:conditionalFormatting xmlns:xm="http://schemas.microsoft.com/office/excel/2006/main">
          <x14:cfRule type="containsText" priority="136" operator="containsText" id="{FFB5E58C-C460-4F38-807E-223CE483A409}">
            <xm:f>NOT(ISERROR(SEARCH($C$284,AS76)))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37" operator="containsText" id="{6D6424AB-ACA5-4932-B2E6-9B2566479453}">
            <xm:f>NOT(ISERROR(SEARCH($C$282,AS76)))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38" operator="containsText" id="{F813781D-0DB3-4226-97B1-43E856A3EAA7}">
            <xm:f>NOT(ISERROR(SEARCH($C$283,AS76)))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39" operator="containsText" id="{D0FBE893-AD5D-4EE4-A8FB-E297330F39EB}">
            <xm:f>NOT(ISERROR(SEARCH($C$287,AS76)))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40" operator="containsText" id="{70B72D10-BFFE-4FC8-890C-4A2903328CDA}">
            <xm:f>NOT(ISERROR(SEARCH($C$283,AS76)))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41" operator="containsText" id="{13B1AE68-48FD-4AA7-8F6D-01103FA395A3}">
            <xm:f>NOT(ISERROR(SEARCH($C$282,AS76)))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42" operator="containsText" id="{52B9C406-9C25-4E79-A490-E7F4410F8AA9}">
            <xm:f>NOT(ISERROR(SEARCH($C$287,AS76)))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43" operator="containsText" id="{1D6EDDF6-7E59-4594-8243-6392CE7B7B5F}">
            <xm:f>NOT(ISERROR(SEARCH($C$289,AS76)))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44" operator="containsText" id="{EDC73E93-694C-4E58-A313-2382F6B855DC}">
            <xm:f>NOT(ISERROR(SEARCH($C$288,AS76)))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45" operator="containsText" id="{47BDE640-AED9-4436-A58E-4F5AD74EA612}">
            <xm:f>NOT(ISERROR(SEARCH($C$285,AS76)))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46" operator="containsText" id="{5CB6BB93-E0B7-4318-8334-091BE9494597}">
            <xm:f>NOT(ISERROR(SEARCH($C$290,AS76)))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AS76:AW76</xm:sqref>
        </x14:conditionalFormatting>
        <x14:conditionalFormatting xmlns:xm="http://schemas.microsoft.com/office/excel/2006/main">
          <x14:cfRule type="containsText" priority="132" operator="containsText" id="{3D49023C-8740-4E19-98CC-832863A70CEC}">
            <xm:f>NOT(ISERROR(SEARCH($C$278,BM76)))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33" operator="containsText" id="{EB560070-7219-4800-951F-BA502C2B0CEF}">
            <xm:f>NOT(ISERROR(SEARCH($C$286,BM76)))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34" operator="containsText" id="{D7E60D6B-4BC5-4804-AE4E-8860C28C0F6B}">
            <xm:f>NOT(ISERROR(SEARCH($C$279,BM76)))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35" operator="containsText" id="{826FF5DC-754A-43ED-9B8F-3639B5D4B074}">
            <xm:f>NOT(ISERROR(SEARCH($C$280,BM76)))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BM76</xm:sqref>
        </x14:conditionalFormatting>
        <x14:conditionalFormatting xmlns:xm="http://schemas.microsoft.com/office/excel/2006/main">
          <x14:cfRule type="containsText" priority="121" operator="containsText" id="{2C6843EA-1124-4C8E-BDDD-F1F25E1D1326}">
            <xm:f>NOT(ISERROR(SEARCH($C$284,BM76)))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22" operator="containsText" id="{A6EFACD3-387B-40F2-B988-E555893B2611}">
            <xm:f>NOT(ISERROR(SEARCH($C$282,BM76)))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23" operator="containsText" id="{DA2C580F-FCA8-4E83-A026-46964FE47914}">
            <xm:f>NOT(ISERROR(SEARCH($C$283,BM76)))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24" operator="containsText" id="{D6B32DE2-6C5F-4273-8663-ADC1AE39D1BC}">
            <xm:f>NOT(ISERROR(SEARCH($C$287,BM76)))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25" operator="containsText" id="{F46D3F84-7307-4A62-B7E7-9728F39ACF21}">
            <xm:f>NOT(ISERROR(SEARCH($C$283,BM76)))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26" operator="containsText" id="{BD40B0A3-3885-43A0-84C5-4FD4BC4803FD}">
            <xm:f>NOT(ISERROR(SEARCH($C$282,BM76)))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27" operator="containsText" id="{CA47E07F-F2DF-4277-813C-4263DC4BA415}">
            <xm:f>NOT(ISERROR(SEARCH($C$287,BM76)))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28" operator="containsText" id="{2EBE055A-1F88-4DCC-844A-AD3F438C93B0}">
            <xm:f>NOT(ISERROR(SEARCH($C$289,BM76)))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29" operator="containsText" id="{22C58BD6-C51B-4FF0-8421-CC90CE5EEBEF}">
            <xm:f>NOT(ISERROR(SEARCH($C$288,BM76)))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30" operator="containsText" id="{A6230B97-EA2E-4127-A3EB-842A2E73ED3D}">
            <xm:f>NOT(ISERROR(SEARCH($C$285,BM76)))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31" operator="containsText" id="{56EB5335-8B95-4731-AB7D-BB3C8880A582}">
            <xm:f>NOT(ISERROR(SEARCH($C$290,BM76)))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BM76</xm:sqref>
        </x14:conditionalFormatting>
        <x14:conditionalFormatting xmlns:xm="http://schemas.microsoft.com/office/excel/2006/main">
          <x14:cfRule type="containsText" priority="117" operator="containsText" id="{4B94E912-8BC3-4A52-9309-1F6C8ABF31D2}">
            <xm:f>NOT(ISERROR(SEARCH($C$278,BO76)))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18" operator="containsText" id="{EC165E2C-2508-4A60-ACCC-567054D5C8A8}">
            <xm:f>NOT(ISERROR(SEARCH($C$286,BO76)))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19" operator="containsText" id="{2F52A744-DA39-4858-B53C-814DF30758F6}">
            <xm:f>NOT(ISERROR(SEARCH($C$279,BO76)))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20" operator="containsText" id="{5FE097D5-AA9D-4C1A-B26D-5578BA074663}">
            <xm:f>NOT(ISERROR(SEARCH($C$280,BO76)))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BO76:BT76</xm:sqref>
        </x14:conditionalFormatting>
        <x14:conditionalFormatting xmlns:xm="http://schemas.microsoft.com/office/excel/2006/main">
          <x14:cfRule type="containsText" priority="106" operator="containsText" id="{E5EED503-5690-443B-BE26-7FFE6790B244}">
            <xm:f>NOT(ISERROR(SEARCH($C$284,BO76)))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07" operator="containsText" id="{C524461E-4A09-41F9-A15E-A3C66123443A}">
            <xm:f>NOT(ISERROR(SEARCH($C$282,BO76)))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08" operator="containsText" id="{53FFFFE0-31B3-433F-B05A-908C7717AED3}">
            <xm:f>NOT(ISERROR(SEARCH($C$283,BO76)))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09" operator="containsText" id="{DD4DCFB5-1B84-43EE-8717-02E5A528CD9A}">
            <xm:f>NOT(ISERROR(SEARCH($C$287,BO76)))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10" operator="containsText" id="{7F65DC56-CDDF-4C81-A0BF-F64E0B5C7A0C}">
            <xm:f>NOT(ISERROR(SEARCH($C$283,BO76)))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11" operator="containsText" id="{B6C11E82-6F0B-44C4-BD60-9A0840CEDF7E}">
            <xm:f>NOT(ISERROR(SEARCH($C$282,BO76)))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12" operator="containsText" id="{E7EDBDE1-EF58-4F3D-8A95-2B124BE3E5BB}">
            <xm:f>NOT(ISERROR(SEARCH($C$287,BO76)))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113" operator="containsText" id="{B8709DA8-0E33-4CFE-BE20-026453303EA0}">
            <xm:f>NOT(ISERROR(SEARCH($C$289,BO76)))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114" operator="containsText" id="{FDF71FD3-696D-4E9B-AC3D-A6966792811F}">
            <xm:f>NOT(ISERROR(SEARCH($C$288,BO76)))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15" operator="containsText" id="{72302C3E-0C0C-45B4-81FC-067C5B9FD371}">
            <xm:f>NOT(ISERROR(SEARCH($C$285,BO76)))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6" operator="containsText" id="{44BBD455-BCCD-4C32-BF4C-A6B29BCDDF5D}">
            <xm:f>NOT(ISERROR(SEARCH($C$290,BO76)))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BO76:BT76</xm:sqref>
        </x14:conditionalFormatting>
        <x14:conditionalFormatting xmlns:xm="http://schemas.microsoft.com/office/excel/2006/main">
          <x14:cfRule type="containsText" priority="102" operator="containsText" id="{8FBDBDE1-F905-4108-A239-AC8AB97BA0A1}">
            <xm:f>NOT(ISERROR(SEARCH($C$278,AY76)))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03" operator="containsText" id="{4C5DE03F-DE52-4F94-AEE0-E7E8EA512CCB}">
            <xm:f>NOT(ISERROR(SEARCH($C$286,AY76)))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04" operator="containsText" id="{79032977-FDEF-4FBC-B90D-FBC18FDB6C0B}">
            <xm:f>NOT(ISERROR(SEARCH($C$279,AY76)))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05" operator="containsText" id="{D6B28D63-F35F-41DC-A8AD-0505B22FBDD8}">
            <xm:f>NOT(ISERROR(SEARCH($C$280,AY76)))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AY76</xm:sqref>
        </x14:conditionalFormatting>
        <x14:conditionalFormatting xmlns:xm="http://schemas.microsoft.com/office/excel/2006/main">
          <x14:cfRule type="containsText" priority="91" operator="containsText" id="{35FE2346-B7F8-40D1-80AD-3A2DC578849E}">
            <xm:f>NOT(ISERROR(SEARCH($C$284,AY76)))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92" operator="containsText" id="{242AD1E3-A87E-435E-99EC-1C00A5E6A6FF}">
            <xm:f>NOT(ISERROR(SEARCH($C$282,AY76)))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93" operator="containsText" id="{73449F91-7CD5-4471-B3A5-ED26BC5597F5}">
            <xm:f>NOT(ISERROR(SEARCH($C$283,AY76)))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94" operator="containsText" id="{6442FD3F-B3CE-4D95-804E-2F1C854BD326}">
            <xm:f>NOT(ISERROR(SEARCH($C$287,AY76)))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95" operator="containsText" id="{DE197105-0D84-4650-A6E8-BF6D5E2E0ADE}">
            <xm:f>NOT(ISERROR(SEARCH($C$283,AY76)))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96" operator="containsText" id="{BAAB94EE-DA57-43AA-B756-DE806A82A1E9}">
            <xm:f>NOT(ISERROR(SEARCH($C$282,AY76)))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97" operator="containsText" id="{0A8FC67B-08C5-4A7E-8435-FB4F14924AA8}">
            <xm:f>NOT(ISERROR(SEARCH($C$287,AY76)))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98" operator="containsText" id="{59FEB206-5A8E-4567-BDB2-03C02376EF27}">
            <xm:f>NOT(ISERROR(SEARCH($C$289,AY76)))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99" operator="containsText" id="{82E186CE-B36A-46F6-A597-BB9597890CC6}">
            <xm:f>NOT(ISERROR(SEARCH($C$288,AY76)))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00" operator="containsText" id="{7CACDF0F-F2C4-4948-B2A1-2378D1647576}">
            <xm:f>NOT(ISERROR(SEARCH($C$285,AY76)))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1" operator="containsText" id="{E27C1469-37B6-4325-B7E9-5146D05CF04F}">
            <xm:f>NOT(ISERROR(SEARCH($C$290,AY76)))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AY76</xm:sqref>
        </x14:conditionalFormatting>
        <x14:conditionalFormatting xmlns:xm="http://schemas.microsoft.com/office/excel/2006/main">
          <x14:cfRule type="containsText" priority="87" operator="containsText" id="{3169764F-9DB6-4F8E-81FF-27D151C2F837}">
            <xm:f>NOT(ISERROR(SEARCH($C$278,BG76)))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88" operator="containsText" id="{4D7B2AD8-041F-4DF7-894C-7F73751A13F9}">
            <xm:f>NOT(ISERROR(SEARCH($C$286,BG76)))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89" operator="containsText" id="{4EA33DB6-2BEC-47DC-9BAF-F04C91151847}">
            <xm:f>NOT(ISERROR(SEARCH($C$279,BG76)))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90" operator="containsText" id="{FFD3D2AB-49C6-4DF1-BE77-1AD8ABE6C088}">
            <xm:f>NOT(ISERROR(SEARCH($C$280,BG76)))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BG76</xm:sqref>
        </x14:conditionalFormatting>
        <x14:conditionalFormatting xmlns:xm="http://schemas.microsoft.com/office/excel/2006/main">
          <x14:cfRule type="containsText" priority="76" operator="containsText" id="{57E204F2-CF24-4F81-810F-7CDA9DDC94E4}">
            <xm:f>NOT(ISERROR(SEARCH($C$284,BG76)))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77" operator="containsText" id="{300A2A9B-D74F-4942-B615-226339414543}">
            <xm:f>NOT(ISERROR(SEARCH($C$282,BG76)))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8" operator="containsText" id="{C8E58048-6029-4266-A446-DF84A8013A8A}">
            <xm:f>NOT(ISERROR(SEARCH($C$283,BG76)))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79" operator="containsText" id="{AD212D5D-9433-4884-A27A-89C8FA2D1EBB}">
            <xm:f>NOT(ISERROR(SEARCH($C$287,BG76)))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80" operator="containsText" id="{759FB0CD-7DFB-4395-8034-6439851DE4E2}">
            <xm:f>NOT(ISERROR(SEARCH($C$283,BG76)))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81" operator="containsText" id="{20C1E4C7-1EAB-47DC-803B-8EAD8C65EA70}">
            <xm:f>NOT(ISERROR(SEARCH($C$282,BG76)))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82" operator="containsText" id="{302CB0D4-787A-411F-B4C5-84C3CE91A54E}">
            <xm:f>NOT(ISERROR(SEARCH($C$287,BG76)))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83" operator="containsText" id="{6C18DDED-DACB-429B-98C1-6B76FDD0836D}">
            <xm:f>NOT(ISERROR(SEARCH($C$289,BG76)))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84" operator="containsText" id="{3577F740-3AA4-4905-B567-8B68A5DCF7CA}">
            <xm:f>NOT(ISERROR(SEARCH($C$288,BG76)))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85" operator="containsText" id="{6F29B632-D0FE-426D-8731-65A0289A5A7B}">
            <xm:f>NOT(ISERROR(SEARCH($C$285,BG76)))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6" operator="containsText" id="{71F499A1-3A48-4E7F-828A-91947BCA72A6}">
            <xm:f>NOT(ISERROR(SEARCH($C$290,BG76)))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BG76</xm:sqref>
        </x14:conditionalFormatting>
        <x14:conditionalFormatting xmlns:xm="http://schemas.microsoft.com/office/excel/2006/main">
          <x14:cfRule type="containsText" priority="72" operator="containsText" id="{AA4F2E4C-08E7-401E-8C76-36782E7E3821}">
            <xm:f>NOT(ISERROR(SEARCH($C$278,CQ29)))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73" operator="containsText" id="{C663770D-4A7E-4C8B-8072-7036E4F34C22}">
            <xm:f>NOT(ISERROR(SEARCH($C$286,CQ29)))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74" operator="containsText" id="{FA3E0B43-C610-4BAF-962D-0B06CFC139E9}">
            <xm:f>NOT(ISERROR(SEARCH($C$279,CQ29)))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75" operator="containsText" id="{EB28F5B2-A468-4416-82C4-11F6DD6AB38E}">
            <xm:f>NOT(ISERROR(SEARCH($C$280,CQ29)))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CQ29</xm:sqref>
        </x14:conditionalFormatting>
        <x14:conditionalFormatting xmlns:xm="http://schemas.microsoft.com/office/excel/2006/main">
          <x14:cfRule type="containsText" priority="61" operator="containsText" id="{EF5FAE76-7CAD-4769-AD28-773A28752A12}">
            <xm:f>NOT(ISERROR(SEARCH($C$284,CQ29)))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62" operator="containsText" id="{0E934EC2-DB4D-4E0A-A52E-139AC6BB1578}">
            <xm:f>NOT(ISERROR(SEARCH($C$282,CQ29)))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3" operator="containsText" id="{754E9B51-B588-43B4-9F01-08D14B0BC93D}">
            <xm:f>NOT(ISERROR(SEARCH($C$283,CQ29)))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4" operator="containsText" id="{ECB003EC-AFF6-492E-816A-31B7CD0D7878}">
            <xm:f>NOT(ISERROR(SEARCH($C$287,CQ29)))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5" operator="containsText" id="{77F85E60-891C-473F-8D3C-6F7D316706A1}">
            <xm:f>NOT(ISERROR(SEARCH($C$283,CQ29)))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6" operator="containsText" id="{4013256F-2027-4ED6-B0EF-AEE3AF902A3F}">
            <xm:f>NOT(ISERROR(SEARCH($C$282,CQ29)))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67" operator="containsText" id="{6CF30902-DE05-4205-9DA3-1E42F3E070EA}">
            <xm:f>NOT(ISERROR(SEARCH($C$287,CQ29)))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68" operator="containsText" id="{483D28B8-90AB-42BD-8909-583816C83B96}">
            <xm:f>NOT(ISERROR(SEARCH($C$289,CQ29)))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69" operator="containsText" id="{FF931CB5-2BFC-43B7-BF64-32957E4169AC}">
            <xm:f>NOT(ISERROR(SEARCH($C$288,CQ29)))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70" operator="containsText" id="{3F05E21E-A373-417A-8B2A-A2503878FB94}">
            <xm:f>NOT(ISERROR(SEARCH($C$285,CQ29)))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1" operator="containsText" id="{3EFA16EB-9F2A-4238-9304-52DA29FBB5FA}">
            <xm:f>NOT(ISERROR(SEARCH($C$290,CQ29)))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CQ29</xm:sqref>
        </x14:conditionalFormatting>
        <x14:conditionalFormatting xmlns:xm="http://schemas.microsoft.com/office/excel/2006/main">
          <x14:cfRule type="containsText" priority="57" operator="containsText" id="{A4A665F5-0D62-4A6C-BD30-A8CA56462364}">
            <xm:f>NOT(ISERROR(SEARCH($C$278,CN56)))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58" operator="containsText" id="{49ABE84E-EDBF-4860-9DCC-F590FEA39ADD}">
            <xm:f>NOT(ISERROR(SEARCH($C$286,CN56)))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59" operator="containsText" id="{2D56C28C-C93E-469B-A0EF-5EE884573031}">
            <xm:f>NOT(ISERROR(SEARCH($C$279,CN56)))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60" operator="containsText" id="{5F3A4216-E48F-4084-ACB4-650766D93B3A}">
            <xm:f>NOT(ISERROR(SEARCH($C$280,CN56)))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CN56:CN57</xm:sqref>
        </x14:conditionalFormatting>
        <x14:conditionalFormatting xmlns:xm="http://schemas.microsoft.com/office/excel/2006/main">
          <x14:cfRule type="containsText" priority="46" operator="containsText" id="{DD418E30-BB1D-47FA-9FF1-3C8D15DEF5EC}">
            <xm:f>NOT(ISERROR(SEARCH($C$284,CN56)))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47" operator="containsText" id="{9A43D67B-4F00-4685-A0DA-815A31213AC0}">
            <xm:f>NOT(ISERROR(SEARCH($C$282,CN56)))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48" operator="containsText" id="{F4FA1369-9782-4CCE-9928-E482EE02D4D7}">
            <xm:f>NOT(ISERROR(SEARCH($C$283,CN56)))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49" operator="containsText" id="{9C8FAD78-6640-4ABE-877B-095A875FC87B}">
            <xm:f>NOT(ISERROR(SEARCH($C$287,CN56)))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50" operator="containsText" id="{9EDFB619-7C88-4985-AD48-296E353F933D}">
            <xm:f>NOT(ISERROR(SEARCH($C$283,CN56)))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51" operator="containsText" id="{C15A5B33-FAF3-4E4A-A42E-73AE587C2008}">
            <xm:f>NOT(ISERROR(SEARCH($C$282,CN56)))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52" operator="containsText" id="{C53A768C-86A2-4D6A-919D-DA517434BF2D}">
            <xm:f>NOT(ISERROR(SEARCH($C$287,CN56)))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53" operator="containsText" id="{82C86113-C36C-40FD-813A-A93F3FA6BD72}">
            <xm:f>NOT(ISERROR(SEARCH($C$289,CN56)))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54" operator="containsText" id="{D06169E9-6B35-4AFA-8977-DE62E7BADFCC}">
            <xm:f>NOT(ISERROR(SEARCH($C$288,CN56)))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55" operator="containsText" id="{FF7D49CA-E08C-4B7B-8150-9ABD60BDC2C7}">
            <xm:f>NOT(ISERROR(SEARCH($C$285,CN56)))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6" operator="containsText" id="{69D46B03-C2F2-42BB-B417-AC05F870584A}">
            <xm:f>NOT(ISERROR(SEARCH($C$290,CN56)))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CN56:CN57</xm:sqref>
        </x14:conditionalFormatting>
        <x14:conditionalFormatting xmlns:xm="http://schemas.microsoft.com/office/excel/2006/main">
          <x14:cfRule type="containsText" priority="42" operator="containsText" id="{8D76078A-437A-4F70-A9B1-863B46DAA521}">
            <xm:f>NOT(ISERROR(SEARCH($C$278,FI29)))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43" operator="containsText" id="{92533363-7D87-42D5-9B45-B3BBFB30F5F7}">
            <xm:f>NOT(ISERROR(SEARCH($C$286,FI29)))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44" operator="containsText" id="{B50798D2-499F-4129-9335-6A5CA71F4B3A}">
            <xm:f>NOT(ISERROR(SEARCH($C$279,FI29)))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45" operator="containsText" id="{9B813907-5610-4557-9C93-6E8427D7ECF4}">
            <xm:f>NOT(ISERROR(SEARCH($C$280,FI29)))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FI29</xm:sqref>
        </x14:conditionalFormatting>
        <x14:conditionalFormatting xmlns:xm="http://schemas.microsoft.com/office/excel/2006/main">
          <x14:cfRule type="containsText" priority="31" operator="containsText" id="{1DB3AEDB-31DB-4743-9D74-FBF182C2B0DB}">
            <xm:f>NOT(ISERROR(SEARCH($C$284,FI29)))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32" operator="containsText" id="{5D5EC201-4E88-4789-B9C7-BBCAA7EE8AF5}">
            <xm:f>NOT(ISERROR(SEARCH($C$282,FI29)))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33" operator="containsText" id="{FA0E39E3-FBAB-4E8A-87F6-3CC7BAFA15D1}">
            <xm:f>NOT(ISERROR(SEARCH($C$283,FI29)))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34" operator="containsText" id="{13C41A8C-DD89-4BB1-B8D0-FADF25500CA7}">
            <xm:f>NOT(ISERROR(SEARCH($C$287,FI29)))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35" operator="containsText" id="{801340AB-A316-48E7-8F21-A3FEA9315FAF}">
            <xm:f>NOT(ISERROR(SEARCH($C$283,FI29)))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36" operator="containsText" id="{FFE5E170-4CBB-41A7-9BBB-FD827227585E}">
            <xm:f>NOT(ISERROR(SEARCH($C$282,FI29)))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37" operator="containsText" id="{D8206B56-27BC-44AC-B892-2A09618E00BF}">
            <xm:f>NOT(ISERROR(SEARCH($C$287,FI29)))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38" operator="containsText" id="{88D19359-2E12-4932-BB41-0EF122031D3F}">
            <xm:f>NOT(ISERROR(SEARCH($C$289,FI29)))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39" operator="containsText" id="{F1B24DBD-EAEA-4F3C-920B-268E0A0EDA58}">
            <xm:f>NOT(ISERROR(SEARCH($C$288,FI29)))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40" operator="containsText" id="{C14171FB-DF95-4AF1-9F52-B658D97995BC}">
            <xm:f>NOT(ISERROR(SEARCH($C$285,FI29)))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1" operator="containsText" id="{7BF3E786-2F0E-4861-8885-6F0597E5FF27}">
            <xm:f>NOT(ISERROR(SEARCH($C$290,FI29)))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FI29</xm:sqref>
        </x14:conditionalFormatting>
        <x14:conditionalFormatting xmlns:xm="http://schemas.microsoft.com/office/excel/2006/main">
          <x14:cfRule type="containsText" priority="27" operator="containsText" id="{06C1C4C4-4559-44CF-B9E8-378451335A30}">
            <xm:f>NOT(ISERROR(SEARCH($C$278,DV65)))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28" operator="containsText" id="{3BD4B832-6A0A-4048-8731-191C40681DE0}">
            <xm:f>NOT(ISERROR(SEARCH($C$286,DV65)))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9" operator="containsText" id="{EE34F13E-7E52-453C-B0BD-06E623476B40}">
            <xm:f>NOT(ISERROR(SEARCH($C$279,DV65)))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30" operator="containsText" id="{523CA4E4-1911-4069-9690-9F8DEAB8CAC5}">
            <xm:f>NOT(ISERROR(SEARCH($C$280,DV65)))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DV65</xm:sqref>
        </x14:conditionalFormatting>
        <x14:conditionalFormatting xmlns:xm="http://schemas.microsoft.com/office/excel/2006/main">
          <x14:cfRule type="containsText" priority="16" operator="containsText" id="{D7906801-CBDE-43F8-A85D-0CD3261C317F}">
            <xm:f>NOT(ISERROR(SEARCH($C$284,DV65)))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17" operator="containsText" id="{70AEE69A-0888-4D1E-8740-C4D0D1E00446}">
            <xm:f>NOT(ISERROR(SEARCH($C$282,DV65)))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18" operator="containsText" id="{54DC7FEE-02DD-45D7-A759-6B1EBE752713}">
            <xm:f>NOT(ISERROR(SEARCH($C$283,DV65)))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19" operator="containsText" id="{7276EAC2-5D61-4A05-B97F-E847E561C5E6}">
            <xm:f>NOT(ISERROR(SEARCH($C$287,DV65)))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0" operator="containsText" id="{326B4540-B9D8-4877-B9FF-EC32CB7139A0}">
            <xm:f>NOT(ISERROR(SEARCH($C$283,DV65)))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21" operator="containsText" id="{F04BCCE8-FC17-4C17-A2F9-8592447A7F7F}">
            <xm:f>NOT(ISERROR(SEARCH($C$282,DV65)))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22" operator="containsText" id="{A1F1EF41-4A7F-444E-B332-C8155570866E}">
            <xm:f>NOT(ISERROR(SEARCH($C$287,DV65)))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23" operator="containsText" id="{F3621EE4-EB9C-4CB7-8567-90C4D26A5FC9}">
            <xm:f>NOT(ISERROR(SEARCH($C$289,DV65)))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24" operator="containsText" id="{77D11086-9B60-48EF-83FA-A890FA4020E7}">
            <xm:f>NOT(ISERROR(SEARCH($C$288,DV65)))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25" operator="containsText" id="{899864D6-2826-4398-A2B8-9440BB907412}">
            <xm:f>NOT(ISERROR(SEARCH($C$285,DV65)))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" operator="containsText" id="{1FCC2E79-1F35-42EA-9990-DD51DDEF081E}">
            <xm:f>NOT(ISERROR(SEARCH($C$290,DV65)))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DV65</xm:sqref>
        </x14:conditionalFormatting>
        <x14:conditionalFormatting xmlns:xm="http://schemas.microsoft.com/office/excel/2006/main">
          <x14:cfRule type="containsText" priority="12" operator="containsText" id="{54CED8D5-3C5D-441E-916F-9FA4CBA51D29}">
            <xm:f>NOT(ISERROR(SEARCH($C$278,EM77)))</xm:f>
            <xm:f>$C$278</xm:f>
            <x14:dxf>
              <fill>
                <patternFill>
                  <bgColor rgb="FF00B050"/>
                </patternFill>
              </fill>
            </x14:dxf>
          </x14:cfRule>
          <x14:cfRule type="containsText" priority="13" operator="containsText" id="{69D5F310-6A3D-4261-982F-6579A131C1E9}">
            <xm:f>NOT(ISERROR(SEARCH($C$286,EM77)))</xm:f>
            <xm:f>$C$286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14" operator="containsText" id="{64D8D553-1726-44E7-B548-BE1B66A54AE2}">
            <xm:f>NOT(ISERROR(SEARCH($C$279,EM77)))</xm:f>
            <xm:f>$C$279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5" operator="containsText" id="{EC4CA1AA-0AA9-4057-BD51-16129D9906EB}">
            <xm:f>NOT(ISERROR(SEARCH($C$280,EM77)))</xm:f>
            <xm:f>$C$280</xm:f>
            <x14:dxf>
              <fill>
                <patternFill>
                  <bgColor rgb="FFFFC000"/>
                </patternFill>
              </fill>
            </x14:dxf>
          </x14:cfRule>
          <xm:sqref>EM77</xm:sqref>
        </x14:conditionalFormatting>
        <x14:conditionalFormatting xmlns:xm="http://schemas.microsoft.com/office/excel/2006/main">
          <x14:cfRule type="containsText" priority="1" operator="containsText" id="{FFB7990C-BB53-4281-83DD-9959BF17F9C5}">
            <xm:f>NOT(ISERROR(SEARCH($C$284,EM77)))</xm:f>
            <xm:f>$C$284</xm:f>
            <x14:dxf>
              <fill>
                <gradientFill degree="270">
                  <stop position="0">
                    <color rgb="FFFFC000"/>
                  </stop>
                  <stop position="1">
                    <color rgb="FF00B0F0"/>
                  </stop>
                </gradientFill>
              </fill>
            </x14:dxf>
          </x14:cfRule>
          <x14:cfRule type="containsText" priority="2" operator="containsText" id="{3C1FB0F7-8748-4E66-9705-701BDC330A4A}">
            <xm:f>NOT(ISERROR(SEARCH($C$282,EM77)))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3" operator="containsText" id="{833FAEC5-3D51-4A16-950D-6FB4EC8517F6}">
            <xm:f>NOT(ISERROR(SEARCH($C$283,EM77)))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4" operator="containsText" id="{C59A5DFC-72A4-4369-87B6-366CF8B2788C}">
            <xm:f>NOT(ISERROR(SEARCH($C$287,EM77)))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5" operator="containsText" id="{AF96F4A6-1ADB-45C2-9480-08570DC94B4B}">
            <xm:f>NOT(ISERROR(SEARCH($C$283,EM77)))</xm:f>
            <xm:f>$C$283</xm:f>
            <x14:dxf>
              <fill>
                <patternFill>
                  <bgColor rgb="FF00B0F0"/>
                </patternFill>
              </fill>
            </x14:dxf>
          </x14:cfRule>
          <x14:cfRule type="containsText" priority="6" operator="containsText" id="{3C5BF3F7-FE2E-4F63-9555-5BC5CC795BA7}">
            <xm:f>NOT(ISERROR(SEARCH($C$282,EM77)))</xm:f>
            <xm:f>$C$282</xm:f>
            <x14:dxf>
              <fill>
                <patternFill>
                  <bgColor rgb="FFA46ECC"/>
                </patternFill>
              </fill>
            </x14:dxf>
          </x14:cfRule>
          <x14:cfRule type="containsText" priority="7" operator="containsText" id="{2394D998-23AC-46AB-8771-089913D034D8}">
            <xm:f>NOT(ISERROR(SEARCH($C$287,EM77)))</xm:f>
            <xm:f>$C$287</xm:f>
            <x14:dxf>
              <fill>
                <patternFill>
                  <bgColor rgb="FFFFCCFF"/>
                </patternFill>
              </fill>
            </x14:dxf>
          </x14:cfRule>
          <x14:cfRule type="containsText" priority="8" operator="containsText" id="{279BC260-9ED6-48B7-B82E-F0567C70217D}">
            <xm:f>NOT(ISERROR(SEARCH($C$289,EM77)))</xm:f>
            <xm:f>$C$289</xm:f>
            <x14:dxf>
              <fill>
                <patternFill>
                  <bgColor rgb="FFFFCCFF"/>
                </patternFill>
              </fill>
            </x14:dxf>
          </x14:cfRule>
          <x14:cfRule type="containsText" priority="9" operator="containsText" id="{470856CB-A654-4788-9936-7F2142D3A08E}">
            <xm:f>NOT(ISERROR(SEARCH($C$288,EM77)))</xm:f>
            <xm:f>$C$288</xm:f>
            <x14:dxf>
              <fill>
                <patternFill>
                  <fgColor auto="1"/>
                  <bgColor rgb="FFFFCCFF"/>
                </patternFill>
              </fill>
            </x14:dxf>
          </x14:cfRule>
          <x14:cfRule type="containsText" priority="10" operator="containsText" id="{1B717E05-A0A2-41C5-83C9-37101127407B}">
            <xm:f>NOT(ISERROR(SEARCH($C$285,EM77)))</xm:f>
            <xm:f>$C$285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" operator="containsText" id="{3679BCF3-84FA-410B-B8F8-DB0C7315C308}">
            <xm:f>NOT(ISERROR(SEARCH($C$290,EM77)))</xm:f>
            <xm:f>$C$290</xm:f>
            <x14:dxf>
              <fill>
                <patternFill>
                  <bgColor theme="0" tint="-0.499984740745262"/>
                </patternFill>
              </fill>
            </x14:dxf>
          </x14:cfRule>
          <xm:sqref>EM77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9076-4EEC-4EF5-BF01-5667F1B71708}">
  <dimension ref="A1:AB463"/>
  <sheetViews>
    <sheetView zoomScale="90" zoomScaleNormal="90" workbookViewId="0">
      <pane ySplit="4" topLeftCell="A242" activePane="bottomLeft" state="frozen"/>
      <selection pane="bottomLeft" activeCell="P252" sqref="P252"/>
    </sheetView>
  </sheetViews>
  <sheetFormatPr defaultRowHeight="15"/>
  <cols>
    <col min="1" max="1" width="30" style="11" customWidth="1"/>
    <col min="2" max="3" width="6.7109375" style="1" customWidth="1"/>
    <col min="4" max="4" width="6.7109375" style="2" customWidth="1"/>
    <col min="5" max="5" width="6.7109375" style="1" customWidth="1"/>
    <col min="6" max="6" width="6.7109375" style="2" customWidth="1"/>
    <col min="7" max="7" width="6.7109375" style="1" customWidth="1"/>
    <col min="8" max="8" width="6.7109375" style="2" customWidth="1"/>
    <col min="9" max="10" width="6.7109375" style="1" customWidth="1"/>
    <col min="11" max="11" width="1.28515625" style="3" customWidth="1"/>
    <col min="12" max="13" width="6.7109375" style="1" customWidth="1"/>
    <col min="14" max="14" width="6.7109375" style="7" customWidth="1"/>
    <col min="15" max="15" width="9.140625" style="4"/>
    <col min="16" max="16" width="6.7109375" style="2" customWidth="1"/>
    <col min="17" max="17" width="6.7109375" style="5" customWidth="1"/>
    <col min="18" max="18" width="6.7109375" style="1" customWidth="1"/>
    <col min="19" max="19" width="6.7109375" style="5" customWidth="1"/>
    <col min="20" max="20" width="6.7109375" style="1" customWidth="1"/>
    <col min="21" max="21" width="6.7109375" style="5" customWidth="1"/>
    <col min="22" max="23" width="6.7109375" style="1" customWidth="1"/>
    <col min="24" max="24" width="6.7109375" style="6" customWidth="1"/>
  </cols>
  <sheetData>
    <row r="1" spans="1:24" ht="30.75" customHeight="1" thickBot="1">
      <c r="A1" s="207" t="s">
        <v>345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9"/>
    </row>
    <row r="2" spans="1:24" ht="17.25" customHeight="1" thickTop="1" thickBot="1">
      <c r="A2" s="205" t="s">
        <v>346</v>
      </c>
      <c r="B2" s="202" t="s">
        <v>347</v>
      </c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4"/>
      <c r="P2" s="210" t="s">
        <v>348</v>
      </c>
      <c r="Q2" s="203"/>
      <c r="R2" s="203"/>
      <c r="S2" s="203"/>
      <c r="T2" s="203"/>
      <c r="U2" s="203"/>
      <c r="V2" s="203"/>
      <c r="W2" s="203"/>
      <c r="X2" s="204"/>
    </row>
    <row r="3" spans="1:24" ht="15.75" thickTop="1">
      <c r="A3" s="206"/>
      <c r="B3" s="211" t="s">
        <v>349</v>
      </c>
      <c r="C3" s="212"/>
      <c r="D3" s="213" t="s">
        <v>22</v>
      </c>
      <c r="E3" s="212"/>
      <c r="F3" s="213" t="s">
        <v>350</v>
      </c>
      <c r="G3" s="212"/>
      <c r="H3" s="213" t="s">
        <v>351</v>
      </c>
      <c r="I3" s="214"/>
      <c r="J3" s="212"/>
      <c r="K3" s="14"/>
      <c r="L3" s="215" t="s">
        <v>352</v>
      </c>
      <c r="M3" s="215"/>
      <c r="N3" s="216"/>
      <c r="P3" s="213" t="s">
        <v>349</v>
      </c>
      <c r="Q3" s="212"/>
      <c r="R3" s="213" t="s">
        <v>22</v>
      </c>
      <c r="S3" s="212"/>
      <c r="T3" s="213" t="s">
        <v>350</v>
      </c>
      <c r="U3" s="212"/>
      <c r="V3" s="213" t="s">
        <v>351</v>
      </c>
      <c r="W3" s="212"/>
      <c r="X3" s="224" t="s">
        <v>352</v>
      </c>
    </row>
    <row r="4" spans="1:24" ht="15.75" thickBot="1">
      <c r="A4" s="206"/>
      <c r="B4" s="109" t="s">
        <v>40</v>
      </c>
      <c r="C4" s="109" t="s">
        <v>36</v>
      </c>
      <c r="D4" s="108" t="s">
        <v>353</v>
      </c>
      <c r="E4" s="109" t="s">
        <v>76</v>
      </c>
      <c r="F4" s="108" t="s">
        <v>78</v>
      </c>
      <c r="G4" s="109" t="s">
        <v>354</v>
      </c>
      <c r="H4" s="219" t="s">
        <v>46</v>
      </c>
      <c r="I4" s="220"/>
      <c r="J4" s="109" t="s">
        <v>62</v>
      </c>
      <c r="L4" s="217"/>
      <c r="M4" s="217"/>
      <c r="N4" s="218"/>
      <c r="P4" s="108" t="s">
        <v>40</v>
      </c>
      <c r="Q4" s="15" t="s">
        <v>36</v>
      </c>
      <c r="R4" s="109" t="s">
        <v>353</v>
      </c>
      <c r="S4" s="15" t="s">
        <v>76</v>
      </c>
      <c r="T4" s="109" t="s">
        <v>78</v>
      </c>
      <c r="U4" s="15" t="s">
        <v>354</v>
      </c>
      <c r="V4" s="108" t="s">
        <v>46</v>
      </c>
      <c r="W4" s="109" t="s">
        <v>62</v>
      </c>
      <c r="X4" s="225"/>
    </row>
    <row r="5" spans="1:24">
      <c r="A5" s="206"/>
      <c r="B5" s="16" t="s">
        <v>355</v>
      </c>
      <c r="C5" s="16" t="s">
        <v>355</v>
      </c>
      <c r="D5" s="17" t="s">
        <v>355</v>
      </c>
      <c r="E5" s="16" t="s">
        <v>355</v>
      </c>
      <c r="F5" s="17" t="s">
        <v>355</v>
      </c>
      <c r="G5" s="16" t="s">
        <v>355</v>
      </c>
      <c r="H5" s="17" t="s">
        <v>355</v>
      </c>
      <c r="I5" s="16" t="s">
        <v>356</v>
      </c>
      <c r="J5" s="16" t="s">
        <v>356</v>
      </c>
      <c r="L5" s="18" t="s">
        <v>355</v>
      </c>
      <c r="M5" s="19" t="s">
        <v>356</v>
      </c>
      <c r="N5" s="20" t="s">
        <v>357</v>
      </c>
      <c r="P5" s="221"/>
      <c r="Q5" s="222"/>
      <c r="R5" s="222"/>
      <c r="S5" s="222"/>
      <c r="T5" s="222"/>
      <c r="U5" s="222"/>
      <c r="V5" s="222"/>
      <c r="W5" s="222"/>
      <c r="X5" s="223"/>
    </row>
    <row r="6" spans="1:24" hidden="1">
      <c r="A6" s="12">
        <v>44562</v>
      </c>
      <c r="B6" s="8">
        <v>2</v>
      </c>
      <c r="C6" s="8">
        <v>4</v>
      </c>
      <c r="D6" s="9">
        <v>3</v>
      </c>
      <c r="E6" s="8">
        <v>1</v>
      </c>
      <c r="F6" s="9">
        <v>4</v>
      </c>
      <c r="G6" s="8">
        <v>2</v>
      </c>
      <c r="H6" s="9">
        <v>1</v>
      </c>
      <c r="I6" s="8">
        <v>3</v>
      </c>
      <c r="J6" s="8">
        <v>2</v>
      </c>
      <c r="L6" s="21">
        <f t="shared" ref="L6" si="0">SUM(B6,C6,D6,E6,F6,G6,H6)</f>
        <v>17</v>
      </c>
      <c r="M6" s="21">
        <f t="shared" ref="M6" si="1">SUM(I6,J6)</f>
        <v>5</v>
      </c>
      <c r="N6" s="22">
        <f t="shared" ref="N6" si="2">SUM(L6:M6)</f>
        <v>22</v>
      </c>
      <c r="P6" s="9">
        <v>2</v>
      </c>
      <c r="Q6" s="10">
        <v>1</v>
      </c>
      <c r="R6" s="8">
        <v>1</v>
      </c>
      <c r="S6" s="10">
        <v>2</v>
      </c>
      <c r="T6" s="8">
        <v>0</v>
      </c>
      <c r="U6" s="10">
        <v>2</v>
      </c>
      <c r="V6" s="8">
        <v>1</v>
      </c>
      <c r="W6" s="8">
        <v>0</v>
      </c>
      <c r="X6" s="23">
        <f t="shared" ref="X6:X44" si="3">SUM(P6:W6)</f>
        <v>9</v>
      </c>
    </row>
    <row r="7" spans="1:24" hidden="1">
      <c r="A7" s="12">
        <v>44563</v>
      </c>
      <c r="B7" s="1">
        <v>3</v>
      </c>
      <c r="C7" s="1">
        <v>4</v>
      </c>
      <c r="D7" s="9">
        <v>3</v>
      </c>
      <c r="E7" s="1">
        <v>2</v>
      </c>
      <c r="F7" s="2">
        <v>4</v>
      </c>
      <c r="G7" s="1">
        <v>3</v>
      </c>
      <c r="H7" s="9">
        <v>1</v>
      </c>
      <c r="I7" s="8">
        <v>3</v>
      </c>
      <c r="J7" s="8">
        <v>2</v>
      </c>
      <c r="L7" s="21">
        <f t="shared" ref="L7:L70" si="4">SUM(B7,C7,D7,E7,F7,G7,H7)</f>
        <v>20</v>
      </c>
      <c r="M7" s="21">
        <f t="shared" ref="M7:M70" si="5">SUM(I7,J7)</f>
        <v>5</v>
      </c>
      <c r="N7" s="22">
        <f t="shared" ref="N7:N70" si="6">SUM(L7:M7)</f>
        <v>25</v>
      </c>
      <c r="P7" s="9">
        <v>2</v>
      </c>
      <c r="Q7" s="10">
        <v>1</v>
      </c>
      <c r="R7" s="8">
        <v>1</v>
      </c>
      <c r="S7" s="10">
        <v>2</v>
      </c>
      <c r="T7" s="8">
        <v>0</v>
      </c>
      <c r="U7" s="10">
        <v>2</v>
      </c>
      <c r="V7" s="8">
        <v>1</v>
      </c>
      <c r="W7" s="8">
        <v>0</v>
      </c>
      <c r="X7" s="23">
        <f t="shared" si="3"/>
        <v>9</v>
      </c>
    </row>
    <row r="8" spans="1:24" hidden="1">
      <c r="A8" s="11">
        <v>44564</v>
      </c>
      <c r="B8" s="1">
        <v>3</v>
      </c>
      <c r="C8" s="1">
        <v>4</v>
      </c>
      <c r="D8" s="9">
        <v>3</v>
      </c>
      <c r="E8" s="1">
        <v>2</v>
      </c>
      <c r="F8" s="2">
        <v>4</v>
      </c>
      <c r="G8" s="1">
        <v>3</v>
      </c>
      <c r="H8" s="9">
        <v>1</v>
      </c>
      <c r="I8" s="8">
        <v>3</v>
      </c>
      <c r="J8" s="8">
        <v>2</v>
      </c>
      <c r="L8" s="21">
        <f t="shared" si="4"/>
        <v>20</v>
      </c>
      <c r="M8" s="21">
        <f t="shared" si="5"/>
        <v>5</v>
      </c>
      <c r="N8" s="22">
        <f t="shared" si="6"/>
        <v>25</v>
      </c>
      <c r="P8" s="9">
        <v>2</v>
      </c>
      <c r="Q8" s="10">
        <v>1</v>
      </c>
      <c r="R8" s="8">
        <v>1</v>
      </c>
      <c r="S8" s="10">
        <v>2</v>
      </c>
      <c r="T8" s="8">
        <v>0</v>
      </c>
      <c r="U8" s="10">
        <v>2</v>
      </c>
      <c r="V8" s="8">
        <v>1</v>
      </c>
      <c r="W8" s="8">
        <v>0</v>
      </c>
      <c r="X8" s="23">
        <f t="shared" si="3"/>
        <v>9</v>
      </c>
    </row>
    <row r="9" spans="1:24" hidden="1">
      <c r="A9" s="11">
        <v>44565</v>
      </c>
      <c r="B9" s="1">
        <v>3</v>
      </c>
      <c r="C9" s="1">
        <v>4</v>
      </c>
      <c r="D9" s="9">
        <v>3</v>
      </c>
      <c r="E9" s="1">
        <v>2</v>
      </c>
      <c r="F9" s="2">
        <v>4</v>
      </c>
      <c r="G9" s="1">
        <v>3</v>
      </c>
      <c r="H9" s="9">
        <v>1</v>
      </c>
      <c r="I9" s="8">
        <v>3</v>
      </c>
      <c r="J9" s="8">
        <v>2</v>
      </c>
      <c r="L9" s="21">
        <f t="shared" si="4"/>
        <v>20</v>
      </c>
      <c r="M9" s="21">
        <f t="shared" si="5"/>
        <v>5</v>
      </c>
      <c r="N9" s="22">
        <f t="shared" si="6"/>
        <v>25</v>
      </c>
      <c r="P9" s="9">
        <v>2</v>
      </c>
      <c r="Q9" s="10">
        <v>1</v>
      </c>
      <c r="R9" s="8">
        <v>1</v>
      </c>
      <c r="S9" s="10">
        <v>2</v>
      </c>
      <c r="T9" s="8">
        <v>0</v>
      </c>
      <c r="U9" s="10">
        <v>2</v>
      </c>
      <c r="V9" s="8">
        <v>1</v>
      </c>
      <c r="W9" s="8">
        <v>0</v>
      </c>
      <c r="X9" s="23">
        <f t="shared" si="3"/>
        <v>9</v>
      </c>
    </row>
    <row r="10" spans="1:24" hidden="1">
      <c r="A10" s="13">
        <v>44566</v>
      </c>
      <c r="B10" s="1">
        <v>3</v>
      </c>
      <c r="C10" s="1">
        <v>4</v>
      </c>
      <c r="D10" s="2">
        <v>4</v>
      </c>
      <c r="E10" s="1">
        <v>2</v>
      </c>
      <c r="F10" s="2">
        <v>4</v>
      </c>
      <c r="G10" s="1">
        <v>3</v>
      </c>
      <c r="H10" s="9">
        <v>1</v>
      </c>
      <c r="I10" s="8">
        <v>3</v>
      </c>
      <c r="J10" s="8">
        <v>2</v>
      </c>
      <c r="L10" s="21">
        <f t="shared" si="4"/>
        <v>21</v>
      </c>
      <c r="M10" s="21">
        <f t="shared" si="5"/>
        <v>5</v>
      </c>
      <c r="N10" s="22">
        <f t="shared" si="6"/>
        <v>26</v>
      </c>
      <c r="P10" s="9">
        <v>2</v>
      </c>
      <c r="Q10" s="10">
        <v>1</v>
      </c>
      <c r="R10" s="8">
        <v>1</v>
      </c>
      <c r="S10" s="10">
        <v>2</v>
      </c>
      <c r="T10" s="8">
        <v>0</v>
      </c>
      <c r="U10" s="10">
        <v>2</v>
      </c>
      <c r="V10" s="8">
        <v>1</v>
      </c>
      <c r="W10" s="8">
        <v>0</v>
      </c>
      <c r="X10" s="23">
        <f t="shared" si="3"/>
        <v>9</v>
      </c>
    </row>
    <row r="11" spans="1:24" hidden="1">
      <c r="A11" s="11">
        <v>44567</v>
      </c>
      <c r="B11" s="1">
        <v>2</v>
      </c>
      <c r="C11" s="1">
        <v>4</v>
      </c>
      <c r="D11" s="2">
        <v>4</v>
      </c>
      <c r="E11" s="1">
        <v>1</v>
      </c>
      <c r="F11" s="2">
        <v>4</v>
      </c>
      <c r="G11" s="1">
        <v>3</v>
      </c>
      <c r="H11" s="2">
        <v>2</v>
      </c>
      <c r="I11" s="1">
        <v>2</v>
      </c>
      <c r="J11" s="8">
        <v>2</v>
      </c>
      <c r="L11" s="21">
        <f t="shared" si="4"/>
        <v>20</v>
      </c>
      <c r="M11" s="21">
        <f t="shared" si="5"/>
        <v>4</v>
      </c>
      <c r="N11" s="22">
        <f t="shared" si="6"/>
        <v>24</v>
      </c>
      <c r="P11" s="2">
        <v>3</v>
      </c>
      <c r="Q11" s="10">
        <v>1</v>
      </c>
      <c r="R11" s="8">
        <v>1</v>
      </c>
      <c r="S11" s="10">
        <v>2</v>
      </c>
      <c r="T11" s="8">
        <v>0</v>
      </c>
      <c r="U11" s="5">
        <v>1</v>
      </c>
      <c r="V11" s="8">
        <v>1</v>
      </c>
      <c r="W11" s="8">
        <v>0</v>
      </c>
      <c r="X11" s="23">
        <f t="shared" si="3"/>
        <v>9</v>
      </c>
    </row>
    <row r="12" spans="1:24" hidden="1">
      <c r="A12" s="11">
        <v>44568</v>
      </c>
      <c r="B12" s="1">
        <v>2</v>
      </c>
      <c r="C12" s="1">
        <v>4</v>
      </c>
      <c r="D12" s="2">
        <v>4</v>
      </c>
      <c r="E12" s="1">
        <v>1</v>
      </c>
      <c r="F12" s="2">
        <v>4</v>
      </c>
      <c r="G12" s="1">
        <v>3</v>
      </c>
      <c r="H12" s="2">
        <v>2</v>
      </c>
      <c r="I12" s="1">
        <v>2</v>
      </c>
      <c r="J12" s="8">
        <v>2</v>
      </c>
      <c r="L12" s="21">
        <f t="shared" si="4"/>
        <v>20</v>
      </c>
      <c r="M12" s="21">
        <f t="shared" si="5"/>
        <v>4</v>
      </c>
      <c r="N12" s="22">
        <f t="shared" si="6"/>
        <v>24</v>
      </c>
      <c r="P12" s="2">
        <v>3</v>
      </c>
      <c r="Q12" s="10">
        <v>1</v>
      </c>
      <c r="R12" s="8">
        <v>1</v>
      </c>
      <c r="S12" s="10">
        <v>2</v>
      </c>
      <c r="T12" s="8">
        <v>0</v>
      </c>
      <c r="U12" s="5">
        <v>1</v>
      </c>
      <c r="V12" s="8">
        <v>1</v>
      </c>
      <c r="W12" s="8">
        <v>0</v>
      </c>
      <c r="X12" s="23">
        <f t="shared" si="3"/>
        <v>9</v>
      </c>
    </row>
    <row r="13" spans="1:24" hidden="1">
      <c r="A13" s="12">
        <v>44569</v>
      </c>
      <c r="B13" s="1">
        <v>2</v>
      </c>
      <c r="C13" s="1">
        <v>4</v>
      </c>
      <c r="D13" s="2">
        <v>4</v>
      </c>
      <c r="E13" s="1">
        <v>1</v>
      </c>
      <c r="F13" s="2">
        <v>4</v>
      </c>
      <c r="G13" s="1">
        <v>3</v>
      </c>
      <c r="H13" s="2">
        <v>2</v>
      </c>
      <c r="I13" s="1">
        <v>2</v>
      </c>
      <c r="J13" s="8">
        <v>2</v>
      </c>
      <c r="L13" s="21">
        <f t="shared" si="4"/>
        <v>20</v>
      </c>
      <c r="M13" s="21">
        <f t="shared" si="5"/>
        <v>4</v>
      </c>
      <c r="N13" s="22">
        <f t="shared" si="6"/>
        <v>24</v>
      </c>
      <c r="P13" s="2">
        <v>3</v>
      </c>
      <c r="Q13" s="10">
        <v>1</v>
      </c>
      <c r="R13" s="8">
        <v>1</v>
      </c>
      <c r="S13" s="10">
        <v>2</v>
      </c>
      <c r="T13" s="8">
        <v>0</v>
      </c>
      <c r="U13" s="5">
        <v>1</v>
      </c>
      <c r="V13" s="8">
        <v>1</v>
      </c>
      <c r="W13" s="8">
        <v>0</v>
      </c>
      <c r="X13" s="23">
        <f t="shared" si="3"/>
        <v>9</v>
      </c>
    </row>
    <row r="14" spans="1:24" hidden="1">
      <c r="A14" s="12">
        <v>44570</v>
      </c>
      <c r="B14" s="1">
        <v>3</v>
      </c>
      <c r="C14" s="1">
        <v>4</v>
      </c>
      <c r="D14" s="2">
        <v>4</v>
      </c>
      <c r="E14" s="1">
        <v>1</v>
      </c>
      <c r="F14" s="2">
        <v>4</v>
      </c>
      <c r="G14" s="1">
        <v>3</v>
      </c>
      <c r="H14" s="2">
        <v>2</v>
      </c>
      <c r="I14" s="1">
        <v>3</v>
      </c>
      <c r="J14" s="8">
        <v>2</v>
      </c>
      <c r="L14" s="21">
        <f t="shared" si="4"/>
        <v>21</v>
      </c>
      <c r="M14" s="21">
        <f t="shared" si="5"/>
        <v>5</v>
      </c>
      <c r="N14" s="22">
        <f t="shared" si="6"/>
        <v>26</v>
      </c>
      <c r="P14" s="2">
        <v>3</v>
      </c>
      <c r="Q14" s="10">
        <v>1</v>
      </c>
      <c r="R14" s="8">
        <v>1</v>
      </c>
      <c r="S14" s="10">
        <v>2</v>
      </c>
      <c r="T14" s="8">
        <v>0</v>
      </c>
      <c r="U14" s="5">
        <v>1</v>
      </c>
      <c r="V14" s="8">
        <v>1</v>
      </c>
      <c r="W14" s="8">
        <v>0</v>
      </c>
      <c r="X14" s="23">
        <f t="shared" si="3"/>
        <v>9</v>
      </c>
    </row>
    <row r="15" spans="1:24" hidden="1">
      <c r="A15" s="11">
        <v>44571</v>
      </c>
      <c r="B15" s="1">
        <v>3</v>
      </c>
      <c r="C15" s="1">
        <v>4</v>
      </c>
      <c r="D15" s="2">
        <v>4</v>
      </c>
      <c r="E15" s="1">
        <v>1</v>
      </c>
      <c r="F15" s="2">
        <v>4</v>
      </c>
      <c r="G15" s="1">
        <v>3</v>
      </c>
      <c r="H15" s="2">
        <v>2</v>
      </c>
      <c r="I15" s="1">
        <v>3</v>
      </c>
      <c r="J15" s="8">
        <v>2</v>
      </c>
      <c r="L15" s="21">
        <f t="shared" si="4"/>
        <v>21</v>
      </c>
      <c r="M15" s="21">
        <f t="shared" si="5"/>
        <v>5</v>
      </c>
      <c r="N15" s="22">
        <f t="shared" si="6"/>
        <v>26</v>
      </c>
      <c r="P15" s="2">
        <v>3</v>
      </c>
      <c r="Q15" s="10">
        <v>1</v>
      </c>
      <c r="R15" s="8">
        <v>1</v>
      </c>
      <c r="S15" s="10">
        <v>2</v>
      </c>
      <c r="T15" s="8">
        <v>0</v>
      </c>
      <c r="U15" s="5">
        <v>1</v>
      </c>
      <c r="V15" s="8">
        <v>1</v>
      </c>
      <c r="W15" s="8">
        <v>0</v>
      </c>
      <c r="X15" s="23">
        <f t="shared" si="3"/>
        <v>9</v>
      </c>
    </row>
    <row r="16" spans="1:24" hidden="1">
      <c r="A16" s="11">
        <v>44572</v>
      </c>
      <c r="B16" s="1">
        <v>2</v>
      </c>
      <c r="C16" s="1">
        <v>4</v>
      </c>
      <c r="D16" s="2">
        <v>4</v>
      </c>
      <c r="E16" s="1">
        <v>1</v>
      </c>
      <c r="F16" s="2">
        <v>4</v>
      </c>
      <c r="G16" s="1">
        <v>3</v>
      </c>
      <c r="H16" s="2">
        <v>2</v>
      </c>
      <c r="I16" s="1">
        <v>3</v>
      </c>
      <c r="J16" s="8">
        <v>2</v>
      </c>
      <c r="L16" s="21">
        <f t="shared" si="4"/>
        <v>20</v>
      </c>
      <c r="M16" s="21">
        <f t="shared" si="5"/>
        <v>5</v>
      </c>
      <c r="N16" s="22">
        <f t="shared" si="6"/>
        <v>25</v>
      </c>
      <c r="P16" s="2">
        <v>3</v>
      </c>
      <c r="Q16" s="10">
        <v>1</v>
      </c>
      <c r="R16" s="8">
        <v>1</v>
      </c>
      <c r="S16" s="10">
        <v>2</v>
      </c>
      <c r="T16" s="8">
        <v>0</v>
      </c>
      <c r="U16" s="5">
        <v>1</v>
      </c>
      <c r="V16" s="8">
        <v>1</v>
      </c>
      <c r="W16" s="8">
        <v>0</v>
      </c>
      <c r="X16" s="23">
        <f t="shared" si="3"/>
        <v>9</v>
      </c>
    </row>
    <row r="17" spans="1:24" hidden="1">
      <c r="A17" s="13">
        <v>44573</v>
      </c>
      <c r="B17" s="1">
        <v>3</v>
      </c>
      <c r="C17" s="1">
        <v>5</v>
      </c>
      <c r="D17" s="2">
        <v>5</v>
      </c>
      <c r="E17" s="1">
        <v>2</v>
      </c>
      <c r="F17" s="2">
        <v>4</v>
      </c>
      <c r="G17" s="1">
        <v>3</v>
      </c>
      <c r="H17" s="2">
        <v>2</v>
      </c>
      <c r="I17" s="1">
        <v>3</v>
      </c>
      <c r="J17" s="8">
        <v>2</v>
      </c>
      <c r="L17" s="21">
        <f t="shared" si="4"/>
        <v>24</v>
      </c>
      <c r="M17" s="21">
        <f t="shared" si="5"/>
        <v>5</v>
      </c>
      <c r="N17" s="22">
        <f t="shared" si="6"/>
        <v>29</v>
      </c>
      <c r="P17" s="2">
        <v>2</v>
      </c>
      <c r="Q17" s="10">
        <v>1</v>
      </c>
      <c r="R17" s="8">
        <v>2</v>
      </c>
      <c r="S17" s="10">
        <v>2</v>
      </c>
      <c r="T17" s="8">
        <v>0</v>
      </c>
      <c r="U17" s="5">
        <v>1</v>
      </c>
      <c r="V17" s="8">
        <v>0</v>
      </c>
      <c r="W17" s="8">
        <v>0</v>
      </c>
      <c r="X17" s="23">
        <f t="shared" si="3"/>
        <v>8</v>
      </c>
    </row>
    <row r="18" spans="1:24" hidden="1">
      <c r="A18" s="11">
        <v>44574</v>
      </c>
      <c r="B18" s="1">
        <v>3</v>
      </c>
      <c r="C18" s="1">
        <v>5</v>
      </c>
      <c r="D18" s="2">
        <v>3</v>
      </c>
      <c r="E18" s="1">
        <v>2</v>
      </c>
      <c r="F18" s="2">
        <v>4</v>
      </c>
      <c r="G18" s="1">
        <v>3</v>
      </c>
      <c r="H18" s="2">
        <v>2</v>
      </c>
      <c r="I18" s="1">
        <v>3</v>
      </c>
      <c r="J18" s="1">
        <v>2</v>
      </c>
      <c r="L18" s="21">
        <f t="shared" si="4"/>
        <v>22</v>
      </c>
      <c r="M18" s="21">
        <f t="shared" si="5"/>
        <v>5</v>
      </c>
      <c r="N18" s="22">
        <f t="shared" si="6"/>
        <v>27</v>
      </c>
      <c r="P18" s="2">
        <v>2</v>
      </c>
      <c r="Q18" s="10">
        <v>1</v>
      </c>
      <c r="R18" s="8">
        <v>2</v>
      </c>
      <c r="S18" s="10">
        <v>2</v>
      </c>
      <c r="T18" s="8">
        <v>0</v>
      </c>
      <c r="U18" s="5">
        <v>1</v>
      </c>
      <c r="V18" s="8">
        <v>0</v>
      </c>
      <c r="W18" s="8">
        <v>0</v>
      </c>
      <c r="X18" s="23">
        <f t="shared" si="3"/>
        <v>8</v>
      </c>
    </row>
    <row r="19" spans="1:24" hidden="1">
      <c r="A19" s="11">
        <v>44575</v>
      </c>
      <c r="B19" s="1">
        <v>3</v>
      </c>
      <c r="C19" s="1">
        <v>5</v>
      </c>
      <c r="D19" s="2">
        <v>3</v>
      </c>
      <c r="E19" s="1">
        <v>2</v>
      </c>
      <c r="F19" s="2">
        <v>4</v>
      </c>
      <c r="G19" s="1">
        <v>3</v>
      </c>
      <c r="H19" s="2">
        <v>2</v>
      </c>
      <c r="I19" s="1">
        <v>3</v>
      </c>
      <c r="J19" s="1">
        <v>2</v>
      </c>
      <c r="L19" s="21">
        <f t="shared" si="4"/>
        <v>22</v>
      </c>
      <c r="M19" s="21">
        <f t="shared" si="5"/>
        <v>5</v>
      </c>
      <c r="N19" s="22">
        <f t="shared" si="6"/>
        <v>27</v>
      </c>
      <c r="P19" s="2">
        <v>2</v>
      </c>
      <c r="Q19" s="10">
        <v>1</v>
      </c>
      <c r="R19" s="8">
        <v>2</v>
      </c>
      <c r="S19" s="10">
        <v>2</v>
      </c>
      <c r="T19" s="8">
        <v>0</v>
      </c>
      <c r="U19" s="5">
        <v>1</v>
      </c>
      <c r="V19" s="8">
        <v>0</v>
      </c>
      <c r="W19" s="8">
        <v>0</v>
      </c>
      <c r="X19" s="23">
        <f t="shared" si="3"/>
        <v>8</v>
      </c>
    </row>
    <row r="20" spans="1:24" hidden="1">
      <c r="A20" s="12">
        <v>44576</v>
      </c>
      <c r="B20" s="1">
        <v>3</v>
      </c>
      <c r="C20" s="1">
        <v>5</v>
      </c>
      <c r="D20" s="2">
        <v>3</v>
      </c>
      <c r="E20" s="1">
        <v>2</v>
      </c>
      <c r="F20" s="2">
        <v>4</v>
      </c>
      <c r="G20" s="1">
        <v>3</v>
      </c>
      <c r="H20" s="2">
        <v>2</v>
      </c>
      <c r="I20" s="1">
        <v>3</v>
      </c>
      <c r="J20" s="1">
        <v>2</v>
      </c>
      <c r="L20" s="21">
        <f t="shared" si="4"/>
        <v>22</v>
      </c>
      <c r="M20" s="21">
        <f t="shared" si="5"/>
        <v>5</v>
      </c>
      <c r="N20" s="22">
        <f t="shared" si="6"/>
        <v>27</v>
      </c>
      <c r="P20" s="2">
        <v>2</v>
      </c>
      <c r="Q20" s="10">
        <v>1</v>
      </c>
      <c r="R20" s="8">
        <v>2</v>
      </c>
      <c r="S20" s="10">
        <v>2</v>
      </c>
      <c r="T20" s="8">
        <v>0</v>
      </c>
      <c r="U20" s="5">
        <v>1</v>
      </c>
      <c r="V20" s="8">
        <v>0</v>
      </c>
      <c r="W20" s="8">
        <v>0</v>
      </c>
      <c r="X20" s="23">
        <f t="shared" si="3"/>
        <v>8</v>
      </c>
    </row>
    <row r="21" spans="1:24" hidden="1">
      <c r="A21" s="12">
        <v>44577</v>
      </c>
      <c r="B21" s="1">
        <v>3</v>
      </c>
      <c r="C21" s="1">
        <v>5</v>
      </c>
      <c r="D21" s="2">
        <v>5</v>
      </c>
      <c r="E21" s="1">
        <v>2</v>
      </c>
      <c r="F21" s="2">
        <v>5</v>
      </c>
      <c r="G21" s="1">
        <v>3</v>
      </c>
      <c r="H21" s="2">
        <v>2</v>
      </c>
      <c r="I21" s="1">
        <v>3</v>
      </c>
      <c r="J21" s="1">
        <v>2</v>
      </c>
      <c r="L21" s="21">
        <f t="shared" si="4"/>
        <v>25</v>
      </c>
      <c r="M21" s="21">
        <f t="shared" si="5"/>
        <v>5</v>
      </c>
      <c r="N21" s="22">
        <f t="shared" si="6"/>
        <v>30</v>
      </c>
      <c r="P21" s="2">
        <v>2</v>
      </c>
      <c r="Q21" s="10">
        <v>1</v>
      </c>
      <c r="R21" s="8">
        <v>2</v>
      </c>
      <c r="S21" s="10">
        <v>2</v>
      </c>
      <c r="T21" s="8">
        <v>0</v>
      </c>
      <c r="U21" s="5">
        <v>1</v>
      </c>
      <c r="V21" s="8">
        <v>0</v>
      </c>
      <c r="W21" s="8">
        <v>0</v>
      </c>
      <c r="X21" s="23">
        <f t="shared" si="3"/>
        <v>8</v>
      </c>
    </row>
    <row r="22" spans="1:24" hidden="1">
      <c r="A22" s="11">
        <v>44578</v>
      </c>
      <c r="B22" s="1">
        <v>3</v>
      </c>
      <c r="C22" s="1">
        <v>5</v>
      </c>
      <c r="D22" s="2">
        <v>4</v>
      </c>
      <c r="E22" s="1">
        <v>2</v>
      </c>
      <c r="F22" s="2">
        <v>5</v>
      </c>
      <c r="G22" s="1">
        <v>2</v>
      </c>
      <c r="H22" s="2">
        <v>2</v>
      </c>
      <c r="I22" s="1">
        <v>3</v>
      </c>
      <c r="J22" s="1">
        <v>2</v>
      </c>
      <c r="L22" s="21">
        <f t="shared" si="4"/>
        <v>23</v>
      </c>
      <c r="M22" s="21">
        <f t="shared" si="5"/>
        <v>5</v>
      </c>
      <c r="N22" s="22">
        <f t="shared" si="6"/>
        <v>28</v>
      </c>
      <c r="P22" s="2">
        <v>2</v>
      </c>
      <c r="Q22" s="10">
        <v>1</v>
      </c>
      <c r="R22" s="8">
        <v>2</v>
      </c>
      <c r="S22" s="10">
        <v>2</v>
      </c>
      <c r="T22" s="8">
        <v>0</v>
      </c>
      <c r="U22" s="5">
        <v>1</v>
      </c>
      <c r="V22" s="8">
        <v>0</v>
      </c>
      <c r="W22" s="8">
        <v>0</v>
      </c>
      <c r="X22" s="23">
        <f t="shared" si="3"/>
        <v>8</v>
      </c>
    </row>
    <row r="23" spans="1:24" hidden="1">
      <c r="A23" s="11">
        <v>44579</v>
      </c>
      <c r="B23" s="1">
        <v>3</v>
      </c>
      <c r="C23" s="1">
        <v>5</v>
      </c>
      <c r="D23" s="2">
        <v>4</v>
      </c>
      <c r="E23" s="1">
        <v>2</v>
      </c>
      <c r="F23" s="2">
        <v>5</v>
      </c>
      <c r="G23" s="1">
        <v>2</v>
      </c>
      <c r="H23" s="2">
        <v>2</v>
      </c>
      <c r="I23" s="1">
        <v>3</v>
      </c>
      <c r="J23" s="1">
        <v>2</v>
      </c>
      <c r="L23" s="21">
        <f t="shared" si="4"/>
        <v>23</v>
      </c>
      <c r="M23" s="21">
        <f t="shared" si="5"/>
        <v>5</v>
      </c>
      <c r="N23" s="22">
        <f t="shared" si="6"/>
        <v>28</v>
      </c>
      <c r="P23" s="2">
        <v>2</v>
      </c>
      <c r="Q23" s="10">
        <v>1</v>
      </c>
      <c r="R23" s="8">
        <v>2</v>
      </c>
      <c r="S23" s="10">
        <v>2</v>
      </c>
      <c r="T23" s="8">
        <v>0</v>
      </c>
      <c r="U23" s="5">
        <v>1</v>
      </c>
      <c r="V23" s="8">
        <v>0</v>
      </c>
      <c r="W23" s="8">
        <v>0</v>
      </c>
      <c r="X23" s="23">
        <f t="shared" si="3"/>
        <v>8</v>
      </c>
    </row>
    <row r="24" spans="1:24" hidden="1">
      <c r="A24" s="13">
        <v>44580</v>
      </c>
      <c r="B24" s="1">
        <v>3</v>
      </c>
      <c r="C24" s="1">
        <v>6</v>
      </c>
      <c r="D24" s="2">
        <v>5</v>
      </c>
      <c r="E24" s="1">
        <v>2</v>
      </c>
      <c r="F24" s="2">
        <v>5</v>
      </c>
      <c r="G24" s="1">
        <v>2</v>
      </c>
      <c r="H24" s="2">
        <v>2</v>
      </c>
      <c r="I24" s="1">
        <v>3</v>
      </c>
      <c r="J24" s="1">
        <v>2</v>
      </c>
      <c r="L24" s="21">
        <f t="shared" si="4"/>
        <v>25</v>
      </c>
      <c r="M24" s="21">
        <f t="shared" si="5"/>
        <v>5</v>
      </c>
      <c r="N24" s="22">
        <f t="shared" si="6"/>
        <v>30</v>
      </c>
      <c r="P24" s="2">
        <v>1</v>
      </c>
      <c r="Q24" s="5">
        <v>1</v>
      </c>
      <c r="R24" s="1">
        <v>2</v>
      </c>
      <c r="S24" s="5">
        <v>1</v>
      </c>
      <c r="T24" s="8">
        <v>0</v>
      </c>
      <c r="U24" s="5">
        <v>2</v>
      </c>
      <c r="V24" s="8">
        <v>0</v>
      </c>
      <c r="W24" s="1">
        <v>1</v>
      </c>
      <c r="X24" s="23">
        <f t="shared" si="3"/>
        <v>8</v>
      </c>
    </row>
    <row r="25" spans="1:24" hidden="1">
      <c r="A25" s="11">
        <v>44581</v>
      </c>
      <c r="B25" s="1">
        <v>3</v>
      </c>
      <c r="C25" s="1">
        <v>5</v>
      </c>
      <c r="D25" s="2">
        <v>5</v>
      </c>
      <c r="E25" s="1">
        <v>2</v>
      </c>
      <c r="F25" s="2">
        <v>5</v>
      </c>
      <c r="G25" s="1">
        <v>3</v>
      </c>
      <c r="H25" s="2">
        <v>2</v>
      </c>
      <c r="I25" s="1">
        <v>3</v>
      </c>
      <c r="J25" s="1">
        <v>2</v>
      </c>
      <c r="L25" s="21">
        <f t="shared" si="4"/>
        <v>25</v>
      </c>
      <c r="M25" s="21">
        <f t="shared" si="5"/>
        <v>5</v>
      </c>
      <c r="N25" s="22">
        <f t="shared" si="6"/>
        <v>30</v>
      </c>
      <c r="P25" s="2">
        <v>1</v>
      </c>
      <c r="Q25" s="5">
        <v>1</v>
      </c>
      <c r="R25" s="1">
        <v>2</v>
      </c>
      <c r="S25" s="5">
        <v>1</v>
      </c>
      <c r="T25" s="8">
        <v>0</v>
      </c>
      <c r="U25" s="5">
        <v>2</v>
      </c>
      <c r="V25" s="8">
        <v>0</v>
      </c>
      <c r="W25" s="1">
        <v>1</v>
      </c>
      <c r="X25" s="23">
        <f t="shared" si="3"/>
        <v>8</v>
      </c>
    </row>
    <row r="26" spans="1:24" hidden="1">
      <c r="A26" s="11">
        <v>44582</v>
      </c>
      <c r="B26" s="1">
        <v>3</v>
      </c>
      <c r="C26" s="1">
        <v>5</v>
      </c>
      <c r="D26" s="2">
        <v>5</v>
      </c>
      <c r="E26" s="1">
        <v>2</v>
      </c>
      <c r="F26" s="2">
        <v>5</v>
      </c>
      <c r="G26" s="1">
        <v>3</v>
      </c>
      <c r="H26" s="2">
        <v>2</v>
      </c>
      <c r="I26" s="1">
        <v>3</v>
      </c>
      <c r="J26" s="1">
        <v>2</v>
      </c>
      <c r="L26" s="21">
        <f t="shared" si="4"/>
        <v>25</v>
      </c>
      <c r="M26" s="21">
        <f t="shared" si="5"/>
        <v>5</v>
      </c>
      <c r="N26" s="22">
        <f t="shared" si="6"/>
        <v>30</v>
      </c>
      <c r="P26" s="2">
        <v>1</v>
      </c>
      <c r="Q26" s="5">
        <v>1</v>
      </c>
      <c r="R26" s="1">
        <v>2</v>
      </c>
      <c r="S26" s="5">
        <v>1</v>
      </c>
      <c r="T26" s="8">
        <v>0</v>
      </c>
      <c r="U26" s="5">
        <v>2</v>
      </c>
      <c r="V26" s="8">
        <v>0</v>
      </c>
      <c r="W26" s="1">
        <v>1</v>
      </c>
      <c r="X26" s="23">
        <f t="shared" si="3"/>
        <v>8</v>
      </c>
    </row>
    <row r="27" spans="1:24" hidden="1">
      <c r="A27" s="12">
        <v>44583</v>
      </c>
      <c r="B27" s="1">
        <v>3</v>
      </c>
      <c r="C27" s="1">
        <v>5</v>
      </c>
      <c r="D27" s="2">
        <v>5</v>
      </c>
      <c r="E27" s="1">
        <v>2</v>
      </c>
      <c r="F27" s="2">
        <v>4</v>
      </c>
      <c r="G27" s="1">
        <v>3</v>
      </c>
      <c r="H27" s="2">
        <v>2</v>
      </c>
      <c r="I27" s="1">
        <v>3</v>
      </c>
      <c r="J27" s="1">
        <v>2</v>
      </c>
      <c r="L27" s="21">
        <f t="shared" si="4"/>
        <v>24</v>
      </c>
      <c r="M27" s="21">
        <f t="shared" si="5"/>
        <v>5</v>
      </c>
      <c r="N27" s="22">
        <f t="shared" si="6"/>
        <v>29</v>
      </c>
      <c r="P27" s="2">
        <v>1</v>
      </c>
      <c r="Q27" s="5">
        <v>1</v>
      </c>
      <c r="R27" s="1">
        <v>2</v>
      </c>
      <c r="S27" s="5">
        <v>1</v>
      </c>
      <c r="T27" s="8">
        <v>0</v>
      </c>
      <c r="U27" s="5">
        <v>2</v>
      </c>
      <c r="V27" s="8">
        <v>0</v>
      </c>
      <c r="W27" s="1">
        <v>1</v>
      </c>
      <c r="X27" s="23">
        <f t="shared" si="3"/>
        <v>8</v>
      </c>
    </row>
    <row r="28" spans="1:24" hidden="1">
      <c r="A28" s="12">
        <v>44584</v>
      </c>
      <c r="B28" s="1">
        <v>3</v>
      </c>
      <c r="C28" s="1">
        <v>4</v>
      </c>
      <c r="D28" s="2">
        <v>5</v>
      </c>
      <c r="E28" s="1">
        <v>1</v>
      </c>
      <c r="F28" s="2">
        <v>4</v>
      </c>
      <c r="G28" s="1">
        <v>3</v>
      </c>
      <c r="H28" s="2">
        <v>2</v>
      </c>
      <c r="I28" s="1">
        <v>2</v>
      </c>
      <c r="J28" s="1">
        <v>3</v>
      </c>
      <c r="L28" s="21">
        <f t="shared" si="4"/>
        <v>22</v>
      </c>
      <c r="M28" s="21">
        <f t="shared" si="5"/>
        <v>5</v>
      </c>
      <c r="N28" s="22">
        <f t="shared" si="6"/>
        <v>27</v>
      </c>
      <c r="P28" s="2">
        <v>2</v>
      </c>
      <c r="Q28" s="5">
        <v>1</v>
      </c>
      <c r="R28" s="1">
        <v>2</v>
      </c>
      <c r="S28" s="5">
        <v>1</v>
      </c>
      <c r="T28" s="8">
        <v>0</v>
      </c>
      <c r="U28" s="5">
        <v>2</v>
      </c>
      <c r="V28" s="8">
        <v>0</v>
      </c>
      <c r="W28" s="1">
        <v>1</v>
      </c>
      <c r="X28" s="23">
        <f t="shared" si="3"/>
        <v>9</v>
      </c>
    </row>
    <row r="29" spans="1:24" hidden="1">
      <c r="A29" s="11">
        <v>44585</v>
      </c>
      <c r="B29" s="1">
        <v>3</v>
      </c>
      <c r="C29" s="1">
        <v>4</v>
      </c>
      <c r="D29" s="2">
        <v>5</v>
      </c>
      <c r="E29" s="1">
        <v>1</v>
      </c>
      <c r="F29" s="2">
        <v>5</v>
      </c>
      <c r="G29" s="1">
        <v>3</v>
      </c>
      <c r="H29" s="2">
        <v>2</v>
      </c>
      <c r="I29" s="1">
        <v>2</v>
      </c>
      <c r="J29" s="1">
        <v>3</v>
      </c>
      <c r="L29" s="21">
        <f t="shared" si="4"/>
        <v>23</v>
      </c>
      <c r="M29" s="21">
        <f t="shared" si="5"/>
        <v>5</v>
      </c>
      <c r="N29" s="22">
        <f t="shared" si="6"/>
        <v>28</v>
      </c>
      <c r="P29" s="2">
        <v>2</v>
      </c>
      <c r="Q29" s="5">
        <v>1</v>
      </c>
      <c r="R29" s="1">
        <v>2</v>
      </c>
      <c r="S29" s="5">
        <v>1</v>
      </c>
      <c r="T29" s="8">
        <v>0</v>
      </c>
      <c r="U29" s="5">
        <v>2</v>
      </c>
      <c r="V29" s="8">
        <v>0</v>
      </c>
      <c r="W29" s="1">
        <v>1</v>
      </c>
      <c r="X29" s="23">
        <f t="shared" si="3"/>
        <v>9</v>
      </c>
    </row>
    <row r="30" spans="1:24" hidden="1">
      <c r="A30" s="11">
        <v>44586</v>
      </c>
      <c r="B30" s="1">
        <v>3</v>
      </c>
      <c r="C30" s="1">
        <v>4</v>
      </c>
      <c r="D30" s="2">
        <v>5</v>
      </c>
      <c r="E30" s="1">
        <v>1</v>
      </c>
      <c r="F30" s="2">
        <v>5</v>
      </c>
      <c r="G30" s="1">
        <v>3</v>
      </c>
      <c r="H30" s="2">
        <v>2</v>
      </c>
      <c r="I30" s="1">
        <v>2</v>
      </c>
      <c r="J30" s="1">
        <v>3</v>
      </c>
      <c r="L30" s="21">
        <f t="shared" si="4"/>
        <v>23</v>
      </c>
      <c r="M30" s="21">
        <f t="shared" si="5"/>
        <v>5</v>
      </c>
      <c r="N30" s="22">
        <f t="shared" si="6"/>
        <v>28</v>
      </c>
      <c r="P30" s="2">
        <v>2</v>
      </c>
      <c r="Q30" s="5">
        <v>1</v>
      </c>
      <c r="R30" s="1">
        <v>2</v>
      </c>
      <c r="S30" s="5">
        <v>1</v>
      </c>
      <c r="T30" s="8">
        <v>0</v>
      </c>
      <c r="U30" s="5">
        <v>2</v>
      </c>
      <c r="V30" s="8">
        <v>0</v>
      </c>
      <c r="W30" s="1">
        <v>1</v>
      </c>
      <c r="X30" s="23">
        <f t="shared" si="3"/>
        <v>9</v>
      </c>
    </row>
    <row r="31" spans="1:24" hidden="1">
      <c r="A31" s="13">
        <v>44587</v>
      </c>
      <c r="B31" s="1">
        <v>4</v>
      </c>
      <c r="C31" s="1">
        <v>4</v>
      </c>
      <c r="D31" s="2">
        <v>4</v>
      </c>
      <c r="E31" s="1">
        <v>2</v>
      </c>
      <c r="F31" s="2">
        <v>6</v>
      </c>
      <c r="G31" s="1">
        <v>4</v>
      </c>
      <c r="H31" s="2">
        <v>2</v>
      </c>
      <c r="I31" s="1">
        <v>2</v>
      </c>
      <c r="J31" s="1">
        <v>3</v>
      </c>
      <c r="L31" s="21">
        <f t="shared" si="4"/>
        <v>26</v>
      </c>
      <c r="M31" s="21">
        <f t="shared" si="5"/>
        <v>5</v>
      </c>
      <c r="N31" s="22">
        <f t="shared" si="6"/>
        <v>31</v>
      </c>
      <c r="P31" s="2">
        <v>2</v>
      </c>
      <c r="Q31" s="5">
        <v>1</v>
      </c>
      <c r="R31" s="1">
        <v>1</v>
      </c>
      <c r="S31" s="5">
        <v>1</v>
      </c>
      <c r="T31" s="8">
        <v>0</v>
      </c>
      <c r="U31" s="5">
        <v>1</v>
      </c>
      <c r="V31" s="8">
        <v>0</v>
      </c>
      <c r="W31" s="1">
        <v>0</v>
      </c>
      <c r="X31" s="23">
        <f t="shared" si="3"/>
        <v>6</v>
      </c>
    </row>
    <row r="32" spans="1:24" hidden="1">
      <c r="A32" s="11">
        <v>44588</v>
      </c>
      <c r="B32" s="1">
        <v>3</v>
      </c>
      <c r="C32" s="1">
        <v>4</v>
      </c>
      <c r="D32" s="2">
        <v>2</v>
      </c>
      <c r="E32" s="1">
        <v>1</v>
      </c>
      <c r="F32" s="2">
        <v>6</v>
      </c>
      <c r="G32" s="1">
        <v>4</v>
      </c>
      <c r="H32" s="2">
        <v>2</v>
      </c>
      <c r="I32" s="1">
        <v>2</v>
      </c>
      <c r="J32" s="1">
        <v>2</v>
      </c>
      <c r="L32" s="21">
        <f t="shared" si="4"/>
        <v>22</v>
      </c>
      <c r="M32" s="21">
        <f t="shared" si="5"/>
        <v>4</v>
      </c>
      <c r="N32" s="22">
        <f t="shared" si="6"/>
        <v>26</v>
      </c>
      <c r="P32" s="2">
        <v>2</v>
      </c>
      <c r="Q32" s="5">
        <v>0</v>
      </c>
      <c r="R32" s="1">
        <v>1</v>
      </c>
      <c r="S32" s="5">
        <v>1</v>
      </c>
      <c r="T32" s="8">
        <v>0</v>
      </c>
      <c r="U32" s="5">
        <v>1</v>
      </c>
      <c r="V32" s="8">
        <v>0</v>
      </c>
      <c r="W32" s="1">
        <v>0</v>
      </c>
      <c r="X32" s="23">
        <f t="shared" si="3"/>
        <v>5</v>
      </c>
    </row>
    <row r="33" spans="1:24" hidden="1">
      <c r="A33" s="11">
        <v>44589</v>
      </c>
      <c r="B33" s="1">
        <v>3</v>
      </c>
      <c r="C33" s="1">
        <v>4</v>
      </c>
      <c r="D33" s="2">
        <v>3</v>
      </c>
      <c r="E33" s="1">
        <v>1</v>
      </c>
      <c r="F33" s="2">
        <v>4</v>
      </c>
      <c r="G33" s="1">
        <v>4</v>
      </c>
      <c r="H33" s="2">
        <v>2</v>
      </c>
      <c r="I33" s="1">
        <v>2</v>
      </c>
      <c r="J33" s="1">
        <v>2</v>
      </c>
      <c r="L33" s="21">
        <f t="shared" si="4"/>
        <v>21</v>
      </c>
      <c r="M33" s="21">
        <f t="shared" si="5"/>
        <v>4</v>
      </c>
      <c r="N33" s="22">
        <f t="shared" si="6"/>
        <v>25</v>
      </c>
      <c r="P33" s="2">
        <v>2</v>
      </c>
      <c r="Q33" s="5">
        <v>0</v>
      </c>
      <c r="R33" s="1">
        <v>1</v>
      </c>
      <c r="S33" s="5">
        <v>1</v>
      </c>
      <c r="T33" s="8">
        <v>0</v>
      </c>
      <c r="U33" s="5">
        <v>1</v>
      </c>
      <c r="V33" s="8">
        <v>0</v>
      </c>
      <c r="W33" s="1">
        <v>0</v>
      </c>
      <c r="X33" s="23">
        <f t="shared" si="3"/>
        <v>5</v>
      </c>
    </row>
    <row r="34" spans="1:24" hidden="1">
      <c r="A34" s="12">
        <v>44590</v>
      </c>
      <c r="B34" s="1">
        <v>3</v>
      </c>
      <c r="C34" s="1">
        <v>4</v>
      </c>
      <c r="D34" s="2">
        <v>2</v>
      </c>
      <c r="E34" s="1">
        <v>1</v>
      </c>
      <c r="F34" s="2">
        <v>4</v>
      </c>
      <c r="G34" s="1">
        <v>4</v>
      </c>
      <c r="H34" s="2">
        <v>2</v>
      </c>
      <c r="I34" s="1">
        <v>2</v>
      </c>
      <c r="J34" s="1">
        <v>2</v>
      </c>
      <c r="L34" s="21">
        <f t="shared" si="4"/>
        <v>20</v>
      </c>
      <c r="M34" s="21">
        <f t="shared" si="5"/>
        <v>4</v>
      </c>
      <c r="N34" s="22">
        <f t="shared" si="6"/>
        <v>24</v>
      </c>
      <c r="P34" s="2">
        <v>2</v>
      </c>
      <c r="Q34" s="5">
        <v>0</v>
      </c>
      <c r="R34" s="1">
        <v>1</v>
      </c>
      <c r="S34" s="5">
        <v>1</v>
      </c>
      <c r="T34" s="8">
        <v>0</v>
      </c>
      <c r="U34" s="5">
        <v>1</v>
      </c>
      <c r="V34" s="8">
        <v>0</v>
      </c>
      <c r="W34" s="1">
        <v>0</v>
      </c>
      <c r="X34" s="23">
        <f t="shared" si="3"/>
        <v>5</v>
      </c>
    </row>
    <row r="35" spans="1:24" hidden="1">
      <c r="A35" s="12">
        <v>44591</v>
      </c>
      <c r="B35" s="1">
        <v>2</v>
      </c>
      <c r="C35" s="1">
        <v>5</v>
      </c>
      <c r="D35" s="2">
        <v>2</v>
      </c>
      <c r="E35" s="1">
        <v>1</v>
      </c>
      <c r="F35" s="2">
        <v>2</v>
      </c>
      <c r="G35" s="1">
        <v>4</v>
      </c>
      <c r="H35" s="2">
        <v>2</v>
      </c>
      <c r="I35" s="1">
        <v>3</v>
      </c>
      <c r="J35" s="1">
        <v>2</v>
      </c>
      <c r="L35" s="21">
        <f t="shared" si="4"/>
        <v>18</v>
      </c>
      <c r="M35" s="21">
        <f t="shared" si="5"/>
        <v>5</v>
      </c>
      <c r="N35" s="22">
        <f t="shared" si="6"/>
        <v>23</v>
      </c>
      <c r="P35" s="2">
        <v>2</v>
      </c>
      <c r="Q35" s="5">
        <v>1</v>
      </c>
      <c r="R35" s="1">
        <v>1</v>
      </c>
      <c r="S35" s="5">
        <v>1</v>
      </c>
      <c r="T35" s="8">
        <v>0</v>
      </c>
      <c r="U35" s="5">
        <v>1</v>
      </c>
      <c r="V35" s="8">
        <v>0</v>
      </c>
      <c r="W35" s="1">
        <v>0</v>
      </c>
      <c r="X35" s="23">
        <f t="shared" si="3"/>
        <v>6</v>
      </c>
    </row>
    <row r="36" spans="1:24" hidden="1">
      <c r="A36" s="11">
        <v>44592</v>
      </c>
      <c r="B36" s="1">
        <v>2</v>
      </c>
      <c r="C36" s="1">
        <v>5</v>
      </c>
      <c r="D36" s="2">
        <v>2</v>
      </c>
      <c r="E36" s="1">
        <v>1</v>
      </c>
      <c r="F36" s="2">
        <v>2</v>
      </c>
      <c r="G36" s="1">
        <v>4</v>
      </c>
      <c r="H36" s="2">
        <v>2</v>
      </c>
      <c r="I36" s="1">
        <v>3</v>
      </c>
      <c r="J36" s="1">
        <v>2</v>
      </c>
      <c r="L36" s="21">
        <f t="shared" si="4"/>
        <v>18</v>
      </c>
      <c r="M36" s="21">
        <f t="shared" si="5"/>
        <v>5</v>
      </c>
      <c r="N36" s="22">
        <f t="shared" si="6"/>
        <v>23</v>
      </c>
      <c r="P36" s="2">
        <v>2</v>
      </c>
      <c r="Q36" s="5">
        <v>1</v>
      </c>
      <c r="R36" s="1">
        <v>1</v>
      </c>
      <c r="S36" s="5">
        <v>1</v>
      </c>
      <c r="T36" s="8">
        <v>0</v>
      </c>
      <c r="U36" s="5">
        <v>1</v>
      </c>
      <c r="V36" s="8">
        <v>0</v>
      </c>
      <c r="W36" s="1">
        <v>0</v>
      </c>
      <c r="X36" s="23">
        <f t="shared" si="3"/>
        <v>6</v>
      </c>
    </row>
    <row r="37" spans="1:24" hidden="1">
      <c r="A37" s="11">
        <v>44593</v>
      </c>
      <c r="B37" s="1">
        <v>2</v>
      </c>
      <c r="C37" s="1">
        <v>5</v>
      </c>
      <c r="D37" s="2">
        <v>3</v>
      </c>
      <c r="E37" s="1">
        <v>1</v>
      </c>
      <c r="F37" s="2">
        <v>2</v>
      </c>
      <c r="G37" s="1">
        <v>5</v>
      </c>
      <c r="H37" s="2">
        <v>2</v>
      </c>
      <c r="I37" s="1">
        <v>3</v>
      </c>
      <c r="J37" s="1">
        <v>2</v>
      </c>
      <c r="L37" s="21">
        <f t="shared" si="4"/>
        <v>20</v>
      </c>
      <c r="M37" s="21">
        <f t="shared" si="5"/>
        <v>5</v>
      </c>
      <c r="N37" s="22">
        <f t="shared" si="6"/>
        <v>25</v>
      </c>
      <c r="P37" s="2">
        <v>2</v>
      </c>
      <c r="Q37" s="5">
        <v>1</v>
      </c>
      <c r="R37" s="1">
        <v>1</v>
      </c>
      <c r="S37" s="5">
        <v>1</v>
      </c>
      <c r="T37" s="8">
        <v>0</v>
      </c>
      <c r="U37" s="5">
        <v>1</v>
      </c>
      <c r="V37" s="8">
        <v>0</v>
      </c>
      <c r="W37" s="1">
        <v>0</v>
      </c>
      <c r="X37" s="23">
        <f t="shared" si="3"/>
        <v>6</v>
      </c>
    </row>
    <row r="38" spans="1:24" hidden="1">
      <c r="A38" s="13">
        <v>44594</v>
      </c>
      <c r="B38" s="1">
        <v>4</v>
      </c>
      <c r="C38" s="1">
        <v>5</v>
      </c>
      <c r="D38" s="2">
        <v>3</v>
      </c>
      <c r="E38" s="1">
        <v>1</v>
      </c>
      <c r="F38" s="2">
        <v>5</v>
      </c>
      <c r="G38" s="1">
        <v>5</v>
      </c>
      <c r="H38" s="2">
        <v>2</v>
      </c>
      <c r="I38" s="1">
        <v>3</v>
      </c>
      <c r="J38" s="1">
        <v>3</v>
      </c>
      <c r="L38" s="21">
        <f t="shared" si="4"/>
        <v>25</v>
      </c>
      <c r="M38" s="21">
        <f t="shared" si="5"/>
        <v>6</v>
      </c>
      <c r="N38" s="22">
        <f t="shared" si="6"/>
        <v>31</v>
      </c>
      <c r="P38" s="2">
        <v>2</v>
      </c>
      <c r="Q38" s="5">
        <v>1</v>
      </c>
      <c r="R38" s="1">
        <v>1</v>
      </c>
      <c r="S38" s="5">
        <v>1</v>
      </c>
      <c r="T38" s="8">
        <v>0</v>
      </c>
      <c r="U38" s="5">
        <v>1</v>
      </c>
      <c r="V38" s="8">
        <v>0</v>
      </c>
      <c r="W38" s="1">
        <v>0</v>
      </c>
      <c r="X38" s="23">
        <f t="shared" si="3"/>
        <v>6</v>
      </c>
    </row>
    <row r="39" spans="1:24" hidden="1">
      <c r="A39" s="11">
        <v>44595</v>
      </c>
      <c r="B39" s="1">
        <v>4</v>
      </c>
      <c r="C39" s="1">
        <v>3</v>
      </c>
      <c r="D39" s="2">
        <v>3</v>
      </c>
      <c r="E39" s="1">
        <v>1</v>
      </c>
      <c r="F39" s="2">
        <v>5</v>
      </c>
      <c r="G39" s="1">
        <v>5</v>
      </c>
      <c r="H39" s="2">
        <v>2</v>
      </c>
      <c r="I39" s="1">
        <v>1</v>
      </c>
      <c r="J39" s="1">
        <v>3</v>
      </c>
      <c r="L39" s="21">
        <f t="shared" si="4"/>
        <v>23</v>
      </c>
      <c r="M39" s="21">
        <f t="shared" si="5"/>
        <v>4</v>
      </c>
      <c r="N39" s="22">
        <f t="shared" si="6"/>
        <v>27</v>
      </c>
      <c r="P39" s="2">
        <v>2</v>
      </c>
      <c r="Q39" s="5">
        <v>1</v>
      </c>
      <c r="R39" s="1">
        <v>1</v>
      </c>
      <c r="S39" s="5">
        <v>1</v>
      </c>
      <c r="T39" s="1">
        <v>1</v>
      </c>
      <c r="U39" s="5">
        <v>1</v>
      </c>
      <c r="V39" s="1">
        <v>0</v>
      </c>
      <c r="W39" s="1">
        <v>0</v>
      </c>
      <c r="X39" s="23">
        <f t="shared" si="3"/>
        <v>7</v>
      </c>
    </row>
    <row r="40" spans="1:24" hidden="1">
      <c r="A40" s="11">
        <v>44596</v>
      </c>
      <c r="B40" s="1">
        <v>4</v>
      </c>
      <c r="C40" s="1">
        <v>3</v>
      </c>
      <c r="D40" s="2">
        <v>3</v>
      </c>
      <c r="E40" s="1">
        <v>1</v>
      </c>
      <c r="F40" s="2">
        <v>5</v>
      </c>
      <c r="G40" s="1">
        <v>5</v>
      </c>
      <c r="H40" s="2">
        <v>2</v>
      </c>
      <c r="I40" s="1">
        <v>1</v>
      </c>
      <c r="J40" s="1">
        <v>3</v>
      </c>
      <c r="L40" s="21">
        <f t="shared" si="4"/>
        <v>23</v>
      </c>
      <c r="M40" s="21">
        <f t="shared" si="5"/>
        <v>4</v>
      </c>
      <c r="N40" s="22">
        <f t="shared" si="6"/>
        <v>27</v>
      </c>
      <c r="P40" s="2">
        <v>2</v>
      </c>
      <c r="Q40" s="5">
        <v>1</v>
      </c>
      <c r="R40" s="1">
        <v>1</v>
      </c>
      <c r="S40" s="5">
        <v>1</v>
      </c>
      <c r="T40" s="1">
        <v>1</v>
      </c>
      <c r="U40" s="5">
        <v>1</v>
      </c>
      <c r="V40" s="1">
        <v>0</v>
      </c>
      <c r="W40" s="1">
        <v>0</v>
      </c>
      <c r="X40" s="23">
        <f t="shared" si="3"/>
        <v>7</v>
      </c>
    </row>
    <row r="41" spans="1:24" hidden="1">
      <c r="A41" s="12">
        <v>44597</v>
      </c>
      <c r="B41" s="1">
        <v>4</v>
      </c>
      <c r="C41" s="1">
        <v>3</v>
      </c>
      <c r="D41" s="2">
        <v>4</v>
      </c>
      <c r="E41" s="1">
        <v>2</v>
      </c>
      <c r="F41" s="2">
        <v>5</v>
      </c>
      <c r="G41" s="1">
        <v>5</v>
      </c>
      <c r="H41" s="2">
        <v>2</v>
      </c>
      <c r="I41" s="1">
        <v>1</v>
      </c>
      <c r="J41" s="1">
        <v>3</v>
      </c>
      <c r="L41" s="21">
        <f t="shared" si="4"/>
        <v>25</v>
      </c>
      <c r="M41" s="21">
        <f t="shared" si="5"/>
        <v>4</v>
      </c>
      <c r="N41" s="22">
        <f t="shared" si="6"/>
        <v>29</v>
      </c>
      <c r="P41" s="2">
        <v>2</v>
      </c>
      <c r="Q41" s="5">
        <v>1</v>
      </c>
      <c r="R41" s="1">
        <v>1</v>
      </c>
      <c r="S41" s="5">
        <v>1</v>
      </c>
      <c r="T41" s="1">
        <v>1</v>
      </c>
      <c r="U41" s="5">
        <v>1</v>
      </c>
      <c r="V41" s="1">
        <v>0</v>
      </c>
      <c r="W41" s="1">
        <v>0</v>
      </c>
      <c r="X41" s="23">
        <f t="shared" si="3"/>
        <v>7</v>
      </c>
    </row>
    <row r="42" spans="1:24" hidden="1">
      <c r="A42" s="12">
        <v>44598</v>
      </c>
      <c r="B42" s="1">
        <v>4</v>
      </c>
      <c r="C42" s="1">
        <v>3</v>
      </c>
      <c r="D42" s="2">
        <v>5</v>
      </c>
      <c r="E42" s="1">
        <v>2</v>
      </c>
      <c r="F42" s="2">
        <v>6</v>
      </c>
      <c r="G42" s="1">
        <v>5</v>
      </c>
      <c r="H42" s="2">
        <v>2</v>
      </c>
      <c r="I42" s="1">
        <v>2</v>
      </c>
      <c r="J42" s="1">
        <v>3</v>
      </c>
      <c r="L42" s="21">
        <f>SUM(B42,C42,D42,E42,F42,G42,H42)</f>
        <v>27</v>
      </c>
      <c r="M42" s="21">
        <f t="shared" si="5"/>
        <v>5</v>
      </c>
      <c r="N42" s="22">
        <f t="shared" si="6"/>
        <v>32</v>
      </c>
      <c r="P42" s="2">
        <v>2</v>
      </c>
      <c r="Q42" s="5">
        <v>1</v>
      </c>
      <c r="R42" s="1">
        <v>1</v>
      </c>
      <c r="S42" s="5">
        <v>1</v>
      </c>
      <c r="T42" s="1">
        <v>1</v>
      </c>
      <c r="U42" s="5">
        <v>1</v>
      </c>
      <c r="V42" s="1">
        <v>0</v>
      </c>
      <c r="W42" s="1">
        <v>0</v>
      </c>
      <c r="X42" s="23">
        <f t="shared" si="3"/>
        <v>7</v>
      </c>
    </row>
    <row r="43" spans="1:24" hidden="1">
      <c r="A43" s="11">
        <v>44599</v>
      </c>
      <c r="B43" s="1">
        <v>4</v>
      </c>
      <c r="C43" s="1">
        <v>3</v>
      </c>
      <c r="D43" s="2">
        <v>5</v>
      </c>
      <c r="E43" s="1">
        <v>2</v>
      </c>
      <c r="F43" s="2">
        <v>6</v>
      </c>
      <c r="G43" s="1">
        <v>5</v>
      </c>
      <c r="H43" s="2">
        <v>2</v>
      </c>
      <c r="I43" s="1">
        <v>2</v>
      </c>
      <c r="J43" s="1">
        <v>3</v>
      </c>
      <c r="L43" s="21">
        <f t="shared" si="4"/>
        <v>27</v>
      </c>
      <c r="M43" s="21">
        <f t="shared" si="5"/>
        <v>5</v>
      </c>
      <c r="N43" s="22">
        <f t="shared" si="6"/>
        <v>32</v>
      </c>
      <c r="P43" s="2">
        <v>2</v>
      </c>
      <c r="Q43" s="5">
        <v>1</v>
      </c>
      <c r="R43" s="1">
        <v>1</v>
      </c>
      <c r="S43" s="5">
        <v>1</v>
      </c>
      <c r="T43" s="1">
        <v>1</v>
      </c>
      <c r="U43" s="5">
        <v>1</v>
      </c>
      <c r="V43" s="1">
        <v>0</v>
      </c>
      <c r="W43" s="1">
        <v>0</v>
      </c>
      <c r="X43" s="23">
        <f t="shared" si="3"/>
        <v>7</v>
      </c>
    </row>
    <row r="44" spans="1:24" hidden="1">
      <c r="A44" s="11">
        <v>44600</v>
      </c>
      <c r="B44" s="1">
        <v>4</v>
      </c>
      <c r="C44" s="1">
        <v>3</v>
      </c>
      <c r="D44" s="2">
        <v>5</v>
      </c>
      <c r="E44" s="1">
        <v>2</v>
      </c>
      <c r="F44" s="2">
        <v>6</v>
      </c>
      <c r="G44" s="1">
        <v>5</v>
      </c>
      <c r="H44" s="2">
        <v>2</v>
      </c>
      <c r="I44" s="1">
        <v>2</v>
      </c>
      <c r="J44" s="1">
        <v>3</v>
      </c>
      <c r="L44" s="21">
        <f>SUM(B44,C44,D44,E44,F44,G44,H44)</f>
        <v>27</v>
      </c>
      <c r="M44" s="21">
        <f t="shared" si="5"/>
        <v>5</v>
      </c>
      <c r="N44" s="22">
        <f t="shared" si="6"/>
        <v>32</v>
      </c>
      <c r="P44" s="2">
        <v>2</v>
      </c>
      <c r="Q44" s="5">
        <v>1</v>
      </c>
      <c r="R44" s="1">
        <v>1</v>
      </c>
      <c r="S44" s="5">
        <v>1</v>
      </c>
      <c r="T44" s="1">
        <v>1</v>
      </c>
      <c r="U44" s="5">
        <v>1</v>
      </c>
      <c r="V44" s="1">
        <v>0</v>
      </c>
      <c r="W44" s="1">
        <v>0</v>
      </c>
      <c r="X44" s="23">
        <f t="shared" si="3"/>
        <v>7</v>
      </c>
    </row>
    <row r="45" spans="1:24" hidden="1">
      <c r="A45" s="13">
        <v>44601</v>
      </c>
      <c r="B45" s="1">
        <v>3</v>
      </c>
      <c r="C45" s="1">
        <v>4</v>
      </c>
      <c r="D45" s="2">
        <v>5</v>
      </c>
      <c r="E45" s="1">
        <v>2</v>
      </c>
      <c r="F45" s="2">
        <v>3</v>
      </c>
      <c r="G45" s="1">
        <v>5</v>
      </c>
      <c r="H45" s="2">
        <v>2</v>
      </c>
      <c r="I45" s="1">
        <v>2</v>
      </c>
      <c r="J45" s="1">
        <v>3</v>
      </c>
      <c r="L45" s="21">
        <f t="shared" si="4"/>
        <v>24</v>
      </c>
      <c r="M45" s="21">
        <f t="shared" si="5"/>
        <v>5</v>
      </c>
      <c r="N45" s="22">
        <f t="shared" si="6"/>
        <v>29</v>
      </c>
      <c r="P45" s="2">
        <v>2</v>
      </c>
      <c r="Q45" s="5">
        <v>1</v>
      </c>
      <c r="R45" s="1">
        <v>1</v>
      </c>
      <c r="S45" s="5">
        <v>1</v>
      </c>
      <c r="T45" s="1">
        <v>1</v>
      </c>
      <c r="U45" s="5">
        <v>1</v>
      </c>
      <c r="V45" s="1">
        <v>0</v>
      </c>
      <c r="W45" s="1">
        <v>0</v>
      </c>
      <c r="X45" s="23">
        <f t="shared" ref="X45:X108" si="7">SUM(P45:W45)</f>
        <v>7</v>
      </c>
    </row>
    <row r="46" spans="1:24" hidden="1">
      <c r="A46" s="11">
        <v>44602</v>
      </c>
      <c r="B46" s="1">
        <v>3</v>
      </c>
      <c r="C46" s="1">
        <v>3</v>
      </c>
      <c r="D46" s="2">
        <v>5</v>
      </c>
      <c r="E46" s="1">
        <v>1</v>
      </c>
      <c r="F46" s="2">
        <v>5</v>
      </c>
      <c r="G46" s="1">
        <v>4</v>
      </c>
      <c r="H46" s="2">
        <v>2</v>
      </c>
      <c r="I46" s="1">
        <v>1</v>
      </c>
      <c r="J46" s="1">
        <v>3</v>
      </c>
      <c r="L46" s="21">
        <f t="shared" si="4"/>
        <v>23</v>
      </c>
      <c r="M46" s="21">
        <f t="shared" si="5"/>
        <v>4</v>
      </c>
      <c r="N46" s="22">
        <f t="shared" si="6"/>
        <v>27</v>
      </c>
      <c r="P46" s="2">
        <v>2</v>
      </c>
      <c r="Q46" s="5">
        <v>1</v>
      </c>
      <c r="R46" s="1">
        <v>1</v>
      </c>
      <c r="S46" s="5">
        <v>1</v>
      </c>
      <c r="T46" s="1">
        <v>1</v>
      </c>
      <c r="U46" s="5">
        <v>1</v>
      </c>
      <c r="V46" s="1">
        <v>1</v>
      </c>
      <c r="W46" s="1">
        <v>0</v>
      </c>
      <c r="X46" s="23">
        <f t="shared" si="7"/>
        <v>8</v>
      </c>
    </row>
    <row r="47" spans="1:24" hidden="1">
      <c r="A47" s="11">
        <v>44603</v>
      </c>
      <c r="B47" s="1">
        <v>3</v>
      </c>
      <c r="C47" s="1">
        <v>3</v>
      </c>
      <c r="D47" s="2">
        <v>4</v>
      </c>
      <c r="E47" s="1">
        <v>1</v>
      </c>
      <c r="F47" s="2">
        <v>5</v>
      </c>
      <c r="G47" s="1">
        <v>4</v>
      </c>
      <c r="H47" s="2">
        <v>2</v>
      </c>
      <c r="I47" s="1">
        <v>1</v>
      </c>
      <c r="J47" s="1">
        <v>3</v>
      </c>
      <c r="L47" s="21">
        <f>SUM(B47,C47,D47,E47,F47,G47,H47)</f>
        <v>22</v>
      </c>
      <c r="M47" s="21">
        <f t="shared" si="5"/>
        <v>4</v>
      </c>
      <c r="N47" s="22">
        <f t="shared" si="6"/>
        <v>26</v>
      </c>
      <c r="P47" s="2">
        <v>2</v>
      </c>
      <c r="Q47" s="5">
        <v>1</v>
      </c>
      <c r="R47" s="1">
        <v>1</v>
      </c>
      <c r="S47" s="5">
        <v>1</v>
      </c>
      <c r="T47" s="1">
        <v>1</v>
      </c>
      <c r="U47" s="5">
        <v>1</v>
      </c>
      <c r="V47" s="1">
        <v>1</v>
      </c>
      <c r="W47" s="1">
        <v>0</v>
      </c>
      <c r="X47" s="23">
        <f t="shared" si="7"/>
        <v>8</v>
      </c>
    </row>
    <row r="48" spans="1:24" hidden="1">
      <c r="A48" s="12">
        <v>44604</v>
      </c>
      <c r="B48" s="1">
        <v>3</v>
      </c>
      <c r="C48" s="1">
        <v>3</v>
      </c>
      <c r="D48" s="2">
        <v>4</v>
      </c>
      <c r="E48" s="1">
        <v>1</v>
      </c>
      <c r="F48" s="2">
        <v>5</v>
      </c>
      <c r="G48" s="1">
        <v>4</v>
      </c>
      <c r="H48" s="2">
        <v>2</v>
      </c>
      <c r="I48" s="1">
        <v>1</v>
      </c>
      <c r="J48" s="1">
        <v>3</v>
      </c>
      <c r="L48" s="21">
        <f>SUM(B48,C48,D48,E48,F48,G48,H48)</f>
        <v>22</v>
      </c>
      <c r="M48" s="21">
        <f t="shared" si="5"/>
        <v>4</v>
      </c>
      <c r="N48" s="22">
        <f t="shared" si="6"/>
        <v>26</v>
      </c>
      <c r="P48" s="2">
        <v>2</v>
      </c>
      <c r="Q48" s="5">
        <v>1</v>
      </c>
      <c r="R48" s="1">
        <v>1</v>
      </c>
      <c r="S48" s="5">
        <v>1</v>
      </c>
      <c r="T48" s="1">
        <v>1</v>
      </c>
      <c r="U48" s="5">
        <v>1</v>
      </c>
      <c r="V48" s="1">
        <v>1</v>
      </c>
      <c r="W48" s="1">
        <v>0</v>
      </c>
      <c r="X48" s="23">
        <f t="shared" si="7"/>
        <v>8</v>
      </c>
    </row>
    <row r="49" spans="1:24" hidden="1">
      <c r="A49" s="12">
        <v>44605</v>
      </c>
      <c r="B49" s="1">
        <v>2</v>
      </c>
      <c r="C49" s="1">
        <v>4</v>
      </c>
      <c r="D49" s="2">
        <v>4</v>
      </c>
      <c r="E49" s="1">
        <v>2</v>
      </c>
      <c r="F49" s="2">
        <v>4</v>
      </c>
      <c r="G49" s="1">
        <v>4</v>
      </c>
      <c r="H49" s="2">
        <v>2</v>
      </c>
      <c r="I49" s="1">
        <v>2</v>
      </c>
      <c r="J49" s="1">
        <v>2</v>
      </c>
      <c r="L49" s="21">
        <f t="shared" si="4"/>
        <v>22</v>
      </c>
      <c r="M49" s="21">
        <f t="shared" si="5"/>
        <v>4</v>
      </c>
      <c r="N49" s="22">
        <f t="shared" si="6"/>
        <v>26</v>
      </c>
      <c r="P49" s="2">
        <v>2</v>
      </c>
      <c r="Q49" s="5">
        <v>1</v>
      </c>
      <c r="R49" s="1">
        <v>1</v>
      </c>
      <c r="S49" s="5">
        <v>2</v>
      </c>
      <c r="T49" s="1">
        <v>1</v>
      </c>
      <c r="U49" s="5">
        <v>1</v>
      </c>
      <c r="V49" s="1">
        <v>1</v>
      </c>
      <c r="W49" s="1">
        <v>0</v>
      </c>
      <c r="X49" s="23">
        <f t="shared" si="7"/>
        <v>9</v>
      </c>
    </row>
    <row r="50" spans="1:24" hidden="1">
      <c r="A50" s="11">
        <v>44606</v>
      </c>
      <c r="B50" s="1">
        <v>2</v>
      </c>
      <c r="C50" s="1">
        <v>4</v>
      </c>
      <c r="D50" s="2">
        <v>4</v>
      </c>
      <c r="E50" s="1">
        <v>2</v>
      </c>
      <c r="F50" s="2">
        <v>4</v>
      </c>
      <c r="G50" s="1">
        <v>4</v>
      </c>
      <c r="H50" s="2">
        <v>2</v>
      </c>
      <c r="I50" s="1">
        <v>2</v>
      </c>
      <c r="J50" s="1">
        <v>2</v>
      </c>
      <c r="L50" s="21">
        <f t="shared" si="4"/>
        <v>22</v>
      </c>
      <c r="M50" s="21">
        <f t="shared" si="5"/>
        <v>4</v>
      </c>
      <c r="N50" s="22">
        <f t="shared" si="6"/>
        <v>26</v>
      </c>
      <c r="P50" s="2">
        <v>2</v>
      </c>
      <c r="Q50" s="5">
        <v>1</v>
      </c>
      <c r="R50" s="1">
        <v>1</v>
      </c>
      <c r="S50" s="5">
        <v>2</v>
      </c>
      <c r="T50" s="1">
        <v>1</v>
      </c>
      <c r="U50" s="5">
        <v>1</v>
      </c>
      <c r="V50" s="1">
        <v>1</v>
      </c>
      <c r="W50" s="1">
        <v>0</v>
      </c>
      <c r="X50" s="23">
        <f t="shared" si="7"/>
        <v>9</v>
      </c>
    </row>
    <row r="51" spans="1:24" hidden="1">
      <c r="A51" s="11">
        <v>44607</v>
      </c>
      <c r="B51" s="1">
        <v>2</v>
      </c>
      <c r="C51" s="1">
        <v>4</v>
      </c>
      <c r="D51" s="2">
        <v>4</v>
      </c>
      <c r="E51" s="1">
        <v>2</v>
      </c>
      <c r="F51" s="2">
        <v>4</v>
      </c>
      <c r="G51" s="1">
        <v>4</v>
      </c>
      <c r="H51" s="2">
        <v>2</v>
      </c>
      <c r="I51" s="1">
        <v>2</v>
      </c>
      <c r="J51" s="1">
        <v>2</v>
      </c>
      <c r="L51" s="21">
        <f t="shared" si="4"/>
        <v>22</v>
      </c>
      <c r="M51" s="21">
        <f t="shared" si="5"/>
        <v>4</v>
      </c>
      <c r="N51" s="22">
        <f t="shared" si="6"/>
        <v>26</v>
      </c>
      <c r="P51" s="2">
        <v>2</v>
      </c>
      <c r="Q51" s="5">
        <v>1</v>
      </c>
      <c r="R51" s="1">
        <v>1</v>
      </c>
      <c r="S51" s="5">
        <v>2</v>
      </c>
      <c r="T51" s="1">
        <v>1</v>
      </c>
      <c r="U51" s="5">
        <v>1</v>
      </c>
      <c r="V51" s="1">
        <v>1</v>
      </c>
      <c r="W51" s="1">
        <v>0</v>
      </c>
      <c r="X51" s="23">
        <f t="shared" si="7"/>
        <v>9</v>
      </c>
    </row>
    <row r="52" spans="1:24" hidden="1">
      <c r="A52" s="13">
        <v>44608</v>
      </c>
      <c r="B52" s="1">
        <v>3</v>
      </c>
      <c r="C52" s="1">
        <v>4</v>
      </c>
      <c r="D52" s="2">
        <v>4</v>
      </c>
      <c r="E52" s="1">
        <v>2</v>
      </c>
      <c r="F52" s="2">
        <v>5</v>
      </c>
      <c r="G52" s="1">
        <v>5</v>
      </c>
      <c r="H52" s="2">
        <v>2</v>
      </c>
      <c r="I52" s="1">
        <v>2</v>
      </c>
      <c r="J52" s="1">
        <v>2</v>
      </c>
      <c r="L52" s="21">
        <f t="shared" si="4"/>
        <v>25</v>
      </c>
      <c r="M52" s="21">
        <f t="shared" si="5"/>
        <v>4</v>
      </c>
      <c r="N52" s="22">
        <f t="shared" si="6"/>
        <v>29</v>
      </c>
      <c r="P52" s="2">
        <v>2</v>
      </c>
      <c r="Q52" s="5">
        <v>1</v>
      </c>
      <c r="R52" s="1">
        <v>1</v>
      </c>
      <c r="S52" s="5">
        <v>2</v>
      </c>
      <c r="T52" s="1">
        <v>1</v>
      </c>
      <c r="U52" s="5">
        <v>1</v>
      </c>
      <c r="V52" s="1">
        <v>1</v>
      </c>
      <c r="W52" s="1">
        <v>0</v>
      </c>
      <c r="X52" s="23">
        <f t="shared" si="7"/>
        <v>9</v>
      </c>
    </row>
    <row r="53" spans="1:24" hidden="1">
      <c r="A53" s="11">
        <v>44609</v>
      </c>
      <c r="B53" s="1">
        <v>3</v>
      </c>
      <c r="C53" s="1">
        <v>4</v>
      </c>
      <c r="D53" s="2">
        <v>5</v>
      </c>
      <c r="E53" s="1">
        <v>1</v>
      </c>
      <c r="F53" s="2">
        <v>5</v>
      </c>
      <c r="G53" s="1">
        <v>4</v>
      </c>
      <c r="H53" s="2">
        <v>2</v>
      </c>
      <c r="I53" s="1">
        <v>2</v>
      </c>
      <c r="J53" s="1">
        <v>2</v>
      </c>
      <c r="L53" s="21">
        <f t="shared" si="4"/>
        <v>24</v>
      </c>
      <c r="M53" s="21">
        <f t="shared" si="5"/>
        <v>4</v>
      </c>
      <c r="N53" s="22">
        <f t="shared" si="6"/>
        <v>28</v>
      </c>
      <c r="P53" s="2">
        <v>2</v>
      </c>
      <c r="Q53" s="5">
        <v>0</v>
      </c>
      <c r="R53" s="1">
        <v>1</v>
      </c>
      <c r="S53" s="5">
        <v>2</v>
      </c>
      <c r="T53" s="1">
        <v>0</v>
      </c>
      <c r="U53" s="5">
        <v>1</v>
      </c>
      <c r="V53" s="1">
        <v>1</v>
      </c>
      <c r="W53" s="1">
        <v>0</v>
      </c>
      <c r="X53" s="23">
        <f t="shared" si="7"/>
        <v>7</v>
      </c>
    </row>
    <row r="54" spans="1:24" hidden="1">
      <c r="A54" s="11">
        <v>44610</v>
      </c>
      <c r="B54" s="1">
        <v>3</v>
      </c>
      <c r="C54" s="1">
        <v>3</v>
      </c>
      <c r="D54" s="2">
        <v>4</v>
      </c>
      <c r="E54" s="1">
        <v>1</v>
      </c>
      <c r="F54" s="2">
        <v>5</v>
      </c>
      <c r="G54" s="1">
        <v>4</v>
      </c>
      <c r="H54" s="2">
        <v>2</v>
      </c>
      <c r="I54" s="1">
        <v>2</v>
      </c>
      <c r="J54" s="1">
        <v>2</v>
      </c>
      <c r="L54" s="21">
        <f t="shared" si="4"/>
        <v>22</v>
      </c>
      <c r="M54" s="21">
        <f t="shared" si="5"/>
        <v>4</v>
      </c>
      <c r="N54" s="22">
        <f t="shared" si="6"/>
        <v>26</v>
      </c>
      <c r="P54" s="2">
        <v>2</v>
      </c>
      <c r="Q54" s="5">
        <v>0</v>
      </c>
      <c r="R54" s="1">
        <v>1</v>
      </c>
      <c r="S54" s="5">
        <v>1</v>
      </c>
      <c r="T54" s="1">
        <v>0</v>
      </c>
      <c r="U54" s="5">
        <v>1</v>
      </c>
      <c r="V54" s="1">
        <v>1</v>
      </c>
      <c r="W54" s="1">
        <v>0</v>
      </c>
      <c r="X54" s="23">
        <f t="shared" si="7"/>
        <v>6</v>
      </c>
    </row>
    <row r="55" spans="1:24" hidden="1">
      <c r="A55" s="12">
        <v>44611</v>
      </c>
      <c r="B55" s="1">
        <v>3</v>
      </c>
      <c r="C55" s="1">
        <v>3</v>
      </c>
      <c r="D55" s="2">
        <v>4</v>
      </c>
      <c r="E55" s="1">
        <v>1</v>
      </c>
      <c r="F55" s="2">
        <v>5</v>
      </c>
      <c r="G55" s="1">
        <v>4</v>
      </c>
      <c r="H55" s="2">
        <v>2</v>
      </c>
      <c r="I55" s="1">
        <v>2</v>
      </c>
      <c r="J55" s="1">
        <v>3</v>
      </c>
      <c r="L55" s="21">
        <f t="shared" si="4"/>
        <v>22</v>
      </c>
      <c r="M55" s="21">
        <f t="shared" si="5"/>
        <v>5</v>
      </c>
      <c r="N55" s="22">
        <f t="shared" si="6"/>
        <v>27</v>
      </c>
      <c r="P55" s="2">
        <v>2</v>
      </c>
      <c r="Q55" s="5">
        <v>0</v>
      </c>
      <c r="R55" s="1">
        <v>1</v>
      </c>
      <c r="S55" s="5">
        <v>1</v>
      </c>
      <c r="T55" s="1">
        <v>0</v>
      </c>
      <c r="U55" s="5">
        <v>1</v>
      </c>
      <c r="V55" s="1">
        <v>1</v>
      </c>
      <c r="W55" s="1">
        <v>0</v>
      </c>
      <c r="X55" s="23">
        <f t="shared" si="7"/>
        <v>6</v>
      </c>
    </row>
    <row r="56" spans="1:24" hidden="1">
      <c r="A56" s="12">
        <v>44612</v>
      </c>
      <c r="B56" s="1">
        <v>3</v>
      </c>
      <c r="C56" s="1">
        <v>3</v>
      </c>
      <c r="D56" s="2">
        <v>4</v>
      </c>
      <c r="E56" s="1">
        <v>2</v>
      </c>
      <c r="F56" s="2">
        <v>5</v>
      </c>
      <c r="G56" s="1">
        <v>4</v>
      </c>
      <c r="H56" s="2">
        <v>2</v>
      </c>
      <c r="I56" s="1">
        <v>2</v>
      </c>
      <c r="J56" s="1">
        <v>3</v>
      </c>
      <c r="L56" s="21">
        <f t="shared" si="4"/>
        <v>23</v>
      </c>
      <c r="M56" s="21">
        <f t="shared" si="5"/>
        <v>5</v>
      </c>
      <c r="N56" s="22">
        <f t="shared" si="6"/>
        <v>28</v>
      </c>
      <c r="P56" s="2">
        <v>2</v>
      </c>
      <c r="Q56" s="5">
        <v>0</v>
      </c>
      <c r="R56" s="1">
        <v>1</v>
      </c>
      <c r="S56" s="5">
        <v>1</v>
      </c>
      <c r="T56" s="1">
        <v>0</v>
      </c>
      <c r="U56" s="5">
        <v>1</v>
      </c>
      <c r="V56" s="1">
        <v>1</v>
      </c>
      <c r="W56" s="1">
        <v>0</v>
      </c>
      <c r="X56" s="23">
        <f t="shared" si="7"/>
        <v>6</v>
      </c>
    </row>
    <row r="57" spans="1:24" hidden="1">
      <c r="A57" s="11">
        <v>44613</v>
      </c>
      <c r="B57" s="1">
        <v>3</v>
      </c>
      <c r="C57" s="1">
        <v>4</v>
      </c>
      <c r="D57" s="2">
        <v>4</v>
      </c>
      <c r="E57" s="1">
        <v>2</v>
      </c>
      <c r="F57" s="2">
        <v>5</v>
      </c>
      <c r="G57" s="1">
        <v>4</v>
      </c>
      <c r="H57" s="2">
        <v>2</v>
      </c>
      <c r="I57" s="1">
        <v>2</v>
      </c>
      <c r="J57" s="1">
        <v>3</v>
      </c>
      <c r="L57" s="21">
        <f t="shared" si="4"/>
        <v>24</v>
      </c>
      <c r="M57" s="21">
        <f t="shared" si="5"/>
        <v>5</v>
      </c>
      <c r="N57" s="22">
        <f t="shared" si="6"/>
        <v>29</v>
      </c>
      <c r="P57" s="2">
        <v>2</v>
      </c>
      <c r="Q57" s="5">
        <v>0</v>
      </c>
      <c r="R57" s="1">
        <v>1</v>
      </c>
      <c r="S57" s="5">
        <v>2</v>
      </c>
      <c r="T57" s="1">
        <v>0</v>
      </c>
      <c r="U57" s="5">
        <v>1</v>
      </c>
      <c r="V57" s="1">
        <v>1</v>
      </c>
      <c r="W57" s="1">
        <v>0</v>
      </c>
      <c r="X57" s="23">
        <f t="shared" si="7"/>
        <v>7</v>
      </c>
    </row>
    <row r="58" spans="1:24" hidden="1">
      <c r="A58" s="11">
        <v>44614</v>
      </c>
      <c r="B58" s="1">
        <v>3</v>
      </c>
      <c r="C58" s="1">
        <v>4</v>
      </c>
      <c r="D58" s="2">
        <v>4</v>
      </c>
      <c r="E58" s="1">
        <v>2</v>
      </c>
      <c r="F58" s="2">
        <v>5</v>
      </c>
      <c r="G58" s="1">
        <v>4</v>
      </c>
      <c r="H58" s="2">
        <v>1</v>
      </c>
      <c r="I58" s="1">
        <v>2</v>
      </c>
      <c r="J58" s="1">
        <v>3</v>
      </c>
      <c r="L58" s="21">
        <f t="shared" si="4"/>
        <v>23</v>
      </c>
      <c r="M58" s="21">
        <f t="shared" si="5"/>
        <v>5</v>
      </c>
      <c r="N58" s="22">
        <f t="shared" si="6"/>
        <v>28</v>
      </c>
      <c r="P58" s="2">
        <v>2</v>
      </c>
      <c r="Q58" s="5">
        <v>0</v>
      </c>
      <c r="R58" s="1">
        <v>1</v>
      </c>
      <c r="S58" s="5">
        <v>2</v>
      </c>
      <c r="T58" s="1">
        <v>0</v>
      </c>
      <c r="U58" s="5">
        <v>1</v>
      </c>
      <c r="V58" s="1">
        <v>1</v>
      </c>
      <c r="W58" s="1">
        <v>0</v>
      </c>
      <c r="X58" s="23">
        <f t="shared" si="7"/>
        <v>7</v>
      </c>
    </row>
    <row r="59" spans="1:24" hidden="1">
      <c r="A59" s="13">
        <v>44615</v>
      </c>
      <c r="B59" s="1">
        <v>3</v>
      </c>
      <c r="C59" s="1">
        <v>4</v>
      </c>
      <c r="D59" s="2">
        <v>4</v>
      </c>
      <c r="E59" s="1">
        <v>2</v>
      </c>
      <c r="F59" s="2">
        <v>5</v>
      </c>
      <c r="G59" s="1">
        <v>4</v>
      </c>
      <c r="H59" s="2">
        <v>1</v>
      </c>
      <c r="I59" s="1">
        <v>2</v>
      </c>
      <c r="J59" s="1">
        <v>3</v>
      </c>
      <c r="L59" s="21">
        <f t="shared" si="4"/>
        <v>23</v>
      </c>
      <c r="M59" s="21">
        <f t="shared" si="5"/>
        <v>5</v>
      </c>
      <c r="N59" s="22">
        <f t="shared" si="6"/>
        <v>28</v>
      </c>
      <c r="P59" s="2">
        <v>2</v>
      </c>
      <c r="Q59" s="5">
        <v>0</v>
      </c>
      <c r="R59" s="1">
        <v>1</v>
      </c>
      <c r="S59" s="5">
        <v>2</v>
      </c>
      <c r="T59" s="1">
        <v>0</v>
      </c>
      <c r="U59" s="5">
        <v>1</v>
      </c>
      <c r="V59" s="1">
        <v>1</v>
      </c>
      <c r="W59" s="1">
        <v>0</v>
      </c>
      <c r="X59" s="23">
        <f t="shared" si="7"/>
        <v>7</v>
      </c>
    </row>
    <row r="60" spans="1:24" hidden="1">
      <c r="A60" s="11">
        <v>44616</v>
      </c>
      <c r="B60" s="1">
        <v>3</v>
      </c>
      <c r="C60" s="1">
        <v>3</v>
      </c>
      <c r="D60" s="2">
        <v>4</v>
      </c>
      <c r="E60" s="1">
        <v>2</v>
      </c>
      <c r="F60" s="2">
        <v>4</v>
      </c>
      <c r="G60" s="1">
        <v>4</v>
      </c>
      <c r="H60" s="2">
        <v>1</v>
      </c>
      <c r="I60" s="1">
        <v>2</v>
      </c>
      <c r="J60" s="1">
        <v>3</v>
      </c>
      <c r="L60" s="21">
        <f t="shared" si="4"/>
        <v>21</v>
      </c>
      <c r="M60" s="21">
        <f t="shared" si="5"/>
        <v>5</v>
      </c>
      <c r="N60" s="22">
        <f t="shared" si="6"/>
        <v>26</v>
      </c>
      <c r="P60" s="2">
        <v>2</v>
      </c>
      <c r="Q60" s="5">
        <v>1</v>
      </c>
      <c r="R60" s="1">
        <v>1</v>
      </c>
      <c r="S60" s="5">
        <v>2</v>
      </c>
      <c r="T60" s="1">
        <v>0</v>
      </c>
      <c r="U60" s="5">
        <v>1</v>
      </c>
      <c r="V60" s="1">
        <v>1</v>
      </c>
      <c r="W60" s="1">
        <v>0</v>
      </c>
      <c r="X60" s="23">
        <f t="shared" si="7"/>
        <v>8</v>
      </c>
    </row>
    <row r="61" spans="1:24" hidden="1">
      <c r="A61" s="11">
        <v>44617</v>
      </c>
      <c r="B61" s="1">
        <v>3</v>
      </c>
      <c r="C61" s="1">
        <v>3</v>
      </c>
      <c r="D61" s="2">
        <v>4</v>
      </c>
      <c r="E61" s="1">
        <v>2</v>
      </c>
      <c r="F61" s="2">
        <v>4</v>
      </c>
      <c r="G61" s="1">
        <v>4</v>
      </c>
      <c r="H61" s="2">
        <v>1</v>
      </c>
      <c r="I61" s="1">
        <v>2</v>
      </c>
      <c r="J61" s="1">
        <v>3</v>
      </c>
      <c r="L61" s="21">
        <f t="shared" si="4"/>
        <v>21</v>
      </c>
      <c r="M61" s="21">
        <f t="shared" si="5"/>
        <v>5</v>
      </c>
      <c r="N61" s="22">
        <f t="shared" si="6"/>
        <v>26</v>
      </c>
      <c r="P61" s="2">
        <v>2</v>
      </c>
      <c r="Q61" s="5">
        <v>1</v>
      </c>
      <c r="R61" s="1">
        <v>1</v>
      </c>
      <c r="S61" s="5">
        <v>2</v>
      </c>
      <c r="T61" s="1">
        <v>0</v>
      </c>
      <c r="U61" s="5">
        <v>1</v>
      </c>
      <c r="V61" s="1">
        <v>1</v>
      </c>
      <c r="W61" s="1">
        <v>0</v>
      </c>
      <c r="X61" s="23">
        <f t="shared" si="7"/>
        <v>8</v>
      </c>
    </row>
    <row r="62" spans="1:24" hidden="1">
      <c r="A62" s="12">
        <v>44618</v>
      </c>
      <c r="B62" s="1">
        <v>3</v>
      </c>
      <c r="C62" s="1">
        <v>3</v>
      </c>
      <c r="D62" s="2">
        <v>4</v>
      </c>
      <c r="E62" s="1">
        <v>2</v>
      </c>
      <c r="F62" s="2">
        <v>4</v>
      </c>
      <c r="G62" s="1">
        <v>4</v>
      </c>
      <c r="H62" s="2">
        <v>1</v>
      </c>
      <c r="I62" s="1">
        <v>2</v>
      </c>
      <c r="J62" s="1">
        <v>3</v>
      </c>
      <c r="L62" s="21">
        <f t="shared" si="4"/>
        <v>21</v>
      </c>
      <c r="M62" s="21">
        <f t="shared" si="5"/>
        <v>5</v>
      </c>
      <c r="N62" s="22">
        <f t="shared" si="6"/>
        <v>26</v>
      </c>
      <c r="P62" s="2">
        <v>2</v>
      </c>
      <c r="Q62" s="5">
        <v>1</v>
      </c>
      <c r="R62" s="1">
        <v>1</v>
      </c>
      <c r="S62" s="5">
        <v>2</v>
      </c>
      <c r="T62" s="1">
        <v>0</v>
      </c>
      <c r="U62" s="5">
        <v>1</v>
      </c>
      <c r="V62" s="1">
        <v>1</v>
      </c>
      <c r="W62" s="1">
        <v>0</v>
      </c>
      <c r="X62" s="23">
        <f t="shared" si="7"/>
        <v>8</v>
      </c>
    </row>
    <row r="63" spans="1:24" hidden="1">
      <c r="A63" s="12">
        <v>44619</v>
      </c>
      <c r="B63" s="1">
        <v>4</v>
      </c>
      <c r="C63" s="1">
        <v>2</v>
      </c>
      <c r="D63" s="2">
        <v>4</v>
      </c>
      <c r="E63" s="1">
        <v>2</v>
      </c>
      <c r="F63" s="2">
        <v>5</v>
      </c>
      <c r="G63" s="1">
        <v>3</v>
      </c>
      <c r="H63" s="2">
        <v>1</v>
      </c>
      <c r="I63" s="1">
        <v>2</v>
      </c>
      <c r="J63" s="1">
        <v>3</v>
      </c>
      <c r="L63" s="21">
        <f t="shared" si="4"/>
        <v>21</v>
      </c>
      <c r="M63" s="21">
        <f t="shared" si="5"/>
        <v>5</v>
      </c>
      <c r="N63" s="22">
        <f t="shared" si="6"/>
        <v>26</v>
      </c>
      <c r="P63" s="2">
        <v>2</v>
      </c>
      <c r="Q63" s="5">
        <v>1</v>
      </c>
      <c r="R63" s="1">
        <v>0</v>
      </c>
      <c r="S63" s="5">
        <v>2</v>
      </c>
      <c r="T63" s="1">
        <v>0</v>
      </c>
      <c r="U63" s="5">
        <v>1</v>
      </c>
      <c r="V63" s="1">
        <v>1</v>
      </c>
      <c r="W63" s="1">
        <v>0</v>
      </c>
      <c r="X63" s="23">
        <f t="shared" si="7"/>
        <v>7</v>
      </c>
    </row>
    <row r="64" spans="1:24" hidden="1">
      <c r="A64" s="11">
        <v>44620</v>
      </c>
      <c r="B64" s="1">
        <v>4</v>
      </c>
      <c r="C64" s="1">
        <v>2</v>
      </c>
      <c r="D64" s="2">
        <v>4</v>
      </c>
      <c r="E64" s="1">
        <v>2</v>
      </c>
      <c r="F64" s="2">
        <v>5</v>
      </c>
      <c r="G64" s="1">
        <v>3</v>
      </c>
      <c r="H64" s="2">
        <v>1</v>
      </c>
      <c r="I64" s="1">
        <v>2</v>
      </c>
      <c r="J64" s="1">
        <v>3</v>
      </c>
      <c r="L64" s="21">
        <f t="shared" si="4"/>
        <v>21</v>
      </c>
      <c r="M64" s="21">
        <f t="shared" si="5"/>
        <v>5</v>
      </c>
      <c r="N64" s="22">
        <f t="shared" si="6"/>
        <v>26</v>
      </c>
      <c r="P64" s="2">
        <v>2</v>
      </c>
      <c r="Q64" s="5">
        <v>1</v>
      </c>
      <c r="R64" s="1">
        <v>0</v>
      </c>
      <c r="S64" s="5">
        <v>2</v>
      </c>
      <c r="T64" s="1">
        <v>0</v>
      </c>
      <c r="U64" s="5">
        <v>1</v>
      </c>
      <c r="V64" s="1">
        <v>1</v>
      </c>
      <c r="W64" s="1">
        <v>0</v>
      </c>
      <c r="X64" s="23">
        <f t="shared" si="7"/>
        <v>7</v>
      </c>
    </row>
    <row r="65" spans="1:28" hidden="1">
      <c r="A65" s="11">
        <v>44621</v>
      </c>
      <c r="B65" s="1">
        <v>4</v>
      </c>
      <c r="C65" s="1">
        <v>2</v>
      </c>
      <c r="D65" s="2">
        <v>4</v>
      </c>
      <c r="E65" s="1">
        <v>2</v>
      </c>
      <c r="F65" s="2">
        <v>5</v>
      </c>
      <c r="G65" s="1">
        <v>3</v>
      </c>
      <c r="H65" s="2">
        <v>1</v>
      </c>
      <c r="I65" s="1">
        <v>2</v>
      </c>
      <c r="J65" s="1">
        <v>3</v>
      </c>
      <c r="L65" s="21">
        <f t="shared" si="4"/>
        <v>21</v>
      </c>
      <c r="M65" s="21">
        <f t="shared" si="5"/>
        <v>5</v>
      </c>
      <c r="N65" s="22">
        <f>SUM(L65:M65)</f>
        <v>26</v>
      </c>
      <c r="P65" s="2">
        <v>2</v>
      </c>
      <c r="Q65" s="5">
        <v>1</v>
      </c>
      <c r="R65" s="1">
        <v>0</v>
      </c>
      <c r="S65" s="5">
        <v>2</v>
      </c>
      <c r="T65" s="1">
        <v>0</v>
      </c>
      <c r="U65" s="5">
        <v>1</v>
      </c>
      <c r="V65" s="1">
        <v>1</v>
      </c>
      <c r="W65" s="1">
        <v>0</v>
      </c>
      <c r="X65" s="23">
        <f t="shared" si="7"/>
        <v>7</v>
      </c>
    </row>
    <row r="66" spans="1:28" hidden="1">
      <c r="A66" s="13">
        <v>44622</v>
      </c>
      <c r="B66" s="1">
        <v>3</v>
      </c>
      <c r="C66" s="1">
        <v>3</v>
      </c>
      <c r="D66" s="2">
        <v>4</v>
      </c>
      <c r="E66" s="1">
        <v>2</v>
      </c>
      <c r="F66" s="2">
        <v>5</v>
      </c>
      <c r="G66" s="1">
        <v>4</v>
      </c>
      <c r="H66" s="2">
        <v>1</v>
      </c>
      <c r="I66" s="1">
        <v>2</v>
      </c>
      <c r="J66" s="1">
        <v>3</v>
      </c>
      <c r="L66" s="21">
        <f t="shared" si="4"/>
        <v>22</v>
      </c>
      <c r="M66" s="21">
        <f t="shared" si="5"/>
        <v>5</v>
      </c>
      <c r="N66" s="22">
        <f t="shared" si="6"/>
        <v>27</v>
      </c>
      <c r="P66" s="2">
        <v>2</v>
      </c>
      <c r="Q66" s="5">
        <v>1</v>
      </c>
      <c r="R66" s="1">
        <v>1</v>
      </c>
      <c r="S66" s="5">
        <v>2</v>
      </c>
      <c r="T66" s="1">
        <v>0</v>
      </c>
      <c r="U66" s="5">
        <v>1</v>
      </c>
      <c r="V66" s="1">
        <v>1</v>
      </c>
      <c r="W66" s="1">
        <v>0</v>
      </c>
      <c r="X66" s="23">
        <f t="shared" si="7"/>
        <v>8</v>
      </c>
    </row>
    <row r="67" spans="1:28" hidden="1">
      <c r="A67" s="11">
        <v>44623</v>
      </c>
      <c r="B67" s="1">
        <v>3</v>
      </c>
      <c r="C67" s="1">
        <v>3</v>
      </c>
      <c r="D67" s="2">
        <v>4</v>
      </c>
      <c r="E67" s="1">
        <v>2</v>
      </c>
      <c r="F67" s="2">
        <v>4</v>
      </c>
      <c r="G67" s="1">
        <v>3</v>
      </c>
      <c r="H67" s="2">
        <v>1</v>
      </c>
      <c r="I67" s="1">
        <v>2</v>
      </c>
      <c r="J67" s="1">
        <v>3</v>
      </c>
      <c r="L67" s="21">
        <f t="shared" si="4"/>
        <v>20</v>
      </c>
      <c r="M67" s="21">
        <f t="shared" si="5"/>
        <v>5</v>
      </c>
      <c r="N67" s="22">
        <f t="shared" si="6"/>
        <v>25</v>
      </c>
      <c r="P67" s="2">
        <v>1</v>
      </c>
      <c r="Q67" s="5">
        <v>1</v>
      </c>
      <c r="R67" s="1">
        <v>1</v>
      </c>
      <c r="S67" s="5">
        <v>1</v>
      </c>
      <c r="T67" s="1">
        <v>0</v>
      </c>
      <c r="U67" s="5">
        <v>2</v>
      </c>
      <c r="V67" s="1">
        <v>1</v>
      </c>
      <c r="W67" s="1">
        <v>0</v>
      </c>
      <c r="X67" s="23">
        <f t="shared" si="7"/>
        <v>7</v>
      </c>
    </row>
    <row r="68" spans="1:28" hidden="1">
      <c r="A68" s="11">
        <v>44624</v>
      </c>
      <c r="B68" s="1">
        <v>3</v>
      </c>
      <c r="C68" s="1">
        <v>3</v>
      </c>
      <c r="D68" s="2">
        <v>4</v>
      </c>
      <c r="E68" s="1">
        <v>2</v>
      </c>
      <c r="F68" s="2">
        <v>4</v>
      </c>
      <c r="G68" s="1">
        <v>3</v>
      </c>
      <c r="H68" s="2">
        <v>1</v>
      </c>
      <c r="I68" s="1">
        <v>2</v>
      </c>
      <c r="J68" s="1">
        <v>3</v>
      </c>
      <c r="L68" s="21">
        <f t="shared" si="4"/>
        <v>20</v>
      </c>
      <c r="M68" s="21">
        <f t="shared" si="5"/>
        <v>5</v>
      </c>
      <c r="N68" s="22">
        <f t="shared" si="6"/>
        <v>25</v>
      </c>
      <c r="P68" s="2">
        <v>1</v>
      </c>
      <c r="Q68" s="5">
        <v>1</v>
      </c>
      <c r="R68" s="1">
        <v>1</v>
      </c>
      <c r="S68" s="5">
        <v>1</v>
      </c>
      <c r="T68" s="1">
        <v>0</v>
      </c>
      <c r="U68" s="5">
        <v>2</v>
      </c>
      <c r="V68" s="1">
        <v>1</v>
      </c>
      <c r="W68" s="1">
        <v>0</v>
      </c>
      <c r="X68" s="23">
        <f t="shared" si="7"/>
        <v>7</v>
      </c>
    </row>
    <row r="69" spans="1:28" hidden="1">
      <c r="A69" s="12">
        <v>44625</v>
      </c>
      <c r="B69" s="1">
        <v>3</v>
      </c>
      <c r="C69" s="1">
        <v>3</v>
      </c>
      <c r="D69" s="2">
        <v>4</v>
      </c>
      <c r="E69" s="1">
        <v>2</v>
      </c>
      <c r="F69" s="2">
        <v>4</v>
      </c>
      <c r="G69" s="1">
        <v>3</v>
      </c>
      <c r="H69" s="2">
        <v>1</v>
      </c>
      <c r="I69" s="1">
        <v>2</v>
      </c>
      <c r="J69" s="1">
        <v>3</v>
      </c>
      <c r="L69" s="21">
        <f t="shared" si="4"/>
        <v>20</v>
      </c>
      <c r="M69" s="21">
        <f t="shared" si="5"/>
        <v>5</v>
      </c>
      <c r="N69" s="22">
        <f t="shared" si="6"/>
        <v>25</v>
      </c>
      <c r="P69" s="2">
        <v>1</v>
      </c>
      <c r="Q69" s="5">
        <v>1</v>
      </c>
      <c r="R69" s="1">
        <v>1</v>
      </c>
      <c r="S69" s="5">
        <v>1</v>
      </c>
      <c r="T69" s="1">
        <v>0</v>
      </c>
      <c r="U69" s="5">
        <v>2</v>
      </c>
      <c r="V69" s="1">
        <v>1</v>
      </c>
      <c r="W69" s="1">
        <v>0</v>
      </c>
      <c r="X69" s="23">
        <f t="shared" si="7"/>
        <v>7</v>
      </c>
      <c r="AB69" s="182">
        <f>AVERAGE(N65:N95)</f>
        <v>22.70967741935484</v>
      </c>
    </row>
    <row r="70" spans="1:28" hidden="1">
      <c r="A70" s="12">
        <v>44626</v>
      </c>
      <c r="B70" s="1">
        <v>4</v>
      </c>
      <c r="C70" s="1">
        <v>2</v>
      </c>
      <c r="D70" s="2">
        <v>4</v>
      </c>
      <c r="E70" s="1">
        <v>2</v>
      </c>
      <c r="F70" s="2">
        <v>4</v>
      </c>
      <c r="G70" s="1">
        <v>3</v>
      </c>
      <c r="H70" s="2">
        <v>1</v>
      </c>
      <c r="I70" s="1">
        <v>1</v>
      </c>
      <c r="J70" s="1">
        <v>3</v>
      </c>
      <c r="L70" s="21">
        <f t="shared" si="4"/>
        <v>20</v>
      </c>
      <c r="M70" s="21">
        <f t="shared" si="5"/>
        <v>4</v>
      </c>
      <c r="N70" s="22">
        <f t="shared" si="6"/>
        <v>24</v>
      </c>
      <c r="P70" s="2">
        <v>1</v>
      </c>
      <c r="Q70" s="5">
        <v>1</v>
      </c>
      <c r="R70" s="1">
        <v>1</v>
      </c>
      <c r="S70" s="5">
        <v>1</v>
      </c>
      <c r="T70" s="1">
        <v>0</v>
      </c>
      <c r="U70" s="5">
        <v>2</v>
      </c>
      <c r="V70" s="1">
        <v>1</v>
      </c>
      <c r="W70" s="1">
        <v>0</v>
      </c>
      <c r="X70" s="23">
        <f t="shared" si="7"/>
        <v>7</v>
      </c>
    </row>
    <row r="71" spans="1:28" hidden="1">
      <c r="A71" s="11">
        <v>44627</v>
      </c>
      <c r="B71" s="1">
        <v>4</v>
      </c>
      <c r="C71" s="1">
        <v>2</v>
      </c>
      <c r="D71" s="2">
        <v>4</v>
      </c>
      <c r="E71" s="1">
        <v>2</v>
      </c>
      <c r="F71" s="2">
        <v>4</v>
      </c>
      <c r="G71" s="1">
        <v>3</v>
      </c>
      <c r="H71" s="2">
        <v>1</v>
      </c>
      <c r="I71" s="1">
        <v>1</v>
      </c>
      <c r="J71" s="1">
        <v>3</v>
      </c>
      <c r="L71" s="21">
        <f t="shared" ref="L71:L134" si="8">SUM(B71,C71,D71,E71,F71,G71,H71)</f>
        <v>20</v>
      </c>
      <c r="M71" s="21">
        <f t="shared" ref="M71:M134" si="9">SUM(I71,J71)</f>
        <v>4</v>
      </c>
      <c r="N71" s="22">
        <f t="shared" ref="N71:N134" si="10">SUM(L71:M71)</f>
        <v>24</v>
      </c>
      <c r="P71" s="2">
        <v>1</v>
      </c>
      <c r="Q71" s="5">
        <v>1</v>
      </c>
      <c r="R71" s="1">
        <v>1</v>
      </c>
      <c r="S71" s="5">
        <v>1</v>
      </c>
      <c r="T71" s="1">
        <v>0</v>
      </c>
      <c r="U71" s="5">
        <v>2</v>
      </c>
      <c r="V71" s="1">
        <v>1</v>
      </c>
      <c r="W71" s="1">
        <v>0</v>
      </c>
      <c r="X71" s="23">
        <f t="shared" si="7"/>
        <v>7</v>
      </c>
    </row>
    <row r="72" spans="1:28" hidden="1">
      <c r="A72" s="11">
        <v>44628</v>
      </c>
      <c r="B72" s="1">
        <v>4</v>
      </c>
      <c r="C72" s="1">
        <v>2</v>
      </c>
      <c r="D72" s="2">
        <v>4</v>
      </c>
      <c r="E72" s="1">
        <v>2</v>
      </c>
      <c r="F72" s="2">
        <v>4</v>
      </c>
      <c r="G72" s="1">
        <v>3</v>
      </c>
      <c r="H72" s="2">
        <v>1</v>
      </c>
      <c r="I72" s="1">
        <v>1</v>
      </c>
      <c r="J72" s="1">
        <v>3</v>
      </c>
      <c r="L72" s="21">
        <f t="shared" si="8"/>
        <v>20</v>
      </c>
      <c r="M72" s="21">
        <f t="shared" si="9"/>
        <v>4</v>
      </c>
      <c r="N72" s="22">
        <f t="shared" si="10"/>
        <v>24</v>
      </c>
      <c r="P72" s="2">
        <v>1</v>
      </c>
      <c r="Q72" s="5">
        <v>1</v>
      </c>
      <c r="R72" s="1">
        <v>1</v>
      </c>
      <c r="S72" s="5">
        <v>1</v>
      </c>
      <c r="T72" s="1">
        <v>0</v>
      </c>
      <c r="U72" s="5">
        <v>2</v>
      </c>
      <c r="V72" s="1">
        <v>1</v>
      </c>
      <c r="W72" s="1">
        <v>0</v>
      </c>
      <c r="X72" s="23">
        <f t="shared" si="7"/>
        <v>7</v>
      </c>
    </row>
    <row r="73" spans="1:28" hidden="1">
      <c r="A73" s="13">
        <v>44629</v>
      </c>
      <c r="B73" s="1">
        <v>3</v>
      </c>
      <c r="C73" s="1">
        <v>4</v>
      </c>
      <c r="D73" s="2">
        <v>5</v>
      </c>
      <c r="E73" s="1">
        <v>1</v>
      </c>
      <c r="F73" s="2">
        <v>4</v>
      </c>
      <c r="G73" s="1">
        <v>4</v>
      </c>
      <c r="H73" s="2">
        <v>1</v>
      </c>
      <c r="I73" s="1">
        <v>2</v>
      </c>
      <c r="J73" s="1">
        <v>3</v>
      </c>
      <c r="L73" s="21">
        <f t="shared" si="8"/>
        <v>22</v>
      </c>
      <c r="M73" s="21">
        <f t="shared" si="9"/>
        <v>5</v>
      </c>
      <c r="N73" s="22">
        <f t="shared" si="10"/>
        <v>27</v>
      </c>
      <c r="P73" s="2">
        <v>1</v>
      </c>
      <c r="Q73" s="5">
        <v>1</v>
      </c>
      <c r="R73" s="1">
        <v>1</v>
      </c>
      <c r="S73" s="5">
        <v>1</v>
      </c>
      <c r="T73" s="1">
        <v>0</v>
      </c>
      <c r="U73" s="5">
        <v>2</v>
      </c>
      <c r="V73" s="1">
        <v>1</v>
      </c>
      <c r="W73" s="1">
        <v>0</v>
      </c>
      <c r="X73" s="23">
        <f t="shared" si="7"/>
        <v>7</v>
      </c>
    </row>
    <row r="74" spans="1:28" hidden="1">
      <c r="A74" s="11">
        <v>44630</v>
      </c>
      <c r="B74" s="1">
        <v>3</v>
      </c>
      <c r="C74" s="1">
        <v>4</v>
      </c>
      <c r="D74" s="2">
        <v>5</v>
      </c>
      <c r="E74" s="1">
        <v>1</v>
      </c>
      <c r="F74" s="2">
        <v>4</v>
      </c>
      <c r="G74" s="1">
        <v>4</v>
      </c>
      <c r="H74" s="2">
        <v>1</v>
      </c>
      <c r="I74" s="1">
        <v>2</v>
      </c>
      <c r="J74" s="1">
        <v>3</v>
      </c>
      <c r="L74" s="21">
        <f t="shared" si="8"/>
        <v>22</v>
      </c>
      <c r="M74" s="21">
        <f t="shared" si="9"/>
        <v>5</v>
      </c>
      <c r="N74" s="22">
        <f t="shared" si="10"/>
        <v>27</v>
      </c>
      <c r="P74" s="2">
        <v>1</v>
      </c>
      <c r="Q74" s="5">
        <v>1</v>
      </c>
      <c r="R74" s="1">
        <v>1</v>
      </c>
      <c r="S74" s="5">
        <v>1</v>
      </c>
      <c r="T74" s="1">
        <v>0</v>
      </c>
      <c r="U74" s="5">
        <v>2</v>
      </c>
      <c r="V74" s="1">
        <v>1</v>
      </c>
      <c r="W74" s="1">
        <v>0</v>
      </c>
      <c r="X74" s="23">
        <f t="shared" si="7"/>
        <v>7</v>
      </c>
    </row>
    <row r="75" spans="1:28" hidden="1">
      <c r="A75" s="11">
        <v>44631</v>
      </c>
      <c r="B75" s="1">
        <v>3</v>
      </c>
      <c r="C75" s="1">
        <v>4</v>
      </c>
      <c r="D75" s="2">
        <v>5</v>
      </c>
      <c r="E75" s="1">
        <v>1</v>
      </c>
      <c r="F75" s="2">
        <v>4</v>
      </c>
      <c r="G75" s="1">
        <v>4</v>
      </c>
      <c r="H75" s="2">
        <v>1</v>
      </c>
      <c r="I75" s="1">
        <v>2</v>
      </c>
      <c r="J75" s="1">
        <v>3</v>
      </c>
      <c r="L75" s="21">
        <f t="shared" si="8"/>
        <v>22</v>
      </c>
      <c r="M75" s="21">
        <f t="shared" si="9"/>
        <v>5</v>
      </c>
      <c r="N75" s="22">
        <f t="shared" si="10"/>
        <v>27</v>
      </c>
      <c r="P75" s="2">
        <v>1</v>
      </c>
      <c r="Q75" s="5">
        <v>1</v>
      </c>
      <c r="R75" s="1">
        <v>1</v>
      </c>
      <c r="S75" s="5">
        <v>1</v>
      </c>
      <c r="T75" s="1">
        <v>0</v>
      </c>
      <c r="U75" s="5">
        <v>2</v>
      </c>
      <c r="V75" s="1">
        <v>1</v>
      </c>
      <c r="W75" s="1">
        <v>0</v>
      </c>
      <c r="X75" s="23">
        <f t="shared" si="7"/>
        <v>7</v>
      </c>
    </row>
    <row r="76" spans="1:28" hidden="1">
      <c r="A76" s="12">
        <v>44632</v>
      </c>
      <c r="B76" s="1">
        <v>3</v>
      </c>
      <c r="C76" s="1">
        <v>4</v>
      </c>
      <c r="D76" s="2">
        <v>4</v>
      </c>
      <c r="E76" s="1">
        <v>1</v>
      </c>
      <c r="F76" s="2">
        <v>4</v>
      </c>
      <c r="G76" s="1">
        <v>4</v>
      </c>
      <c r="H76" s="2">
        <v>1</v>
      </c>
      <c r="I76" s="1">
        <v>2</v>
      </c>
      <c r="J76" s="1">
        <v>3</v>
      </c>
      <c r="L76" s="21">
        <f t="shared" si="8"/>
        <v>21</v>
      </c>
      <c r="M76" s="21">
        <f t="shared" si="9"/>
        <v>5</v>
      </c>
      <c r="N76" s="22">
        <f t="shared" si="10"/>
        <v>26</v>
      </c>
      <c r="P76" s="2">
        <v>1</v>
      </c>
      <c r="Q76" s="5">
        <v>1</v>
      </c>
      <c r="R76" s="1">
        <v>1</v>
      </c>
      <c r="S76" s="5">
        <v>1</v>
      </c>
      <c r="T76" s="1">
        <v>0</v>
      </c>
      <c r="U76" s="5">
        <v>2</v>
      </c>
      <c r="V76" s="1">
        <v>1</v>
      </c>
      <c r="W76" s="1">
        <v>0</v>
      </c>
      <c r="X76" s="23">
        <f t="shared" si="7"/>
        <v>7</v>
      </c>
    </row>
    <row r="77" spans="1:28" hidden="1">
      <c r="A77" s="12">
        <v>44633</v>
      </c>
      <c r="B77" s="1">
        <v>2</v>
      </c>
      <c r="C77" s="1">
        <v>3</v>
      </c>
      <c r="D77" s="2">
        <v>3</v>
      </c>
      <c r="E77" s="1">
        <v>1</v>
      </c>
      <c r="F77" s="2">
        <v>4</v>
      </c>
      <c r="G77" s="1">
        <v>4</v>
      </c>
      <c r="H77" s="2">
        <v>0</v>
      </c>
      <c r="I77" s="1">
        <v>0</v>
      </c>
      <c r="J77" s="1">
        <v>3</v>
      </c>
      <c r="L77" s="21">
        <f t="shared" si="8"/>
        <v>17</v>
      </c>
      <c r="M77" s="21">
        <f t="shared" si="9"/>
        <v>3</v>
      </c>
      <c r="N77" s="22">
        <f t="shared" si="10"/>
        <v>20</v>
      </c>
      <c r="P77" s="2">
        <v>1</v>
      </c>
      <c r="Q77" s="5">
        <v>1</v>
      </c>
      <c r="R77" s="1">
        <v>1</v>
      </c>
      <c r="S77" s="5">
        <v>1</v>
      </c>
      <c r="T77" s="1">
        <v>0</v>
      </c>
      <c r="U77" s="5">
        <v>2</v>
      </c>
      <c r="V77" s="1">
        <v>1</v>
      </c>
      <c r="W77" s="1">
        <v>0</v>
      </c>
      <c r="X77" s="23">
        <f t="shared" si="7"/>
        <v>7</v>
      </c>
    </row>
    <row r="78" spans="1:28" hidden="1">
      <c r="A78" s="11">
        <v>44634</v>
      </c>
      <c r="B78" s="1">
        <v>2</v>
      </c>
      <c r="C78" s="1">
        <v>3</v>
      </c>
      <c r="D78" s="2">
        <v>4</v>
      </c>
      <c r="E78" s="1">
        <v>1</v>
      </c>
      <c r="F78" s="2">
        <v>4</v>
      </c>
      <c r="G78" s="1">
        <v>4</v>
      </c>
      <c r="H78" s="2">
        <v>0</v>
      </c>
      <c r="I78" s="1">
        <v>0</v>
      </c>
      <c r="J78" s="1">
        <v>3</v>
      </c>
      <c r="L78" s="21">
        <f t="shared" si="8"/>
        <v>18</v>
      </c>
      <c r="M78" s="21">
        <f t="shared" si="9"/>
        <v>3</v>
      </c>
      <c r="N78" s="22">
        <f t="shared" si="10"/>
        <v>21</v>
      </c>
      <c r="P78" s="2">
        <v>1</v>
      </c>
      <c r="Q78" s="5">
        <v>1</v>
      </c>
      <c r="R78" s="1">
        <v>1</v>
      </c>
      <c r="S78" s="5">
        <v>1</v>
      </c>
      <c r="T78" s="1">
        <v>0</v>
      </c>
      <c r="U78" s="5">
        <v>2</v>
      </c>
      <c r="V78" s="1">
        <v>1</v>
      </c>
      <c r="W78" s="1">
        <v>0</v>
      </c>
      <c r="X78" s="23">
        <f t="shared" si="7"/>
        <v>7</v>
      </c>
    </row>
    <row r="79" spans="1:28" hidden="1">
      <c r="A79" s="11">
        <v>44635</v>
      </c>
      <c r="B79" s="1">
        <v>2</v>
      </c>
      <c r="C79" s="1">
        <v>3</v>
      </c>
      <c r="D79" s="2">
        <v>4</v>
      </c>
      <c r="E79" s="1">
        <v>1</v>
      </c>
      <c r="F79" s="2">
        <v>4</v>
      </c>
      <c r="G79" s="1">
        <v>4</v>
      </c>
      <c r="H79" s="2">
        <v>0</v>
      </c>
      <c r="I79" s="1">
        <v>0</v>
      </c>
      <c r="J79" s="1">
        <v>3</v>
      </c>
      <c r="L79" s="21">
        <f t="shared" si="8"/>
        <v>18</v>
      </c>
      <c r="M79" s="21">
        <f t="shared" si="9"/>
        <v>3</v>
      </c>
      <c r="N79" s="22">
        <f t="shared" si="10"/>
        <v>21</v>
      </c>
      <c r="P79" s="2">
        <v>1</v>
      </c>
      <c r="Q79" s="5">
        <v>1</v>
      </c>
      <c r="R79" s="1">
        <v>1</v>
      </c>
      <c r="S79" s="5">
        <v>1</v>
      </c>
      <c r="T79" s="1">
        <v>0</v>
      </c>
      <c r="U79" s="5">
        <v>2</v>
      </c>
      <c r="V79" s="1">
        <v>1</v>
      </c>
      <c r="W79" s="1">
        <v>0</v>
      </c>
      <c r="X79" s="23">
        <f t="shared" si="7"/>
        <v>7</v>
      </c>
    </row>
    <row r="80" spans="1:28" hidden="1">
      <c r="A80" s="13">
        <v>44636</v>
      </c>
      <c r="B80" s="1">
        <v>4</v>
      </c>
      <c r="C80" s="1">
        <v>3</v>
      </c>
      <c r="D80" s="2">
        <v>5</v>
      </c>
      <c r="E80" s="1">
        <v>2</v>
      </c>
      <c r="F80" s="2">
        <v>5</v>
      </c>
      <c r="G80" s="1">
        <v>4</v>
      </c>
      <c r="H80" s="2">
        <v>1</v>
      </c>
      <c r="I80" s="1">
        <v>2</v>
      </c>
      <c r="J80" s="1">
        <v>3</v>
      </c>
      <c r="L80" s="21">
        <f t="shared" si="8"/>
        <v>24</v>
      </c>
      <c r="M80" s="21">
        <f t="shared" si="9"/>
        <v>5</v>
      </c>
      <c r="N80" s="22">
        <f t="shared" si="10"/>
        <v>29</v>
      </c>
      <c r="P80" s="2">
        <v>1</v>
      </c>
      <c r="Q80" s="5">
        <v>1</v>
      </c>
      <c r="R80" s="1">
        <v>1</v>
      </c>
      <c r="S80" s="5">
        <v>1</v>
      </c>
      <c r="T80" s="1">
        <v>0</v>
      </c>
      <c r="U80" s="5">
        <v>2</v>
      </c>
      <c r="V80" s="1">
        <v>1</v>
      </c>
      <c r="W80" s="1">
        <v>0</v>
      </c>
      <c r="X80" s="23">
        <f t="shared" si="7"/>
        <v>7</v>
      </c>
    </row>
    <row r="81" spans="1:24" hidden="1">
      <c r="A81" s="11">
        <v>44637</v>
      </c>
      <c r="B81" s="1">
        <v>3</v>
      </c>
      <c r="C81" s="1">
        <v>3</v>
      </c>
      <c r="D81" s="2">
        <v>4</v>
      </c>
      <c r="E81" s="1">
        <v>1</v>
      </c>
      <c r="F81" s="2">
        <v>5</v>
      </c>
      <c r="G81" s="1">
        <v>4</v>
      </c>
      <c r="H81" s="2">
        <v>1</v>
      </c>
      <c r="I81" s="1">
        <v>2</v>
      </c>
      <c r="J81" s="1">
        <v>3</v>
      </c>
      <c r="L81" s="21">
        <f t="shared" si="8"/>
        <v>21</v>
      </c>
      <c r="M81" s="21">
        <f t="shared" si="9"/>
        <v>5</v>
      </c>
      <c r="N81" s="22">
        <f t="shared" si="10"/>
        <v>26</v>
      </c>
      <c r="P81" s="2">
        <v>1</v>
      </c>
      <c r="Q81" s="5">
        <v>1</v>
      </c>
      <c r="R81" s="1">
        <v>0</v>
      </c>
      <c r="S81" s="5">
        <v>1</v>
      </c>
      <c r="T81" s="1">
        <v>0</v>
      </c>
      <c r="U81" s="5">
        <v>2</v>
      </c>
      <c r="V81" s="1">
        <v>1</v>
      </c>
      <c r="W81" s="1">
        <v>0</v>
      </c>
      <c r="X81" s="23">
        <f t="shared" si="7"/>
        <v>6</v>
      </c>
    </row>
    <row r="82" spans="1:24" hidden="1">
      <c r="A82" s="11">
        <v>44638</v>
      </c>
      <c r="B82" s="1">
        <v>3</v>
      </c>
      <c r="C82" s="1">
        <v>3</v>
      </c>
      <c r="D82" s="2">
        <v>4</v>
      </c>
      <c r="E82" s="1">
        <v>1</v>
      </c>
      <c r="F82" s="2">
        <v>5</v>
      </c>
      <c r="G82" s="1">
        <v>4</v>
      </c>
      <c r="H82" s="2">
        <v>1</v>
      </c>
      <c r="I82" s="1">
        <v>2</v>
      </c>
      <c r="J82" s="1">
        <v>3</v>
      </c>
      <c r="L82" s="21">
        <f t="shared" si="8"/>
        <v>21</v>
      </c>
      <c r="M82" s="21">
        <f t="shared" si="9"/>
        <v>5</v>
      </c>
      <c r="N82" s="22">
        <f t="shared" si="10"/>
        <v>26</v>
      </c>
      <c r="P82" s="2">
        <v>1</v>
      </c>
      <c r="Q82" s="5">
        <v>1</v>
      </c>
      <c r="R82" s="1">
        <v>0</v>
      </c>
      <c r="S82" s="5">
        <v>1</v>
      </c>
      <c r="T82" s="1">
        <v>0</v>
      </c>
      <c r="U82" s="5">
        <v>2</v>
      </c>
      <c r="V82" s="1">
        <v>1</v>
      </c>
      <c r="W82" s="1">
        <v>0</v>
      </c>
      <c r="X82" s="23">
        <f t="shared" si="7"/>
        <v>6</v>
      </c>
    </row>
    <row r="83" spans="1:24" hidden="1">
      <c r="A83" s="12">
        <v>44639</v>
      </c>
      <c r="B83" s="1">
        <v>3</v>
      </c>
      <c r="C83" s="1">
        <v>2</v>
      </c>
      <c r="D83" s="2">
        <v>4</v>
      </c>
      <c r="E83" s="1">
        <v>1</v>
      </c>
      <c r="F83" s="2">
        <v>5</v>
      </c>
      <c r="G83" s="1">
        <v>3</v>
      </c>
      <c r="H83" s="2">
        <v>1</v>
      </c>
      <c r="I83" s="1">
        <v>2</v>
      </c>
      <c r="J83" s="1">
        <v>1</v>
      </c>
      <c r="L83" s="21">
        <f t="shared" si="8"/>
        <v>19</v>
      </c>
      <c r="M83" s="21">
        <f t="shared" si="9"/>
        <v>3</v>
      </c>
      <c r="N83" s="22">
        <f t="shared" si="10"/>
        <v>22</v>
      </c>
      <c r="P83" s="2">
        <v>1</v>
      </c>
      <c r="Q83" s="5">
        <v>1</v>
      </c>
      <c r="R83" s="1">
        <v>0</v>
      </c>
      <c r="S83" s="5">
        <v>1</v>
      </c>
      <c r="T83" s="1">
        <v>0</v>
      </c>
      <c r="U83" s="5">
        <v>2</v>
      </c>
      <c r="V83" s="1">
        <v>1</v>
      </c>
      <c r="W83" s="1">
        <v>0</v>
      </c>
      <c r="X83" s="23">
        <f t="shared" si="7"/>
        <v>6</v>
      </c>
    </row>
    <row r="84" spans="1:24" hidden="1">
      <c r="A84" s="12">
        <v>44640</v>
      </c>
      <c r="B84" s="1">
        <v>3</v>
      </c>
      <c r="C84" s="1">
        <v>2</v>
      </c>
      <c r="D84" s="2">
        <v>4</v>
      </c>
      <c r="E84" s="1">
        <v>1</v>
      </c>
      <c r="F84" s="2">
        <v>5</v>
      </c>
      <c r="G84" s="1">
        <v>3</v>
      </c>
      <c r="H84" s="2">
        <v>1</v>
      </c>
      <c r="I84" s="1">
        <v>2</v>
      </c>
      <c r="J84" s="1">
        <v>0</v>
      </c>
      <c r="L84" s="21">
        <f t="shared" si="8"/>
        <v>19</v>
      </c>
      <c r="M84" s="21">
        <f t="shared" si="9"/>
        <v>2</v>
      </c>
      <c r="N84" s="22">
        <f t="shared" si="10"/>
        <v>21</v>
      </c>
      <c r="P84" s="2">
        <v>1</v>
      </c>
      <c r="Q84" s="5">
        <v>1</v>
      </c>
      <c r="R84" s="1">
        <v>0</v>
      </c>
      <c r="S84" s="5">
        <v>1</v>
      </c>
      <c r="T84" s="1">
        <v>0</v>
      </c>
      <c r="U84" s="5">
        <v>1</v>
      </c>
      <c r="V84" s="1">
        <v>1</v>
      </c>
      <c r="W84" s="1">
        <v>0</v>
      </c>
      <c r="X84" s="23">
        <f t="shared" si="7"/>
        <v>5</v>
      </c>
    </row>
    <row r="85" spans="1:24" hidden="1">
      <c r="A85" s="11">
        <v>44641</v>
      </c>
      <c r="B85" s="1">
        <v>3</v>
      </c>
      <c r="C85" s="1">
        <v>2</v>
      </c>
      <c r="D85" s="2">
        <v>4</v>
      </c>
      <c r="E85" s="1">
        <v>1</v>
      </c>
      <c r="F85" s="2">
        <v>5</v>
      </c>
      <c r="G85" s="1">
        <v>2</v>
      </c>
      <c r="H85" s="2">
        <v>1</v>
      </c>
      <c r="I85" s="1">
        <v>2</v>
      </c>
      <c r="J85" s="1">
        <v>0</v>
      </c>
      <c r="L85" s="21">
        <f t="shared" si="8"/>
        <v>18</v>
      </c>
      <c r="M85" s="21">
        <f t="shared" si="9"/>
        <v>2</v>
      </c>
      <c r="N85" s="22">
        <f t="shared" si="10"/>
        <v>20</v>
      </c>
      <c r="P85" s="2">
        <v>1</v>
      </c>
      <c r="Q85" s="5">
        <v>1</v>
      </c>
      <c r="R85" s="1">
        <v>0</v>
      </c>
      <c r="S85" s="5">
        <v>1</v>
      </c>
      <c r="T85" s="1">
        <v>0</v>
      </c>
      <c r="U85" s="5">
        <v>1</v>
      </c>
      <c r="V85" s="1">
        <v>1</v>
      </c>
      <c r="W85" s="1">
        <v>0</v>
      </c>
      <c r="X85" s="23">
        <f t="shared" si="7"/>
        <v>5</v>
      </c>
    </row>
    <row r="86" spans="1:24" hidden="1">
      <c r="A86" s="11">
        <v>44642</v>
      </c>
      <c r="B86" s="1">
        <v>3</v>
      </c>
      <c r="C86" s="1">
        <v>2</v>
      </c>
      <c r="D86" s="2">
        <v>4</v>
      </c>
      <c r="E86" s="1">
        <v>1</v>
      </c>
      <c r="F86" s="2">
        <v>5</v>
      </c>
      <c r="G86" s="1">
        <v>2</v>
      </c>
      <c r="H86" s="2">
        <v>1</v>
      </c>
      <c r="I86" s="1">
        <v>2</v>
      </c>
      <c r="J86" s="1">
        <v>0</v>
      </c>
      <c r="L86" s="21">
        <f t="shared" si="8"/>
        <v>18</v>
      </c>
      <c r="M86" s="21">
        <f t="shared" si="9"/>
        <v>2</v>
      </c>
      <c r="N86" s="22">
        <f t="shared" si="10"/>
        <v>20</v>
      </c>
      <c r="P86" s="2">
        <v>1</v>
      </c>
      <c r="Q86" s="5">
        <v>1</v>
      </c>
      <c r="R86" s="1">
        <v>0</v>
      </c>
      <c r="S86" s="5">
        <v>1</v>
      </c>
      <c r="T86" s="1">
        <v>0</v>
      </c>
      <c r="U86" s="5">
        <v>1</v>
      </c>
      <c r="V86" s="1">
        <v>0</v>
      </c>
      <c r="W86" s="1">
        <v>0</v>
      </c>
      <c r="X86" s="23">
        <f t="shared" si="7"/>
        <v>4</v>
      </c>
    </row>
    <row r="87" spans="1:24" hidden="1">
      <c r="A87" s="13">
        <v>44643</v>
      </c>
      <c r="B87" s="1">
        <v>4</v>
      </c>
      <c r="C87" s="1">
        <v>4</v>
      </c>
      <c r="D87" s="2">
        <v>4</v>
      </c>
      <c r="E87" s="1">
        <v>1</v>
      </c>
      <c r="F87" s="2">
        <v>5</v>
      </c>
      <c r="G87" s="1">
        <v>2</v>
      </c>
      <c r="H87" s="2">
        <v>1</v>
      </c>
      <c r="I87" s="1">
        <v>2</v>
      </c>
      <c r="J87" s="1">
        <v>0</v>
      </c>
      <c r="L87" s="21">
        <f t="shared" si="8"/>
        <v>21</v>
      </c>
      <c r="M87" s="21">
        <f t="shared" si="9"/>
        <v>2</v>
      </c>
      <c r="N87" s="22">
        <f t="shared" si="10"/>
        <v>23</v>
      </c>
      <c r="P87" s="2">
        <v>1</v>
      </c>
      <c r="Q87" s="5">
        <v>1</v>
      </c>
      <c r="R87" s="1">
        <v>1</v>
      </c>
      <c r="S87" s="5">
        <v>1</v>
      </c>
      <c r="T87" s="1">
        <v>0</v>
      </c>
      <c r="U87" s="5">
        <v>2</v>
      </c>
      <c r="V87" s="1">
        <v>0</v>
      </c>
      <c r="W87" s="1">
        <v>0</v>
      </c>
      <c r="X87" s="23">
        <f t="shared" si="7"/>
        <v>6</v>
      </c>
    </row>
    <row r="88" spans="1:24" hidden="1">
      <c r="A88" s="11">
        <v>44644</v>
      </c>
      <c r="B88" s="1">
        <v>3</v>
      </c>
      <c r="C88" s="1">
        <v>3</v>
      </c>
      <c r="D88" s="2">
        <v>2</v>
      </c>
      <c r="E88" s="1">
        <v>0</v>
      </c>
      <c r="F88" s="2">
        <v>3</v>
      </c>
      <c r="G88" s="1">
        <v>3</v>
      </c>
      <c r="H88" s="2">
        <v>1</v>
      </c>
      <c r="I88" s="1">
        <v>2</v>
      </c>
      <c r="J88" s="1">
        <v>0</v>
      </c>
      <c r="L88" s="21">
        <f t="shared" si="8"/>
        <v>15</v>
      </c>
      <c r="M88" s="21">
        <f t="shared" si="9"/>
        <v>2</v>
      </c>
      <c r="N88" s="22">
        <f t="shared" si="10"/>
        <v>17</v>
      </c>
      <c r="P88" s="2">
        <v>1</v>
      </c>
      <c r="Q88" s="5">
        <v>1</v>
      </c>
      <c r="R88" s="1">
        <v>1</v>
      </c>
      <c r="S88" s="5">
        <v>1</v>
      </c>
      <c r="T88" s="1">
        <v>0</v>
      </c>
      <c r="U88" s="5">
        <v>2</v>
      </c>
      <c r="V88" s="1">
        <v>0</v>
      </c>
      <c r="W88" s="1">
        <v>0</v>
      </c>
      <c r="X88" s="23">
        <f t="shared" si="7"/>
        <v>6</v>
      </c>
    </row>
    <row r="89" spans="1:24" hidden="1">
      <c r="A89" s="11">
        <v>44645</v>
      </c>
      <c r="B89" s="1">
        <v>3</v>
      </c>
      <c r="C89" s="1">
        <v>3</v>
      </c>
      <c r="D89" s="2">
        <v>2</v>
      </c>
      <c r="E89" s="1">
        <v>0</v>
      </c>
      <c r="F89" s="2">
        <v>3</v>
      </c>
      <c r="G89" s="1">
        <v>3</v>
      </c>
      <c r="H89" s="2">
        <v>1</v>
      </c>
      <c r="I89" s="1">
        <v>2</v>
      </c>
      <c r="J89" s="1">
        <v>1</v>
      </c>
      <c r="L89" s="21">
        <f t="shared" si="8"/>
        <v>15</v>
      </c>
      <c r="M89" s="21">
        <f t="shared" si="9"/>
        <v>3</v>
      </c>
      <c r="N89" s="22">
        <f t="shared" si="10"/>
        <v>18</v>
      </c>
      <c r="P89" s="2">
        <v>1</v>
      </c>
      <c r="Q89" s="5">
        <v>1</v>
      </c>
      <c r="R89" s="1">
        <v>1</v>
      </c>
      <c r="S89" s="5">
        <v>1</v>
      </c>
      <c r="T89" s="1">
        <v>0</v>
      </c>
      <c r="U89" s="5">
        <v>2</v>
      </c>
      <c r="V89" s="1">
        <v>0</v>
      </c>
      <c r="W89" s="1">
        <v>0</v>
      </c>
      <c r="X89" s="23">
        <f t="shared" si="7"/>
        <v>6</v>
      </c>
    </row>
    <row r="90" spans="1:24" hidden="1">
      <c r="A90" s="12">
        <v>44646</v>
      </c>
      <c r="B90" s="1">
        <v>3</v>
      </c>
      <c r="C90" s="1">
        <v>3</v>
      </c>
      <c r="D90" s="2">
        <v>2</v>
      </c>
      <c r="E90" s="1">
        <v>0</v>
      </c>
      <c r="F90" s="2">
        <v>3</v>
      </c>
      <c r="G90" s="1">
        <v>3</v>
      </c>
      <c r="H90" s="2">
        <v>1</v>
      </c>
      <c r="I90" s="1">
        <v>2</v>
      </c>
      <c r="J90" s="1">
        <v>1</v>
      </c>
      <c r="L90" s="21">
        <f t="shared" si="8"/>
        <v>15</v>
      </c>
      <c r="M90" s="21">
        <f t="shared" si="9"/>
        <v>3</v>
      </c>
      <c r="N90" s="22">
        <f t="shared" si="10"/>
        <v>18</v>
      </c>
      <c r="P90" s="2">
        <v>1</v>
      </c>
      <c r="Q90" s="5">
        <v>1</v>
      </c>
      <c r="R90" s="1">
        <v>1</v>
      </c>
      <c r="S90" s="5">
        <v>1</v>
      </c>
      <c r="T90" s="1">
        <v>0</v>
      </c>
      <c r="U90" s="5">
        <v>2</v>
      </c>
      <c r="V90" s="1">
        <v>0</v>
      </c>
      <c r="W90" s="1">
        <v>0</v>
      </c>
      <c r="X90" s="23">
        <f t="shared" si="7"/>
        <v>6</v>
      </c>
    </row>
    <row r="91" spans="1:24" hidden="1">
      <c r="A91" s="12">
        <v>44647</v>
      </c>
      <c r="B91" s="1">
        <v>3</v>
      </c>
      <c r="C91" s="1">
        <v>3</v>
      </c>
      <c r="D91" s="2">
        <v>2</v>
      </c>
      <c r="E91" s="1">
        <v>0</v>
      </c>
      <c r="F91" s="2">
        <v>3</v>
      </c>
      <c r="G91" s="1">
        <v>3</v>
      </c>
      <c r="H91" s="2">
        <v>1</v>
      </c>
      <c r="I91" s="1">
        <v>2</v>
      </c>
      <c r="J91" s="1">
        <v>1</v>
      </c>
      <c r="L91" s="21">
        <f t="shared" si="8"/>
        <v>15</v>
      </c>
      <c r="M91" s="21">
        <f t="shared" si="9"/>
        <v>3</v>
      </c>
      <c r="N91" s="22">
        <f t="shared" si="10"/>
        <v>18</v>
      </c>
      <c r="P91" s="2">
        <v>1</v>
      </c>
      <c r="Q91" s="5">
        <v>1</v>
      </c>
      <c r="R91" s="1">
        <v>1</v>
      </c>
      <c r="S91" s="5">
        <v>1</v>
      </c>
      <c r="T91" s="1">
        <v>0</v>
      </c>
      <c r="U91" s="5">
        <v>2</v>
      </c>
      <c r="V91" s="1">
        <v>0</v>
      </c>
      <c r="W91" s="1">
        <v>0</v>
      </c>
      <c r="X91" s="23">
        <f t="shared" si="7"/>
        <v>6</v>
      </c>
    </row>
    <row r="92" spans="1:24" hidden="1">
      <c r="A92" s="11">
        <v>44648</v>
      </c>
      <c r="B92" s="1">
        <v>3</v>
      </c>
      <c r="C92" s="1">
        <v>3</v>
      </c>
      <c r="D92" s="2">
        <v>3</v>
      </c>
      <c r="E92" s="1">
        <v>0</v>
      </c>
      <c r="F92" s="2">
        <v>3</v>
      </c>
      <c r="G92" s="1">
        <v>3</v>
      </c>
      <c r="H92" s="2">
        <v>1</v>
      </c>
      <c r="I92" s="1">
        <v>2</v>
      </c>
      <c r="J92" s="1">
        <v>1</v>
      </c>
      <c r="L92" s="21">
        <f t="shared" si="8"/>
        <v>16</v>
      </c>
      <c r="M92" s="21">
        <f t="shared" si="9"/>
        <v>3</v>
      </c>
      <c r="N92" s="22">
        <f t="shared" si="10"/>
        <v>19</v>
      </c>
      <c r="P92" s="2">
        <v>1</v>
      </c>
      <c r="Q92" s="5">
        <v>1</v>
      </c>
      <c r="R92" s="1">
        <v>0</v>
      </c>
      <c r="S92" s="5">
        <v>1</v>
      </c>
      <c r="T92" s="1">
        <v>0</v>
      </c>
      <c r="U92" s="5">
        <v>2</v>
      </c>
      <c r="V92" s="1">
        <v>0</v>
      </c>
      <c r="W92" s="1">
        <v>0</v>
      </c>
      <c r="X92" s="23">
        <f t="shared" si="7"/>
        <v>5</v>
      </c>
    </row>
    <row r="93" spans="1:24" hidden="1">
      <c r="A93" s="11">
        <v>44649</v>
      </c>
      <c r="B93" s="1">
        <v>3</v>
      </c>
      <c r="C93" s="1">
        <v>3</v>
      </c>
      <c r="D93" s="2">
        <v>3</v>
      </c>
      <c r="E93" s="1">
        <v>0</v>
      </c>
      <c r="F93" s="2">
        <v>3</v>
      </c>
      <c r="G93" s="1">
        <v>3</v>
      </c>
      <c r="H93" s="2">
        <v>1</v>
      </c>
      <c r="I93" s="1">
        <v>2</v>
      </c>
      <c r="J93" s="1">
        <v>1</v>
      </c>
      <c r="L93" s="21">
        <f t="shared" si="8"/>
        <v>16</v>
      </c>
      <c r="M93" s="21">
        <f t="shared" si="9"/>
        <v>3</v>
      </c>
      <c r="N93" s="22">
        <f t="shared" si="10"/>
        <v>19</v>
      </c>
      <c r="P93" s="2">
        <v>1</v>
      </c>
      <c r="Q93" s="5">
        <v>1</v>
      </c>
      <c r="R93" s="1">
        <v>0</v>
      </c>
      <c r="S93" s="5">
        <v>1</v>
      </c>
      <c r="T93" s="1">
        <v>0</v>
      </c>
      <c r="U93" s="5">
        <v>2</v>
      </c>
      <c r="V93" s="1">
        <v>0</v>
      </c>
      <c r="W93" s="1">
        <v>0</v>
      </c>
      <c r="X93" s="23">
        <f t="shared" si="7"/>
        <v>5</v>
      </c>
    </row>
    <row r="94" spans="1:24" hidden="1">
      <c r="A94" s="13">
        <v>44650</v>
      </c>
      <c r="B94" s="1">
        <v>2</v>
      </c>
      <c r="C94" s="1">
        <v>2</v>
      </c>
      <c r="D94" s="2">
        <v>4</v>
      </c>
      <c r="E94" s="1">
        <v>1</v>
      </c>
      <c r="F94" s="2">
        <v>4</v>
      </c>
      <c r="G94" s="1">
        <v>3</v>
      </c>
      <c r="H94" s="2">
        <v>1</v>
      </c>
      <c r="I94" s="1">
        <v>1</v>
      </c>
      <c r="J94" s="1">
        <v>2</v>
      </c>
      <c r="L94" s="21">
        <f t="shared" si="8"/>
        <v>17</v>
      </c>
      <c r="M94" s="21">
        <f t="shared" si="9"/>
        <v>3</v>
      </c>
      <c r="N94" s="22">
        <f t="shared" si="10"/>
        <v>20</v>
      </c>
      <c r="P94" s="2">
        <v>2</v>
      </c>
      <c r="Q94" s="5">
        <v>2</v>
      </c>
      <c r="R94" s="1">
        <v>2</v>
      </c>
      <c r="S94" s="5">
        <v>0</v>
      </c>
      <c r="T94" s="1">
        <v>0</v>
      </c>
      <c r="U94" s="5">
        <v>1</v>
      </c>
      <c r="V94" s="1">
        <v>0</v>
      </c>
      <c r="W94" s="1">
        <v>0</v>
      </c>
      <c r="X94" s="23">
        <f t="shared" si="7"/>
        <v>7</v>
      </c>
    </row>
    <row r="95" spans="1:24" hidden="1">
      <c r="A95" s="11">
        <v>44651</v>
      </c>
      <c r="B95" s="1">
        <v>2</v>
      </c>
      <c r="C95" s="1">
        <v>2</v>
      </c>
      <c r="D95" s="2">
        <v>4</v>
      </c>
      <c r="E95" s="1">
        <v>1</v>
      </c>
      <c r="F95" s="2">
        <v>4</v>
      </c>
      <c r="G95" s="1">
        <v>3</v>
      </c>
      <c r="H95" s="2">
        <v>1</v>
      </c>
      <c r="I95" s="1">
        <v>1</v>
      </c>
      <c r="J95" s="1">
        <v>1</v>
      </c>
      <c r="L95" s="21">
        <f t="shared" si="8"/>
        <v>17</v>
      </c>
      <c r="M95" s="21">
        <f t="shared" si="9"/>
        <v>2</v>
      </c>
      <c r="N95" s="22">
        <f>SUM(L95:M95)</f>
        <v>19</v>
      </c>
      <c r="P95" s="2">
        <v>2</v>
      </c>
      <c r="Q95" s="5">
        <v>2</v>
      </c>
      <c r="R95" s="1">
        <v>2</v>
      </c>
      <c r="S95" s="5">
        <v>0</v>
      </c>
      <c r="T95" s="1">
        <v>0</v>
      </c>
      <c r="U95" s="5">
        <v>1</v>
      </c>
      <c r="V95" s="1">
        <v>0</v>
      </c>
      <c r="W95" s="1">
        <v>0</v>
      </c>
      <c r="X95" s="23">
        <f t="shared" si="7"/>
        <v>7</v>
      </c>
    </row>
    <row r="96" spans="1:24" hidden="1">
      <c r="A96" s="11">
        <v>44652</v>
      </c>
      <c r="B96" s="1">
        <v>2</v>
      </c>
      <c r="C96" s="1">
        <v>2</v>
      </c>
      <c r="D96" s="2">
        <v>4</v>
      </c>
      <c r="E96" s="1">
        <v>1</v>
      </c>
      <c r="F96" s="2">
        <v>4</v>
      </c>
      <c r="G96" s="1">
        <v>3</v>
      </c>
      <c r="H96" s="2">
        <v>1</v>
      </c>
      <c r="I96" s="1">
        <v>1</v>
      </c>
      <c r="J96" s="1">
        <v>1</v>
      </c>
      <c r="L96" s="21">
        <f t="shared" si="8"/>
        <v>17</v>
      </c>
      <c r="M96" s="21">
        <f t="shared" si="9"/>
        <v>2</v>
      </c>
      <c r="N96" s="22">
        <f t="shared" si="10"/>
        <v>19</v>
      </c>
      <c r="P96" s="2">
        <v>2</v>
      </c>
      <c r="Q96" s="5">
        <v>2</v>
      </c>
      <c r="R96" s="1">
        <v>2</v>
      </c>
      <c r="S96" s="5">
        <v>0</v>
      </c>
      <c r="T96" s="1">
        <v>0</v>
      </c>
      <c r="U96" s="5">
        <v>1</v>
      </c>
      <c r="V96" s="1">
        <v>0</v>
      </c>
      <c r="W96" s="1">
        <v>0</v>
      </c>
      <c r="X96" s="23">
        <f t="shared" si="7"/>
        <v>7</v>
      </c>
    </row>
    <row r="97" spans="1:24" hidden="1">
      <c r="A97" s="12">
        <v>44653</v>
      </c>
      <c r="B97" s="1">
        <v>2</v>
      </c>
      <c r="C97" s="1">
        <v>2</v>
      </c>
      <c r="D97" s="2">
        <v>4</v>
      </c>
      <c r="E97" s="1">
        <v>1</v>
      </c>
      <c r="F97" s="2">
        <v>4</v>
      </c>
      <c r="G97" s="1">
        <v>3</v>
      </c>
      <c r="H97" s="2">
        <v>1</v>
      </c>
      <c r="I97" s="1">
        <v>1</v>
      </c>
      <c r="J97" s="1">
        <v>1</v>
      </c>
      <c r="L97" s="21">
        <f t="shared" si="8"/>
        <v>17</v>
      </c>
      <c r="M97" s="21">
        <f t="shared" si="9"/>
        <v>2</v>
      </c>
      <c r="N97" s="22">
        <f t="shared" si="10"/>
        <v>19</v>
      </c>
      <c r="P97" s="2">
        <v>2</v>
      </c>
      <c r="Q97" s="5">
        <v>2</v>
      </c>
      <c r="R97" s="1">
        <v>2</v>
      </c>
      <c r="S97" s="5">
        <v>0</v>
      </c>
      <c r="T97" s="1">
        <v>0</v>
      </c>
      <c r="U97" s="5">
        <v>1</v>
      </c>
      <c r="V97" s="1">
        <v>0</v>
      </c>
      <c r="W97" s="1">
        <v>0</v>
      </c>
      <c r="X97" s="23">
        <f t="shared" si="7"/>
        <v>7</v>
      </c>
    </row>
    <row r="98" spans="1:24" hidden="1">
      <c r="A98" s="12">
        <v>44654</v>
      </c>
      <c r="B98" s="1">
        <v>2</v>
      </c>
      <c r="C98" s="1">
        <v>2</v>
      </c>
      <c r="D98" s="2">
        <v>4</v>
      </c>
      <c r="E98" s="1">
        <v>1</v>
      </c>
      <c r="F98" s="2">
        <v>4</v>
      </c>
      <c r="G98" s="1">
        <v>3</v>
      </c>
      <c r="H98" s="2">
        <v>1</v>
      </c>
      <c r="I98" s="1">
        <v>1</v>
      </c>
      <c r="J98" s="1">
        <v>1</v>
      </c>
      <c r="L98" s="21">
        <f t="shared" si="8"/>
        <v>17</v>
      </c>
      <c r="M98" s="21">
        <f t="shared" si="9"/>
        <v>2</v>
      </c>
      <c r="N98" s="22">
        <f t="shared" si="10"/>
        <v>19</v>
      </c>
      <c r="P98" s="2">
        <v>2</v>
      </c>
      <c r="Q98" s="5">
        <v>2</v>
      </c>
      <c r="R98" s="1">
        <v>2</v>
      </c>
      <c r="S98" s="5">
        <v>0</v>
      </c>
      <c r="T98" s="1">
        <v>0</v>
      </c>
      <c r="U98" s="5">
        <v>1</v>
      </c>
      <c r="V98" s="1">
        <v>0</v>
      </c>
      <c r="W98" s="1">
        <v>0</v>
      </c>
      <c r="X98" s="23">
        <f t="shared" si="7"/>
        <v>7</v>
      </c>
    </row>
    <row r="99" spans="1:24" hidden="1">
      <c r="A99" s="11">
        <v>44655</v>
      </c>
      <c r="B99" s="1">
        <v>2</v>
      </c>
      <c r="C99" s="1">
        <v>2</v>
      </c>
      <c r="D99" s="2">
        <v>4</v>
      </c>
      <c r="E99" s="1">
        <v>1</v>
      </c>
      <c r="F99" s="2">
        <v>4</v>
      </c>
      <c r="G99" s="1">
        <v>3</v>
      </c>
      <c r="H99" s="2">
        <v>1</v>
      </c>
      <c r="I99" s="1">
        <v>1</v>
      </c>
      <c r="J99" s="1">
        <v>1</v>
      </c>
      <c r="L99" s="21">
        <f t="shared" si="8"/>
        <v>17</v>
      </c>
      <c r="M99" s="21">
        <f t="shared" si="9"/>
        <v>2</v>
      </c>
      <c r="N99" s="22">
        <f t="shared" si="10"/>
        <v>19</v>
      </c>
      <c r="P99" s="2">
        <v>2</v>
      </c>
      <c r="Q99" s="5">
        <v>2</v>
      </c>
      <c r="R99" s="1">
        <v>2</v>
      </c>
      <c r="S99" s="5">
        <v>0</v>
      </c>
      <c r="T99" s="1">
        <v>0</v>
      </c>
      <c r="U99" s="5">
        <v>1</v>
      </c>
      <c r="V99" s="1">
        <v>0</v>
      </c>
      <c r="W99" s="1">
        <v>0</v>
      </c>
      <c r="X99" s="23">
        <f t="shared" si="7"/>
        <v>7</v>
      </c>
    </row>
    <row r="100" spans="1:24" hidden="1">
      <c r="A100" s="11">
        <v>44656</v>
      </c>
      <c r="B100" s="1">
        <v>2</v>
      </c>
      <c r="C100" s="1">
        <v>2</v>
      </c>
      <c r="D100" s="2">
        <v>4</v>
      </c>
      <c r="E100" s="1">
        <v>1</v>
      </c>
      <c r="F100" s="2">
        <v>4</v>
      </c>
      <c r="G100" s="1">
        <v>3</v>
      </c>
      <c r="H100" s="2">
        <v>0</v>
      </c>
      <c r="I100" s="1">
        <v>1</v>
      </c>
      <c r="J100" s="1">
        <v>1</v>
      </c>
      <c r="L100" s="21">
        <f t="shared" si="8"/>
        <v>16</v>
      </c>
      <c r="M100" s="21">
        <f t="shared" si="9"/>
        <v>2</v>
      </c>
      <c r="N100" s="22">
        <f t="shared" si="10"/>
        <v>18</v>
      </c>
      <c r="P100" s="2">
        <v>2</v>
      </c>
      <c r="Q100" s="5">
        <v>2</v>
      </c>
      <c r="R100" s="1">
        <v>2</v>
      </c>
      <c r="S100" s="5">
        <v>0</v>
      </c>
      <c r="T100" s="1">
        <v>0</v>
      </c>
      <c r="U100" s="5">
        <v>1</v>
      </c>
      <c r="V100" s="1">
        <v>0</v>
      </c>
      <c r="W100" s="1">
        <v>0</v>
      </c>
      <c r="X100" s="23">
        <f t="shared" si="7"/>
        <v>7</v>
      </c>
    </row>
    <row r="101" spans="1:24" hidden="1">
      <c r="A101" s="13">
        <v>44657</v>
      </c>
      <c r="B101" s="1">
        <v>2</v>
      </c>
      <c r="C101" s="1">
        <v>2</v>
      </c>
      <c r="D101" s="2">
        <v>4</v>
      </c>
      <c r="E101" s="1">
        <v>1</v>
      </c>
      <c r="F101" s="2">
        <v>4</v>
      </c>
      <c r="G101" s="1">
        <v>4</v>
      </c>
      <c r="H101" s="2">
        <v>0</v>
      </c>
      <c r="I101" s="1">
        <v>1</v>
      </c>
      <c r="J101" s="1">
        <v>1</v>
      </c>
      <c r="L101" s="21">
        <f t="shared" si="8"/>
        <v>17</v>
      </c>
      <c r="M101" s="21">
        <f t="shared" si="9"/>
        <v>2</v>
      </c>
      <c r="N101" s="22">
        <f t="shared" si="10"/>
        <v>19</v>
      </c>
      <c r="P101" s="2">
        <v>3</v>
      </c>
      <c r="Q101" s="5">
        <v>2</v>
      </c>
      <c r="R101" s="1">
        <v>1</v>
      </c>
      <c r="S101" s="5">
        <v>1</v>
      </c>
      <c r="T101" s="1">
        <v>0</v>
      </c>
      <c r="U101" s="5">
        <v>1</v>
      </c>
      <c r="V101" s="1">
        <v>0</v>
      </c>
      <c r="W101" s="1">
        <v>0</v>
      </c>
      <c r="X101" s="23">
        <f t="shared" si="7"/>
        <v>8</v>
      </c>
    </row>
    <row r="102" spans="1:24" hidden="1">
      <c r="A102" s="11">
        <v>44658</v>
      </c>
      <c r="B102" s="1">
        <v>2</v>
      </c>
      <c r="C102" s="1">
        <v>2</v>
      </c>
      <c r="D102" s="2">
        <v>2</v>
      </c>
      <c r="E102" s="1">
        <v>1</v>
      </c>
      <c r="F102" s="2">
        <v>4</v>
      </c>
      <c r="G102" s="1">
        <v>4</v>
      </c>
      <c r="H102" s="2">
        <v>1</v>
      </c>
      <c r="I102" s="1">
        <v>1</v>
      </c>
      <c r="J102" s="1">
        <v>1</v>
      </c>
      <c r="L102" s="21">
        <f t="shared" si="8"/>
        <v>16</v>
      </c>
      <c r="M102" s="21">
        <f t="shared" si="9"/>
        <v>2</v>
      </c>
      <c r="N102" s="22">
        <f t="shared" si="10"/>
        <v>18</v>
      </c>
      <c r="P102" s="2">
        <v>3</v>
      </c>
      <c r="Q102" s="5">
        <v>2</v>
      </c>
      <c r="R102" s="1">
        <v>1</v>
      </c>
      <c r="S102" s="5">
        <v>1</v>
      </c>
      <c r="T102" s="1">
        <v>0</v>
      </c>
      <c r="U102" s="5">
        <v>1</v>
      </c>
      <c r="V102" s="1">
        <v>0</v>
      </c>
      <c r="W102" s="1">
        <v>0</v>
      </c>
      <c r="X102" s="23">
        <f t="shared" si="7"/>
        <v>8</v>
      </c>
    </row>
    <row r="103" spans="1:24" hidden="1">
      <c r="A103" s="11">
        <v>44659</v>
      </c>
      <c r="B103" s="1">
        <v>2</v>
      </c>
      <c r="C103" s="1">
        <v>2</v>
      </c>
      <c r="D103" s="2">
        <v>2</v>
      </c>
      <c r="E103" s="1">
        <v>1</v>
      </c>
      <c r="F103" s="2">
        <v>4</v>
      </c>
      <c r="G103" s="1">
        <v>4</v>
      </c>
      <c r="H103" s="2">
        <v>1</v>
      </c>
      <c r="I103" s="1">
        <v>1</v>
      </c>
      <c r="J103" s="1">
        <v>1</v>
      </c>
      <c r="L103" s="21">
        <f t="shared" si="8"/>
        <v>16</v>
      </c>
      <c r="M103" s="21">
        <f t="shared" si="9"/>
        <v>2</v>
      </c>
      <c r="N103" s="22">
        <f t="shared" si="10"/>
        <v>18</v>
      </c>
      <c r="P103" s="2">
        <v>3</v>
      </c>
      <c r="Q103" s="5">
        <v>2</v>
      </c>
      <c r="R103" s="1">
        <v>1</v>
      </c>
      <c r="S103" s="5">
        <v>1</v>
      </c>
      <c r="T103" s="1">
        <v>0</v>
      </c>
      <c r="U103" s="5">
        <v>1</v>
      </c>
      <c r="V103" s="1">
        <v>0</v>
      </c>
      <c r="W103" s="1">
        <v>0</v>
      </c>
      <c r="X103" s="23">
        <f t="shared" si="7"/>
        <v>8</v>
      </c>
    </row>
    <row r="104" spans="1:24" hidden="1">
      <c r="A104" s="12">
        <v>44660</v>
      </c>
      <c r="B104" s="1">
        <v>2</v>
      </c>
      <c r="C104" s="1">
        <v>2</v>
      </c>
      <c r="D104" s="2">
        <v>2</v>
      </c>
      <c r="E104" s="1">
        <v>1</v>
      </c>
      <c r="F104" s="2">
        <v>4</v>
      </c>
      <c r="G104" s="1">
        <v>4</v>
      </c>
      <c r="H104" s="2">
        <v>1</v>
      </c>
      <c r="I104" s="1">
        <v>1</v>
      </c>
      <c r="J104" s="1">
        <v>1</v>
      </c>
      <c r="L104" s="21">
        <f t="shared" si="8"/>
        <v>16</v>
      </c>
      <c r="M104" s="21">
        <f t="shared" si="9"/>
        <v>2</v>
      </c>
      <c r="N104" s="22">
        <f t="shared" si="10"/>
        <v>18</v>
      </c>
      <c r="P104" s="2">
        <v>3</v>
      </c>
      <c r="Q104" s="5">
        <v>2</v>
      </c>
      <c r="R104" s="1">
        <v>1</v>
      </c>
      <c r="S104" s="5">
        <v>1</v>
      </c>
      <c r="T104" s="1">
        <v>0</v>
      </c>
      <c r="U104" s="5">
        <v>1</v>
      </c>
      <c r="V104" s="1">
        <v>0</v>
      </c>
      <c r="W104" s="1">
        <v>0</v>
      </c>
      <c r="X104" s="23">
        <f t="shared" si="7"/>
        <v>8</v>
      </c>
    </row>
    <row r="105" spans="1:24" hidden="1">
      <c r="A105" s="12">
        <v>44661</v>
      </c>
      <c r="B105" s="1">
        <v>2</v>
      </c>
      <c r="C105" s="1">
        <v>2</v>
      </c>
      <c r="D105" s="2">
        <v>2</v>
      </c>
      <c r="E105" s="1">
        <v>1</v>
      </c>
      <c r="F105" s="2">
        <v>4</v>
      </c>
      <c r="G105" s="1">
        <v>4</v>
      </c>
      <c r="H105" s="2">
        <v>1</v>
      </c>
      <c r="I105" s="1">
        <v>1</v>
      </c>
      <c r="J105" s="1">
        <v>1</v>
      </c>
      <c r="L105" s="21">
        <f t="shared" si="8"/>
        <v>16</v>
      </c>
      <c r="M105" s="21">
        <f t="shared" si="9"/>
        <v>2</v>
      </c>
      <c r="N105" s="22">
        <f t="shared" si="10"/>
        <v>18</v>
      </c>
      <c r="P105" s="2">
        <v>3</v>
      </c>
      <c r="Q105" s="5">
        <v>2</v>
      </c>
      <c r="R105" s="1">
        <v>1</v>
      </c>
      <c r="S105" s="5">
        <v>1</v>
      </c>
      <c r="T105" s="1">
        <v>0</v>
      </c>
      <c r="U105" s="5">
        <v>1</v>
      </c>
      <c r="V105" s="1">
        <v>0</v>
      </c>
      <c r="W105" s="1">
        <v>0</v>
      </c>
      <c r="X105" s="23">
        <f t="shared" si="7"/>
        <v>8</v>
      </c>
    </row>
    <row r="106" spans="1:24" hidden="1">
      <c r="A106" s="11">
        <v>44662</v>
      </c>
      <c r="B106" s="1">
        <v>2</v>
      </c>
      <c r="C106" s="1">
        <v>2</v>
      </c>
      <c r="D106" s="2">
        <v>2</v>
      </c>
      <c r="E106" s="1">
        <v>1</v>
      </c>
      <c r="F106" s="2">
        <v>4</v>
      </c>
      <c r="G106" s="1">
        <v>4</v>
      </c>
      <c r="H106" s="2">
        <v>1</v>
      </c>
      <c r="I106" s="1">
        <v>1</v>
      </c>
      <c r="J106" s="1">
        <v>1</v>
      </c>
      <c r="L106" s="21">
        <f t="shared" si="8"/>
        <v>16</v>
      </c>
      <c r="M106" s="21">
        <f t="shared" si="9"/>
        <v>2</v>
      </c>
      <c r="N106" s="22">
        <f t="shared" si="10"/>
        <v>18</v>
      </c>
      <c r="P106" s="2">
        <v>3</v>
      </c>
      <c r="Q106" s="5">
        <v>2</v>
      </c>
      <c r="R106" s="1">
        <v>1</v>
      </c>
      <c r="S106" s="5">
        <v>1</v>
      </c>
      <c r="T106" s="1">
        <v>0</v>
      </c>
      <c r="U106" s="5">
        <v>1</v>
      </c>
      <c r="V106" s="1">
        <v>0</v>
      </c>
      <c r="W106" s="1">
        <v>0</v>
      </c>
      <c r="X106" s="23">
        <f t="shared" si="7"/>
        <v>8</v>
      </c>
    </row>
    <row r="107" spans="1:24" hidden="1">
      <c r="A107" s="11">
        <v>44663</v>
      </c>
      <c r="B107" s="1">
        <v>2</v>
      </c>
      <c r="C107" s="1">
        <v>2</v>
      </c>
      <c r="D107" s="2">
        <v>2</v>
      </c>
      <c r="E107" s="1">
        <v>1</v>
      </c>
      <c r="F107" s="2">
        <v>4</v>
      </c>
      <c r="G107" s="1">
        <v>4</v>
      </c>
      <c r="H107" s="2">
        <v>1</v>
      </c>
      <c r="I107" s="1">
        <v>1</v>
      </c>
      <c r="J107" s="1">
        <v>1</v>
      </c>
      <c r="L107" s="21">
        <f t="shared" si="8"/>
        <v>16</v>
      </c>
      <c r="M107" s="21">
        <f t="shared" si="9"/>
        <v>2</v>
      </c>
      <c r="N107" s="22">
        <f t="shared" si="10"/>
        <v>18</v>
      </c>
      <c r="P107" s="2">
        <v>3</v>
      </c>
      <c r="Q107" s="5">
        <v>2</v>
      </c>
      <c r="R107" s="1">
        <v>1</v>
      </c>
      <c r="S107" s="5">
        <v>1</v>
      </c>
      <c r="T107" s="1">
        <v>0</v>
      </c>
      <c r="U107" s="5">
        <v>1</v>
      </c>
      <c r="V107" s="1">
        <v>0</v>
      </c>
      <c r="W107" s="1">
        <v>0</v>
      </c>
      <c r="X107" s="23">
        <f t="shared" si="7"/>
        <v>8</v>
      </c>
    </row>
    <row r="108" spans="1:24" hidden="1">
      <c r="A108" s="13">
        <v>44664</v>
      </c>
      <c r="B108" s="1">
        <v>3</v>
      </c>
      <c r="C108" s="1">
        <v>2</v>
      </c>
      <c r="D108" s="2">
        <v>2</v>
      </c>
      <c r="E108" s="1">
        <v>0</v>
      </c>
      <c r="F108" s="2">
        <v>4</v>
      </c>
      <c r="G108" s="1">
        <v>2</v>
      </c>
      <c r="H108" s="2">
        <v>1</v>
      </c>
      <c r="I108" s="1">
        <v>1</v>
      </c>
      <c r="J108" s="1">
        <v>1</v>
      </c>
      <c r="L108" s="21">
        <f t="shared" si="8"/>
        <v>14</v>
      </c>
      <c r="M108" s="21">
        <f t="shared" si="9"/>
        <v>2</v>
      </c>
      <c r="N108" s="22">
        <f t="shared" si="10"/>
        <v>16</v>
      </c>
      <c r="P108" s="2">
        <v>3</v>
      </c>
      <c r="Q108" s="5">
        <v>2</v>
      </c>
      <c r="R108" s="1">
        <v>1</v>
      </c>
      <c r="S108" s="5">
        <v>1</v>
      </c>
      <c r="T108" s="1">
        <v>0</v>
      </c>
      <c r="U108" s="5">
        <v>2</v>
      </c>
      <c r="V108" s="1">
        <v>1</v>
      </c>
      <c r="W108" s="1">
        <v>0</v>
      </c>
      <c r="X108" s="23">
        <f t="shared" si="7"/>
        <v>10</v>
      </c>
    </row>
    <row r="109" spans="1:24" hidden="1">
      <c r="A109" s="11">
        <v>44665</v>
      </c>
      <c r="B109" s="1">
        <v>3</v>
      </c>
      <c r="C109" s="1">
        <v>2</v>
      </c>
      <c r="D109" s="2">
        <v>2</v>
      </c>
      <c r="E109" s="1">
        <v>0</v>
      </c>
      <c r="F109" s="2">
        <v>4</v>
      </c>
      <c r="G109" s="1">
        <v>2</v>
      </c>
      <c r="H109" s="2">
        <v>1</v>
      </c>
      <c r="I109" s="1">
        <v>1</v>
      </c>
      <c r="J109" s="1">
        <v>0</v>
      </c>
      <c r="L109" s="21">
        <f t="shared" si="8"/>
        <v>14</v>
      </c>
      <c r="M109" s="21">
        <f t="shared" si="9"/>
        <v>1</v>
      </c>
      <c r="N109" s="22">
        <f t="shared" si="10"/>
        <v>15</v>
      </c>
      <c r="P109" s="2">
        <v>3</v>
      </c>
      <c r="Q109" s="5">
        <v>2</v>
      </c>
      <c r="R109" s="1">
        <v>1</v>
      </c>
      <c r="S109" s="5">
        <v>1</v>
      </c>
      <c r="T109" s="1">
        <v>0</v>
      </c>
      <c r="U109" s="5">
        <v>2</v>
      </c>
      <c r="V109" s="1">
        <v>1</v>
      </c>
      <c r="W109" s="1">
        <v>0</v>
      </c>
      <c r="X109" s="23">
        <f t="shared" ref="X109:X172" si="11">SUM(P109:W109)</f>
        <v>10</v>
      </c>
    </row>
    <row r="110" spans="1:24" hidden="1">
      <c r="A110" s="11">
        <v>44666</v>
      </c>
      <c r="B110" s="1">
        <v>3</v>
      </c>
      <c r="C110" s="1">
        <v>2</v>
      </c>
      <c r="D110" s="2">
        <v>2</v>
      </c>
      <c r="E110" s="1">
        <v>0</v>
      </c>
      <c r="F110" s="2">
        <v>4</v>
      </c>
      <c r="G110" s="1">
        <v>2</v>
      </c>
      <c r="H110" s="2">
        <v>1</v>
      </c>
      <c r="I110" s="1">
        <v>1</v>
      </c>
      <c r="J110" s="1">
        <v>0</v>
      </c>
      <c r="L110" s="21">
        <f t="shared" si="8"/>
        <v>14</v>
      </c>
      <c r="M110" s="21">
        <f t="shared" si="9"/>
        <v>1</v>
      </c>
      <c r="N110" s="22">
        <f t="shared" si="10"/>
        <v>15</v>
      </c>
      <c r="P110" s="2">
        <v>3</v>
      </c>
      <c r="Q110" s="5">
        <v>2</v>
      </c>
      <c r="R110" s="1">
        <v>1</v>
      </c>
      <c r="S110" s="5">
        <v>1</v>
      </c>
      <c r="T110" s="1">
        <v>0</v>
      </c>
      <c r="U110" s="5">
        <v>2</v>
      </c>
      <c r="V110" s="1">
        <v>1</v>
      </c>
      <c r="W110" s="1">
        <v>0</v>
      </c>
      <c r="X110" s="23">
        <f t="shared" si="11"/>
        <v>10</v>
      </c>
    </row>
    <row r="111" spans="1:24" hidden="1">
      <c r="A111" s="12">
        <v>44667</v>
      </c>
      <c r="B111" s="1">
        <v>3</v>
      </c>
      <c r="C111" s="1">
        <v>3</v>
      </c>
      <c r="D111" s="2">
        <v>2</v>
      </c>
      <c r="E111" s="1">
        <v>0</v>
      </c>
      <c r="F111" s="2">
        <v>4</v>
      </c>
      <c r="G111" s="1">
        <v>2</v>
      </c>
      <c r="H111" s="2">
        <v>1</v>
      </c>
      <c r="I111" s="1">
        <v>2</v>
      </c>
      <c r="J111" s="1">
        <v>0</v>
      </c>
      <c r="L111" s="21">
        <f t="shared" si="8"/>
        <v>15</v>
      </c>
      <c r="M111" s="21">
        <f t="shared" si="9"/>
        <v>2</v>
      </c>
      <c r="N111" s="22">
        <f t="shared" si="10"/>
        <v>17</v>
      </c>
      <c r="P111" s="2">
        <v>3</v>
      </c>
      <c r="Q111" s="5">
        <v>2</v>
      </c>
      <c r="R111" s="1">
        <v>1</v>
      </c>
      <c r="S111" s="5">
        <v>1</v>
      </c>
      <c r="T111" s="1">
        <v>0</v>
      </c>
      <c r="U111" s="5">
        <v>2</v>
      </c>
      <c r="V111" s="1">
        <v>1</v>
      </c>
      <c r="W111" s="1">
        <v>0</v>
      </c>
      <c r="X111" s="23">
        <f t="shared" si="11"/>
        <v>10</v>
      </c>
    </row>
    <row r="112" spans="1:24" hidden="1">
      <c r="A112" s="12">
        <v>44668</v>
      </c>
      <c r="B112" s="1">
        <v>3</v>
      </c>
      <c r="C112" s="1">
        <v>3</v>
      </c>
      <c r="D112" s="2">
        <v>2</v>
      </c>
      <c r="E112" s="1">
        <v>0</v>
      </c>
      <c r="F112" s="2">
        <v>4</v>
      </c>
      <c r="G112" s="1">
        <v>2</v>
      </c>
      <c r="H112" s="2">
        <v>1</v>
      </c>
      <c r="I112" s="1">
        <v>1</v>
      </c>
      <c r="J112" s="1">
        <v>0</v>
      </c>
      <c r="L112" s="21">
        <f t="shared" si="8"/>
        <v>15</v>
      </c>
      <c r="M112" s="21">
        <f t="shared" si="9"/>
        <v>1</v>
      </c>
      <c r="N112" s="22">
        <f t="shared" si="10"/>
        <v>16</v>
      </c>
      <c r="P112" s="2">
        <v>3</v>
      </c>
      <c r="Q112" s="5">
        <v>2</v>
      </c>
      <c r="R112" s="1">
        <v>1</v>
      </c>
      <c r="S112" s="5">
        <v>1</v>
      </c>
      <c r="T112" s="1">
        <v>0</v>
      </c>
      <c r="U112" s="5">
        <v>2</v>
      </c>
      <c r="V112" s="1">
        <v>1</v>
      </c>
      <c r="W112" s="1">
        <v>0</v>
      </c>
      <c r="X112" s="23">
        <f t="shared" si="11"/>
        <v>10</v>
      </c>
    </row>
    <row r="113" spans="1:24" hidden="1">
      <c r="A113" s="11">
        <v>44669</v>
      </c>
      <c r="B113" s="1">
        <v>3</v>
      </c>
      <c r="C113" s="1">
        <v>3</v>
      </c>
      <c r="D113" s="2">
        <v>2</v>
      </c>
      <c r="E113" s="1">
        <v>0</v>
      </c>
      <c r="F113" s="2">
        <v>4</v>
      </c>
      <c r="G113" s="1">
        <v>2</v>
      </c>
      <c r="H113" s="2">
        <v>1</v>
      </c>
      <c r="I113" s="1">
        <v>1</v>
      </c>
      <c r="J113" s="1">
        <v>0</v>
      </c>
      <c r="L113" s="21">
        <f t="shared" si="8"/>
        <v>15</v>
      </c>
      <c r="M113" s="21">
        <f t="shared" si="9"/>
        <v>1</v>
      </c>
      <c r="N113" s="22">
        <f t="shared" si="10"/>
        <v>16</v>
      </c>
      <c r="P113" s="2">
        <v>3</v>
      </c>
      <c r="Q113" s="5">
        <v>2</v>
      </c>
      <c r="R113" s="1">
        <v>1</v>
      </c>
      <c r="S113" s="5">
        <v>1</v>
      </c>
      <c r="T113" s="1">
        <v>0</v>
      </c>
      <c r="U113" s="5">
        <v>2</v>
      </c>
      <c r="V113" s="1">
        <v>1</v>
      </c>
      <c r="W113" s="1">
        <v>0</v>
      </c>
      <c r="X113" s="23">
        <f t="shared" si="11"/>
        <v>10</v>
      </c>
    </row>
    <row r="114" spans="1:24" hidden="1">
      <c r="A114" s="11">
        <v>44670</v>
      </c>
      <c r="B114" s="1">
        <v>3</v>
      </c>
      <c r="C114" s="1">
        <v>3</v>
      </c>
      <c r="D114" s="2">
        <v>2</v>
      </c>
      <c r="E114" s="1">
        <v>0</v>
      </c>
      <c r="F114" s="2">
        <v>4</v>
      </c>
      <c r="G114" s="1">
        <v>2</v>
      </c>
      <c r="H114" s="2">
        <v>1</v>
      </c>
      <c r="I114" s="1">
        <v>1</v>
      </c>
      <c r="J114" s="1">
        <v>0</v>
      </c>
      <c r="L114" s="21">
        <f t="shared" si="8"/>
        <v>15</v>
      </c>
      <c r="M114" s="21">
        <f t="shared" si="9"/>
        <v>1</v>
      </c>
      <c r="N114" s="22">
        <f t="shared" si="10"/>
        <v>16</v>
      </c>
      <c r="P114" s="2">
        <v>3</v>
      </c>
      <c r="Q114" s="5">
        <v>2</v>
      </c>
      <c r="R114" s="1">
        <v>1</v>
      </c>
      <c r="S114" s="5">
        <v>1</v>
      </c>
      <c r="T114" s="1">
        <v>0</v>
      </c>
      <c r="U114" s="5">
        <v>2</v>
      </c>
      <c r="V114" s="1">
        <v>1</v>
      </c>
      <c r="W114" s="1">
        <v>0</v>
      </c>
      <c r="X114" s="23">
        <f t="shared" si="11"/>
        <v>10</v>
      </c>
    </row>
    <row r="115" spans="1:24" hidden="1">
      <c r="A115" s="13">
        <v>44671</v>
      </c>
      <c r="B115" s="1">
        <v>1</v>
      </c>
      <c r="C115" s="1">
        <v>3</v>
      </c>
      <c r="D115" s="2">
        <v>4</v>
      </c>
      <c r="E115" s="1">
        <v>1</v>
      </c>
      <c r="F115" s="2">
        <v>4</v>
      </c>
      <c r="G115" s="1">
        <v>3</v>
      </c>
      <c r="H115" s="2">
        <v>1</v>
      </c>
      <c r="I115" s="1">
        <v>1</v>
      </c>
      <c r="J115" s="1">
        <v>0</v>
      </c>
      <c r="L115" s="21">
        <f t="shared" si="8"/>
        <v>17</v>
      </c>
      <c r="M115" s="21">
        <f t="shared" si="9"/>
        <v>1</v>
      </c>
      <c r="N115" s="22">
        <f t="shared" si="10"/>
        <v>18</v>
      </c>
      <c r="P115" s="2">
        <v>2</v>
      </c>
      <c r="Q115" s="5">
        <v>2</v>
      </c>
      <c r="R115" s="1">
        <v>1</v>
      </c>
      <c r="S115" s="5">
        <v>0</v>
      </c>
      <c r="T115" s="1">
        <v>0</v>
      </c>
      <c r="U115" s="5">
        <v>1</v>
      </c>
      <c r="V115" s="1">
        <v>1</v>
      </c>
      <c r="W115" s="1">
        <v>0</v>
      </c>
      <c r="X115" s="23">
        <f t="shared" si="11"/>
        <v>7</v>
      </c>
    </row>
    <row r="116" spans="1:24" hidden="1">
      <c r="A116" s="11">
        <v>44672</v>
      </c>
      <c r="B116" s="1">
        <v>1</v>
      </c>
      <c r="C116" s="1">
        <v>3</v>
      </c>
      <c r="D116" s="2">
        <v>4</v>
      </c>
      <c r="E116" s="1">
        <v>1</v>
      </c>
      <c r="F116" s="2">
        <v>4</v>
      </c>
      <c r="G116" s="1">
        <v>3</v>
      </c>
      <c r="H116" s="2">
        <v>1</v>
      </c>
      <c r="I116" s="1">
        <v>1</v>
      </c>
      <c r="J116" s="1">
        <v>0</v>
      </c>
      <c r="L116" s="21">
        <f t="shared" si="8"/>
        <v>17</v>
      </c>
      <c r="M116" s="21">
        <f t="shared" si="9"/>
        <v>1</v>
      </c>
      <c r="N116" s="22">
        <f t="shared" si="10"/>
        <v>18</v>
      </c>
      <c r="P116" s="2">
        <v>3</v>
      </c>
      <c r="Q116" s="5">
        <v>2</v>
      </c>
      <c r="R116" s="1">
        <v>1</v>
      </c>
      <c r="S116" s="5">
        <v>0</v>
      </c>
      <c r="T116" s="1">
        <v>0</v>
      </c>
      <c r="U116" s="5">
        <v>1</v>
      </c>
      <c r="V116" s="1">
        <v>1</v>
      </c>
      <c r="W116" s="1">
        <v>0</v>
      </c>
      <c r="X116" s="23">
        <f t="shared" si="11"/>
        <v>8</v>
      </c>
    </row>
    <row r="117" spans="1:24" hidden="1">
      <c r="A117" s="11">
        <v>44673</v>
      </c>
      <c r="B117" s="1">
        <v>1</v>
      </c>
      <c r="C117" s="1">
        <v>3</v>
      </c>
      <c r="D117" s="2">
        <v>4</v>
      </c>
      <c r="E117" s="1">
        <v>1</v>
      </c>
      <c r="F117" s="2">
        <v>4</v>
      </c>
      <c r="G117" s="1">
        <v>3</v>
      </c>
      <c r="H117" s="2">
        <v>1</v>
      </c>
      <c r="I117" s="1">
        <v>1</v>
      </c>
      <c r="J117" s="1">
        <v>0</v>
      </c>
      <c r="L117" s="21">
        <f t="shared" si="8"/>
        <v>17</v>
      </c>
      <c r="M117" s="21">
        <f t="shared" si="9"/>
        <v>1</v>
      </c>
      <c r="N117" s="22">
        <f t="shared" si="10"/>
        <v>18</v>
      </c>
      <c r="P117" s="2">
        <v>3</v>
      </c>
      <c r="Q117" s="5">
        <v>2</v>
      </c>
      <c r="R117" s="1">
        <v>1</v>
      </c>
      <c r="S117" s="5">
        <v>0</v>
      </c>
      <c r="T117" s="1">
        <v>0</v>
      </c>
      <c r="U117" s="5">
        <v>1</v>
      </c>
      <c r="V117" s="1">
        <v>1</v>
      </c>
      <c r="W117" s="1">
        <v>0</v>
      </c>
      <c r="X117" s="23">
        <f t="shared" si="11"/>
        <v>8</v>
      </c>
    </row>
    <row r="118" spans="1:24" hidden="1">
      <c r="A118" s="12">
        <v>44674</v>
      </c>
      <c r="B118" s="1">
        <v>1</v>
      </c>
      <c r="C118" s="1">
        <v>3</v>
      </c>
      <c r="D118" s="2">
        <v>4</v>
      </c>
      <c r="E118" s="1">
        <v>1</v>
      </c>
      <c r="F118" s="2">
        <v>4</v>
      </c>
      <c r="G118" s="1">
        <v>2</v>
      </c>
      <c r="H118" s="2">
        <v>1</v>
      </c>
      <c r="I118" s="1">
        <v>1</v>
      </c>
      <c r="J118" s="1">
        <v>0</v>
      </c>
      <c r="L118" s="21">
        <f t="shared" si="8"/>
        <v>16</v>
      </c>
      <c r="M118" s="21">
        <f t="shared" si="9"/>
        <v>1</v>
      </c>
      <c r="N118" s="22">
        <f t="shared" si="10"/>
        <v>17</v>
      </c>
      <c r="P118" s="2">
        <v>3</v>
      </c>
      <c r="Q118" s="5">
        <v>2</v>
      </c>
      <c r="R118" s="1">
        <v>1</v>
      </c>
      <c r="S118" s="5">
        <v>0</v>
      </c>
      <c r="T118" s="1">
        <v>0</v>
      </c>
      <c r="U118" s="5">
        <v>1</v>
      </c>
      <c r="V118" s="1">
        <v>1</v>
      </c>
      <c r="W118" s="1">
        <v>0</v>
      </c>
      <c r="X118" s="23">
        <f t="shared" si="11"/>
        <v>8</v>
      </c>
    </row>
    <row r="119" spans="1:24" hidden="1">
      <c r="A119" s="12">
        <v>44675</v>
      </c>
      <c r="B119" s="1">
        <v>1</v>
      </c>
      <c r="C119" s="1">
        <v>3</v>
      </c>
      <c r="D119" s="2">
        <v>4</v>
      </c>
      <c r="E119" s="1">
        <v>1</v>
      </c>
      <c r="F119" s="2">
        <v>4</v>
      </c>
      <c r="G119" s="1">
        <v>3</v>
      </c>
      <c r="H119" s="2">
        <v>1</v>
      </c>
      <c r="I119" s="1">
        <v>1</v>
      </c>
      <c r="J119" s="1">
        <v>0</v>
      </c>
      <c r="L119" s="21">
        <f t="shared" si="8"/>
        <v>17</v>
      </c>
      <c r="M119" s="21">
        <f t="shared" si="9"/>
        <v>1</v>
      </c>
      <c r="N119" s="22">
        <f t="shared" si="10"/>
        <v>18</v>
      </c>
      <c r="P119" s="2">
        <v>3</v>
      </c>
      <c r="Q119" s="5">
        <v>2</v>
      </c>
      <c r="R119" s="1">
        <v>1</v>
      </c>
      <c r="S119" s="5">
        <v>0</v>
      </c>
      <c r="T119" s="1">
        <v>0</v>
      </c>
      <c r="U119" s="5">
        <v>1</v>
      </c>
      <c r="V119" s="1">
        <v>1</v>
      </c>
      <c r="W119" s="1">
        <v>0</v>
      </c>
      <c r="X119" s="23">
        <f t="shared" si="11"/>
        <v>8</v>
      </c>
    </row>
    <row r="120" spans="1:24" hidden="1">
      <c r="A120" s="11">
        <v>44676</v>
      </c>
      <c r="B120" s="1">
        <v>1</v>
      </c>
      <c r="C120" s="1">
        <v>3</v>
      </c>
      <c r="D120" s="2">
        <v>4</v>
      </c>
      <c r="E120" s="1">
        <v>1</v>
      </c>
      <c r="F120" s="2">
        <v>4</v>
      </c>
      <c r="G120" s="1">
        <v>3</v>
      </c>
      <c r="H120" s="2">
        <v>1</v>
      </c>
      <c r="I120" s="1">
        <v>1</v>
      </c>
      <c r="J120" s="1">
        <v>0</v>
      </c>
      <c r="L120" s="21">
        <f t="shared" si="8"/>
        <v>17</v>
      </c>
      <c r="M120" s="21">
        <f t="shared" si="9"/>
        <v>1</v>
      </c>
      <c r="N120" s="22">
        <f t="shared" si="10"/>
        <v>18</v>
      </c>
      <c r="P120" s="2">
        <v>3</v>
      </c>
      <c r="Q120" s="5">
        <v>2</v>
      </c>
      <c r="R120" s="1">
        <v>1</v>
      </c>
      <c r="S120" s="5">
        <v>0</v>
      </c>
      <c r="T120" s="1">
        <v>0</v>
      </c>
      <c r="U120" s="5">
        <v>1</v>
      </c>
      <c r="V120" s="1">
        <v>1</v>
      </c>
      <c r="W120" s="1">
        <v>0</v>
      </c>
      <c r="X120" s="23">
        <f t="shared" si="11"/>
        <v>8</v>
      </c>
    </row>
    <row r="121" spans="1:24" hidden="1">
      <c r="A121" s="11">
        <v>44677</v>
      </c>
      <c r="B121" s="1">
        <v>1</v>
      </c>
      <c r="C121" s="1">
        <v>3</v>
      </c>
      <c r="D121" s="2">
        <v>4</v>
      </c>
      <c r="E121" s="1">
        <v>1</v>
      </c>
      <c r="F121" s="2">
        <v>4</v>
      </c>
      <c r="G121" s="1">
        <v>3</v>
      </c>
      <c r="H121" s="2">
        <v>1</v>
      </c>
      <c r="I121" s="1">
        <v>1</v>
      </c>
      <c r="J121" s="1">
        <v>0</v>
      </c>
      <c r="L121" s="21">
        <f t="shared" si="8"/>
        <v>17</v>
      </c>
      <c r="M121" s="21">
        <f t="shared" si="9"/>
        <v>1</v>
      </c>
      <c r="N121" s="22">
        <f t="shared" si="10"/>
        <v>18</v>
      </c>
      <c r="P121" s="2">
        <v>3</v>
      </c>
      <c r="Q121" s="5">
        <v>2</v>
      </c>
      <c r="R121" s="1">
        <v>1</v>
      </c>
      <c r="S121" s="5">
        <v>0</v>
      </c>
      <c r="T121" s="1">
        <v>0</v>
      </c>
      <c r="U121" s="5">
        <v>1</v>
      </c>
      <c r="V121" s="1">
        <v>1</v>
      </c>
      <c r="W121" s="1">
        <v>0</v>
      </c>
      <c r="X121" s="23">
        <f t="shared" si="11"/>
        <v>8</v>
      </c>
    </row>
    <row r="122" spans="1:24" hidden="1">
      <c r="A122" s="13">
        <v>44678</v>
      </c>
      <c r="B122" s="1">
        <v>2</v>
      </c>
      <c r="C122" s="1">
        <v>3</v>
      </c>
      <c r="D122" s="2">
        <v>3</v>
      </c>
      <c r="E122" s="1">
        <v>1</v>
      </c>
      <c r="F122" s="2">
        <v>4</v>
      </c>
      <c r="G122" s="1">
        <v>3</v>
      </c>
      <c r="H122" s="2">
        <v>1</v>
      </c>
      <c r="I122" s="1">
        <v>1</v>
      </c>
      <c r="J122" s="1">
        <v>0</v>
      </c>
      <c r="L122" s="21">
        <f t="shared" si="8"/>
        <v>17</v>
      </c>
      <c r="M122" s="21">
        <f t="shared" si="9"/>
        <v>1</v>
      </c>
      <c r="N122" s="22">
        <f t="shared" si="10"/>
        <v>18</v>
      </c>
      <c r="P122" s="2">
        <v>3</v>
      </c>
      <c r="Q122" s="5">
        <v>2</v>
      </c>
      <c r="R122" s="1">
        <v>2</v>
      </c>
      <c r="S122" s="5">
        <v>2</v>
      </c>
      <c r="T122" s="1">
        <v>0</v>
      </c>
      <c r="U122" s="5">
        <v>1</v>
      </c>
      <c r="V122" s="1">
        <v>1</v>
      </c>
      <c r="W122" s="1">
        <v>0</v>
      </c>
      <c r="X122" s="23">
        <f t="shared" si="11"/>
        <v>11</v>
      </c>
    </row>
    <row r="123" spans="1:24" hidden="1">
      <c r="A123" s="11">
        <v>44679</v>
      </c>
      <c r="B123" s="1">
        <v>2</v>
      </c>
      <c r="C123" s="1">
        <v>3</v>
      </c>
      <c r="D123" s="2">
        <v>3</v>
      </c>
      <c r="E123" s="1">
        <v>1</v>
      </c>
      <c r="F123" s="2">
        <v>3</v>
      </c>
      <c r="G123" s="1">
        <v>3</v>
      </c>
      <c r="H123" s="2">
        <v>1</v>
      </c>
      <c r="I123" s="1">
        <v>2</v>
      </c>
      <c r="J123" s="1">
        <v>0</v>
      </c>
      <c r="L123" s="21">
        <f t="shared" si="8"/>
        <v>16</v>
      </c>
      <c r="M123" s="21">
        <f t="shared" si="9"/>
        <v>2</v>
      </c>
      <c r="N123" s="22">
        <f t="shared" si="10"/>
        <v>18</v>
      </c>
      <c r="P123" s="2">
        <v>3</v>
      </c>
      <c r="Q123" s="5">
        <v>2</v>
      </c>
      <c r="R123" s="1">
        <v>2</v>
      </c>
      <c r="S123" s="5">
        <v>2</v>
      </c>
      <c r="T123" s="1">
        <v>0</v>
      </c>
      <c r="U123" s="5">
        <v>1</v>
      </c>
      <c r="V123" s="1">
        <v>1</v>
      </c>
      <c r="W123" s="1">
        <v>0</v>
      </c>
      <c r="X123" s="23">
        <f t="shared" si="11"/>
        <v>11</v>
      </c>
    </row>
    <row r="124" spans="1:24" hidden="1">
      <c r="A124" s="11">
        <v>44680</v>
      </c>
      <c r="B124" s="1">
        <v>2</v>
      </c>
      <c r="C124" s="1">
        <v>3</v>
      </c>
      <c r="D124" s="2">
        <v>3</v>
      </c>
      <c r="E124" s="1">
        <v>1</v>
      </c>
      <c r="F124" s="2">
        <v>3</v>
      </c>
      <c r="G124" s="1">
        <v>3</v>
      </c>
      <c r="H124" s="2">
        <v>1</v>
      </c>
      <c r="I124" s="1">
        <v>2</v>
      </c>
      <c r="J124" s="1">
        <v>0</v>
      </c>
      <c r="L124" s="21">
        <f t="shared" si="8"/>
        <v>16</v>
      </c>
      <c r="M124" s="21">
        <f t="shared" si="9"/>
        <v>2</v>
      </c>
      <c r="N124" s="22">
        <f t="shared" si="10"/>
        <v>18</v>
      </c>
      <c r="P124" s="2">
        <v>3</v>
      </c>
      <c r="Q124" s="5">
        <v>2</v>
      </c>
      <c r="R124" s="1">
        <v>2</v>
      </c>
      <c r="S124" s="5">
        <v>2</v>
      </c>
      <c r="T124" s="1">
        <v>0</v>
      </c>
      <c r="U124" s="5">
        <v>1</v>
      </c>
      <c r="V124" s="1">
        <v>1</v>
      </c>
      <c r="W124" s="1">
        <v>0</v>
      </c>
      <c r="X124" s="23">
        <f t="shared" si="11"/>
        <v>11</v>
      </c>
    </row>
    <row r="125" spans="1:24" hidden="1">
      <c r="A125" s="12">
        <v>44681</v>
      </c>
      <c r="B125" s="1">
        <v>2</v>
      </c>
      <c r="C125" s="1">
        <v>3</v>
      </c>
      <c r="D125" s="2">
        <v>3</v>
      </c>
      <c r="E125" s="1">
        <v>1</v>
      </c>
      <c r="F125" s="2">
        <v>3</v>
      </c>
      <c r="G125" s="1">
        <v>3</v>
      </c>
      <c r="H125" s="2">
        <v>1</v>
      </c>
      <c r="I125" s="1">
        <v>2</v>
      </c>
      <c r="J125" s="1">
        <v>0</v>
      </c>
      <c r="L125" s="21">
        <f t="shared" si="8"/>
        <v>16</v>
      </c>
      <c r="M125" s="21">
        <f t="shared" si="9"/>
        <v>2</v>
      </c>
      <c r="N125" s="22">
        <f t="shared" si="10"/>
        <v>18</v>
      </c>
      <c r="P125" s="2">
        <v>3</v>
      </c>
      <c r="Q125" s="5">
        <v>2</v>
      </c>
      <c r="R125" s="1">
        <v>2</v>
      </c>
      <c r="S125" s="5">
        <v>2</v>
      </c>
      <c r="T125" s="1">
        <v>0</v>
      </c>
      <c r="U125" s="5">
        <v>1</v>
      </c>
      <c r="V125" s="1">
        <v>1</v>
      </c>
      <c r="W125" s="1">
        <v>0</v>
      </c>
      <c r="X125" s="23">
        <f t="shared" si="11"/>
        <v>11</v>
      </c>
    </row>
    <row r="126" spans="1:24" hidden="1">
      <c r="A126" s="12">
        <v>44682</v>
      </c>
      <c r="B126" s="1">
        <v>2</v>
      </c>
      <c r="C126" s="1">
        <v>3</v>
      </c>
      <c r="D126" s="2">
        <v>3</v>
      </c>
      <c r="E126" s="1">
        <v>1</v>
      </c>
      <c r="F126" s="2">
        <v>3</v>
      </c>
      <c r="G126" s="1">
        <v>3</v>
      </c>
      <c r="H126" s="2">
        <v>1</v>
      </c>
      <c r="I126" s="1">
        <v>2</v>
      </c>
      <c r="J126" s="1">
        <v>0</v>
      </c>
      <c r="L126" s="21">
        <f t="shared" si="8"/>
        <v>16</v>
      </c>
      <c r="M126" s="21">
        <f t="shared" si="9"/>
        <v>2</v>
      </c>
      <c r="N126" s="22">
        <f t="shared" si="10"/>
        <v>18</v>
      </c>
      <c r="P126" s="2">
        <v>3</v>
      </c>
      <c r="Q126" s="5">
        <v>2</v>
      </c>
      <c r="R126" s="1">
        <v>2</v>
      </c>
      <c r="S126" s="5">
        <v>2</v>
      </c>
      <c r="T126" s="1">
        <v>0</v>
      </c>
      <c r="U126" s="5">
        <v>1</v>
      </c>
      <c r="V126" s="1">
        <v>1</v>
      </c>
      <c r="W126" s="1">
        <v>0</v>
      </c>
      <c r="X126" s="23">
        <f t="shared" si="11"/>
        <v>11</v>
      </c>
    </row>
    <row r="127" spans="1:24" hidden="1">
      <c r="A127" s="11">
        <v>44683</v>
      </c>
      <c r="B127" s="1">
        <v>2</v>
      </c>
      <c r="C127" s="1">
        <v>3</v>
      </c>
      <c r="D127" s="2">
        <v>3</v>
      </c>
      <c r="E127" s="1">
        <v>1</v>
      </c>
      <c r="F127" s="2">
        <v>3</v>
      </c>
      <c r="G127" s="1">
        <v>3</v>
      </c>
      <c r="H127" s="2">
        <v>1</v>
      </c>
      <c r="I127" s="1">
        <v>2</v>
      </c>
      <c r="J127" s="1">
        <v>0</v>
      </c>
      <c r="L127" s="21">
        <f t="shared" si="8"/>
        <v>16</v>
      </c>
      <c r="M127" s="21">
        <f t="shared" si="9"/>
        <v>2</v>
      </c>
      <c r="N127" s="22">
        <f t="shared" si="10"/>
        <v>18</v>
      </c>
      <c r="P127" s="2">
        <v>3</v>
      </c>
      <c r="Q127" s="5">
        <v>2</v>
      </c>
      <c r="R127" s="1">
        <v>2</v>
      </c>
      <c r="S127" s="5">
        <v>2</v>
      </c>
      <c r="T127" s="1">
        <v>0</v>
      </c>
      <c r="U127" s="5">
        <v>1</v>
      </c>
      <c r="V127" s="1">
        <v>1</v>
      </c>
      <c r="W127" s="1">
        <v>0</v>
      </c>
      <c r="X127" s="23">
        <f t="shared" si="11"/>
        <v>11</v>
      </c>
    </row>
    <row r="128" spans="1:24" hidden="1">
      <c r="A128" s="11">
        <v>44684</v>
      </c>
      <c r="B128" s="1">
        <v>2</v>
      </c>
      <c r="C128" s="1">
        <v>3</v>
      </c>
      <c r="D128" s="2">
        <v>3</v>
      </c>
      <c r="E128" s="1">
        <v>1</v>
      </c>
      <c r="F128" s="2">
        <v>3</v>
      </c>
      <c r="G128" s="1">
        <v>3</v>
      </c>
      <c r="H128" s="2">
        <v>1</v>
      </c>
      <c r="I128" s="1">
        <v>2</v>
      </c>
      <c r="J128" s="1">
        <v>0</v>
      </c>
      <c r="L128" s="21">
        <f t="shared" si="8"/>
        <v>16</v>
      </c>
      <c r="M128" s="21">
        <f t="shared" si="9"/>
        <v>2</v>
      </c>
      <c r="N128" s="22">
        <f t="shared" si="10"/>
        <v>18</v>
      </c>
      <c r="P128" s="2">
        <v>3</v>
      </c>
      <c r="Q128" s="5">
        <v>2</v>
      </c>
      <c r="R128" s="1">
        <v>2</v>
      </c>
      <c r="S128" s="5">
        <v>2</v>
      </c>
      <c r="T128" s="1">
        <v>0</v>
      </c>
      <c r="U128" s="5">
        <v>1</v>
      </c>
      <c r="V128" s="1">
        <v>1</v>
      </c>
      <c r="W128" s="1">
        <v>0</v>
      </c>
      <c r="X128" s="23">
        <f t="shared" si="11"/>
        <v>11</v>
      </c>
    </row>
    <row r="129" spans="1:24" hidden="1">
      <c r="A129" s="13">
        <v>44685</v>
      </c>
      <c r="B129" s="1">
        <v>2</v>
      </c>
      <c r="C129" s="1">
        <v>3</v>
      </c>
      <c r="D129" s="2">
        <v>4</v>
      </c>
      <c r="E129" s="1">
        <v>0</v>
      </c>
      <c r="F129" s="2">
        <v>3</v>
      </c>
      <c r="G129" s="1">
        <v>2</v>
      </c>
      <c r="H129" s="2">
        <v>2</v>
      </c>
      <c r="I129" s="1">
        <v>1</v>
      </c>
      <c r="J129" s="1">
        <v>0</v>
      </c>
      <c r="L129" s="21">
        <f t="shared" si="8"/>
        <v>16</v>
      </c>
      <c r="M129" s="21">
        <f t="shared" si="9"/>
        <v>1</v>
      </c>
      <c r="N129" s="22">
        <f t="shared" si="10"/>
        <v>17</v>
      </c>
      <c r="P129" s="2">
        <v>3</v>
      </c>
      <c r="Q129" s="5">
        <v>2</v>
      </c>
      <c r="R129" s="1">
        <v>2</v>
      </c>
      <c r="S129" s="5">
        <v>1</v>
      </c>
      <c r="T129" s="1">
        <v>0</v>
      </c>
      <c r="U129" s="5">
        <v>2</v>
      </c>
      <c r="V129" s="1">
        <v>1</v>
      </c>
      <c r="W129" s="1">
        <v>0</v>
      </c>
      <c r="X129" s="23">
        <f t="shared" si="11"/>
        <v>11</v>
      </c>
    </row>
    <row r="130" spans="1:24" hidden="1">
      <c r="A130" s="11">
        <v>44686</v>
      </c>
      <c r="B130" s="1">
        <v>2</v>
      </c>
      <c r="C130" s="1">
        <v>3</v>
      </c>
      <c r="D130" s="2">
        <v>4</v>
      </c>
      <c r="E130" s="1">
        <v>0</v>
      </c>
      <c r="F130" s="2">
        <v>3</v>
      </c>
      <c r="G130" s="1">
        <v>2</v>
      </c>
      <c r="H130" s="2">
        <v>2</v>
      </c>
      <c r="I130" s="1">
        <v>1</v>
      </c>
      <c r="J130" s="1">
        <v>0</v>
      </c>
      <c r="L130" s="21">
        <f t="shared" si="8"/>
        <v>16</v>
      </c>
      <c r="M130" s="21">
        <f t="shared" si="9"/>
        <v>1</v>
      </c>
      <c r="N130" s="22">
        <f t="shared" si="10"/>
        <v>17</v>
      </c>
      <c r="P130" s="2">
        <v>2</v>
      </c>
      <c r="Q130" s="5">
        <v>2</v>
      </c>
      <c r="R130" s="1">
        <v>2</v>
      </c>
      <c r="S130" s="5">
        <v>1</v>
      </c>
      <c r="T130" s="1">
        <v>0</v>
      </c>
      <c r="U130" s="5">
        <v>2</v>
      </c>
      <c r="V130" s="1">
        <v>1</v>
      </c>
      <c r="W130" s="1">
        <v>0</v>
      </c>
      <c r="X130" s="23">
        <f t="shared" si="11"/>
        <v>10</v>
      </c>
    </row>
    <row r="131" spans="1:24" hidden="1">
      <c r="A131" s="11">
        <v>44687</v>
      </c>
      <c r="B131" s="1">
        <v>2</v>
      </c>
      <c r="C131" s="1">
        <v>3</v>
      </c>
      <c r="D131" s="2">
        <v>4</v>
      </c>
      <c r="E131" s="1">
        <v>0</v>
      </c>
      <c r="F131" s="2">
        <v>3</v>
      </c>
      <c r="G131" s="1">
        <v>2</v>
      </c>
      <c r="H131" s="2">
        <v>2</v>
      </c>
      <c r="I131" s="1">
        <v>1</v>
      </c>
      <c r="J131" s="1">
        <v>0</v>
      </c>
      <c r="L131" s="21">
        <f t="shared" si="8"/>
        <v>16</v>
      </c>
      <c r="M131" s="21">
        <f t="shared" si="9"/>
        <v>1</v>
      </c>
      <c r="N131" s="22">
        <f t="shared" si="10"/>
        <v>17</v>
      </c>
      <c r="P131" s="2">
        <v>3</v>
      </c>
      <c r="Q131" s="5">
        <v>2</v>
      </c>
      <c r="R131" s="1">
        <v>2</v>
      </c>
      <c r="S131" s="5">
        <v>1</v>
      </c>
      <c r="T131" s="1">
        <v>0</v>
      </c>
      <c r="U131" s="5">
        <v>2</v>
      </c>
      <c r="V131" s="1">
        <v>1</v>
      </c>
      <c r="W131" s="1">
        <v>0</v>
      </c>
      <c r="X131" s="23">
        <f t="shared" si="11"/>
        <v>11</v>
      </c>
    </row>
    <row r="132" spans="1:24" hidden="1">
      <c r="A132" s="12">
        <v>44688</v>
      </c>
      <c r="B132" s="1">
        <v>2</v>
      </c>
      <c r="C132" s="1">
        <v>3</v>
      </c>
      <c r="D132" s="2">
        <v>4</v>
      </c>
      <c r="E132" s="1">
        <v>0</v>
      </c>
      <c r="F132" s="2">
        <v>3</v>
      </c>
      <c r="G132" s="1">
        <v>2</v>
      </c>
      <c r="H132" s="2">
        <v>2</v>
      </c>
      <c r="I132" s="1">
        <v>1</v>
      </c>
      <c r="J132" s="1">
        <v>0</v>
      </c>
      <c r="L132" s="21">
        <f t="shared" si="8"/>
        <v>16</v>
      </c>
      <c r="M132" s="21">
        <f t="shared" si="9"/>
        <v>1</v>
      </c>
      <c r="N132" s="22">
        <f t="shared" si="10"/>
        <v>17</v>
      </c>
      <c r="P132" s="2">
        <v>3</v>
      </c>
      <c r="Q132" s="5">
        <v>2</v>
      </c>
      <c r="R132" s="1">
        <v>2</v>
      </c>
      <c r="S132" s="5">
        <v>1</v>
      </c>
      <c r="T132" s="1">
        <v>0</v>
      </c>
      <c r="U132" s="5">
        <v>2</v>
      </c>
      <c r="V132" s="1">
        <v>1</v>
      </c>
      <c r="W132" s="1">
        <v>0</v>
      </c>
      <c r="X132" s="23">
        <f t="shared" si="11"/>
        <v>11</v>
      </c>
    </row>
    <row r="133" spans="1:24" hidden="1">
      <c r="A133" s="12">
        <v>44689</v>
      </c>
      <c r="B133" s="1">
        <v>2</v>
      </c>
      <c r="C133" s="1">
        <v>3</v>
      </c>
      <c r="D133" s="2">
        <v>4</v>
      </c>
      <c r="E133" s="1">
        <v>0</v>
      </c>
      <c r="F133" s="2">
        <v>3</v>
      </c>
      <c r="G133" s="1">
        <v>2</v>
      </c>
      <c r="H133" s="2">
        <v>2</v>
      </c>
      <c r="I133" s="1">
        <v>1</v>
      </c>
      <c r="J133" s="1">
        <v>0</v>
      </c>
      <c r="L133" s="21">
        <f t="shared" si="8"/>
        <v>16</v>
      </c>
      <c r="M133" s="21">
        <f t="shared" si="9"/>
        <v>1</v>
      </c>
      <c r="N133" s="22">
        <f t="shared" si="10"/>
        <v>17</v>
      </c>
      <c r="P133" s="2">
        <v>3</v>
      </c>
      <c r="Q133" s="5">
        <v>1</v>
      </c>
      <c r="R133" s="1">
        <v>2</v>
      </c>
      <c r="S133" s="5">
        <v>1</v>
      </c>
      <c r="T133" s="1">
        <v>0</v>
      </c>
      <c r="U133" s="5">
        <v>2</v>
      </c>
      <c r="V133" s="1">
        <v>1</v>
      </c>
      <c r="W133" s="1">
        <v>0</v>
      </c>
      <c r="X133" s="23">
        <f t="shared" si="11"/>
        <v>10</v>
      </c>
    </row>
    <row r="134" spans="1:24" hidden="1">
      <c r="A134" s="11">
        <v>44690</v>
      </c>
      <c r="B134" s="1">
        <v>2</v>
      </c>
      <c r="C134" s="1">
        <v>3</v>
      </c>
      <c r="D134" s="2">
        <v>4</v>
      </c>
      <c r="E134" s="1">
        <v>0</v>
      </c>
      <c r="F134" s="2">
        <v>3</v>
      </c>
      <c r="G134" s="1">
        <v>2</v>
      </c>
      <c r="H134" s="2">
        <v>2</v>
      </c>
      <c r="I134" s="1">
        <v>1</v>
      </c>
      <c r="J134" s="1">
        <v>0</v>
      </c>
      <c r="L134" s="21">
        <f t="shared" si="8"/>
        <v>16</v>
      </c>
      <c r="M134" s="21">
        <f t="shared" si="9"/>
        <v>1</v>
      </c>
      <c r="N134" s="22">
        <f t="shared" si="10"/>
        <v>17</v>
      </c>
      <c r="P134" s="2">
        <v>3</v>
      </c>
      <c r="Q134" s="5">
        <v>1</v>
      </c>
      <c r="R134" s="1">
        <v>2</v>
      </c>
      <c r="S134" s="5">
        <v>1</v>
      </c>
      <c r="T134" s="1">
        <v>0</v>
      </c>
      <c r="U134" s="5">
        <v>2</v>
      </c>
      <c r="V134" s="1">
        <v>1</v>
      </c>
      <c r="W134" s="1">
        <v>0</v>
      </c>
      <c r="X134" s="23">
        <f t="shared" si="11"/>
        <v>10</v>
      </c>
    </row>
    <row r="135" spans="1:24" hidden="1">
      <c r="A135" s="11">
        <v>44691</v>
      </c>
      <c r="B135" s="1">
        <v>2</v>
      </c>
      <c r="C135" s="1">
        <v>3</v>
      </c>
      <c r="D135" s="2">
        <v>4</v>
      </c>
      <c r="E135" s="1">
        <v>0</v>
      </c>
      <c r="F135" s="2">
        <v>3</v>
      </c>
      <c r="G135" s="1">
        <v>2</v>
      </c>
      <c r="H135" s="2">
        <v>2</v>
      </c>
      <c r="I135" s="1">
        <v>1</v>
      </c>
      <c r="J135" s="1">
        <v>0</v>
      </c>
      <c r="L135" s="21">
        <f t="shared" ref="L135:L198" si="12">SUM(B135,C135,D135,E135,F135,G135,H135)</f>
        <v>16</v>
      </c>
      <c r="M135" s="21">
        <f t="shared" ref="M135:M198" si="13">SUM(I135,J135)</f>
        <v>1</v>
      </c>
      <c r="N135" s="22">
        <f t="shared" ref="N135:N198" si="14">SUM(L135:M135)</f>
        <v>17</v>
      </c>
      <c r="P135" s="2">
        <v>3</v>
      </c>
      <c r="Q135" s="5">
        <v>1</v>
      </c>
      <c r="R135" s="1">
        <v>2</v>
      </c>
      <c r="S135" s="5">
        <v>1</v>
      </c>
      <c r="T135" s="1">
        <v>0</v>
      </c>
      <c r="U135" s="5">
        <v>2</v>
      </c>
      <c r="V135" s="1">
        <v>1</v>
      </c>
      <c r="W135" s="1">
        <v>0</v>
      </c>
      <c r="X135" s="23">
        <f t="shared" si="11"/>
        <v>10</v>
      </c>
    </row>
    <row r="136" spans="1:24" hidden="1">
      <c r="A136" s="13">
        <v>44692</v>
      </c>
      <c r="B136" s="1">
        <v>1</v>
      </c>
      <c r="C136" s="1">
        <v>3</v>
      </c>
      <c r="D136" s="2">
        <v>3</v>
      </c>
      <c r="E136" s="1">
        <v>1</v>
      </c>
      <c r="F136" s="2">
        <v>3</v>
      </c>
      <c r="G136" s="1">
        <v>3</v>
      </c>
      <c r="H136" s="2">
        <v>2</v>
      </c>
      <c r="I136" s="1">
        <v>1</v>
      </c>
      <c r="J136" s="1">
        <v>0</v>
      </c>
      <c r="L136" s="21">
        <f t="shared" si="12"/>
        <v>16</v>
      </c>
      <c r="M136" s="21">
        <f t="shared" si="13"/>
        <v>1</v>
      </c>
      <c r="N136" s="22">
        <f t="shared" si="14"/>
        <v>17</v>
      </c>
      <c r="P136" s="2">
        <v>3</v>
      </c>
      <c r="Q136" s="5">
        <v>2</v>
      </c>
      <c r="R136" s="1">
        <v>1</v>
      </c>
      <c r="S136" s="5">
        <v>2</v>
      </c>
      <c r="T136" s="1">
        <v>0</v>
      </c>
      <c r="U136" s="5">
        <v>1</v>
      </c>
      <c r="V136" s="1">
        <v>1</v>
      </c>
      <c r="W136" s="1">
        <v>0</v>
      </c>
      <c r="X136" s="23">
        <f t="shared" si="11"/>
        <v>10</v>
      </c>
    </row>
    <row r="137" spans="1:24" hidden="1">
      <c r="A137" s="11">
        <v>44693</v>
      </c>
      <c r="B137" s="1">
        <v>1</v>
      </c>
      <c r="C137" s="1">
        <v>3</v>
      </c>
      <c r="D137" s="2">
        <v>3</v>
      </c>
      <c r="E137" s="1">
        <v>1</v>
      </c>
      <c r="F137" s="2">
        <v>3</v>
      </c>
      <c r="G137" s="1">
        <v>3</v>
      </c>
      <c r="H137" s="2">
        <v>2</v>
      </c>
      <c r="I137" s="1">
        <v>1</v>
      </c>
      <c r="J137" s="1">
        <v>0</v>
      </c>
      <c r="L137" s="21">
        <f t="shared" si="12"/>
        <v>16</v>
      </c>
      <c r="M137" s="21">
        <f t="shared" si="13"/>
        <v>1</v>
      </c>
      <c r="N137" s="22">
        <f t="shared" si="14"/>
        <v>17</v>
      </c>
      <c r="P137" s="2">
        <v>3</v>
      </c>
      <c r="Q137" s="5">
        <v>2</v>
      </c>
      <c r="R137" s="1">
        <v>1</v>
      </c>
      <c r="S137" s="5">
        <v>2</v>
      </c>
      <c r="T137" s="1">
        <v>0</v>
      </c>
      <c r="U137" s="5">
        <v>1</v>
      </c>
      <c r="V137" s="1">
        <v>1</v>
      </c>
      <c r="W137" s="1">
        <v>0</v>
      </c>
      <c r="X137" s="23">
        <f t="shared" si="11"/>
        <v>10</v>
      </c>
    </row>
    <row r="138" spans="1:24" hidden="1">
      <c r="A138" s="11">
        <v>44694</v>
      </c>
      <c r="B138" s="1">
        <v>1</v>
      </c>
      <c r="C138" s="1">
        <v>3</v>
      </c>
      <c r="D138" s="2">
        <v>3</v>
      </c>
      <c r="E138" s="1">
        <v>1</v>
      </c>
      <c r="F138" s="2">
        <v>3</v>
      </c>
      <c r="G138" s="1">
        <v>3</v>
      </c>
      <c r="H138" s="2">
        <v>2</v>
      </c>
      <c r="I138" s="1">
        <v>1</v>
      </c>
      <c r="J138" s="1">
        <v>0</v>
      </c>
      <c r="L138" s="21">
        <f t="shared" si="12"/>
        <v>16</v>
      </c>
      <c r="M138" s="21">
        <f t="shared" si="13"/>
        <v>1</v>
      </c>
      <c r="N138" s="22">
        <f t="shared" si="14"/>
        <v>17</v>
      </c>
      <c r="P138" s="2">
        <v>3</v>
      </c>
      <c r="Q138" s="5">
        <v>2</v>
      </c>
      <c r="R138" s="1">
        <v>1</v>
      </c>
      <c r="S138" s="5">
        <v>2</v>
      </c>
      <c r="T138" s="1">
        <v>0</v>
      </c>
      <c r="U138" s="5">
        <v>1</v>
      </c>
      <c r="V138" s="1">
        <v>1</v>
      </c>
      <c r="W138" s="1">
        <v>0</v>
      </c>
      <c r="X138" s="23">
        <f t="shared" si="11"/>
        <v>10</v>
      </c>
    </row>
    <row r="139" spans="1:24" hidden="1">
      <c r="A139" s="12">
        <v>44695</v>
      </c>
      <c r="B139" s="1">
        <v>1</v>
      </c>
      <c r="C139" s="1">
        <v>3</v>
      </c>
      <c r="D139" s="2">
        <v>3</v>
      </c>
      <c r="E139" s="1">
        <v>1</v>
      </c>
      <c r="F139" s="2">
        <v>3</v>
      </c>
      <c r="G139" s="1">
        <v>3</v>
      </c>
      <c r="H139" s="2">
        <v>2</v>
      </c>
      <c r="I139" s="1">
        <v>1</v>
      </c>
      <c r="J139" s="1">
        <v>0</v>
      </c>
      <c r="L139" s="21">
        <f t="shared" si="12"/>
        <v>16</v>
      </c>
      <c r="M139" s="21">
        <f t="shared" si="13"/>
        <v>1</v>
      </c>
      <c r="N139" s="22">
        <f t="shared" si="14"/>
        <v>17</v>
      </c>
      <c r="P139" s="2">
        <v>3</v>
      </c>
      <c r="Q139" s="5">
        <v>2</v>
      </c>
      <c r="R139" s="1">
        <v>1</v>
      </c>
      <c r="S139" s="5">
        <v>2</v>
      </c>
      <c r="T139" s="1">
        <v>0</v>
      </c>
      <c r="U139" s="5">
        <v>1</v>
      </c>
      <c r="V139" s="1">
        <v>1</v>
      </c>
      <c r="W139" s="1">
        <v>0</v>
      </c>
      <c r="X139" s="23">
        <f t="shared" si="11"/>
        <v>10</v>
      </c>
    </row>
    <row r="140" spans="1:24" hidden="1">
      <c r="A140" s="12">
        <v>44696</v>
      </c>
      <c r="B140" s="1">
        <v>1</v>
      </c>
      <c r="C140" s="1">
        <v>3</v>
      </c>
      <c r="D140" s="2">
        <v>3</v>
      </c>
      <c r="E140" s="1">
        <v>1</v>
      </c>
      <c r="F140" s="2">
        <v>3</v>
      </c>
      <c r="G140" s="1">
        <v>3</v>
      </c>
      <c r="H140" s="2">
        <v>2</v>
      </c>
      <c r="I140" s="1">
        <v>1</v>
      </c>
      <c r="J140" s="1">
        <v>0</v>
      </c>
      <c r="L140" s="21">
        <f t="shared" si="12"/>
        <v>16</v>
      </c>
      <c r="M140" s="21">
        <f t="shared" si="13"/>
        <v>1</v>
      </c>
      <c r="N140" s="22">
        <f t="shared" si="14"/>
        <v>17</v>
      </c>
      <c r="P140" s="2">
        <v>3</v>
      </c>
      <c r="Q140" s="5">
        <v>2</v>
      </c>
      <c r="R140" s="1">
        <v>1</v>
      </c>
      <c r="S140" s="5">
        <v>2</v>
      </c>
      <c r="T140" s="1">
        <v>0</v>
      </c>
      <c r="U140" s="5">
        <v>1</v>
      </c>
      <c r="V140" s="1">
        <v>1</v>
      </c>
      <c r="W140" s="1">
        <v>0</v>
      </c>
      <c r="X140" s="23">
        <f t="shared" si="11"/>
        <v>10</v>
      </c>
    </row>
    <row r="141" spans="1:24" hidden="1">
      <c r="A141" s="11">
        <v>44697</v>
      </c>
      <c r="B141" s="1">
        <v>1</v>
      </c>
      <c r="C141" s="1">
        <v>3</v>
      </c>
      <c r="D141" s="2">
        <v>3</v>
      </c>
      <c r="E141" s="1">
        <v>1</v>
      </c>
      <c r="F141" s="2">
        <v>3</v>
      </c>
      <c r="G141" s="1">
        <v>3</v>
      </c>
      <c r="H141" s="2">
        <v>2</v>
      </c>
      <c r="I141" s="1">
        <v>1</v>
      </c>
      <c r="J141" s="1">
        <v>0</v>
      </c>
      <c r="L141" s="21">
        <f t="shared" si="12"/>
        <v>16</v>
      </c>
      <c r="M141" s="21">
        <f t="shared" si="13"/>
        <v>1</v>
      </c>
      <c r="N141" s="22">
        <f t="shared" si="14"/>
        <v>17</v>
      </c>
      <c r="P141" s="2">
        <v>3</v>
      </c>
      <c r="Q141" s="5">
        <v>2</v>
      </c>
      <c r="R141" s="1">
        <v>1</v>
      </c>
      <c r="S141" s="5">
        <v>2</v>
      </c>
      <c r="T141" s="1">
        <v>0</v>
      </c>
      <c r="U141" s="5">
        <v>1</v>
      </c>
      <c r="V141" s="1">
        <v>1</v>
      </c>
      <c r="W141" s="1">
        <v>0</v>
      </c>
      <c r="X141" s="23">
        <f t="shared" si="11"/>
        <v>10</v>
      </c>
    </row>
    <row r="142" spans="1:24" hidden="1">
      <c r="A142" s="11">
        <v>44698</v>
      </c>
      <c r="B142" s="1">
        <v>1</v>
      </c>
      <c r="C142" s="1">
        <v>3</v>
      </c>
      <c r="D142" s="2">
        <v>3</v>
      </c>
      <c r="E142" s="1">
        <v>1</v>
      </c>
      <c r="F142" s="2">
        <v>3</v>
      </c>
      <c r="G142" s="1">
        <v>3</v>
      </c>
      <c r="H142" s="2">
        <v>2</v>
      </c>
      <c r="I142" s="1">
        <v>1</v>
      </c>
      <c r="J142" s="1">
        <v>0</v>
      </c>
      <c r="L142" s="21">
        <f t="shared" si="12"/>
        <v>16</v>
      </c>
      <c r="M142" s="21">
        <f t="shared" si="13"/>
        <v>1</v>
      </c>
      <c r="N142" s="22">
        <f t="shared" si="14"/>
        <v>17</v>
      </c>
      <c r="P142" s="2">
        <v>3</v>
      </c>
      <c r="Q142" s="5">
        <v>2</v>
      </c>
      <c r="R142" s="1">
        <v>1</v>
      </c>
      <c r="S142" s="5">
        <v>2</v>
      </c>
      <c r="T142" s="1">
        <v>0</v>
      </c>
      <c r="U142" s="5">
        <v>1</v>
      </c>
      <c r="V142" s="1">
        <v>1</v>
      </c>
      <c r="W142" s="1">
        <v>0</v>
      </c>
      <c r="X142" s="23">
        <f t="shared" si="11"/>
        <v>10</v>
      </c>
    </row>
    <row r="143" spans="1:24" hidden="1">
      <c r="A143" s="13">
        <v>44699</v>
      </c>
      <c r="B143" s="1">
        <v>1</v>
      </c>
      <c r="C143" s="1">
        <v>2</v>
      </c>
      <c r="D143" s="2">
        <v>3</v>
      </c>
      <c r="E143" s="1">
        <v>1</v>
      </c>
      <c r="F143" s="2">
        <v>4</v>
      </c>
      <c r="G143" s="1">
        <v>4</v>
      </c>
      <c r="H143" s="2">
        <v>2</v>
      </c>
      <c r="I143" s="1">
        <v>1</v>
      </c>
      <c r="J143" s="1">
        <v>0</v>
      </c>
      <c r="L143" s="21">
        <f t="shared" si="12"/>
        <v>17</v>
      </c>
      <c r="M143" s="21">
        <f t="shared" si="13"/>
        <v>1</v>
      </c>
      <c r="N143" s="22">
        <f t="shared" si="14"/>
        <v>18</v>
      </c>
      <c r="P143" s="2">
        <v>3</v>
      </c>
      <c r="Q143" s="5">
        <v>2</v>
      </c>
      <c r="R143" s="1">
        <v>2</v>
      </c>
      <c r="S143" s="5">
        <v>2</v>
      </c>
      <c r="T143" s="1">
        <v>0</v>
      </c>
      <c r="U143" s="5">
        <v>1</v>
      </c>
      <c r="V143" s="1">
        <v>0</v>
      </c>
      <c r="W143" s="1">
        <v>0</v>
      </c>
      <c r="X143" s="23">
        <f t="shared" si="11"/>
        <v>10</v>
      </c>
    </row>
    <row r="144" spans="1:24" hidden="1">
      <c r="A144" s="11">
        <v>44700</v>
      </c>
      <c r="B144" s="1">
        <v>1</v>
      </c>
      <c r="C144" s="1">
        <v>2</v>
      </c>
      <c r="D144" s="2">
        <v>3</v>
      </c>
      <c r="E144" s="1">
        <v>1</v>
      </c>
      <c r="F144" s="2">
        <v>4</v>
      </c>
      <c r="G144" s="1">
        <v>4</v>
      </c>
      <c r="H144" s="2">
        <v>2</v>
      </c>
      <c r="I144" s="1">
        <v>1</v>
      </c>
      <c r="J144" s="1">
        <v>0</v>
      </c>
      <c r="L144" s="21">
        <f t="shared" si="12"/>
        <v>17</v>
      </c>
      <c r="M144" s="21">
        <f t="shared" si="13"/>
        <v>1</v>
      </c>
      <c r="N144" s="22">
        <f t="shared" si="14"/>
        <v>18</v>
      </c>
      <c r="P144" s="2">
        <v>3</v>
      </c>
      <c r="Q144" s="5">
        <v>2</v>
      </c>
      <c r="R144" s="1">
        <v>2</v>
      </c>
      <c r="S144" s="5">
        <v>2</v>
      </c>
      <c r="T144" s="1">
        <v>0</v>
      </c>
      <c r="U144" s="5">
        <v>1</v>
      </c>
      <c r="V144" s="1">
        <v>0</v>
      </c>
      <c r="W144" s="1">
        <v>0</v>
      </c>
      <c r="X144" s="23">
        <f t="shared" si="11"/>
        <v>10</v>
      </c>
    </row>
    <row r="145" spans="1:24" hidden="1">
      <c r="A145" s="11">
        <v>44701</v>
      </c>
      <c r="B145" s="1">
        <v>1</v>
      </c>
      <c r="C145" s="1">
        <v>2</v>
      </c>
      <c r="D145" s="2">
        <v>3</v>
      </c>
      <c r="E145" s="1">
        <v>1</v>
      </c>
      <c r="F145" s="2">
        <v>4</v>
      </c>
      <c r="G145" s="1">
        <v>4</v>
      </c>
      <c r="H145" s="2">
        <v>2</v>
      </c>
      <c r="I145" s="1">
        <v>1</v>
      </c>
      <c r="J145" s="1">
        <v>0</v>
      </c>
      <c r="L145" s="21">
        <f t="shared" si="12"/>
        <v>17</v>
      </c>
      <c r="M145" s="21">
        <f t="shared" si="13"/>
        <v>1</v>
      </c>
      <c r="N145" s="22">
        <f t="shared" si="14"/>
        <v>18</v>
      </c>
      <c r="P145" s="2">
        <v>3</v>
      </c>
      <c r="Q145" s="5">
        <v>2</v>
      </c>
      <c r="R145" s="1">
        <v>2</v>
      </c>
      <c r="S145" s="5">
        <v>2</v>
      </c>
      <c r="T145" s="1">
        <v>0</v>
      </c>
      <c r="U145" s="5">
        <v>1</v>
      </c>
      <c r="V145" s="1">
        <v>0</v>
      </c>
      <c r="W145" s="1">
        <v>0</v>
      </c>
      <c r="X145" s="23">
        <f t="shared" si="11"/>
        <v>10</v>
      </c>
    </row>
    <row r="146" spans="1:24" hidden="1">
      <c r="A146" s="12">
        <v>44702</v>
      </c>
      <c r="B146" s="1">
        <v>1</v>
      </c>
      <c r="C146" s="1">
        <v>2</v>
      </c>
      <c r="D146" s="2">
        <v>3</v>
      </c>
      <c r="E146" s="1">
        <v>1</v>
      </c>
      <c r="F146" s="2">
        <v>4</v>
      </c>
      <c r="G146" s="1">
        <v>4</v>
      </c>
      <c r="H146" s="2">
        <v>2</v>
      </c>
      <c r="I146" s="1">
        <v>1</v>
      </c>
      <c r="J146" s="1">
        <v>0</v>
      </c>
      <c r="L146" s="21">
        <f t="shared" si="12"/>
        <v>17</v>
      </c>
      <c r="M146" s="21">
        <f t="shared" si="13"/>
        <v>1</v>
      </c>
      <c r="N146" s="22">
        <f t="shared" si="14"/>
        <v>18</v>
      </c>
      <c r="P146" s="2">
        <v>3</v>
      </c>
      <c r="Q146" s="5">
        <v>2</v>
      </c>
      <c r="R146" s="1">
        <v>2</v>
      </c>
      <c r="S146" s="5">
        <v>2</v>
      </c>
      <c r="T146" s="1">
        <v>0</v>
      </c>
      <c r="U146" s="5">
        <v>1</v>
      </c>
      <c r="V146" s="1">
        <v>0</v>
      </c>
      <c r="W146" s="1">
        <v>0</v>
      </c>
      <c r="X146" s="23">
        <f t="shared" si="11"/>
        <v>10</v>
      </c>
    </row>
    <row r="147" spans="1:24" hidden="1">
      <c r="A147" s="12">
        <v>44703</v>
      </c>
      <c r="B147" s="1">
        <v>1</v>
      </c>
      <c r="C147" s="1">
        <v>2</v>
      </c>
      <c r="D147" s="2">
        <v>3</v>
      </c>
      <c r="E147" s="1">
        <v>1</v>
      </c>
      <c r="F147" s="2">
        <v>4</v>
      </c>
      <c r="G147" s="1">
        <v>3</v>
      </c>
      <c r="H147" s="2">
        <v>2</v>
      </c>
      <c r="I147" s="1">
        <v>1</v>
      </c>
      <c r="J147" s="1">
        <v>0</v>
      </c>
      <c r="L147" s="21">
        <f t="shared" si="12"/>
        <v>16</v>
      </c>
      <c r="M147" s="21">
        <f t="shared" si="13"/>
        <v>1</v>
      </c>
      <c r="N147" s="22">
        <f t="shared" si="14"/>
        <v>17</v>
      </c>
      <c r="P147" s="2">
        <v>3</v>
      </c>
      <c r="Q147" s="5">
        <v>2</v>
      </c>
      <c r="R147" s="1">
        <v>2</v>
      </c>
      <c r="S147" s="5">
        <v>2</v>
      </c>
      <c r="T147" s="1">
        <v>0</v>
      </c>
      <c r="U147" s="5">
        <v>1</v>
      </c>
      <c r="V147" s="1">
        <v>0</v>
      </c>
      <c r="W147" s="1">
        <v>0</v>
      </c>
      <c r="X147" s="23">
        <f t="shared" si="11"/>
        <v>10</v>
      </c>
    </row>
    <row r="148" spans="1:24" hidden="1">
      <c r="A148" s="11">
        <v>44704</v>
      </c>
      <c r="B148" s="1">
        <v>1</v>
      </c>
      <c r="C148" s="1">
        <v>2</v>
      </c>
      <c r="D148" s="2">
        <v>3</v>
      </c>
      <c r="E148" s="1">
        <v>1</v>
      </c>
      <c r="F148" s="2">
        <v>4</v>
      </c>
      <c r="G148" s="1">
        <v>3</v>
      </c>
      <c r="H148" s="2">
        <v>2</v>
      </c>
      <c r="I148" s="1">
        <v>1</v>
      </c>
      <c r="J148" s="1">
        <v>0</v>
      </c>
      <c r="L148" s="21">
        <f t="shared" si="12"/>
        <v>16</v>
      </c>
      <c r="M148" s="21">
        <f t="shared" si="13"/>
        <v>1</v>
      </c>
      <c r="N148" s="22">
        <f t="shared" si="14"/>
        <v>17</v>
      </c>
      <c r="P148" s="2">
        <v>3</v>
      </c>
      <c r="Q148" s="5">
        <v>2</v>
      </c>
      <c r="R148" s="1">
        <v>2</v>
      </c>
      <c r="S148" s="5">
        <v>2</v>
      </c>
      <c r="T148" s="1">
        <v>0</v>
      </c>
      <c r="U148" s="5">
        <v>1</v>
      </c>
      <c r="V148" s="1">
        <v>0</v>
      </c>
      <c r="W148" s="1">
        <v>0</v>
      </c>
      <c r="X148" s="23">
        <f t="shared" si="11"/>
        <v>10</v>
      </c>
    </row>
    <row r="149" spans="1:24" hidden="1">
      <c r="A149" s="11">
        <v>44705</v>
      </c>
      <c r="B149" s="1">
        <v>2</v>
      </c>
      <c r="C149" s="1">
        <v>2</v>
      </c>
      <c r="D149" s="2">
        <v>3</v>
      </c>
      <c r="E149" s="1">
        <v>1</v>
      </c>
      <c r="F149" s="2">
        <v>4</v>
      </c>
      <c r="G149" s="1">
        <v>3</v>
      </c>
      <c r="H149" s="2">
        <v>2</v>
      </c>
      <c r="I149" s="1">
        <v>1</v>
      </c>
      <c r="J149" s="1">
        <v>0</v>
      </c>
      <c r="L149" s="21">
        <f t="shared" si="12"/>
        <v>17</v>
      </c>
      <c r="M149" s="21">
        <f t="shared" si="13"/>
        <v>1</v>
      </c>
      <c r="N149" s="22">
        <f t="shared" si="14"/>
        <v>18</v>
      </c>
      <c r="P149" s="2">
        <v>3</v>
      </c>
      <c r="Q149" s="5">
        <v>2</v>
      </c>
      <c r="R149" s="1">
        <v>2</v>
      </c>
      <c r="S149" s="5">
        <v>2</v>
      </c>
      <c r="T149" s="1">
        <v>0</v>
      </c>
      <c r="U149" s="5">
        <v>1</v>
      </c>
      <c r="V149" s="1">
        <v>0</v>
      </c>
      <c r="W149" s="1">
        <v>0</v>
      </c>
      <c r="X149" s="23">
        <f t="shared" si="11"/>
        <v>10</v>
      </c>
    </row>
    <row r="150" spans="1:24" hidden="1">
      <c r="A150" s="13">
        <v>44706</v>
      </c>
      <c r="B150" s="1">
        <v>3</v>
      </c>
      <c r="C150" s="1">
        <v>2</v>
      </c>
      <c r="D150" s="2">
        <v>4</v>
      </c>
      <c r="E150" s="1">
        <v>0</v>
      </c>
      <c r="F150" s="2">
        <v>3</v>
      </c>
      <c r="G150" s="1">
        <v>3</v>
      </c>
      <c r="H150" s="2">
        <v>1</v>
      </c>
      <c r="I150" s="1">
        <v>0</v>
      </c>
      <c r="J150" s="1">
        <v>2</v>
      </c>
      <c r="L150" s="21">
        <f t="shared" si="12"/>
        <v>16</v>
      </c>
      <c r="M150" s="21">
        <f t="shared" si="13"/>
        <v>2</v>
      </c>
      <c r="N150" s="22">
        <f t="shared" si="14"/>
        <v>18</v>
      </c>
      <c r="P150" s="2">
        <v>3</v>
      </c>
      <c r="Q150" s="5">
        <v>2</v>
      </c>
      <c r="R150" s="1">
        <v>2</v>
      </c>
      <c r="S150" s="5">
        <v>2</v>
      </c>
      <c r="T150" s="1">
        <v>0</v>
      </c>
      <c r="U150" s="5">
        <v>1</v>
      </c>
      <c r="V150" s="1">
        <v>0</v>
      </c>
      <c r="W150" s="1">
        <v>0</v>
      </c>
      <c r="X150" s="23">
        <f t="shared" si="11"/>
        <v>10</v>
      </c>
    </row>
    <row r="151" spans="1:24" hidden="1">
      <c r="A151" s="11">
        <v>44707</v>
      </c>
      <c r="B151" s="1">
        <v>3</v>
      </c>
      <c r="C151" s="1">
        <v>2</v>
      </c>
      <c r="D151" s="2">
        <v>4</v>
      </c>
      <c r="E151" s="1">
        <v>0</v>
      </c>
      <c r="F151" s="2">
        <v>3</v>
      </c>
      <c r="G151" s="1">
        <v>3</v>
      </c>
      <c r="H151" s="2">
        <v>1</v>
      </c>
      <c r="I151" s="1">
        <v>0</v>
      </c>
      <c r="J151" s="1">
        <v>2</v>
      </c>
      <c r="L151" s="21">
        <f t="shared" si="12"/>
        <v>16</v>
      </c>
      <c r="M151" s="21">
        <f t="shared" si="13"/>
        <v>2</v>
      </c>
      <c r="N151" s="22">
        <f t="shared" si="14"/>
        <v>18</v>
      </c>
      <c r="P151" s="2">
        <v>3</v>
      </c>
      <c r="Q151" s="5">
        <v>2</v>
      </c>
      <c r="R151" s="1">
        <v>2</v>
      </c>
      <c r="S151" s="5">
        <v>2</v>
      </c>
      <c r="T151" s="1">
        <v>0</v>
      </c>
      <c r="U151" s="5">
        <v>1</v>
      </c>
      <c r="V151" s="1">
        <v>0</v>
      </c>
      <c r="W151" s="1">
        <v>0</v>
      </c>
      <c r="X151" s="23">
        <f t="shared" si="11"/>
        <v>10</v>
      </c>
    </row>
    <row r="152" spans="1:24" hidden="1">
      <c r="A152" s="11">
        <v>44708</v>
      </c>
      <c r="B152" s="1">
        <v>3</v>
      </c>
      <c r="C152" s="1">
        <v>2</v>
      </c>
      <c r="D152" s="2">
        <v>4</v>
      </c>
      <c r="E152" s="1">
        <v>0</v>
      </c>
      <c r="F152" s="2">
        <v>3</v>
      </c>
      <c r="G152" s="1">
        <v>3</v>
      </c>
      <c r="H152" s="2">
        <v>1</v>
      </c>
      <c r="I152" s="1">
        <v>0</v>
      </c>
      <c r="J152" s="1">
        <v>2</v>
      </c>
      <c r="L152" s="21">
        <f t="shared" si="12"/>
        <v>16</v>
      </c>
      <c r="M152" s="21">
        <f t="shared" si="13"/>
        <v>2</v>
      </c>
      <c r="N152" s="22">
        <f t="shared" si="14"/>
        <v>18</v>
      </c>
      <c r="P152" s="2">
        <v>3</v>
      </c>
      <c r="Q152" s="5">
        <v>2</v>
      </c>
      <c r="R152" s="1">
        <v>2</v>
      </c>
      <c r="S152" s="5">
        <v>2</v>
      </c>
      <c r="T152" s="1">
        <v>0</v>
      </c>
      <c r="U152" s="5">
        <v>1</v>
      </c>
      <c r="V152" s="1">
        <v>0</v>
      </c>
      <c r="W152" s="1">
        <v>0</v>
      </c>
      <c r="X152" s="23">
        <f t="shared" si="11"/>
        <v>10</v>
      </c>
    </row>
    <row r="153" spans="1:24" hidden="1">
      <c r="A153" s="12">
        <v>44709</v>
      </c>
      <c r="B153" s="1">
        <v>3</v>
      </c>
      <c r="C153" s="1">
        <v>2</v>
      </c>
      <c r="D153" s="2">
        <v>4</v>
      </c>
      <c r="E153" s="1">
        <v>0</v>
      </c>
      <c r="F153" s="2">
        <v>3</v>
      </c>
      <c r="G153" s="1">
        <v>3</v>
      </c>
      <c r="H153" s="2">
        <v>1</v>
      </c>
      <c r="I153" s="1">
        <v>0</v>
      </c>
      <c r="J153" s="1">
        <v>2</v>
      </c>
      <c r="L153" s="21">
        <f t="shared" si="12"/>
        <v>16</v>
      </c>
      <c r="M153" s="21">
        <f t="shared" si="13"/>
        <v>2</v>
      </c>
      <c r="N153" s="22">
        <f t="shared" si="14"/>
        <v>18</v>
      </c>
      <c r="P153" s="2">
        <v>3</v>
      </c>
      <c r="Q153" s="5">
        <v>2</v>
      </c>
      <c r="R153" s="1">
        <v>2</v>
      </c>
      <c r="S153" s="5">
        <v>2</v>
      </c>
      <c r="T153" s="1">
        <v>0</v>
      </c>
      <c r="U153" s="5">
        <v>1</v>
      </c>
      <c r="V153" s="1">
        <v>0</v>
      </c>
      <c r="W153" s="1">
        <v>0</v>
      </c>
      <c r="X153" s="23">
        <f t="shared" si="11"/>
        <v>10</v>
      </c>
    </row>
    <row r="154" spans="1:24" hidden="1">
      <c r="A154" s="12">
        <v>44710</v>
      </c>
      <c r="B154" s="1">
        <v>3</v>
      </c>
      <c r="C154" s="1">
        <v>2</v>
      </c>
      <c r="D154" s="2">
        <v>4</v>
      </c>
      <c r="E154" s="1">
        <v>0</v>
      </c>
      <c r="F154" s="2">
        <v>3</v>
      </c>
      <c r="G154" s="1">
        <v>3</v>
      </c>
      <c r="H154" s="2">
        <v>1</v>
      </c>
      <c r="I154" s="1">
        <v>0</v>
      </c>
      <c r="J154" s="1">
        <v>2</v>
      </c>
      <c r="L154" s="21">
        <f t="shared" si="12"/>
        <v>16</v>
      </c>
      <c r="M154" s="21">
        <f t="shared" si="13"/>
        <v>2</v>
      </c>
      <c r="N154" s="22">
        <f t="shared" si="14"/>
        <v>18</v>
      </c>
      <c r="P154" s="2">
        <v>3</v>
      </c>
      <c r="Q154" s="5">
        <v>2</v>
      </c>
      <c r="R154" s="1">
        <v>2</v>
      </c>
      <c r="S154" s="5">
        <v>2</v>
      </c>
      <c r="T154" s="1">
        <v>0</v>
      </c>
      <c r="U154" s="5">
        <v>1</v>
      </c>
      <c r="V154" s="1">
        <v>0</v>
      </c>
      <c r="W154" s="1">
        <v>0</v>
      </c>
      <c r="X154" s="23">
        <f t="shared" si="11"/>
        <v>10</v>
      </c>
    </row>
    <row r="155" spans="1:24" hidden="1">
      <c r="A155" s="11">
        <v>44711</v>
      </c>
      <c r="B155" s="1">
        <v>3</v>
      </c>
      <c r="C155" s="1">
        <v>2</v>
      </c>
      <c r="D155" s="2">
        <v>4</v>
      </c>
      <c r="E155" s="1">
        <v>0</v>
      </c>
      <c r="F155" s="2">
        <v>3</v>
      </c>
      <c r="G155" s="1">
        <v>3</v>
      </c>
      <c r="H155" s="2">
        <v>1</v>
      </c>
      <c r="I155" s="1">
        <v>0</v>
      </c>
      <c r="J155" s="1">
        <v>2</v>
      </c>
      <c r="L155" s="21">
        <f t="shared" si="12"/>
        <v>16</v>
      </c>
      <c r="M155" s="21">
        <f t="shared" si="13"/>
        <v>2</v>
      </c>
      <c r="N155" s="22">
        <f t="shared" si="14"/>
        <v>18</v>
      </c>
      <c r="P155" s="2">
        <v>3</v>
      </c>
      <c r="Q155" s="5">
        <v>2</v>
      </c>
      <c r="R155" s="1">
        <v>2</v>
      </c>
      <c r="S155" s="5">
        <v>2</v>
      </c>
      <c r="T155" s="1">
        <v>0</v>
      </c>
      <c r="U155" s="5">
        <v>1</v>
      </c>
      <c r="V155" s="1">
        <v>0</v>
      </c>
      <c r="W155" s="1">
        <v>0</v>
      </c>
      <c r="X155" s="23">
        <f t="shared" si="11"/>
        <v>10</v>
      </c>
    </row>
    <row r="156" spans="1:24" hidden="1">
      <c r="A156" s="11">
        <v>44712</v>
      </c>
      <c r="B156" s="1">
        <v>4</v>
      </c>
      <c r="C156" s="1">
        <v>2</v>
      </c>
      <c r="D156" s="2">
        <v>4</v>
      </c>
      <c r="E156" s="1">
        <v>0</v>
      </c>
      <c r="F156" s="2">
        <v>3</v>
      </c>
      <c r="G156" s="1">
        <v>3</v>
      </c>
      <c r="H156" s="2">
        <v>1</v>
      </c>
      <c r="I156" s="1">
        <v>0</v>
      </c>
      <c r="J156" s="1">
        <v>2</v>
      </c>
      <c r="L156" s="21">
        <f t="shared" si="12"/>
        <v>17</v>
      </c>
      <c r="M156" s="21">
        <f t="shared" si="13"/>
        <v>2</v>
      </c>
      <c r="N156" s="22">
        <f t="shared" si="14"/>
        <v>19</v>
      </c>
      <c r="P156" s="2">
        <v>3</v>
      </c>
      <c r="Q156" s="5">
        <v>2</v>
      </c>
      <c r="R156" s="1">
        <v>2</v>
      </c>
      <c r="S156" s="5">
        <v>2</v>
      </c>
      <c r="T156" s="1">
        <v>0</v>
      </c>
      <c r="U156" s="5">
        <v>1</v>
      </c>
      <c r="V156" s="1">
        <v>0</v>
      </c>
      <c r="W156" s="1">
        <v>0</v>
      </c>
      <c r="X156" s="23">
        <f t="shared" si="11"/>
        <v>10</v>
      </c>
    </row>
    <row r="157" spans="1:24" hidden="1">
      <c r="A157" s="13">
        <v>44713</v>
      </c>
      <c r="B157" s="1">
        <v>4</v>
      </c>
      <c r="C157" s="1">
        <v>1</v>
      </c>
      <c r="D157" s="2">
        <v>3</v>
      </c>
      <c r="E157" s="1">
        <v>1</v>
      </c>
      <c r="F157" s="2">
        <v>4</v>
      </c>
      <c r="G157" s="1">
        <v>4</v>
      </c>
      <c r="H157" s="2">
        <v>0</v>
      </c>
      <c r="I157" s="1">
        <v>1</v>
      </c>
      <c r="J157" s="1">
        <v>1</v>
      </c>
      <c r="L157" s="21">
        <f t="shared" si="12"/>
        <v>17</v>
      </c>
      <c r="M157" s="21">
        <f t="shared" si="13"/>
        <v>2</v>
      </c>
      <c r="N157" s="22">
        <f t="shared" si="14"/>
        <v>19</v>
      </c>
      <c r="P157" s="2">
        <v>3</v>
      </c>
      <c r="Q157" s="5">
        <v>2</v>
      </c>
      <c r="R157" s="1">
        <v>2</v>
      </c>
      <c r="S157" s="5">
        <v>2</v>
      </c>
      <c r="T157" s="1">
        <v>0</v>
      </c>
      <c r="U157" s="5">
        <v>1</v>
      </c>
      <c r="V157" s="1">
        <v>0</v>
      </c>
      <c r="W157" s="1">
        <v>0</v>
      </c>
      <c r="X157" s="23">
        <f t="shared" si="11"/>
        <v>10</v>
      </c>
    </row>
    <row r="158" spans="1:24" hidden="1">
      <c r="A158" s="11">
        <v>44714</v>
      </c>
      <c r="B158" s="1">
        <v>4</v>
      </c>
      <c r="C158" s="1">
        <v>1</v>
      </c>
      <c r="D158" s="2">
        <v>3</v>
      </c>
      <c r="E158" s="1">
        <v>1</v>
      </c>
      <c r="F158" s="2">
        <v>4</v>
      </c>
      <c r="G158" s="1">
        <v>4</v>
      </c>
      <c r="H158" s="2">
        <v>0</v>
      </c>
      <c r="I158" s="1">
        <v>1</v>
      </c>
      <c r="J158" s="1">
        <v>1</v>
      </c>
      <c r="L158" s="21">
        <f t="shared" ref="L158:L163" si="15">SUM(B158,C158,D158,E158,F158,G158,H158)</f>
        <v>17</v>
      </c>
      <c r="M158" s="21">
        <f t="shared" ref="M158:M163" si="16">SUM(I158,J158)</f>
        <v>2</v>
      </c>
      <c r="N158" s="22">
        <f t="shared" si="14"/>
        <v>19</v>
      </c>
      <c r="P158" s="2">
        <v>3</v>
      </c>
      <c r="Q158" s="5">
        <v>2</v>
      </c>
      <c r="R158" s="1">
        <v>2</v>
      </c>
      <c r="S158" s="5">
        <v>2</v>
      </c>
      <c r="T158" s="1">
        <v>0</v>
      </c>
      <c r="U158" s="5">
        <v>1</v>
      </c>
      <c r="V158" s="1">
        <v>0</v>
      </c>
      <c r="W158" s="1">
        <v>0</v>
      </c>
      <c r="X158" s="23">
        <f t="shared" si="11"/>
        <v>10</v>
      </c>
    </row>
    <row r="159" spans="1:24" hidden="1">
      <c r="A159" s="11">
        <v>44715</v>
      </c>
      <c r="B159" s="1">
        <v>4</v>
      </c>
      <c r="C159" s="1">
        <v>1</v>
      </c>
      <c r="D159" s="2">
        <v>3</v>
      </c>
      <c r="E159" s="1">
        <v>1</v>
      </c>
      <c r="F159" s="2">
        <v>3</v>
      </c>
      <c r="G159" s="1">
        <v>4</v>
      </c>
      <c r="H159" s="2">
        <v>0</v>
      </c>
      <c r="I159" s="1">
        <v>1</v>
      </c>
      <c r="J159" s="1">
        <v>1</v>
      </c>
      <c r="L159" s="21">
        <f t="shared" si="15"/>
        <v>16</v>
      </c>
      <c r="M159" s="21">
        <f t="shared" si="16"/>
        <v>2</v>
      </c>
      <c r="N159" s="22">
        <f t="shared" si="14"/>
        <v>18</v>
      </c>
      <c r="P159" s="2">
        <v>3</v>
      </c>
      <c r="Q159" s="5">
        <v>2</v>
      </c>
      <c r="R159" s="1">
        <v>2</v>
      </c>
      <c r="S159" s="5">
        <v>2</v>
      </c>
      <c r="T159" s="1">
        <v>0</v>
      </c>
      <c r="U159" s="5">
        <v>1</v>
      </c>
      <c r="V159" s="1">
        <v>0</v>
      </c>
      <c r="W159" s="1">
        <v>0</v>
      </c>
      <c r="X159" s="23">
        <f t="shared" si="11"/>
        <v>10</v>
      </c>
    </row>
    <row r="160" spans="1:24" hidden="1">
      <c r="A160" s="12">
        <v>44716</v>
      </c>
      <c r="B160" s="1">
        <v>4</v>
      </c>
      <c r="C160" s="1">
        <v>1</v>
      </c>
      <c r="D160" s="2">
        <v>3</v>
      </c>
      <c r="E160" s="1">
        <v>1</v>
      </c>
      <c r="F160" s="2">
        <v>4</v>
      </c>
      <c r="G160" s="1">
        <v>4</v>
      </c>
      <c r="H160" s="2">
        <v>0</v>
      </c>
      <c r="I160" s="1">
        <v>1</v>
      </c>
      <c r="J160" s="1">
        <v>1</v>
      </c>
      <c r="L160" s="21">
        <f t="shared" si="15"/>
        <v>17</v>
      </c>
      <c r="M160" s="21">
        <f t="shared" si="16"/>
        <v>2</v>
      </c>
      <c r="N160" s="22">
        <f t="shared" si="14"/>
        <v>19</v>
      </c>
      <c r="P160" s="2">
        <v>3</v>
      </c>
      <c r="Q160" s="5">
        <v>2</v>
      </c>
      <c r="R160" s="1">
        <v>2</v>
      </c>
      <c r="S160" s="5">
        <v>2</v>
      </c>
      <c r="T160" s="1">
        <v>0</v>
      </c>
      <c r="U160" s="5">
        <v>1</v>
      </c>
      <c r="V160" s="1">
        <v>0</v>
      </c>
      <c r="W160" s="1">
        <v>0</v>
      </c>
      <c r="X160" s="23">
        <f t="shared" si="11"/>
        <v>10</v>
      </c>
    </row>
    <row r="161" spans="1:24" hidden="1">
      <c r="A161" s="12">
        <v>44717</v>
      </c>
      <c r="B161" s="1">
        <v>4</v>
      </c>
      <c r="C161" s="1">
        <v>1</v>
      </c>
      <c r="D161" s="2">
        <v>3</v>
      </c>
      <c r="E161" s="1">
        <v>1</v>
      </c>
      <c r="F161" s="2">
        <v>4</v>
      </c>
      <c r="G161" s="1">
        <v>4</v>
      </c>
      <c r="H161" s="2">
        <v>0</v>
      </c>
      <c r="I161" s="1">
        <v>1</v>
      </c>
      <c r="J161" s="1">
        <v>1</v>
      </c>
      <c r="L161" s="21">
        <f t="shared" si="15"/>
        <v>17</v>
      </c>
      <c r="M161" s="21">
        <f t="shared" si="16"/>
        <v>2</v>
      </c>
      <c r="N161" s="22">
        <f t="shared" si="14"/>
        <v>19</v>
      </c>
      <c r="P161" s="2">
        <v>3</v>
      </c>
      <c r="Q161" s="5">
        <v>2</v>
      </c>
      <c r="R161" s="1">
        <v>2</v>
      </c>
      <c r="S161" s="5">
        <v>2</v>
      </c>
      <c r="T161" s="1">
        <v>0</v>
      </c>
      <c r="U161" s="5">
        <v>1</v>
      </c>
      <c r="V161" s="1">
        <v>0</v>
      </c>
      <c r="W161" s="1">
        <v>0</v>
      </c>
      <c r="X161" s="23">
        <f t="shared" si="11"/>
        <v>10</v>
      </c>
    </row>
    <row r="162" spans="1:24" hidden="1">
      <c r="A162" s="11">
        <v>44718</v>
      </c>
      <c r="B162" s="1">
        <v>4</v>
      </c>
      <c r="C162" s="1">
        <v>1</v>
      </c>
      <c r="D162" s="2">
        <v>3</v>
      </c>
      <c r="E162" s="1">
        <v>1</v>
      </c>
      <c r="F162" s="2">
        <v>4</v>
      </c>
      <c r="G162" s="1">
        <v>4</v>
      </c>
      <c r="H162" s="2">
        <v>0</v>
      </c>
      <c r="I162" s="1">
        <v>1</v>
      </c>
      <c r="J162" s="1">
        <v>1</v>
      </c>
      <c r="L162" s="21">
        <f t="shared" si="15"/>
        <v>17</v>
      </c>
      <c r="M162" s="21">
        <f t="shared" si="16"/>
        <v>2</v>
      </c>
      <c r="N162" s="22">
        <f t="shared" si="14"/>
        <v>19</v>
      </c>
      <c r="P162" s="2">
        <v>3</v>
      </c>
      <c r="Q162" s="5">
        <v>2</v>
      </c>
      <c r="R162" s="1">
        <v>2</v>
      </c>
      <c r="S162" s="5">
        <v>2</v>
      </c>
      <c r="T162" s="1">
        <v>0</v>
      </c>
      <c r="U162" s="5">
        <v>1</v>
      </c>
      <c r="V162" s="1">
        <v>0</v>
      </c>
      <c r="W162" s="1">
        <v>0</v>
      </c>
      <c r="X162" s="23">
        <f t="shared" si="11"/>
        <v>10</v>
      </c>
    </row>
    <row r="163" spans="1:24" hidden="1">
      <c r="A163" s="11">
        <v>44719</v>
      </c>
      <c r="B163" s="1">
        <v>4</v>
      </c>
      <c r="C163" s="1">
        <v>1</v>
      </c>
      <c r="D163" s="2">
        <v>3</v>
      </c>
      <c r="E163" s="1">
        <v>1</v>
      </c>
      <c r="F163" s="2">
        <v>4</v>
      </c>
      <c r="G163" s="1">
        <v>4</v>
      </c>
      <c r="H163" s="2">
        <v>0</v>
      </c>
      <c r="I163" s="1">
        <v>1</v>
      </c>
      <c r="J163" s="1">
        <v>1</v>
      </c>
      <c r="L163" s="21">
        <f t="shared" si="15"/>
        <v>17</v>
      </c>
      <c r="M163" s="21">
        <f t="shared" si="16"/>
        <v>2</v>
      </c>
      <c r="N163" s="22">
        <f t="shared" si="14"/>
        <v>19</v>
      </c>
      <c r="P163" s="2">
        <v>3</v>
      </c>
      <c r="Q163" s="5">
        <v>2</v>
      </c>
      <c r="R163" s="1">
        <v>2</v>
      </c>
      <c r="S163" s="5">
        <v>2</v>
      </c>
      <c r="T163" s="1">
        <v>0</v>
      </c>
      <c r="U163" s="5">
        <v>1</v>
      </c>
      <c r="V163" s="1">
        <v>0</v>
      </c>
      <c r="W163" s="1">
        <v>0</v>
      </c>
      <c r="X163" s="23">
        <f t="shared" si="11"/>
        <v>10</v>
      </c>
    </row>
    <row r="164" spans="1:24" hidden="1">
      <c r="A164" s="13">
        <v>44720</v>
      </c>
      <c r="B164" s="1">
        <v>2</v>
      </c>
      <c r="C164" s="1">
        <v>3</v>
      </c>
      <c r="D164" s="2">
        <v>3</v>
      </c>
      <c r="E164" s="1">
        <v>1</v>
      </c>
      <c r="F164" s="2">
        <v>4</v>
      </c>
      <c r="G164" s="1">
        <v>4</v>
      </c>
      <c r="H164" s="2">
        <v>1</v>
      </c>
      <c r="I164" s="1">
        <v>4</v>
      </c>
      <c r="J164" s="1">
        <v>0</v>
      </c>
      <c r="L164" s="21">
        <f t="shared" si="12"/>
        <v>18</v>
      </c>
      <c r="M164" s="21">
        <f t="shared" si="13"/>
        <v>4</v>
      </c>
      <c r="N164" s="22">
        <f t="shared" si="14"/>
        <v>22</v>
      </c>
      <c r="P164" s="2">
        <v>3</v>
      </c>
      <c r="Q164" s="5">
        <v>2</v>
      </c>
      <c r="R164" s="1">
        <v>1</v>
      </c>
      <c r="S164" s="5">
        <v>2</v>
      </c>
      <c r="T164" s="1">
        <v>0</v>
      </c>
      <c r="U164" s="5">
        <v>1</v>
      </c>
      <c r="V164" s="1">
        <v>0</v>
      </c>
      <c r="W164" s="1">
        <v>0</v>
      </c>
      <c r="X164" s="23">
        <f t="shared" si="11"/>
        <v>9</v>
      </c>
    </row>
    <row r="165" spans="1:24" hidden="1">
      <c r="A165" s="11">
        <v>44721</v>
      </c>
      <c r="B165" s="1">
        <v>2</v>
      </c>
      <c r="C165" s="1">
        <v>3</v>
      </c>
      <c r="D165" s="2">
        <v>3</v>
      </c>
      <c r="E165" s="1">
        <v>1</v>
      </c>
      <c r="F165" s="2">
        <v>4</v>
      </c>
      <c r="G165" s="1">
        <v>4</v>
      </c>
      <c r="H165" s="2">
        <v>1</v>
      </c>
      <c r="I165" s="1">
        <v>4</v>
      </c>
      <c r="J165" s="1">
        <v>0</v>
      </c>
      <c r="L165" s="21">
        <f t="shared" si="12"/>
        <v>18</v>
      </c>
      <c r="M165" s="21">
        <f t="shared" si="13"/>
        <v>4</v>
      </c>
      <c r="N165" s="22">
        <f t="shared" si="14"/>
        <v>22</v>
      </c>
      <c r="P165" s="2">
        <v>3</v>
      </c>
      <c r="Q165" s="5">
        <v>2</v>
      </c>
      <c r="R165" s="1">
        <v>1</v>
      </c>
      <c r="S165" s="5">
        <v>2</v>
      </c>
      <c r="T165" s="1">
        <v>0</v>
      </c>
      <c r="U165" s="5">
        <v>1</v>
      </c>
      <c r="V165" s="1">
        <v>0</v>
      </c>
      <c r="W165" s="1">
        <v>0</v>
      </c>
      <c r="X165" s="23">
        <f t="shared" si="11"/>
        <v>9</v>
      </c>
    </row>
    <row r="166" spans="1:24" hidden="1">
      <c r="A166" s="11">
        <v>44722</v>
      </c>
      <c r="B166" s="1">
        <v>2</v>
      </c>
      <c r="C166" s="1">
        <v>3</v>
      </c>
      <c r="D166" s="2">
        <v>3</v>
      </c>
      <c r="E166" s="1">
        <v>1</v>
      </c>
      <c r="F166" s="2">
        <v>4</v>
      </c>
      <c r="G166" s="1">
        <v>4</v>
      </c>
      <c r="H166" s="2">
        <v>1</v>
      </c>
      <c r="I166" s="1">
        <v>4</v>
      </c>
      <c r="J166" s="1">
        <v>0</v>
      </c>
      <c r="L166" s="21">
        <f t="shared" si="12"/>
        <v>18</v>
      </c>
      <c r="M166" s="21">
        <f t="shared" si="13"/>
        <v>4</v>
      </c>
      <c r="N166" s="22">
        <f t="shared" si="14"/>
        <v>22</v>
      </c>
      <c r="P166" s="2">
        <v>3</v>
      </c>
      <c r="Q166" s="5">
        <v>2</v>
      </c>
      <c r="R166" s="1">
        <v>1</v>
      </c>
      <c r="S166" s="5">
        <v>2</v>
      </c>
      <c r="T166" s="1">
        <v>0</v>
      </c>
      <c r="U166" s="5">
        <v>1</v>
      </c>
      <c r="V166" s="1">
        <v>0</v>
      </c>
      <c r="W166" s="1">
        <v>0</v>
      </c>
      <c r="X166" s="23">
        <f t="shared" si="11"/>
        <v>9</v>
      </c>
    </row>
    <row r="167" spans="1:24" hidden="1">
      <c r="A167" s="12">
        <v>44723</v>
      </c>
      <c r="B167" s="1">
        <v>2</v>
      </c>
      <c r="C167" s="1">
        <v>3</v>
      </c>
      <c r="D167" s="2">
        <v>3</v>
      </c>
      <c r="E167" s="1">
        <v>1</v>
      </c>
      <c r="F167" s="2">
        <v>4</v>
      </c>
      <c r="G167" s="1">
        <v>4</v>
      </c>
      <c r="H167" s="2">
        <v>1</v>
      </c>
      <c r="I167" s="1">
        <v>4</v>
      </c>
      <c r="J167" s="1">
        <v>0</v>
      </c>
      <c r="L167" s="21">
        <f t="shared" si="12"/>
        <v>18</v>
      </c>
      <c r="M167" s="21">
        <f t="shared" si="13"/>
        <v>4</v>
      </c>
      <c r="N167" s="22">
        <f t="shared" si="14"/>
        <v>22</v>
      </c>
      <c r="P167" s="2">
        <v>3</v>
      </c>
      <c r="Q167" s="5">
        <v>2</v>
      </c>
      <c r="R167" s="1">
        <v>1</v>
      </c>
      <c r="S167" s="5">
        <v>2</v>
      </c>
      <c r="T167" s="1">
        <v>0</v>
      </c>
      <c r="U167" s="5">
        <v>1</v>
      </c>
      <c r="V167" s="1">
        <v>0</v>
      </c>
      <c r="W167" s="1">
        <v>0</v>
      </c>
      <c r="X167" s="23">
        <f t="shared" si="11"/>
        <v>9</v>
      </c>
    </row>
    <row r="168" spans="1:24" hidden="1">
      <c r="A168" s="12">
        <v>44724</v>
      </c>
      <c r="B168" s="1">
        <v>2</v>
      </c>
      <c r="C168" s="1">
        <v>3</v>
      </c>
      <c r="D168" s="2">
        <v>3</v>
      </c>
      <c r="E168" s="1">
        <v>1</v>
      </c>
      <c r="F168" s="2">
        <v>4</v>
      </c>
      <c r="G168" s="1">
        <v>4</v>
      </c>
      <c r="H168" s="2">
        <v>1</v>
      </c>
      <c r="I168" s="1">
        <v>4</v>
      </c>
      <c r="J168" s="1">
        <v>0</v>
      </c>
      <c r="L168" s="21">
        <f t="shared" si="12"/>
        <v>18</v>
      </c>
      <c r="M168" s="21">
        <f t="shared" si="13"/>
        <v>4</v>
      </c>
      <c r="N168" s="22">
        <f t="shared" si="14"/>
        <v>22</v>
      </c>
      <c r="P168" s="2">
        <v>3</v>
      </c>
      <c r="Q168" s="5">
        <v>2</v>
      </c>
      <c r="R168" s="1">
        <v>1</v>
      </c>
      <c r="S168" s="5">
        <v>2</v>
      </c>
      <c r="T168" s="1">
        <v>0</v>
      </c>
      <c r="U168" s="5">
        <v>1</v>
      </c>
      <c r="V168" s="1">
        <v>0</v>
      </c>
      <c r="W168" s="1">
        <v>0</v>
      </c>
      <c r="X168" s="23">
        <f t="shared" si="11"/>
        <v>9</v>
      </c>
    </row>
    <row r="169" spans="1:24" hidden="1">
      <c r="A169" s="11">
        <v>44725</v>
      </c>
      <c r="B169" s="1">
        <v>2</v>
      </c>
      <c r="C169" s="1">
        <v>3</v>
      </c>
      <c r="D169" s="2">
        <v>3</v>
      </c>
      <c r="E169" s="1">
        <v>1</v>
      </c>
      <c r="F169" s="2">
        <v>4</v>
      </c>
      <c r="G169" s="1">
        <v>4</v>
      </c>
      <c r="H169" s="2">
        <v>1</v>
      </c>
      <c r="I169" s="1">
        <v>4</v>
      </c>
      <c r="J169" s="1">
        <v>0</v>
      </c>
      <c r="L169" s="21">
        <f t="shared" si="12"/>
        <v>18</v>
      </c>
      <c r="M169" s="21">
        <f t="shared" si="13"/>
        <v>4</v>
      </c>
      <c r="N169" s="22">
        <f t="shared" si="14"/>
        <v>22</v>
      </c>
      <c r="P169" s="2">
        <v>3</v>
      </c>
      <c r="Q169" s="5">
        <v>2</v>
      </c>
      <c r="R169" s="1">
        <v>1</v>
      </c>
      <c r="S169" s="5">
        <v>2</v>
      </c>
      <c r="T169" s="1">
        <v>0</v>
      </c>
      <c r="U169" s="5">
        <v>1</v>
      </c>
      <c r="V169" s="1">
        <v>0</v>
      </c>
      <c r="W169" s="1">
        <v>0</v>
      </c>
      <c r="X169" s="23">
        <f t="shared" si="11"/>
        <v>9</v>
      </c>
    </row>
    <row r="170" spans="1:24" hidden="1">
      <c r="A170" s="11">
        <v>44726</v>
      </c>
      <c r="B170" s="1">
        <v>2</v>
      </c>
      <c r="C170" s="1">
        <v>3</v>
      </c>
      <c r="D170" s="2">
        <v>3</v>
      </c>
      <c r="E170" s="1">
        <v>1</v>
      </c>
      <c r="F170" s="2">
        <v>4</v>
      </c>
      <c r="G170" s="1">
        <v>4</v>
      </c>
      <c r="H170" s="2">
        <v>1</v>
      </c>
      <c r="I170" s="1">
        <v>4</v>
      </c>
      <c r="J170" s="1">
        <v>0</v>
      </c>
      <c r="L170" s="21">
        <f t="shared" si="12"/>
        <v>18</v>
      </c>
      <c r="M170" s="21">
        <f t="shared" si="13"/>
        <v>4</v>
      </c>
      <c r="N170" s="22">
        <f t="shared" si="14"/>
        <v>22</v>
      </c>
      <c r="P170" s="2">
        <v>3</v>
      </c>
      <c r="Q170" s="5">
        <v>2</v>
      </c>
      <c r="R170" s="1">
        <v>1</v>
      </c>
      <c r="S170" s="5">
        <v>2</v>
      </c>
      <c r="T170" s="1">
        <v>0</v>
      </c>
      <c r="U170" s="5">
        <v>1</v>
      </c>
      <c r="V170" s="1">
        <v>0</v>
      </c>
      <c r="W170" s="1">
        <v>0</v>
      </c>
      <c r="X170" s="23">
        <f t="shared" si="11"/>
        <v>9</v>
      </c>
    </row>
    <row r="171" spans="1:24" hidden="1">
      <c r="A171" s="13">
        <v>44727</v>
      </c>
      <c r="B171" s="1">
        <v>2</v>
      </c>
      <c r="C171" s="1">
        <v>4</v>
      </c>
      <c r="D171" s="2">
        <v>4</v>
      </c>
      <c r="E171" s="1">
        <v>0</v>
      </c>
      <c r="F171" s="2">
        <v>4</v>
      </c>
      <c r="G171" s="1">
        <v>3</v>
      </c>
      <c r="H171" s="2">
        <v>1</v>
      </c>
      <c r="I171" s="1">
        <v>4</v>
      </c>
      <c r="J171" s="1">
        <v>0</v>
      </c>
      <c r="L171" s="21">
        <f t="shared" si="12"/>
        <v>18</v>
      </c>
      <c r="M171" s="21">
        <f t="shared" si="13"/>
        <v>4</v>
      </c>
      <c r="N171" s="22">
        <f t="shared" si="14"/>
        <v>22</v>
      </c>
      <c r="P171" s="2">
        <v>2</v>
      </c>
      <c r="Q171" s="5">
        <v>2</v>
      </c>
      <c r="R171" s="1">
        <v>2</v>
      </c>
      <c r="S171" s="5">
        <v>2</v>
      </c>
      <c r="T171" s="1">
        <v>0</v>
      </c>
      <c r="U171" s="5">
        <v>2</v>
      </c>
      <c r="V171" s="1">
        <v>1</v>
      </c>
      <c r="W171" s="1">
        <v>0</v>
      </c>
      <c r="X171" s="23">
        <f t="shared" si="11"/>
        <v>11</v>
      </c>
    </row>
    <row r="172" spans="1:24" hidden="1">
      <c r="A172" s="11">
        <v>44728</v>
      </c>
      <c r="B172" s="1">
        <v>2</v>
      </c>
      <c r="C172" s="1">
        <v>4</v>
      </c>
      <c r="D172" s="2">
        <v>4</v>
      </c>
      <c r="E172" s="1">
        <v>0</v>
      </c>
      <c r="F172" s="2">
        <v>4</v>
      </c>
      <c r="G172" s="1">
        <v>3</v>
      </c>
      <c r="H172" s="2">
        <v>1</v>
      </c>
      <c r="I172" s="1">
        <v>4</v>
      </c>
      <c r="J172" s="1">
        <v>0</v>
      </c>
      <c r="L172" s="21">
        <f t="shared" si="12"/>
        <v>18</v>
      </c>
      <c r="M172" s="21">
        <f t="shared" si="13"/>
        <v>4</v>
      </c>
      <c r="N172" s="22">
        <f t="shared" si="14"/>
        <v>22</v>
      </c>
      <c r="P172" s="2">
        <v>2</v>
      </c>
      <c r="Q172" s="5">
        <v>2</v>
      </c>
      <c r="R172" s="1">
        <v>2</v>
      </c>
      <c r="S172" s="5">
        <v>2</v>
      </c>
      <c r="T172" s="1">
        <v>0</v>
      </c>
      <c r="U172" s="5">
        <v>2</v>
      </c>
      <c r="V172" s="1">
        <v>1</v>
      </c>
      <c r="W172" s="1">
        <v>0</v>
      </c>
      <c r="X172" s="23">
        <f t="shared" si="11"/>
        <v>11</v>
      </c>
    </row>
    <row r="173" spans="1:24" hidden="1">
      <c r="A173" s="11">
        <v>44729</v>
      </c>
      <c r="B173" s="1">
        <v>2</v>
      </c>
      <c r="C173" s="1">
        <v>4</v>
      </c>
      <c r="D173" s="2">
        <v>4</v>
      </c>
      <c r="E173" s="1">
        <v>0</v>
      </c>
      <c r="F173" s="2">
        <v>4</v>
      </c>
      <c r="G173" s="1">
        <v>3</v>
      </c>
      <c r="H173" s="2">
        <v>1</v>
      </c>
      <c r="I173" s="1">
        <v>4</v>
      </c>
      <c r="J173" s="1">
        <v>0</v>
      </c>
      <c r="L173" s="21">
        <f t="shared" si="12"/>
        <v>18</v>
      </c>
      <c r="M173" s="21">
        <f t="shared" si="13"/>
        <v>4</v>
      </c>
      <c r="N173" s="22">
        <f t="shared" si="14"/>
        <v>22</v>
      </c>
      <c r="P173" s="2">
        <v>2</v>
      </c>
      <c r="Q173" s="5">
        <v>2</v>
      </c>
      <c r="R173" s="1">
        <v>2</v>
      </c>
      <c r="S173" s="5">
        <v>2</v>
      </c>
      <c r="T173" s="1">
        <v>0</v>
      </c>
      <c r="U173" s="5">
        <v>2</v>
      </c>
      <c r="V173" s="1">
        <v>1</v>
      </c>
      <c r="W173" s="1">
        <v>0</v>
      </c>
      <c r="X173" s="23">
        <f t="shared" ref="X173:X236" si="17">SUM(P173:W173)</f>
        <v>11</v>
      </c>
    </row>
    <row r="174" spans="1:24" hidden="1">
      <c r="A174" s="12">
        <v>44730</v>
      </c>
      <c r="B174" s="1">
        <v>2</v>
      </c>
      <c r="C174" s="1">
        <v>4</v>
      </c>
      <c r="D174" s="2">
        <v>4</v>
      </c>
      <c r="E174" s="1">
        <v>0</v>
      </c>
      <c r="F174" s="2">
        <v>4</v>
      </c>
      <c r="G174" s="1">
        <v>3</v>
      </c>
      <c r="H174" s="2">
        <v>1</v>
      </c>
      <c r="I174" s="1">
        <v>4</v>
      </c>
      <c r="J174" s="1">
        <v>0</v>
      </c>
      <c r="L174" s="21">
        <f t="shared" si="12"/>
        <v>18</v>
      </c>
      <c r="M174" s="21">
        <f t="shared" si="13"/>
        <v>4</v>
      </c>
      <c r="N174" s="22">
        <f t="shared" si="14"/>
        <v>22</v>
      </c>
      <c r="P174" s="2">
        <v>2</v>
      </c>
      <c r="Q174" s="5">
        <v>2</v>
      </c>
      <c r="R174" s="1">
        <v>2</v>
      </c>
      <c r="S174" s="5">
        <v>2</v>
      </c>
      <c r="T174" s="1">
        <v>0</v>
      </c>
      <c r="U174" s="5">
        <v>2</v>
      </c>
      <c r="V174" s="1">
        <v>1</v>
      </c>
      <c r="W174" s="1">
        <v>0</v>
      </c>
      <c r="X174" s="23">
        <f t="shared" si="17"/>
        <v>11</v>
      </c>
    </row>
    <row r="175" spans="1:24" hidden="1">
      <c r="A175" s="12">
        <v>44731</v>
      </c>
      <c r="B175" s="1">
        <v>2</v>
      </c>
      <c r="C175" s="1">
        <v>4</v>
      </c>
      <c r="D175" s="2">
        <v>4</v>
      </c>
      <c r="E175" s="1">
        <v>0</v>
      </c>
      <c r="F175" s="2">
        <v>4</v>
      </c>
      <c r="G175" s="1">
        <v>3</v>
      </c>
      <c r="H175" s="2">
        <v>1</v>
      </c>
      <c r="I175" s="1">
        <v>4</v>
      </c>
      <c r="J175" s="1">
        <v>0</v>
      </c>
      <c r="L175" s="21">
        <f t="shared" si="12"/>
        <v>18</v>
      </c>
      <c r="M175" s="21">
        <f t="shared" si="13"/>
        <v>4</v>
      </c>
      <c r="N175" s="22">
        <f t="shared" si="14"/>
        <v>22</v>
      </c>
      <c r="P175" s="2">
        <v>2</v>
      </c>
      <c r="Q175" s="5">
        <v>2</v>
      </c>
      <c r="R175" s="1">
        <v>2</v>
      </c>
      <c r="S175" s="5">
        <v>2</v>
      </c>
      <c r="T175" s="1">
        <v>0</v>
      </c>
      <c r="U175" s="5">
        <v>2</v>
      </c>
      <c r="V175" s="1">
        <v>1</v>
      </c>
      <c r="W175" s="1">
        <v>0</v>
      </c>
      <c r="X175" s="23">
        <f t="shared" si="17"/>
        <v>11</v>
      </c>
    </row>
    <row r="176" spans="1:24" hidden="1">
      <c r="A176" s="11">
        <v>44732</v>
      </c>
      <c r="B176" s="1">
        <v>2</v>
      </c>
      <c r="C176" s="1">
        <v>4</v>
      </c>
      <c r="D176" s="2">
        <v>4</v>
      </c>
      <c r="E176" s="1">
        <v>0</v>
      </c>
      <c r="F176" s="2">
        <v>4</v>
      </c>
      <c r="G176" s="1">
        <v>3</v>
      </c>
      <c r="H176" s="2">
        <v>1</v>
      </c>
      <c r="I176" s="1">
        <v>4</v>
      </c>
      <c r="J176" s="1">
        <v>0</v>
      </c>
      <c r="L176" s="21">
        <f t="shared" si="12"/>
        <v>18</v>
      </c>
      <c r="M176" s="21">
        <f t="shared" si="13"/>
        <v>4</v>
      </c>
      <c r="N176" s="22">
        <f t="shared" si="14"/>
        <v>22</v>
      </c>
      <c r="P176" s="2">
        <v>2</v>
      </c>
      <c r="Q176" s="5">
        <v>2</v>
      </c>
      <c r="R176" s="1">
        <v>2</v>
      </c>
      <c r="S176" s="5">
        <v>2</v>
      </c>
      <c r="T176" s="1">
        <v>0</v>
      </c>
      <c r="U176" s="5">
        <v>2</v>
      </c>
      <c r="V176" s="1">
        <v>1</v>
      </c>
      <c r="W176" s="1">
        <v>0</v>
      </c>
      <c r="X176" s="23">
        <f t="shared" si="17"/>
        <v>11</v>
      </c>
    </row>
    <row r="177" spans="1:24" hidden="1">
      <c r="A177" s="11">
        <v>44733</v>
      </c>
      <c r="B177" s="1">
        <v>2</v>
      </c>
      <c r="C177" s="1">
        <v>4</v>
      </c>
      <c r="D177" s="2">
        <v>4</v>
      </c>
      <c r="E177" s="1">
        <v>0</v>
      </c>
      <c r="F177" s="2">
        <v>4</v>
      </c>
      <c r="G177" s="1">
        <v>3</v>
      </c>
      <c r="H177" s="2">
        <v>1</v>
      </c>
      <c r="I177" s="1">
        <v>4</v>
      </c>
      <c r="J177" s="1">
        <v>0</v>
      </c>
      <c r="L177" s="21">
        <f t="shared" si="12"/>
        <v>18</v>
      </c>
      <c r="M177" s="21">
        <f t="shared" si="13"/>
        <v>4</v>
      </c>
      <c r="N177" s="22">
        <f t="shared" si="14"/>
        <v>22</v>
      </c>
      <c r="P177" s="2">
        <v>2</v>
      </c>
      <c r="Q177" s="5">
        <v>2</v>
      </c>
      <c r="R177" s="1">
        <v>2</v>
      </c>
      <c r="S177" s="5">
        <v>2</v>
      </c>
      <c r="T177" s="1">
        <v>0</v>
      </c>
      <c r="U177" s="5">
        <v>2</v>
      </c>
      <c r="V177" s="1">
        <v>1</v>
      </c>
      <c r="W177" s="1">
        <v>0</v>
      </c>
      <c r="X177" s="23">
        <f t="shared" si="17"/>
        <v>11</v>
      </c>
    </row>
    <row r="178" spans="1:24" hidden="1">
      <c r="A178" s="13">
        <v>44734</v>
      </c>
      <c r="B178" s="1">
        <v>2</v>
      </c>
      <c r="C178" s="1">
        <v>4</v>
      </c>
      <c r="D178" s="2">
        <v>4</v>
      </c>
      <c r="E178" s="1">
        <v>0</v>
      </c>
      <c r="F178" s="2">
        <v>4</v>
      </c>
      <c r="G178" s="1">
        <v>3</v>
      </c>
      <c r="H178" s="2">
        <v>1</v>
      </c>
      <c r="I178" s="1">
        <v>4</v>
      </c>
      <c r="J178" s="1">
        <v>0</v>
      </c>
      <c r="L178" s="21">
        <f t="shared" si="12"/>
        <v>18</v>
      </c>
      <c r="M178" s="21">
        <f t="shared" si="13"/>
        <v>4</v>
      </c>
      <c r="N178" s="22">
        <f t="shared" si="14"/>
        <v>22</v>
      </c>
      <c r="P178" s="2">
        <v>3</v>
      </c>
      <c r="Q178" s="5">
        <v>1</v>
      </c>
      <c r="R178" s="1">
        <v>2</v>
      </c>
      <c r="S178" s="5">
        <v>0</v>
      </c>
      <c r="T178" s="1">
        <v>0</v>
      </c>
      <c r="U178" s="5">
        <v>1</v>
      </c>
      <c r="V178" s="1">
        <v>1</v>
      </c>
      <c r="W178" s="1">
        <v>0</v>
      </c>
      <c r="X178" s="23">
        <f t="shared" si="17"/>
        <v>8</v>
      </c>
    </row>
    <row r="179" spans="1:24" hidden="1">
      <c r="A179" s="11">
        <v>44735</v>
      </c>
      <c r="B179" s="1">
        <v>2</v>
      </c>
      <c r="C179" s="1">
        <v>3</v>
      </c>
      <c r="D179" s="2">
        <v>4</v>
      </c>
      <c r="E179" s="1">
        <v>0</v>
      </c>
      <c r="F179" s="2">
        <v>4</v>
      </c>
      <c r="G179" s="1">
        <v>3</v>
      </c>
      <c r="H179" s="2">
        <v>0</v>
      </c>
      <c r="I179" s="1">
        <v>4</v>
      </c>
      <c r="J179" s="1">
        <v>0</v>
      </c>
      <c r="L179" s="21">
        <f t="shared" si="12"/>
        <v>16</v>
      </c>
      <c r="M179" s="21">
        <f t="shared" si="13"/>
        <v>4</v>
      </c>
      <c r="N179" s="22">
        <f t="shared" si="14"/>
        <v>20</v>
      </c>
      <c r="P179" s="2">
        <v>3</v>
      </c>
      <c r="Q179" s="5">
        <v>1</v>
      </c>
      <c r="R179" s="1">
        <v>2</v>
      </c>
      <c r="S179" s="5">
        <v>0</v>
      </c>
      <c r="T179" s="1">
        <v>0</v>
      </c>
      <c r="U179" s="5">
        <v>1</v>
      </c>
      <c r="V179" s="1">
        <v>1</v>
      </c>
      <c r="W179" s="1">
        <v>0</v>
      </c>
      <c r="X179" s="23">
        <f t="shared" si="17"/>
        <v>8</v>
      </c>
    </row>
    <row r="180" spans="1:24" hidden="1">
      <c r="A180" s="11">
        <v>44736</v>
      </c>
      <c r="B180" s="1">
        <v>2</v>
      </c>
      <c r="C180" s="1">
        <v>3</v>
      </c>
      <c r="D180" s="2">
        <v>4</v>
      </c>
      <c r="E180" s="1">
        <v>0</v>
      </c>
      <c r="F180" s="2">
        <v>4</v>
      </c>
      <c r="G180" s="1">
        <v>3</v>
      </c>
      <c r="H180" s="2">
        <v>0</v>
      </c>
      <c r="I180" s="1">
        <v>4</v>
      </c>
      <c r="J180" s="1">
        <v>0</v>
      </c>
      <c r="L180" s="21">
        <f t="shared" si="12"/>
        <v>16</v>
      </c>
      <c r="M180" s="21">
        <f t="shared" si="13"/>
        <v>4</v>
      </c>
      <c r="N180" s="22">
        <f t="shared" si="14"/>
        <v>20</v>
      </c>
      <c r="P180" s="2">
        <v>3</v>
      </c>
      <c r="Q180" s="5">
        <v>1</v>
      </c>
      <c r="R180" s="1">
        <v>2</v>
      </c>
      <c r="S180" s="5">
        <v>0</v>
      </c>
      <c r="T180" s="1">
        <v>0</v>
      </c>
      <c r="U180" s="5">
        <v>1</v>
      </c>
      <c r="V180" s="1">
        <v>1</v>
      </c>
      <c r="W180" s="1">
        <v>0</v>
      </c>
      <c r="X180" s="23">
        <f t="shared" si="17"/>
        <v>8</v>
      </c>
    </row>
    <row r="181" spans="1:24" hidden="1">
      <c r="A181" s="12">
        <v>44737</v>
      </c>
      <c r="B181" s="1">
        <v>2</v>
      </c>
      <c r="C181" s="1">
        <v>2</v>
      </c>
      <c r="D181" s="2">
        <v>4</v>
      </c>
      <c r="E181" s="1">
        <v>0</v>
      </c>
      <c r="F181" s="2">
        <v>4</v>
      </c>
      <c r="G181" s="1">
        <v>3</v>
      </c>
      <c r="H181" s="2">
        <v>0</v>
      </c>
      <c r="I181" s="1">
        <v>4</v>
      </c>
      <c r="J181" s="1">
        <v>0</v>
      </c>
      <c r="L181" s="21">
        <f t="shared" si="12"/>
        <v>15</v>
      </c>
      <c r="M181" s="21">
        <f t="shared" si="13"/>
        <v>4</v>
      </c>
      <c r="N181" s="22">
        <f t="shared" si="14"/>
        <v>19</v>
      </c>
      <c r="P181" s="2">
        <v>3</v>
      </c>
      <c r="Q181" s="5">
        <v>1</v>
      </c>
      <c r="R181" s="1">
        <v>2</v>
      </c>
      <c r="S181" s="5">
        <v>0</v>
      </c>
      <c r="T181" s="1">
        <v>0</v>
      </c>
      <c r="U181" s="5">
        <v>1</v>
      </c>
      <c r="V181" s="1">
        <v>1</v>
      </c>
      <c r="W181" s="1">
        <v>0</v>
      </c>
      <c r="X181" s="23">
        <f t="shared" si="17"/>
        <v>8</v>
      </c>
    </row>
    <row r="182" spans="1:24" hidden="1">
      <c r="A182" s="12">
        <v>44738</v>
      </c>
      <c r="B182" s="1">
        <v>2</v>
      </c>
      <c r="C182" s="1">
        <v>2</v>
      </c>
      <c r="D182" s="2">
        <v>4</v>
      </c>
      <c r="E182" s="1">
        <v>0</v>
      </c>
      <c r="F182" s="2">
        <v>4</v>
      </c>
      <c r="G182" s="1">
        <v>3</v>
      </c>
      <c r="H182" s="2">
        <v>0</v>
      </c>
      <c r="I182" s="1">
        <v>4</v>
      </c>
      <c r="J182" s="1">
        <v>0</v>
      </c>
      <c r="L182" s="21">
        <f t="shared" si="12"/>
        <v>15</v>
      </c>
      <c r="M182" s="21">
        <f t="shared" si="13"/>
        <v>4</v>
      </c>
      <c r="N182" s="22">
        <f t="shared" si="14"/>
        <v>19</v>
      </c>
      <c r="P182" s="2">
        <v>3</v>
      </c>
      <c r="Q182" s="5">
        <v>1</v>
      </c>
      <c r="R182" s="1">
        <v>2</v>
      </c>
      <c r="S182" s="5">
        <v>0</v>
      </c>
      <c r="T182" s="1">
        <v>0</v>
      </c>
      <c r="U182" s="5">
        <v>1</v>
      </c>
      <c r="V182" s="1">
        <v>1</v>
      </c>
      <c r="W182" s="1">
        <v>0</v>
      </c>
      <c r="X182" s="23">
        <f t="shared" si="17"/>
        <v>8</v>
      </c>
    </row>
    <row r="183" spans="1:24" hidden="1">
      <c r="A183" s="11">
        <v>44739</v>
      </c>
      <c r="B183" s="1">
        <v>2</v>
      </c>
      <c r="C183" s="1">
        <v>3</v>
      </c>
      <c r="D183" s="2">
        <v>4</v>
      </c>
      <c r="E183" s="1">
        <v>0</v>
      </c>
      <c r="F183" s="2">
        <v>4</v>
      </c>
      <c r="G183" s="1">
        <v>3</v>
      </c>
      <c r="H183" s="2">
        <v>0</v>
      </c>
      <c r="I183" s="1">
        <v>4</v>
      </c>
      <c r="J183" s="1">
        <v>0</v>
      </c>
      <c r="L183" s="21">
        <f t="shared" si="12"/>
        <v>16</v>
      </c>
      <c r="M183" s="21">
        <f t="shared" si="13"/>
        <v>4</v>
      </c>
      <c r="N183" s="22">
        <f t="shared" si="14"/>
        <v>20</v>
      </c>
      <c r="P183" s="2">
        <v>3</v>
      </c>
      <c r="Q183" s="5">
        <v>1</v>
      </c>
      <c r="R183" s="1">
        <v>2</v>
      </c>
      <c r="S183" s="5">
        <v>0</v>
      </c>
      <c r="T183" s="1">
        <v>0</v>
      </c>
      <c r="U183" s="5">
        <v>1</v>
      </c>
      <c r="V183" s="1">
        <v>1</v>
      </c>
      <c r="W183" s="1">
        <v>0</v>
      </c>
      <c r="X183" s="23">
        <f t="shared" si="17"/>
        <v>8</v>
      </c>
    </row>
    <row r="184" spans="1:24" hidden="1">
      <c r="A184" s="11">
        <v>44740</v>
      </c>
      <c r="B184" s="1">
        <v>2</v>
      </c>
      <c r="C184" s="1">
        <v>3</v>
      </c>
      <c r="D184" s="2">
        <v>4</v>
      </c>
      <c r="E184" s="1">
        <v>0</v>
      </c>
      <c r="F184" s="2">
        <v>4</v>
      </c>
      <c r="G184" s="1">
        <v>3</v>
      </c>
      <c r="H184" s="2">
        <v>0</v>
      </c>
      <c r="I184" s="1">
        <v>4</v>
      </c>
      <c r="J184" s="1">
        <v>0</v>
      </c>
      <c r="L184" s="21">
        <f t="shared" si="12"/>
        <v>16</v>
      </c>
      <c r="M184" s="21">
        <f t="shared" si="13"/>
        <v>4</v>
      </c>
      <c r="N184" s="22">
        <f t="shared" si="14"/>
        <v>20</v>
      </c>
      <c r="P184" s="2">
        <v>3</v>
      </c>
      <c r="Q184" s="5">
        <v>1</v>
      </c>
      <c r="R184" s="1">
        <v>2</v>
      </c>
      <c r="S184" s="5">
        <v>0</v>
      </c>
      <c r="T184" s="1">
        <v>0</v>
      </c>
      <c r="U184" s="5">
        <v>1</v>
      </c>
      <c r="V184" s="1">
        <v>1</v>
      </c>
      <c r="W184" s="1">
        <v>0</v>
      </c>
      <c r="X184" s="23">
        <f t="shared" si="17"/>
        <v>8</v>
      </c>
    </row>
    <row r="185" spans="1:24" hidden="1">
      <c r="A185" s="13">
        <v>44741</v>
      </c>
      <c r="B185" s="1">
        <v>3</v>
      </c>
      <c r="C185" s="1">
        <v>3</v>
      </c>
      <c r="D185" s="2">
        <v>3</v>
      </c>
      <c r="E185" s="1">
        <v>1</v>
      </c>
      <c r="F185" s="2">
        <v>3</v>
      </c>
      <c r="G185" s="1">
        <v>2</v>
      </c>
      <c r="H185" s="2">
        <v>0</v>
      </c>
      <c r="I185" s="1">
        <v>4</v>
      </c>
      <c r="J185" s="1">
        <v>0</v>
      </c>
      <c r="L185" s="21">
        <f t="shared" si="12"/>
        <v>15</v>
      </c>
      <c r="M185" s="21">
        <f t="shared" si="13"/>
        <v>4</v>
      </c>
      <c r="N185" s="22">
        <f t="shared" si="14"/>
        <v>19</v>
      </c>
      <c r="P185" s="2">
        <v>2</v>
      </c>
      <c r="Q185" s="5">
        <v>2</v>
      </c>
      <c r="R185" s="1">
        <v>1</v>
      </c>
      <c r="S185" s="5">
        <v>1</v>
      </c>
      <c r="T185" s="1">
        <v>0</v>
      </c>
      <c r="U185" s="5">
        <v>1</v>
      </c>
      <c r="V185" s="1">
        <v>1</v>
      </c>
      <c r="W185" s="1">
        <v>0</v>
      </c>
      <c r="X185" s="23">
        <f t="shared" si="17"/>
        <v>8</v>
      </c>
    </row>
    <row r="186" spans="1:24" hidden="1">
      <c r="A186" s="11">
        <v>44742</v>
      </c>
      <c r="B186" s="1">
        <v>3</v>
      </c>
      <c r="C186" s="1">
        <v>3</v>
      </c>
      <c r="D186" s="2">
        <v>3</v>
      </c>
      <c r="E186" s="1">
        <v>1</v>
      </c>
      <c r="F186" s="2">
        <v>3</v>
      </c>
      <c r="G186" s="1">
        <v>2</v>
      </c>
      <c r="H186" s="2">
        <v>0</v>
      </c>
      <c r="I186" s="1">
        <v>4</v>
      </c>
      <c r="J186" s="1">
        <v>0</v>
      </c>
      <c r="L186" s="21">
        <f t="shared" si="12"/>
        <v>15</v>
      </c>
      <c r="M186" s="21">
        <f t="shared" si="13"/>
        <v>4</v>
      </c>
      <c r="N186" s="22">
        <f t="shared" si="14"/>
        <v>19</v>
      </c>
      <c r="P186" s="2">
        <v>2</v>
      </c>
      <c r="Q186" s="5">
        <v>2</v>
      </c>
      <c r="R186" s="1">
        <v>1</v>
      </c>
      <c r="S186" s="5">
        <v>1</v>
      </c>
      <c r="T186" s="1">
        <v>0</v>
      </c>
      <c r="U186" s="5">
        <v>1</v>
      </c>
      <c r="V186" s="1">
        <v>1</v>
      </c>
      <c r="W186" s="1">
        <v>0</v>
      </c>
      <c r="X186" s="23">
        <f t="shared" si="17"/>
        <v>8</v>
      </c>
    </row>
    <row r="187" spans="1:24" hidden="1">
      <c r="A187" s="11">
        <v>44743</v>
      </c>
      <c r="B187" s="1">
        <v>3</v>
      </c>
      <c r="C187" s="1">
        <v>3</v>
      </c>
      <c r="D187" s="2">
        <v>3</v>
      </c>
      <c r="E187" s="1">
        <v>1</v>
      </c>
      <c r="F187" s="2">
        <v>3</v>
      </c>
      <c r="G187" s="1">
        <v>2</v>
      </c>
      <c r="H187" s="2">
        <v>0</v>
      </c>
      <c r="I187" s="1">
        <v>4</v>
      </c>
      <c r="J187" s="1">
        <v>0</v>
      </c>
      <c r="L187" s="21">
        <f t="shared" si="12"/>
        <v>15</v>
      </c>
      <c r="M187" s="21">
        <f t="shared" si="13"/>
        <v>4</v>
      </c>
      <c r="N187" s="22">
        <f t="shared" si="14"/>
        <v>19</v>
      </c>
      <c r="P187" s="2">
        <v>2</v>
      </c>
      <c r="Q187" s="5">
        <v>2</v>
      </c>
      <c r="R187" s="1">
        <v>1</v>
      </c>
      <c r="S187" s="5">
        <v>1</v>
      </c>
      <c r="T187" s="1">
        <v>0</v>
      </c>
      <c r="U187" s="5">
        <v>1</v>
      </c>
      <c r="V187" s="1">
        <v>1</v>
      </c>
      <c r="W187" s="1">
        <v>0</v>
      </c>
      <c r="X187" s="23">
        <f t="shared" si="17"/>
        <v>8</v>
      </c>
    </row>
    <row r="188" spans="1:24" hidden="1">
      <c r="A188" s="12">
        <v>44744</v>
      </c>
      <c r="B188" s="1">
        <v>3</v>
      </c>
      <c r="C188" s="1">
        <v>3</v>
      </c>
      <c r="D188" s="2">
        <v>3</v>
      </c>
      <c r="E188" s="1">
        <v>1</v>
      </c>
      <c r="F188" s="2">
        <v>3</v>
      </c>
      <c r="G188" s="1">
        <v>2</v>
      </c>
      <c r="H188" s="2">
        <v>0</v>
      </c>
      <c r="I188" s="1">
        <v>4</v>
      </c>
      <c r="J188" s="1">
        <v>0</v>
      </c>
      <c r="L188" s="21">
        <f t="shared" si="12"/>
        <v>15</v>
      </c>
      <c r="M188" s="21">
        <f t="shared" si="13"/>
        <v>4</v>
      </c>
      <c r="N188" s="22">
        <f t="shared" si="14"/>
        <v>19</v>
      </c>
      <c r="P188" s="2">
        <v>2</v>
      </c>
      <c r="Q188" s="5">
        <v>2</v>
      </c>
      <c r="R188" s="1">
        <v>1</v>
      </c>
      <c r="S188" s="5">
        <v>1</v>
      </c>
      <c r="T188" s="1">
        <v>0</v>
      </c>
      <c r="U188" s="5">
        <v>1</v>
      </c>
      <c r="V188" s="1">
        <v>1</v>
      </c>
      <c r="W188" s="1">
        <v>0</v>
      </c>
      <c r="X188" s="23">
        <f t="shared" si="17"/>
        <v>8</v>
      </c>
    </row>
    <row r="189" spans="1:24" hidden="1">
      <c r="A189" s="12">
        <v>44745</v>
      </c>
      <c r="B189" s="1">
        <v>3</v>
      </c>
      <c r="C189" s="1">
        <v>3</v>
      </c>
      <c r="D189" s="2">
        <v>3</v>
      </c>
      <c r="E189" s="1">
        <v>1</v>
      </c>
      <c r="F189" s="2">
        <v>3</v>
      </c>
      <c r="G189" s="1">
        <v>2</v>
      </c>
      <c r="H189" s="2">
        <v>0</v>
      </c>
      <c r="I189" s="1">
        <v>4</v>
      </c>
      <c r="J189" s="1">
        <v>0</v>
      </c>
      <c r="L189" s="21">
        <f t="shared" si="12"/>
        <v>15</v>
      </c>
      <c r="M189" s="21">
        <f t="shared" si="13"/>
        <v>4</v>
      </c>
      <c r="N189" s="22">
        <f t="shared" si="14"/>
        <v>19</v>
      </c>
      <c r="P189" s="2">
        <v>2</v>
      </c>
      <c r="Q189" s="5">
        <v>2</v>
      </c>
      <c r="R189" s="1">
        <v>1</v>
      </c>
      <c r="S189" s="5">
        <v>1</v>
      </c>
      <c r="T189" s="1">
        <v>0</v>
      </c>
      <c r="U189" s="5">
        <v>1</v>
      </c>
      <c r="V189" s="1">
        <v>1</v>
      </c>
      <c r="W189" s="1">
        <v>0</v>
      </c>
      <c r="X189" s="23">
        <f t="shared" si="17"/>
        <v>8</v>
      </c>
    </row>
    <row r="190" spans="1:24" hidden="1">
      <c r="A190" s="11">
        <v>44746</v>
      </c>
      <c r="B190" s="1">
        <v>3</v>
      </c>
      <c r="C190" s="1">
        <v>3</v>
      </c>
      <c r="D190" s="2">
        <v>3</v>
      </c>
      <c r="E190" s="1">
        <v>1</v>
      </c>
      <c r="F190" s="2">
        <v>3</v>
      </c>
      <c r="G190" s="1">
        <v>2</v>
      </c>
      <c r="H190" s="2">
        <v>0</v>
      </c>
      <c r="I190" s="1">
        <v>4</v>
      </c>
      <c r="J190" s="1">
        <v>0</v>
      </c>
      <c r="K190" s="178"/>
      <c r="L190" s="21">
        <f t="shared" si="12"/>
        <v>15</v>
      </c>
      <c r="M190" s="21">
        <f t="shared" si="13"/>
        <v>4</v>
      </c>
      <c r="N190" s="22">
        <f t="shared" si="14"/>
        <v>19</v>
      </c>
      <c r="P190" s="2">
        <v>2</v>
      </c>
      <c r="Q190" s="5">
        <v>2</v>
      </c>
      <c r="R190" s="1">
        <v>1</v>
      </c>
      <c r="S190" s="5">
        <v>1</v>
      </c>
      <c r="T190" s="1">
        <v>0</v>
      </c>
      <c r="U190" s="5">
        <v>1</v>
      </c>
      <c r="V190" s="1">
        <v>1</v>
      </c>
      <c r="W190" s="1">
        <v>0</v>
      </c>
      <c r="X190" s="23">
        <f t="shared" si="17"/>
        <v>8</v>
      </c>
    </row>
    <row r="191" spans="1:24" hidden="1">
      <c r="A191" s="11">
        <v>44747</v>
      </c>
      <c r="B191" s="1">
        <v>3</v>
      </c>
      <c r="C191" s="1">
        <v>3</v>
      </c>
      <c r="D191" s="2">
        <v>3</v>
      </c>
      <c r="E191" s="1">
        <v>1</v>
      </c>
      <c r="F191" s="2">
        <v>3</v>
      </c>
      <c r="G191" s="1">
        <v>2</v>
      </c>
      <c r="H191" s="2">
        <v>0</v>
      </c>
      <c r="I191" s="1">
        <v>4</v>
      </c>
      <c r="J191" s="1">
        <v>0</v>
      </c>
      <c r="K191" s="178"/>
      <c r="L191" s="21">
        <f t="shared" si="12"/>
        <v>15</v>
      </c>
      <c r="M191" s="21">
        <f t="shared" si="13"/>
        <v>4</v>
      </c>
      <c r="N191" s="22">
        <f t="shared" si="14"/>
        <v>19</v>
      </c>
      <c r="P191" s="2">
        <v>2</v>
      </c>
      <c r="Q191" s="5">
        <v>2</v>
      </c>
      <c r="R191" s="1">
        <v>1</v>
      </c>
      <c r="S191" s="5">
        <v>1</v>
      </c>
      <c r="T191" s="1">
        <v>0</v>
      </c>
      <c r="U191" s="5">
        <v>1</v>
      </c>
      <c r="V191" s="1">
        <v>1</v>
      </c>
      <c r="W191" s="1">
        <v>0</v>
      </c>
      <c r="X191" s="23">
        <f t="shared" si="17"/>
        <v>8</v>
      </c>
    </row>
    <row r="192" spans="1:24" hidden="1">
      <c r="A192" s="13">
        <v>44748</v>
      </c>
      <c r="B192" s="1">
        <v>3</v>
      </c>
      <c r="C192" s="1">
        <v>3</v>
      </c>
      <c r="D192" s="2">
        <v>3</v>
      </c>
      <c r="E192" s="1">
        <v>1</v>
      </c>
      <c r="F192" s="2">
        <v>4</v>
      </c>
      <c r="G192" s="1">
        <v>4</v>
      </c>
      <c r="H192" s="2">
        <v>0</v>
      </c>
      <c r="I192" s="1">
        <v>4</v>
      </c>
      <c r="J192" s="1">
        <v>0</v>
      </c>
      <c r="L192" s="21">
        <f t="shared" si="12"/>
        <v>18</v>
      </c>
      <c r="M192" s="21">
        <f t="shared" si="13"/>
        <v>4</v>
      </c>
      <c r="N192" s="22">
        <f t="shared" si="14"/>
        <v>22</v>
      </c>
      <c r="P192" s="2">
        <v>2</v>
      </c>
      <c r="Q192" s="5">
        <v>2</v>
      </c>
      <c r="R192" s="1">
        <v>1</v>
      </c>
      <c r="S192" s="5">
        <v>1</v>
      </c>
      <c r="T192" s="1">
        <v>0</v>
      </c>
      <c r="U192" s="5">
        <v>1</v>
      </c>
      <c r="V192" s="1">
        <v>1</v>
      </c>
      <c r="W192" s="1">
        <v>0</v>
      </c>
      <c r="X192" s="23">
        <f t="shared" si="17"/>
        <v>8</v>
      </c>
    </row>
    <row r="193" spans="1:24" hidden="1">
      <c r="A193" s="11">
        <v>44749</v>
      </c>
      <c r="B193" s="1">
        <v>3</v>
      </c>
      <c r="C193" s="1">
        <v>3</v>
      </c>
      <c r="D193" s="2">
        <v>3</v>
      </c>
      <c r="E193" s="1">
        <v>0</v>
      </c>
      <c r="F193" s="2">
        <v>3</v>
      </c>
      <c r="G193" s="1">
        <v>3</v>
      </c>
      <c r="H193" s="2">
        <v>0</v>
      </c>
      <c r="I193" s="1">
        <v>4</v>
      </c>
      <c r="J193" s="1">
        <v>0</v>
      </c>
      <c r="L193" s="21">
        <f t="shared" si="12"/>
        <v>15</v>
      </c>
      <c r="M193" s="21">
        <f t="shared" si="13"/>
        <v>4</v>
      </c>
      <c r="N193" s="22">
        <f t="shared" si="14"/>
        <v>19</v>
      </c>
      <c r="P193" s="2">
        <v>2</v>
      </c>
      <c r="Q193" s="5">
        <v>2</v>
      </c>
      <c r="R193" s="1">
        <v>1</v>
      </c>
      <c r="S193" s="5">
        <v>1</v>
      </c>
      <c r="T193" s="1">
        <v>0</v>
      </c>
      <c r="U193" s="5">
        <v>1</v>
      </c>
      <c r="V193" s="1">
        <v>1</v>
      </c>
      <c r="W193" s="1">
        <v>0</v>
      </c>
      <c r="X193" s="23">
        <f t="shared" si="17"/>
        <v>8</v>
      </c>
    </row>
    <row r="194" spans="1:24" hidden="1">
      <c r="A194" s="11">
        <v>44750</v>
      </c>
      <c r="B194" s="1">
        <v>3</v>
      </c>
      <c r="C194" s="1">
        <v>3</v>
      </c>
      <c r="D194" s="2">
        <v>3</v>
      </c>
      <c r="E194" s="1">
        <v>0</v>
      </c>
      <c r="F194" s="2">
        <v>3</v>
      </c>
      <c r="G194" s="1">
        <v>3</v>
      </c>
      <c r="H194" s="2">
        <v>0</v>
      </c>
      <c r="I194" s="1">
        <v>5</v>
      </c>
      <c r="J194" s="1">
        <v>0</v>
      </c>
      <c r="L194" s="21">
        <f t="shared" si="12"/>
        <v>15</v>
      </c>
      <c r="M194" s="21">
        <f t="shared" si="13"/>
        <v>5</v>
      </c>
      <c r="N194" s="22">
        <f t="shared" si="14"/>
        <v>20</v>
      </c>
      <c r="P194" s="2">
        <v>2</v>
      </c>
      <c r="Q194" s="5">
        <v>2</v>
      </c>
      <c r="R194" s="1">
        <v>1</v>
      </c>
      <c r="S194" s="5">
        <v>1</v>
      </c>
      <c r="T194" s="1">
        <v>0</v>
      </c>
      <c r="U194" s="5">
        <v>1</v>
      </c>
      <c r="V194" s="1">
        <v>1</v>
      </c>
      <c r="W194" s="1">
        <v>0</v>
      </c>
      <c r="X194" s="23">
        <f t="shared" si="17"/>
        <v>8</v>
      </c>
    </row>
    <row r="195" spans="1:24" hidden="1">
      <c r="A195" s="12">
        <v>44751</v>
      </c>
      <c r="B195" s="1">
        <v>3</v>
      </c>
      <c r="C195" s="1">
        <v>3</v>
      </c>
      <c r="D195" s="2">
        <v>3</v>
      </c>
      <c r="E195" s="1">
        <v>0</v>
      </c>
      <c r="F195" s="2">
        <v>3</v>
      </c>
      <c r="G195" s="1">
        <v>3</v>
      </c>
      <c r="H195" s="2">
        <v>0</v>
      </c>
      <c r="I195" s="1">
        <v>5</v>
      </c>
      <c r="J195" s="1">
        <v>0</v>
      </c>
      <c r="L195" s="21">
        <f t="shared" si="12"/>
        <v>15</v>
      </c>
      <c r="M195" s="21">
        <f t="shared" si="13"/>
        <v>5</v>
      </c>
      <c r="N195" s="22">
        <f t="shared" si="14"/>
        <v>20</v>
      </c>
      <c r="P195" s="2">
        <v>2</v>
      </c>
      <c r="Q195" s="5">
        <v>2</v>
      </c>
      <c r="R195" s="1">
        <v>1</v>
      </c>
      <c r="S195" s="5">
        <v>1</v>
      </c>
      <c r="T195" s="1">
        <v>0</v>
      </c>
      <c r="U195" s="5">
        <v>1</v>
      </c>
      <c r="V195" s="1">
        <v>1</v>
      </c>
      <c r="W195" s="1">
        <v>0</v>
      </c>
      <c r="X195" s="23">
        <f t="shared" si="17"/>
        <v>8</v>
      </c>
    </row>
    <row r="196" spans="1:24" hidden="1">
      <c r="A196" s="12">
        <v>44752</v>
      </c>
      <c r="B196" s="1">
        <v>3</v>
      </c>
      <c r="C196" s="1">
        <v>3</v>
      </c>
      <c r="D196" s="2">
        <v>3</v>
      </c>
      <c r="E196" s="1">
        <v>0</v>
      </c>
      <c r="F196" s="2">
        <v>3</v>
      </c>
      <c r="G196" s="1">
        <v>3</v>
      </c>
      <c r="H196" s="2">
        <v>0</v>
      </c>
      <c r="I196" s="1">
        <v>5</v>
      </c>
      <c r="J196" s="1">
        <v>0</v>
      </c>
      <c r="L196" s="21">
        <f t="shared" si="12"/>
        <v>15</v>
      </c>
      <c r="M196" s="21">
        <f t="shared" si="13"/>
        <v>5</v>
      </c>
      <c r="N196" s="22">
        <f t="shared" si="14"/>
        <v>20</v>
      </c>
      <c r="P196" s="2">
        <v>2</v>
      </c>
      <c r="Q196" s="5">
        <v>2</v>
      </c>
      <c r="R196" s="1">
        <v>1</v>
      </c>
      <c r="S196" s="5">
        <v>1</v>
      </c>
      <c r="T196" s="1">
        <v>0</v>
      </c>
      <c r="U196" s="5">
        <v>1</v>
      </c>
      <c r="V196" s="1">
        <v>1</v>
      </c>
      <c r="W196" s="1">
        <v>0</v>
      </c>
      <c r="X196" s="23">
        <f t="shared" si="17"/>
        <v>8</v>
      </c>
    </row>
    <row r="197" spans="1:24" hidden="1">
      <c r="A197" s="11">
        <v>44753</v>
      </c>
      <c r="B197" s="1">
        <v>3</v>
      </c>
      <c r="C197" s="1">
        <v>3</v>
      </c>
      <c r="D197" s="2">
        <v>3</v>
      </c>
      <c r="E197" s="1">
        <v>0</v>
      </c>
      <c r="F197" s="2">
        <v>3</v>
      </c>
      <c r="G197" s="1">
        <v>3</v>
      </c>
      <c r="H197" s="2">
        <v>0</v>
      </c>
      <c r="I197" s="1">
        <v>5</v>
      </c>
      <c r="J197" s="1">
        <v>0</v>
      </c>
      <c r="L197" s="21">
        <f t="shared" si="12"/>
        <v>15</v>
      </c>
      <c r="M197" s="21">
        <f t="shared" si="13"/>
        <v>5</v>
      </c>
      <c r="N197" s="22">
        <f t="shared" si="14"/>
        <v>20</v>
      </c>
      <c r="P197" s="2">
        <v>2</v>
      </c>
      <c r="Q197" s="5">
        <v>2</v>
      </c>
      <c r="R197" s="1">
        <v>1</v>
      </c>
      <c r="S197" s="5">
        <v>1</v>
      </c>
      <c r="T197" s="1">
        <v>0</v>
      </c>
      <c r="U197" s="5">
        <v>1</v>
      </c>
      <c r="V197" s="1">
        <v>1</v>
      </c>
      <c r="W197" s="1">
        <v>0</v>
      </c>
      <c r="X197" s="23">
        <f t="shared" si="17"/>
        <v>8</v>
      </c>
    </row>
    <row r="198" spans="1:24" hidden="1">
      <c r="A198" s="11">
        <v>44754</v>
      </c>
      <c r="B198" s="1">
        <v>3</v>
      </c>
      <c r="C198" s="1">
        <v>3</v>
      </c>
      <c r="D198" s="2">
        <v>3</v>
      </c>
      <c r="E198" s="1">
        <v>0</v>
      </c>
      <c r="F198" s="2">
        <v>3</v>
      </c>
      <c r="G198" s="1">
        <v>3</v>
      </c>
      <c r="H198" s="2">
        <v>0</v>
      </c>
      <c r="I198" s="1">
        <v>5</v>
      </c>
      <c r="J198" s="1">
        <v>0</v>
      </c>
      <c r="L198" s="21">
        <f t="shared" si="12"/>
        <v>15</v>
      </c>
      <c r="M198" s="21">
        <f t="shared" si="13"/>
        <v>5</v>
      </c>
      <c r="N198" s="22">
        <f t="shared" si="14"/>
        <v>20</v>
      </c>
      <c r="P198" s="2">
        <v>2</v>
      </c>
      <c r="Q198" s="5">
        <v>2</v>
      </c>
      <c r="R198" s="1">
        <v>1</v>
      </c>
      <c r="S198" s="5">
        <v>1</v>
      </c>
      <c r="T198" s="1">
        <v>0</v>
      </c>
      <c r="U198" s="5">
        <v>1</v>
      </c>
      <c r="V198" s="1">
        <v>1</v>
      </c>
      <c r="W198" s="1">
        <v>0</v>
      </c>
      <c r="X198" s="23">
        <f t="shared" si="17"/>
        <v>8</v>
      </c>
    </row>
    <row r="199" spans="1:24" hidden="1">
      <c r="A199" s="13">
        <v>44755</v>
      </c>
      <c r="B199" s="1">
        <v>2</v>
      </c>
      <c r="C199" s="1">
        <v>3</v>
      </c>
      <c r="D199" s="2">
        <v>3</v>
      </c>
      <c r="E199" s="1">
        <v>1</v>
      </c>
      <c r="F199" s="2">
        <v>4</v>
      </c>
      <c r="G199" s="1">
        <v>3</v>
      </c>
      <c r="H199" s="2">
        <v>0</v>
      </c>
      <c r="I199" s="1">
        <v>4</v>
      </c>
      <c r="J199" s="1">
        <v>0</v>
      </c>
      <c r="L199" s="21">
        <f t="shared" ref="L199:L262" si="18">SUM(B199,C199,D199,E199,F199,G199,H199)</f>
        <v>16</v>
      </c>
      <c r="M199" s="21">
        <f t="shared" ref="M199:M262" si="19">SUM(I199,J199)</f>
        <v>4</v>
      </c>
      <c r="N199" s="22">
        <f t="shared" ref="N199:N262" si="20">SUM(L199:M199)</f>
        <v>20</v>
      </c>
      <c r="P199" s="2">
        <v>2</v>
      </c>
      <c r="Q199" s="5">
        <v>2</v>
      </c>
      <c r="R199" s="1">
        <v>1</v>
      </c>
      <c r="S199" s="5">
        <v>1</v>
      </c>
      <c r="T199" s="1">
        <v>0</v>
      </c>
      <c r="U199" s="5">
        <v>1</v>
      </c>
      <c r="V199" s="1">
        <v>1</v>
      </c>
      <c r="W199" s="1">
        <v>0</v>
      </c>
      <c r="X199" s="23">
        <f t="shared" si="17"/>
        <v>8</v>
      </c>
    </row>
    <row r="200" spans="1:24" hidden="1">
      <c r="A200" s="11">
        <v>44756</v>
      </c>
      <c r="B200" s="1">
        <v>2</v>
      </c>
      <c r="C200" s="1">
        <v>3</v>
      </c>
      <c r="D200" s="2">
        <v>3</v>
      </c>
      <c r="E200" s="1">
        <v>1</v>
      </c>
      <c r="F200" s="2">
        <v>5</v>
      </c>
      <c r="G200" s="1">
        <v>3</v>
      </c>
      <c r="H200" s="2">
        <v>0</v>
      </c>
      <c r="I200" s="1">
        <v>3</v>
      </c>
      <c r="J200" s="1">
        <v>0</v>
      </c>
      <c r="L200" s="21">
        <f t="shared" si="18"/>
        <v>17</v>
      </c>
      <c r="M200" s="21">
        <f t="shared" si="19"/>
        <v>3</v>
      </c>
      <c r="N200" s="22">
        <f t="shared" si="20"/>
        <v>20</v>
      </c>
      <c r="P200" s="2">
        <v>2</v>
      </c>
      <c r="Q200" s="5">
        <v>2</v>
      </c>
      <c r="R200" s="1">
        <v>1</v>
      </c>
      <c r="S200" s="5">
        <v>1</v>
      </c>
      <c r="T200" s="1">
        <v>0</v>
      </c>
      <c r="U200" s="5">
        <v>1</v>
      </c>
      <c r="V200" s="1">
        <v>1</v>
      </c>
      <c r="W200" s="1">
        <v>0</v>
      </c>
      <c r="X200" s="23">
        <f t="shared" si="17"/>
        <v>8</v>
      </c>
    </row>
    <row r="201" spans="1:24" hidden="1">
      <c r="A201" s="11">
        <v>44757</v>
      </c>
      <c r="B201" s="1">
        <v>2</v>
      </c>
      <c r="C201" s="1">
        <v>3</v>
      </c>
      <c r="D201" s="2">
        <v>3</v>
      </c>
      <c r="E201" s="1">
        <v>1</v>
      </c>
      <c r="F201" s="2">
        <v>4</v>
      </c>
      <c r="G201" s="1">
        <v>3</v>
      </c>
      <c r="H201" s="2">
        <v>0</v>
      </c>
      <c r="I201" s="1">
        <v>3</v>
      </c>
      <c r="J201" s="1">
        <v>0</v>
      </c>
      <c r="L201" s="21">
        <f t="shared" si="18"/>
        <v>16</v>
      </c>
      <c r="M201" s="21">
        <f t="shared" si="19"/>
        <v>3</v>
      </c>
      <c r="N201" s="22">
        <f t="shared" si="20"/>
        <v>19</v>
      </c>
      <c r="P201" s="2">
        <v>2</v>
      </c>
      <c r="Q201" s="5">
        <v>2</v>
      </c>
      <c r="R201" s="1">
        <v>1</v>
      </c>
      <c r="S201" s="5">
        <v>1</v>
      </c>
      <c r="T201" s="1">
        <v>0</v>
      </c>
      <c r="U201" s="5">
        <v>1</v>
      </c>
      <c r="V201" s="1">
        <v>1</v>
      </c>
      <c r="W201" s="1">
        <v>0</v>
      </c>
      <c r="X201" s="23">
        <f t="shared" si="17"/>
        <v>8</v>
      </c>
    </row>
    <row r="202" spans="1:24" hidden="1">
      <c r="A202" s="12">
        <v>44758</v>
      </c>
      <c r="B202" s="1">
        <v>1</v>
      </c>
      <c r="C202" s="1">
        <v>3</v>
      </c>
      <c r="D202" s="2">
        <v>2</v>
      </c>
      <c r="E202" s="1">
        <v>1</v>
      </c>
      <c r="F202" s="2">
        <v>4</v>
      </c>
      <c r="G202" s="1">
        <v>3</v>
      </c>
      <c r="H202" s="2">
        <v>0</v>
      </c>
      <c r="I202" s="1">
        <v>3</v>
      </c>
      <c r="J202" s="1">
        <v>0</v>
      </c>
      <c r="L202" s="21">
        <f t="shared" si="18"/>
        <v>14</v>
      </c>
      <c r="M202" s="21">
        <f t="shared" si="19"/>
        <v>3</v>
      </c>
      <c r="N202" s="22">
        <f t="shared" si="20"/>
        <v>17</v>
      </c>
      <c r="P202" s="2">
        <v>2</v>
      </c>
      <c r="Q202" s="5">
        <v>2</v>
      </c>
      <c r="R202" s="1">
        <v>1</v>
      </c>
      <c r="S202" s="5">
        <v>1</v>
      </c>
      <c r="T202" s="1">
        <v>0</v>
      </c>
      <c r="U202" s="5">
        <v>1</v>
      </c>
      <c r="V202" s="1">
        <v>1</v>
      </c>
      <c r="W202" s="1">
        <v>0</v>
      </c>
      <c r="X202" s="23">
        <f t="shared" si="17"/>
        <v>8</v>
      </c>
    </row>
    <row r="203" spans="1:24" hidden="1">
      <c r="A203" s="12">
        <v>44759</v>
      </c>
      <c r="B203" s="1">
        <v>1</v>
      </c>
      <c r="C203" s="1">
        <v>3</v>
      </c>
      <c r="D203" s="2">
        <v>2</v>
      </c>
      <c r="E203" s="1">
        <v>1</v>
      </c>
      <c r="F203" s="2">
        <v>4</v>
      </c>
      <c r="G203" s="1">
        <v>3</v>
      </c>
      <c r="H203" s="2">
        <v>0</v>
      </c>
      <c r="I203" s="1">
        <v>3</v>
      </c>
      <c r="J203" s="1">
        <v>0</v>
      </c>
      <c r="L203" s="21">
        <f t="shared" si="18"/>
        <v>14</v>
      </c>
      <c r="M203" s="21">
        <f t="shared" si="19"/>
        <v>3</v>
      </c>
      <c r="N203" s="22">
        <f t="shared" si="20"/>
        <v>17</v>
      </c>
      <c r="P203" s="2">
        <v>2</v>
      </c>
      <c r="Q203" s="5">
        <v>2</v>
      </c>
      <c r="R203" s="1">
        <v>1</v>
      </c>
      <c r="S203" s="5">
        <v>1</v>
      </c>
      <c r="T203" s="1">
        <v>0</v>
      </c>
      <c r="U203" s="5">
        <v>1</v>
      </c>
      <c r="V203" s="1">
        <v>1</v>
      </c>
      <c r="W203" s="1">
        <v>0</v>
      </c>
      <c r="X203" s="23">
        <f t="shared" si="17"/>
        <v>8</v>
      </c>
    </row>
    <row r="204" spans="1:24" hidden="1">
      <c r="A204" s="11">
        <v>44760</v>
      </c>
      <c r="B204" s="1">
        <v>1</v>
      </c>
      <c r="C204" s="1">
        <v>3</v>
      </c>
      <c r="D204" s="2">
        <v>2</v>
      </c>
      <c r="E204" s="1">
        <v>1</v>
      </c>
      <c r="F204" s="2">
        <v>4</v>
      </c>
      <c r="G204" s="1">
        <v>3</v>
      </c>
      <c r="H204" s="2">
        <v>0</v>
      </c>
      <c r="I204" s="1">
        <v>3</v>
      </c>
      <c r="J204" s="1">
        <v>0</v>
      </c>
      <c r="L204" s="21">
        <f t="shared" si="18"/>
        <v>14</v>
      </c>
      <c r="M204" s="21">
        <f t="shared" si="19"/>
        <v>3</v>
      </c>
      <c r="N204" s="22">
        <f t="shared" si="20"/>
        <v>17</v>
      </c>
      <c r="P204" s="2">
        <v>2</v>
      </c>
      <c r="Q204" s="5">
        <v>2</v>
      </c>
      <c r="R204" s="1">
        <v>1</v>
      </c>
      <c r="S204" s="5">
        <v>1</v>
      </c>
      <c r="T204" s="1">
        <v>0</v>
      </c>
      <c r="U204" s="5">
        <v>1</v>
      </c>
      <c r="V204" s="1">
        <v>1</v>
      </c>
      <c r="W204" s="1">
        <v>0</v>
      </c>
      <c r="X204" s="23">
        <f t="shared" si="17"/>
        <v>8</v>
      </c>
    </row>
    <row r="205" spans="1:24" hidden="1">
      <c r="A205" s="11">
        <v>44761</v>
      </c>
      <c r="B205" s="1">
        <v>2</v>
      </c>
      <c r="C205" s="1">
        <v>3</v>
      </c>
      <c r="D205" s="2">
        <v>2</v>
      </c>
      <c r="E205" s="1">
        <v>1</v>
      </c>
      <c r="F205" s="2">
        <v>4</v>
      </c>
      <c r="G205" s="1">
        <v>3</v>
      </c>
      <c r="H205" s="2">
        <v>0</v>
      </c>
      <c r="I205" s="1">
        <v>3</v>
      </c>
      <c r="J205" s="1">
        <v>0</v>
      </c>
      <c r="L205" s="21">
        <f t="shared" si="18"/>
        <v>15</v>
      </c>
      <c r="M205" s="21">
        <f t="shared" si="19"/>
        <v>3</v>
      </c>
      <c r="N205" s="22">
        <f t="shared" si="20"/>
        <v>18</v>
      </c>
      <c r="P205" s="2">
        <v>2</v>
      </c>
      <c r="Q205" s="5">
        <v>2</v>
      </c>
      <c r="R205" s="1">
        <v>1</v>
      </c>
      <c r="S205" s="5">
        <v>1</v>
      </c>
      <c r="T205" s="1">
        <v>0</v>
      </c>
      <c r="U205" s="5">
        <v>1</v>
      </c>
      <c r="V205" s="1">
        <v>1</v>
      </c>
      <c r="W205" s="1">
        <v>0</v>
      </c>
      <c r="X205" s="23">
        <f t="shared" si="17"/>
        <v>8</v>
      </c>
    </row>
    <row r="206" spans="1:24" hidden="1">
      <c r="A206" s="13">
        <v>44762</v>
      </c>
      <c r="B206" s="1">
        <v>2</v>
      </c>
      <c r="C206" s="1">
        <v>3</v>
      </c>
      <c r="D206" s="2">
        <v>2</v>
      </c>
      <c r="E206" s="1">
        <v>1</v>
      </c>
      <c r="F206" s="2">
        <v>4</v>
      </c>
      <c r="G206" s="1">
        <v>4</v>
      </c>
      <c r="H206" s="2">
        <v>0</v>
      </c>
      <c r="I206" s="1">
        <v>6</v>
      </c>
      <c r="J206" s="1">
        <v>0</v>
      </c>
      <c r="L206" s="21">
        <f t="shared" si="18"/>
        <v>16</v>
      </c>
      <c r="M206" s="21">
        <f t="shared" si="19"/>
        <v>6</v>
      </c>
      <c r="N206" s="22">
        <f t="shared" si="20"/>
        <v>22</v>
      </c>
      <c r="P206" s="2">
        <v>2</v>
      </c>
      <c r="Q206" s="5">
        <v>3</v>
      </c>
      <c r="R206" s="1">
        <v>2</v>
      </c>
      <c r="S206" s="5">
        <v>1</v>
      </c>
      <c r="T206" s="1">
        <v>0</v>
      </c>
      <c r="U206" s="5">
        <v>0</v>
      </c>
      <c r="V206" s="1">
        <v>0</v>
      </c>
      <c r="W206" s="1">
        <v>0</v>
      </c>
      <c r="X206" s="23">
        <f t="shared" si="17"/>
        <v>8</v>
      </c>
    </row>
    <row r="207" spans="1:24" hidden="1">
      <c r="A207" s="11">
        <v>44763</v>
      </c>
      <c r="B207" s="1">
        <v>2</v>
      </c>
      <c r="C207" s="1">
        <v>3</v>
      </c>
      <c r="D207" s="2">
        <v>2</v>
      </c>
      <c r="E207" s="1">
        <v>1</v>
      </c>
      <c r="F207" s="2">
        <v>4</v>
      </c>
      <c r="G207" s="1">
        <v>3</v>
      </c>
      <c r="H207" s="2">
        <v>0</v>
      </c>
      <c r="I207" s="1">
        <v>5</v>
      </c>
      <c r="J207" s="1">
        <v>0</v>
      </c>
      <c r="L207" s="21">
        <f t="shared" ref="L207:L212" si="21">SUM(B207,C207,D207,E207,F207,G207,H207)</f>
        <v>15</v>
      </c>
      <c r="M207" s="21">
        <f t="shared" ref="M207:M212" si="22">SUM(I207,J207)</f>
        <v>5</v>
      </c>
      <c r="N207" s="22">
        <f t="shared" ref="N207:N212" si="23">SUM(L207:M207)</f>
        <v>20</v>
      </c>
      <c r="P207" s="2">
        <v>2</v>
      </c>
      <c r="Q207" s="5">
        <v>3</v>
      </c>
      <c r="R207" s="1">
        <v>2</v>
      </c>
      <c r="S207" s="5">
        <v>1</v>
      </c>
      <c r="T207" s="1">
        <v>0</v>
      </c>
      <c r="U207" s="5">
        <v>0</v>
      </c>
      <c r="V207" s="1">
        <v>0</v>
      </c>
      <c r="W207" s="1">
        <v>0</v>
      </c>
      <c r="X207" s="23">
        <f t="shared" si="17"/>
        <v>8</v>
      </c>
    </row>
    <row r="208" spans="1:24" hidden="1">
      <c r="A208" s="11">
        <v>44764</v>
      </c>
      <c r="B208" s="1">
        <v>2</v>
      </c>
      <c r="C208" s="1">
        <v>3</v>
      </c>
      <c r="D208" s="2">
        <v>2</v>
      </c>
      <c r="E208" s="1">
        <v>1</v>
      </c>
      <c r="F208" s="2">
        <v>4</v>
      </c>
      <c r="G208" s="1">
        <v>3</v>
      </c>
      <c r="H208" s="2">
        <v>0</v>
      </c>
      <c r="I208" s="1">
        <v>5</v>
      </c>
      <c r="J208" s="1">
        <v>0</v>
      </c>
      <c r="L208" s="21">
        <f t="shared" si="21"/>
        <v>15</v>
      </c>
      <c r="M208" s="21">
        <f t="shared" si="22"/>
        <v>5</v>
      </c>
      <c r="N208" s="22">
        <f t="shared" si="23"/>
        <v>20</v>
      </c>
      <c r="P208" s="2">
        <v>2</v>
      </c>
      <c r="Q208" s="5">
        <v>3</v>
      </c>
      <c r="R208" s="1">
        <v>2</v>
      </c>
      <c r="S208" s="5">
        <v>1</v>
      </c>
      <c r="T208" s="1">
        <v>0</v>
      </c>
      <c r="U208" s="5">
        <v>0</v>
      </c>
      <c r="V208" s="1">
        <v>0</v>
      </c>
      <c r="W208" s="1">
        <v>0</v>
      </c>
      <c r="X208" s="23">
        <f t="shared" si="17"/>
        <v>8</v>
      </c>
    </row>
    <row r="209" spans="1:24" hidden="1">
      <c r="A209" s="12">
        <v>44765</v>
      </c>
      <c r="B209" s="1">
        <v>2</v>
      </c>
      <c r="C209" s="1">
        <v>3</v>
      </c>
      <c r="D209" s="2">
        <v>3</v>
      </c>
      <c r="E209" s="1">
        <v>1</v>
      </c>
      <c r="F209" s="2">
        <v>4</v>
      </c>
      <c r="G209" s="1">
        <v>3</v>
      </c>
      <c r="H209" s="2">
        <v>0</v>
      </c>
      <c r="I209" s="1">
        <v>5</v>
      </c>
      <c r="J209" s="1">
        <v>0</v>
      </c>
      <c r="L209" s="21">
        <f t="shared" si="21"/>
        <v>16</v>
      </c>
      <c r="M209" s="21">
        <f t="shared" si="22"/>
        <v>5</v>
      </c>
      <c r="N209" s="22">
        <f t="shared" si="23"/>
        <v>21</v>
      </c>
      <c r="P209" s="2">
        <v>2</v>
      </c>
      <c r="Q209" s="5">
        <v>3</v>
      </c>
      <c r="R209" s="1">
        <v>2</v>
      </c>
      <c r="S209" s="5">
        <v>1</v>
      </c>
      <c r="T209" s="1">
        <v>0</v>
      </c>
      <c r="U209" s="5">
        <v>0</v>
      </c>
      <c r="V209" s="1">
        <v>0</v>
      </c>
      <c r="W209" s="1">
        <v>0</v>
      </c>
      <c r="X209" s="23">
        <f t="shared" si="17"/>
        <v>8</v>
      </c>
    </row>
    <row r="210" spans="1:24" hidden="1">
      <c r="A210" s="12">
        <v>44766</v>
      </c>
      <c r="B210" s="1">
        <v>3</v>
      </c>
      <c r="C210" s="1">
        <v>3</v>
      </c>
      <c r="D210" s="2">
        <v>3</v>
      </c>
      <c r="E210" s="1">
        <v>1</v>
      </c>
      <c r="F210" s="2">
        <v>4</v>
      </c>
      <c r="G210" s="1">
        <v>3</v>
      </c>
      <c r="H210" s="2">
        <v>0</v>
      </c>
      <c r="I210" s="1">
        <v>5</v>
      </c>
      <c r="J210" s="1">
        <v>0</v>
      </c>
      <c r="L210" s="21">
        <f t="shared" si="21"/>
        <v>17</v>
      </c>
      <c r="M210" s="21">
        <f t="shared" si="22"/>
        <v>5</v>
      </c>
      <c r="N210" s="22">
        <f t="shared" si="23"/>
        <v>22</v>
      </c>
      <c r="P210" s="2">
        <v>2</v>
      </c>
      <c r="Q210" s="5">
        <v>3</v>
      </c>
      <c r="R210" s="1">
        <v>2</v>
      </c>
      <c r="S210" s="5">
        <v>1</v>
      </c>
      <c r="T210" s="1">
        <v>0</v>
      </c>
      <c r="U210" s="5">
        <v>0</v>
      </c>
      <c r="V210" s="1">
        <v>0</v>
      </c>
      <c r="W210" s="1">
        <v>0</v>
      </c>
      <c r="X210" s="23">
        <f t="shared" si="17"/>
        <v>8</v>
      </c>
    </row>
    <row r="211" spans="1:24" hidden="1">
      <c r="A211" s="11">
        <v>44767</v>
      </c>
      <c r="B211" s="1">
        <v>3</v>
      </c>
      <c r="C211" s="1">
        <v>3</v>
      </c>
      <c r="D211" s="2">
        <v>3</v>
      </c>
      <c r="E211" s="1">
        <v>1</v>
      </c>
      <c r="F211" s="2">
        <v>4</v>
      </c>
      <c r="G211" s="1">
        <v>3</v>
      </c>
      <c r="H211" s="2">
        <v>0</v>
      </c>
      <c r="I211" s="1">
        <v>5</v>
      </c>
      <c r="J211" s="1">
        <v>0</v>
      </c>
      <c r="L211" s="21">
        <f t="shared" si="21"/>
        <v>17</v>
      </c>
      <c r="M211" s="21">
        <f t="shared" si="22"/>
        <v>5</v>
      </c>
      <c r="N211" s="22">
        <f t="shared" si="23"/>
        <v>22</v>
      </c>
      <c r="P211" s="2">
        <v>2</v>
      </c>
      <c r="Q211" s="5">
        <v>3</v>
      </c>
      <c r="R211" s="1">
        <v>2</v>
      </c>
      <c r="S211" s="5">
        <v>1</v>
      </c>
      <c r="T211" s="1">
        <v>0</v>
      </c>
      <c r="U211" s="5">
        <v>0</v>
      </c>
      <c r="V211" s="1">
        <v>0</v>
      </c>
      <c r="W211" s="1">
        <v>0</v>
      </c>
      <c r="X211" s="23">
        <f t="shared" si="17"/>
        <v>8</v>
      </c>
    </row>
    <row r="212" spans="1:24" hidden="1">
      <c r="A212" s="11">
        <v>44768</v>
      </c>
      <c r="B212" s="1">
        <v>3</v>
      </c>
      <c r="C212" s="1">
        <v>3</v>
      </c>
      <c r="D212" s="2">
        <v>3</v>
      </c>
      <c r="E212" s="1">
        <v>1</v>
      </c>
      <c r="F212" s="2">
        <v>4</v>
      </c>
      <c r="G212" s="1">
        <v>3</v>
      </c>
      <c r="H212" s="2">
        <v>0</v>
      </c>
      <c r="I212" s="1">
        <v>5</v>
      </c>
      <c r="J212" s="1">
        <v>0</v>
      </c>
      <c r="L212" s="21">
        <f t="shared" si="21"/>
        <v>17</v>
      </c>
      <c r="M212" s="21">
        <f t="shared" si="22"/>
        <v>5</v>
      </c>
      <c r="N212" s="22">
        <f t="shared" si="23"/>
        <v>22</v>
      </c>
      <c r="P212" s="2">
        <v>2</v>
      </c>
      <c r="Q212" s="5">
        <v>3</v>
      </c>
      <c r="R212" s="1">
        <v>2</v>
      </c>
      <c r="S212" s="5">
        <v>1</v>
      </c>
      <c r="T212" s="1">
        <v>0</v>
      </c>
      <c r="U212" s="5">
        <v>0</v>
      </c>
      <c r="V212" s="1">
        <v>0</v>
      </c>
      <c r="W212" s="1">
        <v>0</v>
      </c>
      <c r="X212" s="23">
        <f t="shared" si="17"/>
        <v>8</v>
      </c>
    </row>
    <row r="213" spans="1:24" hidden="1">
      <c r="A213" s="13">
        <v>44769</v>
      </c>
      <c r="B213" s="1">
        <v>4</v>
      </c>
      <c r="C213" s="1">
        <v>3</v>
      </c>
      <c r="D213" s="2">
        <v>3</v>
      </c>
      <c r="E213" s="1">
        <v>1</v>
      </c>
      <c r="F213" s="2">
        <v>4</v>
      </c>
      <c r="G213" s="1">
        <v>4</v>
      </c>
      <c r="H213" s="2">
        <v>0</v>
      </c>
      <c r="I213" s="1">
        <v>5</v>
      </c>
      <c r="J213" s="1">
        <v>0</v>
      </c>
      <c r="L213" s="21">
        <f t="shared" si="18"/>
        <v>19</v>
      </c>
      <c r="M213" s="21">
        <f t="shared" si="19"/>
        <v>5</v>
      </c>
      <c r="N213" s="22">
        <f t="shared" si="20"/>
        <v>24</v>
      </c>
      <c r="P213" s="2">
        <v>2</v>
      </c>
      <c r="Q213" s="5">
        <v>2</v>
      </c>
      <c r="R213" s="1">
        <v>2</v>
      </c>
      <c r="S213" s="5">
        <v>0</v>
      </c>
      <c r="T213" s="1">
        <v>0</v>
      </c>
      <c r="U213" s="5">
        <v>1</v>
      </c>
      <c r="V213" s="1">
        <v>1</v>
      </c>
      <c r="W213" s="1">
        <v>1</v>
      </c>
      <c r="X213" s="23">
        <f t="shared" si="17"/>
        <v>9</v>
      </c>
    </row>
    <row r="214" spans="1:24" hidden="1">
      <c r="A214" s="11">
        <v>44770</v>
      </c>
      <c r="B214" s="1">
        <v>2</v>
      </c>
      <c r="C214" s="1">
        <v>3</v>
      </c>
      <c r="D214" s="2">
        <v>3</v>
      </c>
      <c r="E214" s="1">
        <v>1</v>
      </c>
      <c r="F214" s="2">
        <v>4</v>
      </c>
      <c r="G214" s="1">
        <v>4</v>
      </c>
      <c r="H214" s="2">
        <v>0</v>
      </c>
      <c r="I214" s="1">
        <v>4</v>
      </c>
      <c r="J214" s="1">
        <v>0</v>
      </c>
      <c r="L214" s="21">
        <f t="shared" si="18"/>
        <v>17</v>
      </c>
      <c r="M214" s="21">
        <f t="shared" si="19"/>
        <v>4</v>
      </c>
      <c r="N214" s="22">
        <f t="shared" si="20"/>
        <v>21</v>
      </c>
      <c r="P214" s="2">
        <v>2</v>
      </c>
      <c r="Q214" s="5">
        <v>2</v>
      </c>
      <c r="R214" s="1">
        <v>2</v>
      </c>
      <c r="S214" s="5">
        <v>0</v>
      </c>
      <c r="T214" s="1">
        <v>0</v>
      </c>
      <c r="U214" s="5">
        <v>1</v>
      </c>
      <c r="V214" s="1">
        <v>1</v>
      </c>
      <c r="W214" s="1">
        <v>1</v>
      </c>
      <c r="X214" s="23">
        <f t="shared" si="17"/>
        <v>9</v>
      </c>
    </row>
    <row r="215" spans="1:24" hidden="1">
      <c r="A215" s="11">
        <v>44771</v>
      </c>
      <c r="B215" s="1">
        <v>2</v>
      </c>
      <c r="C215" s="1">
        <v>3</v>
      </c>
      <c r="D215" s="2">
        <v>3</v>
      </c>
      <c r="E215" s="1">
        <v>1</v>
      </c>
      <c r="F215" s="2">
        <v>4</v>
      </c>
      <c r="G215" s="1">
        <v>4</v>
      </c>
      <c r="H215" s="2">
        <v>0</v>
      </c>
      <c r="I215" s="1">
        <v>4</v>
      </c>
      <c r="J215" s="1">
        <v>0</v>
      </c>
      <c r="L215" s="21">
        <f t="shared" si="18"/>
        <v>17</v>
      </c>
      <c r="M215" s="21">
        <f t="shared" si="19"/>
        <v>4</v>
      </c>
      <c r="N215" s="22">
        <f t="shared" si="20"/>
        <v>21</v>
      </c>
      <c r="P215" s="2">
        <v>2</v>
      </c>
      <c r="Q215" s="5">
        <v>2</v>
      </c>
      <c r="R215" s="1">
        <v>2</v>
      </c>
      <c r="S215" s="5">
        <v>0</v>
      </c>
      <c r="T215" s="1">
        <v>0</v>
      </c>
      <c r="U215" s="5">
        <v>2</v>
      </c>
      <c r="V215" s="1">
        <v>1</v>
      </c>
      <c r="W215" s="1">
        <v>1</v>
      </c>
      <c r="X215" s="23">
        <f t="shared" si="17"/>
        <v>10</v>
      </c>
    </row>
    <row r="216" spans="1:24" hidden="1">
      <c r="A216" s="12">
        <v>44772</v>
      </c>
      <c r="B216" s="1">
        <v>2</v>
      </c>
      <c r="C216" s="1">
        <v>3</v>
      </c>
      <c r="D216" s="2">
        <v>3</v>
      </c>
      <c r="E216" s="1">
        <v>1</v>
      </c>
      <c r="F216" s="2">
        <v>5</v>
      </c>
      <c r="G216" s="1">
        <v>4</v>
      </c>
      <c r="H216" s="2">
        <v>0</v>
      </c>
      <c r="I216" s="1">
        <v>4</v>
      </c>
      <c r="J216" s="1">
        <v>0</v>
      </c>
      <c r="L216" s="21">
        <f t="shared" si="18"/>
        <v>18</v>
      </c>
      <c r="M216" s="21">
        <f t="shared" si="19"/>
        <v>4</v>
      </c>
      <c r="N216" s="22">
        <f t="shared" si="20"/>
        <v>22</v>
      </c>
      <c r="P216" s="2">
        <v>2</v>
      </c>
      <c r="Q216" s="5">
        <v>2</v>
      </c>
      <c r="R216" s="1">
        <v>2</v>
      </c>
      <c r="S216" s="5">
        <v>0</v>
      </c>
      <c r="T216" s="1">
        <v>0</v>
      </c>
      <c r="U216" s="5">
        <v>2</v>
      </c>
      <c r="V216" s="1">
        <v>1</v>
      </c>
      <c r="W216" s="1">
        <v>1</v>
      </c>
      <c r="X216" s="23">
        <f t="shared" si="17"/>
        <v>10</v>
      </c>
    </row>
    <row r="217" spans="1:24" hidden="1">
      <c r="A217" s="12">
        <v>44773</v>
      </c>
      <c r="B217" s="1">
        <v>2</v>
      </c>
      <c r="C217" s="1">
        <v>3</v>
      </c>
      <c r="D217" s="2">
        <v>3</v>
      </c>
      <c r="E217" s="1">
        <v>1</v>
      </c>
      <c r="F217" s="2">
        <v>5</v>
      </c>
      <c r="G217" s="1">
        <v>4</v>
      </c>
      <c r="H217" s="2">
        <v>0</v>
      </c>
      <c r="I217" s="1">
        <v>4</v>
      </c>
      <c r="J217" s="1">
        <v>0</v>
      </c>
      <c r="L217" s="21">
        <f t="shared" si="18"/>
        <v>18</v>
      </c>
      <c r="M217" s="21">
        <f t="shared" si="19"/>
        <v>4</v>
      </c>
      <c r="N217" s="22">
        <f t="shared" si="20"/>
        <v>22</v>
      </c>
      <c r="P217" s="2">
        <v>2</v>
      </c>
      <c r="Q217" s="5">
        <v>2</v>
      </c>
      <c r="R217" s="1">
        <v>2</v>
      </c>
      <c r="S217" s="5">
        <v>0</v>
      </c>
      <c r="T217" s="1">
        <v>0</v>
      </c>
      <c r="U217" s="5">
        <v>2</v>
      </c>
      <c r="V217" s="1">
        <v>1</v>
      </c>
      <c r="W217" s="1">
        <v>1</v>
      </c>
      <c r="X217" s="23">
        <f t="shared" si="17"/>
        <v>10</v>
      </c>
    </row>
    <row r="218" spans="1:24">
      <c r="A218" s="11">
        <v>44774</v>
      </c>
      <c r="B218" s="1">
        <v>2</v>
      </c>
      <c r="C218" s="1">
        <v>3</v>
      </c>
      <c r="D218" s="2">
        <v>3</v>
      </c>
      <c r="E218" s="1">
        <v>2</v>
      </c>
      <c r="F218" s="2">
        <v>4</v>
      </c>
      <c r="G218" s="1">
        <v>4</v>
      </c>
      <c r="H218" s="2">
        <v>0</v>
      </c>
      <c r="I218" s="1">
        <v>4</v>
      </c>
      <c r="J218" s="1">
        <v>0</v>
      </c>
      <c r="L218" s="21">
        <f t="shared" si="18"/>
        <v>18</v>
      </c>
      <c r="M218" s="21">
        <f t="shared" si="19"/>
        <v>4</v>
      </c>
      <c r="N218" s="22">
        <f t="shared" si="20"/>
        <v>22</v>
      </c>
      <c r="P218" s="2">
        <v>2</v>
      </c>
      <c r="Q218" s="5">
        <v>2</v>
      </c>
      <c r="R218" s="1">
        <v>2</v>
      </c>
      <c r="S218" s="5">
        <v>0</v>
      </c>
      <c r="T218" s="1">
        <v>0</v>
      </c>
      <c r="U218" s="5">
        <v>2</v>
      </c>
      <c r="V218" s="1">
        <v>1</v>
      </c>
      <c r="W218" s="1">
        <v>1</v>
      </c>
      <c r="X218" s="23">
        <f t="shared" si="17"/>
        <v>10</v>
      </c>
    </row>
    <row r="219" spans="1:24">
      <c r="A219" s="11">
        <v>44775</v>
      </c>
      <c r="B219" s="1">
        <v>2</v>
      </c>
      <c r="C219" s="1">
        <v>3</v>
      </c>
      <c r="D219" s="2">
        <v>3</v>
      </c>
      <c r="E219" s="1">
        <v>2</v>
      </c>
      <c r="F219" s="2">
        <v>4</v>
      </c>
      <c r="G219" s="1">
        <v>4</v>
      </c>
      <c r="H219" s="2">
        <v>0</v>
      </c>
      <c r="I219" s="1">
        <v>4</v>
      </c>
      <c r="J219" s="1">
        <v>0</v>
      </c>
      <c r="L219" s="21">
        <f t="shared" si="18"/>
        <v>18</v>
      </c>
      <c r="M219" s="21">
        <f t="shared" si="19"/>
        <v>4</v>
      </c>
      <c r="N219" s="22">
        <f t="shared" si="20"/>
        <v>22</v>
      </c>
      <c r="P219" s="2">
        <v>2</v>
      </c>
      <c r="Q219" s="5">
        <v>2</v>
      </c>
      <c r="R219" s="1">
        <v>2</v>
      </c>
      <c r="S219" s="5">
        <v>0</v>
      </c>
      <c r="T219" s="1">
        <v>0</v>
      </c>
      <c r="U219" s="5">
        <v>2</v>
      </c>
      <c r="V219" s="1">
        <v>1</v>
      </c>
      <c r="W219" s="1">
        <v>1</v>
      </c>
      <c r="X219" s="23">
        <f t="shared" si="17"/>
        <v>10</v>
      </c>
    </row>
    <row r="220" spans="1:24">
      <c r="A220" s="13">
        <v>44776</v>
      </c>
      <c r="B220" s="1">
        <v>2</v>
      </c>
      <c r="C220" s="1">
        <v>3</v>
      </c>
      <c r="D220" s="2">
        <v>3</v>
      </c>
      <c r="E220" s="1">
        <v>2</v>
      </c>
      <c r="F220" s="2">
        <v>4</v>
      </c>
      <c r="G220" s="1">
        <v>4</v>
      </c>
      <c r="H220" s="2">
        <v>0</v>
      </c>
      <c r="I220" s="1">
        <v>5</v>
      </c>
      <c r="J220" s="1">
        <v>0</v>
      </c>
      <c r="L220" s="21">
        <f t="shared" si="18"/>
        <v>18</v>
      </c>
      <c r="M220" s="21">
        <f t="shared" si="19"/>
        <v>5</v>
      </c>
      <c r="N220" s="22">
        <f t="shared" si="20"/>
        <v>23</v>
      </c>
      <c r="P220" s="2">
        <v>2</v>
      </c>
      <c r="Q220" s="5">
        <v>2</v>
      </c>
      <c r="R220" s="1">
        <v>2</v>
      </c>
      <c r="S220" s="5">
        <v>0</v>
      </c>
      <c r="T220" s="1">
        <v>0</v>
      </c>
      <c r="U220" s="5">
        <v>2</v>
      </c>
      <c r="V220" s="1">
        <v>1</v>
      </c>
      <c r="W220" s="1">
        <v>1</v>
      </c>
      <c r="X220" s="23">
        <f t="shared" si="17"/>
        <v>10</v>
      </c>
    </row>
    <row r="221" spans="1:24">
      <c r="A221" s="11">
        <v>44777</v>
      </c>
      <c r="B221" s="1">
        <v>2</v>
      </c>
      <c r="C221" s="1">
        <v>3</v>
      </c>
      <c r="D221" s="2">
        <v>3</v>
      </c>
      <c r="E221" s="1">
        <v>1</v>
      </c>
      <c r="F221" s="2">
        <v>4</v>
      </c>
      <c r="G221" s="1">
        <v>4</v>
      </c>
      <c r="H221" s="2">
        <v>0</v>
      </c>
      <c r="I221" s="1">
        <v>5</v>
      </c>
      <c r="J221" s="1">
        <v>0</v>
      </c>
      <c r="L221" s="21">
        <f t="shared" si="18"/>
        <v>17</v>
      </c>
      <c r="M221" s="21">
        <f t="shared" si="19"/>
        <v>5</v>
      </c>
      <c r="N221" s="22">
        <f t="shared" si="20"/>
        <v>22</v>
      </c>
      <c r="P221" s="2">
        <v>3</v>
      </c>
      <c r="Q221" s="5">
        <v>2</v>
      </c>
      <c r="R221" s="1">
        <v>1</v>
      </c>
      <c r="S221" s="5">
        <v>0</v>
      </c>
      <c r="T221" s="1">
        <v>0</v>
      </c>
      <c r="U221" s="5">
        <v>1</v>
      </c>
      <c r="V221" s="1">
        <v>0</v>
      </c>
      <c r="W221" s="1">
        <v>0</v>
      </c>
      <c r="X221" s="23">
        <f t="shared" si="17"/>
        <v>7</v>
      </c>
    </row>
    <row r="222" spans="1:24">
      <c r="A222" s="11">
        <v>44778</v>
      </c>
      <c r="B222" s="1">
        <v>2</v>
      </c>
      <c r="C222" s="1">
        <v>3</v>
      </c>
      <c r="D222" s="2">
        <v>3</v>
      </c>
      <c r="E222" s="1">
        <v>1</v>
      </c>
      <c r="F222" s="2">
        <v>4</v>
      </c>
      <c r="G222" s="1">
        <v>4</v>
      </c>
      <c r="H222" s="2">
        <v>0</v>
      </c>
      <c r="I222" s="1">
        <v>5</v>
      </c>
      <c r="J222" s="1">
        <v>0</v>
      </c>
      <c r="L222" s="21">
        <f t="shared" si="18"/>
        <v>17</v>
      </c>
      <c r="M222" s="21">
        <f t="shared" si="19"/>
        <v>5</v>
      </c>
      <c r="N222" s="22">
        <f t="shared" si="20"/>
        <v>22</v>
      </c>
      <c r="P222" s="2">
        <v>3</v>
      </c>
      <c r="Q222" s="5">
        <v>2</v>
      </c>
      <c r="R222" s="1">
        <v>1</v>
      </c>
      <c r="S222" s="5">
        <v>0</v>
      </c>
      <c r="T222" s="1">
        <v>0</v>
      </c>
      <c r="U222" s="5">
        <v>1</v>
      </c>
      <c r="V222" s="1">
        <v>0</v>
      </c>
      <c r="W222" s="1">
        <v>0</v>
      </c>
      <c r="X222" s="23">
        <f t="shared" si="17"/>
        <v>7</v>
      </c>
    </row>
    <row r="223" spans="1:24">
      <c r="A223" s="12">
        <v>44779</v>
      </c>
      <c r="B223" s="1">
        <v>2</v>
      </c>
      <c r="C223" s="1">
        <v>3</v>
      </c>
      <c r="D223" s="2">
        <v>3</v>
      </c>
      <c r="E223" s="1">
        <v>1</v>
      </c>
      <c r="F223" s="2">
        <v>4</v>
      </c>
      <c r="G223" s="1">
        <v>4</v>
      </c>
      <c r="H223" s="2">
        <v>0</v>
      </c>
      <c r="I223" s="1">
        <v>5</v>
      </c>
      <c r="J223" s="1">
        <v>0</v>
      </c>
      <c r="L223" s="21">
        <f t="shared" si="18"/>
        <v>17</v>
      </c>
      <c r="M223" s="21">
        <f t="shared" si="19"/>
        <v>5</v>
      </c>
      <c r="N223" s="22">
        <f t="shared" si="20"/>
        <v>22</v>
      </c>
      <c r="P223" s="2">
        <v>3</v>
      </c>
      <c r="Q223" s="5">
        <v>2</v>
      </c>
      <c r="R223" s="1">
        <v>1</v>
      </c>
      <c r="S223" s="5">
        <v>0</v>
      </c>
      <c r="T223" s="1">
        <v>0</v>
      </c>
      <c r="U223" s="5">
        <v>1</v>
      </c>
      <c r="V223" s="1">
        <v>0</v>
      </c>
      <c r="W223" s="1">
        <v>0</v>
      </c>
      <c r="X223" s="23">
        <f t="shared" si="17"/>
        <v>7</v>
      </c>
    </row>
    <row r="224" spans="1:24">
      <c r="A224" s="12">
        <v>44780</v>
      </c>
      <c r="B224" s="1">
        <v>2</v>
      </c>
      <c r="C224" s="1">
        <v>3</v>
      </c>
      <c r="D224" s="2">
        <v>3</v>
      </c>
      <c r="E224" s="1">
        <v>1</v>
      </c>
      <c r="F224" s="2">
        <v>4</v>
      </c>
      <c r="G224" s="1">
        <v>4</v>
      </c>
      <c r="H224" s="2">
        <v>0</v>
      </c>
      <c r="I224" s="1">
        <v>5</v>
      </c>
      <c r="J224" s="1">
        <v>0</v>
      </c>
      <c r="L224" s="21">
        <f t="shared" si="18"/>
        <v>17</v>
      </c>
      <c r="M224" s="21">
        <f t="shared" si="19"/>
        <v>5</v>
      </c>
      <c r="N224" s="22">
        <f t="shared" si="20"/>
        <v>22</v>
      </c>
      <c r="P224" s="2">
        <v>3</v>
      </c>
      <c r="Q224" s="5">
        <v>2</v>
      </c>
      <c r="R224" s="1">
        <v>1</v>
      </c>
      <c r="S224" s="5">
        <v>0</v>
      </c>
      <c r="T224" s="1">
        <v>0</v>
      </c>
      <c r="U224" s="5">
        <v>1</v>
      </c>
      <c r="V224" s="1">
        <v>0</v>
      </c>
      <c r="W224" s="1">
        <v>0</v>
      </c>
      <c r="X224" s="23">
        <f t="shared" si="17"/>
        <v>7</v>
      </c>
    </row>
    <row r="225" spans="1:24">
      <c r="A225" s="11">
        <v>44781</v>
      </c>
      <c r="B225" s="1">
        <v>2</v>
      </c>
      <c r="C225" s="1">
        <v>3</v>
      </c>
      <c r="D225" s="2">
        <v>3</v>
      </c>
      <c r="E225" s="1">
        <v>1</v>
      </c>
      <c r="F225" s="2">
        <v>4</v>
      </c>
      <c r="G225" s="1">
        <v>4</v>
      </c>
      <c r="H225" s="2">
        <v>0</v>
      </c>
      <c r="I225" s="1">
        <v>5</v>
      </c>
      <c r="J225" s="1">
        <v>0</v>
      </c>
      <c r="L225" s="21">
        <f t="shared" si="18"/>
        <v>17</v>
      </c>
      <c r="M225" s="21">
        <f t="shared" si="19"/>
        <v>5</v>
      </c>
      <c r="N225" s="22">
        <f t="shared" si="20"/>
        <v>22</v>
      </c>
      <c r="P225" s="2">
        <v>3</v>
      </c>
      <c r="Q225" s="5">
        <v>2</v>
      </c>
      <c r="R225" s="1">
        <v>1</v>
      </c>
      <c r="S225" s="5">
        <v>0</v>
      </c>
      <c r="T225" s="1">
        <v>0</v>
      </c>
      <c r="U225" s="5">
        <v>1</v>
      </c>
      <c r="V225" s="1">
        <v>0</v>
      </c>
      <c r="W225" s="1">
        <v>0</v>
      </c>
      <c r="X225" s="23">
        <f t="shared" si="17"/>
        <v>7</v>
      </c>
    </row>
    <row r="226" spans="1:24">
      <c r="A226" s="11">
        <v>44782</v>
      </c>
      <c r="B226" s="1">
        <v>2</v>
      </c>
      <c r="C226" s="1">
        <v>3</v>
      </c>
      <c r="D226" s="2">
        <v>3</v>
      </c>
      <c r="E226" s="1">
        <v>1</v>
      </c>
      <c r="F226" s="2">
        <v>4</v>
      </c>
      <c r="G226" s="1">
        <v>4</v>
      </c>
      <c r="H226" s="2">
        <v>0</v>
      </c>
      <c r="I226" s="1">
        <v>5</v>
      </c>
      <c r="J226" s="1">
        <v>0</v>
      </c>
      <c r="L226" s="21">
        <f t="shared" si="18"/>
        <v>17</v>
      </c>
      <c r="M226" s="21">
        <f t="shared" si="19"/>
        <v>5</v>
      </c>
      <c r="N226" s="22">
        <f t="shared" si="20"/>
        <v>22</v>
      </c>
      <c r="P226" s="2">
        <v>3</v>
      </c>
      <c r="Q226" s="5">
        <v>2</v>
      </c>
      <c r="R226" s="1">
        <v>1</v>
      </c>
      <c r="S226" s="5">
        <v>0</v>
      </c>
      <c r="T226" s="1">
        <v>0</v>
      </c>
      <c r="U226" s="5">
        <v>1</v>
      </c>
      <c r="V226" s="1">
        <v>0</v>
      </c>
      <c r="W226" s="1">
        <v>0</v>
      </c>
      <c r="X226" s="23">
        <f t="shared" si="17"/>
        <v>7</v>
      </c>
    </row>
    <row r="227" spans="1:24">
      <c r="A227" s="13">
        <v>44783</v>
      </c>
      <c r="B227" s="1">
        <v>3</v>
      </c>
      <c r="C227" s="1">
        <v>3</v>
      </c>
      <c r="D227" s="2">
        <v>3</v>
      </c>
      <c r="E227" s="1">
        <v>1</v>
      </c>
      <c r="F227" s="2">
        <v>4</v>
      </c>
      <c r="G227" s="1">
        <v>4</v>
      </c>
      <c r="H227" s="2">
        <v>0</v>
      </c>
      <c r="I227" s="1">
        <v>5</v>
      </c>
      <c r="J227" s="1">
        <v>0</v>
      </c>
      <c r="L227" s="21">
        <f t="shared" si="18"/>
        <v>18</v>
      </c>
      <c r="M227" s="21">
        <f t="shared" si="19"/>
        <v>5</v>
      </c>
      <c r="N227" s="22">
        <f t="shared" si="20"/>
        <v>23</v>
      </c>
      <c r="P227" s="2">
        <v>2</v>
      </c>
      <c r="Q227" s="5">
        <v>2</v>
      </c>
      <c r="R227" s="1">
        <v>2</v>
      </c>
      <c r="S227" s="5">
        <v>1</v>
      </c>
      <c r="T227" s="1">
        <v>0</v>
      </c>
      <c r="U227" s="5">
        <v>1</v>
      </c>
      <c r="V227" s="1">
        <v>0</v>
      </c>
      <c r="W227" s="1">
        <v>0</v>
      </c>
      <c r="X227" s="23">
        <f t="shared" si="17"/>
        <v>8</v>
      </c>
    </row>
    <row r="228" spans="1:24">
      <c r="A228" s="11">
        <v>44784</v>
      </c>
      <c r="B228" s="1">
        <v>3</v>
      </c>
      <c r="C228" s="1">
        <v>3</v>
      </c>
      <c r="D228" s="2">
        <v>3</v>
      </c>
      <c r="E228" s="1">
        <v>1</v>
      </c>
      <c r="F228" s="2">
        <v>3</v>
      </c>
      <c r="G228" s="1">
        <v>4</v>
      </c>
      <c r="H228" s="2">
        <v>0</v>
      </c>
      <c r="I228" s="1">
        <v>5</v>
      </c>
      <c r="J228" s="1">
        <v>0</v>
      </c>
      <c r="L228" s="21">
        <f t="shared" si="18"/>
        <v>17</v>
      </c>
      <c r="M228" s="21">
        <f t="shared" si="19"/>
        <v>5</v>
      </c>
      <c r="N228" s="22">
        <f t="shared" si="20"/>
        <v>22</v>
      </c>
      <c r="P228" s="2">
        <v>2</v>
      </c>
      <c r="Q228" s="5">
        <v>2</v>
      </c>
      <c r="R228" s="1">
        <v>2</v>
      </c>
      <c r="S228" s="5">
        <v>1</v>
      </c>
      <c r="T228" s="1">
        <v>0</v>
      </c>
      <c r="U228" s="5">
        <v>1</v>
      </c>
      <c r="V228" s="1">
        <v>0</v>
      </c>
      <c r="W228" s="1">
        <v>0</v>
      </c>
      <c r="X228" s="23">
        <f t="shared" si="17"/>
        <v>8</v>
      </c>
    </row>
    <row r="229" spans="1:24">
      <c r="A229" s="11">
        <v>44785</v>
      </c>
      <c r="B229" s="1">
        <v>3</v>
      </c>
      <c r="C229" s="1">
        <v>3</v>
      </c>
      <c r="D229" s="2">
        <v>3</v>
      </c>
      <c r="E229" s="1">
        <v>1</v>
      </c>
      <c r="F229" s="2">
        <v>3</v>
      </c>
      <c r="G229" s="1">
        <v>4</v>
      </c>
      <c r="H229" s="2">
        <v>0</v>
      </c>
      <c r="I229" s="1">
        <v>5</v>
      </c>
      <c r="J229" s="1">
        <v>0</v>
      </c>
      <c r="L229" s="21">
        <f t="shared" si="18"/>
        <v>17</v>
      </c>
      <c r="M229" s="21">
        <f t="shared" si="19"/>
        <v>5</v>
      </c>
      <c r="N229" s="22">
        <f t="shared" si="20"/>
        <v>22</v>
      </c>
      <c r="P229" s="2">
        <v>2</v>
      </c>
      <c r="Q229" s="5">
        <v>2</v>
      </c>
      <c r="R229" s="1">
        <v>2</v>
      </c>
      <c r="S229" s="5">
        <v>1</v>
      </c>
      <c r="T229" s="1">
        <v>0</v>
      </c>
      <c r="U229" s="5">
        <v>1</v>
      </c>
      <c r="V229" s="1">
        <v>0</v>
      </c>
      <c r="W229" s="1">
        <v>0</v>
      </c>
      <c r="X229" s="23">
        <f t="shared" si="17"/>
        <v>8</v>
      </c>
    </row>
    <row r="230" spans="1:24">
      <c r="A230" s="12">
        <v>44786</v>
      </c>
      <c r="B230" s="1">
        <v>3</v>
      </c>
      <c r="C230" s="1">
        <v>3</v>
      </c>
      <c r="D230" s="2">
        <v>3</v>
      </c>
      <c r="E230" s="1">
        <v>1</v>
      </c>
      <c r="F230" s="2">
        <v>3</v>
      </c>
      <c r="G230" s="1">
        <v>4</v>
      </c>
      <c r="H230" s="2">
        <v>0</v>
      </c>
      <c r="I230" s="1">
        <v>5</v>
      </c>
      <c r="J230" s="1">
        <v>0</v>
      </c>
      <c r="L230" s="21">
        <f t="shared" si="18"/>
        <v>17</v>
      </c>
      <c r="M230" s="21">
        <f t="shared" si="19"/>
        <v>5</v>
      </c>
      <c r="N230" s="22">
        <f t="shared" si="20"/>
        <v>22</v>
      </c>
      <c r="P230" s="2">
        <v>2</v>
      </c>
      <c r="Q230" s="5">
        <v>2</v>
      </c>
      <c r="R230" s="1">
        <v>2</v>
      </c>
      <c r="S230" s="5">
        <v>1</v>
      </c>
      <c r="T230" s="1">
        <v>0</v>
      </c>
      <c r="U230" s="5">
        <v>1</v>
      </c>
      <c r="V230" s="1">
        <v>0</v>
      </c>
      <c r="W230" s="1">
        <v>0</v>
      </c>
      <c r="X230" s="23">
        <f t="shared" si="17"/>
        <v>8</v>
      </c>
    </row>
    <row r="231" spans="1:24">
      <c r="A231" s="12">
        <v>44787</v>
      </c>
      <c r="B231" s="1">
        <v>3</v>
      </c>
      <c r="C231" s="1">
        <v>3</v>
      </c>
      <c r="D231" s="2">
        <v>3</v>
      </c>
      <c r="E231" s="1">
        <v>1</v>
      </c>
      <c r="F231" s="2">
        <v>3</v>
      </c>
      <c r="G231" s="1">
        <v>4</v>
      </c>
      <c r="H231" s="2">
        <v>0</v>
      </c>
      <c r="I231" s="1">
        <v>5</v>
      </c>
      <c r="J231" s="1">
        <v>0</v>
      </c>
      <c r="L231" s="21">
        <f t="shared" si="18"/>
        <v>17</v>
      </c>
      <c r="M231" s="21">
        <f t="shared" si="19"/>
        <v>5</v>
      </c>
      <c r="N231" s="22">
        <f t="shared" si="20"/>
        <v>22</v>
      </c>
      <c r="P231" s="2">
        <v>2</v>
      </c>
      <c r="Q231" s="5">
        <v>2</v>
      </c>
      <c r="R231" s="1">
        <v>2</v>
      </c>
      <c r="S231" s="5">
        <v>1</v>
      </c>
      <c r="T231" s="1">
        <v>0</v>
      </c>
      <c r="U231" s="5">
        <v>1</v>
      </c>
      <c r="V231" s="1">
        <v>0</v>
      </c>
      <c r="W231" s="1">
        <v>0</v>
      </c>
      <c r="X231" s="23">
        <f t="shared" si="17"/>
        <v>8</v>
      </c>
    </row>
    <row r="232" spans="1:24">
      <c r="A232" s="11">
        <v>44788</v>
      </c>
      <c r="B232" s="1">
        <v>3</v>
      </c>
      <c r="C232" s="1">
        <v>3</v>
      </c>
      <c r="D232" s="2">
        <v>3</v>
      </c>
      <c r="E232" s="1">
        <v>1</v>
      </c>
      <c r="F232" s="2">
        <v>3</v>
      </c>
      <c r="G232" s="1">
        <v>4</v>
      </c>
      <c r="H232" s="2">
        <v>0</v>
      </c>
      <c r="I232" s="1">
        <v>5</v>
      </c>
      <c r="J232" s="1">
        <v>0</v>
      </c>
      <c r="L232" s="21">
        <f t="shared" si="18"/>
        <v>17</v>
      </c>
      <c r="M232" s="21">
        <f t="shared" si="19"/>
        <v>5</v>
      </c>
      <c r="N232" s="22">
        <f t="shared" si="20"/>
        <v>22</v>
      </c>
      <c r="P232" s="2">
        <v>2</v>
      </c>
      <c r="Q232" s="5">
        <v>2</v>
      </c>
      <c r="R232" s="1">
        <v>2</v>
      </c>
      <c r="S232" s="5">
        <v>1</v>
      </c>
      <c r="T232" s="1">
        <v>0</v>
      </c>
      <c r="U232" s="5">
        <v>1</v>
      </c>
      <c r="V232" s="1">
        <v>0</v>
      </c>
      <c r="W232" s="1">
        <v>0</v>
      </c>
      <c r="X232" s="23">
        <f t="shared" si="17"/>
        <v>8</v>
      </c>
    </row>
    <row r="233" spans="1:24">
      <c r="A233" s="11">
        <v>44789</v>
      </c>
      <c r="B233" s="1">
        <v>3</v>
      </c>
      <c r="C233" s="1">
        <v>3</v>
      </c>
      <c r="D233" s="2">
        <v>3</v>
      </c>
      <c r="E233" s="1">
        <v>1</v>
      </c>
      <c r="F233" s="2">
        <v>3</v>
      </c>
      <c r="G233" s="1">
        <v>4</v>
      </c>
      <c r="H233" s="2">
        <v>0</v>
      </c>
      <c r="I233" s="1">
        <v>5</v>
      </c>
      <c r="J233" s="1">
        <v>0</v>
      </c>
      <c r="L233" s="21">
        <f t="shared" si="18"/>
        <v>17</v>
      </c>
      <c r="M233" s="21">
        <f t="shared" si="19"/>
        <v>5</v>
      </c>
      <c r="N233" s="22">
        <f t="shared" si="20"/>
        <v>22</v>
      </c>
      <c r="P233" s="2">
        <v>2</v>
      </c>
      <c r="Q233" s="5">
        <v>2</v>
      </c>
      <c r="R233" s="1">
        <v>2</v>
      </c>
      <c r="S233" s="5">
        <v>1</v>
      </c>
      <c r="T233" s="1">
        <v>0</v>
      </c>
      <c r="U233" s="5">
        <v>1</v>
      </c>
      <c r="V233" s="1">
        <v>0</v>
      </c>
      <c r="W233" s="1">
        <v>0</v>
      </c>
      <c r="X233" s="23">
        <f t="shared" si="17"/>
        <v>8</v>
      </c>
    </row>
    <row r="234" spans="1:24">
      <c r="A234" s="13">
        <v>44790</v>
      </c>
      <c r="B234" s="1">
        <v>3</v>
      </c>
      <c r="C234" s="1">
        <v>3</v>
      </c>
      <c r="D234" s="2">
        <v>3</v>
      </c>
      <c r="E234" s="1">
        <v>1</v>
      </c>
      <c r="F234" s="2">
        <v>3</v>
      </c>
      <c r="G234" s="1">
        <v>4</v>
      </c>
      <c r="H234" s="2">
        <v>0</v>
      </c>
      <c r="I234" s="1">
        <v>5</v>
      </c>
      <c r="J234" s="1">
        <v>0</v>
      </c>
      <c r="L234" s="21">
        <f t="shared" si="18"/>
        <v>17</v>
      </c>
      <c r="M234" s="21">
        <f t="shared" si="19"/>
        <v>5</v>
      </c>
      <c r="N234" s="22">
        <f t="shared" si="20"/>
        <v>22</v>
      </c>
      <c r="P234" s="2">
        <v>2</v>
      </c>
      <c r="Q234" s="5">
        <v>2</v>
      </c>
      <c r="R234" s="1">
        <v>2</v>
      </c>
      <c r="S234" s="5">
        <v>1</v>
      </c>
      <c r="T234" s="1">
        <v>0</v>
      </c>
      <c r="U234" s="5">
        <v>1</v>
      </c>
      <c r="V234" s="1">
        <v>0</v>
      </c>
      <c r="W234" s="1">
        <v>0</v>
      </c>
      <c r="X234" s="23">
        <f t="shared" si="17"/>
        <v>8</v>
      </c>
    </row>
    <row r="235" spans="1:24">
      <c r="A235" s="11">
        <v>44791</v>
      </c>
      <c r="B235" s="1">
        <v>2</v>
      </c>
      <c r="C235" s="1">
        <v>3</v>
      </c>
      <c r="D235" s="2">
        <v>3</v>
      </c>
      <c r="E235" s="1">
        <v>1</v>
      </c>
      <c r="F235" s="2">
        <v>3</v>
      </c>
      <c r="G235" s="1">
        <v>4</v>
      </c>
      <c r="H235" s="2">
        <v>0</v>
      </c>
      <c r="I235" s="1">
        <v>4</v>
      </c>
      <c r="J235" s="1">
        <v>0</v>
      </c>
      <c r="L235" s="21">
        <f t="shared" si="18"/>
        <v>16</v>
      </c>
      <c r="M235" s="21">
        <f t="shared" si="19"/>
        <v>4</v>
      </c>
      <c r="N235" s="22">
        <f t="shared" si="20"/>
        <v>20</v>
      </c>
      <c r="P235" s="2">
        <v>2</v>
      </c>
      <c r="Q235" s="5">
        <v>2</v>
      </c>
      <c r="R235" s="1">
        <v>2</v>
      </c>
      <c r="S235" s="5">
        <v>1</v>
      </c>
      <c r="T235" s="1">
        <v>0</v>
      </c>
      <c r="U235" s="5">
        <v>1</v>
      </c>
      <c r="V235" s="1">
        <v>0</v>
      </c>
      <c r="W235" s="1">
        <v>0</v>
      </c>
      <c r="X235" s="23">
        <f t="shared" si="17"/>
        <v>8</v>
      </c>
    </row>
    <row r="236" spans="1:24">
      <c r="A236" s="11">
        <v>44792</v>
      </c>
      <c r="B236" s="1">
        <v>2</v>
      </c>
      <c r="C236" s="1">
        <v>3</v>
      </c>
      <c r="D236" s="2">
        <v>3</v>
      </c>
      <c r="E236" s="1">
        <v>1</v>
      </c>
      <c r="F236" s="2">
        <v>3</v>
      </c>
      <c r="G236" s="1">
        <v>4</v>
      </c>
      <c r="H236" s="2">
        <v>0</v>
      </c>
      <c r="I236" s="1">
        <v>4</v>
      </c>
      <c r="J236" s="1">
        <v>0</v>
      </c>
      <c r="L236" s="21">
        <f t="shared" si="18"/>
        <v>16</v>
      </c>
      <c r="M236" s="21">
        <f t="shared" si="19"/>
        <v>4</v>
      </c>
      <c r="N236" s="22">
        <f t="shared" si="20"/>
        <v>20</v>
      </c>
      <c r="P236" s="2">
        <v>2</v>
      </c>
      <c r="Q236" s="5">
        <v>2</v>
      </c>
      <c r="R236" s="1">
        <v>2</v>
      </c>
      <c r="S236" s="5">
        <v>1</v>
      </c>
      <c r="T236" s="1">
        <v>0</v>
      </c>
      <c r="U236" s="5">
        <v>1</v>
      </c>
      <c r="V236" s="1">
        <v>0</v>
      </c>
      <c r="W236" s="1">
        <v>0</v>
      </c>
      <c r="X236" s="23">
        <f t="shared" si="17"/>
        <v>8</v>
      </c>
    </row>
    <row r="237" spans="1:24">
      <c r="A237" s="12">
        <v>44793</v>
      </c>
      <c r="B237" s="1">
        <v>2</v>
      </c>
      <c r="C237" s="1">
        <v>4</v>
      </c>
      <c r="D237" s="2">
        <v>3</v>
      </c>
      <c r="E237" s="1">
        <v>1</v>
      </c>
      <c r="F237" s="2">
        <v>3</v>
      </c>
      <c r="G237" s="1">
        <v>4</v>
      </c>
      <c r="H237" s="2">
        <v>0</v>
      </c>
      <c r="I237" s="1">
        <v>4</v>
      </c>
      <c r="J237" s="1">
        <v>0</v>
      </c>
      <c r="L237" s="21">
        <f t="shared" si="18"/>
        <v>17</v>
      </c>
      <c r="M237" s="21">
        <f t="shared" si="19"/>
        <v>4</v>
      </c>
      <c r="N237" s="22">
        <f t="shared" si="20"/>
        <v>21</v>
      </c>
      <c r="P237" s="2">
        <v>2</v>
      </c>
      <c r="Q237" s="5">
        <v>2</v>
      </c>
      <c r="R237" s="1">
        <v>2</v>
      </c>
      <c r="S237" s="5">
        <v>1</v>
      </c>
      <c r="T237" s="1">
        <v>0</v>
      </c>
      <c r="U237" s="5">
        <v>1</v>
      </c>
      <c r="V237" s="1">
        <v>0</v>
      </c>
      <c r="W237" s="1">
        <v>0</v>
      </c>
      <c r="X237" s="23">
        <f t="shared" ref="X237:X300" si="24">SUM(P237:W237)</f>
        <v>8</v>
      </c>
    </row>
    <row r="238" spans="1:24">
      <c r="A238" s="12">
        <v>44794</v>
      </c>
      <c r="B238" s="1">
        <v>2</v>
      </c>
      <c r="C238" s="1">
        <v>4</v>
      </c>
      <c r="D238" s="2">
        <v>3</v>
      </c>
      <c r="E238" s="1">
        <v>1</v>
      </c>
      <c r="F238" s="2">
        <v>3</v>
      </c>
      <c r="G238" s="1">
        <v>4</v>
      </c>
      <c r="H238" s="2">
        <v>0</v>
      </c>
      <c r="I238" s="1">
        <v>4</v>
      </c>
      <c r="J238" s="1">
        <v>0</v>
      </c>
      <c r="L238" s="21">
        <f t="shared" si="18"/>
        <v>17</v>
      </c>
      <c r="M238" s="21">
        <f t="shared" si="19"/>
        <v>4</v>
      </c>
      <c r="N238" s="22">
        <f t="shared" si="20"/>
        <v>21</v>
      </c>
      <c r="P238" s="2">
        <v>2</v>
      </c>
      <c r="Q238" s="5">
        <v>2</v>
      </c>
      <c r="R238" s="1">
        <v>2</v>
      </c>
      <c r="S238" s="5">
        <v>1</v>
      </c>
      <c r="T238" s="1">
        <v>0</v>
      </c>
      <c r="U238" s="5">
        <v>1</v>
      </c>
      <c r="V238" s="1">
        <v>0</v>
      </c>
      <c r="W238" s="1">
        <v>0</v>
      </c>
      <c r="X238" s="23">
        <f t="shared" si="24"/>
        <v>8</v>
      </c>
    </row>
    <row r="239" spans="1:24">
      <c r="A239" s="11">
        <v>44795</v>
      </c>
      <c r="B239" s="1">
        <v>2</v>
      </c>
      <c r="C239" s="1">
        <v>4</v>
      </c>
      <c r="D239" s="2">
        <v>3</v>
      </c>
      <c r="E239" s="1">
        <v>1</v>
      </c>
      <c r="F239" s="2">
        <v>3</v>
      </c>
      <c r="G239" s="1">
        <v>4</v>
      </c>
      <c r="H239" s="2">
        <v>0</v>
      </c>
      <c r="I239" s="1">
        <v>4</v>
      </c>
      <c r="J239" s="1">
        <v>0</v>
      </c>
      <c r="L239" s="21">
        <f t="shared" si="18"/>
        <v>17</v>
      </c>
      <c r="M239" s="21">
        <f t="shared" si="19"/>
        <v>4</v>
      </c>
      <c r="N239" s="22">
        <f t="shared" si="20"/>
        <v>21</v>
      </c>
      <c r="P239" s="2">
        <v>2</v>
      </c>
      <c r="Q239" s="5">
        <v>2</v>
      </c>
      <c r="R239" s="1">
        <v>2</v>
      </c>
      <c r="S239" s="5">
        <v>1</v>
      </c>
      <c r="T239" s="1">
        <v>0</v>
      </c>
      <c r="U239" s="5">
        <v>1</v>
      </c>
      <c r="V239" s="1">
        <v>0</v>
      </c>
      <c r="W239" s="1">
        <v>0</v>
      </c>
      <c r="X239" s="23">
        <f t="shared" si="24"/>
        <v>8</v>
      </c>
    </row>
    <row r="240" spans="1:24">
      <c r="A240" s="11">
        <v>44796</v>
      </c>
      <c r="B240" s="1">
        <v>2</v>
      </c>
      <c r="C240" s="1">
        <v>4</v>
      </c>
      <c r="D240" s="2">
        <v>3</v>
      </c>
      <c r="E240" s="1">
        <v>1</v>
      </c>
      <c r="F240" s="2">
        <v>3</v>
      </c>
      <c r="G240" s="1">
        <v>4</v>
      </c>
      <c r="H240" s="2">
        <v>0</v>
      </c>
      <c r="I240" s="1">
        <v>4</v>
      </c>
      <c r="J240" s="1">
        <v>0</v>
      </c>
      <c r="L240" s="21">
        <f t="shared" si="18"/>
        <v>17</v>
      </c>
      <c r="M240" s="21">
        <f t="shared" si="19"/>
        <v>4</v>
      </c>
      <c r="N240" s="22">
        <f t="shared" si="20"/>
        <v>21</v>
      </c>
      <c r="P240" s="2">
        <v>2</v>
      </c>
      <c r="Q240" s="5">
        <v>2</v>
      </c>
      <c r="R240" s="1">
        <v>2</v>
      </c>
      <c r="S240" s="5">
        <v>1</v>
      </c>
      <c r="T240" s="1">
        <v>0</v>
      </c>
      <c r="U240" s="5">
        <v>1</v>
      </c>
      <c r="V240" s="1">
        <v>0</v>
      </c>
      <c r="W240" s="1">
        <v>0</v>
      </c>
      <c r="X240" s="23">
        <f t="shared" si="24"/>
        <v>8</v>
      </c>
    </row>
    <row r="241" spans="1:24">
      <c r="A241" s="13">
        <v>44797</v>
      </c>
      <c r="B241" s="1">
        <v>2</v>
      </c>
      <c r="C241" s="1">
        <v>3</v>
      </c>
      <c r="D241" s="2">
        <v>3</v>
      </c>
      <c r="E241" s="1">
        <v>1</v>
      </c>
      <c r="F241" s="2">
        <v>3</v>
      </c>
      <c r="G241" s="1">
        <v>4</v>
      </c>
      <c r="H241" s="2">
        <v>0</v>
      </c>
      <c r="I241" s="1">
        <v>5</v>
      </c>
      <c r="J241" s="1">
        <v>0</v>
      </c>
      <c r="L241" s="21">
        <f t="shared" si="18"/>
        <v>16</v>
      </c>
      <c r="M241" s="21">
        <f t="shared" si="19"/>
        <v>5</v>
      </c>
      <c r="N241" s="22">
        <f t="shared" si="20"/>
        <v>21</v>
      </c>
      <c r="P241" s="2">
        <v>2</v>
      </c>
      <c r="Q241" s="5">
        <v>2</v>
      </c>
      <c r="R241" s="1">
        <v>2</v>
      </c>
      <c r="S241" s="5">
        <v>1</v>
      </c>
      <c r="T241" s="1">
        <v>0</v>
      </c>
      <c r="U241" s="5">
        <v>1</v>
      </c>
      <c r="V241" s="1">
        <v>0</v>
      </c>
      <c r="W241" s="1">
        <v>0</v>
      </c>
      <c r="X241" s="23">
        <f t="shared" si="24"/>
        <v>8</v>
      </c>
    </row>
    <row r="242" spans="1:24">
      <c r="A242" s="11">
        <v>44798</v>
      </c>
      <c r="B242" s="1">
        <v>2</v>
      </c>
      <c r="C242" s="1">
        <v>3</v>
      </c>
      <c r="D242" s="2">
        <v>3</v>
      </c>
      <c r="E242" s="1">
        <v>1</v>
      </c>
      <c r="F242" s="2">
        <v>3</v>
      </c>
      <c r="G242" s="1">
        <v>4</v>
      </c>
      <c r="H242" s="2">
        <v>0</v>
      </c>
      <c r="I242" s="1">
        <v>5</v>
      </c>
      <c r="J242" s="1">
        <v>0</v>
      </c>
      <c r="L242" s="21">
        <f t="shared" si="18"/>
        <v>16</v>
      </c>
      <c r="M242" s="21">
        <f t="shared" si="19"/>
        <v>5</v>
      </c>
      <c r="N242" s="22">
        <f t="shared" si="20"/>
        <v>21</v>
      </c>
      <c r="P242" s="2">
        <v>2</v>
      </c>
      <c r="Q242" s="5">
        <v>2</v>
      </c>
      <c r="R242" s="1">
        <v>2</v>
      </c>
      <c r="S242" s="5">
        <v>1</v>
      </c>
      <c r="T242" s="1">
        <v>0</v>
      </c>
      <c r="U242" s="5">
        <v>1</v>
      </c>
      <c r="V242" s="1">
        <v>0</v>
      </c>
      <c r="W242" s="1">
        <v>0</v>
      </c>
      <c r="X242" s="23">
        <f t="shared" si="24"/>
        <v>8</v>
      </c>
    </row>
    <row r="243" spans="1:24">
      <c r="A243" s="11">
        <v>44799</v>
      </c>
      <c r="B243" s="1">
        <v>2</v>
      </c>
      <c r="C243" s="1">
        <v>3</v>
      </c>
      <c r="D243" s="2">
        <v>3</v>
      </c>
      <c r="E243" s="1">
        <v>1</v>
      </c>
      <c r="F243" s="2">
        <v>3</v>
      </c>
      <c r="G243" s="1">
        <v>4</v>
      </c>
      <c r="H243" s="2">
        <v>0</v>
      </c>
      <c r="I243" s="1">
        <v>5</v>
      </c>
      <c r="J243" s="1">
        <v>0</v>
      </c>
      <c r="L243" s="21">
        <f t="shared" si="18"/>
        <v>16</v>
      </c>
      <c r="M243" s="21">
        <f t="shared" si="19"/>
        <v>5</v>
      </c>
      <c r="N243" s="22">
        <f t="shared" si="20"/>
        <v>21</v>
      </c>
      <c r="P243" s="2">
        <v>2</v>
      </c>
      <c r="Q243" s="5">
        <v>2</v>
      </c>
      <c r="R243" s="1">
        <v>2</v>
      </c>
      <c r="S243" s="5">
        <v>1</v>
      </c>
      <c r="T243" s="1">
        <v>0</v>
      </c>
      <c r="U243" s="5">
        <v>1</v>
      </c>
      <c r="V243" s="1">
        <v>0</v>
      </c>
      <c r="W243" s="1">
        <v>0</v>
      </c>
      <c r="X243" s="23">
        <f t="shared" si="24"/>
        <v>8</v>
      </c>
    </row>
    <row r="244" spans="1:24">
      <c r="A244" s="12">
        <v>44800</v>
      </c>
      <c r="B244" s="1">
        <v>2</v>
      </c>
      <c r="C244" s="1">
        <v>3</v>
      </c>
      <c r="D244" s="2">
        <v>3</v>
      </c>
      <c r="E244" s="1">
        <v>1</v>
      </c>
      <c r="F244" s="2">
        <v>3</v>
      </c>
      <c r="G244" s="1">
        <v>4</v>
      </c>
      <c r="H244" s="2">
        <v>0</v>
      </c>
      <c r="I244" s="1">
        <v>5</v>
      </c>
      <c r="J244" s="1">
        <v>0</v>
      </c>
      <c r="L244" s="21">
        <f t="shared" si="18"/>
        <v>16</v>
      </c>
      <c r="M244" s="21">
        <f t="shared" si="19"/>
        <v>5</v>
      </c>
      <c r="N244" s="22">
        <f t="shared" si="20"/>
        <v>21</v>
      </c>
      <c r="P244" s="2">
        <v>2</v>
      </c>
      <c r="Q244" s="5">
        <v>2</v>
      </c>
      <c r="R244" s="1">
        <v>2</v>
      </c>
      <c r="S244" s="5">
        <v>1</v>
      </c>
      <c r="T244" s="1">
        <v>0</v>
      </c>
      <c r="U244" s="5">
        <v>1</v>
      </c>
      <c r="V244" s="1">
        <v>0</v>
      </c>
      <c r="W244" s="1">
        <v>0</v>
      </c>
      <c r="X244" s="23">
        <f t="shared" si="24"/>
        <v>8</v>
      </c>
    </row>
    <row r="245" spans="1:24">
      <c r="A245" s="12">
        <v>44801</v>
      </c>
      <c r="B245" s="1">
        <v>2</v>
      </c>
      <c r="C245" s="1">
        <v>3</v>
      </c>
      <c r="D245" s="2">
        <v>3</v>
      </c>
      <c r="E245" s="1">
        <v>1</v>
      </c>
      <c r="F245" s="2">
        <v>3</v>
      </c>
      <c r="G245" s="1">
        <v>4</v>
      </c>
      <c r="H245" s="2">
        <v>0</v>
      </c>
      <c r="I245" s="1">
        <v>5</v>
      </c>
      <c r="J245" s="1">
        <v>0</v>
      </c>
      <c r="L245" s="21">
        <f t="shared" si="18"/>
        <v>16</v>
      </c>
      <c r="M245" s="21">
        <f t="shared" si="19"/>
        <v>5</v>
      </c>
      <c r="N245" s="22">
        <f t="shared" si="20"/>
        <v>21</v>
      </c>
      <c r="P245" s="2">
        <v>2</v>
      </c>
      <c r="Q245" s="5">
        <v>2</v>
      </c>
      <c r="R245" s="1">
        <v>2</v>
      </c>
      <c r="S245" s="5">
        <v>1</v>
      </c>
      <c r="T245" s="1">
        <v>0</v>
      </c>
      <c r="U245" s="5">
        <v>1</v>
      </c>
      <c r="V245" s="1">
        <v>0</v>
      </c>
      <c r="W245" s="1">
        <v>0</v>
      </c>
      <c r="X245" s="23">
        <f t="shared" si="24"/>
        <v>8</v>
      </c>
    </row>
    <row r="246" spans="1:24">
      <c r="A246" s="11">
        <v>44802</v>
      </c>
      <c r="B246" s="1">
        <v>2</v>
      </c>
      <c r="C246" s="1">
        <v>3</v>
      </c>
      <c r="D246" s="2">
        <v>3</v>
      </c>
      <c r="E246" s="1">
        <v>1</v>
      </c>
      <c r="F246" s="2">
        <v>3</v>
      </c>
      <c r="G246" s="1">
        <v>4</v>
      </c>
      <c r="H246" s="2">
        <v>0</v>
      </c>
      <c r="I246" s="1">
        <v>5</v>
      </c>
      <c r="J246" s="1">
        <v>0</v>
      </c>
      <c r="L246" s="21">
        <f t="shared" si="18"/>
        <v>16</v>
      </c>
      <c r="M246" s="21">
        <f t="shared" si="19"/>
        <v>5</v>
      </c>
      <c r="N246" s="22">
        <f t="shared" si="20"/>
        <v>21</v>
      </c>
      <c r="P246" s="2">
        <v>2</v>
      </c>
      <c r="Q246" s="5">
        <v>2</v>
      </c>
      <c r="R246" s="1">
        <v>2</v>
      </c>
      <c r="S246" s="5">
        <v>1</v>
      </c>
      <c r="T246" s="1">
        <v>0</v>
      </c>
      <c r="U246" s="5">
        <v>1</v>
      </c>
      <c r="V246" s="1">
        <v>0</v>
      </c>
      <c r="W246" s="1">
        <v>0</v>
      </c>
      <c r="X246" s="23">
        <f t="shared" si="24"/>
        <v>8</v>
      </c>
    </row>
    <row r="247" spans="1:24">
      <c r="A247" s="11">
        <v>44803</v>
      </c>
      <c r="B247" s="1">
        <v>2</v>
      </c>
      <c r="C247" s="1">
        <v>3</v>
      </c>
      <c r="D247" s="2">
        <v>3</v>
      </c>
      <c r="E247" s="1">
        <v>1</v>
      </c>
      <c r="F247" s="2">
        <v>3</v>
      </c>
      <c r="G247" s="1">
        <v>4</v>
      </c>
      <c r="H247" s="2">
        <v>0</v>
      </c>
      <c r="I247" s="1">
        <v>5</v>
      </c>
      <c r="J247" s="1">
        <v>0</v>
      </c>
      <c r="L247" s="21">
        <f t="shared" si="18"/>
        <v>16</v>
      </c>
      <c r="M247" s="21">
        <f t="shared" si="19"/>
        <v>5</v>
      </c>
      <c r="N247" s="22">
        <f t="shared" si="20"/>
        <v>21</v>
      </c>
      <c r="P247" s="2">
        <v>2</v>
      </c>
      <c r="Q247" s="5">
        <v>2</v>
      </c>
      <c r="R247" s="1">
        <v>2</v>
      </c>
      <c r="S247" s="5">
        <v>1</v>
      </c>
      <c r="T247" s="1">
        <v>0</v>
      </c>
      <c r="U247" s="5">
        <v>1</v>
      </c>
      <c r="V247" s="1">
        <v>0</v>
      </c>
      <c r="W247" s="1">
        <v>0</v>
      </c>
      <c r="X247" s="23">
        <f t="shared" si="24"/>
        <v>8</v>
      </c>
    </row>
    <row r="248" spans="1:24">
      <c r="A248" s="13">
        <v>44804</v>
      </c>
      <c r="B248" s="1">
        <v>2</v>
      </c>
      <c r="C248" s="1">
        <v>3</v>
      </c>
      <c r="D248" s="2">
        <v>3</v>
      </c>
      <c r="E248" s="1">
        <v>1</v>
      </c>
      <c r="F248" s="2">
        <v>4</v>
      </c>
      <c r="G248" s="1">
        <v>4</v>
      </c>
      <c r="H248" s="2">
        <v>0</v>
      </c>
      <c r="I248" s="1">
        <v>5</v>
      </c>
      <c r="J248" s="1">
        <v>0</v>
      </c>
      <c r="L248" s="21">
        <f t="shared" si="18"/>
        <v>17</v>
      </c>
      <c r="M248" s="21">
        <f t="shared" si="19"/>
        <v>5</v>
      </c>
      <c r="N248" s="22">
        <f t="shared" si="20"/>
        <v>22</v>
      </c>
      <c r="P248" s="2">
        <v>2</v>
      </c>
      <c r="Q248" s="5">
        <v>2</v>
      </c>
      <c r="R248" s="1">
        <v>2</v>
      </c>
      <c r="S248" s="5">
        <v>1</v>
      </c>
      <c r="T248" s="1">
        <v>0</v>
      </c>
      <c r="U248" s="5">
        <v>1</v>
      </c>
      <c r="V248" s="1">
        <v>0</v>
      </c>
      <c r="W248" s="1">
        <v>0</v>
      </c>
      <c r="X248" s="23">
        <f t="shared" si="24"/>
        <v>8</v>
      </c>
    </row>
    <row r="249" spans="1:24">
      <c r="A249" s="11">
        <v>44805</v>
      </c>
      <c r="B249" s="1">
        <v>2</v>
      </c>
      <c r="C249" s="1">
        <v>3</v>
      </c>
      <c r="D249" s="2">
        <v>3</v>
      </c>
      <c r="E249" s="1">
        <v>1</v>
      </c>
      <c r="F249" s="2">
        <v>4</v>
      </c>
      <c r="G249" s="1">
        <v>4</v>
      </c>
      <c r="H249" s="2">
        <v>0</v>
      </c>
      <c r="I249" s="1">
        <v>4</v>
      </c>
      <c r="J249" s="1">
        <v>0</v>
      </c>
      <c r="L249" s="21">
        <f t="shared" si="18"/>
        <v>17</v>
      </c>
      <c r="M249" s="21">
        <f t="shared" si="19"/>
        <v>4</v>
      </c>
      <c r="N249" s="22">
        <f t="shared" si="20"/>
        <v>21</v>
      </c>
      <c r="P249" s="2">
        <v>3</v>
      </c>
      <c r="Q249" s="5">
        <v>1</v>
      </c>
      <c r="R249" s="1">
        <v>0</v>
      </c>
      <c r="S249" s="5">
        <v>1</v>
      </c>
      <c r="T249" s="1">
        <v>0</v>
      </c>
      <c r="U249" s="5">
        <v>1</v>
      </c>
      <c r="V249" s="1">
        <v>1</v>
      </c>
      <c r="W249" s="1">
        <v>1</v>
      </c>
      <c r="X249" s="23">
        <f t="shared" si="24"/>
        <v>8</v>
      </c>
    </row>
    <row r="250" spans="1:24">
      <c r="A250" s="11">
        <v>44806</v>
      </c>
      <c r="B250" s="1">
        <v>2</v>
      </c>
      <c r="C250" s="1">
        <v>3</v>
      </c>
      <c r="D250" s="2">
        <v>3</v>
      </c>
      <c r="E250" s="1">
        <v>1</v>
      </c>
      <c r="F250" s="2">
        <v>4</v>
      </c>
      <c r="G250" s="1">
        <v>4</v>
      </c>
      <c r="H250" s="2">
        <v>0</v>
      </c>
      <c r="I250" s="1">
        <v>4</v>
      </c>
      <c r="J250" s="1">
        <v>0</v>
      </c>
      <c r="L250" s="21">
        <f t="shared" si="18"/>
        <v>17</v>
      </c>
      <c r="M250" s="21">
        <f t="shared" si="19"/>
        <v>4</v>
      </c>
      <c r="N250" s="22">
        <f t="shared" si="20"/>
        <v>21</v>
      </c>
      <c r="P250" s="2">
        <v>3</v>
      </c>
      <c r="Q250" s="5">
        <v>1</v>
      </c>
      <c r="R250" s="1">
        <v>0</v>
      </c>
      <c r="S250" s="5">
        <v>1</v>
      </c>
      <c r="T250" s="1">
        <v>0</v>
      </c>
      <c r="U250" s="5">
        <v>1</v>
      </c>
      <c r="V250" s="1">
        <v>1</v>
      </c>
      <c r="W250" s="1">
        <v>1</v>
      </c>
      <c r="X250" s="23">
        <f t="shared" si="24"/>
        <v>8</v>
      </c>
    </row>
    <row r="251" spans="1:24">
      <c r="A251" s="12">
        <v>44807</v>
      </c>
      <c r="B251" s="1">
        <v>2</v>
      </c>
      <c r="C251" s="1">
        <v>3</v>
      </c>
      <c r="D251" s="2">
        <v>3</v>
      </c>
      <c r="E251" s="1">
        <v>1</v>
      </c>
      <c r="F251" s="2">
        <v>4</v>
      </c>
      <c r="G251" s="1">
        <v>4</v>
      </c>
      <c r="H251" s="2">
        <v>0</v>
      </c>
      <c r="I251" s="1">
        <v>4</v>
      </c>
      <c r="J251" s="1">
        <v>0</v>
      </c>
      <c r="L251" s="21">
        <f t="shared" si="18"/>
        <v>17</v>
      </c>
      <c r="M251" s="21">
        <f t="shared" si="19"/>
        <v>4</v>
      </c>
      <c r="N251" s="22">
        <f t="shared" si="20"/>
        <v>21</v>
      </c>
      <c r="P251" s="2">
        <v>3</v>
      </c>
      <c r="Q251" s="5">
        <v>1</v>
      </c>
      <c r="R251" s="1">
        <v>0</v>
      </c>
      <c r="S251" s="5">
        <v>1</v>
      </c>
      <c r="T251" s="1">
        <v>0</v>
      </c>
      <c r="U251" s="5">
        <v>1</v>
      </c>
      <c r="V251" s="1">
        <v>1</v>
      </c>
      <c r="W251" s="1">
        <v>1</v>
      </c>
      <c r="X251" s="23">
        <f t="shared" si="24"/>
        <v>8</v>
      </c>
    </row>
    <row r="252" spans="1:24">
      <c r="A252" s="12">
        <v>44808</v>
      </c>
      <c r="B252" s="1">
        <v>2</v>
      </c>
      <c r="C252" s="1">
        <v>3</v>
      </c>
      <c r="D252" s="2">
        <v>3</v>
      </c>
      <c r="E252" s="1">
        <v>1</v>
      </c>
      <c r="F252" s="2">
        <v>4</v>
      </c>
      <c r="G252" s="1">
        <v>4</v>
      </c>
      <c r="H252" s="2">
        <v>0</v>
      </c>
      <c r="I252" s="1">
        <v>4</v>
      </c>
      <c r="J252" s="1">
        <v>0</v>
      </c>
      <c r="L252" s="21">
        <f t="shared" si="18"/>
        <v>17</v>
      </c>
      <c r="M252" s="21">
        <f t="shared" si="19"/>
        <v>4</v>
      </c>
      <c r="N252" s="22">
        <f t="shared" si="20"/>
        <v>21</v>
      </c>
      <c r="P252" s="2">
        <v>3</v>
      </c>
      <c r="Q252" s="5">
        <v>1</v>
      </c>
      <c r="R252" s="1">
        <v>0</v>
      </c>
      <c r="S252" s="5">
        <v>1</v>
      </c>
      <c r="T252" s="1">
        <v>0</v>
      </c>
      <c r="U252" s="5">
        <v>1</v>
      </c>
      <c r="V252" s="1">
        <v>1</v>
      </c>
      <c r="W252" s="1">
        <v>1</v>
      </c>
      <c r="X252" s="23">
        <f t="shared" si="24"/>
        <v>8</v>
      </c>
    </row>
    <row r="253" spans="1:24">
      <c r="A253" s="11">
        <v>44809</v>
      </c>
      <c r="B253" s="1">
        <v>2</v>
      </c>
      <c r="C253" s="1">
        <v>3</v>
      </c>
      <c r="D253" s="2">
        <v>3</v>
      </c>
      <c r="E253" s="1">
        <v>1</v>
      </c>
      <c r="F253" s="2">
        <v>4</v>
      </c>
      <c r="G253" s="1">
        <v>4</v>
      </c>
      <c r="H253" s="2">
        <v>0</v>
      </c>
      <c r="I253" s="1">
        <v>4</v>
      </c>
      <c r="J253" s="1">
        <v>0</v>
      </c>
      <c r="L253" s="21">
        <f t="shared" si="18"/>
        <v>17</v>
      </c>
      <c r="M253" s="21">
        <f t="shared" si="19"/>
        <v>4</v>
      </c>
      <c r="N253" s="22">
        <f t="shared" si="20"/>
        <v>21</v>
      </c>
      <c r="P253" s="2">
        <v>3</v>
      </c>
      <c r="Q253" s="5">
        <v>1</v>
      </c>
      <c r="R253" s="1">
        <v>0</v>
      </c>
      <c r="S253" s="5">
        <v>1</v>
      </c>
      <c r="T253" s="1">
        <v>0</v>
      </c>
      <c r="U253" s="5">
        <v>1</v>
      </c>
      <c r="V253" s="1">
        <v>1</v>
      </c>
      <c r="W253" s="1">
        <v>1</v>
      </c>
      <c r="X253" s="23">
        <f t="shared" si="24"/>
        <v>8</v>
      </c>
    </row>
    <row r="254" spans="1:24">
      <c r="A254" s="11">
        <v>44810</v>
      </c>
      <c r="B254" s="1">
        <v>2</v>
      </c>
      <c r="C254" s="1">
        <v>3</v>
      </c>
      <c r="D254" s="2">
        <v>3</v>
      </c>
      <c r="E254" s="1">
        <v>1</v>
      </c>
      <c r="F254" s="2">
        <v>4</v>
      </c>
      <c r="G254" s="1">
        <v>4</v>
      </c>
      <c r="H254" s="2">
        <v>0</v>
      </c>
      <c r="I254" s="1">
        <v>5</v>
      </c>
      <c r="J254" s="1">
        <v>0</v>
      </c>
      <c r="L254" s="21">
        <f t="shared" si="18"/>
        <v>17</v>
      </c>
      <c r="M254" s="21">
        <f t="shared" si="19"/>
        <v>5</v>
      </c>
      <c r="N254" s="22">
        <f t="shared" si="20"/>
        <v>22</v>
      </c>
      <c r="P254" s="2">
        <v>3</v>
      </c>
      <c r="Q254" s="5">
        <v>1</v>
      </c>
      <c r="R254" s="1">
        <v>0</v>
      </c>
      <c r="S254" s="5">
        <v>1</v>
      </c>
      <c r="T254" s="1">
        <v>0</v>
      </c>
      <c r="U254" s="5">
        <v>1</v>
      </c>
      <c r="V254" s="1">
        <v>1</v>
      </c>
      <c r="W254" s="1">
        <v>1</v>
      </c>
      <c r="X254" s="23">
        <f t="shared" si="24"/>
        <v>8</v>
      </c>
    </row>
    <row r="255" spans="1:24">
      <c r="A255" s="13">
        <v>44811</v>
      </c>
      <c r="B255" s="1">
        <v>2</v>
      </c>
      <c r="C255" s="1">
        <v>3</v>
      </c>
      <c r="D255" s="2">
        <v>3</v>
      </c>
      <c r="E255" s="1">
        <v>1</v>
      </c>
      <c r="F255" s="2">
        <v>4</v>
      </c>
      <c r="G255" s="1">
        <v>4</v>
      </c>
      <c r="H255" s="2">
        <v>0</v>
      </c>
      <c r="I255" s="1">
        <v>5</v>
      </c>
      <c r="J255" s="1">
        <v>0</v>
      </c>
      <c r="L255" s="21">
        <f t="shared" si="18"/>
        <v>17</v>
      </c>
      <c r="M255" s="21">
        <f t="shared" si="19"/>
        <v>5</v>
      </c>
      <c r="N255" s="22">
        <f t="shared" si="20"/>
        <v>22</v>
      </c>
      <c r="P255" s="2">
        <v>3</v>
      </c>
      <c r="Q255" s="5">
        <v>1</v>
      </c>
      <c r="R255" s="1">
        <v>0</v>
      </c>
      <c r="S255" s="5">
        <v>1</v>
      </c>
      <c r="T255" s="1">
        <v>0</v>
      </c>
      <c r="U255" s="5">
        <v>1</v>
      </c>
      <c r="V255" s="1">
        <v>1</v>
      </c>
      <c r="W255" s="1">
        <v>1</v>
      </c>
      <c r="X255" s="23">
        <f t="shared" si="24"/>
        <v>8</v>
      </c>
    </row>
    <row r="256" spans="1:24">
      <c r="A256" s="11">
        <v>44812</v>
      </c>
      <c r="B256" s="1">
        <v>2</v>
      </c>
      <c r="C256" s="1">
        <v>3</v>
      </c>
      <c r="D256" s="2">
        <v>3</v>
      </c>
      <c r="E256" s="1">
        <v>1</v>
      </c>
      <c r="F256" s="2">
        <v>4</v>
      </c>
      <c r="G256" s="1">
        <v>4</v>
      </c>
      <c r="H256" s="2">
        <v>0</v>
      </c>
      <c r="I256" s="1">
        <v>5</v>
      </c>
      <c r="J256" s="1">
        <v>0</v>
      </c>
      <c r="L256" s="21">
        <f t="shared" si="18"/>
        <v>17</v>
      </c>
      <c r="M256" s="21">
        <f t="shared" si="19"/>
        <v>5</v>
      </c>
      <c r="N256" s="22">
        <f t="shared" si="20"/>
        <v>22</v>
      </c>
      <c r="P256" s="2">
        <v>3</v>
      </c>
      <c r="Q256" s="5">
        <v>1</v>
      </c>
      <c r="R256" s="1">
        <v>0</v>
      </c>
      <c r="S256" s="5">
        <v>1</v>
      </c>
      <c r="T256" s="1">
        <v>0</v>
      </c>
      <c r="U256" s="5">
        <v>1</v>
      </c>
      <c r="V256" s="1">
        <v>1</v>
      </c>
      <c r="W256" s="1">
        <v>1</v>
      </c>
      <c r="X256" s="23">
        <f t="shared" si="24"/>
        <v>8</v>
      </c>
    </row>
    <row r="257" spans="1:24">
      <c r="A257" s="11">
        <v>44813</v>
      </c>
      <c r="B257" s="1">
        <v>2</v>
      </c>
      <c r="C257" s="1">
        <v>3</v>
      </c>
      <c r="D257" s="2">
        <v>3</v>
      </c>
      <c r="E257" s="1">
        <v>1</v>
      </c>
      <c r="F257" s="2">
        <v>4</v>
      </c>
      <c r="G257" s="1">
        <v>4</v>
      </c>
      <c r="H257" s="2">
        <v>0</v>
      </c>
      <c r="I257" s="1">
        <v>5</v>
      </c>
      <c r="J257" s="1">
        <v>0</v>
      </c>
      <c r="L257" s="21">
        <f t="shared" si="18"/>
        <v>17</v>
      </c>
      <c r="M257" s="21">
        <f t="shared" si="19"/>
        <v>5</v>
      </c>
      <c r="N257" s="22">
        <f t="shared" si="20"/>
        <v>22</v>
      </c>
      <c r="P257" s="2">
        <v>3</v>
      </c>
      <c r="Q257" s="5">
        <v>1</v>
      </c>
      <c r="R257" s="1">
        <v>0</v>
      </c>
      <c r="S257" s="5">
        <v>1</v>
      </c>
      <c r="T257" s="1">
        <v>0</v>
      </c>
      <c r="U257" s="5">
        <v>1</v>
      </c>
      <c r="V257" s="1">
        <v>1</v>
      </c>
      <c r="W257" s="1">
        <v>1</v>
      </c>
      <c r="X257" s="23">
        <f t="shared" si="24"/>
        <v>8</v>
      </c>
    </row>
    <row r="258" spans="1:24">
      <c r="A258" s="12">
        <v>44814</v>
      </c>
      <c r="B258" s="1">
        <v>2</v>
      </c>
      <c r="C258" s="1">
        <v>3</v>
      </c>
      <c r="D258" s="2">
        <v>3</v>
      </c>
      <c r="E258" s="1">
        <v>1</v>
      </c>
      <c r="F258" s="2">
        <v>4</v>
      </c>
      <c r="G258" s="1">
        <v>4</v>
      </c>
      <c r="H258" s="2">
        <v>0</v>
      </c>
      <c r="I258" s="1">
        <v>5</v>
      </c>
      <c r="J258" s="1">
        <v>0</v>
      </c>
      <c r="L258" s="21">
        <f t="shared" si="18"/>
        <v>17</v>
      </c>
      <c r="M258" s="21">
        <f t="shared" si="19"/>
        <v>5</v>
      </c>
      <c r="N258" s="22">
        <f t="shared" si="20"/>
        <v>22</v>
      </c>
      <c r="P258" s="2">
        <v>3</v>
      </c>
      <c r="Q258" s="5">
        <v>1</v>
      </c>
      <c r="R258" s="1">
        <v>0</v>
      </c>
      <c r="S258" s="5">
        <v>1</v>
      </c>
      <c r="T258" s="1">
        <v>0</v>
      </c>
      <c r="U258" s="5">
        <v>1</v>
      </c>
      <c r="V258" s="1">
        <v>1</v>
      </c>
      <c r="W258" s="1">
        <v>1</v>
      </c>
      <c r="X258" s="23">
        <f t="shared" si="24"/>
        <v>8</v>
      </c>
    </row>
    <row r="259" spans="1:24">
      <c r="A259" s="12">
        <v>44815</v>
      </c>
      <c r="B259" s="1">
        <v>2</v>
      </c>
      <c r="C259" s="1">
        <v>3</v>
      </c>
      <c r="D259" s="2">
        <v>3</v>
      </c>
      <c r="E259" s="1">
        <v>1</v>
      </c>
      <c r="F259" s="2">
        <v>4</v>
      </c>
      <c r="G259" s="1">
        <v>4</v>
      </c>
      <c r="H259" s="2">
        <v>0</v>
      </c>
      <c r="I259" s="1">
        <v>5</v>
      </c>
      <c r="J259" s="1">
        <v>0</v>
      </c>
      <c r="L259" s="21">
        <f t="shared" si="18"/>
        <v>17</v>
      </c>
      <c r="M259" s="21">
        <f t="shared" si="19"/>
        <v>5</v>
      </c>
      <c r="N259" s="22">
        <f t="shared" si="20"/>
        <v>22</v>
      </c>
      <c r="P259" s="2">
        <v>3</v>
      </c>
      <c r="Q259" s="5">
        <v>1</v>
      </c>
      <c r="R259" s="1">
        <v>0</v>
      </c>
      <c r="S259" s="5">
        <v>1</v>
      </c>
      <c r="T259" s="1">
        <v>0</v>
      </c>
      <c r="U259" s="5">
        <v>1</v>
      </c>
      <c r="V259" s="1">
        <v>1</v>
      </c>
      <c r="W259" s="1">
        <v>1</v>
      </c>
      <c r="X259" s="23">
        <f t="shared" si="24"/>
        <v>8</v>
      </c>
    </row>
    <row r="260" spans="1:24">
      <c r="A260" s="11">
        <v>44816</v>
      </c>
      <c r="B260" s="1">
        <v>2</v>
      </c>
      <c r="C260" s="1">
        <v>3</v>
      </c>
      <c r="D260" s="2">
        <v>3</v>
      </c>
      <c r="E260" s="1">
        <v>1</v>
      </c>
      <c r="F260" s="2">
        <v>4</v>
      </c>
      <c r="G260" s="1">
        <v>4</v>
      </c>
      <c r="H260" s="2">
        <v>0</v>
      </c>
      <c r="I260" s="1">
        <v>5</v>
      </c>
      <c r="J260" s="1">
        <v>0</v>
      </c>
      <c r="L260" s="21">
        <f t="shared" si="18"/>
        <v>17</v>
      </c>
      <c r="M260" s="21">
        <f t="shared" si="19"/>
        <v>5</v>
      </c>
      <c r="N260" s="22">
        <f t="shared" si="20"/>
        <v>22</v>
      </c>
      <c r="P260" s="2">
        <v>3</v>
      </c>
      <c r="Q260" s="5">
        <v>1</v>
      </c>
      <c r="R260" s="1">
        <v>0</v>
      </c>
      <c r="S260" s="5">
        <v>1</v>
      </c>
      <c r="T260" s="1">
        <v>0</v>
      </c>
      <c r="U260" s="5">
        <v>1</v>
      </c>
      <c r="V260" s="1">
        <v>1</v>
      </c>
      <c r="W260" s="1">
        <v>1</v>
      </c>
      <c r="X260" s="23">
        <f t="shared" si="24"/>
        <v>8</v>
      </c>
    </row>
    <row r="261" spans="1:24">
      <c r="A261" s="11">
        <v>44817</v>
      </c>
      <c r="B261" s="1">
        <v>2</v>
      </c>
      <c r="C261" s="1">
        <v>3</v>
      </c>
      <c r="D261" s="2">
        <v>3</v>
      </c>
      <c r="E261" s="1">
        <v>1</v>
      </c>
      <c r="F261" s="2">
        <v>4</v>
      </c>
      <c r="G261" s="1">
        <v>4</v>
      </c>
      <c r="H261" s="2">
        <v>0</v>
      </c>
      <c r="I261" s="1">
        <v>5</v>
      </c>
      <c r="J261" s="1">
        <v>0</v>
      </c>
      <c r="L261" s="21">
        <f t="shared" si="18"/>
        <v>17</v>
      </c>
      <c r="M261" s="21">
        <f t="shared" si="19"/>
        <v>5</v>
      </c>
      <c r="N261" s="22">
        <f t="shared" si="20"/>
        <v>22</v>
      </c>
      <c r="P261" s="2">
        <v>3</v>
      </c>
      <c r="Q261" s="5">
        <v>1</v>
      </c>
      <c r="R261" s="1">
        <v>0</v>
      </c>
      <c r="S261" s="5">
        <v>1</v>
      </c>
      <c r="T261" s="1">
        <v>0</v>
      </c>
      <c r="U261" s="5">
        <v>1</v>
      </c>
      <c r="V261" s="1">
        <v>1</v>
      </c>
      <c r="W261" s="1">
        <v>1</v>
      </c>
      <c r="X261" s="23">
        <f t="shared" si="24"/>
        <v>8</v>
      </c>
    </row>
    <row r="262" spans="1:24">
      <c r="A262" s="13">
        <v>44818</v>
      </c>
      <c r="L262" s="21">
        <f t="shared" si="18"/>
        <v>0</v>
      </c>
      <c r="M262" s="21">
        <f t="shared" si="19"/>
        <v>0</v>
      </c>
      <c r="N262" s="22">
        <f t="shared" si="20"/>
        <v>0</v>
      </c>
      <c r="X262" s="23">
        <f t="shared" si="24"/>
        <v>0</v>
      </c>
    </row>
    <row r="263" spans="1:24">
      <c r="A263" s="11">
        <v>44819</v>
      </c>
      <c r="L263" s="21">
        <f t="shared" ref="L263:L326" si="25">SUM(B263,C263,D263,E263,F263,G263,H263)</f>
        <v>0</v>
      </c>
      <c r="M263" s="21">
        <f t="shared" ref="M263:M326" si="26">SUM(I263,J263)</f>
        <v>0</v>
      </c>
      <c r="N263" s="22">
        <f t="shared" ref="N263:N326" si="27">SUM(L263:M263)</f>
        <v>0</v>
      </c>
      <c r="X263" s="23">
        <f t="shared" si="24"/>
        <v>0</v>
      </c>
    </row>
    <row r="264" spans="1:24">
      <c r="A264" s="11">
        <v>44820</v>
      </c>
      <c r="L264" s="21">
        <f t="shared" si="25"/>
        <v>0</v>
      </c>
      <c r="M264" s="21">
        <f t="shared" si="26"/>
        <v>0</v>
      </c>
      <c r="N264" s="22">
        <f t="shared" si="27"/>
        <v>0</v>
      </c>
      <c r="X264" s="23">
        <f t="shared" si="24"/>
        <v>0</v>
      </c>
    </row>
    <row r="265" spans="1:24">
      <c r="A265" s="12">
        <v>44821</v>
      </c>
      <c r="L265" s="21">
        <f t="shared" si="25"/>
        <v>0</v>
      </c>
      <c r="M265" s="21">
        <f t="shared" si="26"/>
        <v>0</v>
      </c>
      <c r="N265" s="22">
        <f t="shared" si="27"/>
        <v>0</v>
      </c>
      <c r="X265" s="23">
        <f t="shared" si="24"/>
        <v>0</v>
      </c>
    </row>
    <row r="266" spans="1:24">
      <c r="A266" s="12">
        <v>44822</v>
      </c>
      <c r="L266" s="21">
        <f t="shared" si="25"/>
        <v>0</v>
      </c>
      <c r="M266" s="21">
        <f t="shared" si="26"/>
        <v>0</v>
      </c>
      <c r="N266" s="22">
        <f t="shared" si="27"/>
        <v>0</v>
      </c>
      <c r="X266" s="23">
        <f t="shared" si="24"/>
        <v>0</v>
      </c>
    </row>
    <row r="267" spans="1:24">
      <c r="A267" s="11">
        <v>44823</v>
      </c>
      <c r="L267" s="21">
        <f t="shared" si="25"/>
        <v>0</v>
      </c>
      <c r="M267" s="21">
        <f t="shared" si="26"/>
        <v>0</v>
      </c>
      <c r="N267" s="22">
        <f t="shared" si="27"/>
        <v>0</v>
      </c>
      <c r="X267" s="23">
        <f t="shared" si="24"/>
        <v>0</v>
      </c>
    </row>
    <row r="268" spans="1:24">
      <c r="A268" s="11">
        <v>44824</v>
      </c>
      <c r="L268" s="21">
        <f t="shared" si="25"/>
        <v>0</v>
      </c>
      <c r="M268" s="21">
        <f t="shared" si="26"/>
        <v>0</v>
      </c>
      <c r="N268" s="22">
        <f t="shared" si="27"/>
        <v>0</v>
      </c>
      <c r="X268" s="23">
        <f t="shared" si="24"/>
        <v>0</v>
      </c>
    </row>
    <row r="269" spans="1:24">
      <c r="A269" s="13">
        <v>44825</v>
      </c>
      <c r="L269" s="21">
        <f t="shared" si="25"/>
        <v>0</v>
      </c>
      <c r="M269" s="21">
        <f t="shared" si="26"/>
        <v>0</v>
      </c>
      <c r="N269" s="22">
        <f t="shared" si="27"/>
        <v>0</v>
      </c>
      <c r="X269" s="23">
        <f t="shared" si="24"/>
        <v>0</v>
      </c>
    </row>
    <row r="270" spans="1:24">
      <c r="A270" s="11">
        <v>44826</v>
      </c>
      <c r="L270" s="21">
        <f t="shared" si="25"/>
        <v>0</v>
      </c>
      <c r="M270" s="21">
        <f t="shared" si="26"/>
        <v>0</v>
      </c>
      <c r="N270" s="22">
        <f t="shared" si="27"/>
        <v>0</v>
      </c>
      <c r="X270" s="23">
        <f t="shared" si="24"/>
        <v>0</v>
      </c>
    </row>
    <row r="271" spans="1:24">
      <c r="A271" s="11">
        <v>44827</v>
      </c>
      <c r="L271" s="21">
        <f t="shared" si="25"/>
        <v>0</v>
      </c>
      <c r="M271" s="21">
        <f t="shared" si="26"/>
        <v>0</v>
      </c>
      <c r="N271" s="22">
        <f t="shared" si="27"/>
        <v>0</v>
      </c>
      <c r="X271" s="23">
        <f t="shared" si="24"/>
        <v>0</v>
      </c>
    </row>
    <row r="272" spans="1:24">
      <c r="A272" s="12">
        <v>44828</v>
      </c>
      <c r="L272" s="21">
        <f t="shared" si="25"/>
        <v>0</v>
      </c>
      <c r="M272" s="21">
        <f t="shared" si="26"/>
        <v>0</v>
      </c>
      <c r="N272" s="22">
        <f t="shared" si="27"/>
        <v>0</v>
      </c>
      <c r="X272" s="23">
        <f t="shared" si="24"/>
        <v>0</v>
      </c>
    </row>
    <row r="273" spans="1:24">
      <c r="A273" s="12">
        <v>44829</v>
      </c>
      <c r="L273" s="21">
        <f t="shared" si="25"/>
        <v>0</v>
      </c>
      <c r="M273" s="21">
        <f t="shared" si="26"/>
        <v>0</v>
      </c>
      <c r="N273" s="22">
        <f t="shared" si="27"/>
        <v>0</v>
      </c>
      <c r="X273" s="23">
        <f t="shared" si="24"/>
        <v>0</v>
      </c>
    </row>
    <row r="274" spans="1:24">
      <c r="A274" s="11">
        <v>44830</v>
      </c>
      <c r="L274" s="21">
        <f t="shared" si="25"/>
        <v>0</v>
      </c>
      <c r="M274" s="21">
        <f t="shared" si="26"/>
        <v>0</v>
      </c>
      <c r="N274" s="22">
        <f t="shared" si="27"/>
        <v>0</v>
      </c>
      <c r="X274" s="23">
        <f t="shared" si="24"/>
        <v>0</v>
      </c>
    </row>
    <row r="275" spans="1:24">
      <c r="A275" s="11">
        <v>44831</v>
      </c>
      <c r="L275" s="21">
        <f t="shared" si="25"/>
        <v>0</v>
      </c>
      <c r="M275" s="21">
        <f t="shared" si="26"/>
        <v>0</v>
      </c>
      <c r="N275" s="22">
        <f t="shared" si="27"/>
        <v>0</v>
      </c>
      <c r="X275" s="23">
        <f t="shared" si="24"/>
        <v>0</v>
      </c>
    </row>
    <row r="276" spans="1:24">
      <c r="A276" s="13">
        <v>44832</v>
      </c>
      <c r="L276" s="21">
        <f t="shared" si="25"/>
        <v>0</v>
      </c>
      <c r="M276" s="21">
        <f t="shared" si="26"/>
        <v>0</v>
      </c>
      <c r="N276" s="22">
        <f t="shared" si="27"/>
        <v>0</v>
      </c>
      <c r="X276" s="23">
        <f t="shared" si="24"/>
        <v>0</v>
      </c>
    </row>
    <row r="277" spans="1:24">
      <c r="A277" s="11">
        <v>44833</v>
      </c>
      <c r="L277" s="21">
        <f t="shared" si="25"/>
        <v>0</v>
      </c>
      <c r="M277" s="21">
        <f t="shared" si="26"/>
        <v>0</v>
      </c>
      <c r="N277" s="22">
        <f t="shared" si="27"/>
        <v>0</v>
      </c>
      <c r="X277" s="23">
        <f t="shared" si="24"/>
        <v>0</v>
      </c>
    </row>
    <row r="278" spans="1:24">
      <c r="A278" s="11">
        <v>44834</v>
      </c>
      <c r="L278" s="21">
        <f t="shared" si="25"/>
        <v>0</v>
      </c>
      <c r="M278" s="21">
        <f t="shared" si="26"/>
        <v>0</v>
      </c>
      <c r="N278" s="22">
        <f t="shared" si="27"/>
        <v>0</v>
      </c>
      <c r="X278" s="23">
        <f t="shared" si="24"/>
        <v>0</v>
      </c>
    </row>
    <row r="279" spans="1:24">
      <c r="A279" s="12">
        <v>44835</v>
      </c>
      <c r="L279" s="21">
        <f t="shared" si="25"/>
        <v>0</v>
      </c>
      <c r="M279" s="21">
        <f t="shared" si="26"/>
        <v>0</v>
      </c>
      <c r="N279" s="22">
        <f t="shared" si="27"/>
        <v>0</v>
      </c>
      <c r="X279" s="23">
        <f t="shared" si="24"/>
        <v>0</v>
      </c>
    </row>
    <row r="280" spans="1:24">
      <c r="A280" s="12">
        <v>44836</v>
      </c>
      <c r="L280" s="21">
        <f t="shared" si="25"/>
        <v>0</v>
      </c>
      <c r="M280" s="21">
        <f t="shared" si="26"/>
        <v>0</v>
      </c>
      <c r="N280" s="22">
        <f t="shared" si="27"/>
        <v>0</v>
      </c>
      <c r="X280" s="23">
        <f t="shared" si="24"/>
        <v>0</v>
      </c>
    </row>
    <row r="281" spans="1:24">
      <c r="A281" s="11">
        <v>44837</v>
      </c>
      <c r="L281" s="21">
        <f t="shared" si="25"/>
        <v>0</v>
      </c>
      <c r="M281" s="21">
        <f t="shared" si="26"/>
        <v>0</v>
      </c>
      <c r="N281" s="22">
        <f t="shared" si="27"/>
        <v>0</v>
      </c>
      <c r="X281" s="23">
        <f t="shared" si="24"/>
        <v>0</v>
      </c>
    </row>
    <row r="282" spans="1:24">
      <c r="A282" s="11">
        <v>44838</v>
      </c>
      <c r="L282" s="21">
        <f t="shared" si="25"/>
        <v>0</v>
      </c>
      <c r="M282" s="21">
        <f t="shared" si="26"/>
        <v>0</v>
      </c>
      <c r="N282" s="22">
        <f t="shared" si="27"/>
        <v>0</v>
      </c>
      <c r="X282" s="23">
        <f t="shared" si="24"/>
        <v>0</v>
      </c>
    </row>
    <row r="283" spans="1:24">
      <c r="A283" s="13">
        <v>44839</v>
      </c>
      <c r="L283" s="21">
        <f t="shared" si="25"/>
        <v>0</v>
      </c>
      <c r="M283" s="21">
        <f t="shared" si="26"/>
        <v>0</v>
      </c>
      <c r="N283" s="22">
        <f t="shared" si="27"/>
        <v>0</v>
      </c>
      <c r="X283" s="23">
        <f t="shared" si="24"/>
        <v>0</v>
      </c>
    </row>
    <row r="284" spans="1:24">
      <c r="A284" s="11">
        <v>44840</v>
      </c>
      <c r="L284" s="21">
        <f t="shared" si="25"/>
        <v>0</v>
      </c>
      <c r="M284" s="21">
        <f t="shared" si="26"/>
        <v>0</v>
      </c>
      <c r="N284" s="22">
        <f t="shared" si="27"/>
        <v>0</v>
      </c>
      <c r="X284" s="23">
        <f t="shared" si="24"/>
        <v>0</v>
      </c>
    </row>
    <row r="285" spans="1:24">
      <c r="A285" s="11">
        <v>44841</v>
      </c>
      <c r="L285" s="21">
        <f t="shared" si="25"/>
        <v>0</v>
      </c>
      <c r="M285" s="21">
        <f t="shared" si="26"/>
        <v>0</v>
      </c>
      <c r="N285" s="22">
        <f t="shared" si="27"/>
        <v>0</v>
      </c>
      <c r="X285" s="23">
        <f t="shared" si="24"/>
        <v>0</v>
      </c>
    </row>
    <row r="286" spans="1:24">
      <c r="A286" s="12">
        <v>44842</v>
      </c>
      <c r="L286" s="21">
        <f t="shared" si="25"/>
        <v>0</v>
      </c>
      <c r="M286" s="21">
        <f t="shared" si="26"/>
        <v>0</v>
      </c>
      <c r="N286" s="22">
        <f t="shared" si="27"/>
        <v>0</v>
      </c>
      <c r="X286" s="23">
        <f t="shared" si="24"/>
        <v>0</v>
      </c>
    </row>
    <row r="287" spans="1:24">
      <c r="A287" s="12">
        <v>44843</v>
      </c>
      <c r="L287" s="21">
        <f t="shared" si="25"/>
        <v>0</v>
      </c>
      <c r="M287" s="21">
        <f t="shared" si="26"/>
        <v>0</v>
      </c>
      <c r="N287" s="22">
        <f t="shared" si="27"/>
        <v>0</v>
      </c>
      <c r="X287" s="23">
        <f t="shared" si="24"/>
        <v>0</v>
      </c>
    </row>
    <row r="288" spans="1:24">
      <c r="A288" s="11">
        <v>44844</v>
      </c>
      <c r="L288" s="21">
        <f t="shared" si="25"/>
        <v>0</v>
      </c>
      <c r="M288" s="21">
        <f t="shared" si="26"/>
        <v>0</v>
      </c>
      <c r="N288" s="22">
        <f t="shared" si="27"/>
        <v>0</v>
      </c>
      <c r="X288" s="23">
        <f t="shared" si="24"/>
        <v>0</v>
      </c>
    </row>
    <row r="289" spans="1:24">
      <c r="A289" s="11">
        <v>44845</v>
      </c>
      <c r="L289" s="21">
        <f t="shared" si="25"/>
        <v>0</v>
      </c>
      <c r="M289" s="21">
        <f t="shared" si="26"/>
        <v>0</v>
      </c>
      <c r="N289" s="22">
        <f t="shared" si="27"/>
        <v>0</v>
      </c>
      <c r="X289" s="23">
        <f t="shared" si="24"/>
        <v>0</v>
      </c>
    </row>
    <row r="290" spans="1:24">
      <c r="A290" s="13">
        <v>44846</v>
      </c>
      <c r="L290" s="21">
        <f t="shared" si="25"/>
        <v>0</v>
      </c>
      <c r="M290" s="21">
        <f t="shared" si="26"/>
        <v>0</v>
      </c>
      <c r="N290" s="22">
        <f t="shared" si="27"/>
        <v>0</v>
      </c>
      <c r="X290" s="23">
        <f t="shared" si="24"/>
        <v>0</v>
      </c>
    </row>
    <row r="291" spans="1:24">
      <c r="A291" s="11">
        <v>44847</v>
      </c>
      <c r="L291" s="21">
        <f t="shared" si="25"/>
        <v>0</v>
      </c>
      <c r="M291" s="21">
        <f t="shared" si="26"/>
        <v>0</v>
      </c>
      <c r="N291" s="22">
        <f t="shared" si="27"/>
        <v>0</v>
      </c>
      <c r="X291" s="23">
        <f t="shared" si="24"/>
        <v>0</v>
      </c>
    </row>
    <row r="292" spans="1:24">
      <c r="A292" s="11">
        <v>44848</v>
      </c>
      <c r="L292" s="21">
        <f t="shared" si="25"/>
        <v>0</v>
      </c>
      <c r="M292" s="21">
        <f t="shared" si="26"/>
        <v>0</v>
      </c>
      <c r="N292" s="22">
        <f t="shared" si="27"/>
        <v>0</v>
      </c>
      <c r="X292" s="23">
        <f t="shared" si="24"/>
        <v>0</v>
      </c>
    </row>
    <row r="293" spans="1:24">
      <c r="A293" s="12">
        <v>44849</v>
      </c>
      <c r="L293" s="21">
        <f t="shared" si="25"/>
        <v>0</v>
      </c>
      <c r="M293" s="21">
        <f t="shared" si="26"/>
        <v>0</v>
      </c>
      <c r="N293" s="22">
        <f t="shared" si="27"/>
        <v>0</v>
      </c>
      <c r="X293" s="23">
        <f t="shared" si="24"/>
        <v>0</v>
      </c>
    </row>
    <row r="294" spans="1:24">
      <c r="A294" s="12">
        <v>44850</v>
      </c>
      <c r="L294" s="21">
        <f t="shared" si="25"/>
        <v>0</v>
      </c>
      <c r="M294" s="21">
        <f t="shared" si="26"/>
        <v>0</v>
      </c>
      <c r="N294" s="22">
        <f t="shared" si="27"/>
        <v>0</v>
      </c>
      <c r="X294" s="23">
        <f t="shared" si="24"/>
        <v>0</v>
      </c>
    </row>
    <row r="295" spans="1:24">
      <c r="A295" s="11">
        <v>44851</v>
      </c>
      <c r="L295" s="21">
        <f t="shared" si="25"/>
        <v>0</v>
      </c>
      <c r="M295" s="21">
        <f t="shared" si="26"/>
        <v>0</v>
      </c>
      <c r="N295" s="22">
        <f t="shared" si="27"/>
        <v>0</v>
      </c>
      <c r="X295" s="23">
        <f t="shared" si="24"/>
        <v>0</v>
      </c>
    </row>
    <row r="296" spans="1:24">
      <c r="A296" s="11">
        <v>44852</v>
      </c>
      <c r="L296" s="21">
        <f t="shared" si="25"/>
        <v>0</v>
      </c>
      <c r="M296" s="21">
        <f t="shared" si="26"/>
        <v>0</v>
      </c>
      <c r="N296" s="22">
        <f t="shared" si="27"/>
        <v>0</v>
      </c>
      <c r="X296" s="23">
        <f t="shared" si="24"/>
        <v>0</v>
      </c>
    </row>
    <row r="297" spans="1:24">
      <c r="A297" s="13">
        <v>44853</v>
      </c>
      <c r="L297" s="21">
        <f t="shared" si="25"/>
        <v>0</v>
      </c>
      <c r="M297" s="21">
        <f t="shared" si="26"/>
        <v>0</v>
      </c>
      <c r="N297" s="22">
        <f t="shared" si="27"/>
        <v>0</v>
      </c>
      <c r="X297" s="23">
        <f t="shared" si="24"/>
        <v>0</v>
      </c>
    </row>
    <row r="298" spans="1:24">
      <c r="A298" s="11">
        <v>44854</v>
      </c>
      <c r="L298" s="21">
        <f t="shared" si="25"/>
        <v>0</v>
      </c>
      <c r="M298" s="21">
        <f t="shared" si="26"/>
        <v>0</v>
      </c>
      <c r="N298" s="22">
        <f t="shared" si="27"/>
        <v>0</v>
      </c>
      <c r="X298" s="23">
        <f t="shared" si="24"/>
        <v>0</v>
      </c>
    </row>
    <row r="299" spans="1:24">
      <c r="A299" s="11">
        <v>44855</v>
      </c>
      <c r="L299" s="21">
        <f t="shared" si="25"/>
        <v>0</v>
      </c>
      <c r="M299" s="21">
        <f t="shared" si="26"/>
        <v>0</v>
      </c>
      <c r="N299" s="22">
        <f t="shared" si="27"/>
        <v>0</v>
      </c>
      <c r="X299" s="23">
        <f t="shared" si="24"/>
        <v>0</v>
      </c>
    </row>
    <row r="300" spans="1:24">
      <c r="A300" s="12">
        <v>44856</v>
      </c>
      <c r="L300" s="21">
        <f t="shared" si="25"/>
        <v>0</v>
      </c>
      <c r="M300" s="21">
        <f t="shared" si="26"/>
        <v>0</v>
      </c>
      <c r="N300" s="22">
        <f t="shared" si="27"/>
        <v>0</v>
      </c>
      <c r="X300" s="23">
        <f t="shared" si="24"/>
        <v>0</v>
      </c>
    </row>
    <row r="301" spans="1:24">
      <c r="A301" s="12">
        <v>44857</v>
      </c>
      <c r="L301" s="21">
        <f t="shared" si="25"/>
        <v>0</v>
      </c>
      <c r="M301" s="21">
        <f t="shared" si="26"/>
        <v>0</v>
      </c>
      <c r="N301" s="22">
        <f t="shared" si="27"/>
        <v>0</v>
      </c>
      <c r="X301" s="23">
        <f t="shared" ref="X301:X364" si="28">SUM(P301:W301)</f>
        <v>0</v>
      </c>
    </row>
    <row r="302" spans="1:24">
      <c r="A302" s="11">
        <v>44858</v>
      </c>
      <c r="L302" s="21">
        <f t="shared" si="25"/>
        <v>0</v>
      </c>
      <c r="M302" s="21">
        <f t="shared" si="26"/>
        <v>0</v>
      </c>
      <c r="N302" s="22">
        <f t="shared" si="27"/>
        <v>0</v>
      </c>
      <c r="X302" s="23">
        <f t="shared" si="28"/>
        <v>0</v>
      </c>
    </row>
    <row r="303" spans="1:24">
      <c r="A303" s="11">
        <v>44859</v>
      </c>
      <c r="L303" s="21">
        <f t="shared" si="25"/>
        <v>0</v>
      </c>
      <c r="M303" s="21">
        <f t="shared" si="26"/>
        <v>0</v>
      </c>
      <c r="N303" s="22">
        <f t="shared" si="27"/>
        <v>0</v>
      </c>
      <c r="X303" s="23">
        <f t="shared" si="28"/>
        <v>0</v>
      </c>
    </row>
    <row r="304" spans="1:24">
      <c r="A304" s="13">
        <v>44860</v>
      </c>
      <c r="L304" s="21">
        <f t="shared" si="25"/>
        <v>0</v>
      </c>
      <c r="M304" s="21">
        <f t="shared" si="26"/>
        <v>0</v>
      </c>
      <c r="N304" s="22">
        <f t="shared" si="27"/>
        <v>0</v>
      </c>
      <c r="X304" s="23">
        <f t="shared" si="28"/>
        <v>0</v>
      </c>
    </row>
    <row r="305" spans="1:24">
      <c r="A305" s="11">
        <v>44861</v>
      </c>
      <c r="L305" s="21">
        <f t="shared" si="25"/>
        <v>0</v>
      </c>
      <c r="M305" s="21">
        <f t="shared" si="26"/>
        <v>0</v>
      </c>
      <c r="N305" s="22">
        <f t="shared" si="27"/>
        <v>0</v>
      </c>
      <c r="X305" s="23">
        <f t="shared" si="28"/>
        <v>0</v>
      </c>
    </row>
    <row r="306" spans="1:24">
      <c r="A306" s="11">
        <v>44862</v>
      </c>
      <c r="L306" s="21">
        <f t="shared" si="25"/>
        <v>0</v>
      </c>
      <c r="M306" s="21">
        <f t="shared" si="26"/>
        <v>0</v>
      </c>
      <c r="N306" s="22">
        <f t="shared" si="27"/>
        <v>0</v>
      </c>
      <c r="X306" s="23">
        <f t="shared" si="28"/>
        <v>0</v>
      </c>
    </row>
    <row r="307" spans="1:24">
      <c r="A307" s="12">
        <v>44863</v>
      </c>
      <c r="L307" s="21">
        <f t="shared" si="25"/>
        <v>0</v>
      </c>
      <c r="M307" s="21">
        <f t="shared" si="26"/>
        <v>0</v>
      </c>
      <c r="N307" s="22">
        <f t="shared" si="27"/>
        <v>0</v>
      </c>
      <c r="X307" s="23">
        <f t="shared" si="28"/>
        <v>0</v>
      </c>
    </row>
    <row r="308" spans="1:24">
      <c r="A308" s="12">
        <v>44864</v>
      </c>
      <c r="L308" s="21">
        <f t="shared" si="25"/>
        <v>0</v>
      </c>
      <c r="M308" s="21">
        <f t="shared" si="26"/>
        <v>0</v>
      </c>
      <c r="N308" s="22">
        <f t="shared" si="27"/>
        <v>0</v>
      </c>
      <c r="X308" s="23">
        <f t="shared" si="28"/>
        <v>0</v>
      </c>
    </row>
    <row r="309" spans="1:24">
      <c r="A309" s="11">
        <v>44865</v>
      </c>
      <c r="L309" s="21">
        <f t="shared" si="25"/>
        <v>0</v>
      </c>
      <c r="M309" s="21">
        <f t="shared" si="26"/>
        <v>0</v>
      </c>
      <c r="N309" s="22">
        <f t="shared" si="27"/>
        <v>0</v>
      </c>
      <c r="X309" s="23">
        <f t="shared" si="28"/>
        <v>0</v>
      </c>
    </row>
    <row r="310" spans="1:24">
      <c r="A310" s="11">
        <v>44866</v>
      </c>
      <c r="L310" s="21">
        <f t="shared" si="25"/>
        <v>0</v>
      </c>
      <c r="M310" s="21">
        <f t="shared" si="26"/>
        <v>0</v>
      </c>
      <c r="N310" s="22">
        <f t="shared" si="27"/>
        <v>0</v>
      </c>
      <c r="X310" s="23">
        <f t="shared" si="28"/>
        <v>0</v>
      </c>
    </row>
    <row r="311" spans="1:24">
      <c r="A311" s="13">
        <v>44867</v>
      </c>
      <c r="L311" s="21">
        <f t="shared" si="25"/>
        <v>0</v>
      </c>
      <c r="M311" s="21">
        <f t="shared" si="26"/>
        <v>0</v>
      </c>
      <c r="N311" s="22">
        <f t="shared" si="27"/>
        <v>0</v>
      </c>
      <c r="X311" s="23">
        <f t="shared" si="28"/>
        <v>0</v>
      </c>
    </row>
    <row r="312" spans="1:24">
      <c r="A312" s="11">
        <v>44868</v>
      </c>
      <c r="L312" s="21">
        <f t="shared" si="25"/>
        <v>0</v>
      </c>
      <c r="M312" s="21">
        <f t="shared" si="26"/>
        <v>0</v>
      </c>
      <c r="N312" s="22">
        <f t="shared" si="27"/>
        <v>0</v>
      </c>
      <c r="X312" s="23">
        <f t="shared" si="28"/>
        <v>0</v>
      </c>
    </row>
    <row r="313" spans="1:24">
      <c r="A313" s="11">
        <v>44869</v>
      </c>
      <c r="L313" s="21">
        <f t="shared" si="25"/>
        <v>0</v>
      </c>
      <c r="M313" s="21">
        <f t="shared" si="26"/>
        <v>0</v>
      </c>
      <c r="N313" s="22">
        <f t="shared" si="27"/>
        <v>0</v>
      </c>
      <c r="X313" s="23">
        <f t="shared" si="28"/>
        <v>0</v>
      </c>
    </row>
    <row r="314" spans="1:24">
      <c r="A314" s="12">
        <v>44870</v>
      </c>
      <c r="L314" s="21">
        <f t="shared" si="25"/>
        <v>0</v>
      </c>
      <c r="M314" s="21">
        <f t="shared" si="26"/>
        <v>0</v>
      </c>
      <c r="N314" s="22">
        <f t="shared" si="27"/>
        <v>0</v>
      </c>
      <c r="X314" s="23">
        <f t="shared" si="28"/>
        <v>0</v>
      </c>
    </row>
    <row r="315" spans="1:24">
      <c r="A315" s="12">
        <v>44871</v>
      </c>
      <c r="L315" s="21">
        <f t="shared" si="25"/>
        <v>0</v>
      </c>
      <c r="M315" s="21">
        <f t="shared" si="26"/>
        <v>0</v>
      </c>
      <c r="N315" s="22">
        <f t="shared" si="27"/>
        <v>0</v>
      </c>
      <c r="X315" s="23">
        <f t="shared" si="28"/>
        <v>0</v>
      </c>
    </row>
    <row r="316" spans="1:24">
      <c r="A316" s="11">
        <v>44872</v>
      </c>
      <c r="L316" s="21">
        <f t="shared" si="25"/>
        <v>0</v>
      </c>
      <c r="M316" s="21">
        <f t="shared" si="26"/>
        <v>0</v>
      </c>
      <c r="N316" s="22">
        <f t="shared" si="27"/>
        <v>0</v>
      </c>
      <c r="X316" s="23">
        <f t="shared" si="28"/>
        <v>0</v>
      </c>
    </row>
    <row r="317" spans="1:24">
      <c r="A317" s="11">
        <v>44873</v>
      </c>
      <c r="L317" s="21">
        <f t="shared" si="25"/>
        <v>0</v>
      </c>
      <c r="M317" s="21">
        <f t="shared" si="26"/>
        <v>0</v>
      </c>
      <c r="N317" s="22">
        <f t="shared" si="27"/>
        <v>0</v>
      </c>
      <c r="X317" s="23">
        <f t="shared" si="28"/>
        <v>0</v>
      </c>
    </row>
    <row r="318" spans="1:24">
      <c r="A318" s="13">
        <v>44874</v>
      </c>
      <c r="L318" s="21">
        <f t="shared" si="25"/>
        <v>0</v>
      </c>
      <c r="M318" s="21">
        <f t="shared" si="26"/>
        <v>0</v>
      </c>
      <c r="N318" s="22">
        <f t="shared" si="27"/>
        <v>0</v>
      </c>
      <c r="X318" s="23">
        <f t="shared" si="28"/>
        <v>0</v>
      </c>
    </row>
    <row r="319" spans="1:24">
      <c r="A319" s="11">
        <v>44875</v>
      </c>
      <c r="L319" s="21">
        <f t="shared" si="25"/>
        <v>0</v>
      </c>
      <c r="M319" s="21">
        <f t="shared" si="26"/>
        <v>0</v>
      </c>
      <c r="N319" s="22">
        <f t="shared" si="27"/>
        <v>0</v>
      </c>
      <c r="X319" s="23">
        <f t="shared" si="28"/>
        <v>0</v>
      </c>
    </row>
    <row r="320" spans="1:24">
      <c r="A320" s="11">
        <v>44876</v>
      </c>
      <c r="L320" s="21">
        <f t="shared" si="25"/>
        <v>0</v>
      </c>
      <c r="M320" s="21">
        <f t="shared" si="26"/>
        <v>0</v>
      </c>
      <c r="N320" s="22">
        <f t="shared" si="27"/>
        <v>0</v>
      </c>
      <c r="X320" s="23">
        <f t="shared" si="28"/>
        <v>0</v>
      </c>
    </row>
    <row r="321" spans="1:24">
      <c r="A321" s="12">
        <v>44877</v>
      </c>
      <c r="L321" s="21">
        <f t="shared" si="25"/>
        <v>0</v>
      </c>
      <c r="M321" s="21">
        <f t="shared" si="26"/>
        <v>0</v>
      </c>
      <c r="N321" s="22">
        <f t="shared" si="27"/>
        <v>0</v>
      </c>
      <c r="X321" s="23">
        <f t="shared" si="28"/>
        <v>0</v>
      </c>
    </row>
    <row r="322" spans="1:24">
      <c r="A322" s="12">
        <v>44878</v>
      </c>
      <c r="L322" s="21">
        <f t="shared" si="25"/>
        <v>0</v>
      </c>
      <c r="M322" s="21">
        <f t="shared" si="26"/>
        <v>0</v>
      </c>
      <c r="N322" s="22">
        <f t="shared" si="27"/>
        <v>0</v>
      </c>
      <c r="X322" s="23">
        <f t="shared" si="28"/>
        <v>0</v>
      </c>
    </row>
    <row r="323" spans="1:24">
      <c r="A323" s="11">
        <v>44879</v>
      </c>
      <c r="L323" s="21">
        <f t="shared" si="25"/>
        <v>0</v>
      </c>
      <c r="M323" s="21">
        <f t="shared" si="26"/>
        <v>0</v>
      </c>
      <c r="N323" s="22">
        <f t="shared" si="27"/>
        <v>0</v>
      </c>
      <c r="X323" s="23">
        <f t="shared" si="28"/>
        <v>0</v>
      </c>
    </row>
    <row r="324" spans="1:24">
      <c r="A324" s="11">
        <v>44880</v>
      </c>
      <c r="L324" s="21">
        <f t="shared" si="25"/>
        <v>0</v>
      </c>
      <c r="M324" s="21">
        <f t="shared" si="26"/>
        <v>0</v>
      </c>
      <c r="N324" s="22">
        <f t="shared" si="27"/>
        <v>0</v>
      </c>
      <c r="X324" s="23">
        <f t="shared" si="28"/>
        <v>0</v>
      </c>
    </row>
    <row r="325" spans="1:24">
      <c r="A325" s="13">
        <v>44881</v>
      </c>
      <c r="L325" s="21">
        <f t="shared" si="25"/>
        <v>0</v>
      </c>
      <c r="M325" s="21">
        <f t="shared" si="26"/>
        <v>0</v>
      </c>
      <c r="N325" s="22">
        <f t="shared" si="27"/>
        <v>0</v>
      </c>
      <c r="X325" s="23">
        <f t="shared" si="28"/>
        <v>0</v>
      </c>
    </row>
    <row r="326" spans="1:24">
      <c r="A326" s="11">
        <v>44882</v>
      </c>
      <c r="L326" s="21">
        <f t="shared" si="25"/>
        <v>0</v>
      </c>
      <c r="M326" s="21">
        <f t="shared" si="26"/>
        <v>0</v>
      </c>
      <c r="N326" s="22">
        <f t="shared" si="27"/>
        <v>0</v>
      </c>
      <c r="X326" s="23">
        <f t="shared" si="28"/>
        <v>0</v>
      </c>
    </row>
    <row r="327" spans="1:24">
      <c r="A327" s="11">
        <v>44883</v>
      </c>
      <c r="L327" s="21">
        <f t="shared" ref="L327:L370" si="29">SUM(B327,C327,D327,E327,F327,G327,H327)</f>
        <v>0</v>
      </c>
      <c r="M327" s="21">
        <f t="shared" ref="M327:M370" si="30">SUM(I327,J327)</f>
        <v>0</v>
      </c>
      <c r="N327" s="22">
        <f t="shared" ref="N327:N370" si="31">SUM(L327:M327)</f>
        <v>0</v>
      </c>
      <c r="X327" s="23">
        <f t="shared" si="28"/>
        <v>0</v>
      </c>
    </row>
    <row r="328" spans="1:24">
      <c r="A328" s="12">
        <v>44884</v>
      </c>
      <c r="L328" s="21">
        <f t="shared" si="29"/>
        <v>0</v>
      </c>
      <c r="M328" s="21">
        <f t="shared" si="30"/>
        <v>0</v>
      </c>
      <c r="N328" s="22">
        <f t="shared" si="31"/>
        <v>0</v>
      </c>
      <c r="X328" s="23">
        <f t="shared" si="28"/>
        <v>0</v>
      </c>
    </row>
    <row r="329" spans="1:24">
      <c r="A329" s="12">
        <v>44885</v>
      </c>
      <c r="L329" s="21">
        <f t="shared" si="29"/>
        <v>0</v>
      </c>
      <c r="M329" s="21">
        <f t="shared" si="30"/>
        <v>0</v>
      </c>
      <c r="N329" s="22">
        <f t="shared" si="31"/>
        <v>0</v>
      </c>
      <c r="X329" s="23">
        <f t="shared" si="28"/>
        <v>0</v>
      </c>
    </row>
    <row r="330" spans="1:24">
      <c r="A330" s="11">
        <v>44886</v>
      </c>
      <c r="L330" s="21">
        <f t="shared" si="29"/>
        <v>0</v>
      </c>
      <c r="M330" s="21">
        <f t="shared" si="30"/>
        <v>0</v>
      </c>
      <c r="N330" s="22">
        <f t="shared" si="31"/>
        <v>0</v>
      </c>
      <c r="X330" s="23">
        <f t="shared" si="28"/>
        <v>0</v>
      </c>
    </row>
    <row r="331" spans="1:24">
      <c r="A331" s="11">
        <v>44887</v>
      </c>
      <c r="L331" s="21">
        <f t="shared" si="29"/>
        <v>0</v>
      </c>
      <c r="M331" s="21">
        <f t="shared" si="30"/>
        <v>0</v>
      </c>
      <c r="N331" s="22">
        <f t="shared" si="31"/>
        <v>0</v>
      </c>
      <c r="X331" s="23">
        <f t="shared" si="28"/>
        <v>0</v>
      </c>
    </row>
    <row r="332" spans="1:24">
      <c r="A332" s="13">
        <v>44888</v>
      </c>
      <c r="L332" s="21">
        <f t="shared" si="29"/>
        <v>0</v>
      </c>
      <c r="M332" s="21">
        <f t="shared" si="30"/>
        <v>0</v>
      </c>
      <c r="N332" s="22">
        <f t="shared" si="31"/>
        <v>0</v>
      </c>
      <c r="X332" s="23">
        <f t="shared" si="28"/>
        <v>0</v>
      </c>
    </row>
    <row r="333" spans="1:24">
      <c r="A333" s="11">
        <v>44889</v>
      </c>
      <c r="L333" s="21">
        <f t="shared" si="29"/>
        <v>0</v>
      </c>
      <c r="M333" s="21">
        <f t="shared" si="30"/>
        <v>0</v>
      </c>
      <c r="N333" s="22">
        <f t="shared" si="31"/>
        <v>0</v>
      </c>
      <c r="X333" s="23">
        <f t="shared" si="28"/>
        <v>0</v>
      </c>
    </row>
    <row r="334" spans="1:24">
      <c r="A334" s="11">
        <v>44890</v>
      </c>
      <c r="L334" s="21">
        <f t="shared" si="29"/>
        <v>0</v>
      </c>
      <c r="M334" s="21">
        <f t="shared" si="30"/>
        <v>0</v>
      </c>
      <c r="N334" s="22">
        <f t="shared" si="31"/>
        <v>0</v>
      </c>
      <c r="X334" s="23">
        <f t="shared" si="28"/>
        <v>0</v>
      </c>
    </row>
    <row r="335" spans="1:24">
      <c r="A335" s="12">
        <v>44891</v>
      </c>
      <c r="L335" s="21">
        <f t="shared" si="29"/>
        <v>0</v>
      </c>
      <c r="M335" s="21">
        <f t="shared" si="30"/>
        <v>0</v>
      </c>
      <c r="N335" s="22">
        <f t="shared" si="31"/>
        <v>0</v>
      </c>
      <c r="X335" s="23">
        <f t="shared" si="28"/>
        <v>0</v>
      </c>
    </row>
    <row r="336" spans="1:24">
      <c r="A336" s="12">
        <v>44892</v>
      </c>
      <c r="L336" s="21">
        <f t="shared" si="29"/>
        <v>0</v>
      </c>
      <c r="M336" s="21">
        <f t="shared" si="30"/>
        <v>0</v>
      </c>
      <c r="N336" s="22">
        <f t="shared" si="31"/>
        <v>0</v>
      </c>
      <c r="X336" s="23">
        <f t="shared" si="28"/>
        <v>0</v>
      </c>
    </row>
    <row r="337" spans="1:24">
      <c r="A337" s="11">
        <v>44893</v>
      </c>
      <c r="L337" s="21">
        <f t="shared" si="29"/>
        <v>0</v>
      </c>
      <c r="M337" s="21">
        <f t="shared" si="30"/>
        <v>0</v>
      </c>
      <c r="N337" s="22">
        <f t="shared" si="31"/>
        <v>0</v>
      </c>
      <c r="X337" s="23">
        <f t="shared" si="28"/>
        <v>0</v>
      </c>
    </row>
    <row r="338" spans="1:24">
      <c r="A338" s="11">
        <v>44894</v>
      </c>
      <c r="L338" s="21">
        <f t="shared" si="29"/>
        <v>0</v>
      </c>
      <c r="M338" s="21">
        <f t="shared" si="30"/>
        <v>0</v>
      </c>
      <c r="N338" s="22">
        <f t="shared" si="31"/>
        <v>0</v>
      </c>
      <c r="X338" s="23">
        <f t="shared" si="28"/>
        <v>0</v>
      </c>
    </row>
    <row r="339" spans="1:24">
      <c r="A339" s="13">
        <v>44895</v>
      </c>
      <c r="L339" s="21">
        <f t="shared" si="29"/>
        <v>0</v>
      </c>
      <c r="M339" s="21">
        <f t="shared" si="30"/>
        <v>0</v>
      </c>
      <c r="N339" s="22">
        <f t="shared" si="31"/>
        <v>0</v>
      </c>
      <c r="X339" s="23">
        <f t="shared" si="28"/>
        <v>0</v>
      </c>
    </row>
    <row r="340" spans="1:24">
      <c r="A340" s="11">
        <v>44896</v>
      </c>
      <c r="L340" s="21">
        <f t="shared" si="29"/>
        <v>0</v>
      </c>
      <c r="M340" s="21">
        <f t="shared" si="30"/>
        <v>0</v>
      </c>
      <c r="N340" s="22">
        <f t="shared" si="31"/>
        <v>0</v>
      </c>
      <c r="X340" s="23">
        <f t="shared" si="28"/>
        <v>0</v>
      </c>
    </row>
    <row r="341" spans="1:24">
      <c r="A341" s="11">
        <v>44897</v>
      </c>
      <c r="L341" s="21">
        <f t="shared" si="29"/>
        <v>0</v>
      </c>
      <c r="M341" s="21">
        <f t="shared" si="30"/>
        <v>0</v>
      </c>
      <c r="N341" s="22">
        <f t="shared" si="31"/>
        <v>0</v>
      </c>
      <c r="X341" s="23">
        <f t="shared" si="28"/>
        <v>0</v>
      </c>
    </row>
    <row r="342" spans="1:24">
      <c r="A342" s="12">
        <v>44898</v>
      </c>
      <c r="L342" s="21">
        <f t="shared" si="29"/>
        <v>0</v>
      </c>
      <c r="M342" s="21">
        <f t="shared" si="30"/>
        <v>0</v>
      </c>
      <c r="N342" s="22">
        <f t="shared" si="31"/>
        <v>0</v>
      </c>
      <c r="X342" s="23">
        <f t="shared" si="28"/>
        <v>0</v>
      </c>
    </row>
    <row r="343" spans="1:24">
      <c r="A343" s="12">
        <v>44899</v>
      </c>
      <c r="L343" s="21">
        <f t="shared" si="29"/>
        <v>0</v>
      </c>
      <c r="M343" s="21">
        <f t="shared" si="30"/>
        <v>0</v>
      </c>
      <c r="N343" s="22">
        <f t="shared" si="31"/>
        <v>0</v>
      </c>
      <c r="X343" s="23">
        <f t="shared" si="28"/>
        <v>0</v>
      </c>
    </row>
    <row r="344" spans="1:24">
      <c r="A344" s="11">
        <v>44900</v>
      </c>
      <c r="L344" s="21">
        <f t="shared" si="29"/>
        <v>0</v>
      </c>
      <c r="M344" s="21">
        <f t="shared" si="30"/>
        <v>0</v>
      </c>
      <c r="N344" s="22">
        <f t="shared" si="31"/>
        <v>0</v>
      </c>
      <c r="X344" s="23">
        <f t="shared" si="28"/>
        <v>0</v>
      </c>
    </row>
    <row r="345" spans="1:24">
      <c r="A345" s="11">
        <v>44901</v>
      </c>
      <c r="L345" s="21">
        <f t="shared" si="29"/>
        <v>0</v>
      </c>
      <c r="M345" s="21">
        <f t="shared" si="30"/>
        <v>0</v>
      </c>
      <c r="N345" s="22">
        <f t="shared" si="31"/>
        <v>0</v>
      </c>
      <c r="X345" s="23">
        <f t="shared" si="28"/>
        <v>0</v>
      </c>
    </row>
    <row r="346" spans="1:24">
      <c r="A346" s="13">
        <v>44902</v>
      </c>
      <c r="L346" s="21">
        <f t="shared" si="29"/>
        <v>0</v>
      </c>
      <c r="M346" s="21">
        <f t="shared" si="30"/>
        <v>0</v>
      </c>
      <c r="N346" s="22">
        <f t="shared" si="31"/>
        <v>0</v>
      </c>
      <c r="X346" s="23">
        <f t="shared" si="28"/>
        <v>0</v>
      </c>
    </row>
    <row r="347" spans="1:24">
      <c r="A347" s="11">
        <v>44903</v>
      </c>
      <c r="L347" s="21">
        <f t="shared" si="29"/>
        <v>0</v>
      </c>
      <c r="M347" s="21">
        <f t="shared" si="30"/>
        <v>0</v>
      </c>
      <c r="N347" s="22">
        <f t="shared" si="31"/>
        <v>0</v>
      </c>
      <c r="X347" s="23">
        <f t="shared" si="28"/>
        <v>0</v>
      </c>
    </row>
    <row r="348" spans="1:24">
      <c r="A348" s="11">
        <v>44904</v>
      </c>
      <c r="L348" s="21">
        <f t="shared" si="29"/>
        <v>0</v>
      </c>
      <c r="M348" s="21">
        <f t="shared" si="30"/>
        <v>0</v>
      </c>
      <c r="N348" s="22">
        <f t="shared" si="31"/>
        <v>0</v>
      </c>
      <c r="X348" s="23">
        <f t="shared" si="28"/>
        <v>0</v>
      </c>
    </row>
    <row r="349" spans="1:24">
      <c r="A349" s="12">
        <v>44905</v>
      </c>
      <c r="L349" s="21">
        <f t="shared" si="29"/>
        <v>0</v>
      </c>
      <c r="M349" s="21">
        <f t="shared" si="30"/>
        <v>0</v>
      </c>
      <c r="N349" s="22">
        <f t="shared" si="31"/>
        <v>0</v>
      </c>
      <c r="X349" s="23">
        <f t="shared" si="28"/>
        <v>0</v>
      </c>
    </row>
    <row r="350" spans="1:24">
      <c r="A350" s="12">
        <v>44906</v>
      </c>
      <c r="L350" s="21">
        <f t="shared" si="29"/>
        <v>0</v>
      </c>
      <c r="M350" s="21">
        <f t="shared" si="30"/>
        <v>0</v>
      </c>
      <c r="N350" s="22">
        <f t="shared" si="31"/>
        <v>0</v>
      </c>
      <c r="X350" s="23">
        <f t="shared" si="28"/>
        <v>0</v>
      </c>
    </row>
    <row r="351" spans="1:24">
      <c r="A351" s="11">
        <v>44907</v>
      </c>
      <c r="L351" s="21">
        <f t="shared" si="29"/>
        <v>0</v>
      </c>
      <c r="M351" s="21">
        <f t="shared" si="30"/>
        <v>0</v>
      </c>
      <c r="N351" s="22">
        <f t="shared" si="31"/>
        <v>0</v>
      </c>
      <c r="X351" s="23">
        <f t="shared" si="28"/>
        <v>0</v>
      </c>
    </row>
    <row r="352" spans="1:24">
      <c r="A352" s="11">
        <v>44908</v>
      </c>
      <c r="L352" s="21">
        <f t="shared" si="29"/>
        <v>0</v>
      </c>
      <c r="M352" s="21">
        <f t="shared" si="30"/>
        <v>0</v>
      </c>
      <c r="N352" s="22">
        <f t="shared" si="31"/>
        <v>0</v>
      </c>
      <c r="X352" s="23">
        <f t="shared" si="28"/>
        <v>0</v>
      </c>
    </row>
    <row r="353" spans="1:24">
      <c r="A353" s="13">
        <v>44909</v>
      </c>
      <c r="L353" s="21">
        <f t="shared" si="29"/>
        <v>0</v>
      </c>
      <c r="M353" s="21">
        <f t="shared" si="30"/>
        <v>0</v>
      </c>
      <c r="N353" s="22">
        <f t="shared" si="31"/>
        <v>0</v>
      </c>
      <c r="X353" s="23">
        <f t="shared" si="28"/>
        <v>0</v>
      </c>
    </row>
    <row r="354" spans="1:24">
      <c r="A354" s="11">
        <v>44910</v>
      </c>
      <c r="L354" s="21">
        <f t="shared" si="29"/>
        <v>0</v>
      </c>
      <c r="M354" s="21">
        <f t="shared" si="30"/>
        <v>0</v>
      </c>
      <c r="N354" s="22">
        <f t="shared" si="31"/>
        <v>0</v>
      </c>
      <c r="X354" s="23">
        <f t="shared" si="28"/>
        <v>0</v>
      </c>
    </row>
    <row r="355" spans="1:24">
      <c r="A355" s="11">
        <v>44911</v>
      </c>
      <c r="L355" s="21">
        <f t="shared" si="29"/>
        <v>0</v>
      </c>
      <c r="M355" s="21">
        <f t="shared" si="30"/>
        <v>0</v>
      </c>
      <c r="N355" s="22">
        <f t="shared" si="31"/>
        <v>0</v>
      </c>
      <c r="X355" s="23">
        <f t="shared" si="28"/>
        <v>0</v>
      </c>
    </row>
    <row r="356" spans="1:24">
      <c r="A356" s="12">
        <v>44912</v>
      </c>
      <c r="L356" s="21">
        <f t="shared" si="29"/>
        <v>0</v>
      </c>
      <c r="M356" s="21">
        <f t="shared" si="30"/>
        <v>0</v>
      </c>
      <c r="N356" s="22">
        <f t="shared" si="31"/>
        <v>0</v>
      </c>
      <c r="X356" s="23">
        <f t="shared" si="28"/>
        <v>0</v>
      </c>
    </row>
    <row r="357" spans="1:24">
      <c r="A357" s="12">
        <v>44913</v>
      </c>
      <c r="L357" s="21">
        <f t="shared" si="29"/>
        <v>0</v>
      </c>
      <c r="M357" s="21">
        <f t="shared" si="30"/>
        <v>0</v>
      </c>
      <c r="N357" s="22">
        <f t="shared" si="31"/>
        <v>0</v>
      </c>
      <c r="X357" s="23">
        <f t="shared" si="28"/>
        <v>0</v>
      </c>
    </row>
    <row r="358" spans="1:24">
      <c r="A358" s="11">
        <v>44914</v>
      </c>
      <c r="L358" s="21">
        <f t="shared" si="29"/>
        <v>0</v>
      </c>
      <c r="M358" s="21">
        <f t="shared" si="30"/>
        <v>0</v>
      </c>
      <c r="N358" s="22">
        <f t="shared" si="31"/>
        <v>0</v>
      </c>
      <c r="X358" s="23">
        <f t="shared" si="28"/>
        <v>0</v>
      </c>
    </row>
    <row r="359" spans="1:24">
      <c r="A359" s="11">
        <v>44915</v>
      </c>
      <c r="L359" s="21">
        <f t="shared" si="29"/>
        <v>0</v>
      </c>
      <c r="M359" s="21">
        <f t="shared" si="30"/>
        <v>0</v>
      </c>
      <c r="N359" s="22">
        <f t="shared" si="31"/>
        <v>0</v>
      </c>
      <c r="X359" s="23">
        <f t="shared" si="28"/>
        <v>0</v>
      </c>
    </row>
    <row r="360" spans="1:24">
      <c r="A360" s="13">
        <v>44916</v>
      </c>
      <c r="L360" s="21">
        <f t="shared" si="29"/>
        <v>0</v>
      </c>
      <c r="M360" s="21">
        <f t="shared" si="30"/>
        <v>0</v>
      </c>
      <c r="N360" s="22">
        <f t="shared" si="31"/>
        <v>0</v>
      </c>
      <c r="X360" s="23">
        <f t="shared" si="28"/>
        <v>0</v>
      </c>
    </row>
    <row r="361" spans="1:24">
      <c r="A361" s="11">
        <v>44917</v>
      </c>
      <c r="L361" s="21">
        <f t="shared" si="29"/>
        <v>0</v>
      </c>
      <c r="M361" s="21">
        <f t="shared" si="30"/>
        <v>0</v>
      </c>
      <c r="N361" s="22">
        <f t="shared" si="31"/>
        <v>0</v>
      </c>
      <c r="X361" s="23">
        <f t="shared" si="28"/>
        <v>0</v>
      </c>
    </row>
    <row r="362" spans="1:24">
      <c r="A362" s="11">
        <v>44918</v>
      </c>
      <c r="L362" s="21">
        <f t="shared" si="29"/>
        <v>0</v>
      </c>
      <c r="M362" s="21">
        <f t="shared" si="30"/>
        <v>0</v>
      </c>
      <c r="N362" s="22">
        <f t="shared" si="31"/>
        <v>0</v>
      </c>
      <c r="X362" s="23">
        <f t="shared" si="28"/>
        <v>0</v>
      </c>
    </row>
    <row r="363" spans="1:24">
      <c r="A363" s="12">
        <v>44919</v>
      </c>
      <c r="L363" s="21">
        <f t="shared" si="29"/>
        <v>0</v>
      </c>
      <c r="M363" s="21">
        <f t="shared" si="30"/>
        <v>0</v>
      </c>
      <c r="N363" s="22">
        <f t="shared" si="31"/>
        <v>0</v>
      </c>
      <c r="X363" s="23">
        <f t="shared" si="28"/>
        <v>0</v>
      </c>
    </row>
    <row r="364" spans="1:24">
      <c r="A364" s="12">
        <v>44920</v>
      </c>
      <c r="L364" s="21">
        <f t="shared" si="29"/>
        <v>0</v>
      </c>
      <c r="M364" s="21">
        <f t="shared" si="30"/>
        <v>0</v>
      </c>
      <c r="N364" s="22">
        <f t="shared" si="31"/>
        <v>0</v>
      </c>
      <c r="X364" s="23">
        <f t="shared" si="28"/>
        <v>0</v>
      </c>
    </row>
    <row r="365" spans="1:24">
      <c r="A365" s="11">
        <v>44921</v>
      </c>
      <c r="L365" s="21">
        <f t="shared" si="29"/>
        <v>0</v>
      </c>
      <c r="M365" s="21">
        <f t="shared" si="30"/>
        <v>0</v>
      </c>
      <c r="N365" s="22">
        <f t="shared" si="31"/>
        <v>0</v>
      </c>
      <c r="X365" s="23">
        <f t="shared" ref="X365:X370" si="32">SUM(P365:W365)</f>
        <v>0</v>
      </c>
    </row>
    <row r="366" spans="1:24">
      <c r="A366" s="11">
        <v>44922</v>
      </c>
      <c r="L366" s="21">
        <f t="shared" si="29"/>
        <v>0</v>
      </c>
      <c r="M366" s="21">
        <f t="shared" si="30"/>
        <v>0</v>
      </c>
      <c r="N366" s="22">
        <f t="shared" si="31"/>
        <v>0</v>
      </c>
      <c r="X366" s="23">
        <f t="shared" si="32"/>
        <v>0</v>
      </c>
    </row>
    <row r="367" spans="1:24">
      <c r="A367" s="13">
        <v>44923</v>
      </c>
      <c r="L367" s="21">
        <f t="shared" si="29"/>
        <v>0</v>
      </c>
      <c r="M367" s="21">
        <f t="shared" si="30"/>
        <v>0</v>
      </c>
      <c r="N367" s="22">
        <f t="shared" si="31"/>
        <v>0</v>
      </c>
      <c r="X367" s="23">
        <f t="shared" si="32"/>
        <v>0</v>
      </c>
    </row>
    <row r="368" spans="1:24">
      <c r="A368" s="11">
        <v>44924</v>
      </c>
      <c r="L368" s="21">
        <f t="shared" si="29"/>
        <v>0</v>
      </c>
      <c r="M368" s="21">
        <f t="shared" si="30"/>
        <v>0</v>
      </c>
      <c r="N368" s="22">
        <f t="shared" si="31"/>
        <v>0</v>
      </c>
      <c r="X368" s="23">
        <f t="shared" si="32"/>
        <v>0</v>
      </c>
    </row>
    <row r="369" spans="1:24">
      <c r="A369" s="11">
        <v>44925</v>
      </c>
      <c r="L369" s="21">
        <f t="shared" si="29"/>
        <v>0</v>
      </c>
      <c r="M369" s="21">
        <f t="shared" si="30"/>
        <v>0</v>
      </c>
      <c r="N369" s="22">
        <f t="shared" si="31"/>
        <v>0</v>
      </c>
      <c r="X369" s="23">
        <f t="shared" si="32"/>
        <v>0</v>
      </c>
    </row>
    <row r="370" spans="1:24">
      <c r="A370" s="12">
        <v>44926</v>
      </c>
      <c r="L370" s="21">
        <f t="shared" si="29"/>
        <v>0</v>
      </c>
      <c r="M370" s="21">
        <f t="shared" si="30"/>
        <v>0</v>
      </c>
      <c r="N370" s="22">
        <f t="shared" si="31"/>
        <v>0</v>
      </c>
      <c r="X370" s="23">
        <f t="shared" si="32"/>
        <v>0</v>
      </c>
    </row>
    <row r="371" spans="1:24">
      <c r="A371" s="12">
        <v>44927</v>
      </c>
      <c r="N371" s="22">
        <f t="shared" ref="N371:N402" si="33">SUM(L371:M371)</f>
        <v>0</v>
      </c>
    </row>
    <row r="372" spans="1:24">
      <c r="A372" s="11">
        <v>44928</v>
      </c>
      <c r="N372" s="22">
        <f t="shared" si="33"/>
        <v>0</v>
      </c>
    </row>
    <row r="373" spans="1:24">
      <c r="A373" s="11">
        <v>44929</v>
      </c>
      <c r="N373" s="22">
        <f t="shared" si="33"/>
        <v>0</v>
      </c>
    </row>
    <row r="374" spans="1:24">
      <c r="A374" s="11">
        <v>44930</v>
      </c>
      <c r="N374" s="22">
        <f t="shared" si="33"/>
        <v>0</v>
      </c>
    </row>
    <row r="375" spans="1:24">
      <c r="A375" s="11">
        <v>44931</v>
      </c>
      <c r="N375" s="22">
        <f t="shared" si="33"/>
        <v>0</v>
      </c>
    </row>
    <row r="376" spans="1:24">
      <c r="A376" s="11">
        <v>44932</v>
      </c>
      <c r="N376" s="22">
        <f t="shared" si="33"/>
        <v>0</v>
      </c>
    </row>
    <row r="377" spans="1:24">
      <c r="A377" s="183">
        <v>44933</v>
      </c>
      <c r="N377" s="22">
        <f t="shared" si="33"/>
        <v>0</v>
      </c>
    </row>
    <row r="378" spans="1:24">
      <c r="A378" s="183">
        <v>44934</v>
      </c>
      <c r="N378" s="22">
        <f t="shared" si="33"/>
        <v>0</v>
      </c>
    </row>
    <row r="379" spans="1:24">
      <c r="A379" s="11">
        <v>44935</v>
      </c>
      <c r="N379" s="22">
        <f t="shared" si="33"/>
        <v>0</v>
      </c>
    </row>
    <row r="380" spans="1:24">
      <c r="A380" s="11">
        <v>44936</v>
      </c>
      <c r="N380" s="22">
        <f t="shared" si="33"/>
        <v>0</v>
      </c>
    </row>
    <row r="381" spans="1:24">
      <c r="A381" s="11">
        <v>44937</v>
      </c>
      <c r="N381" s="22">
        <f t="shared" si="33"/>
        <v>0</v>
      </c>
    </row>
    <row r="382" spans="1:24">
      <c r="A382" s="11">
        <v>44938</v>
      </c>
      <c r="N382" s="22">
        <f t="shared" si="33"/>
        <v>0</v>
      </c>
    </row>
    <row r="383" spans="1:24">
      <c r="A383" s="11">
        <v>44939</v>
      </c>
      <c r="N383" s="22">
        <f t="shared" si="33"/>
        <v>0</v>
      </c>
    </row>
    <row r="384" spans="1:24">
      <c r="A384" s="183">
        <v>44940</v>
      </c>
      <c r="N384" s="22">
        <f t="shared" si="33"/>
        <v>0</v>
      </c>
    </row>
    <row r="385" spans="1:14">
      <c r="A385" s="183">
        <v>44941</v>
      </c>
      <c r="N385" s="22">
        <f t="shared" si="33"/>
        <v>0</v>
      </c>
    </row>
    <row r="386" spans="1:14">
      <c r="A386" s="11">
        <v>44942</v>
      </c>
      <c r="N386" s="22">
        <f t="shared" si="33"/>
        <v>0</v>
      </c>
    </row>
    <row r="387" spans="1:14">
      <c r="A387" s="11">
        <v>44943</v>
      </c>
      <c r="N387" s="22">
        <f t="shared" si="33"/>
        <v>0</v>
      </c>
    </row>
    <row r="388" spans="1:14">
      <c r="A388" s="11">
        <v>44944</v>
      </c>
      <c r="N388" s="22">
        <f t="shared" si="33"/>
        <v>0</v>
      </c>
    </row>
    <row r="389" spans="1:14">
      <c r="A389" s="11">
        <v>44945</v>
      </c>
      <c r="N389" s="22">
        <f t="shared" si="33"/>
        <v>0</v>
      </c>
    </row>
    <row r="390" spans="1:14">
      <c r="A390" s="11">
        <v>44946</v>
      </c>
      <c r="N390" s="22">
        <f t="shared" si="33"/>
        <v>0</v>
      </c>
    </row>
    <row r="391" spans="1:14">
      <c r="A391" s="183">
        <v>44947</v>
      </c>
      <c r="N391" s="22">
        <f t="shared" si="33"/>
        <v>0</v>
      </c>
    </row>
    <row r="392" spans="1:14">
      <c r="A392" s="183">
        <v>44948</v>
      </c>
      <c r="N392" s="22">
        <f t="shared" si="33"/>
        <v>0</v>
      </c>
    </row>
    <row r="393" spans="1:14">
      <c r="A393" s="11">
        <v>44949</v>
      </c>
      <c r="N393" s="22">
        <f t="shared" si="33"/>
        <v>0</v>
      </c>
    </row>
    <row r="394" spans="1:14">
      <c r="A394" s="11">
        <v>44950</v>
      </c>
      <c r="N394" s="22">
        <f t="shared" si="33"/>
        <v>0</v>
      </c>
    </row>
    <row r="395" spans="1:14">
      <c r="A395" s="11">
        <v>44951</v>
      </c>
      <c r="N395" s="22">
        <f t="shared" si="33"/>
        <v>0</v>
      </c>
    </row>
    <row r="396" spans="1:14">
      <c r="A396" s="11">
        <v>44952</v>
      </c>
      <c r="N396" s="22">
        <f t="shared" si="33"/>
        <v>0</v>
      </c>
    </row>
    <row r="397" spans="1:14">
      <c r="A397" s="11">
        <v>44953</v>
      </c>
      <c r="N397" s="22">
        <f t="shared" si="33"/>
        <v>0</v>
      </c>
    </row>
    <row r="398" spans="1:14">
      <c r="A398" s="183">
        <v>44954</v>
      </c>
      <c r="N398" s="22">
        <f t="shared" si="33"/>
        <v>0</v>
      </c>
    </row>
    <row r="399" spans="1:14">
      <c r="A399" s="183">
        <v>44955</v>
      </c>
      <c r="N399" s="22">
        <f t="shared" si="33"/>
        <v>0</v>
      </c>
    </row>
    <row r="400" spans="1:14">
      <c r="A400" s="11">
        <v>44956</v>
      </c>
      <c r="N400" s="22">
        <f t="shared" si="33"/>
        <v>0</v>
      </c>
    </row>
    <row r="401" spans="1:14">
      <c r="A401" s="11">
        <v>44957</v>
      </c>
      <c r="N401" s="22">
        <f t="shared" si="33"/>
        <v>0</v>
      </c>
    </row>
    <row r="402" spans="1:14">
      <c r="A402" s="11">
        <v>44958</v>
      </c>
      <c r="N402" s="22">
        <f t="shared" si="33"/>
        <v>0</v>
      </c>
    </row>
    <row r="403" spans="1:14">
      <c r="A403" s="11">
        <v>44959</v>
      </c>
      <c r="N403" s="22">
        <f t="shared" ref="N403:N434" si="34">SUM(L403:M403)</f>
        <v>0</v>
      </c>
    </row>
    <row r="404" spans="1:14">
      <c r="A404" s="11">
        <v>44960</v>
      </c>
      <c r="N404" s="22">
        <f t="shared" si="34"/>
        <v>0</v>
      </c>
    </row>
    <row r="405" spans="1:14">
      <c r="A405" s="183">
        <v>44961</v>
      </c>
      <c r="N405" s="22">
        <f t="shared" si="34"/>
        <v>0</v>
      </c>
    </row>
    <row r="406" spans="1:14">
      <c r="A406" s="183">
        <v>44962</v>
      </c>
      <c r="N406" s="22">
        <f t="shared" si="34"/>
        <v>0</v>
      </c>
    </row>
    <row r="407" spans="1:14">
      <c r="A407" s="11">
        <v>44963</v>
      </c>
      <c r="N407" s="22">
        <f t="shared" si="34"/>
        <v>0</v>
      </c>
    </row>
    <row r="408" spans="1:14">
      <c r="A408" s="11">
        <v>44964</v>
      </c>
      <c r="N408" s="22">
        <f t="shared" si="34"/>
        <v>0</v>
      </c>
    </row>
    <row r="409" spans="1:14">
      <c r="A409" s="11">
        <v>44965</v>
      </c>
      <c r="N409" s="22">
        <f t="shared" si="34"/>
        <v>0</v>
      </c>
    </row>
    <row r="410" spans="1:14">
      <c r="A410" s="11">
        <v>44966</v>
      </c>
      <c r="N410" s="22">
        <f t="shared" si="34"/>
        <v>0</v>
      </c>
    </row>
    <row r="411" spans="1:14">
      <c r="A411" s="11">
        <v>44967</v>
      </c>
      <c r="N411" s="22">
        <f t="shared" si="34"/>
        <v>0</v>
      </c>
    </row>
    <row r="412" spans="1:14">
      <c r="A412" s="183">
        <v>44968</v>
      </c>
      <c r="N412" s="22">
        <f t="shared" si="34"/>
        <v>0</v>
      </c>
    </row>
    <row r="413" spans="1:14">
      <c r="A413" s="183">
        <v>44969</v>
      </c>
      <c r="N413" s="22">
        <f t="shared" si="34"/>
        <v>0</v>
      </c>
    </row>
    <row r="414" spans="1:14">
      <c r="A414" s="11">
        <v>44970</v>
      </c>
      <c r="N414" s="22">
        <f t="shared" si="34"/>
        <v>0</v>
      </c>
    </row>
    <row r="415" spans="1:14">
      <c r="A415" s="11">
        <v>44971</v>
      </c>
      <c r="N415" s="22">
        <f t="shared" si="34"/>
        <v>0</v>
      </c>
    </row>
    <row r="416" spans="1:14">
      <c r="A416" s="11">
        <v>44972</v>
      </c>
      <c r="N416" s="22">
        <f t="shared" si="34"/>
        <v>0</v>
      </c>
    </row>
    <row r="417" spans="1:14">
      <c r="A417" s="11">
        <v>44973</v>
      </c>
      <c r="N417" s="22">
        <f t="shared" si="34"/>
        <v>0</v>
      </c>
    </row>
    <row r="418" spans="1:14">
      <c r="A418" s="11">
        <v>44974</v>
      </c>
      <c r="N418" s="22">
        <f t="shared" si="34"/>
        <v>0</v>
      </c>
    </row>
    <row r="419" spans="1:14">
      <c r="A419" s="183">
        <v>44975</v>
      </c>
      <c r="N419" s="22">
        <f t="shared" si="34"/>
        <v>0</v>
      </c>
    </row>
    <row r="420" spans="1:14">
      <c r="A420" s="183">
        <v>44976</v>
      </c>
      <c r="N420" s="22">
        <f t="shared" si="34"/>
        <v>0</v>
      </c>
    </row>
    <row r="421" spans="1:14">
      <c r="A421" s="11">
        <v>44977</v>
      </c>
      <c r="N421" s="22">
        <f t="shared" si="34"/>
        <v>0</v>
      </c>
    </row>
    <row r="422" spans="1:14">
      <c r="A422" s="11">
        <v>44978</v>
      </c>
      <c r="N422" s="22">
        <f t="shared" si="34"/>
        <v>0</v>
      </c>
    </row>
    <row r="423" spans="1:14">
      <c r="A423" s="11">
        <v>44979</v>
      </c>
      <c r="N423" s="22">
        <f t="shared" si="34"/>
        <v>0</v>
      </c>
    </row>
    <row r="424" spans="1:14">
      <c r="A424" s="11">
        <v>44980</v>
      </c>
      <c r="N424" s="22">
        <f t="shared" si="34"/>
        <v>0</v>
      </c>
    </row>
    <row r="425" spans="1:14">
      <c r="A425" s="11">
        <v>44981</v>
      </c>
      <c r="N425" s="22">
        <f t="shared" si="34"/>
        <v>0</v>
      </c>
    </row>
    <row r="426" spans="1:14">
      <c r="A426" s="183">
        <v>44982</v>
      </c>
      <c r="N426" s="22">
        <f t="shared" si="34"/>
        <v>0</v>
      </c>
    </row>
    <row r="427" spans="1:14">
      <c r="A427" s="183">
        <v>44983</v>
      </c>
      <c r="N427" s="22">
        <f t="shared" si="34"/>
        <v>0</v>
      </c>
    </row>
    <row r="428" spans="1:14">
      <c r="A428" s="11">
        <v>44984</v>
      </c>
      <c r="N428" s="22">
        <f t="shared" si="34"/>
        <v>0</v>
      </c>
    </row>
    <row r="429" spans="1:14">
      <c r="A429" s="11">
        <v>44985</v>
      </c>
      <c r="N429" s="22">
        <f t="shared" si="34"/>
        <v>0</v>
      </c>
    </row>
    <row r="430" spans="1:14">
      <c r="A430" s="11">
        <v>44986</v>
      </c>
      <c r="N430" s="22">
        <f t="shared" si="34"/>
        <v>0</v>
      </c>
    </row>
    <row r="431" spans="1:14">
      <c r="A431" s="11">
        <v>44987</v>
      </c>
      <c r="N431" s="22">
        <f t="shared" si="34"/>
        <v>0</v>
      </c>
    </row>
    <row r="432" spans="1:14">
      <c r="A432" s="11">
        <v>44988</v>
      </c>
      <c r="N432" s="22">
        <f t="shared" si="34"/>
        <v>0</v>
      </c>
    </row>
    <row r="433" spans="1:14">
      <c r="A433" s="183">
        <v>44989</v>
      </c>
      <c r="N433" s="22">
        <f t="shared" si="34"/>
        <v>0</v>
      </c>
    </row>
    <row r="434" spans="1:14">
      <c r="A434" s="183">
        <v>44990</v>
      </c>
      <c r="N434" s="22">
        <f t="shared" si="34"/>
        <v>0</v>
      </c>
    </row>
    <row r="435" spans="1:14">
      <c r="A435" s="11">
        <v>44991</v>
      </c>
      <c r="N435" s="22">
        <f t="shared" ref="N435:N463" si="35">SUM(L435:M435)</f>
        <v>0</v>
      </c>
    </row>
    <row r="436" spans="1:14">
      <c r="A436" s="11">
        <v>44992</v>
      </c>
      <c r="N436" s="22">
        <f t="shared" si="35"/>
        <v>0</v>
      </c>
    </row>
    <row r="437" spans="1:14">
      <c r="A437" s="11">
        <v>44993</v>
      </c>
      <c r="N437" s="22">
        <f t="shared" si="35"/>
        <v>0</v>
      </c>
    </row>
    <row r="438" spans="1:14">
      <c r="A438" s="11">
        <v>44994</v>
      </c>
      <c r="N438" s="22">
        <f t="shared" si="35"/>
        <v>0</v>
      </c>
    </row>
    <row r="439" spans="1:14">
      <c r="A439" s="11">
        <v>44995</v>
      </c>
      <c r="N439" s="22">
        <f t="shared" si="35"/>
        <v>0</v>
      </c>
    </row>
    <row r="440" spans="1:14">
      <c r="A440" s="183">
        <v>44996</v>
      </c>
      <c r="N440" s="22">
        <f t="shared" si="35"/>
        <v>0</v>
      </c>
    </row>
    <row r="441" spans="1:14">
      <c r="A441" s="183">
        <v>44997</v>
      </c>
      <c r="N441" s="22">
        <f t="shared" si="35"/>
        <v>0</v>
      </c>
    </row>
    <row r="442" spans="1:14">
      <c r="A442" s="11">
        <v>44998</v>
      </c>
      <c r="N442" s="22">
        <f t="shared" si="35"/>
        <v>0</v>
      </c>
    </row>
    <row r="443" spans="1:14">
      <c r="A443" s="11">
        <v>44999</v>
      </c>
      <c r="N443" s="22">
        <f t="shared" si="35"/>
        <v>0</v>
      </c>
    </row>
    <row r="444" spans="1:14">
      <c r="A444" s="11">
        <v>45000</v>
      </c>
      <c r="N444" s="22">
        <f t="shared" si="35"/>
        <v>0</v>
      </c>
    </row>
    <row r="445" spans="1:14">
      <c r="A445" s="11">
        <v>45001</v>
      </c>
      <c r="N445" s="22">
        <f t="shared" si="35"/>
        <v>0</v>
      </c>
    </row>
    <row r="446" spans="1:14">
      <c r="A446" s="11">
        <v>45002</v>
      </c>
      <c r="N446" s="22">
        <f t="shared" si="35"/>
        <v>0</v>
      </c>
    </row>
    <row r="447" spans="1:14">
      <c r="A447" s="183">
        <v>45003</v>
      </c>
      <c r="N447" s="22">
        <f t="shared" si="35"/>
        <v>0</v>
      </c>
    </row>
    <row r="448" spans="1:14">
      <c r="A448" s="183">
        <v>45004</v>
      </c>
      <c r="N448" s="22">
        <f t="shared" si="35"/>
        <v>0</v>
      </c>
    </row>
    <row r="449" spans="1:14">
      <c r="A449" s="11">
        <v>45005</v>
      </c>
      <c r="N449" s="22">
        <f t="shared" si="35"/>
        <v>0</v>
      </c>
    </row>
    <row r="450" spans="1:14">
      <c r="A450" s="11">
        <v>45006</v>
      </c>
      <c r="N450" s="22">
        <f t="shared" si="35"/>
        <v>0</v>
      </c>
    </row>
    <row r="451" spans="1:14">
      <c r="A451" s="11">
        <v>45007</v>
      </c>
      <c r="N451" s="22">
        <f t="shared" si="35"/>
        <v>0</v>
      </c>
    </row>
    <row r="452" spans="1:14">
      <c r="A452" s="11">
        <v>45008</v>
      </c>
      <c r="N452" s="22">
        <f t="shared" si="35"/>
        <v>0</v>
      </c>
    </row>
    <row r="453" spans="1:14">
      <c r="A453" s="11">
        <v>45009</v>
      </c>
      <c r="N453" s="22">
        <f t="shared" si="35"/>
        <v>0</v>
      </c>
    </row>
    <row r="454" spans="1:14">
      <c r="A454" s="183">
        <v>45010</v>
      </c>
      <c r="N454" s="22">
        <f t="shared" si="35"/>
        <v>0</v>
      </c>
    </row>
    <row r="455" spans="1:14">
      <c r="A455" s="183">
        <v>45011</v>
      </c>
      <c r="N455" s="22">
        <f t="shared" si="35"/>
        <v>0</v>
      </c>
    </row>
    <row r="456" spans="1:14">
      <c r="A456" s="11">
        <v>45012</v>
      </c>
      <c r="N456" s="22">
        <f t="shared" si="35"/>
        <v>0</v>
      </c>
    </row>
    <row r="457" spans="1:14">
      <c r="A457" s="11">
        <v>45013</v>
      </c>
      <c r="N457" s="22">
        <f t="shared" si="35"/>
        <v>0</v>
      </c>
    </row>
    <row r="458" spans="1:14">
      <c r="A458" s="11">
        <v>45014</v>
      </c>
      <c r="N458" s="22">
        <f t="shared" si="35"/>
        <v>0</v>
      </c>
    </row>
    <row r="459" spans="1:14">
      <c r="A459" s="11">
        <v>45015</v>
      </c>
      <c r="N459" s="22">
        <f t="shared" si="35"/>
        <v>0</v>
      </c>
    </row>
    <row r="460" spans="1:14">
      <c r="A460" s="11">
        <v>45016</v>
      </c>
      <c r="N460" s="22">
        <f t="shared" si="35"/>
        <v>0</v>
      </c>
    </row>
    <row r="461" spans="1:14">
      <c r="A461" s="183">
        <v>45017</v>
      </c>
      <c r="N461" s="22">
        <f t="shared" si="35"/>
        <v>0</v>
      </c>
    </row>
    <row r="462" spans="1:14">
      <c r="A462" s="183">
        <v>45018</v>
      </c>
      <c r="N462" s="22">
        <f t="shared" si="35"/>
        <v>0</v>
      </c>
    </row>
    <row r="463" spans="1:14">
      <c r="A463" s="11">
        <v>45019</v>
      </c>
      <c r="N463" s="22">
        <f t="shared" si="35"/>
        <v>0</v>
      </c>
    </row>
  </sheetData>
  <mergeCells count="16">
    <mergeCell ref="B2:N2"/>
    <mergeCell ref="A2:A5"/>
    <mergeCell ref="A1:X1"/>
    <mergeCell ref="P2:X2"/>
    <mergeCell ref="B3:C3"/>
    <mergeCell ref="D3:E3"/>
    <mergeCell ref="F3:G3"/>
    <mergeCell ref="H3:J3"/>
    <mergeCell ref="L3:N4"/>
    <mergeCell ref="H4:I4"/>
    <mergeCell ref="P5:X5"/>
    <mergeCell ref="P3:Q3"/>
    <mergeCell ref="R3:S3"/>
    <mergeCell ref="T3:U3"/>
    <mergeCell ref="V3:W3"/>
    <mergeCell ref="X3:X4"/>
  </mergeCells>
  <conditionalFormatting sqref="A6:A371">
    <cfRule type="expression" dxfId="2" priority="1">
      <formula>A6=TODAY()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8DF5D-7EDD-4392-996C-59C26F57247D}">
  <dimension ref="A1:AP370"/>
  <sheetViews>
    <sheetView zoomScale="90" zoomScaleNormal="90" workbookViewId="0">
      <pane xSplit="1" ySplit="4" topLeftCell="B308" activePane="bottomRight" state="frozen"/>
      <selection pane="bottomRight" activeCell="AV333" sqref="AV333"/>
      <selection pane="bottomLeft" activeCell="A5" sqref="A5"/>
      <selection pane="topRight" activeCell="B1" sqref="B1"/>
    </sheetView>
  </sheetViews>
  <sheetFormatPr defaultColWidth="9.140625" defaultRowHeight="15"/>
  <cols>
    <col min="1" max="1" width="32.5703125" style="11" customWidth="1"/>
    <col min="2" max="3" width="5.7109375" style="1" customWidth="1"/>
    <col min="4" max="4" width="5.7109375" style="2" customWidth="1"/>
    <col min="5" max="5" width="5.7109375" style="1" customWidth="1"/>
    <col min="6" max="6" width="5.7109375" style="2" customWidth="1"/>
    <col min="7" max="7" width="5.7109375" style="1" customWidth="1"/>
    <col min="8" max="8" width="5.7109375" style="2" customWidth="1"/>
    <col min="9" max="9" width="5.7109375" style="1" customWidth="1"/>
    <col min="10" max="10" width="5.7109375" style="2" customWidth="1"/>
    <col min="11" max="11" width="5.7109375" style="1" customWidth="1"/>
    <col min="12" max="12" width="5.7109375" style="2" customWidth="1"/>
    <col min="13" max="13" width="5.7109375" style="1" customWidth="1"/>
    <col min="14" max="14" width="5.7109375" style="2" customWidth="1"/>
    <col min="15" max="15" width="5.7109375" style="1" customWidth="1"/>
    <col min="16" max="16" width="5.7109375" style="2" customWidth="1"/>
    <col min="17" max="17" width="5.7109375" style="1" customWidth="1"/>
    <col min="18" max="18" width="1.28515625" style="3" customWidth="1"/>
    <col min="19" max="20" width="6.7109375" style="1" customWidth="1"/>
    <col min="21" max="21" width="6.7109375" style="7" customWidth="1"/>
    <col min="22" max="22" width="4.42578125" style="80" hidden="1" customWidth="1"/>
    <col min="23" max="23" width="5.7109375" style="2" hidden="1" customWidth="1"/>
    <col min="24" max="24" width="5.7109375" style="1" hidden="1" customWidth="1"/>
    <col min="25" max="25" width="5.7109375" style="2" hidden="1" customWidth="1"/>
    <col min="26" max="26" width="5.7109375" style="1" hidden="1" customWidth="1"/>
    <col min="27" max="27" width="5.7109375" style="2" hidden="1" customWidth="1"/>
    <col min="28" max="28" width="5.7109375" style="1" hidden="1" customWidth="1"/>
    <col min="29" max="29" width="5.7109375" style="2" hidden="1" customWidth="1"/>
    <col min="30" max="30" width="5.7109375" style="1" hidden="1" customWidth="1"/>
    <col min="31" max="31" width="5.7109375" style="2" hidden="1" customWidth="1"/>
    <col min="32" max="32" width="5.7109375" style="1" hidden="1" customWidth="1"/>
    <col min="33" max="33" width="5.7109375" style="2" hidden="1" customWidth="1"/>
    <col min="34" max="34" width="5.7109375" style="1" hidden="1" customWidth="1"/>
    <col min="35" max="35" width="5.7109375" style="2" hidden="1" customWidth="1"/>
    <col min="36" max="36" width="5.7109375" style="1" hidden="1" customWidth="1"/>
    <col min="37" max="37" width="5.7109375" style="2" hidden="1" customWidth="1"/>
    <col min="38" max="38" width="5.7109375" style="1" hidden="1" customWidth="1"/>
    <col min="39" max="39" width="1.28515625" style="3" hidden="1" customWidth="1"/>
    <col min="40" max="41" width="5.7109375" style="1" hidden="1" customWidth="1"/>
    <col min="42" max="42" width="5.7109375" style="7" hidden="1" customWidth="1"/>
  </cols>
  <sheetData>
    <row r="1" spans="1:42" ht="30.75" customHeight="1" thickBot="1">
      <c r="A1" s="232" t="s">
        <v>358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4"/>
    </row>
    <row r="2" spans="1:42" ht="17.25" customHeight="1" thickTop="1" thickBot="1">
      <c r="A2" s="205" t="s">
        <v>346</v>
      </c>
      <c r="B2" s="226" t="s">
        <v>347</v>
      </c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8"/>
      <c r="T2" s="228"/>
      <c r="U2" s="229"/>
      <c r="V2" s="79"/>
      <c r="W2" s="237" t="s">
        <v>348</v>
      </c>
      <c r="X2" s="238"/>
      <c r="Y2" s="238"/>
      <c r="Z2" s="238"/>
      <c r="AA2" s="238"/>
      <c r="AB2" s="238"/>
      <c r="AC2" s="238"/>
      <c r="AD2" s="238"/>
      <c r="AE2" s="238"/>
      <c r="AF2" s="238"/>
      <c r="AG2" s="238"/>
      <c r="AH2" s="238"/>
      <c r="AI2" s="238"/>
      <c r="AJ2" s="238"/>
      <c r="AK2" s="238"/>
      <c r="AL2" s="238"/>
      <c r="AM2" s="238"/>
      <c r="AN2" s="239"/>
      <c r="AO2" s="239"/>
      <c r="AP2" s="240"/>
    </row>
    <row r="3" spans="1:42" ht="15.75" thickTop="1">
      <c r="A3" s="206"/>
      <c r="B3" s="211" t="s">
        <v>359</v>
      </c>
      <c r="C3" s="212"/>
      <c r="D3" s="213" t="s">
        <v>360</v>
      </c>
      <c r="E3" s="212"/>
      <c r="F3" s="213" t="s">
        <v>353</v>
      </c>
      <c r="G3" s="212"/>
      <c r="H3" s="213" t="s">
        <v>76</v>
      </c>
      <c r="I3" s="212"/>
      <c r="J3" s="213" t="s">
        <v>78</v>
      </c>
      <c r="K3" s="212"/>
      <c r="L3" s="211" t="s">
        <v>354</v>
      </c>
      <c r="M3" s="212"/>
      <c r="N3" s="213" t="s">
        <v>46</v>
      </c>
      <c r="O3" s="212"/>
      <c r="P3" s="213" t="s">
        <v>361</v>
      </c>
      <c r="Q3" s="212"/>
      <c r="R3" s="14"/>
      <c r="S3" s="235" t="s">
        <v>352</v>
      </c>
      <c r="T3" s="235"/>
      <c r="U3" s="236"/>
      <c r="W3" s="241" t="s">
        <v>359</v>
      </c>
      <c r="X3" s="242"/>
      <c r="Y3" s="213" t="s">
        <v>360</v>
      </c>
      <c r="Z3" s="212"/>
      <c r="AA3" s="213" t="s">
        <v>353</v>
      </c>
      <c r="AB3" s="212"/>
      <c r="AC3" s="213" t="s">
        <v>76</v>
      </c>
      <c r="AD3" s="212"/>
      <c r="AE3" s="213" t="s">
        <v>78</v>
      </c>
      <c r="AF3" s="212"/>
      <c r="AG3" s="211" t="s">
        <v>354</v>
      </c>
      <c r="AH3" s="212"/>
      <c r="AI3" s="213" t="s">
        <v>46</v>
      </c>
      <c r="AJ3" s="212"/>
      <c r="AK3" s="213" t="s">
        <v>361</v>
      </c>
      <c r="AL3" s="212"/>
      <c r="AM3" s="14"/>
      <c r="AN3" s="230" t="s">
        <v>352</v>
      </c>
      <c r="AO3" s="230"/>
      <c r="AP3" s="231"/>
    </row>
    <row r="4" spans="1:42" ht="15.75" thickBot="1">
      <c r="A4" s="206"/>
      <c r="B4" s="71" t="s">
        <v>355</v>
      </c>
      <c r="C4" s="72" t="s">
        <v>356</v>
      </c>
      <c r="D4" s="73" t="s">
        <v>355</v>
      </c>
      <c r="E4" s="72" t="s">
        <v>356</v>
      </c>
      <c r="F4" s="73" t="s">
        <v>355</v>
      </c>
      <c r="G4" s="72" t="s">
        <v>356</v>
      </c>
      <c r="H4" s="73" t="s">
        <v>355</v>
      </c>
      <c r="I4" s="72" t="s">
        <v>356</v>
      </c>
      <c r="J4" s="73" t="s">
        <v>355</v>
      </c>
      <c r="K4" s="72" t="s">
        <v>356</v>
      </c>
      <c r="L4" s="73" t="s">
        <v>355</v>
      </c>
      <c r="M4" s="72" t="s">
        <v>356</v>
      </c>
      <c r="N4" s="73" t="s">
        <v>355</v>
      </c>
      <c r="O4" s="72" t="s">
        <v>356</v>
      </c>
      <c r="P4" s="73" t="s">
        <v>355</v>
      </c>
      <c r="Q4" s="72" t="s">
        <v>356</v>
      </c>
      <c r="S4" s="71" t="s">
        <v>355</v>
      </c>
      <c r="T4" s="72" t="s">
        <v>356</v>
      </c>
      <c r="U4" s="75" t="s">
        <v>357</v>
      </c>
      <c r="W4" s="73" t="s">
        <v>362</v>
      </c>
      <c r="X4" s="72" t="s">
        <v>363</v>
      </c>
      <c r="Y4" s="73" t="s">
        <v>362</v>
      </c>
      <c r="Z4" s="72" t="s">
        <v>363</v>
      </c>
      <c r="AA4" s="73" t="s">
        <v>362</v>
      </c>
      <c r="AB4" s="72" t="s">
        <v>363</v>
      </c>
      <c r="AC4" s="73" t="s">
        <v>362</v>
      </c>
      <c r="AD4" s="72" t="s">
        <v>363</v>
      </c>
      <c r="AE4" s="73" t="s">
        <v>362</v>
      </c>
      <c r="AF4" s="72" t="s">
        <v>363</v>
      </c>
      <c r="AG4" s="73" t="s">
        <v>362</v>
      </c>
      <c r="AH4" s="72" t="s">
        <v>363</v>
      </c>
      <c r="AI4" s="73" t="s">
        <v>362</v>
      </c>
      <c r="AJ4" s="72" t="s">
        <v>363</v>
      </c>
      <c r="AK4" s="73" t="s">
        <v>362</v>
      </c>
      <c r="AL4" s="72" t="s">
        <v>363</v>
      </c>
      <c r="AN4" s="74" t="s">
        <v>362</v>
      </c>
      <c r="AO4" s="72" t="s">
        <v>363</v>
      </c>
      <c r="AP4" s="75" t="s">
        <v>357</v>
      </c>
    </row>
    <row r="5" spans="1:42">
      <c r="A5" s="12">
        <v>44562</v>
      </c>
      <c r="B5" s="77">
        <v>2</v>
      </c>
      <c r="C5" s="77">
        <v>0</v>
      </c>
      <c r="D5" s="76">
        <v>3</v>
      </c>
      <c r="E5" s="77">
        <v>1</v>
      </c>
      <c r="F5" s="2">
        <v>4</v>
      </c>
      <c r="G5" s="1">
        <v>2</v>
      </c>
      <c r="H5" s="2">
        <v>3</v>
      </c>
      <c r="I5" s="1">
        <v>0</v>
      </c>
      <c r="J5" s="2">
        <v>4</v>
      </c>
      <c r="K5" s="1">
        <v>7</v>
      </c>
      <c r="L5" s="2">
        <v>4</v>
      </c>
      <c r="M5" s="1">
        <v>0</v>
      </c>
      <c r="N5" s="2">
        <v>2</v>
      </c>
      <c r="O5" s="1">
        <v>3</v>
      </c>
      <c r="P5" s="2">
        <v>1</v>
      </c>
      <c r="Q5" s="1">
        <v>2</v>
      </c>
      <c r="S5" s="21">
        <f t="shared" ref="S5" si="0">SUM(B5,D5,F5,H5,J5,L5,N5,P5)</f>
        <v>23</v>
      </c>
      <c r="T5" s="21">
        <f t="shared" ref="T5" si="1">SUM(C5,E5,G5,I5,K5,M5,O5,Q5)</f>
        <v>15</v>
      </c>
      <c r="U5" s="22">
        <f t="shared" ref="U5" si="2">SUM(S5:T5)</f>
        <v>38</v>
      </c>
      <c r="AN5" s="21">
        <f t="shared" ref="AN5" si="3">SUM(W5,Y5,AA5,AC5,AE5,AG5,AI5,AK5)</f>
        <v>0</v>
      </c>
      <c r="AO5" s="21">
        <f t="shared" ref="AO5" si="4">SUM(X5,Z5,AB5,AD5,AF5,AH5,AJ5,AL5)</f>
        <v>0</v>
      </c>
      <c r="AP5" s="22">
        <f t="shared" ref="AP5" si="5">SUM(AN5:AO6)</f>
        <v>0</v>
      </c>
    </row>
    <row r="6" spans="1:42">
      <c r="A6" s="12">
        <v>44563</v>
      </c>
      <c r="B6" s="77">
        <v>2</v>
      </c>
      <c r="C6" s="77">
        <v>0</v>
      </c>
      <c r="D6" s="76">
        <v>3</v>
      </c>
      <c r="E6" s="77">
        <v>1</v>
      </c>
      <c r="F6" s="2">
        <v>4</v>
      </c>
      <c r="G6" s="1">
        <v>2</v>
      </c>
      <c r="H6" s="2">
        <v>3</v>
      </c>
      <c r="I6" s="1">
        <v>0</v>
      </c>
      <c r="J6" s="2">
        <v>4</v>
      </c>
      <c r="K6" s="1">
        <v>7</v>
      </c>
      <c r="L6" s="2">
        <v>4</v>
      </c>
      <c r="M6" s="1">
        <v>0</v>
      </c>
      <c r="N6" s="2">
        <v>2</v>
      </c>
      <c r="O6" s="1">
        <v>3</v>
      </c>
      <c r="P6" s="2">
        <v>1</v>
      </c>
      <c r="Q6" s="1">
        <v>2</v>
      </c>
      <c r="S6" s="21">
        <f t="shared" ref="S6:S69" si="6">SUM(B6,D6,F6,H6,J6,L6,N6,P6)</f>
        <v>23</v>
      </c>
      <c r="T6" s="21">
        <f t="shared" ref="T6:T69" si="7">SUM(C6,E6,G6,I6,K6,M6,O6,Q6)</f>
        <v>15</v>
      </c>
      <c r="U6" s="22">
        <f t="shared" ref="U6:U69" si="8">SUM(S6:T6)</f>
        <v>38</v>
      </c>
    </row>
    <row r="7" spans="1:42">
      <c r="A7" s="11">
        <v>44564</v>
      </c>
      <c r="B7" s="77">
        <v>2</v>
      </c>
      <c r="C7" s="77">
        <v>0</v>
      </c>
      <c r="D7" s="76">
        <v>3</v>
      </c>
      <c r="E7" s="77">
        <v>1</v>
      </c>
      <c r="F7" s="2">
        <v>4</v>
      </c>
      <c r="G7" s="1">
        <v>2</v>
      </c>
      <c r="H7" s="2">
        <v>3</v>
      </c>
      <c r="I7" s="1">
        <v>0</v>
      </c>
      <c r="J7" s="2">
        <v>4</v>
      </c>
      <c r="K7" s="1">
        <v>7</v>
      </c>
      <c r="L7" s="2">
        <v>4</v>
      </c>
      <c r="M7" s="1">
        <v>0</v>
      </c>
      <c r="N7" s="2">
        <v>2</v>
      </c>
      <c r="O7" s="1">
        <v>3</v>
      </c>
      <c r="P7" s="2">
        <v>1</v>
      </c>
      <c r="Q7" s="1">
        <v>2</v>
      </c>
      <c r="S7" s="21">
        <f t="shared" si="6"/>
        <v>23</v>
      </c>
      <c r="T7" s="21">
        <f t="shared" si="7"/>
        <v>15</v>
      </c>
      <c r="U7" s="22">
        <f t="shared" si="8"/>
        <v>38</v>
      </c>
    </row>
    <row r="8" spans="1:42">
      <c r="A8" s="11">
        <v>44565</v>
      </c>
      <c r="B8" s="77">
        <v>2</v>
      </c>
      <c r="C8" s="77">
        <v>0</v>
      </c>
      <c r="D8" s="76">
        <v>3</v>
      </c>
      <c r="E8" s="77">
        <v>1</v>
      </c>
      <c r="F8" s="2">
        <v>4</v>
      </c>
      <c r="G8" s="1">
        <v>2</v>
      </c>
      <c r="H8" s="2">
        <v>3</v>
      </c>
      <c r="I8" s="1">
        <v>0</v>
      </c>
      <c r="J8" s="2">
        <v>4</v>
      </c>
      <c r="K8" s="1">
        <v>7</v>
      </c>
      <c r="L8" s="2">
        <v>4</v>
      </c>
      <c r="M8" s="1">
        <v>0</v>
      </c>
      <c r="N8" s="2">
        <v>2</v>
      </c>
      <c r="O8" s="1">
        <v>3</v>
      </c>
      <c r="P8" s="2">
        <v>1</v>
      </c>
      <c r="Q8" s="1">
        <v>2</v>
      </c>
      <c r="S8" s="21">
        <f t="shared" si="6"/>
        <v>23</v>
      </c>
      <c r="T8" s="21">
        <f t="shared" si="7"/>
        <v>15</v>
      </c>
      <c r="U8" s="22">
        <f t="shared" si="8"/>
        <v>38</v>
      </c>
    </row>
    <row r="9" spans="1:42">
      <c r="A9" s="13">
        <v>44566</v>
      </c>
      <c r="B9" s="77">
        <v>2</v>
      </c>
      <c r="C9" s="77">
        <v>0</v>
      </c>
      <c r="D9" s="76">
        <v>3</v>
      </c>
      <c r="E9" s="77">
        <v>1</v>
      </c>
      <c r="F9" s="2">
        <v>4</v>
      </c>
      <c r="G9" s="1">
        <v>2</v>
      </c>
      <c r="H9" s="2">
        <v>3</v>
      </c>
      <c r="I9" s="1">
        <v>0</v>
      </c>
      <c r="J9" s="2">
        <v>4</v>
      </c>
      <c r="K9" s="1">
        <v>7</v>
      </c>
      <c r="L9" s="2">
        <v>4</v>
      </c>
      <c r="M9" s="1">
        <v>0</v>
      </c>
      <c r="N9" s="2">
        <v>2</v>
      </c>
      <c r="O9" s="1">
        <v>3</v>
      </c>
      <c r="P9" s="2">
        <v>1</v>
      </c>
      <c r="Q9" s="1">
        <v>2</v>
      </c>
      <c r="S9" s="21">
        <f t="shared" si="6"/>
        <v>23</v>
      </c>
      <c r="T9" s="21">
        <f t="shared" si="7"/>
        <v>15</v>
      </c>
      <c r="U9" s="22">
        <f t="shared" si="8"/>
        <v>38</v>
      </c>
    </row>
    <row r="10" spans="1:42">
      <c r="A10" s="11">
        <v>44567</v>
      </c>
      <c r="B10" s="77">
        <v>2</v>
      </c>
      <c r="C10" s="77">
        <v>0</v>
      </c>
      <c r="D10" s="76">
        <v>3</v>
      </c>
      <c r="E10" s="77">
        <v>1</v>
      </c>
      <c r="F10" s="2">
        <v>4</v>
      </c>
      <c r="G10" s="1">
        <v>2</v>
      </c>
      <c r="H10" s="2">
        <v>3</v>
      </c>
      <c r="I10" s="1">
        <v>0</v>
      </c>
      <c r="J10" s="2">
        <v>4</v>
      </c>
      <c r="K10" s="1">
        <v>7</v>
      </c>
      <c r="L10" s="2">
        <v>4</v>
      </c>
      <c r="M10" s="1">
        <v>0</v>
      </c>
      <c r="N10" s="2">
        <v>2</v>
      </c>
      <c r="O10" s="1">
        <v>3</v>
      </c>
      <c r="P10" s="2">
        <v>1</v>
      </c>
      <c r="Q10" s="1">
        <v>2</v>
      </c>
      <c r="S10" s="21">
        <f t="shared" si="6"/>
        <v>23</v>
      </c>
      <c r="T10" s="21">
        <f t="shared" si="7"/>
        <v>15</v>
      </c>
      <c r="U10" s="22">
        <f t="shared" si="8"/>
        <v>38</v>
      </c>
    </row>
    <row r="11" spans="1:42">
      <c r="A11" s="11">
        <v>44568</v>
      </c>
      <c r="B11" s="77">
        <v>2</v>
      </c>
      <c r="C11" s="77">
        <v>0</v>
      </c>
      <c r="D11" s="76">
        <v>3</v>
      </c>
      <c r="E11" s="77">
        <v>1</v>
      </c>
      <c r="F11" s="2">
        <v>4</v>
      </c>
      <c r="G11" s="1">
        <v>2</v>
      </c>
      <c r="H11" s="2">
        <v>3</v>
      </c>
      <c r="I11" s="1">
        <v>0</v>
      </c>
      <c r="J11" s="2">
        <v>4</v>
      </c>
      <c r="K11" s="1">
        <v>7</v>
      </c>
      <c r="L11" s="2">
        <v>4</v>
      </c>
      <c r="M11" s="1">
        <v>0</v>
      </c>
      <c r="N11" s="2">
        <v>2</v>
      </c>
      <c r="O11" s="1">
        <v>3</v>
      </c>
      <c r="P11" s="2">
        <v>1</v>
      </c>
      <c r="Q11" s="1">
        <v>2</v>
      </c>
      <c r="S11" s="21">
        <f t="shared" si="6"/>
        <v>23</v>
      </c>
      <c r="T11" s="21">
        <f t="shared" si="7"/>
        <v>15</v>
      </c>
      <c r="U11" s="22">
        <f t="shared" si="8"/>
        <v>38</v>
      </c>
    </row>
    <row r="12" spans="1:42">
      <c r="A12" s="12">
        <v>44569</v>
      </c>
      <c r="B12" s="77">
        <v>2</v>
      </c>
      <c r="C12" s="77">
        <v>0</v>
      </c>
      <c r="D12" s="76">
        <v>3</v>
      </c>
      <c r="E12" s="77">
        <v>1</v>
      </c>
      <c r="F12" s="2">
        <v>4</v>
      </c>
      <c r="G12" s="1">
        <v>2</v>
      </c>
      <c r="H12" s="2">
        <v>3</v>
      </c>
      <c r="I12" s="1">
        <v>0</v>
      </c>
      <c r="J12" s="2">
        <v>4</v>
      </c>
      <c r="K12" s="1">
        <v>7</v>
      </c>
      <c r="L12" s="2">
        <v>4</v>
      </c>
      <c r="M12" s="1">
        <v>0</v>
      </c>
      <c r="N12" s="2">
        <v>2</v>
      </c>
      <c r="O12" s="1">
        <v>3</v>
      </c>
      <c r="P12" s="2">
        <v>1</v>
      </c>
      <c r="Q12" s="1">
        <v>2</v>
      </c>
      <c r="S12" s="21">
        <f t="shared" si="6"/>
        <v>23</v>
      </c>
      <c r="T12" s="21">
        <f t="shared" si="7"/>
        <v>15</v>
      </c>
      <c r="U12" s="22">
        <f t="shared" si="8"/>
        <v>38</v>
      </c>
    </row>
    <row r="13" spans="1:42">
      <c r="A13" s="12">
        <v>44570</v>
      </c>
      <c r="B13" s="77">
        <v>2</v>
      </c>
      <c r="C13" s="77">
        <v>0</v>
      </c>
      <c r="D13" s="76">
        <v>3</v>
      </c>
      <c r="E13" s="77">
        <v>1</v>
      </c>
      <c r="F13" s="2">
        <v>4</v>
      </c>
      <c r="G13" s="1">
        <v>2</v>
      </c>
      <c r="H13" s="2">
        <v>3</v>
      </c>
      <c r="I13" s="1">
        <v>0</v>
      </c>
      <c r="J13" s="2">
        <v>4</v>
      </c>
      <c r="K13" s="1">
        <v>7</v>
      </c>
      <c r="L13" s="2">
        <v>4</v>
      </c>
      <c r="M13" s="1">
        <v>0</v>
      </c>
      <c r="N13" s="2">
        <v>2</v>
      </c>
      <c r="O13" s="1">
        <v>3</v>
      </c>
      <c r="P13" s="2">
        <v>1</v>
      </c>
      <c r="Q13" s="1">
        <v>2</v>
      </c>
      <c r="S13" s="21">
        <f t="shared" si="6"/>
        <v>23</v>
      </c>
      <c r="T13" s="21">
        <f t="shared" si="7"/>
        <v>15</v>
      </c>
      <c r="U13" s="22">
        <f t="shared" si="8"/>
        <v>38</v>
      </c>
    </row>
    <row r="14" spans="1:42">
      <c r="A14" s="11">
        <v>44571</v>
      </c>
      <c r="B14" s="77">
        <v>2</v>
      </c>
      <c r="C14" s="77">
        <v>0</v>
      </c>
      <c r="D14" s="76">
        <v>3</v>
      </c>
      <c r="E14" s="77">
        <v>1</v>
      </c>
      <c r="F14" s="2">
        <v>4</v>
      </c>
      <c r="G14" s="1">
        <v>2</v>
      </c>
      <c r="H14" s="2">
        <v>3</v>
      </c>
      <c r="I14" s="1">
        <v>0</v>
      </c>
      <c r="J14" s="2">
        <v>4</v>
      </c>
      <c r="K14" s="1">
        <v>7</v>
      </c>
      <c r="L14" s="2">
        <v>4</v>
      </c>
      <c r="M14" s="1">
        <v>0</v>
      </c>
      <c r="N14" s="2">
        <v>2</v>
      </c>
      <c r="O14" s="1">
        <v>3</v>
      </c>
      <c r="P14" s="2">
        <v>1</v>
      </c>
      <c r="Q14" s="1">
        <v>2</v>
      </c>
      <c r="S14" s="21">
        <f t="shared" si="6"/>
        <v>23</v>
      </c>
      <c r="T14" s="21">
        <f t="shared" si="7"/>
        <v>15</v>
      </c>
      <c r="U14" s="22">
        <f t="shared" si="8"/>
        <v>38</v>
      </c>
    </row>
    <row r="15" spans="1:42">
      <c r="A15" s="11">
        <v>44572</v>
      </c>
      <c r="B15" s="77">
        <v>2</v>
      </c>
      <c r="C15" s="77">
        <v>0</v>
      </c>
      <c r="D15" s="76">
        <v>3</v>
      </c>
      <c r="E15" s="77">
        <v>1</v>
      </c>
      <c r="F15" s="2">
        <v>4</v>
      </c>
      <c r="G15" s="1">
        <v>2</v>
      </c>
      <c r="H15" s="2">
        <v>3</v>
      </c>
      <c r="I15" s="1">
        <v>0</v>
      </c>
      <c r="J15" s="2">
        <v>4</v>
      </c>
      <c r="K15" s="1">
        <v>7</v>
      </c>
      <c r="L15" s="2">
        <v>4</v>
      </c>
      <c r="M15" s="1">
        <v>0</v>
      </c>
      <c r="N15" s="2">
        <v>2</v>
      </c>
      <c r="O15" s="1">
        <v>3</v>
      </c>
      <c r="P15" s="2">
        <v>1</v>
      </c>
      <c r="Q15" s="1">
        <v>2</v>
      </c>
      <c r="S15" s="21">
        <f t="shared" si="6"/>
        <v>23</v>
      </c>
      <c r="T15" s="21">
        <f t="shared" si="7"/>
        <v>15</v>
      </c>
      <c r="U15" s="22">
        <f t="shared" si="8"/>
        <v>38</v>
      </c>
    </row>
    <row r="16" spans="1:42">
      <c r="A16" s="13">
        <v>44573</v>
      </c>
      <c r="B16" s="77">
        <v>2</v>
      </c>
      <c r="C16" s="77">
        <v>0</v>
      </c>
      <c r="D16" s="76">
        <v>3</v>
      </c>
      <c r="E16" s="77">
        <v>1</v>
      </c>
      <c r="F16" s="2">
        <v>4</v>
      </c>
      <c r="G16" s="1">
        <v>2</v>
      </c>
      <c r="H16" s="2">
        <v>3</v>
      </c>
      <c r="I16" s="1">
        <v>0</v>
      </c>
      <c r="J16" s="2">
        <v>4</v>
      </c>
      <c r="K16" s="1">
        <v>7</v>
      </c>
      <c r="L16" s="2">
        <v>4</v>
      </c>
      <c r="M16" s="1">
        <v>0</v>
      </c>
      <c r="N16" s="2">
        <v>2</v>
      </c>
      <c r="O16" s="1">
        <v>3</v>
      </c>
      <c r="P16" s="2">
        <v>1</v>
      </c>
      <c r="Q16" s="1">
        <v>2</v>
      </c>
      <c r="S16" s="21">
        <f t="shared" si="6"/>
        <v>23</v>
      </c>
      <c r="T16" s="21">
        <f t="shared" si="7"/>
        <v>15</v>
      </c>
      <c r="U16" s="22">
        <f t="shared" si="8"/>
        <v>38</v>
      </c>
    </row>
    <row r="17" spans="1:21">
      <c r="A17" s="11">
        <v>44574</v>
      </c>
      <c r="B17" s="77">
        <v>2</v>
      </c>
      <c r="C17" s="77">
        <v>0</v>
      </c>
      <c r="D17" s="76">
        <v>3</v>
      </c>
      <c r="E17" s="77">
        <v>1</v>
      </c>
      <c r="F17" s="2">
        <v>4</v>
      </c>
      <c r="G17" s="1">
        <v>2</v>
      </c>
      <c r="H17" s="2">
        <v>3</v>
      </c>
      <c r="I17" s="1">
        <v>0</v>
      </c>
      <c r="J17" s="2">
        <v>4</v>
      </c>
      <c r="K17" s="1">
        <v>7</v>
      </c>
      <c r="L17" s="2">
        <v>4</v>
      </c>
      <c r="M17" s="1">
        <v>0</v>
      </c>
      <c r="N17" s="2">
        <v>2</v>
      </c>
      <c r="O17" s="1">
        <v>3</v>
      </c>
      <c r="P17" s="2">
        <v>1</v>
      </c>
      <c r="Q17" s="1">
        <v>2</v>
      </c>
      <c r="S17" s="21">
        <f t="shared" si="6"/>
        <v>23</v>
      </c>
      <c r="T17" s="21">
        <f t="shared" si="7"/>
        <v>15</v>
      </c>
      <c r="U17" s="22">
        <f t="shared" si="8"/>
        <v>38</v>
      </c>
    </row>
    <row r="18" spans="1:21">
      <c r="A18" s="11">
        <v>44575</v>
      </c>
      <c r="B18" s="77">
        <v>2</v>
      </c>
      <c r="C18" s="77">
        <v>0</v>
      </c>
      <c r="D18" s="76">
        <v>3</v>
      </c>
      <c r="E18" s="77">
        <v>1</v>
      </c>
      <c r="F18" s="2">
        <v>4</v>
      </c>
      <c r="G18" s="1">
        <v>2</v>
      </c>
      <c r="H18" s="2">
        <v>3</v>
      </c>
      <c r="I18" s="1">
        <v>0</v>
      </c>
      <c r="J18" s="2">
        <v>4</v>
      </c>
      <c r="K18" s="1">
        <v>7</v>
      </c>
      <c r="L18" s="2">
        <v>4</v>
      </c>
      <c r="M18" s="1">
        <v>0</v>
      </c>
      <c r="N18" s="2">
        <v>2</v>
      </c>
      <c r="O18" s="1">
        <v>3</v>
      </c>
      <c r="P18" s="2">
        <v>1</v>
      </c>
      <c r="Q18" s="1">
        <v>2</v>
      </c>
      <c r="S18" s="21">
        <f t="shared" si="6"/>
        <v>23</v>
      </c>
      <c r="T18" s="21">
        <f t="shared" si="7"/>
        <v>15</v>
      </c>
      <c r="U18" s="22">
        <f t="shared" si="8"/>
        <v>38</v>
      </c>
    </row>
    <row r="19" spans="1:21">
      <c r="A19" s="12">
        <v>44576</v>
      </c>
      <c r="B19" s="77">
        <v>2</v>
      </c>
      <c r="C19" s="77">
        <v>0</v>
      </c>
      <c r="D19" s="76">
        <v>3</v>
      </c>
      <c r="E19" s="77">
        <v>1</v>
      </c>
      <c r="F19" s="2">
        <v>4</v>
      </c>
      <c r="G19" s="1">
        <v>2</v>
      </c>
      <c r="H19" s="2">
        <v>3</v>
      </c>
      <c r="I19" s="1">
        <v>0</v>
      </c>
      <c r="J19" s="2">
        <v>4</v>
      </c>
      <c r="K19" s="1">
        <v>7</v>
      </c>
      <c r="L19" s="2">
        <v>4</v>
      </c>
      <c r="M19" s="1">
        <v>0</v>
      </c>
      <c r="N19" s="2">
        <v>2</v>
      </c>
      <c r="O19" s="1">
        <v>3</v>
      </c>
      <c r="P19" s="2">
        <v>1</v>
      </c>
      <c r="Q19" s="1">
        <v>2</v>
      </c>
      <c r="S19" s="21">
        <f t="shared" si="6"/>
        <v>23</v>
      </c>
      <c r="T19" s="21">
        <f t="shared" si="7"/>
        <v>15</v>
      </c>
      <c r="U19" s="22">
        <f t="shared" si="8"/>
        <v>38</v>
      </c>
    </row>
    <row r="20" spans="1:21">
      <c r="A20" s="12">
        <v>44577</v>
      </c>
      <c r="B20" s="77">
        <v>2</v>
      </c>
      <c r="C20" s="77">
        <v>0</v>
      </c>
      <c r="D20" s="76">
        <v>3</v>
      </c>
      <c r="E20" s="77">
        <v>1</v>
      </c>
      <c r="F20" s="2">
        <v>4</v>
      </c>
      <c r="G20" s="1">
        <v>2</v>
      </c>
      <c r="H20" s="2">
        <v>3</v>
      </c>
      <c r="I20" s="1">
        <v>0</v>
      </c>
      <c r="J20" s="2">
        <v>4</v>
      </c>
      <c r="K20" s="1">
        <v>7</v>
      </c>
      <c r="L20" s="2">
        <v>4</v>
      </c>
      <c r="M20" s="1">
        <v>0</v>
      </c>
      <c r="N20" s="2">
        <v>2</v>
      </c>
      <c r="O20" s="1">
        <v>3</v>
      </c>
      <c r="P20" s="2">
        <v>1</v>
      </c>
      <c r="Q20" s="1">
        <v>2</v>
      </c>
      <c r="S20" s="21">
        <f t="shared" si="6"/>
        <v>23</v>
      </c>
      <c r="T20" s="21">
        <f t="shared" si="7"/>
        <v>15</v>
      </c>
      <c r="U20" s="22">
        <f t="shared" si="8"/>
        <v>38</v>
      </c>
    </row>
    <row r="21" spans="1:21">
      <c r="A21" s="11">
        <v>44578</v>
      </c>
      <c r="B21" s="77">
        <v>2</v>
      </c>
      <c r="C21" s="77">
        <v>0</v>
      </c>
      <c r="D21" s="76">
        <v>3</v>
      </c>
      <c r="E21" s="77">
        <v>1</v>
      </c>
      <c r="F21" s="2">
        <v>4</v>
      </c>
      <c r="G21" s="1">
        <v>2</v>
      </c>
      <c r="H21" s="2">
        <v>3</v>
      </c>
      <c r="I21" s="1">
        <v>0</v>
      </c>
      <c r="J21" s="2">
        <v>4</v>
      </c>
      <c r="K21" s="1">
        <v>7</v>
      </c>
      <c r="L21" s="2">
        <v>4</v>
      </c>
      <c r="M21" s="1">
        <v>0</v>
      </c>
      <c r="N21" s="2">
        <v>2</v>
      </c>
      <c r="O21" s="1">
        <v>3</v>
      </c>
      <c r="P21" s="2">
        <v>1</v>
      </c>
      <c r="Q21" s="1">
        <v>2</v>
      </c>
      <c r="S21" s="21">
        <f t="shared" si="6"/>
        <v>23</v>
      </c>
      <c r="T21" s="21">
        <f t="shared" si="7"/>
        <v>15</v>
      </c>
      <c r="U21" s="22">
        <f t="shared" si="8"/>
        <v>38</v>
      </c>
    </row>
    <row r="22" spans="1:21">
      <c r="A22" s="11">
        <v>44579</v>
      </c>
      <c r="B22" s="77">
        <v>2</v>
      </c>
      <c r="C22" s="77">
        <v>0</v>
      </c>
      <c r="D22" s="76">
        <v>3</v>
      </c>
      <c r="E22" s="77">
        <v>1</v>
      </c>
      <c r="F22" s="2">
        <v>4</v>
      </c>
      <c r="G22" s="1">
        <v>2</v>
      </c>
      <c r="H22" s="2">
        <v>3</v>
      </c>
      <c r="I22" s="1">
        <v>0</v>
      </c>
      <c r="J22" s="2">
        <v>4</v>
      </c>
      <c r="K22" s="1">
        <v>7</v>
      </c>
      <c r="L22" s="2">
        <v>4</v>
      </c>
      <c r="M22" s="1">
        <v>0</v>
      </c>
      <c r="N22" s="2">
        <v>2</v>
      </c>
      <c r="O22" s="1">
        <v>3</v>
      </c>
      <c r="P22" s="2">
        <v>1</v>
      </c>
      <c r="Q22" s="1">
        <v>2</v>
      </c>
      <c r="S22" s="21">
        <f t="shared" si="6"/>
        <v>23</v>
      </c>
      <c r="T22" s="21">
        <f t="shared" si="7"/>
        <v>15</v>
      </c>
      <c r="U22" s="22">
        <f t="shared" si="8"/>
        <v>38</v>
      </c>
    </row>
    <row r="23" spans="1:21">
      <c r="A23" s="13">
        <v>44580</v>
      </c>
      <c r="B23" s="77">
        <v>2</v>
      </c>
      <c r="C23" s="77">
        <v>0</v>
      </c>
      <c r="D23" s="76">
        <v>3</v>
      </c>
      <c r="E23" s="77">
        <v>1</v>
      </c>
      <c r="F23" s="2">
        <v>4</v>
      </c>
      <c r="G23" s="1">
        <v>2</v>
      </c>
      <c r="H23" s="2">
        <v>3</v>
      </c>
      <c r="I23" s="1">
        <v>0</v>
      </c>
      <c r="J23" s="2">
        <v>4</v>
      </c>
      <c r="K23" s="1">
        <v>7</v>
      </c>
      <c r="L23" s="2">
        <v>4</v>
      </c>
      <c r="M23" s="1">
        <v>0</v>
      </c>
      <c r="N23" s="2">
        <v>2</v>
      </c>
      <c r="O23" s="1">
        <v>3</v>
      </c>
      <c r="P23" s="2">
        <v>1</v>
      </c>
      <c r="Q23" s="1">
        <v>2</v>
      </c>
      <c r="S23" s="21">
        <f t="shared" si="6"/>
        <v>23</v>
      </c>
      <c r="T23" s="21">
        <f t="shared" si="7"/>
        <v>15</v>
      </c>
      <c r="U23" s="22">
        <f t="shared" si="8"/>
        <v>38</v>
      </c>
    </row>
    <row r="24" spans="1:21">
      <c r="A24" s="11">
        <v>44581</v>
      </c>
      <c r="B24" s="77">
        <v>2</v>
      </c>
      <c r="C24" s="77">
        <v>0</v>
      </c>
      <c r="D24" s="76">
        <v>3</v>
      </c>
      <c r="E24" s="77">
        <v>1</v>
      </c>
      <c r="F24" s="2">
        <v>4</v>
      </c>
      <c r="G24" s="1">
        <v>2</v>
      </c>
      <c r="H24" s="2">
        <v>3</v>
      </c>
      <c r="I24" s="1">
        <v>0</v>
      </c>
      <c r="J24" s="2">
        <v>4</v>
      </c>
      <c r="K24" s="1">
        <v>7</v>
      </c>
      <c r="L24" s="2">
        <v>4</v>
      </c>
      <c r="M24" s="1">
        <v>0</v>
      </c>
      <c r="N24" s="2">
        <v>2</v>
      </c>
      <c r="O24" s="1">
        <v>3</v>
      </c>
      <c r="P24" s="2">
        <v>1</v>
      </c>
      <c r="Q24" s="1">
        <v>2</v>
      </c>
      <c r="S24" s="21">
        <f t="shared" si="6"/>
        <v>23</v>
      </c>
      <c r="T24" s="21">
        <f t="shared" si="7"/>
        <v>15</v>
      </c>
      <c r="U24" s="22">
        <f t="shared" si="8"/>
        <v>38</v>
      </c>
    </row>
    <row r="25" spans="1:21">
      <c r="A25" s="11">
        <v>44582</v>
      </c>
      <c r="B25" s="77">
        <v>2</v>
      </c>
      <c r="C25" s="77">
        <v>0</v>
      </c>
      <c r="D25" s="76">
        <v>3</v>
      </c>
      <c r="E25" s="77">
        <v>1</v>
      </c>
      <c r="F25" s="2">
        <v>4</v>
      </c>
      <c r="G25" s="1">
        <v>2</v>
      </c>
      <c r="H25" s="2">
        <v>3</v>
      </c>
      <c r="I25" s="1">
        <v>0</v>
      </c>
      <c r="J25" s="2">
        <v>4</v>
      </c>
      <c r="K25" s="1">
        <v>7</v>
      </c>
      <c r="L25" s="2">
        <v>4</v>
      </c>
      <c r="M25" s="1">
        <v>0</v>
      </c>
      <c r="N25" s="2">
        <v>2</v>
      </c>
      <c r="O25" s="1">
        <v>3</v>
      </c>
      <c r="P25" s="2">
        <v>1</v>
      </c>
      <c r="Q25" s="1">
        <v>2</v>
      </c>
      <c r="S25" s="21">
        <f t="shared" si="6"/>
        <v>23</v>
      </c>
      <c r="T25" s="21">
        <f t="shared" si="7"/>
        <v>15</v>
      </c>
      <c r="U25" s="22">
        <f t="shared" si="8"/>
        <v>38</v>
      </c>
    </row>
    <row r="26" spans="1:21">
      <c r="A26" s="12">
        <v>44583</v>
      </c>
      <c r="B26" s="77">
        <v>2</v>
      </c>
      <c r="C26" s="77">
        <v>0</v>
      </c>
      <c r="D26" s="76">
        <v>3</v>
      </c>
      <c r="E26" s="77">
        <v>1</v>
      </c>
      <c r="F26" s="2">
        <v>4</v>
      </c>
      <c r="G26" s="1">
        <v>2</v>
      </c>
      <c r="H26" s="2">
        <v>3</v>
      </c>
      <c r="I26" s="1">
        <v>0</v>
      </c>
      <c r="J26" s="2">
        <v>4</v>
      </c>
      <c r="K26" s="1">
        <v>7</v>
      </c>
      <c r="L26" s="2">
        <v>4</v>
      </c>
      <c r="M26" s="1">
        <v>0</v>
      </c>
      <c r="N26" s="2">
        <v>2</v>
      </c>
      <c r="O26" s="1">
        <v>3</v>
      </c>
      <c r="P26" s="2">
        <v>1</v>
      </c>
      <c r="Q26" s="1">
        <v>2</v>
      </c>
      <c r="S26" s="21">
        <f t="shared" si="6"/>
        <v>23</v>
      </c>
      <c r="T26" s="21">
        <f t="shared" si="7"/>
        <v>15</v>
      </c>
      <c r="U26" s="22">
        <f t="shared" si="8"/>
        <v>38</v>
      </c>
    </row>
    <row r="27" spans="1:21">
      <c r="A27" s="12">
        <v>44584</v>
      </c>
      <c r="B27" s="77">
        <v>2</v>
      </c>
      <c r="C27" s="77">
        <v>0</v>
      </c>
      <c r="D27" s="76">
        <v>3</v>
      </c>
      <c r="E27" s="77">
        <v>1</v>
      </c>
      <c r="F27" s="2">
        <v>4</v>
      </c>
      <c r="G27" s="1">
        <v>2</v>
      </c>
      <c r="H27" s="2">
        <v>3</v>
      </c>
      <c r="I27" s="1">
        <v>0</v>
      </c>
      <c r="J27" s="2">
        <v>4</v>
      </c>
      <c r="K27" s="1">
        <v>7</v>
      </c>
      <c r="L27" s="2">
        <v>4</v>
      </c>
      <c r="M27" s="1">
        <v>0</v>
      </c>
      <c r="N27" s="2">
        <v>2</v>
      </c>
      <c r="O27" s="1">
        <v>3</v>
      </c>
      <c r="P27" s="2">
        <v>1</v>
      </c>
      <c r="Q27" s="1">
        <v>2</v>
      </c>
      <c r="S27" s="21">
        <f t="shared" si="6"/>
        <v>23</v>
      </c>
      <c r="T27" s="21">
        <f t="shared" si="7"/>
        <v>15</v>
      </c>
      <c r="U27" s="22">
        <f t="shared" si="8"/>
        <v>38</v>
      </c>
    </row>
    <row r="28" spans="1:21">
      <c r="A28" s="11">
        <v>44585</v>
      </c>
      <c r="B28" s="77">
        <v>2</v>
      </c>
      <c r="C28" s="77">
        <v>0</v>
      </c>
      <c r="D28" s="76">
        <v>3</v>
      </c>
      <c r="E28" s="77">
        <v>1</v>
      </c>
      <c r="F28" s="2">
        <v>4</v>
      </c>
      <c r="G28" s="1">
        <v>2</v>
      </c>
      <c r="H28" s="2">
        <v>3</v>
      </c>
      <c r="I28" s="1">
        <v>0</v>
      </c>
      <c r="J28" s="2">
        <v>4</v>
      </c>
      <c r="K28" s="1">
        <v>7</v>
      </c>
      <c r="L28" s="2">
        <v>4</v>
      </c>
      <c r="M28" s="1">
        <v>0</v>
      </c>
      <c r="N28" s="2">
        <v>2</v>
      </c>
      <c r="O28" s="1">
        <v>3</v>
      </c>
      <c r="P28" s="2">
        <v>1</v>
      </c>
      <c r="Q28" s="1">
        <v>2</v>
      </c>
      <c r="S28" s="21">
        <f t="shared" si="6"/>
        <v>23</v>
      </c>
      <c r="T28" s="21">
        <f t="shared" si="7"/>
        <v>15</v>
      </c>
      <c r="U28" s="22">
        <f t="shared" si="8"/>
        <v>38</v>
      </c>
    </row>
    <row r="29" spans="1:21">
      <c r="A29" s="11">
        <v>44586</v>
      </c>
      <c r="B29" s="77">
        <v>2</v>
      </c>
      <c r="C29" s="77">
        <v>0</v>
      </c>
      <c r="D29" s="76">
        <v>3</v>
      </c>
      <c r="E29" s="77">
        <v>1</v>
      </c>
      <c r="F29" s="2">
        <v>4</v>
      </c>
      <c r="G29" s="1">
        <v>2</v>
      </c>
      <c r="H29" s="2">
        <v>3</v>
      </c>
      <c r="I29" s="1">
        <v>0</v>
      </c>
      <c r="J29" s="2">
        <v>4</v>
      </c>
      <c r="K29" s="1">
        <v>7</v>
      </c>
      <c r="L29" s="2">
        <v>4</v>
      </c>
      <c r="M29" s="1">
        <v>0</v>
      </c>
      <c r="N29" s="2">
        <v>2</v>
      </c>
      <c r="O29" s="1">
        <v>3</v>
      </c>
      <c r="P29" s="2">
        <v>1</v>
      </c>
      <c r="Q29" s="1">
        <v>2</v>
      </c>
      <c r="S29" s="21">
        <f t="shared" si="6"/>
        <v>23</v>
      </c>
      <c r="T29" s="21">
        <f t="shared" si="7"/>
        <v>15</v>
      </c>
      <c r="U29" s="22">
        <f t="shared" si="8"/>
        <v>38</v>
      </c>
    </row>
    <row r="30" spans="1:21">
      <c r="A30" s="13">
        <v>44587</v>
      </c>
      <c r="B30" s="77">
        <v>2</v>
      </c>
      <c r="C30" s="77">
        <v>0</v>
      </c>
      <c r="D30" s="76">
        <v>3</v>
      </c>
      <c r="E30" s="77">
        <v>1</v>
      </c>
      <c r="F30" s="2">
        <v>4</v>
      </c>
      <c r="G30" s="1">
        <v>2</v>
      </c>
      <c r="H30" s="2">
        <v>3</v>
      </c>
      <c r="I30" s="1">
        <v>0</v>
      </c>
      <c r="J30" s="2">
        <v>4</v>
      </c>
      <c r="K30" s="1">
        <v>7</v>
      </c>
      <c r="L30" s="2">
        <v>4</v>
      </c>
      <c r="M30" s="1">
        <v>0</v>
      </c>
      <c r="N30" s="2">
        <v>2</v>
      </c>
      <c r="O30" s="1">
        <v>3</v>
      </c>
      <c r="P30" s="2">
        <v>1</v>
      </c>
      <c r="Q30" s="1">
        <v>2</v>
      </c>
      <c r="S30" s="21">
        <f t="shared" si="6"/>
        <v>23</v>
      </c>
      <c r="T30" s="21">
        <f t="shared" si="7"/>
        <v>15</v>
      </c>
      <c r="U30" s="22">
        <f t="shared" si="8"/>
        <v>38</v>
      </c>
    </row>
    <row r="31" spans="1:21">
      <c r="A31" s="11">
        <v>44588</v>
      </c>
      <c r="B31" s="77">
        <v>2</v>
      </c>
      <c r="C31" s="77">
        <v>0</v>
      </c>
      <c r="D31" s="76">
        <v>3</v>
      </c>
      <c r="E31" s="77">
        <v>1</v>
      </c>
      <c r="F31" s="2">
        <v>4</v>
      </c>
      <c r="G31" s="1">
        <v>2</v>
      </c>
      <c r="H31" s="2">
        <v>3</v>
      </c>
      <c r="I31" s="1">
        <v>0</v>
      </c>
      <c r="J31" s="2">
        <v>4</v>
      </c>
      <c r="K31" s="1">
        <v>7</v>
      </c>
      <c r="L31" s="2">
        <v>4</v>
      </c>
      <c r="M31" s="1">
        <v>0</v>
      </c>
      <c r="N31" s="2">
        <v>2</v>
      </c>
      <c r="O31" s="1">
        <v>3</v>
      </c>
      <c r="P31" s="2">
        <v>1</v>
      </c>
      <c r="Q31" s="1">
        <v>2</v>
      </c>
      <c r="S31" s="21">
        <f t="shared" si="6"/>
        <v>23</v>
      </c>
      <c r="T31" s="21">
        <f t="shared" si="7"/>
        <v>15</v>
      </c>
      <c r="U31" s="22">
        <f t="shared" si="8"/>
        <v>38</v>
      </c>
    </row>
    <row r="32" spans="1:21">
      <c r="A32" s="11">
        <v>44589</v>
      </c>
      <c r="B32" s="77">
        <v>2</v>
      </c>
      <c r="C32" s="77">
        <v>0</v>
      </c>
      <c r="D32" s="76">
        <v>3</v>
      </c>
      <c r="E32" s="77">
        <v>1</v>
      </c>
      <c r="F32" s="2">
        <v>4</v>
      </c>
      <c r="G32" s="1">
        <v>2</v>
      </c>
      <c r="H32" s="2">
        <v>3</v>
      </c>
      <c r="I32" s="1">
        <v>0</v>
      </c>
      <c r="J32" s="2">
        <v>4</v>
      </c>
      <c r="K32" s="1">
        <v>7</v>
      </c>
      <c r="L32" s="2">
        <v>4</v>
      </c>
      <c r="M32" s="1">
        <v>0</v>
      </c>
      <c r="N32" s="2">
        <v>2</v>
      </c>
      <c r="O32" s="1">
        <v>3</v>
      </c>
      <c r="P32" s="2">
        <v>1</v>
      </c>
      <c r="Q32" s="1">
        <v>2</v>
      </c>
      <c r="S32" s="21">
        <f t="shared" si="6"/>
        <v>23</v>
      </c>
      <c r="T32" s="21">
        <f t="shared" si="7"/>
        <v>15</v>
      </c>
      <c r="U32" s="22">
        <f t="shared" si="8"/>
        <v>38</v>
      </c>
    </row>
    <row r="33" spans="1:21">
      <c r="A33" s="12">
        <v>44590</v>
      </c>
      <c r="B33" s="77">
        <v>2</v>
      </c>
      <c r="C33" s="77">
        <v>0</v>
      </c>
      <c r="D33" s="76">
        <v>3</v>
      </c>
      <c r="E33" s="77">
        <v>1</v>
      </c>
      <c r="F33" s="2">
        <v>4</v>
      </c>
      <c r="G33" s="1">
        <v>2</v>
      </c>
      <c r="H33" s="2">
        <v>3</v>
      </c>
      <c r="I33" s="1">
        <v>0</v>
      </c>
      <c r="J33" s="2">
        <v>4</v>
      </c>
      <c r="K33" s="1">
        <v>7</v>
      </c>
      <c r="L33" s="2">
        <v>4</v>
      </c>
      <c r="M33" s="1">
        <v>0</v>
      </c>
      <c r="N33" s="2">
        <v>2</v>
      </c>
      <c r="O33" s="1">
        <v>3</v>
      </c>
      <c r="P33" s="2">
        <v>1</v>
      </c>
      <c r="Q33" s="1">
        <v>2</v>
      </c>
      <c r="S33" s="21">
        <f t="shared" si="6"/>
        <v>23</v>
      </c>
      <c r="T33" s="21">
        <f t="shared" si="7"/>
        <v>15</v>
      </c>
      <c r="U33" s="22">
        <f t="shared" si="8"/>
        <v>38</v>
      </c>
    </row>
    <row r="34" spans="1:21">
      <c r="A34" s="12">
        <v>44591</v>
      </c>
      <c r="B34" s="77">
        <v>2</v>
      </c>
      <c r="C34" s="77">
        <v>0</v>
      </c>
      <c r="D34" s="76">
        <v>3</v>
      </c>
      <c r="E34" s="77">
        <v>1</v>
      </c>
      <c r="F34" s="2">
        <v>4</v>
      </c>
      <c r="G34" s="1">
        <v>2</v>
      </c>
      <c r="H34" s="2">
        <v>3</v>
      </c>
      <c r="I34" s="1">
        <v>0</v>
      </c>
      <c r="J34" s="2">
        <v>4</v>
      </c>
      <c r="K34" s="1">
        <v>7</v>
      </c>
      <c r="L34" s="2">
        <v>4</v>
      </c>
      <c r="M34" s="1">
        <v>0</v>
      </c>
      <c r="N34" s="2">
        <v>2</v>
      </c>
      <c r="O34" s="1">
        <v>3</v>
      </c>
      <c r="P34" s="2">
        <v>1</v>
      </c>
      <c r="Q34" s="1">
        <v>2</v>
      </c>
      <c r="S34" s="21">
        <f t="shared" si="6"/>
        <v>23</v>
      </c>
      <c r="T34" s="21">
        <f t="shared" si="7"/>
        <v>15</v>
      </c>
      <c r="U34" s="22">
        <f t="shared" si="8"/>
        <v>38</v>
      </c>
    </row>
    <row r="35" spans="1:21">
      <c r="A35" s="11">
        <v>44592</v>
      </c>
      <c r="B35" s="77">
        <v>2</v>
      </c>
      <c r="C35" s="77">
        <v>0</v>
      </c>
      <c r="D35" s="76">
        <v>3</v>
      </c>
      <c r="E35" s="77">
        <v>1</v>
      </c>
      <c r="F35" s="2">
        <v>4</v>
      </c>
      <c r="G35" s="1">
        <v>2</v>
      </c>
      <c r="H35" s="2">
        <v>3</v>
      </c>
      <c r="I35" s="1">
        <v>0</v>
      </c>
      <c r="J35" s="2">
        <v>4</v>
      </c>
      <c r="K35" s="1">
        <v>7</v>
      </c>
      <c r="L35" s="2">
        <v>4</v>
      </c>
      <c r="M35" s="1">
        <v>0</v>
      </c>
      <c r="N35" s="2">
        <v>2</v>
      </c>
      <c r="O35" s="1">
        <v>3</v>
      </c>
      <c r="P35" s="2">
        <v>1</v>
      </c>
      <c r="Q35" s="1">
        <v>2</v>
      </c>
      <c r="S35" s="21">
        <f t="shared" si="6"/>
        <v>23</v>
      </c>
      <c r="T35" s="21">
        <f t="shared" si="7"/>
        <v>15</v>
      </c>
      <c r="U35" s="22">
        <f t="shared" si="8"/>
        <v>38</v>
      </c>
    </row>
    <row r="36" spans="1:21">
      <c r="A36" s="11">
        <v>44593</v>
      </c>
      <c r="B36" s="77">
        <v>2</v>
      </c>
      <c r="C36" s="77">
        <v>0</v>
      </c>
      <c r="D36" s="76">
        <v>3</v>
      </c>
      <c r="E36" s="77">
        <v>1</v>
      </c>
      <c r="F36" s="2">
        <v>4</v>
      </c>
      <c r="G36" s="1">
        <v>2</v>
      </c>
      <c r="H36" s="2">
        <v>3</v>
      </c>
      <c r="I36" s="1">
        <v>0</v>
      </c>
      <c r="J36" s="2">
        <v>4</v>
      </c>
      <c r="K36" s="1">
        <v>7</v>
      </c>
      <c r="L36" s="2">
        <v>4</v>
      </c>
      <c r="M36" s="1">
        <v>0</v>
      </c>
      <c r="N36" s="2">
        <v>2</v>
      </c>
      <c r="O36" s="1">
        <v>3</v>
      </c>
      <c r="P36" s="2">
        <v>1</v>
      </c>
      <c r="Q36" s="1">
        <v>2</v>
      </c>
      <c r="S36" s="21">
        <f t="shared" si="6"/>
        <v>23</v>
      </c>
      <c r="T36" s="21">
        <f t="shared" si="7"/>
        <v>15</v>
      </c>
      <c r="U36" s="22">
        <f t="shared" si="8"/>
        <v>38</v>
      </c>
    </row>
    <row r="37" spans="1:21">
      <c r="A37" s="13">
        <v>44594</v>
      </c>
      <c r="B37" s="77">
        <v>2</v>
      </c>
      <c r="C37" s="77">
        <v>0</v>
      </c>
      <c r="D37" s="76">
        <v>3</v>
      </c>
      <c r="E37" s="77">
        <v>1</v>
      </c>
      <c r="F37" s="2">
        <v>4</v>
      </c>
      <c r="G37" s="1">
        <v>2</v>
      </c>
      <c r="H37" s="2">
        <v>3</v>
      </c>
      <c r="I37" s="1">
        <v>0</v>
      </c>
      <c r="J37" s="2">
        <v>4</v>
      </c>
      <c r="K37" s="1">
        <v>7</v>
      </c>
      <c r="L37" s="2">
        <v>4</v>
      </c>
      <c r="M37" s="1">
        <v>0</v>
      </c>
      <c r="N37" s="2">
        <v>2</v>
      </c>
      <c r="O37" s="1">
        <v>3</v>
      </c>
      <c r="P37" s="2">
        <v>1</v>
      </c>
      <c r="Q37" s="1">
        <v>2</v>
      </c>
      <c r="S37" s="21">
        <f t="shared" si="6"/>
        <v>23</v>
      </c>
      <c r="T37" s="21">
        <f t="shared" si="7"/>
        <v>15</v>
      </c>
      <c r="U37" s="22">
        <f t="shared" si="8"/>
        <v>38</v>
      </c>
    </row>
    <row r="38" spans="1:21">
      <c r="A38" s="11">
        <v>44595</v>
      </c>
      <c r="B38" s="77">
        <v>2</v>
      </c>
      <c r="C38" s="77">
        <v>0</v>
      </c>
      <c r="D38" s="76">
        <v>3</v>
      </c>
      <c r="E38" s="77">
        <v>1</v>
      </c>
      <c r="F38" s="2">
        <v>4</v>
      </c>
      <c r="G38" s="1">
        <v>2</v>
      </c>
      <c r="H38" s="2">
        <v>3</v>
      </c>
      <c r="I38" s="1">
        <v>0</v>
      </c>
      <c r="J38" s="2">
        <v>4</v>
      </c>
      <c r="K38" s="1">
        <v>7</v>
      </c>
      <c r="L38" s="2">
        <v>4</v>
      </c>
      <c r="M38" s="1">
        <v>0</v>
      </c>
      <c r="N38" s="2">
        <v>2</v>
      </c>
      <c r="O38" s="1">
        <v>3</v>
      </c>
      <c r="P38" s="2">
        <v>1</v>
      </c>
      <c r="Q38" s="1">
        <v>2</v>
      </c>
      <c r="S38" s="21">
        <f t="shared" si="6"/>
        <v>23</v>
      </c>
      <c r="T38" s="21">
        <f t="shared" si="7"/>
        <v>15</v>
      </c>
      <c r="U38" s="22">
        <f t="shared" si="8"/>
        <v>38</v>
      </c>
    </row>
    <row r="39" spans="1:21">
      <c r="A39" s="11">
        <v>44596</v>
      </c>
      <c r="B39" s="77">
        <v>2</v>
      </c>
      <c r="C39" s="77">
        <v>0</v>
      </c>
      <c r="D39" s="76">
        <v>3</v>
      </c>
      <c r="E39" s="77">
        <v>1</v>
      </c>
      <c r="F39" s="2">
        <v>4</v>
      </c>
      <c r="G39" s="1">
        <v>2</v>
      </c>
      <c r="H39" s="2">
        <v>3</v>
      </c>
      <c r="I39" s="1">
        <v>0</v>
      </c>
      <c r="J39" s="2">
        <v>4</v>
      </c>
      <c r="K39" s="1">
        <v>7</v>
      </c>
      <c r="L39" s="2">
        <v>4</v>
      </c>
      <c r="M39" s="1">
        <v>0</v>
      </c>
      <c r="N39" s="2">
        <v>2</v>
      </c>
      <c r="O39" s="1">
        <v>3</v>
      </c>
      <c r="P39" s="2">
        <v>1</v>
      </c>
      <c r="Q39" s="1">
        <v>2</v>
      </c>
      <c r="S39" s="21">
        <f t="shared" si="6"/>
        <v>23</v>
      </c>
      <c r="T39" s="21">
        <f t="shared" si="7"/>
        <v>15</v>
      </c>
      <c r="U39" s="22">
        <f t="shared" si="8"/>
        <v>38</v>
      </c>
    </row>
    <row r="40" spans="1:21">
      <c r="A40" s="12">
        <v>44597</v>
      </c>
      <c r="B40" s="77">
        <v>2</v>
      </c>
      <c r="C40" s="77">
        <v>0</v>
      </c>
      <c r="D40" s="76">
        <v>3</v>
      </c>
      <c r="E40" s="77">
        <v>1</v>
      </c>
      <c r="F40" s="2">
        <v>4</v>
      </c>
      <c r="G40" s="1">
        <v>2</v>
      </c>
      <c r="H40" s="2">
        <v>3</v>
      </c>
      <c r="I40" s="1">
        <v>0</v>
      </c>
      <c r="J40" s="2">
        <v>4</v>
      </c>
      <c r="K40" s="1">
        <v>7</v>
      </c>
      <c r="L40" s="2">
        <v>4</v>
      </c>
      <c r="M40" s="1">
        <v>0</v>
      </c>
      <c r="N40" s="2">
        <v>2</v>
      </c>
      <c r="O40" s="1">
        <v>3</v>
      </c>
      <c r="P40" s="2">
        <v>1</v>
      </c>
      <c r="Q40" s="1">
        <v>2</v>
      </c>
      <c r="S40" s="21">
        <f t="shared" si="6"/>
        <v>23</v>
      </c>
      <c r="T40" s="21">
        <f t="shared" si="7"/>
        <v>15</v>
      </c>
      <c r="U40" s="22">
        <f t="shared" si="8"/>
        <v>38</v>
      </c>
    </row>
    <row r="41" spans="1:21">
      <c r="A41" s="12">
        <v>44598</v>
      </c>
      <c r="B41" s="77">
        <v>2</v>
      </c>
      <c r="C41" s="77">
        <v>0</v>
      </c>
      <c r="D41" s="76">
        <v>3</v>
      </c>
      <c r="E41" s="77">
        <v>1</v>
      </c>
      <c r="F41" s="2">
        <v>4</v>
      </c>
      <c r="G41" s="1">
        <v>2</v>
      </c>
      <c r="H41" s="2">
        <v>3</v>
      </c>
      <c r="I41" s="1">
        <v>0</v>
      </c>
      <c r="J41" s="2">
        <v>4</v>
      </c>
      <c r="K41" s="1">
        <v>7</v>
      </c>
      <c r="L41" s="2">
        <v>4</v>
      </c>
      <c r="M41" s="1">
        <v>0</v>
      </c>
      <c r="N41" s="2">
        <v>2</v>
      </c>
      <c r="O41" s="1">
        <v>3</v>
      </c>
      <c r="P41" s="2">
        <v>1</v>
      </c>
      <c r="Q41" s="1">
        <v>2</v>
      </c>
      <c r="S41" s="21">
        <f t="shared" si="6"/>
        <v>23</v>
      </c>
      <c r="T41" s="21">
        <f t="shared" si="7"/>
        <v>15</v>
      </c>
      <c r="U41" s="22">
        <f t="shared" si="8"/>
        <v>38</v>
      </c>
    </row>
    <row r="42" spans="1:21">
      <c r="A42" s="11">
        <v>44599</v>
      </c>
      <c r="B42" s="77">
        <v>2</v>
      </c>
      <c r="C42" s="77">
        <v>0</v>
      </c>
      <c r="D42" s="76">
        <v>3</v>
      </c>
      <c r="E42" s="77">
        <v>1</v>
      </c>
      <c r="F42" s="2">
        <v>4</v>
      </c>
      <c r="G42" s="1">
        <v>2</v>
      </c>
      <c r="H42" s="2">
        <v>3</v>
      </c>
      <c r="I42" s="1">
        <v>0</v>
      </c>
      <c r="J42" s="2">
        <v>4</v>
      </c>
      <c r="K42" s="1">
        <v>7</v>
      </c>
      <c r="L42" s="2">
        <v>4</v>
      </c>
      <c r="M42" s="1">
        <v>0</v>
      </c>
      <c r="N42" s="2">
        <v>2</v>
      </c>
      <c r="O42" s="1">
        <v>3</v>
      </c>
      <c r="P42" s="2">
        <v>1</v>
      </c>
      <c r="Q42" s="1">
        <v>2</v>
      </c>
      <c r="S42" s="21">
        <f t="shared" si="6"/>
        <v>23</v>
      </c>
      <c r="T42" s="21">
        <f t="shared" si="7"/>
        <v>15</v>
      </c>
      <c r="U42" s="22">
        <f t="shared" si="8"/>
        <v>38</v>
      </c>
    </row>
    <row r="43" spans="1:21">
      <c r="A43" s="11">
        <v>44600</v>
      </c>
      <c r="B43" s="77">
        <v>2</v>
      </c>
      <c r="C43" s="77">
        <v>0</v>
      </c>
      <c r="D43" s="76">
        <v>3</v>
      </c>
      <c r="E43" s="77">
        <v>1</v>
      </c>
      <c r="F43" s="2">
        <v>4</v>
      </c>
      <c r="G43" s="1">
        <v>2</v>
      </c>
      <c r="H43" s="2">
        <v>3</v>
      </c>
      <c r="I43" s="1">
        <v>0</v>
      </c>
      <c r="J43" s="2">
        <v>4</v>
      </c>
      <c r="K43" s="1">
        <v>7</v>
      </c>
      <c r="L43" s="2">
        <v>4</v>
      </c>
      <c r="M43" s="1">
        <v>0</v>
      </c>
      <c r="N43" s="2">
        <v>2</v>
      </c>
      <c r="O43" s="1">
        <v>3</v>
      </c>
      <c r="P43" s="2">
        <v>1</v>
      </c>
      <c r="Q43" s="1">
        <v>2</v>
      </c>
      <c r="S43" s="21">
        <f t="shared" si="6"/>
        <v>23</v>
      </c>
      <c r="T43" s="21">
        <f t="shared" si="7"/>
        <v>15</v>
      </c>
      <c r="U43" s="22">
        <f t="shared" si="8"/>
        <v>38</v>
      </c>
    </row>
    <row r="44" spans="1:21">
      <c r="A44" s="13">
        <v>44601</v>
      </c>
      <c r="B44" s="77">
        <v>2</v>
      </c>
      <c r="C44" s="77">
        <v>0</v>
      </c>
      <c r="D44" s="76">
        <v>3</v>
      </c>
      <c r="E44" s="77">
        <v>1</v>
      </c>
      <c r="F44" s="2">
        <v>4</v>
      </c>
      <c r="G44" s="1">
        <v>2</v>
      </c>
      <c r="H44" s="2">
        <v>3</v>
      </c>
      <c r="I44" s="1">
        <v>0</v>
      </c>
      <c r="J44" s="2">
        <v>4</v>
      </c>
      <c r="K44" s="1">
        <v>7</v>
      </c>
      <c r="L44" s="2">
        <v>4</v>
      </c>
      <c r="M44" s="1">
        <v>0</v>
      </c>
      <c r="N44" s="2">
        <v>2</v>
      </c>
      <c r="O44" s="1">
        <v>3</v>
      </c>
      <c r="P44" s="2">
        <v>1</v>
      </c>
      <c r="Q44" s="1">
        <v>2</v>
      </c>
      <c r="S44" s="21">
        <f t="shared" si="6"/>
        <v>23</v>
      </c>
      <c r="T44" s="21">
        <f t="shared" si="7"/>
        <v>15</v>
      </c>
      <c r="U44" s="22">
        <f t="shared" si="8"/>
        <v>38</v>
      </c>
    </row>
    <row r="45" spans="1:21">
      <c r="A45" s="11">
        <v>44602</v>
      </c>
      <c r="B45" s="77">
        <v>2</v>
      </c>
      <c r="C45" s="77">
        <v>0</v>
      </c>
      <c r="D45" s="76">
        <v>3</v>
      </c>
      <c r="E45" s="77">
        <v>1</v>
      </c>
      <c r="F45" s="2">
        <v>4</v>
      </c>
      <c r="G45" s="1">
        <v>2</v>
      </c>
      <c r="H45" s="2">
        <v>3</v>
      </c>
      <c r="I45" s="1">
        <v>0</v>
      </c>
      <c r="J45" s="2">
        <v>4</v>
      </c>
      <c r="K45" s="1">
        <v>7</v>
      </c>
      <c r="L45" s="2">
        <v>4</v>
      </c>
      <c r="M45" s="1">
        <v>0</v>
      </c>
      <c r="N45" s="2">
        <v>2</v>
      </c>
      <c r="O45" s="1">
        <v>3</v>
      </c>
      <c r="P45" s="2">
        <v>1</v>
      </c>
      <c r="Q45" s="1">
        <v>2</v>
      </c>
      <c r="S45" s="21">
        <f t="shared" si="6"/>
        <v>23</v>
      </c>
      <c r="T45" s="21">
        <f t="shared" si="7"/>
        <v>15</v>
      </c>
      <c r="U45" s="22">
        <f t="shared" si="8"/>
        <v>38</v>
      </c>
    </row>
    <row r="46" spans="1:21">
      <c r="A46" s="11">
        <v>44603</v>
      </c>
      <c r="B46" s="77">
        <v>2</v>
      </c>
      <c r="C46" s="77">
        <v>0</v>
      </c>
      <c r="D46" s="76">
        <v>3</v>
      </c>
      <c r="E46" s="77">
        <v>1</v>
      </c>
      <c r="F46" s="2">
        <v>4</v>
      </c>
      <c r="G46" s="1">
        <v>2</v>
      </c>
      <c r="H46" s="2">
        <v>3</v>
      </c>
      <c r="I46" s="1">
        <v>0</v>
      </c>
      <c r="J46" s="2">
        <v>4</v>
      </c>
      <c r="K46" s="1">
        <v>7</v>
      </c>
      <c r="L46" s="2">
        <v>4</v>
      </c>
      <c r="M46" s="1">
        <v>0</v>
      </c>
      <c r="N46" s="2">
        <v>2</v>
      </c>
      <c r="O46" s="1">
        <v>3</v>
      </c>
      <c r="P46" s="2">
        <v>1</v>
      </c>
      <c r="Q46" s="1">
        <v>2</v>
      </c>
      <c r="S46" s="21">
        <f t="shared" si="6"/>
        <v>23</v>
      </c>
      <c r="T46" s="21">
        <f t="shared" si="7"/>
        <v>15</v>
      </c>
      <c r="U46" s="22">
        <f t="shared" si="8"/>
        <v>38</v>
      </c>
    </row>
    <row r="47" spans="1:21">
      <c r="A47" s="12">
        <v>44604</v>
      </c>
      <c r="B47" s="77">
        <v>2</v>
      </c>
      <c r="C47" s="77">
        <v>0</v>
      </c>
      <c r="D47" s="76">
        <v>3</v>
      </c>
      <c r="E47" s="77">
        <v>1</v>
      </c>
      <c r="F47" s="2">
        <v>4</v>
      </c>
      <c r="G47" s="1">
        <v>2</v>
      </c>
      <c r="H47" s="2">
        <v>3</v>
      </c>
      <c r="I47" s="1">
        <v>0</v>
      </c>
      <c r="J47" s="2">
        <v>4</v>
      </c>
      <c r="K47" s="1">
        <v>7</v>
      </c>
      <c r="L47" s="2">
        <v>4</v>
      </c>
      <c r="M47" s="1">
        <v>0</v>
      </c>
      <c r="N47" s="2">
        <v>2</v>
      </c>
      <c r="O47" s="1">
        <v>3</v>
      </c>
      <c r="P47" s="2">
        <v>1</v>
      </c>
      <c r="Q47" s="1">
        <v>2</v>
      </c>
      <c r="S47" s="21">
        <f t="shared" si="6"/>
        <v>23</v>
      </c>
      <c r="T47" s="21">
        <f t="shared" si="7"/>
        <v>15</v>
      </c>
      <c r="U47" s="22">
        <f t="shared" si="8"/>
        <v>38</v>
      </c>
    </row>
    <row r="48" spans="1:21">
      <c r="A48" s="12">
        <v>44605</v>
      </c>
      <c r="B48" s="77">
        <v>2</v>
      </c>
      <c r="C48" s="77">
        <v>0</v>
      </c>
      <c r="D48" s="76">
        <v>3</v>
      </c>
      <c r="E48" s="77">
        <v>1</v>
      </c>
      <c r="F48" s="2">
        <v>4</v>
      </c>
      <c r="G48" s="1">
        <v>2</v>
      </c>
      <c r="H48" s="2">
        <v>3</v>
      </c>
      <c r="I48" s="1">
        <v>0</v>
      </c>
      <c r="J48" s="2">
        <v>4</v>
      </c>
      <c r="K48" s="1">
        <v>7</v>
      </c>
      <c r="L48" s="2">
        <v>4</v>
      </c>
      <c r="M48" s="1">
        <v>0</v>
      </c>
      <c r="N48" s="2">
        <v>2</v>
      </c>
      <c r="O48" s="1">
        <v>3</v>
      </c>
      <c r="P48" s="2">
        <v>1</v>
      </c>
      <c r="Q48" s="1">
        <v>2</v>
      </c>
      <c r="S48" s="21">
        <f t="shared" si="6"/>
        <v>23</v>
      </c>
      <c r="T48" s="21">
        <f t="shared" si="7"/>
        <v>15</v>
      </c>
      <c r="U48" s="22">
        <f t="shared" si="8"/>
        <v>38</v>
      </c>
    </row>
    <row r="49" spans="1:21">
      <c r="A49" s="11">
        <v>44606</v>
      </c>
      <c r="B49" s="77">
        <v>2</v>
      </c>
      <c r="C49" s="77">
        <v>0</v>
      </c>
      <c r="D49" s="76">
        <v>3</v>
      </c>
      <c r="E49" s="77">
        <v>1</v>
      </c>
      <c r="F49" s="2">
        <v>4</v>
      </c>
      <c r="G49" s="1">
        <v>2</v>
      </c>
      <c r="H49" s="2">
        <v>3</v>
      </c>
      <c r="I49" s="1">
        <v>0</v>
      </c>
      <c r="J49" s="2">
        <v>4</v>
      </c>
      <c r="K49" s="1">
        <v>7</v>
      </c>
      <c r="L49" s="2">
        <v>4</v>
      </c>
      <c r="M49" s="1">
        <v>0</v>
      </c>
      <c r="N49" s="2">
        <v>2</v>
      </c>
      <c r="O49" s="1">
        <v>3</v>
      </c>
      <c r="P49" s="2">
        <v>1</v>
      </c>
      <c r="Q49" s="1">
        <v>2</v>
      </c>
      <c r="S49" s="21">
        <f t="shared" si="6"/>
        <v>23</v>
      </c>
      <c r="T49" s="21">
        <f t="shared" si="7"/>
        <v>15</v>
      </c>
      <c r="U49" s="22">
        <f t="shared" si="8"/>
        <v>38</v>
      </c>
    </row>
    <row r="50" spans="1:21">
      <c r="A50" s="11">
        <v>44607</v>
      </c>
      <c r="B50" s="77">
        <v>2</v>
      </c>
      <c r="C50" s="77">
        <v>0</v>
      </c>
      <c r="D50" s="76">
        <v>3</v>
      </c>
      <c r="E50" s="77">
        <v>1</v>
      </c>
      <c r="F50" s="2">
        <v>4</v>
      </c>
      <c r="G50" s="1">
        <v>2</v>
      </c>
      <c r="H50" s="2">
        <v>3</v>
      </c>
      <c r="I50" s="1">
        <v>0</v>
      </c>
      <c r="J50" s="2">
        <v>4</v>
      </c>
      <c r="K50" s="1">
        <v>7</v>
      </c>
      <c r="L50" s="2">
        <v>4</v>
      </c>
      <c r="M50" s="1">
        <v>0</v>
      </c>
      <c r="N50" s="2">
        <v>2</v>
      </c>
      <c r="O50" s="1">
        <v>3</v>
      </c>
      <c r="P50" s="2">
        <v>1</v>
      </c>
      <c r="Q50" s="1">
        <v>2</v>
      </c>
      <c r="S50" s="21">
        <f t="shared" si="6"/>
        <v>23</v>
      </c>
      <c r="T50" s="21">
        <f t="shared" si="7"/>
        <v>15</v>
      </c>
      <c r="U50" s="22">
        <f t="shared" si="8"/>
        <v>38</v>
      </c>
    </row>
    <row r="51" spans="1:21">
      <c r="A51" s="13">
        <v>44608</v>
      </c>
      <c r="B51" s="77">
        <v>2</v>
      </c>
      <c r="C51" s="77">
        <v>0</v>
      </c>
      <c r="D51" s="76">
        <v>3</v>
      </c>
      <c r="E51" s="77">
        <v>1</v>
      </c>
      <c r="F51" s="2">
        <v>4</v>
      </c>
      <c r="G51" s="1">
        <v>2</v>
      </c>
      <c r="H51" s="2">
        <v>3</v>
      </c>
      <c r="I51" s="1">
        <v>0</v>
      </c>
      <c r="J51" s="2">
        <v>4</v>
      </c>
      <c r="K51" s="1">
        <v>7</v>
      </c>
      <c r="L51" s="2">
        <v>4</v>
      </c>
      <c r="M51" s="1">
        <v>0</v>
      </c>
      <c r="N51" s="2">
        <v>2</v>
      </c>
      <c r="O51" s="1">
        <v>3</v>
      </c>
      <c r="P51" s="2">
        <v>1</v>
      </c>
      <c r="Q51" s="1">
        <v>2</v>
      </c>
      <c r="S51" s="21">
        <f t="shared" si="6"/>
        <v>23</v>
      </c>
      <c r="T51" s="21">
        <f t="shared" si="7"/>
        <v>15</v>
      </c>
      <c r="U51" s="22">
        <f t="shared" si="8"/>
        <v>38</v>
      </c>
    </row>
    <row r="52" spans="1:21">
      <c r="A52" s="11">
        <v>44609</v>
      </c>
      <c r="B52" s="77">
        <v>2</v>
      </c>
      <c r="C52" s="77">
        <v>0</v>
      </c>
      <c r="D52" s="76">
        <v>3</v>
      </c>
      <c r="E52" s="77">
        <v>1</v>
      </c>
      <c r="F52" s="2">
        <v>4</v>
      </c>
      <c r="G52" s="1">
        <v>2</v>
      </c>
      <c r="H52" s="2">
        <v>3</v>
      </c>
      <c r="I52" s="1">
        <v>0</v>
      </c>
      <c r="J52" s="2">
        <v>4</v>
      </c>
      <c r="K52" s="1">
        <v>7</v>
      </c>
      <c r="L52" s="2">
        <v>4</v>
      </c>
      <c r="M52" s="1">
        <v>0</v>
      </c>
      <c r="N52" s="2">
        <v>2</v>
      </c>
      <c r="O52" s="1">
        <v>3</v>
      </c>
      <c r="P52" s="2">
        <v>1</v>
      </c>
      <c r="Q52" s="1">
        <v>2</v>
      </c>
      <c r="S52" s="21">
        <f t="shared" si="6"/>
        <v>23</v>
      </c>
      <c r="T52" s="21">
        <f t="shared" si="7"/>
        <v>15</v>
      </c>
      <c r="U52" s="22">
        <f t="shared" si="8"/>
        <v>38</v>
      </c>
    </row>
    <row r="53" spans="1:21">
      <c r="A53" s="11">
        <v>44610</v>
      </c>
      <c r="B53" s="77">
        <v>2</v>
      </c>
      <c r="C53" s="77">
        <v>0</v>
      </c>
      <c r="D53" s="76">
        <v>3</v>
      </c>
      <c r="E53" s="77">
        <v>1</v>
      </c>
      <c r="F53" s="2">
        <v>4</v>
      </c>
      <c r="G53" s="1">
        <v>2</v>
      </c>
      <c r="H53" s="2">
        <v>3</v>
      </c>
      <c r="I53" s="1">
        <v>0</v>
      </c>
      <c r="J53" s="2">
        <v>4</v>
      </c>
      <c r="K53" s="1">
        <v>7</v>
      </c>
      <c r="L53" s="2">
        <v>4</v>
      </c>
      <c r="M53" s="1">
        <v>0</v>
      </c>
      <c r="N53" s="2">
        <v>2</v>
      </c>
      <c r="O53" s="1">
        <v>3</v>
      </c>
      <c r="P53" s="2">
        <v>1</v>
      </c>
      <c r="Q53" s="1">
        <v>2</v>
      </c>
      <c r="S53" s="21">
        <f t="shared" si="6"/>
        <v>23</v>
      </c>
      <c r="T53" s="21">
        <f t="shared" si="7"/>
        <v>15</v>
      </c>
      <c r="U53" s="22">
        <f t="shared" si="8"/>
        <v>38</v>
      </c>
    </row>
    <row r="54" spans="1:21">
      <c r="A54" s="12">
        <v>44611</v>
      </c>
      <c r="B54" s="77">
        <v>2</v>
      </c>
      <c r="C54" s="77">
        <v>0</v>
      </c>
      <c r="D54" s="76">
        <v>3</v>
      </c>
      <c r="E54" s="77">
        <v>1</v>
      </c>
      <c r="F54" s="2">
        <v>4</v>
      </c>
      <c r="G54" s="1">
        <v>2</v>
      </c>
      <c r="H54" s="2">
        <v>3</v>
      </c>
      <c r="I54" s="1">
        <v>0</v>
      </c>
      <c r="J54" s="2">
        <v>4</v>
      </c>
      <c r="K54" s="1">
        <v>7</v>
      </c>
      <c r="L54" s="2">
        <v>4</v>
      </c>
      <c r="M54" s="1">
        <v>0</v>
      </c>
      <c r="N54" s="2">
        <v>2</v>
      </c>
      <c r="O54" s="1">
        <v>3</v>
      </c>
      <c r="P54" s="2">
        <v>1</v>
      </c>
      <c r="Q54" s="1">
        <v>2</v>
      </c>
      <c r="S54" s="21">
        <f t="shared" si="6"/>
        <v>23</v>
      </c>
      <c r="T54" s="21">
        <f t="shared" si="7"/>
        <v>15</v>
      </c>
      <c r="U54" s="22">
        <f t="shared" si="8"/>
        <v>38</v>
      </c>
    </row>
    <row r="55" spans="1:21">
      <c r="A55" s="12">
        <v>44612</v>
      </c>
      <c r="B55" s="77">
        <v>2</v>
      </c>
      <c r="C55" s="77">
        <v>0</v>
      </c>
      <c r="D55" s="76">
        <v>3</v>
      </c>
      <c r="E55" s="77">
        <v>1</v>
      </c>
      <c r="F55" s="2">
        <v>4</v>
      </c>
      <c r="G55" s="1">
        <v>2</v>
      </c>
      <c r="H55" s="2">
        <v>3</v>
      </c>
      <c r="I55" s="1">
        <v>0</v>
      </c>
      <c r="J55" s="2">
        <v>4</v>
      </c>
      <c r="K55" s="1">
        <v>7</v>
      </c>
      <c r="L55" s="2">
        <v>4</v>
      </c>
      <c r="M55" s="1">
        <v>0</v>
      </c>
      <c r="N55" s="2">
        <v>2</v>
      </c>
      <c r="O55" s="1">
        <v>3</v>
      </c>
      <c r="P55" s="2">
        <v>1</v>
      </c>
      <c r="Q55" s="1">
        <v>2</v>
      </c>
      <c r="S55" s="21">
        <f t="shared" si="6"/>
        <v>23</v>
      </c>
      <c r="T55" s="21">
        <f t="shared" si="7"/>
        <v>15</v>
      </c>
      <c r="U55" s="22">
        <f t="shared" si="8"/>
        <v>38</v>
      </c>
    </row>
    <row r="56" spans="1:21">
      <c r="A56" s="11">
        <v>44613</v>
      </c>
      <c r="B56" s="77">
        <v>2</v>
      </c>
      <c r="C56" s="77">
        <v>0</v>
      </c>
      <c r="D56" s="76">
        <v>3</v>
      </c>
      <c r="E56" s="77">
        <v>1</v>
      </c>
      <c r="F56" s="2">
        <v>4</v>
      </c>
      <c r="G56" s="1">
        <v>2</v>
      </c>
      <c r="H56" s="2">
        <v>3</v>
      </c>
      <c r="I56" s="1">
        <v>0</v>
      </c>
      <c r="J56" s="2">
        <v>4</v>
      </c>
      <c r="K56" s="1">
        <v>7</v>
      </c>
      <c r="L56" s="2">
        <v>4</v>
      </c>
      <c r="M56" s="1">
        <v>0</v>
      </c>
      <c r="N56" s="2">
        <v>2</v>
      </c>
      <c r="O56" s="1">
        <v>3</v>
      </c>
      <c r="P56" s="2">
        <v>1</v>
      </c>
      <c r="Q56" s="1">
        <v>2</v>
      </c>
      <c r="S56" s="21">
        <f t="shared" si="6"/>
        <v>23</v>
      </c>
      <c r="T56" s="21">
        <f t="shared" si="7"/>
        <v>15</v>
      </c>
      <c r="U56" s="22">
        <f t="shared" si="8"/>
        <v>38</v>
      </c>
    </row>
    <row r="57" spans="1:21">
      <c r="A57" s="11">
        <v>44614</v>
      </c>
      <c r="B57" s="77">
        <v>2</v>
      </c>
      <c r="C57" s="77">
        <v>0</v>
      </c>
      <c r="D57" s="76">
        <v>3</v>
      </c>
      <c r="E57" s="77">
        <v>1</v>
      </c>
      <c r="F57" s="2">
        <v>4</v>
      </c>
      <c r="G57" s="1">
        <v>2</v>
      </c>
      <c r="H57" s="2">
        <v>3</v>
      </c>
      <c r="I57" s="1">
        <v>0</v>
      </c>
      <c r="J57" s="2">
        <v>4</v>
      </c>
      <c r="K57" s="1">
        <v>7</v>
      </c>
      <c r="L57" s="2">
        <v>4</v>
      </c>
      <c r="M57" s="1">
        <v>0</v>
      </c>
      <c r="N57" s="2">
        <v>2</v>
      </c>
      <c r="O57" s="1">
        <v>3</v>
      </c>
      <c r="P57" s="2">
        <v>1</v>
      </c>
      <c r="Q57" s="1">
        <v>2</v>
      </c>
      <c r="S57" s="21">
        <f t="shared" si="6"/>
        <v>23</v>
      </c>
      <c r="T57" s="21">
        <f t="shared" si="7"/>
        <v>15</v>
      </c>
      <c r="U57" s="22">
        <f t="shared" si="8"/>
        <v>38</v>
      </c>
    </row>
    <row r="58" spans="1:21">
      <c r="A58" s="13">
        <v>44615</v>
      </c>
      <c r="B58" s="77">
        <v>2</v>
      </c>
      <c r="C58" s="77">
        <v>0</v>
      </c>
      <c r="D58" s="76">
        <v>3</v>
      </c>
      <c r="E58" s="77">
        <v>1</v>
      </c>
      <c r="F58" s="2">
        <v>4</v>
      </c>
      <c r="G58" s="1">
        <v>2</v>
      </c>
      <c r="H58" s="2">
        <v>3</v>
      </c>
      <c r="I58" s="1">
        <v>0</v>
      </c>
      <c r="J58" s="2">
        <v>4</v>
      </c>
      <c r="K58" s="1">
        <v>7</v>
      </c>
      <c r="L58" s="2">
        <v>4</v>
      </c>
      <c r="M58" s="1">
        <v>0</v>
      </c>
      <c r="N58" s="2">
        <v>2</v>
      </c>
      <c r="O58" s="1">
        <v>3</v>
      </c>
      <c r="P58" s="2">
        <v>1</v>
      </c>
      <c r="Q58" s="1">
        <v>2</v>
      </c>
      <c r="S58" s="21">
        <f t="shared" si="6"/>
        <v>23</v>
      </c>
      <c r="T58" s="21">
        <f t="shared" si="7"/>
        <v>15</v>
      </c>
      <c r="U58" s="22">
        <f t="shared" si="8"/>
        <v>38</v>
      </c>
    </row>
    <row r="59" spans="1:21">
      <c r="A59" s="11">
        <v>44616</v>
      </c>
      <c r="B59" s="77">
        <v>2</v>
      </c>
      <c r="C59" s="77">
        <v>0</v>
      </c>
      <c r="D59" s="76">
        <v>3</v>
      </c>
      <c r="E59" s="77">
        <v>1</v>
      </c>
      <c r="F59" s="2">
        <v>4</v>
      </c>
      <c r="G59" s="1">
        <v>2</v>
      </c>
      <c r="H59" s="2">
        <v>3</v>
      </c>
      <c r="I59" s="1">
        <v>0</v>
      </c>
      <c r="J59" s="2">
        <v>4</v>
      </c>
      <c r="K59" s="1">
        <v>7</v>
      </c>
      <c r="L59" s="2">
        <v>4</v>
      </c>
      <c r="M59" s="1">
        <v>0</v>
      </c>
      <c r="N59" s="2">
        <v>2</v>
      </c>
      <c r="O59" s="1">
        <v>3</v>
      </c>
      <c r="P59" s="2">
        <v>1</v>
      </c>
      <c r="Q59" s="1">
        <v>2</v>
      </c>
      <c r="S59" s="21">
        <f t="shared" si="6"/>
        <v>23</v>
      </c>
      <c r="T59" s="21">
        <f t="shared" si="7"/>
        <v>15</v>
      </c>
      <c r="U59" s="22">
        <f t="shared" si="8"/>
        <v>38</v>
      </c>
    </row>
    <row r="60" spans="1:21">
      <c r="A60" s="11">
        <v>44617</v>
      </c>
      <c r="B60" s="77">
        <v>2</v>
      </c>
      <c r="C60" s="77">
        <v>0</v>
      </c>
      <c r="D60" s="76">
        <v>3</v>
      </c>
      <c r="E60" s="77">
        <v>1</v>
      </c>
      <c r="F60" s="2">
        <v>4</v>
      </c>
      <c r="G60" s="1">
        <v>2</v>
      </c>
      <c r="H60" s="2">
        <v>3</v>
      </c>
      <c r="I60" s="1">
        <v>0</v>
      </c>
      <c r="J60" s="2">
        <v>4</v>
      </c>
      <c r="K60" s="1">
        <v>7</v>
      </c>
      <c r="L60" s="2">
        <v>4</v>
      </c>
      <c r="M60" s="1">
        <v>0</v>
      </c>
      <c r="N60" s="2">
        <v>2</v>
      </c>
      <c r="O60" s="1">
        <v>3</v>
      </c>
      <c r="P60" s="2">
        <v>1</v>
      </c>
      <c r="Q60" s="1">
        <v>2</v>
      </c>
      <c r="S60" s="21">
        <f t="shared" si="6"/>
        <v>23</v>
      </c>
      <c r="T60" s="21">
        <f t="shared" si="7"/>
        <v>15</v>
      </c>
      <c r="U60" s="22">
        <f t="shared" si="8"/>
        <v>38</v>
      </c>
    </row>
    <row r="61" spans="1:21">
      <c r="A61" s="12">
        <v>44618</v>
      </c>
      <c r="B61" s="77">
        <v>2</v>
      </c>
      <c r="C61" s="77">
        <v>0</v>
      </c>
      <c r="D61" s="76">
        <v>3</v>
      </c>
      <c r="E61" s="77">
        <v>1</v>
      </c>
      <c r="F61" s="2">
        <v>4</v>
      </c>
      <c r="G61" s="1">
        <v>2</v>
      </c>
      <c r="H61" s="2">
        <v>3</v>
      </c>
      <c r="I61" s="1">
        <v>0</v>
      </c>
      <c r="J61" s="2">
        <v>4</v>
      </c>
      <c r="K61" s="1">
        <v>7</v>
      </c>
      <c r="L61" s="2">
        <v>4</v>
      </c>
      <c r="M61" s="1">
        <v>0</v>
      </c>
      <c r="N61" s="2">
        <v>2</v>
      </c>
      <c r="O61" s="1">
        <v>3</v>
      </c>
      <c r="P61" s="2">
        <v>1</v>
      </c>
      <c r="Q61" s="1">
        <v>2</v>
      </c>
      <c r="S61" s="21">
        <f t="shared" si="6"/>
        <v>23</v>
      </c>
      <c r="T61" s="21">
        <f t="shared" si="7"/>
        <v>15</v>
      </c>
      <c r="U61" s="22">
        <f t="shared" si="8"/>
        <v>38</v>
      </c>
    </row>
    <row r="62" spans="1:21">
      <c r="A62" s="12">
        <v>44619</v>
      </c>
      <c r="B62" s="77">
        <v>2</v>
      </c>
      <c r="C62" s="77">
        <v>0</v>
      </c>
      <c r="D62" s="76">
        <v>3</v>
      </c>
      <c r="E62" s="77">
        <v>1</v>
      </c>
      <c r="F62" s="2">
        <v>4</v>
      </c>
      <c r="G62" s="1">
        <v>2</v>
      </c>
      <c r="H62" s="2">
        <v>3</v>
      </c>
      <c r="I62" s="1">
        <v>0</v>
      </c>
      <c r="J62" s="2">
        <v>4</v>
      </c>
      <c r="K62" s="1">
        <v>7</v>
      </c>
      <c r="L62" s="2">
        <v>4</v>
      </c>
      <c r="M62" s="1">
        <v>0</v>
      </c>
      <c r="N62" s="2">
        <v>2</v>
      </c>
      <c r="O62" s="1">
        <v>3</v>
      </c>
      <c r="P62" s="2">
        <v>1</v>
      </c>
      <c r="Q62" s="1">
        <v>2</v>
      </c>
      <c r="S62" s="21">
        <f t="shared" si="6"/>
        <v>23</v>
      </c>
      <c r="T62" s="21">
        <f t="shared" si="7"/>
        <v>15</v>
      </c>
      <c r="U62" s="22">
        <f t="shared" si="8"/>
        <v>38</v>
      </c>
    </row>
    <row r="63" spans="1:21">
      <c r="A63" s="11">
        <v>44620</v>
      </c>
      <c r="B63" s="77">
        <v>2</v>
      </c>
      <c r="C63" s="77">
        <v>0</v>
      </c>
      <c r="D63" s="76">
        <v>3</v>
      </c>
      <c r="E63" s="77">
        <v>1</v>
      </c>
      <c r="F63" s="2">
        <v>4</v>
      </c>
      <c r="G63" s="1">
        <v>2</v>
      </c>
      <c r="H63" s="2">
        <v>3</v>
      </c>
      <c r="I63" s="1">
        <v>0</v>
      </c>
      <c r="J63" s="2">
        <v>4</v>
      </c>
      <c r="K63" s="1">
        <v>7</v>
      </c>
      <c r="L63" s="2">
        <v>4</v>
      </c>
      <c r="M63" s="1">
        <v>0</v>
      </c>
      <c r="N63" s="2">
        <v>2</v>
      </c>
      <c r="O63" s="1">
        <v>3</v>
      </c>
      <c r="P63" s="2">
        <v>1</v>
      </c>
      <c r="Q63" s="1">
        <v>2</v>
      </c>
      <c r="S63" s="21">
        <f t="shared" si="6"/>
        <v>23</v>
      </c>
      <c r="T63" s="21">
        <f t="shared" si="7"/>
        <v>15</v>
      </c>
      <c r="U63" s="22">
        <f t="shared" si="8"/>
        <v>38</v>
      </c>
    </row>
    <row r="64" spans="1:21">
      <c r="A64" s="11">
        <v>44621</v>
      </c>
      <c r="B64" s="77">
        <v>2</v>
      </c>
      <c r="C64" s="77">
        <v>0</v>
      </c>
      <c r="D64" s="76">
        <v>3</v>
      </c>
      <c r="E64" s="77">
        <v>1</v>
      </c>
      <c r="F64" s="2">
        <v>4</v>
      </c>
      <c r="G64" s="1">
        <v>2</v>
      </c>
      <c r="H64" s="2">
        <v>3</v>
      </c>
      <c r="I64" s="1">
        <v>0</v>
      </c>
      <c r="J64" s="2">
        <v>4</v>
      </c>
      <c r="K64" s="1">
        <v>7</v>
      </c>
      <c r="L64" s="2">
        <v>4</v>
      </c>
      <c r="M64" s="1">
        <v>0</v>
      </c>
      <c r="N64" s="2">
        <v>2</v>
      </c>
      <c r="O64" s="1">
        <v>3</v>
      </c>
      <c r="P64" s="2">
        <v>1</v>
      </c>
      <c r="Q64" s="1">
        <v>2</v>
      </c>
      <c r="S64" s="21">
        <f t="shared" si="6"/>
        <v>23</v>
      </c>
      <c r="T64" s="21">
        <f t="shared" si="7"/>
        <v>15</v>
      </c>
      <c r="U64" s="22">
        <f t="shared" si="8"/>
        <v>38</v>
      </c>
    </row>
    <row r="65" spans="1:21">
      <c r="A65" s="13">
        <v>44622</v>
      </c>
      <c r="B65" s="77">
        <v>2</v>
      </c>
      <c r="C65" s="77">
        <v>0</v>
      </c>
      <c r="D65" s="76">
        <v>3</v>
      </c>
      <c r="E65" s="77">
        <v>1</v>
      </c>
      <c r="F65" s="2">
        <v>4</v>
      </c>
      <c r="G65" s="1">
        <v>2</v>
      </c>
      <c r="H65" s="2">
        <v>3</v>
      </c>
      <c r="I65" s="1">
        <v>0</v>
      </c>
      <c r="J65" s="2">
        <v>4</v>
      </c>
      <c r="K65" s="1">
        <v>7</v>
      </c>
      <c r="L65" s="2">
        <v>4</v>
      </c>
      <c r="M65" s="1">
        <v>0</v>
      </c>
      <c r="N65" s="2">
        <v>2</v>
      </c>
      <c r="O65" s="1">
        <v>3</v>
      </c>
      <c r="P65" s="2">
        <v>1</v>
      </c>
      <c r="Q65" s="1">
        <v>2</v>
      </c>
      <c r="S65" s="21">
        <f t="shared" si="6"/>
        <v>23</v>
      </c>
      <c r="T65" s="21">
        <f t="shared" si="7"/>
        <v>15</v>
      </c>
      <c r="U65" s="22">
        <f t="shared" si="8"/>
        <v>38</v>
      </c>
    </row>
    <row r="66" spans="1:21">
      <c r="A66" s="11">
        <v>44623</v>
      </c>
      <c r="B66" s="77">
        <v>2</v>
      </c>
      <c r="C66" s="77">
        <v>0</v>
      </c>
      <c r="D66" s="76">
        <v>3</v>
      </c>
      <c r="E66" s="77">
        <v>1</v>
      </c>
      <c r="F66" s="2">
        <v>4</v>
      </c>
      <c r="G66" s="1">
        <v>2</v>
      </c>
      <c r="H66" s="2">
        <v>3</v>
      </c>
      <c r="I66" s="1">
        <v>0</v>
      </c>
      <c r="J66" s="2">
        <v>4</v>
      </c>
      <c r="K66" s="1">
        <v>7</v>
      </c>
      <c r="L66" s="2">
        <v>4</v>
      </c>
      <c r="M66" s="1">
        <v>0</v>
      </c>
      <c r="N66" s="2">
        <v>2</v>
      </c>
      <c r="O66" s="1">
        <v>3</v>
      </c>
      <c r="P66" s="2">
        <v>1</v>
      </c>
      <c r="Q66" s="1">
        <v>2</v>
      </c>
      <c r="S66" s="21">
        <f t="shared" si="6"/>
        <v>23</v>
      </c>
      <c r="T66" s="21">
        <f t="shared" si="7"/>
        <v>15</v>
      </c>
      <c r="U66" s="22">
        <f t="shared" si="8"/>
        <v>38</v>
      </c>
    </row>
    <row r="67" spans="1:21">
      <c r="A67" s="11">
        <v>44624</v>
      </c>
      <c r="B67" s="77">
        <v>2</v>
      </c>
      <c r="C67" s="77">
        <v>0</v>
      </c>
      <c r="D67" s="76">
        <v>3</v>
      </c>
      <c r="E67" s="77">
        <v>1</v>
      </c>
      <c r="F67" s="2">
        <v>4</v>
      </c>
      <c r="G67" s="1">
        <v>2</v>
      </c>
      <c r="H67" s="2">
        <v>3</v>
      </c>
      <c r="I67" s="1">
        <v>0</v>
      </c>
      <c r="J67" s="2">
        <v>4</v>
      </c>
      <c r="K67" s="1">
        <v>7</v>
      </c>
      <c r="L67" s="2">
        <v>4</v>
      </c>
      <c r="M67" s="1">
        <v>0</v>
      </c>
      <c r="N67" s="2">
        <v>2</v>
      </c>
      <c r="O67" s="1">
        <v>3</v>
      </c>
      <c r="P67" s="2">
        <v>1</v>
      </c>
      <c r="Q67" s="1">
        <v>2</v>
      </c>
      <c r="S67" s="21">
        <f t="shared" si="6"/>
        <v>23</v>
      </c>
      <c r="T67" s="21">
        <f t="shared" si="7"/>
        <v>15</v>
      </c>
      <c r="U67" s="22">
        <f t="shared" si="8"/>
        <v>38</v>
      </c>
    </row>
    <row r="68" spans="1:21">
      <c r="A68" s="12">
        <v>44625</v>
      </c>
      <c r="B68" s="77">
        <v>2</v>
      </c>
      <c r="C68" s="77">
        <v>0</v>
      </c>
      <c r="D68" s="76">
        <v>3</v>
      </c>
      <c r="E68" s="77">
        <v>1</v>
      </c>
      <c r="F68" s="2">
        <v>4</v>
      </c>
      <c r="G68" s="1">
        <v>2</v>
      </c>
      <c r="H68" s="2">
        <v>3</v>
      </c>
      <c r="I68" s="1">
        <v>0</v>
      </c>
      <c r="J68" s="2">
        <v>4</v>
      </c>
      <c r="K68" s="1">
        <v>7</v>
      </c>
      <c r="L68" s="2">
        <v>4</v>
      </c>
      <c r="M68" s="1">
        <v>0</v>
      </c>
      <c r="N68" s="2">
        <v>2</v>
      </c>
      <c r="O68" s="1">
        <v>3</v>
      </c>
      <c r="P68" s="2">
        <v>1</v>
      </c>
      <c r="Q68" s="1">
        <v>2</v>
      </c>
      <c r="S68" s="21">
        <f t="shared" si="6"/>
        <v>23</v>
      </c>
      <c r="T68" s="21">
        <f t="shared" si="7"/>
        <v>15</v>
      </c>
      <c r="U68" s="22">
        <f t="shared" si="8"/>
        <v>38</v>
      </c>
    </row>
    <row r="69" spans="1:21">
      <c r="A69" s="12">
        <v>44626</v>
      </c>
      <c r="B69" s="77">
        <v>2</v>
      </c>
      <c r="C69" s="77">
        <v>0</v>
      </c>
      <c r="D69" s="76">
        <v>3</v>
      </c>
      <c r="E69" s="77">
        <v>1</v>
      </c>
      <c r="F69" s="2">
        <v>4</v>
      </c>
      <c r="G69" s="1">
        <v>2</v>
      </c>
      <c r="H69" s="2">
        <v>3</v>
      </c>
      <c r="I69" s="1">
        <v>0</v>
      </c>
      <c r="J69" s="2">
        <v>4</v>
      </c>
      <c r="K69" s="1">
        <v>7</v>
      </c>
      <c r="L69" s="2">
        <v>4</v>
      </c>
      <c r="M69" s="1">
        <v>0</v>
      </c>
      <c r="N69" s="2">
        <v>2</v>
      </c>
      <c r="O69" s="1">
        <v>3</v>
      </c>
      <c r="P69" s="2">
        <v>1</v>
      </c>
      <c r="Q69" s="1">
        <v>2</v>
      </c>
      <c r="S69" s="21">
        <f t="shared" si="6"/>
        <v>23</v>
      </c>
      <c r="T69" s="21">
        <f t="shared" si="7"/>
        <v>15</v>
      </c>
      <c r="U69" s="22">
        <f t="shared" si="8"/>
        <v>38</v>
      </c>
    </row>
    <row r="70" spans="1:21">
      <c r="A70" s="11">
        <v>44627</v>
      </c>
      <c r="B70" s="77">
        <v>2</v>
      </c>
      <c r="C70" s="77">
        <v>0</v>
      </c>
      <c r="D70" s="76">
        <v>3</v>
      </c>
      <c r="E70" s="77">
        <v>1</v>
      </c>
      <c r="F70" s="2">
        <v>4</v>
      </c>
      <c r="G70" s="1">
        <v>2</v>
      </c>
      <c r="H70" s="2">
        <v>3</v>
      </c>
      <c r="I70" s="1">
        <v>0</v>
      </c>
      <c r="J70" s="2">
        <v>4</v>
      </c>
      <c r="K70" s="1">
        <v>7</v>
      </c>
      <c r="L70" s="2">
        <v>4</v>
      </c>
      <c r="M70" s="1">
        <v>0</v>
      </c>
      <c r="N70" s="2">
        <v>2</v>
      </c>
      <c r="O70" s="1">
        <v>3</v>
      </c>
      <c r="P70" s="2">
        <v>1</v>
      </c>
      <c r="Q70" s="1">
        <v>2</v>
      </c>
      <c r="S70" s="21">
        <f t="shared" ref="S70:S93" si="9">SUM(B70,D70,F70,H70,J70,L70,N70,P70)</f>
        <v>23</v>
      </c>
      <c r="T70" s="21">
        <f t="shared" ref="T70:T94" si="10">SUM(C70,E70,G70,I70,K70,M70,O70,Q70)</f>
        <v>15</v>
      </c>
      <c r="U70" s="22">
        <f t="shared" ref="U70:U133" si="11">SUM(S70:T70)</f>
        <v>38</v>
      </c>
    </row>
    <row r="71" spans="1:21">
      <c r="A71" s="11">
        <v>44628</v>
      </c>
      <c r="B71" s="77">
        <v>2</v>
      </c>
      <c r="C71" s="77">
        <v>0</v>
      </c>
      <c r="D71" s="76">
        <v>3</v>
      </c>
      <c r="E71" s="77">
        <v>1</v>
      </c>
      <c r="F71" s="2">
        <v>4</v>
      </c>
      <c r="G71" s="1">
        <v>2</v>
      </c>
      <c r="H71" s="2">
        <v>3</v>
      </c>
      <c r="I71" s="1">
        <v>0</v>
      </c>
      <c r="J71" s="2">
        <v>4</v>
      </c>
      <c r="K71" s="1">
        <v>7</v>
      </c>
      <c r="L71" s="2">
        <v>4</v>
      </c>
      <c r="M71" s="1">
        <v>0</v>
      </c>
      <c r="N71" s="2">
        <v>2</v>
      </c>
      <c r="O71" s="1">
        <v>3</v>
      </c>
      <c r="P71" s="2">
        <v>1</v>
      </c>
      <c r="Q71" s="1">
        <v>2</v>
      </c>
      <c r="S71" s="21">
        <f t="shared" si="9"/>
        <v>23</v>
      </c>
      <c r="T71" s="21">
        <f t="shared" si="10"/>
        <v>15</v>
      </c>
      <c r="U71" s="22">
        <f t="shared" si="11"/>
        <v>38</v>
      </c>
    </row>
    <row r="72" spans="1:21">
      <c r="A72" s="13">
        <v>44629</v>
      </c>
      <c r="B72" s="77">
        <v>2</v>
      </c>
      <c r="C72" s="77">
        <v>0</v>
      </c>
      <c r="D72" s="76">
        <v>3</v>
      </c>
      <c r="E72" s="77">
        <v>1</v>
      </c>
      <c r="F72" s="2">
        <v>4</v>
      </c>
      <c r="G72" s="1">
        <v>2</v>
      </c>
      <c r="H72" s="2">
        <v>3</v>
      </c>
      <c r="I72" s="1">
        <v>0</v>
      </c>
      <c r="J72" s="2">
        <v>4</v>
      </c>
      <c r="K72" s="1">
        <v>7</v>
      </c>
      <c r="L72" s="2">
        <v>4</v>
      </c>
      <c r="M72" s="1">
        <v>0</v>
      </c>
      <c r="N72" s="2">
        <v>2</v>
      </c>
      <c r="O72" s="1">
        <v>3</v>
      </c>
      <c r="P72" s="2">
        <v>1</v>
      </c>
      <c r="Q72" s="1">
        <v>2</v>
      </c>
      <c r="S72" s="21">
        <f t="shared" si="9"/>
        <v>23</v>
      </c>
      <c r="T72" s="21">
        <f t="shared" si="10"/>
        <v>15</v>
      </c>
      <c r="U72" s="22">
        <f t="shared" si="11"/>
        <v>38</v>
      </c>
    </row>
    <row r="73" spans="1:21">
      <c r="A73" s="11">
        <v>44630</v>
      </c>
      <c r="B73" s="77">
        <v>2</v>
      </c>
      <c r="C73" s="77">
        <v>0</v>
      </c>
      <c r="D73" s="76">
        <v>3</v>
      </c>
      <c r="E73" s="77">
        <v>1</v>
      </c>
      <c r="F73" s="2">
        <v>4</v>
      </c>
      <c r="G73" s="1">
        <v>2</v>
      </c>
      <c r="H73" s="2">
        <v>3</v>
      </c>
      <c r="I73" s="1">
        <v>0</v>
      </c>
      <c r="J73" s="2">
        <v>4</v>
      </c>
      <c r="K73" s="1">
        <v>7</v>
      </c>
      <c r="L73" s="2">
        <v>4</v>
      </c>
      <c r="M73" s="1">
        <v>0</v>
      </c>
      <c r="N73" s="2">
        <v>2</v>
      </c>
      <c r="O73" s="1">
        <v>3</v>
      </c>
      <c r="P73" s="2">
        <v>1</v>
      </c>
      <c r="Q73" s="1">
        <v>2</v>
      </c>
      <c r="S73" s="21">
        <f t="shared" si="9"/>
        <v>23</v>
      </c>
      <c r="T73" s="21">
        <f t="shared" si="10"/>
        <v>15</v>
      </c>
      <c r="U73" s="22">
        <f t="shared" si="11"/>
        <v>38</v>
      </c>
    </row>
    <row r="74" spans="1:21">
      <c r="A74" s="11">
        <v>44631</v>
      </c>
      <c r="B74" s="77">
        <v>2</v>
      </c>
      <c r="C74" s="77">
        <v>0</v>
      </c>
      <c r="D74" s="76">
        <v>3</v>
      </c>
      <c r="E74" s="77">
        <v>1</v>
      </c>
      <c r="F74" s="2">
        <v>4</v>
      </c>
      <c r="G74" s="1">
        <v>2</v>
      </c>
      <c r="H74" s="2">
        <v>3</v>
      </c>
      <c r="I74" s="1">
        <v>0</v>
      </c>
      <c r="J74" s="2">
        <v>4</v>
      </c>
      <c r="K74" s="1">
        <v>7</v>
      </c>
      <c r="L74" s="2">
        <v>4</v>
      </c>
      <c r="M74" s="1">
        <v>0</v>
      </c>
      <c r="N74" s="2">
        <v>2</v>
      </c>
      <c r="O74" s="1">
        <v>3</v>
      </c>
      <c r="P74" s="2">
        <v>1</v>
      </c>
      <c r="Q74" s="1">
        <v>2</v>
      </c>
      <c r="S74" s="21">
        <f t="shared" si="9"/>
        <v>23</v>
      </c>
      <c r="T74" s="21">
        <f t="shared" si="10"/>
        <v>15</v>
      </c>
      <c r="U74" s="22">
        <f t="shared" si="11"/>
        <v>38</v>
      </c>
    </row>
    <row r="75" spans="1:21">
      <c r="A75" s="12">
        <v>44632</v>
      </c>
      <c r="B75" s="77">
        <v>2</v>
      </c>
      <c r="C75" s="77">
        <v>0</v>
      </c>
      <c r="D75" s="76">
        <v>3</v>
      </c>
      <c r="E75" s="77">
        <v>1</v>
      </c>
      <c r="F75" s="2">
        <v>4</v>
      </c>
      <c r="G75" s="1">
        <v>2</v>
      </c>
      <c r="H75" s="2">
        <v>3</v>
      </c>
      <c r="I75" s="1">
        <v>0</v>
      </c>
      <c r="J75" s="2">
        <v>4</v>
      </c>
      <c r="K75" s="1">
        <v>7</v>
      </c>
      <c r="L75" s="2">
        <v>4</v>
      </c>
      <c r="M75" s="1">
        <v>0</v>
      </c>
      <c r="N75" s="2">
        <v>2</v>
      </c>
      <c r="O75" s="1">
        <v>3</v>
      </c>
      <c r="P75" s="2">
        <v>1</v>
      </c>
      <c r="Q75" s="1">
        <v>2</v>
      </c>
      <c r="S75" s="21">
        <f t="shared" si="9"/>
        <v>23</v>
      </c>
      <c r="T75" s="21">
        <f t="shared" si="10"/>
        <v>15</v>
      </c>
      <c r="U75" s="22">
        <f t="shared" si="11"/>
        <v>38</v>
      </c>
    </row>
    <row r="76" spans="1:21">
      <c r="A76" s="12">
        <v>44633</v>
      </c>
      <c r="B76" s="77">
        <v>2</v>
      </c>
      <c r="C76" s="77">
        <v>0</v>
      </c>
      <c r="D76" s="76">
        <v>3</v>
      </c>
      <c r="E76" s="77">
        <v>1</v>
      </c>
      <c r="F76" s="2">
        <v>4</v>
      </c>
      <c r="G76" s="1">
        <v>2</v>
      </c>
      <c r="H76" s="2">
        <v>3</v>
      </c>
      <c r="I76" s="1">
        <v>0</v>
      </c>
      <c r="J76" s="2">
        <v>4</v>
      </c>
      <c r="K76" s="1">
        <v>7</v>
      </c>
      <c r="L76" s="2">
        <v>4</v>
      </c>
      <c r="M76" s="1">
        <v>0</v>
      </c>
      <c r="N76" s="2">
        <v>2</v>
      </c>
      <c r="O76" s="1">
        <v>3</v>
      </c>
      <c r="P76" s="2">
        <v>1</v>
      </c>
      <c r="Q76" s="1">
        <v>2</v>
      </c>
      <c r="S76" s="21">
        <f t="shared" si="9"/>
        <v>23</v>
      </c>
      <c r="T76" s="21">
        <f t="shared" si="10"/>
        <v>15</v>
      </c>
      <c r="U76" s="22">
        <f t="shared" si="11"/>
        <v>38</v>
      </c>
    </row>
    <row r="77" spans="1:21">
      <c r="A77" s="11">
        <v>44634</v>
      </c>
      <c r="B77" s="77">
        <v>2</v>
      </c>
      <c r="C77" s="77">
        <v>0</v>
      </c>
      <c r="D77" s="76">
        <v>3</v>
      </c>
      <c r="E77" s="77">
        <v>1</v>
      </c>
      <c r="F77" s="2">
        <v>4</v>
      </c>
      <c r="G77" s="1">
        <v>2</v>
      </c>
      <c r="H77" s="2">
        <v>3</v>
      </c>
      <c r="I77" s="1">
        <v>0</v>
      </c>
      <c r="J77" s="2">
        <v>4</v>
      </c>
      <c r="K77" s="1">
        <v>7</v>
      </c>
      <c r="L77" s="2">
        <v>4</v>
      </c>
      <c r="M77" s="1">
        <v>0</v>
      </c>
      <c r="N77" s="2">
        <v>2</v>
      </c>
      <c r="O77" s="1">
        <v>3</v>
      </c>
      <c r="P77" s="2">
        <v>1</v>
      </c>
      <c r="Q77" s="1">
        <v>2</v>
      </c>
      <c r="S77" s="21">
        <f t="shared" si="9"/>
        <v>23</v>
      </c>
      <c r="T77" s="21">
        <f t="shared" si="10"/>
        <v>15</v>
      </c>
      <c r="U77" s="22">
        <f t="shared" si="11"/>
        <v>38</v>
      </c>
    </row>
    <row r="78" spans="1:21">
      <c r="A78" s="11">
        <v>44635</v>
      </c>
      <c r="B78" s="77">
        <v>2</v>
      </c>
      <c r="C78" s="77">
        <v>0</v>
      </c>
      <c r="D78" s="76">
        <v>3</v>
      </c>
      <c r="E78" s="77">
        <v>1</v>
      </c>
      <c r="F78" s="2">
        <v>4</v>
      </c>
      <c r="G78" s="1">
        <v>2</v>
      </c>
      <c r="H78" s="2">
        <v>3</v>
      </c>
      <c r="I78" s="1">
        <v>0</v>
      </c>
      <c r="J78" s="2">
        <v>4</v>
      </c>
      <c r="K78" s="1">
        <v>7</v>
      </c>
      <c r="L78" s="2">
        <v>4</v>
      </c>
      <c r="M78" s="1">
        <v>0</v>
      </c>
      <c r="N78" s="2">
        <v>2</v>
      </c>
      <c r="O78" s="1">
        <v>3</v>
      </c>
      <c r="P78" s="2">
        <v>1</v>
      </c>
      <c r="Q78" s="1">
        <v>2</v>
      </c>
      <c r="S78" s="21">
        <f t="shared" si="9"/>
        <v>23</v>
      </c>
      <c r="T78" s="21">
        <f t="shared" si="10"/>
        <v>15</v>
      </c>
      <c r="U78" s="22">
        <f t="shared" si="11"/>
        <v>38</v>
      </c>
    </row>
    <row r="79" spans="1:21">
      <c r="A79" s="13">
        <v>44636</v>
      </c>
      <c r="B79" s="77">
        <v>2</v>
      </c>
      <c r="C79" s="77">
        <v>0</v>
      </c>
      <c r="D79" s="76">
        <v>3</v>
      </c>
      <c r="E79" s="77">
        <v>1</v>
      </c>
      <c r="F79" s="2">
        <v>4</v>
      </c>
      <c r="G79" s="1">
        <v>2</v>
      </c>
      <c r="H79" s="2">
        <v>3</v>
      </c>
      <c r="I79" s="1">
        <v>0</v>
      </c>
      <c r="J79" s="2">
        <v>4</v>
      </c>
      <c r="K79" s="1">
        <v>7</v>
      </c>
      <c r="L79" s="2">
        <v>4</v>
      </c>
      <c r="M79" s="1">
        <v>0</v>
      </c>
      <c r="N79" s="2">
        <v>2</v>
      </c>
      <c r="O79" s="1">
        <v>3</v>
      </c>
      <c r="P79" s="2">
        <v>1</v>
      </c>
      <c r="Q79" s="1">
        <v>2</v>
      </c>
      <c r="S79" s="21">
        <f t="shared" si="9"/>
        <v>23</v>
      </c>
      <c r="T79" s="21">
        <f t="shared" si="10"/>
        <v>15</v>
      </c>
      <c r="U79" s="22">
        <f t="shared" si="11"/>
        <v>38</v>
      </c>
    </row>
    <row r="80" spans="1:21">
      <c r="A80" s="11">
        <v>44637</v>
      </c>
      <c r="B80" s="77">
        <v>2</v>
      </c>
      <c r="C80" s="77">
        <v>0</v>
      </c>
      <c r="D80" s="76">
        <v>3</v>
      </c>
      <c r="E80" s="77">
        <v>1</v>
      </c>
      <c r="F80" s="2">
        <v>4</v>
      </c>
      <c r="G80" s="1">
        <v>2</v>
      </c>
      <c r="H80" s="2">
        <v>3</v>
      </c>
      <c r="I80" s="1">
        <v>0</v>
      </c>
      <c r="J80" s="2">
        <v>4</v>
      </c>
      <c r="K80" s="1">
        <v>7</v>
      </c>
      <c r="L80" s="2">
        <v>4</v>
      </c>
      <c r="M80" s="1">
        <v>0</v>
      </c>
      <c r="N80" s="2">
        <v>2</v>
      </c>
      <c r="O80" s="1">
        <v>3</v>
      </c>
      <c r="P80" s="2">
        <v>1</v>
      </c>
      <c r="Q80" s="1">
        <v>2</v>
      </c>
      <c r="S80" s="21">
        <f t="shared" si="9"/>
        <v>23</v>
      </c>
      <c r="T80" s="21">
        <f t="shared" si="10"/>
        <v>15</v>
      </c>
      <c r="U80" s="22">
        <f t="shared" si="11"/>
        <v>38</v>
      </c>
    </row>
    <row r="81" spans="1:21">
      <c r="A81" s="11">
        <v>44638</v>
      </c>
      <c r="B81" s="77">
        <v>2</v>
      </c>
      <c r="C81" s="77">
        <v>0</v>
      </c>
      <c r="D81" s="76">
        <v>3</v>
      </c>
      <c r="E81" s="77">
        <v>1</v>
      </c>
      <c r="F81" s="2">
        <v>4</v>
      </c>
      <c r="G81" s="1">
        <v>2</v>
      </c>
      <c r="H81" s="2">
        <v>3</v>
      </c>
      <c r="I81" s="1">
        <v>0</v>
      </c>
      <c r="J81" s="2">
        <v>4</v>
      </c>
      <c r="K81" s="1">
        <v>7</v>
      </c>
      <c r="L81" s="2">
        <v>4</v>
      </c>
      <c r="M81" s="1">
        <v>0</v>
      </c>
      <c r="N81" s="2">
        <v>2</v>
      </c>
      <c r="O81" s="1">
        <v>3</v>
      </c>
      <c r="P81" s="2">
        <v>1</v>
      </c>
      <c r="Q81" s="1">
        <v>2</v>
      </c>
      <c r="S81" s="21">
        <f t="shared" si="9"/>
        <v>23</v>
      </c>
      <c r="T81" s="21">
        <f t="shared" si="10"/>
        <v>15</v>
      </c>
      <c r="U81" s="22">
        <f t="shared" si="11"/>
        <v>38</v>
      </c>
    </row>
    <row r="82" spans="1:21">
      <c r="A82" s="12">
        <v>44639</v>
      </c>
      <c r="B82" s="77">
        <v>2</v>
      </c>
      <c r="C82" s="77">
        <v>0</v>
      </c>
      <c r="D82" s="76">
        <v>3</v>
      </c>
      <c r="E82" s="77">
        <v>1</v>
      </c>
      <c r="F82" s="2">
        <v>4</v>
      </c>
      <c r="G82" s="1">
        <v>2</v>
      </c>
      <c r="H82" s="2">
        <v>3</v>
      </c>
      <c r="I82" s="1">
        <v>0</v>
      </c>
      <c r="J82" s="2">
        <v>4</v>
      </c>
      <c r="K82" s="1">
        <v>7</v>
      </c>
      <c r="L82" s="2">
        <v>4</v>
      </c>
      <c r="M82" s="1">
        <v>0</v>
      </c>
      <c r="N82" s="2">
        <v>2</v>
      </c>
      <c r="O82" s="1">
        <v>3</v>
      </c>
      <c r="P82" s="2">
        <v>1</v>
      </c>
      <c r="Q82" s="1">
        <v>2</v>
      </c>
      <c r="S82" s="21">
        <f t="shared" si="9"/>
        <v>23</v>
      </c>
      <c r="T82" s="21">
        <f t="shared" si="10"/>
        <v>15</v>
      </c>
      <c r="U82" s="22">
        <f t="shared" si="11"/>
        <v>38</v>
      </c>
    </row>
    <row r="83" spans="1:21">
      <c r="A83" s="12">
        <v>44640</v>
      </c>
      <c r="B83" s="77">
        <v>2</v>
      </c>
      <c r="C83" s="77">
        <v>0</v>
      </c>
      <c r="D83" s="76">
        <v>3</v>
      </c>
      <c r="E83" s="77">
        <v>1</v>
      </c>
      <c r="F83" s="2">
        <v>4</v>
      </c>
      <c r="G83" s="1">
        <v>2</v>
      </c>
      <c r="H83" s="2">
        <v>3</v>
      </c>
      <c r="I83" s="1">
        <v>0</v>
      </c>
      <c r="J83" s="2">
        <v>4</v>
      </c>
      <c r="K83" s="1">
        <v>7</v>
      </c>
      <c r="L83" s="2">
        <v>4</v>
      </c>
      <c r="M83" s="1">
        <v>0</v>
      </c>
      <c r="N83" s="2">
        <v>2</v>
      </c>
      <c r="O83" s="1">
        <v>3</v>
      </c>
      <c r="P83" s="2">
        <v>1</v>
      </c>
      <c r="Q83" s="1">
        <v>2</v>
      </c>
      <c r="S83" s="21">
        <f t="shared" si="9"/>
        <v>23</v>
      </c>
      <c r="T83" s="21">
        <f t="shared" si="10"/>
        <v>15</v>
      </c>
      <c r="U83" s="22">
        <f t="shared" si="11"/>
        <v>38</v>
      </c>
    </row>
    <row r="84" spans="1:21">
      <c r="A84" s="11">
        <v>44641</v>
      </c>
      <c r="B84" s="77">
        <v>2</v>
      </c>
      <c r="C84" s="77">
        <v>0</v>
      </c>
      <c r="D84" s="76">
        <v>3</v>
      </c>
      <c r="E84" s="77">
        <v>1</v>
      </c>
      <c r="F84" s="2">
        <v>4</v>
      </c>
      <c r="G84" s="1">
        <v>2</v>
      </c>
      <c r="H84" s="2">
        <v>3</v>
      </c>
      <c r="I84" s="1">
        <v>0</v>
      </c>
      <c r="J84" s="2">
        <v>4</v>
      </c>
      <c r="K84" s="1">
        <v>7</v>
      </c>
      <c r="L84" s="2">
        <v>4</v>
      </c>
      <c r="M84" s="1">
        <v>0</v>
      </c>
      <c r="N84" s="2">
        <v>2</v>
      </c>
      <c r="O84" s="1">
        <v>3</v>
      </c>
      <c r="P84" s="2">
        <v>1</v>
      </c>
      <c r="Q84" s="1">
        <v>2</v>
      </c>
      <c r="S84" s="21">
        <f t="shared" si="9"/>
        <v>23</v>
      </c>
      <c r="T84" s="21">
        <f t="shared" si="10"/>
        <v>15</v>
      </c>
      <c r="U84" s="22">
        <f t="shared" si="11"/>
        <v>38</v>
      </c>
    </row>
    <row r="85" spans="1:21">
      <c r="A85" s="11">
        <v>44642</v>
      </c>
      <c r="B85" s="77">
        <v>2</v>
      </c>
      <c r="C85" s="77">
        <v>0</v>
      </c>
      <c r="D85" s="76">
        <v>3</v>
      </c>
      <c r="E85" s="77">
        <v>1</v>
      </c>
      <c r="F85" s="2">
        <v>4</v>
      </c>
      <c r="G85" s="1">
        <v>2</v>
      </c>
      <c r="H85" s="2">
        <v>3</v>
      </c>
      <c r="I85" s="1">
        <v>0</v>
      </c>
      <c r="J85" s="2">
        <v>4</v>
      </c>
      <c r="K85" s="1">
        <v>7</v>
      </c>
      <c r="L85" s="2">
        <v>4</v>
      </c>
      <c r="M85" s="1">
        <v>0</v>
      </c>
      <c r="N85" s="2">
        <v>2</v>
      </c>
      <c r="O85" s="1">
        <v>3</v>
      </c>
      <c r="P85" s="2">
        <v>1</v>
      </c>
      <c r="Q85" s="1">
        <v>2</v>
      </c>
      <c r="S85" s="21">
        <f t="shared" si="9"/>
        <v>23</v>
      </c>
      <c r="T85" s="21">
        <f t="shared" si="10"/>
        <v>15</v>
      </c>
      <c r="U85" s="22">
        <f t="shared" si="11"/>
        <v>38</v>
      </c>
    </row>
    <row r="86" spans="1:21">
      <c r="A86" s="13">
        <v>44643</v>
      </c>
      <c r="B86" s="77">
        <v>2</v>
      </c>
      <c r="C86" s="77">
        <v>0</v>
      </c>
      <c r="D86" s="76">
        <v>3</v>
      </c>
      <c r="E86" s="77">
        <v>1</v>
      </c>
      <c r="F86" s="2">
        <v>4</v>
      </c>
      <c r="G86" s="1">
        <v>2</v>
      </c>
      <c r="H86" s="2">
        <v>3</v>
      </c>
      <c r="I86" s="1">
        <v>0</v>
      </c>
      <c r="J86" s="2">
        <v>4</v>
      </c>
      <c r="K86" s="1">
        <v>7</v>
      </c>
      <c r="L86" s="2">
        <v>4</v>
      </c>
      <c r="M86" s="1">
        <v>0</v>
      </c>
      <c r="N86" s="2">
        <v>2</v>
      </c>
      <c r="O86" s="1">
        <v>3</v>
      </c>
      <c r="P86" s="2">
        <v>1</v>
      </c>
      <c r="Q86" s="1">
        <v>2</v>
      </c>
      <c r="S86" s="21">
        <f t="shared" si="9"/>
        <v>23</v>
      </c>
      <c r="T86" s="21">
        <f t="shared" si="10"/>
        <v>15</v>
      </c>
      <c r="U86" s="22">
        <f t="shared" si="11"/>
        <v>38</v>
      </c>
    </row>
    <row r="87" spans="1:21">
      <c r="A87" s="11">
        <v>44644</v>
      </c>
      <c r="B87" s="77">
        <v>2</v>
      </c>
      <c r="C87" s="77">
        <v>0</v>
      </c>
      <c r="D87" s="76">
        <v>3</v>
      </c>
      <c r="E87" s="77">
        <v>1</v>
      </c>
      <c r="F87" s="2">
        <v>4</v>
      </c>
      <c r="G87" s="1">
        <v>2</v>
      </c>
      <c r="H87" s="2">
        <v>3</v>
      </c>
      <c r="I87" s="1">
        <v>0</v>
      </c>
      <c r="J87" s="2">
        <v>4</v>
      </c>
      <c r="K87" s="1">
        <v>7</v>
      </c>
      <c r="L87" s="2">
        <v>4</v>
      </c>
      <c r="M87" s="1">
        <v>0</v>
      </c>
      <c r="N87" s="2">
        <v>2</v>
      </c>
      <c r="O87" s="1">
        <v>3</v>
      </c>
      <c r="P87" s="2">
        <v>1</v>
      </c>
      <c r="Q87" s="1">
        <v>2</v>
      </c>
      <c r="S87" s="21">
        <f t="shared" si="9"/>
        <v>23</v>
      </c>
      <c r="T87" s="21">
        <f t="shared" si="10"/>
        <v>15</v>
      </c>
      <c r="U87" s="22">
        <f t="shared" si="11"/>
        <v>38</v>
      </c>
    </row>
    <row r="88" spans="1:21">
      <c r="A88" s="11">
        <v>44645</v>
      </c>
      <c r="B88" s="77">
        <v>2</v>
      </c>
      <c r="C88" s="77">
        <v>0</v>
      </c>
      <c r="D88" s="76">
        <v>3</v>
      </c>
      <c r="E88" s="77">
        <v>1</v>
      </c>
      <c r="F88" s="2">
        <v>4</v>
      </c>
      <c r="G88" s="1">
        <v>2</v>
      </c>
      <c r="H88" s="2">
        <v>3</v>
      </c>
      <c r="I88" s="1">
        <v>0</v>
      </c>
      <c r="J88" s="2">
        <v>4</v>
      </c>
      <c r="K88" s="1">
        <v>7</v>
      </c>
      <c r="L88" s="2">
        <v>4</v>
      </c>
      <c r="M88" s="1">
        <v>0</v>
      </c>
      <c r="N88" s="2">
        <v>2</v>
      </c>
      <c r="O88" s="1">
        <v>3</v>
      </c>
      <c r="P88" s="2">
        <v>1</v>
      </c>
      <c r="Q88" s="1">
        <v>2</v>
      </c>
      <c r="S88" s="21">
        <f t="shared" si="9"/>
        <v>23</v>
      </c>
      <c r="T88" s="21">
        <f t="shared" si="10"/>
        <v>15</v>
      </c>
      <c r="U88" s="22">
        <f t="shared" si="11"/>
        <v>38</v>
      </c>
    </row>
    <row r="89" spans="1:21">
      <c r="A89" s="12">
        <v>44646</v>
      </c>
      <c r="B89" s="77">
        <v>2</v>
      </c>
      <c r="C89" s="77">
        <v>0</v>
      </c>
      <c r="D89" s="76">
        <v>3</v>
      </c>
      <c r="E89" s="77">
        <v>1</v>
      </c>
      <c r="F89" s="2">
        <v>4</v>
      </c>
      <c r="G89" s="1">
        <v>2</v>
      </c>
      <c r="H89" s="2">
        <v>3</v>
      </c>
      <c r="I89" s="1">
        <v>0</v>
      </c>
      <c r="J89" s="2">
        <v>4</v>
      </c>
      <c r="K89" s="1">
        <v>7</v>
      </c>
      <c r="L89" s="2">
        <v>4</v>
      </c>
      <c r="M89" s="1">
        <v>0</v>
      </c>
      <c r="N89" s="2">
        <v>2</v>
      </c>
      <c r="O89" s="1">
        <v>3</v>
      </c>
      <c r="P89" s="2">
        <v>1</v>
      </c>
      <c r="Q89" s="1">
        <v>2</v>
      </c>
      <c r="S89" s="21">
        <f t="shared" si="9"/>
        <v>23</v>
      </c>
      <c r="T89" s="21">
        <f t="shared" si="10"/>
        <v>15</v>
      </c>
      <c r="U89" s="22">
        <f t="shared" si="11"/>
        <v>38</v>
      </c>
    </row>
    <row r="90" spans="1:21">
      <c r="A90" s="12">
        <v>44647</v>
      </c>
      <c r="B90" s="77">
        <v>2</v>
      </c>
      <c r="C90" s="77">
        <v>0</v>
      </c>
      <c r="D90" s="76">
        <v>3</v>
      </c>
      <c r="E90" s="77">
        <v>1</v>
      </c>
      <c r="F90" s="2">
        <v>4</v>
      </c>
      <c r="G90" s="1">
        <v>2</v>
      </c>
      <c r="H90" s="2">
        <v>3</v>
      </c>
      <c r="I90" s="1">
        <v>0</v>
      </c>
      <c r="J90" s="2">
        <v>4</v>
      </c>
      <c r="K90" s="1">
        <v>7</v>
      </c>
      <c r="L90" s="2">
        <v>4</v>
      </c>
      <c r="M90" s="1">
        <v>0</v>
      </c>
      <c r="N90" s="2">
        <v>2</v>
      </c>
      <c r="O90" s="1">
        <v>3</v>
      </c>
      <c r="P90" s="2">
        <v>1</v>
      </c>
      <c r="Q90" s="1">
        <v>2</v>
      </c>
      <c r="S90" s="21">
        <f t="shared" si="9"/>
        <v>23</v>
      </c>
      <c r="T90" s="21">
        <f t="shared" si="10"/>
        <v>15</v>
      </c>
      <c r="U90" s="22">
        <f t="shared" si="11"/>
        <v>38</v>
      </c>
    </row>
    <row r="91" spans="1:21">
      <c r="A91" s="11">
        <v>44648</v>
      </c>
      <c r="B91" s="77">
        <v>2</v>
      </c>
      <c r="C91" s="77">
        <v>0</v>
      </c>
      <c r="D91" s="76">
        <v>3</v>
      </c>
      <c r="E91" s="77">
        <v>1</v>
      </c>
      <c r="F91" s="2">
        <v>4</v>
      </c>
      <c r="G91" s="1">
        <v>2</v>
      </c>
      <c r="H91" s="2">
        <v>3</v>
      </c>
      <c r="I91" s="1">
        <v>0</v>
      </c>
      <c r="J91" s="2">
        <v>4</v>
      </c>
      <c r="K91" s="1">
        <v>7</v>
      </c>
      <c r="L91" s="2">
        <v>4</v>
      </c>
      <c r="M91" s="1">
        <v>0</v>
      </c>
      <c r="N91" s="2">
        <v>2</v>
      </c>
      <c r="O91" s="1">
        <v>3</v>
      </c>
      <c r="P91" s="2">
        <v>1</v>
      </c>
      <c r="Q91" s="1">
        <v>2</v>
      </c>
      <c r="S91" s="21">
        <f t="shared" si="9"/>
        <v>23</v>
      </c>
      <c r="T91" s="21">
        <f t="shared" si="10"/>
        <v>15</v>
      </c>
      <c r="U91" s="22">
        <f t="shared" si="11"/>
        <v>38</v>
      </c>
    </row>
    <row r="92" spans="1:21">
      <c r="A92" s="11">
        <v>44649</v>
      </c>
      <c r="B92" s="77">
        <v>2</v>
      </c>
      <c r="C92" s="77">
        <v>0</v>
      </c>
      <c r="D92" s="76">
        <v>3</v>
      </c>
      <c r="E92" s="77">
        <v>1</v>
      </c>
      <c r="F92" s="2">
        <v>4</v>
      </c>
      <c r="G92" s="1">
        <v>2</v>
      </c>
      <c r="H92" s="2">
        <v>3</v>
      </c>
      <c r="I92" s="1">
        <v>0</v>
      </c>
      <c r="J92" s="2">
        <v>4</v>
      </c>
      <c r="K92" s="1">
        <v>7</v>
      </c>
      <c r="L92" s="2">
        <v>4</v>
      </c>
      <c r="M92" s="1">
        <v>0</v>
      </c>
      <c r="N92" s="2">
        <v>2</v>
      </c>
      <c r="O92" s="1">
        <v>3</v>
      </c>
      <c r="P92" s="2">
        <v>1</v>
      </c>
      <c r="Q92" s="1">
        <v>2</v>
      </c>
      <c r="S92" s="21">
        <f t="shared" si="9"/>
        <v>23</v>
      </c>
      <c r="T92" s="21">
        <f t="shared" si="10"/>
        <v>15</v>
      </c>
      <c r="U92" s="22">
        <f t="shared" si="11"/>
        <v>38</v>
      </c>
    </row>
    <row r="93" spans="1:21">
      <c r="A93" s="13">
        <v>44650</v>
      </c>
      <c r="B93" s="77">
        <v>2</v>
      </c>
      <c r="C93" s="77">
        <v>0</v>
      </c>
      <c r="D93" s="76">
        <v>3</v>
      </c>
      <c r="E93" s="77">
        <v>1</v>
      </c>
      <c r="F93" s="2">
        <v>4</v>
      </c>
      <c r="G93" s="1">
        <v>2</v>
      </c>
      <c r="H93" s="2">
        <v>3</v>
      </c>
      <c r="I93" s="1">
        <v>0</v>
      </c>
      <c r="J93" s="2">
        <v>4</v>
      </c>
      <c r="K93" s="1">
        <v>7</v>
      </c>
      <c r="L93" s="2">
        <v>4</v>
      </c>
      <c r="M93" s="1">
        <v>0</v>
      </c>
      <c r="N93" s="2">
        <v>2</v>
      </c>
      <c r="O93" s="1">
        <v>3</v>
      </c>
      <c r="P93" s="2">
        <v>1</v>
      </c>
      <c r="Q93" s="1">
        <v>2</v>
      </c>
      <c r="S93" s="21">
        <f t="shared" si="9"/>
        <v>23</v>
      </c>
      <c r="T93" s="21">
        <f t="shared" si="10"/>
        <v>15</v>
      </c>
      <c r="U93" s="22">
        <f t="shared" si="11"/>
        <v>38</v>
      </c>
    </row>
    <row r="94" spans="1:21">
      <c r="A94" s="11">
        <v>44651</v>
      </c>
      <c r="B94" s="77">
        <v>2</v>
      </c>
      <c r="C94" s="77">
        <v>0</v>
      </c>
      <c r="D94" s="76">
        <v>3</v>
      </c>
      <c r="E94" s="77">
        <v>1</v>
      </c>
      <c r="F94" s="2">
        <v>4</v>
      </c>
      <c r="G94" s="1">
        <v>2</v>
      </c>
      <c r="H94" s="2">
        <v>3</v>
      </c>
      <c r="I94" s="1">
        <v>0</v>
      </c>
      <c r="J94" s="2">
        <v>4</v>
      </c>
      <c r="K94" s="1">
        <v>7</v>
      </c>
      <c r="L94" s="2">
        <v>4</v>
      </c>
      <c r="M94" s="1">
        <v>0</v>
      </c>
      <c r="N94" s="2">
        <v>2</v>
      </c>
      <c r="O94" s="1">
        <v>3</v>
      </c>
      <c r="P94" s="2">
        <v>1</v>
      </c>
      <c r="Q94" s="1">
        <v>2</v>
      </c>
      <c r="S94" s="21">
        <f>SUM(B94,D94,F94,H94,J94,L94,N94,P94)</f>
        <v>23</v>
      </c>
      <c r="T94" s="21">
        <f t="shared" si="10"/>
        <v>15</v>
      </c>
      <c r="U94" s="22">
        <f t="shared" si="11"/>
        <v>38</v>
      </c>
    </row>
    <row r="95" spans="1:21">
      <c r="A95" s="11">
        <v>44652</v>
      </c>
      <c r="B95" s="77">
        <v>2</v>
      </c>
      <c r="C95" s="77">
        <v>0</v>
      </c>
      <c r="D95" s="76">
        <v>3</v>
      </c>
      <c r="E95" s="77">
        <v>1</v>
      </c>
      <c r="F95" s="2">
        <v>4</v>
      </c>
      <c r="G95" s="1">
        <v>2</v>
      </c>
      <c r="H95" s="2">
        <v>3</v>
      </c>
      <c r="I95" s="1">
        <v>0</v>
      </c>
      <c r="J95" s="2">
        <v>4</v>
      </c>
      <c r="K95" s="1">
        <v>7</v>
      </c>
      <c r="L95" s="2">
        <v>4</v>
      </c>
      <c r="M95" s="1">
        <v>0</v>
      </c>
      <c r="N95" s="2">
        <v>2</v>
      </c>
      <c r="O95" s="1">
        <v>3</v>
      </c>
      <c r="P95" s="2">
        <v>1</v>
      </c>
      <c r="Q95" s="1">
        <v>2</v>
      </c>
      <c r="S95" s="21">
        <f t="shared" ref="S95:S124" si="12">SUM(B95,D95,F95,H95,J95,L95,N95,P95)</f>
        <v>23</v>
      </c>
      <c r="T95" s="21">
        <f t="shared" ref="T95:T124" si="13">SUM(C95,E95,G95,I95,K95,M95,O95,Q95)</f>
        <v>15</v>
      </c>
      <c r="U95" s="22">
        <f t="shared" si="11"/>
        <v>38</v>
      </c>
    </row>
    <row r="96" spans="1:21">
      <c r="A96" s="12">
        <v>44653</v>
      </c>
      <c r="B96" s="77">
        <v>2</v>
      </c>
      <c r="C96" s="77">
        <v>0</v>
      </c>
      <c r="D96" s="76">
        <v>3</v>
      </c>
      <c r="E96" s="77">
        <v>1</v>
      </c>
      <c r="F96" s="2">
        <v>4</v>
      </c>
      <c r="G96" s="1">
        <v>2</v>
      </c>
      <c r="H96" s="2">
        <v>3</v>
      </c>
      <c r="I96" s="1">
        <v>0</v>
      </c>
      <c r="J96" s="2">
        <v>4</v>
      </c>
      <c r="K96" s="1">
        <v>7</v>
      </c>
      <c r="L96" s="2">
        <v>4</v>
      </c>
      <c r="M96" s="1">
        <v>0</v>
      </c>
      <c r="N96" s="2">
        <v>2</v>
      </c>
      <c r="O96" s="1">
        <v>3</v>
      </c>
      <c r="P96" s="2">
        <v>1</v>
      </c>
      <c r="Q96" s="1">
        <v>2</v>
      </c>
      <c r="S96" s="21">
        <f t="shared" si="12"/>
        <v>23</v>
      </c>
      <c r="T96" s="21">
        <f t="shared" si="13"/>
        <v>15</v>
      </c>
      <c r="U96" s="22">
        <f t="shared" si="11"/>
        <v>38</v>
      </c>
    </row>
    <row r="97" spans="1:21">
      <c r="A97" s="12">
        <v>44654</v>
      </c>
      <c r="B97" s="77">
        <v>2</v>
      </c>
      <c r="C97" s="77">
        <v>0</v>
      </c>
      <c r="D97" s="76">
        <v>3</v>
      </c>
      <c r="E97" s="77">
        <v>1</v>
      </c>
      <c r="F97" s="2">
        <v>4</v>
      </c>
      <c r="G97" s="1">
        <v>2</v>
      </c>
      <c r="H97" s="2">
        <v>3</v>
      </c>
      <c r="I97" s="1">
        <v>0</v>
      </c>
      <c r="J97" s="2">
        <v>4</v>
      </c>
      <c r="K97" s="1">
        <v>7</v>
      </c>
      <c r="L97" s="2">
        <v>4</v>
      </c>
      <c r="M97" s="1">
        <v>0</v>
      </c>
      <c r="N97" s="2">
        <v>2</v>
      </c>
      <c r="O97" s="1">
        <v>3</v>
      </c>
      <c r="P97" s="2">
        <v>1</v>
      </c>
      <c r="Q97" s="1">
        <v>2</v>
      </c>
      <c r="S97" s="21">
        <f t="shared" si="12"/>
        <v>23</v>
      </c>
      <c r="T97" s="21">
        <f t="shared" si="13"/>
        <v>15</v>
      </c>
      <c r="U97" s="22">
        <f t="shared" si="11"/>
        <v>38</v>
      </c>
    </row>
    <row r="98" spans="1:21">
      <c r="A98" s="11">
        <v>44655</v>
      </c>
      <c r="B98" s="77">
        <v>2</v>
      </c>
      <c r="C98" s="77">
        <v>0</v>
      </c>
      <c r="D98" s="76">
        <v>3</v>
      </c>
      <c r="E98" s="77">
        <v>1</v>
      </c>
      <c r="F98" s="2">
        <v>4</v>
      </c>
      <c r="G98" s="1">
        <v>2</v>
      </c>
      <c r="H98" s="2">
        <v>3</v>
      </c>
      <c r="I98" s="1">
        <v>0</v>
      </c>
      <c r="J98" s="2">
        <v>4</v>
      </c>
      <c r="K98" s="1">
        <v>7</v>
      </c>
      <c r="L98" s="2">
        <v>4</v>
      </c>
      <c r="M98" s="1">
        <v>0</v>
      </c>
      <c r="N98" s="2">
        <v>2</v>
      </c>
      <c r="O98" s="1">
        <v>3</v>
      </c>
      <c r="P98" s="2">
        <v>1</v>
      </c>
      <c r="Q98" s="1">
        <v>2</v>
      </c>
      <c r="S98" s="21">
        <f t="shared" si="12"/>
        <v>23</v>
      </c>
      <c r="T98" s="21">
        <f t="shared" si="13"/>
        <v>15</v>
      </c>
      <c r="U98" s="22">
        <f t="shared" si="11"/>
        <v>38</v>
      </c>
    </row>
    <row r="99" spans="1:21">
      <c r="A99" s="11">
        <v>44656</v>
      </c>
      <c r="B99" s="77">
        <v>2</v>
      </c>
      <c r="C99" s="77">
        <v>0</v>
      </c>
      <c r="D99" s="76">
        <v>3</v>
      </c>
      <c r="E99" s="77">
        <v>1</v>
      </c>
      <c r="F99" s="2">
        <v>4</v>
      </c>
      <c r="G99" s="1">
        <v>2</v>
      </c>
      <c r="H99" s="2">
        <v>3</v>
      </c>
      <c r="I99" s="1">
        <v>0</v>
      </c>
      <c r="J99" s="2">
        <v>4</v>
      </c>
      <c r="K99" s="1">
        <v>7</v>
      </c>
      <c r="L99" s="2">
        <v>4</v>
      </c>
      <c r="M99" s="1">
        <v>0</v>
      </c>
      <c r="N99" s="2">
        <v>2</v>
      </c>
      <c r="O99" s="1">
        <v>3</v>
      </c>
      <c r="P99" s="2">
        <v>1</v>
      </c>
      <c r="Q99" s="1">
        <v>2</v>
      </c>
      <c r="S99" s="21">
        <f t="shared" si="12"/>
        <v>23</v>
      </c>
      <c r="T99" s="21">
        <f t="shared" si="13"/>
        <v>15</v>
      </c>
      <c r="U99" s="22">
        <f t="shared" si="11"/>
        <v>38</v>
      </c>
    </row>
    <row r="100" spans="1:21">
      <c r="A100" s="13">
        <v>44657</v>
      </c>
      <c r="B100" s="77">
        <v>2</v>
      </c>
      <c r="C100" s="77">
        <v>0</v>
      </c>
      <c r="D100" s="76">
        <v>3</v>
      </c>
      <c r="E100" s="77">
        <v>1</v>
      </c>
      <c r="F100" s="2">
        <v>4</v>
      </c>
      <c r="G100" s="1">
        <v>2</v>
      </c>
      <c r="H100" s="2">
        <v>3</v>
      </c>
      <c r="I100" s="1">
        <v>0</v>
      </c>
      <c r="J100" s="2">
        <v>4</v>
      </c>
      <c r="K100" s="1">
        <v>7</v>
      </c>
      <c r="L100" s="2">
        <v>4</v>
      </c>
      <c r="M100" s="1">
        <v>0</v>
      </c>
      <c r="N100" s="2">
        <v>2</v>
      </c>
      <c r="O100" s="1">
        <v>3</v>
      </c>
      <c r="P100" s="2">
        <v>1</v>
      </c>
      <c r="Q100" s="1">
        <v>2</v>
      </c>
      <c r="S100" s="21">
        <f t="shared" si="12"/>
        <v>23</v>
      </c>
      <c r="T100" s="21">
        <f t="shared" si="13"/>
        <v>15</v>
      </c>
      <c r="U100" s="22">
        <f t="shared" si="11"/>
        <v>38</v>
      </c>
    </row>
    <row r="101" spans="1:21">
      <c r="A101" s="11">
        <v>44658</v>
      </c>
      <c r="B101" s="77">
        <v>2</v>
      </c>
      <c r="C101" s="77">
        <v>0</v>
      </c>
      <c r="D101" s="76">
        <v>3</v>
      </c>
      <c r="E101" s="77">
        <v>1</v>
      </c>
      <c r="F101" s="2">
        <v>4</v>
      </c>
      <c r="G101" s="1">
        <v>2</v>
      </c>
      <c r="H101" s="2">
        <v>3</v>
      </c>
      <c r="I101" s="1">
        <v>0</v>
      </c>
      <c r="J101" s="2">
        <v>4</v>
      </c>
      <c r="K101" s="1">
        <v>7</v>
      </c>
      <c r="L101" s="2">
        <v>4</v>
      </c>
      <c r="M101" s="1">
        <v>0</v>
      </c>
      <c r="N101" s="2">
        <v>2</v>
      </c>
      <c r="O101" s="1">
        <v>3</v>
      </c>
      <c r="P101" s="2">
        <v>1</v>
      </c>
      <c r="Q101" s="1">
        <v>2</v>
      </c>
      <c r="S101" s="21">
        <f t="shared" si="12"/>
        <v>23</v>
      </c>
      <c r="T101" s="21">
        <f t="shared" si="13"/>
        <v>15</v>
      </c>
      <c r="U101" s="22">
        <f t="shared" si="11"/>
        <v>38</v>
      </c>
    </row>
    <row r="102" spans="1:21">
      <c r="A102" s="11">
        <v>44659</v>
      </c>
      <c r="B102" s="77">
        <v>2</v>
      </c>
      <c r="C102" s="77">
        <v>0</v>
      </c>
      <c r="D102" s="76">
        <v>3</v>
      </c>
      <c r="E102" s="77">
        <v>1</v>
      </c>
      <c r="F102" s="2">
        <v>4</v>
      </c>
      <c r="G102" s="1">
        <v>2</v>
      </c>
      <c r="H102" s="2">
        <v>3</v>
      </c>
      <c r="I102" s="1">
        <v>0</v>
      </c>
      <c r="J102" s="2">
        <v>4</v>
      </c>
      <c r="K102" s="1">
        <v>7</v>
      </c>
      <c r="L102" s="2">
        <v>4</v>
      </c>
      <c r="M102" s="1">
        <v>0</v>
      </c>
      <c r="N102" s="2">
        <v>2</v>
      </c>
      <c r="O102" s="1">
        <v>3</v>
      </c>
      <c r="P102" s="2">
        <v>1</v>
      </c>
      <c r="Q102" s="1">
        <v>2</v>
      </c>
      <c r="S102" s="21">
        <f t="shared" si="12"/>
        <v>23</v>
      </c>
      <c r="T102" s="21">
        <f t="shared" si="13"/>
        <v>15</v>
      </c>
      <c r="U102" s="22">
        <f t="shared" si="11"/>
        <v>38</v>
      </c>
    </row>
    <row r="103" spans="1:21">
      <c r="A103" s="12">
        <v>44660</v>
      </c>
      <c r="B103" s="77">
        <v>2</v>
      </c>
      <c r="C103" s="77">
        <v>0</v>
      </c>
      <c r="D103" s="76">
        <v>3</v>
      </c>
      <c r="E103" s="77">
        <v>1</v>
      </c>
      <c r="F103" s="2">
        <v>4</v>
      </c>
      <c r="G103" s="1">
        <v>2</v>
      </c>
      <c r="H103" s="2">
        <v>3</v>
      </c>
      <c r="I103" s="1">
        <v>0</v>
      </c>
      <c r="J103" s="2">
        <v>4</v>
      </c>
      <c r="K103" s="1">
        <v>7</v>
      </c>
      <c r="L103" s="2">
        <v>4</v>
      </c>
      <c r="M103" s="1">
        <v>0</v>
      </c>
      <c r="N103" s="2">
        <v>2</v>
      </c>
      <c r="O103" s="1">
        <v>3</v>
      </c>
      <c r="P103" s="2">
        <v>1</v>
      </c>
      <c r="Q103" s="1">
        <v>2</v>
      </c>
      <c r="S103" s="21">
        <f t="shared" si="12"/>
        <v>23</v>
      </c>
      <c r="T103" s="21">
        <f t="shared" si="13"/>
        <v>15</v>
      </c>
      <c r="U103" s="22">
        <f t="shared" si="11"/>
        <v>38</v>
      </c>
    </row>
    <row r="104" spans="1:21">
      <c r="A104" s="12">
        <v>44661</v>
      </c>
      <c r="B104" s="77">
        <v>2</v>
      </c>
      <c r="C104" s="77">
        <v>0</v>
      </c>
      <c r="D104" s="76">
        <v>3</v>
      </c>
      <c r="E104" s="77">
        <v>1</v>
      </c>
      <c r="F104" s="2">
        <v>4</v>
      </c>
      <c r="G104" s="1">
        <v>2</v>
      </c>
      <c r="H104" s="2">
        <v>3</v>
      </c>
      <c r="I104" s="1">
        <v>0</v>
      </c>
      <c r="J104" s="2">
        <v>4</v>
      </c>
      <c r="K104" s="1">
        <v>7</v>
      </c>
      <c r="L104" s="2">
        <v>4</v>
      </c>
      <c r="M104" s="1">
        <v>0</v>
      </c>
      <c r="N104" s="2">
        <v>2</v>
      </c>
      <c r="O104" s="1">
        <v>3</v>
      </c>
      <c r="P104" s="2">
        <v>1</v>
      </c>
      <c r="Q104" s="1">
        <v>2</v>
      </c>
      <c r="S104" s="21">
        <f t="shared" si="12"/>
        <v>23</v>
      </c>
      <c r="T104" s="21">
        <f t="shared" si="13"/>
        <v>15</v>
      </c>
      <c r="U104" s="22">
        <f t="shared" si="11"/>
        <v>38</v>
      </c>
    </row>
    <row r="105" spans="1:21">
      <c r="A105" s="11">
        <v>44662</v>
      </c>
      <c r="B105" s="77">
        <v>2</v>
      </c>
      <c r="C105" s="77">
        <v>0</v>
      </c>
      <c r="D105" s="76">
        <v>3</v>
      </c>
      <c r="E105" s="77">
        <v>1</v>
      </c>
      <c r="F105" s="2">
        <v>4</v>
      </c>
      <c r="G105" s="1">
        <v>2</v>
      </c>
      <c r="H105" s="2">
        <v>3</v>
      </c>
      <c r="I105" s="1">
        <v>0</v>
      </c>
      <c r="J105" s="2">
        <v>4</v>
      </c>
      <c r="K105" s="1">
        <v>7</v>
      </c>
      <c r="L105" s="2">
        <v>4</v>
      </c>
      <c r="M105" s="1">
        <v>0</v>
      </c>
      <c r="N105" s="2">
        <v>2</v>
      </c>
      <c r="O105" s="1">
        <v>3</v>
      </c>
      <c r="P105" s="2">
        <v>1</v>
      </c>
      <c r="Q105" s="1">
        <v>2</v>
      </c>
      <c r="S105" s="21">
        <f t="shared" si="12"/>
        <v>23</v>
      </c>
      <c r="T105" s="21">
        <f t="shared" si="13"/>
        <v>15</v>
      </c>
      <c r="U105" s="22">
        <f t="shared" si="11"/>
        <v>38</v>
      </c>
    </row>
    <row r="106" spans="1:21">
      <c r="A106" s="11">
        <v>44663</v>
      </c>
      <c r="B106" s="77">
        <v>2</v>
      </c>
      <c r="C106" s="77">
        <v>0</v>
      </c>
      <c r="D106" s="76">
        <v>3</v>
      </c>
      <c r="E106" s="77">
        <v>1</v>
      </c>
      <c r="F106" s="2">
        <v>4</v>
      </c>
      <c r="G106" s="1">
        <v>2</v>
      </c>
      <c r="H106" s="2">
        <v>3</v>
      </c>
      <c r="I106" s="1">
        <v>0</v>
      </c>
      <c r="J106" s="2">
        <v>4</v>
      </c>
      <c r="K106" s="1">
        <v>7</v>
      </c>
      <c r="L106" s="2">
        <v>4</v>
      </c>
      <c r="M106" s="1">
        <v>0</v>
      </c>
      <c r="N106" s="2">
        <v>2</v>
      </c>
      <c r="O106" s="1">
        <v>3</v>
      </c>
      <c r="P106" s="2">
        <v>1</v>
      </c>
      <c r="Q106" s="1">
        <v>2</v>
      </c>
      <c r="S106" s="21">
        <f t="shared" si="12"/>
        <v>23</v>
      </c>
      <c r="T106" s="21">
        <f t="shared" si="13"/>
        <v>15</v>
      </c>
      <c r="U106" s="22">
        <f t="shared" si="11"/>
        <v>38</v>
      </c>
    </row>
    <row r="107" spans="1:21">
      <c r="A107" s="13">
        <v>44664</v>
      </c>
      <c r="B107" s="77">
        <v>2</v>
      </c>
      <c r="C107" s="77">
        <v>0</v>
      </c>
      <c r="D107" s="76">
        <v>3</v>
      </c>
      <c r="E107" s="77">
        <v>1</v>
      </c>
      <c r="F107" s="2">
        <v>4</v>
      </c>
      <c r="G107" s="1">
        <v>2</v>
      </c>
      <c r="H107" s="2">
        <v>3</v>
      </c>
      <c r="I107" s="1">
        <v>0</v>
      </c>
      <c r="J107" s="2">
        <v>4</v>
      </c>
      <c r="K107" s="1">
        <v>7</v>
      </c>
      <c r="L107" s="2">
        <v>4</v>
      </c>
      <c r="M107" s="1">
        <v>0</v>
      </c>
      <c r="N107" s="2">
        <v>2</v>
      </c>
      <c r="O107" s="1">
        <v>3</v>
      </c>
      <c r="P107" s="2">
        <v>1</v>
      </c>
      <c r="Q107" s="1">
        <v>2</v>
      </c>
      <c r="S107" s="21">
        <f t="shared" si="12"/>
        <v>23</v>
      </c>
      <c r="T107" s="21">
        <f t="shared" si="13"/>
        <v>15</v>
      </c>
      <c r="U107" s="22">
        <f t="shared" si="11"/>
        <v>38</v>
      </c>
    </row>
    <row r="108" spans="1:21">
      <c r="A108" s="11">
        <v>44665</v>
      </c>
      <c r="B108" s="77">
        <v>2</v>
      </c>
      <c r="C108" s="77">
        <v>0</v>
      </c>
      <c r="D108" s="76">
        <v>3</v>
      </c>
      <c r="E108" s="77">
        <v>1</v>
      </c>
      <c r="F108" s="2">
        <v>4</v>
      </c>
      <c r="G108" s="1">
        <v>2</v>
      </c>
      <c r="H108" s="2">
        <v>3</v>
      </c>
      <c r="I108" s="1">
        <v>0</v>
      </c>
      <c r="J108" s="2">
        <v>4</v>
      </c>
      <c r="K108" s="1">
        <v>7</v>
      </c>
      <c r="L108" s="2">
        <v>4</v>
      </c>
      <c r="M108" s="1">
        <v>0</v>
      </c>
      <c r="N108" s="2">
        <v>2</v>
      </c>
      <c r="O108" s="1">
        <v>3</v>
      </c>
      <c r="P108" s="2">
        <v>1</v>
      </c>
      <c r="Q108" s="1">
        <v>2</v>
      </c>
      <c r="S108" s="21">
        <f t="shared" si="12"/>
        <v>23</v>
      </c>
      <c r="T108" s="21">
        <f t="shared" si="13"/>
        <v>15</v>
      </c>
      <c r="U108" s="22">
        <f t="shared" si="11"/>
        <v>38</v>
      </c>
    </row>
    <row r="109" spans="1:21">
      <c r="A109" s="11">
        <v>44666</v>
      </c>
      <c r="B109" s="77">
        <v>2</v>
      </c>
      <c r="C109" s="77">
        <v>0</v>
      </c>
      <c r="D109" s="76">
        <v>3</v>
      </c>
      <c r="E109" s="77">
        <v>1</v>
      </c>
      <c r="F109" s="2">
        <v>4</v>
      </c>
      <c r="G109" s="1">
        <v>2</v>
      </c>
      <c r="H109" s="2">
        <v>3</v>
      </c>
      <c r="I109" s="1">
        <v>0</v>
      </c>
      <c r="J109" s="2">
        <v>4</v>
      </c>
      <c r="K109" s="1">
        <v>7</v>
      </c>
      <c r="L109" s="2">
        <v>4</v>
      </c>
      <c r="M109" s="1">
        <v>0</v>
      </c>
      <c r="N109" s="2">
        <v>2</v>
      </c>
      <c r="O109" s="1">
        <v>3</v>
      </c>
      <c r="P109" s="2">
        <v>1</v>
      </c>
      <c r="Q109" s="1">
        <v>2</v>
      </c>
      <c r="S109" s="21">
        <f t="shared" si="12"/>
        <v>23</v>
      </c>
      <c r="T109" s="21">
        <f t="shared" si="13"/>
        <v>15</v>
      </c>
      <c r="U109" s="22">
        <f t="shared" si="11"/>
        <v>38</v>
      </c>
    </row>
    <row r="110" spans="1:21">
      <c r="A110" s="12">
        <v>44667</v>
      </c>
      <c r="B110" s="77">
        <v>2</v>
      </c>
      <c r="C110" s="77">
        <v>0</v>
      </c>
      <c r="D110" s="76">
        <v>3</v>
      </c>
      <c r="E110" s="77">
        <v>1</v>
      </c>
      <c r="F110" s="2">
        <v>4</v>
      </c>
      <c r="G110" s="1">
        <v>2</v>
      </c>
      <c r="H110" s="2">
        <v>3</v>
      </c>
      <c r="I110" s="1">
        <v>0</v>
      </c>
      <c r="J110" s="2">
        <v>4</v>
      </c>
      <c r="K110" s="1">
        <v>7</v>
      </c>
      <c r="L110" s="2">
        <v>4</v>
      </c>
      <c r="M110" s="1">
        <v>0</v>
      </c>
      <c r="N110" s="2">
        <v>2</v>
      </c>
      <c r="O110" s="1">
        <v>3</v>
      </c>
      <c r="P110" s="2">
        <v>1</v>
      </c>
      <c r="Q110" s="1">
        <v>2</v>
      </c>
      <c r="S110" s="21">
        <f t="shared" si="12"/>
        <v>23</v>
      </c>
      <c r="T110" s="21">
        <f t="shared" si="13"/>
        <v>15</v>
      </c>
      <c r="U110" s="22">
        <f t="shared" si="11"/>
        <v>38</v>
      </c>
    </row>
    <row r="111" spans="1:21">
      <c r="A111" s="12">
        <v>44668</v>
      </c>
      <c r="B111" s="77">
        <v>2</v>
      </c>
      <c r="C111" s="77">
        <v>0</v>
      </c>
      <c r="D111" s="76">
        <v>3</v>
      </c>
      <c r="E111" s="77">
        <v>1</v>
      </c>
      <c r="F111" s="2">
        <v>4</v>
      </c>
      <c r="G111" s="1">
        <v>2</v>
      </c>
      <c r="H111" s="2">
        <v>3</v>
      </c>
      <c r="I111" s="1">
        <v>0</v>
      </c>
      <c r="J111" s="2">
        <v>4</v>
      </c>
      <c r="K111" s="1">
        <v>7</v>
      </c>
      <c r="L111" s="2">
        <v>4</v>
      </c>
      <c r="M111" s="1">
        <v>0</v>
      </c>
      <c r="N111" s="2">
        <v>2</v>
      </c>
      <c r="O111" s="1">
        <v>3</v>
      </c>
      <c r="P111" s="2">
        <v>1</v>
      </c>
      <c r="Q111" s="1">
        <v>2</v>
      </c>
      <c r="S111" s="21">
        <f t="shared" si="12"/>
        <v>23</v>
      </c>
      <c r="T111" s="21">
        <f t="shared" si="13"/>
        <v>15</v>
      </c>
      <c r="U111" s="22">
        <f t="shared" si="11"/>
        <v>38</v>
      </c>
    </row>
    <row r="112" spans="1:21">
      <c r="A112" s="11">
        <v>44669</v>
      </c>
      <c r="B112" s="77">
        <v>2</v>
      </c>
      <c r="C112" s="77">
        <v>0</v>
      </c>
      <c r="D112" s="76">
        <v>3</v>
      </c>
      <c r="E112" s="77">
        <v>1</v>
      </c>
      <c r="F112" s="2">
        <v>4</v>
      </c>
      <c r="G112" s="1">
        <v>2</v>
      </c>
      <c r="H112" s="2">
        <v>3</v>
      </c>
      <c r="I112" s="1">
        <v>0</v>
      </c>
      <c r="J112" s="2">
        <v>4</v>
      </c>
      <c r="K112" s="1">
        <v>7</v>
      </c>
      <c r="L112" s="2">
        <v>4</v>
      </c>
      <c r="M112" s="1">
        <v>0</v>
      </c>
      <c r="N112" s="2">
        <v>2</v>
      </c>
      <c r="O112" s="1">
        <v>3</v>
      </c>
      <c r="P112" s="2">
        <v>1</v>
      </c>
      <c r="Q112" s="1">
        <v>2</v>
      </c>
      <c r="S112" s="21">
        <f t="shared" si="12"/>
        <v>23</v>
      </c>
      <c r="T112" s="21">
        <f t="shared" si="13"/>
        <v>15</v>
      </c>
      <c r="U112" s="22">
        <f t="shared" si="11"/>
        <v>38</v>
      </c>
    </row>
    <row r="113" spans="1:21">
      <c r="A113" s="11">
        <v>44670</v>
      </c>
      <c r="B113" s="77">
        <v>2</v>
      </c>
      <c r="C113" s="77">
        <v>0</v>
      </c>
      <c r="D113" s="76">
        <v>3</v>
      </c>
      <c r="E113" s="77">
        <v>1</v>
      </c>
      <c r="F113" s="2">
        <v>4</v>
      </c>
      <c r="G113" s="1">
        <v>2</v>
      </c>
      <c r="H113" s="2">
        <v>3</v>
      </c>
      <c r="I113" s="1">
        <v>0</v>
      </c>
      <c r="J113" s="2">
        <v>4</v>
      </c>
      <c r="K113" s="1">
        <v>7</v>
      </c>
      <c r="L113" s="2">
        <v>4</v>
      </c>
      <c r="M113" s="1">
        <v>0</v>
      </c>
      <c r="N113" s="2">
        <v>2</v>
      </c>
      <c r="O113" s="1">
        <v>3</v>
      </c>
      <c r="P113" s="2">
        <v>1</v>
      </c>
      <c r="Q113" s="1">
        <v>2</v>
      </c>
      <c r="S113" s="21">
        <f t="shared" si="12"/>
        <v>23</v>
      </c>
      <c r="T113" s="21">
        <f t="shared" si="13"/>
        <v>15</v>
      </c>
      <c r="U113" s="22">
        <f t="shared" si="11"/>
        <v>38</v>
      </c>
    </row>
    <row r="114" spans="1:21">
      <c r="A114" s="13">
        <v>44671</v>
      </c>
      <c r="B114" s="77">
        <v>2</v>
      </c>
      <c r="C114" s="77">
        <v>0</v>
      </c>
      <c r="D114" s="76">
        <v>3</v>
      </c>
      <c r="E114" s="77">
        <v>1</v>
      </c>
      <c r="F114" s="2">
        <v>4</v>
      </c>
      <c r="G114" s="1">
        <v>2</v>
      </c>
      <c r="H114" s="2">
        <v>3</v>
      </c>
      <c r="I114" s="1">
        <v>0</v>
      </c>
      <c r="J114" s="2">
        <v>4</v>
      </c>
      <c r="K114" s="1">
        <v>7</v>
      </c>
      <c r="L114" s="2">
        <v>4</v>
      </c>
      <c r="M114" s="1">
        <v>0</v>
      </c>
      <c r="N114" s="2">
        <v>2</v>
      </c>
      <c r="O114" s="1">
        <v>3</v>
      </c>
      <c r="P114" s="2">
        <v>1</v>
      </c>
      <c r="Q114" s="1">
        <v>2</v>
      </c>
      <c r="S114" s="21">
        <f t="shared" si="12"/>
        <v>23</v>
      </c>
      <c r="T114" s="21">
        <f t="shared" si="13"/>
        <v>15</v>
      </c>
      <c r="U114" s="22">
        <f t="shared" si="11"/>
        <v>38</v>
      </c>
    </row>
    <row r="115" spans="1:21">
      <c r="A115" s="11">
        <v>44672</v>
      </c>
      <c r="B115" s="77">
        <v>2</v>
      </c>
      <c r="C115" s="77">
        <v>0</v>
      </c>
      <c r="D115" s="76">
        <v>3</v>
      </c>
      <c r="E115" s="77">
        <v>1</v>
      </c>
      <c r="F115" s="2">
        <v>4</v>
      </c>
      <c r="G115" s="1">
        <v>2</v>
      </c>
      <c r="H115" s="2">
        <v>3</v>
      </c>
      <c r="I115" s="1">
        <v>0</v>
      </c>
      <c r="J115" s="2">
        <v>4</v>
      </c>
      <c r="K115" s="1">
        <v>7</v>
      </c>
      <c r="L115" s="2">
        <v>4</v>
      </c>
      <c r="M115" s="1">
        <v>0</v>
      </c>
      <c r="N115" s="2">
        <v>2</v>
      </c>
      <c r="O115" s="1">
        <v>3</v>
      </c>
      <c r="P115" s="2">
        <v>1</v>
      </c>
      <c r="Q115" s="1">
        <v>2</v>
      </c>
      <c r="S115" s="21">
        <f t="shared" si="12"/>
        <v>23</v>
      </c>
      <c r="T115" s="21">
        <f t="shared" si="13"/>
        <v>15</v>
      </c>
      <c r="U115" s="22">
        <f t="shared" si="11"/>
        <v>38</v>
      </c>
    </row>
    <row r="116" spans="1:21">
      <c r="A116" s="11">
        <v>44673</v>
      </c>
      <c r="B116" s="77">
        <v>2</v>
      </c>
      <c r="C116" s="77">
        <v>0</v>
      </c>
      <c r="D116" s="76">
        <v>3</v>
      </c>
      <c r="E116" s="77">
        <v>1</v>
      </c>
      <c r="F116" s="2">
        <v>4</v>
      </c>
      <c r="G116" s="1">
        <v>2</v>
      </c>
      <c r="H116" s="2">
        <v>3</v>
      </c>
      <c r="I116" s="1">
        <v>0</v>
      </c>
      <c r="J116" s="2">
        <v>4</v>
      </c>
      <c r="K116" s="1">
        <v>7</v>
      </c>
      <c r="L116" s="2">
        <v>4</v>
      </c>
      <c r="M116" s="1">
        <v>0</v>
      </c>
      <c r="N116" s="2">
        <v>2</v>
      </c>
      <c r="O116" s="1">
        <v>3</v>
      </c>
      <c r="P116" s="2">
        <v>1</v>
      </c>
      <c r="Q116" s="1">
        <v>2</v>
      </c>
      <c r="S116" s="21">
        <f t="shared" si="12"/>
        <v>23</v>
      </c>
      <c r="T116" s="21">
        <f t="shared" si="13"/>
        <v>15</v>
      </c>
      <c r="U116" s="22">
        <f t="shared" si="11"/>
        <v>38</v>
      </c>
    </row>
    <row r="117" spans="1:21">
      <c r="A117" s="12">
        <v>44674</v>
      </c>
      <c r="B117" s="77">
        <v>2</v>
      </c>
      <c r="C117" s="77">
        <v>0</v>
      </c>
      <c r="D117" s="76">
        <v>3</v>
      </c>
      <c r="E117" s="77">
        <v>1</v>
      </c>
      <c r="F117" s="2">
        <v>4</v>
      </c>
      <c r="G117" s="1">
        <v>2</v>
      </c>
      <c r="H117" s="2">
        <v>3</v>
      </c>
      <c r="I117" s="1">
        <v>0</v>
      </c>
      <c r="J117" s="2">
        <v>4</v>
      </c>
      <c r="K117" s="1">
        <v>7</v>
      </c>
      <c r="L117" s="2">
        <v>4</v>
      </c>
      <c r="M117" s="1">
        <v>0</v>
      </c>
      <c r="N117" s="2">
        <v>2</v>
      </c>
      <c r="O117" s="1">
        <v>3</v>
      </c>
      <c r="P117" s="2">
        <v>1</v>
      </c>
      <c r="Q117" s="1">
        <v>2</v>
      </c>
      <c r="S117" s="21">
        <f t="shared" si="12"/>
        <v>23</v>
      </c>
      <c r="T117" s="21">
        <f t="shared" si="13"/>
        <v>15</v>
      </c>
      <c r="U117" s="22">
        <f t="shared" si="11"/>
        <v>38</v>
      </c>
    </row>
    <row r="118" spans="1:21">
      <c r="A118" s="12">
        <v>44675</v>
      </c>
      <c r="B118" s="77">
        <v>2</v>
      </c>
      <c r="C118" s="77">
        <v>0</v>
      </c>
      <c r="D118" s="76">
        <v>3</v>
      </c>
      <c r="E118" s="77">
        <v>1</v>
      </c>
      <c r="F118" s="2">
        <v>4</v>
      </c>
      <c r="G118" s="1">
        <v>2</v>
      </c>
      <c r="H118" s="2">
        <v>3</v>
      </c>
      <c r="I118" s="1">
        <v>0</v>
      </c>
      <c r="J118" s="2">
        <v>4</v>
      </c>
      <c r="K118" s="1">
        <v>7</v>
      </c>
      <c r="L118" s="2">
        <v>4</v>
      </c>
      <c r="M118" s="1">
        <v>0</v>
      </c>
      <c r="N118" s="2">
        <v>2</v>
      </c>
      <c r="O118" s="1">
        <v>3</v>
      </c>
      <c r="P118" s="2">
        <v>1</v>
      </c>
      <c r="Q118" s="1">
        <v>2</v>
      </c>
      <c r="S118" s="21">
        <f t="shared" si="12"/>
        <v>23</v>
      </c>
      <c r="T118" s="21">
        <f t="shared" si="13"/>
        <v>15</v>
      </c>
      <c r="U118" s="22">
        <f t="shared" si="11"/>
        <v>38</v>
      </c>
    </row>
    <row r="119" spans="1:21">
      <c r="A119" s="11">
        <v>44676</v>
      </c>
      <c r="B119" s="77">
        <v>2</v>
      </c>
      <c r="C119" s="77">
        <v>0</v>
      </c>
      <c r="D119" s="76">
        <v>3</v>
      </c>
      <c r="E119" s="77">
        <v>1</v>
      </c>
      <c r="F119" s="2">
        <v>4</v>
      </c>
      <c r="G119" s="1">
        <v>2</v>
      </c>
      <c r="H119" s="2">
        <v>3</v>
      </c>
      <c r="I119" s="1">
        <v>0</v>
      </c>
      <c r="J119" s="2">
        <v>4</v>
      </c>
      <c r="K119" s="1">
        <v>7</v>
      </c>
      <c r="L119" s="2">
        <v>4</v>
      </c>
      <c r="M119" s="1">
        <v>0</v>
      </c>
      <c r="N119" s="2">
        <v>2</v>
      </c>
      <c r="O119" s="1">
        <v>3</v>
      </c>
      <c r="P119" s="2">
        <v>1</v>
      </c>
      <c r="Q119" s="1">
        <v>2</v>
      </c>
      <c r="S119" s="21">
        <f t="shared" si="12"/>
        <v>23</v>
      </c>
      <c r="T119" s="21">
        <f t="shared" si="13"/>
        <v>15</v>
      </c>
      <c r="U119" s="22">
        <f t="shared" si="11"/>
        <v>38</v>
      </c>
    </row>
    <row r="120" spans="1:21">
      <c r="A120" s="11">
        <v>44677</v>
      </c>
      <c r="B120" s="77">
        <v>2</v>
      </c>
      <c r="C120" s="77">
        <v>0</v>
      </c>
      <c r="D120" s="76">
        <v>3</v>
      </c>
      <c r="E120" s="77">
        <v>1</v>
      </c>
      <c r="F120" s="2">
        <v>4</v>
      </c>
      <c r="G120" s="1">
        <v>2</v>
      </c>
      <c r="H120" s="2">
        <v>3</v>
      </c>
      <c r="I120" s="1">
        <v>0</v>
      </c>
      <c r="J120" s="2">
        <v>4</v>
      </c>
      <c r="K120" s="1">
        <v>7</v>
      </c>
      <c r="L120" s="2">
        <v>4</v>
      </c>
      <c r="M120" s="1">
        <v>0</v>
      </c>
      <c r="N120" s="2">
        <v>2</v>
      </c>
      <c r="O120" s="1">
        <v>3</v>
      </c>
      <c r="P120" s="2">
        <v>1</v>
      </c>
      <c r="Q120" s="1">
        <v>2</v>
      </c>
      <c r="S120" s="21">
        <f t="shared" si="12"/>
        <v>23</v>
      </c>
      <c r="T120" s="21">
        <f t="shared" si="13"/>
        <v>15</v>
      </c>
      <c r="U120" s="22">
        <f t="shared" si="11"/>
        <v>38</v>
      </c>
    </row>
    <row r="121" spans="1:21">
      <c r="A121" s="13">
        <v>44678</v>
      </c>
      <c r="B121" s="77">
        <v>2</v>
      </c>
      <c r="C121" s="77">
        <v>0</v>
      </c>
      <c r="D121" s="76">
        <v>3</v>
      </c>
      <c r="E121" s="77">
        <v>1</v>
      </c>
      <c r="F121" s="2">
        <v>4</v>
      </c>
      <c r="G121" s="1">
        <v>2</v>
      </c>
      <c r="H121" s="2">
        <v>3</v>
      </c>
      <c r="I121" s="1">
        <v>0</v>
      </c>
      <c r="J121" s="2">
        <v>4</v>
      </c>
      <c r="K121" s="1">
        <v>7</v>
      </c>
      <c r="L121" s="2">
        <v>4</v>
      </c>
      <c r="M121" s="1">
        <v>0</v>
      </c>
      <c r="N121" s="2">
        <v>2</v>
      </c>
      <c r="O121" s="1">
        <v>3</v>
      </c>
      <c r="P121" s="2">
        <v>1</v>
      </c>
      <c r="Q121" s="1">
        <v>2</v>
      </c>
      <c r="S121" s="21">
        <f t="shared" si="12"/>
        <v>23</v>
      </c>
      <c r="T121" s="21">
        <f t="shared" si="13"/>
        <v>15</v>
      </c>
      <c r="U121" s="22">
        <f t="shared" si="11"/>
        <v>38</v>
      </c>
    </row>
    <row r="122" spans="1:21">
      <c r="A122" s="11">
        <v>44679</v>
      </c>
      <c r="B122" s="77">
        <v>2</v>
      </c>
      <c r="C122" s="77">
        <v>0</v>
      </c>
      <c r="D122" s="76">
        <v>3</v>
      </c>
      <c r="E122" s="77">
        <v>1</v>
      </c>
      <c r="F122" s="2">
        <v>4</v>
      </c>
      <c r="G122" s="1">
        <v>2</v>
      </c>
      <c r="H122" s="2">
        <v>3</v>
      </c>
      <c r="I122" s="1">
        <v>0</v>
      </c>
      <c r="J122" s="2">
        <v>4</v>
      </c>
      <c r="K122" s="1">
        <v>7</v>
      </c>
      <c r="L122" s="2">
        <v>4</v>
      </c>
      <c r="M122" s="1">
        <v>0</v>
      </c>
      <c r="N122" s="2">
        <v>2</v>
      </c>
      <c r="O122" s="1">
        <v>3</v>
      </c>
      <c r="P122" s="2">
        <v>1</v>
      </c>
      <c r="Q122" s="1">
        <v>2</v>
      </c>
      <c r="S122" s="21">
        <f t="shared" si="12"/>
        <v>23</v>
      </c>
      <c r="T122" s="21">
        <f t="shared" si="13"/>
        <v>15</v>
      </c>
      <c r="U122" s="22">
        <f t="shared" si="11"/>
        <v>38</v>
      </c>
    </row>
    <row r="123" spans="1:21">
      <c r="A123" s="11">
        <v>44680</v>
      </c>
      <c r="B123" s="77">
        <v>2</v>
      </c>
      <c r="C123" s="77">
        <v>0</v>
      </c>
      <c r="D123" s="76">
        <v>3</v>
      </c>
      <c r="E123" s="77">
        <v>1</v>
      </c>
      <c r="F123" s="2">
        <v>4</v>
      </c>
      <c r="G123" s="1">
        <v>2</v>
      </c>
      <c r="H123" s="2">
        <v>3</v>
      </c>
      <c r="I123" s="1">
        <v>0</v>
      </c>
      <c r="J123" s="2">
        <v>4</v>
      </c>
      <c r="K123" s="1">
        <v>7</v>
      </c>
      <c r="L123" s="2">
        <v>4</v>
      </c>
      <c r="M123" s="1">
        <v>0</v>
      </c>
      <c r="N123" s="2">
        <v>2</v>
      </c>
      <c r="O123" s="1">
        <v>3</v>
      </c>
      <c r="P123" s="2">
        <v>1</v>
      </c>
      <c r="Q123" s="1">
        <v>2</v>
      </c>
      <c r="S123" s="21">
        <f t="shared" si="12"/>
        <v>23</v>
      </c>
      <c r="T123" s="21">
        <f t="shared" si="13"/>
        <v>15</v>
      </c>
      <c r="U123" s="22">
        <f t="shared" si="11"/>
        <v>38</v>
      </c>
    </row>
    <row r="124" spans="1:21">
      <c r="A124" s="12">
        <v>44681</v>
      </c>
      <c r="B124" s="77">
        <v>2</v>
      </c>
      <c r="C124" s="77">
        <v>0</v>
      </c>
      <c r="D124" s="76">
        <v>3</v>
      </c>
      <c r="E124" s="77">
        <v>1</v>
      </c>
      <c r="F124" s="2">
        <v>4</v>
      </c>
      <c r="G124" s="1">
        <v>2</v>
      </c>
      <c r="H124" s="2">
        <v>3</v>
      </c>
      <c r="I124" s="1">
        <v>0</v>
      </c>
      <c r="J124" s="2">
        <v>4</v>
      </c>
      <c r="K124" s="1">
        <v>7</v>
      </c>
      <c r="L124" s="2">
        <v>4</v>
      </c>
      <c r="M124" s="1">
        <v>0</v>
      </c>
      <c r="N124" s="2">
        <v>2</v>
      </c>
      <c r="O124" s="1">
        <v>3</v>
      </c>
      <c r="P124" s="2">
        <v>1</v>
      </c>
      <c r="Q124" s="1">
        <v>2</v>
      </c>
      <c r="S124" s="21">
        <f t="shared" si="12"/>
        <v>23</v>
      </c>
      <c r="T124" s="21">
        <f t="shared" si="13"/>
        <v>15</v>
      </c>
      <c r="U124" s="22">
        <f t="shared" si="11"/>
        <v>38</v>
      </c>
    </row>
    <row r="125" spans="1:21">
      <c r="A125" s="12">
        <v>44682</v>
      </c>
      <c r="B125" s="77">
        <v>2</v>
      </c>
      <c r="C125" s="77">
        <v>0</v>
      </c>
      <c r="D125" s="76">
        <v>3</v>
      </c>
      <c r="E125" s="77">
        <v>1</v>
      </c>
      <c r="F125" s="2">
        <v>4</v>
      </c>
      <c r="G125" s="1">
        <v>2</v>
      </c>
      <c r="H125" s="2">
        <v>3</v>
      </c>
      <c r="I125" s="1">
        <v>0</v>
      </c>
      <c r="J125" s="2">
        <v>4</v>
      </c>
      <c r="K125" s="1">
        <v>7</v>
      </c>
      <c r="L125" s="2">
        <v>4</v>
      </c>
      <c r="M125" s="1">
        <v>0</v>
      </c>
      <c r="N125" s="2">
        <v>2</v>
      </c>
      <c r="O125" s="1">
        <v>3</v>
      </c>
      <c r="P125" s="2">
        <v>1</v>
      </c>
      <c r="Q125" s="1">
        <v>2</v>
      </c>
      <c r="S125" s="21">
        <f t="shared" ref="S125:S185" si="14">SUM(B125,D125,F125,H125,J125,L125,N125,P125)</f>
        <v>23</v>
      </c>
      <c r="T125" s="21">
        <f t="shared" ref="T125:T185" si="15">SUM(C125,E125,G125,I125,K125,M125,O125,Q125)</f>
        <v>15</v>
      </c>
      <c r="U125" s="22">
        <f t="shared" si="11"/>
        <v>38</v>
      </c>
    </row>
    <row r="126" spans="1:21">
      <c r="A126" s="11">
        <v>44683</v>
      </c>
      <c r="B126" s="77">
        <v>2</v>
      </c>
      <c r="C126" s="77">
        <v>0</v>
      </c>
      <c r="D126" s="76">
        <v>3</v>
      </c>
      <c r="E126" s="77">
        <v>1</v>
      </c>
      <c r="F126" s="2">
        <v>4</v>
      </c>
      <c r="G126" s="1">
        <v>2</v>
      </c>
      <c r="H126" s="2">
        <v>3</v>
      </c>
      <c r="I126" s="1">
        <v>0</v>
      </c>
      <c r="J126" s="2">
        <v>4</v>
      </c>
      <c r="K126" s="1">
        <v>7</v>
      </c>
      <c r="L126" s="2">
        <v>4</v>
      </c>
      <c r="M126" s="1">
        <v>0</v>
      </c>
      <c r="N126" s="2">
        <v>2</v>
      </c>
      <c r="O126" s="1">
        <v>3</v>
      </c>
      <c r="P126" s="2">
        <v>1</v>
      </c>
      <c r="Q126" s="1">
        <v>2</v>
      </c>
      <c r="S126" s="21">
        <f t="shared" si="14"/>
        <v>23</v>
      </c>
      <c r="T126" s="21">
        <f t="shared" si="15"/>
        <v>15</v>
      </c>
      <c r="U126" s="22">
        <f t="shared" si="11"/>
        <v>38</v>
      </c>
    </row>
    <row r="127" spans="1:21">
      <c r="A127" s="11">
        <v>44684</v>
      </c>
      <c r="B127" s="77">
        <v>2</v>
      </c>
      <c r="C127" s="77">
        <v>0</v>
      </c>
      <c r="D127" s="76">
        <v>3</v>
      </c>
      <c r="E127" s="77">
        <v>1</v>
      </c>
      <c r="F127" s="2">
        <v>4</v>
      </c>
      <c r="G127" s="1">
        <v>2</v>
      </c>
      <c r="H127" s="2">
        <v>3</v>
      </c>
      <c r="I127" s="1">
        <v>0</v>
      </c>
      <c r="J127" s="2">
        <v>4</v>
      </c>
      <c r="K127" s="1">
        <v>7</v>
      </c>
      <c r="L127" s="2">
        <v>4</v>
      </c>
      <c r="M127" s="1">
        <v>0</v>
      </c>
      <c r="N127" s="2">
        <v>2</v>
      </c>
      <c r="O127" s="1">
        <v>3</v>
      </c>
      <c r="P127" s="2">
        <v>1</v>
      </c>
      <c r="Q127" s="1">
        <v>2</v>
      </c>
      <c r="S127" s="21">
        <f t="shared" si="14"/>
        <v>23</v>
      </c>
      <c r="T127" s="21">
        <f t="shared" si="15"/>
        <v>15</v>
      </c>
      <c r="U127" s="22">
        <f t="shared" si="11"/>
        <v>38</v>
      </c>
    </row>
    <row r="128" spans="1:21">
      <c r="A128" s="13">
        <v>44685</v>
      </c>
      <c r="B128" s="77">
        <v>2</v>
      </c>
      <c r="C128" s="77">
        <v>0</v>
      </c>
      <c r="D128" s="76">
        <v>3</v>
      </c>
      <c r="E128" s="77">
        <v>1</v>
      </c>
      <c r="F128" s="2">
        <v>4</v>
      </c>
      <c r="G128" s="1">
        <v>2</v>
      </c>
      <c r="H128" s="2">
        <v>3</v>
      </c>
      <c r="I128" s="1">
        <v>0</v>
      </c>
      <c r="J128" s="2">
        <v>4</v>
      </c>
      <c r="K128" s="1">
        <v>7</v>
      </c>
      <c r="L128" s="2">
        <v>4</v>
      </c>
      <c r="M128" s="1">
        <v>0</v>
      </c>
      <c r="N128" s="2">
        <v>2</v>
      </c>
      <c r="O128" s="1">
        <v>3</v>
      </c>
      <c r="P128" s="2">
        <v>1</v>
      </c>
      <c r="Q128" s="1">
        <v>2</v>
      </c>
      <c r="S128" s="21">
        <f t="shared" si="14"/>
        <v>23</v>
      </c>
      <c r="T128" s="21">
        <f t="shared" si="15"/>
        <v>15</v>
      </c>
      <c r="U128" s="22">
        <f t="shared" si="11"/>
        <v>38</v>
      </c>
    </row>
    <row r="129" spans="1:21">
      <c r="A129" s="11">
        <v>44686</v>
      </c>
      <c r="B129" s="77">
        <v>2</v>
      </c>
      <c r="C129" s="77">
        <v>0</v>
      </c>
      <c r="D129" s="76">
        <v>3</v>
      </c>
      <c r="E129" s="77">
        <v>1</v>
      </c>
      <c r="F129" s="2">
        <v>4</v>
      </c>
      <c r="G129" s="1">
        <v>2</v>
      </c>
      <c r="H129" s="2">
        <v>3</v>
      </c>
      <c r="I129" s="1">
        <v>0</v>
      </c>
      <c r="J129" s="2">
        <v>4</v>
      </c>
      <c r="K129" s="1">
        <v>7</v>
      </c>
      <c r="L129" s="2">
        <v>4</v>
      </c>
      <c r="M129" s="1">
        <v>0</v>
      </c>
      <c r="N129" s="2">
        <v>2</v>
      </c>
      <c r="O129" s="1">
        <v>3</v>
      </c>
      <c r="P129" s="2">
        <v>1</v>
      </c>
      <c r="Q129" s="1">
        <v>2</v>
      </c>
      <c r="S129" s="21">
        <f t="shared" si="14"/>
        <v>23</v>
      </c>
      <c r="T129" s="21">
        <f t="shared" si="15"/>
        <v>15</v>
      </c>
      <c r="U129" s="22">
        <f t="shared" si="11"/>
        <v>38</v>
      </c>
    </row>
    <row r="130" spans="1:21">
      <c r="A130" s="11">
        <v>44687</v>
      </c>
      <c r="B130" s="77">
        <v>2</v>
      </c>
      <c r="C130" s="77">
        <v>0</v>
      </c>
      <c r="D130" s="76">
        <v>3</v>
      </c>
      <c r="E130" s="77">
        <v>1</v>
      </c>
      <c r="F130" s="2">
        <v>4</v>
      </c>
      <c r="G130" s="1">
        <v>2</v>
      </c>
      <c r="H130" s="2">
        <v>3</v>
      </c>
      <c r="I130" s="1">
        <v>0</v>
      </c>
      <c r="J130" s="2">
        <v>4</v>
      </c>
      <c r="K130" s="1">
        <v>7</v>
      </c>
      <c r="L130" s="2">
        <v>4</v>
      </c>
      <c r="M130" s="1">
        <v>0</v>
      </c>
      <c r="N130" s="2">
        <v>2</v>
      </c>
      <c r="O130" s="1">
        <v>3</v>
      </c>
      <c r="P130" s="2">
        <v>1</v>
      </c>
      <c r="Q130" s="1">
        <v>2</v>
      </c>
      <c r="S130" s="21">
        <f t="shared" si="14"/>
        <v>23</v>
      </c>
      <c r="T130" s="21">
        <f t="shared" si="15"/>
        <v>15</v>
      </c>
      <c r="U130" s="22">
        <f t="shared" si="11"/>
        <v>38</v>
      </c>
    </row>
    <row r="131" spans="1:21">
      <c r="A131" s="12">
        <v>44688</v>
      </c>
      <c r="B131" s="77">
        <v>2</v>
      </c>
      <c r="C131" s="77">
        <v>0</v>
      </c>
      <c r="D131" s="76">
        <v>3</v>
      </c>
      <c r="E131" s="77">
        <v>1</v>
      </c>
      <c r="F131" s="2">
        <v>4</v>
      </c>
      <c r="G131" s="1">
        <v>2</v>
      </c>
      <c r="H131" s="2">
        <v>3</v>
      </c>
      <c r="I131" s="1">
        <v>0</v>
      </c>
      <c r="J131" s="2">
        <v>4</v>
      </c>
      <c r="K131" s="1">
        <v>7</v>
      </c>
      <c r="L131" s="2">
        <v>4</v>
      </c>
      <c r="M131" s="1">
        <v>0</v>
      </c>
      <c r="N131" s="2">
        <v>2</v>
      </c>
      <c r="O131" s="1">
        <v>3</v>
      </c>
      <c r="P131" s="2">
        <v>1</v>
      </c>
      <c r="Q131" s="1">
        <v>2</v>
      </c>
      <c r="S131" s="21">
        <f t="shared" si="14"/>
        <v>23</v>
      </c>
      <c r="T131" s="21">
        <f t="shared" si="15"/>
        <v>15</v>
      </c>
      <c r="U131" s="22">
        <f t="shared" si="11"/>
        <v>38</v>
      </c>
    </row>
    <row r="132" spans="1:21">
      <c r="A132" s="12">
        <v>44689</v>
      </c>
      <c r="B132" s="77">
        <v>2</v>
      </c>
      <c r="C132" s="77">
        <v>0</v>
      </c>
      <c r="D132" s="76">
        <v>3</v>
      </c>
      <c r="E132" s="77">
        <v>1</v>
      </c>
      <c r="F132" s="2">
        <v>4</v>
      </c>
      <c r="G132" s="1">
        <v>2</v>
      </c>
      <c r="H132" s="2">
        <v>3</v>
      </c>
      <c r="I132" s="1">
        <v>0</v>
      </c>
      <c r="J132" s="2">
        <v>4</v>
      </c>
      <c r="K132" s="1">
        <v>7</v>
      </c>
      <c r="L132" s="2">
        <v>4</v>
      </c>
      <c r="M132" s="1">
        <v>0</v>
      </c>
      <c r="N132" s="2">
        <v>2</v>
      </c>
      <c r="O132" s="1">
        <v>3</v>
      </c>
      <c r="P132" s="2">
        <v>1</v>
      </c>
      <c r="Q132" s="1">
        <v>2</v>
      </c>
      <c r="S132" s="21">
        <f t="shared" si="14"/>
        <v>23</v>
      </c>
      <c r="T132" s="21">
        <f t="shared" si="15"/>
        <v>15</v>
      </c>
      <c r="U132" s="22">
        <f t="shared" si="11"/>
        <v>38</v>
      </c>
    </row>
    <row r="133" spans="1:21">
      <c r="A133" s="11">
        <v>44690</v>
      </c>
      <c r="B133" s="77">
        <v>2</v>
      </c>
      <c r="C133" s="77">
        <v>0</v>
      </c>
      <c r="D133" s="76">
        <v>3</v>
      </c>
      <c r="E133" s="77">
        <v>1</v>
      </c>
      <c r="F133" s="2">
        <v>4</v>
      </c>
      <c r="G133" s="1">
        <v>2</v>
      </c>
      <c r="H133" s="2">
        <v>3</v>
      </c>
      <c r="I133" s="1">
        <v>0</v>
      </c>
      <c r="J133" s="2">
        <v>4</v>
      </c>
      <c r="K133" s="1">
        <v>7</v>
      </c>
      <c r="L133" s="2">
        <v>4</v>
      </c>
      <c r="M133" s="1">
        <v>0</v>
      </c>
      <c r="N133" s="2">
        <v>2</v>
      </c>
      <c r="O133" s="1">
        <v>3</v>
      </c>
      <c r="P133" s="2">
        <v>1</v>
      </c>
      <c r="Q133" s="1">
        <v>2</v>
      </c>
      <c r="S133" s="21">
        <f t="shared" si="14"/>
        <v>23</v>
      </c>
      <c r="T133" s="21">
        <f t="shared" si="15"/>
        <v>15</v>
      </c>
      <c r="U133" s="22">
        <f t="shared" si="11"/>
        <v>38</v>
      </c>
    </row>
    <row r="134" spans="1:21">
      <c r="A134" s="11">
        <v>44691</v>
      </c>
      <c r="B134" s="77">
        <v>2</v>
      </c>
      <c r="C134" s="77">
        <v>0</v>
      </c>
      <c r="D134" s="76">
        <v>3</v>
      </c>
      <c r="E134" s="77">
        <v>1</v>
      </c>
      <c r="F134" s="2">
        <v>4</v>
      </c>
      <c r="G134" s="1">
        <v>2</v>
      </c>
      <c r="H134" s="2">
        <v>3</v>
      </c>
      <c r="I134" s="1">
        <v>0</v>
      </c>
      <c r="J134" s="2">
        <v>4</v>
      </c>
      <c r="K134" s="1">
        <v>7</v>
      </c>
      <c r="L134" s="2">
        <v>4</v>
      </c>
      <c r="M134" s="1">
        <v>0</v>
      </c>
      <c r="N134" s="2">
        <v>2</v>
      </c>
      <c r="O134" s="1">
        <v>3</v>
      </c>
      <c r="P134" s="2">
        <v>1</v>
      </c>
      <c r="Q134" s="1">
        <v>2</v>
      </c>
      <c r="S134" s="21">
        <f t="shared" si="14"/>
        <v>23</v>
      </c>
      <c r="T134" s="21">
        <f t="shared" si="15"/>
        <v>15</v>
      </c>
      <c r="U134" s="22">
        <f t="shared" ref="U134:U185" si="16">SUM(S134:T134)</f>
        <v>38</v>
      </c>
    </row>
    <row r="135" spans="1:21">
      <c r="A135" s="13">
        <v>44692</v>
      </c>
      <c r="B135" s="77">
        <v>2</v>
      </c>
      <c r="C135" s="77">
        <v>0</v>
      </c>
      <c r="D135" s="76">
        <v>3</v>
      </c>
      <c r="E135" s="77">
        <v>1</v>
      </c>
      <c r="F135" s="2">
        <v>4</v>
      </c>
      <c r="G135" s="1">
        <v>2</v>
      </c>
      <c r="H135" s="2">
        <v>3</v>
      </c>
      <c r="I135" s="1">
        <v>0</v>
      </c>
      <c r="J135" s="2">
        <v>4</v>
      </c>
      <c r="K135" s="1">
        <v>7</v>
      </c>
      <c r="L135" s="2">
        <v>4</v>
      </c>
      <c r="M135" s="1">
        <v>0</v>
      </c>
      <c r="N135" s="2">
        <v>2</v>
      </c>
      <c r="O135" s="1">
        <v>3</v>
      </c>
      <c r="P135" s="2">
        <v>1</v>
      </c>
      <c r="Q135" s="1">
        <v>2</v>
      </c>
      <c r="S135" s="21">
        <f t="shared" si="14"/>
        <v>23</v>
      </c>
      <c r="T135" s="21">
        <f t="shared" si="15"/>
        <v>15</v>
      </c>
      <c r="U135" s="22">
        <f t="shared" si="16"/>
        <v>38</v>
      </c>
    </row>
    <row r="136" spans="1:21">
      <c r="A136" s="11">
        <v>44693</v>
      </c>
      <c r="B136" s="77">
        <v>2</v>
      </c>
      <c r="C136" s="77">
        <v>0</v>
      </c>
      <c r="D136" s="76">
        <v>3</v>
      </c>
      <c r="E136" s="77">
        <v>1</v>
      </c>
      <c r="F136" s="2">
        <v>4</v>
      </c>
      <c r="G136" s="1">
        <v>2</v>
      </c>
      <c r="H136" s="2">
        <v>3</v>
      </c>
      <c r="I136" s="1">
        <v>0</v>
      </c>
      <c r="J136" s="2">
        <v>4</v>
      </c>
      <c r="K136" s="1">
        <v>7</v>
      </c>
      <c r="L136" s="2">
        <v>4</v>
      </c>
      <c r="M136" s="1">
        <v>0</v>
      </c>
      <c r="N136" s="2">
        <v>2</v>
      </c>
      <c r="O136" s="1">
        <v>3</v>
      </c>
      <c r="P136" s="2">
        <v>1</v>
      </c>
      <c r="Q136" s="1">
        <v>2</v>
      </c>
      <c r="S136" s="21">
        <f t="shared" si="14"/>
        <v>23</v>
      </c>
      <c r="T136" s="21">
        <f t="shared" si="15"/>
        <v>15</v>
      </c>
      <c r="U136" s="22">
        <f t="shared" si="16"/>
        <v>38</v>
      </c>
    </row>
    <row r="137" spans="1:21">
      <c r="A137" s="11">
        <v>44694</v>
      </c>
      <c r="B137" s="77">
        <v>2</v>
      </c>
      <c r="C137" s="77">
        <v>0</v>
      </c>
      <c r="D137" s="76">
        <v>3</v>
      </c>
      <c r="E137" s="77">
        <v>1</v>
      </c>
      <c r="F137" s="2">
        <v>4</v>
      </c>
      <c r="G137" s="1">
        <v>2</v>
      </c>
      <c r="H137" s="2">
        <v>3</v>
      </c>
      <c r="I137" s="1">
        <v>0</v>
      </c>
      <c r="J137" s="2">
        <v>4</v>
      </c>
      <c r="K137" s="1">
        <v>7</v>
      </c>
      <c r="L137" s="2">
        <v>4</v>
      </c>
      <c r="M137" s="1">
        <v>0</v>
      </c>
      <c r="N137" s="2">
        <v>2</v>
      </c>
      <c r="O137" s="1">
        <v>3</v>
      </c>
      <c r="P137" s="2">
        <v>1</v>
      </c>
      <c r="Q137" s="1">
        <v>2</v>
      </c>
      <c r="S137" s="21">
        <f t="shared" si="14"/>
        <v>23</v>
      </c>
      <c r="T137" s="21">
        <f t="shared" si="15"/>
        <v>15</v>
      </c>
      <c r="U137" s="22">
        <f t="shared" si="16"/>
        <v>38</v>
      </c>
    </row>
    <row r="138" spans="1:21">
      <c r="A138" s="12">
        <v>44695</v>
      </c>
      <c r="B138" s="77">
        <v>2</v>
      </c>
      <c r="C138" s="77">
        <v>0</v>
      </c>
      <c r="D138" s="76">
        <v>3</v>
      </c>
      <c r="E138" s="77">
        <v>1</v>
      </c>
      <c r="F138" s="2">
        <v>4</v>
      </c>
      <c r="G138" s="1">
        <v>2</v>
      </c>
      <c r="H138" s="2">
        <v>3</v>
      </c>
      <c r="I138" s="1">
        <v>0</v>
      </c>
      <c r="J138" s="2">
        <v>4</v>
      </c>
      <c r="K138" s="1">
        <v>7</v>
      </c>
      <c r="L138" s="2">
        <v>4</v>
      </c>
      <c r="M138" s="1">
        <v>0</v>
      </c>
      <c r="N138" s="2">
        <v>2</v>
      </c>
      <c r="O138" s="1">
        <v>3</v>
      </c>
      <c r="P138" s="2">
        <v>1</v>
      </c>
      <c r="Q138" s="1">
        <v>2</v>
      </c>
      <c r="S138" s="21">
        <f t="shared" si="14"/>
        <v>23</v>
      </c>
      <c r="T138" s="21">
        <f t="shared" si="15"/>
        <v>15</v>
      </c>
      <c r="U138" s="22">
        <f t="shared" si="16"/>
        <v>38</v>
      </c>
    </row>
    <row r="139" spans="1:21">
      <c r="A139" s="12">
        <v>44696</v>
      </c>
      <c r="B139" s="77">
        <v>2</v>
      </c>
      <c r="C139" s="77">
        <v>0</v>
      </c>
      <c r="D139" s="76">
        <v>3</v>
      </c>
      <c r="E139" s="77">
        <v>1</v>
      </c>
      <c r="F139" s="2">
        <v>4</v>
      </c>
      <c r="G139" s="1">
        <v>2</v>
      </c>
      <c r="H139" s="2">
        <v>3</v>
      </c>
      <c r="I139" s="1">
        <v>0</v>
      </c>
      <c r="J139" s="2">
        <v>4</v>
      </c>
      <c r="K139" s="1">
        <v>7</v>
      </c>
      <c r="L139" s="2">
        <v>4</v>
      </c>
      <c r="M139" s="1">
        <v>0</v>
      </c>
      <c r="N139" s="2">
        <v>2</v>
      </c>
      <c r="O139" s="1">
        <v>3</v>
      </c>
      <c r="P139" s="2">
        <v>1</v>
      </c>
      <c r="Q139" s="1">
        <v>2</v>
      </c>
      <c r="S139" s="21">
        <f t="shared" si="14"/>
        <v>23</v>
      </c>
      <c r="T139" s="21">
        <f t="shared" si="15"/>
        <v>15</v>
      </c>
      <c r="U139" s="22">
        <f t="shared" si="16"/>
        <v>38</v>
      </c>
    </row>
    <row r="140" spans="1:21">
      <c r="A140" s="11">
        <v>44697</v>
      </c>
      <c r="B140" s="77">
        <v>2</v>
      </c>
      <c r="C140" s="77">
        <v>0</v>
      </c>
      <c r="D140" s="76">
        <v>3</v>
      </c>
      <c r="E140" s="77">
        <v>1</v>
      </c>
      <c r="F140" s="2">
        <v>4</v>
      </c>
      <c r="G140" s="1">
        <v>2</v>
      </c>
      <c r="H140" s="2">
        <v>3</v>
      </c>
      <c r="I140" s="1">
        <v>0</v>
      </c>
      <c r="J140" s="2">
        <v>4</v>
      </c>
      <c r="K140" s="1">
        <v>7</v>
      </c>
      <c r="L140" s="2">
        <v>4</v>
      </c>
      <c r="M140" s="1">
        <v>0</v>
      </c>
      <c r="N140" s="2">
        <v>2</v>
      </c>
      <c r="O140" s="1">
        <v>3</v>
      </c>
      <c r="P140" s="2">
        <v>1</v>
      </c>
      <c r="Q140" s="1">
        <v>2</v>
      </c>
      <c r="S140" s="21">
        <f t="shared" si="14"/>
        <v>23</v>
      </c>
      <c r="T140" s="21">
        <f t="shared" si="15"/>
        <v>15</v>
      </c>
      <c r="U140" s="22">
        <f t="shared" si="16"/>
        <v>38</v>
      </c>
    </row>
    <row r="141" spans="1:21">
      <c r="A141" s="11">
        <v>44698</v>
      </c>
      <c r="B141" s="77">
        <v>2</v>
      </c>
      <c r="C141" s="77">
        <v>0</v>
      </c>
      <c r="D141" s="76">
        <v>3</v>
      </c>
      <c r="E141" s="77">
        <v>1</v>
      </c>
      <c r="F141" s="2">
        <v>4</v>
      </c>
      <c r="G141" s="1">
        <v>2</v>
      </c>
      <c r="H141" s="2">
        <v>3</v>
      </c>
      <c r="I141" s="1">
        <v>0</v>
      </c>
      <c r="J141" s="2">
        <v>4</v>
      </c>
      <c r="K141" s="1">
        <v>7</v>
      </c>
      <c r="L141" s="2">
        <v>4</v>
      </c>
      <c r="M141" s="1">
        <v>0</v>
      </c>
      <c r="N141" s="2">
        <v>2</v>
      </c>
      <c r="O141" s="1">
        <v>3</v>
      </c>
      <c r="P141" s="2">
        <v>1</v>
      </c>
      <c r="Q141" s="1">
        <v>2</v>
      </c>
      <c r="S141" s="21">
        <f t="shared" si="14"/>
        <v>23</v>
      </c>
      <c r="T141" s="21">
        <f t="shared" si="15"/>
        <v>15</v>
      </c>
      <c r="U141" s="22">
        <f t="shared" si="16"/>
        <v>38</v>
      </c>
    </row>
    <row r="142" spans="1:21">
      <c r="A142" s="13">
        <v>44699</v>
      </c>
      <c r="B142" s="77">
        <v>2</v>
      </c>
      <c r="C142" s="77">
        <v>0</v>
      </c>
      <c r="D142" s="76">
        <v>3</v>
      </c>
      <c r="E142" s="77">
        <v>1</v>
      </c>
      <c r="F142" s="2">
        <v>4</v>
      </c>
      <c r="G142" s="1">
        <v>2</v>
      </c>
      <c r="H142" s="2">
        <v>3</v>
      </c>
      <c r="I142" s="1">
        <v>0</v>
      </c>
      <c r="J142" s="2">
        <v>4</v>
      </c>
      <c r="K142" s="1">
        <v>7</v>
      </c>
      <c r="L142" s="2">
        <v>4</v>
      </c>
      <c r="M142" s="1">
        <v>0</v>
      </c>
      <c r="N142" s="2">
        <v>2</v>
      </c>
      <c r="O142" s="1">
        <v>3</v>
      </c>
      <c r="P142" s="2">
        <v>1</v>
      </c>
      <c r="Q142" s="1">
        <v>2</v>
      </c>
      <c r="S142" s="21">
        <f t="shared" si="14"/>
        <v>23</v>
      </c>
      <c r="T142" s="21">
        <f t="shared" si="15"/>
        <v>15</v>
      </c>
      <c r="U142" s="22">
        <f t="shared" si="16"/>
        <v>38</v>
      </c>
    </row>
    <row r="143" spans="1:21">
      <c r="A143" s="11">
        <v>44700</v>
      </c>
      <c r="B143" s="77">
        <v>2</v>
      </c>
      <c r="C143" s="77">
        <v>0</v>
      </c>
      <c r="D143" s="76">
        <v>3</v>
      </c>
      <c r="E143" s="77">
        <v>1</v>
      </c>
      <c r="F143" s="2">
        <v>4</v>
      </c>
      <c r="G143" s="1">
        <v>2</v>
      </c>
      <c r="H143" s="2">
        <v>3</v>
      </c>
      <c r="I143" s="1">
        <v>0</v>
      </c>
      <c r="J143" s="2">
        <v>4</v>
      </c>
      <c r="K143" s="1">
        <v>7</v>
      </c>
      <c r="L143" s="2">
        <v>4</v>
      </c>
      <c r="M143" s="1">
        <v>0</v>
      </c>
      <c r="N143" s="2">
        <v>2</v>
      </c>
      <c r="O143" s="1">
        <v>3</v>
      </c>
      <c r="P143" s="2">
        <v>1</v>
      </c>
      <c r="Q143" s="1">
        <v>2</v>
      </c>
      <c r="S143" s="21">
        <f t="shared" si="14"/>
        <v>23</v>
      </c>
      <c r="T143" s="21">
        <f t="shared" si="15"/>
        <v>15</v>
      </c>
      <c r="U143" s="22">
        <f t="shared" si="16"/>
        <v>38</v>
      </c>
    </row>
    <row r="144" spans="1:21">
      <c r="A144" s="11">
        <v>44701</v>
      </c>
      <c r="B144" s="77">
        <v>2</v>
      </c>
      <c r="C144" s="77">
        <v>0</v>
      </c>
      <c r="D144" s="76">
        <v>3</v>
      </c>
      <c r="E144" s="77">
        <v>1</v>
      </c>
      <c r="F144" s="2">
        <v>4</v>
      </c>
      <c r="G144" s="1">
        <v>2</v>
      </c>
      <c r="H144" s="2">
        <v>3</v>
      </c>
      <c r="I144" s="1">
        <v>0</v>
      </c>
      <c r="J144" s="2">
        <v>4</v>
      </c>
      <c r="K144" s="1">
        <v>7</v>
      </c>
      <c r="L144" s="2">
        <v>4</v>
      </c>
      <c r="M144" s="1">
        <v>0</v>
      </c>
      <c r="N144" s="2">
        <v>2</v>
      </c>
      <c r="O144" s="1">
        <v>3</v>
      </c>
      <c r="P144" s="2">
        <v>1</v>
      </c>
      <c r="Q144" s="1">
        <v>2</v>
      </c>
      <c r="S144" s="21">
        <f t="shared" si="14"/>
        <v>23</v>
      </c>
      <c r="T144" s="21">
        <f t="shared" si="15"/>
        <v>15</v>
      </c>
      <c r="U144" s="22">
        <f t="shared" si="16"/>
        <v>38</v>
      </c>
    </row>
    <row r="145" spans="1:21">
      <c r="A145" s="12">
        <v>44702</v>
      </c>
      <c r="B145" s="77">
        <v>2</v>
      </c>
      <c r="C145" s="77">
        <v>0</v>
      </c>
      <c r="D145" s="76">
        <v>3</v>
      </c>
      <c r="E145" s="77">
        <v>1</v>
      </c>
      <c r="F145" s="2">
        <v>4</v>
      </c>
      <c r="G145" s="1">
        <v>2</v>
      </c>
      <c r="H145" s="2">
        <v>3</v>
      </c>
      <c r="I145" s="1">
        <v>0</v>
      </c>
      <c r="J145" s="2">
        <v>4</v>
      </c>
      <c r="K145" s="1">
        <v>7</v>
      </c>
      <c r="L145" s="2">
        <v>4</v>
      </c>
      <c r="M145" s="1">
        <v>0</v>
      </c>
      <c r="N145" s="2">
        <v>2</v>
      </c>
      <c r="O145" s="1">
        <v>3</v>
      </c>
      <c r="P145" s="2">
        <v>1</v>
      </c>
      <c r="Q145" s="1">
        <v>2</v>
      </c>
      <c r="S145" s="21">
        <f t="shared" si="14"/>
        <v>23</v>
      </c>
      <c r="T145" s="21">
        <f t="shared" si="15"/>
        <v>15</v>
      </c>
      <c r="U145" s="22">
        <f t="shared" si="16"/>
        <v>38</v>
      </c>
    </row>
    <row r="146" spans="1:21">
      <c r="A146" s="12">
        <v>44703</v>
      </c>
      <c r="B146" s="77">
        <v>2</v>
      </c>
      <c r="C146" s="77">
        <v>0</v>
      </c>
      <c r="D146" s="76">
        <v>3</v>
      </c>
      <c r="E146" s="77">
        <v>1</v>
      </c>
      <c r="F146" s="2">
        <v>4</v>
      </c>
      <c r="G146" s="1">
        <v>2</v>
      </c>
      <c r="H146" s="2">
        <v>3</v>
      </c>
      <c r="I146" s="1">
        <v>0</v>
      </c>
      <c r="J146" s="2">
        <v>4</v>
      </c>
      <c r="K146" s="1">
        <v>7</v>
      </c>
      <c r="L146" s="2">
        <v>4</v>
      </c>
      <c r="M146" s="1">
        <v>0</v>
      </c>
      <c r="N146" s="2">
        <v>2</v>
      </c>
      <c r="O146" s="1">
        <v>3</v>
      </c>
      <c r="P146" s="2">
        <v>1</v>
      </c>
      <c r="Q146" s="1">
        <v>2</v>
      </c>
      <c r="S146" s="21">
        <f t="shared" si="14"/>
        <v>23</v>
      </c>
      <c r="T146" s="21">
        <f t="shared" si="15"/>
        <v>15</v>
      </c>
      <c r="U146" s="22">
        <f t="shared" si="16"/>
        <v>38</v>
      </c>
    </row>
    <row r="147" spans="1:21">
      <c r="A147" s="11">
        <v>44704</v>
      </c>
      <c r="B147" s="77">
        <v>2</v>
      </c>
      <c r="C147" s="77">
        <v>0</v>
      </c>
      <c r="D147" s="76">
        <v>3</v>
      </c>
      <c r="E147" s="77">
        <v>1</v>
      </c>
      <c r="F147" s="2">
        <v>4</v>
      </c>
      <c r="G147" s="1">
        <v>2</v>
      </c>
      <c r="H147" s="2">
        <v>3</v>
      </c>
      <c r="I147" s="1">
        <v>0</v>
      </c>
      <c r="J147" s="2">
        <v>4</v>
      </c>
      <c r="K147" s="1">
        <v>7</v>
      </c>
      <c r="L147" s="2">
        <v>4</v>
      </c>
      <c r="M147" s="1">
        <v>0</v>
      </c>
      <c r="N147" s="2">
        <v>2</v>
      </c>
      <c r="O147" s="1">
        <v>3</v>
      </c>
      <c r="P147" s="2">
        <v>1</v>
      </c>
      <c r="Q147" s="1">
        <v>2</v>
      </c>
      <c r="S147" s="21">
        <f t="shared" si="14"/>
        <v>23</v>
      </c>
      <c r="T147" s="21">
        <f t="shared" si="15"/>
        <v>15</v>
      </c>
      <c r="U147" s="22">
        <f t="shared" si="16"/>
        <v>38</v>
      </c>
    </row>
    <row r="148" spans="1:21">
      <c r="A148" s="11">
        <v>44705</v>
      </c>
      <c r="B148" s="77">
        <v>2</v>
      </c>
      <c r="C148" s="77">
        <v>0</v>
      </c>
      <c r="D148" s="76">
        <v>3</v>
      </c>
      <c r="E148" s="77">
        <v>1</v>
      </c>
      <c r="F148" s="2">
        <v>4</v>
      </c>
      <c r="G148" s="1">
        <v>2</v>
      </c>
      <c r="H148" s="2">
        <v>3</v>
      </c>
      <c r="I148" s="1">
        <v>0</v>
      </c>
      <c r="J148" s="2">
        <v>4</v>
      </c>
      <c r="K148" s="1">
        <v>7</v>
      </c>
      <c r="L148" s="2">
        <v>4</v>
      </c>
      <c r="M148" s="1">
        <v>0</v>
      </c>
      <c r="N148" s="2">
        <v>2</v>
      </c>
      <c r="O148" s="1">
        <v>3</v>
      </c>
      <c r="P148" s="2">
        <v>1</v>
      </c>
      <c r="Q148" s="1">
        <v>2</v>
      </c>
      <c r="S148" s="21">
        <f t="shared" si="14"/>
        <v>23</v>
      </c>
      <c r="T148" s="21">
        <f t="shared" si="15"/>
        <v>15</v>
      </c>
      <c r="U148" s="22">
        <f t="shared" si="16"/>
        <v>38</v>
      </c>
    </row>
    <row r="149" spans="1:21">
      <c r="A149" s="13">
        <v>44706</v>
      </c>
      <c r="B149" s="77">
        <v>2</v>
      </c>
      <c r="C149" s="77">
        <v>0</v>
      </c>
      <c r="D149" s="76">
        <v>3</v>
      </c>
      <c r="E149" s="77">
        <v>1</v>
      </c>
      <c r="F149" s="2">
        <v>4</v>
      </c>
      <c r="G149" s="1">
        <v>2</v>
      </c>
      <c r="H149" s="2">
        <v>3</v>
      </c>
      <c r="I149" s="1">
        <v>0</v>
      </c>
      <c r="J149" s="2">
        <v>4</v>
      </c>
      <c r="K149" s="1">
        <v>7</v>
      </c>
      <c r="L149" s="2">
        <v>4</v>
      </c>
      <c r="M149" s="1">
        <v>0</v>
      </c>
      <c r="N149" s="2">
        <v>2</v>
      </c>
      <c r="O149" s="1">
        <v>3</v>
      </c>
      <c r="P149" s="2">
        <v>1</v>
      </c>
      <c r="Q149" s="1">
        <v>2</v>
      </c>
      <c r="S149" s="21">
        <f t="shared" si="14"/>
        <v>23</v>
      </c>
      <c r="T149" s="21">
        <f t="shared" si="15"/>
        <v>15</v>
      </c>
      <c r="U149" s="22">
        <f t="shared" si="16"/>
        <v>38</v>
      </c>
    </row>
    <row r="150" spans="1:21">
      <c r="A150" s="11">
        <v>44707</v>
      </c>
      <c r="B150" s="77">
        <v>2</v>
      </c>
      <c r="C150" s="77">
        <v>0</v>
      </c>
      <c r="D150" s="76">
        <v>3</v>
      </c>
      <c r="E150" s="77">
        <v>1</v>
      </c>
      <c r="F150" s="2">
        <v>4</v>
      </c>
      <c r="G150" s="1">
        <v>2</v>
      </c>
      <c r="H150" s="2">
        <v>3</v>
      </c>
      <c r="I150" s="1">
        <v>0</v>
      </c>
      <c r="J150" s="2">
        <v>4</v>
      </c>
      <c r="K150" s="1">
        <v>7</v>
      </c>
      <c r="L150" s="2">
        <v>4</v>
      </c>
      <c r="M150" s="1">
        <v>0</v>
      </c>
      <c r="N150" s="2">
        <v>2</v>
      </c>
      <c r="O150" s="1">
        <v>3</v>
      </c>
      <c r="P150" s="2">
        <v>1</v>
      </c>
      <c r="Q150" s="1">
        <v>2</v>
      </c>
      <c r="S150" s="21">
        <f t="shared" si="14"/>
        <v>23</v>
      </c>
      <c r="T150" s="21">
        <f t="shared" si="15"/>
        <v>15</v>
      </c>
      <c r="U150" s="22">
        <f t="shared" si="16"/>
        <v>38</v>
      </c>
    </row>
    <row r="151" spans="1:21">
      <c r="A151" s="11">
        <v>44708</v>
      </c>
      <c r="B151" s="77">
        <v>2</v>
      </c>
      <c r="C151" s="77">
        <v>0</v>
      </c>
      <c r="D151" s="76">
        <v>3</v>
      </c>
      <c r="E151" s="77">
        <v>1</v>
      </c>
      <c r="F151" s="2">
        <v>4</v>
      </c>
      <c r="G151" s="1">
        <v>2</v>
      </c>
      <c r="H151" s="2">
        <v>3</v>
      </c>
      <c r="I151" s="1">
        <v>0</v>
      </c>
      <c r="J151" s="2">
        <v>4</v>
      </c>
      <c r="K151" s="1">
        <v>7</v>
      </c>
      <c r="L151" s="2">
        <v>4</v>
      </c>
      <c r="M151" s="1">
        <v>0</v>
      </c>
      <c r="N151" s="2">
        <v>2</v>
      </c>
      <c r="O151" s="1">
        <v>3</v>
      </c>
      <c r="P151" s="2">
        <v>1</v>
      </c>
      <c r="Q151" s="1">
        <v>2</v>
      </c>
      <c r="S151" s="21">
        <f t="shared" si="14"/>
        <v>23</v>
      </c>
      <c r="T151" s="21">
        <f t="shared" si="15"/>
        <v>15</v>
      </c>
      <c r="U151" s="22">
        <f t="shared" si="16"/>
        <v>38</v>
      </c>
    </row>
    <row r="152" spans="1:21">
      <c r="A152" s="12">
        <v>44709</v>
      </c>
      <c r="B152" s="77">
        <v>2</v>
      </c>
      <c r="C152" s="77">
        <v>0</v>
      </c>
      <c r="D152" s="76">
        <v>3</v>
      </c>
      <c r="E152" s="77">
        <v>1</v>
      </c>
      <c r="F152" s="2">
        <v>4</v>
      </c>
      <c r="G152" s="1">
        <v>2</v>
      </c>
      <c r="H152" s="2">
        <v>3</v>
      </c>
      <c r="I152" s="1">
        <v>0</v>
      </c>
      <c r="J152" s="2">
        <v>4</v>
      </c>
      <c r="K152" s="1">
        <v>7</v>
      </c>
      <c r="L152" s="2">
        <v>4</v>
      </c>
      <c r="M152" s="1">
        <v>0</v>
      </c>
      <c r="N152" s="2">
        <v>2</v>
      </c>
      <c r="O152" s="1">
        <v>3</v>
      </c>
      <c r="P152" s="2">
        <v>1</v>
      </c>
      <c r="Q152" s="1">
        <v>2</v>
      </c>
      <c r="S152" s="21">
        <f t="shared" si="14"/>
        <v>23</v>
      </c>
      <c r="T152" s="21">
        <f t="shared" si="15"/>
        <v>15</v>
      </c>
      <c r="U152" s="22">
        <f t="shared" si="16"/>
        <v>38</v>
      </c>
    </row>
    <row r="153" spans="1:21">
      <c r="A153" s="12">
        <v>44710</v>
      </c>
      <c r="B153" s="77">
        <v>2</v>
      </c>
      <c r="C153" s="77">
        <v>0</v>
      </c>
      <c r="D153" s="76">
        <v>3</v>
      </c>
      <c r="E153" s="77">
        <v>1</v>
      </c>
      <c r="F153" s="2">
        <v>4</v>
      </c>
      <c r="G153" s="1">
        <v>2</v>
      </c>
      <c r="H153" s="2">
        <v>3</v>
      </c>
      <c r="I153" s="1">
        <v>0</v>
      </c>
      <c r="J153" s="2">
        <v>4</v>
      </c>
      <c r="K153" s="1">
        <v>7</v>
      </c>
      <c r="L153" s="2">
        <v>4</v>
      </c>
      <c r="M153" s="1">
        <v>0</v>
      </c>
      <c r="N153" s="2">
        <v>2</v>
      </c>
      <c r="O153" s="1">
        <v>3</v>
      </c>
      <c r="P153" s="2">
        <v>1</v>
      </c>
      <c r="Q153" s="1">
        <v>2</v>
      </c>
      <c r="S153" s="21">
        <f t="shared" si="14"/>
        <v>23</v>
      </c>
      <c r="T153" s="21">
        <f t="shared" si="15"/>
        <v>15</v>
      </c>
      <c r="U153" s="22">
        <f t="shared" si="16"/>
        <v>38</v>
      </c>
    </row>
    <row r="154" spans="1:21">
      <c r="A154" s="11">
        <v>44711</v>
      </c>
      <c r="B154" s="77">
        <v>2</v>
      </c>
      <c r="C154" s="77">
        <v>0</v>
      </c>
      <c r="D154" s="76">
        <v>3</v>
      </c>
      <c r="E154" s="77">
        <v>1</v>
      </c>
      <c r="F154" s="2">
        <v>4</v>
      </c>
      <c r="G154" s="1">
        <v>2</v>
      </c>
      <c r="H154" s="2">
        <v>3</v>
      </c>
      <c r="I154" s="1">
        <v>0</v>
      </c>
      <c r="J154" s="2">
        <v>4</v>
      </c>
      <c r="K154" s="1">
        <v>7</v>
      </c>
      <c r="L154" s="2">
        <v>4</v>
      </c>
      <c r="M154" s="1">
        <v>0</v>
      </c>
      <c r="N154" s="2">
        <v>2</v>
      </c>
      <c r="O154" s="1">
        <v>3</v>
      </c>
      <c r="P154" s="2">
        <v>1</v>
      </c>
      <c r="Q154" s="1">
        <v>2</v>
      </c>
      <c r="S154" s="21">
        <f t="shared" si="14"/>
        <v>23</v>
      </c>
      <c r="T154" s="21">
        <f t="shared" si="15"/>
        <v>15</v>
      </c>
      <c r="U154" s="22">
        <f t="shared" si="16"/>
        <v>38</v>
      </c>
    </row>
    <row r="155" spans="1:21">
      <c r="A155" s="11">
        <v>44712</v>
      </c>
      <c r="B155" s="77">
        <v>2</v>
      </c>
      <c r="C155" s="77">
        <v>0</v>
      </c>
      <c r="D155" s="76">
        <v>3</v>
      </c>
      <c r="E155" s="77">
        <v>1</v>
      </c>
      <c r="F155" s="2">
        <v>4</v>
      </c>
      <c r="G155" s="1">
        <v>2</v>
      </c>
      <c r="H155" s="2">
        <v>3</v>
      </c>
      <c r="I155" s="1">
        <v>0</v>
      </c>
      <c r="J155" s="2">
        <v>4</v>
      </c>
      <c r="K155" s="1">
        <v>7</v>
      </c>
      <c r="L155" s="2">
        <v>4</v>
      </c>
      <c r="M155" s="1">
        <v>0</v>
      </c>
      <c r="N155" s="2">
        <v>2</v>
      </c>
      <c r="O155" s="1">
        <v>3</v>
      </c>
      <c r="P155" s="2">
        <v>1</v>
      </c>
      <c r="Q155" s="1">
        <v>2</v>
      </c>
      <c r="S155" s="21">
        <f t="shared" si="14"/>
        <v>23</v>
      </c>
      <c r="T155" s="21">
        <f t="shared" si="15"/>
        <v>15</v>
      </c>
      <c r="U155" s="22">
        <f t="shared" si="16"/>
        <v>38</v>
      </c>
    </row>
    <row r="156" spans="1:21">
      <c r="A156" s="13">
        <v>44713</v>
      </c>
      <c r="B156" s="77">
        <v>2</v>
      </c>
      <c r="C156" s="77">
        <v>0</v>
      </c>
      <c r="D156" s="76">
        <v>3</v>
      </c>
      <c r="E156" s="77">
        <v>1</v>
      </c>
      <c r="F156" s="2">
        <v>4</v>
      </c>
      <c r="G156" s="1">
        <v>2</v>
      </c>
      <c r="H156" s="2">
        <v>3</v>
      </c>
      <c r="I156" s="1">
        <v>0</v>
      </c>
      <c r="J156" s="2">
        <v>4</v>
      </c>
      <c r="K156" s="1">
        <v>7</v>
      </c>
      <c r="L156" s="2">
        <v>4</v>
      </c>
      <c r="M156" s="1">
        <v>0</v>
      </c>
      <c r="N156" s="2">
        <v>2</v>
      </c>
      <c r="O156" s="1">
        <v>3</v>
      </c>
      <c r="P156" s="2">
        <v>1</v>
      </c>
      <c r="Q156" s="1">
        <v>2</v>
      </c>
      <c r="S156" s="21">
        <f t="shared" si="14"/>
        <v>23</v>
      </c>
      <c r="T156" s="21">
        <f t="shared" si="15"/>
        <v>15</v>
      </c>
      <c r="U156" s="22">
        <f t="shared" si="16"/>
        <v>38</v>
      </c>
    </row>
    <row r="157" spans="1:21">
      <c r="A157" s="11">
        <v>44714</v>
      </c>
      <c r="B157" s="77">
        <v>2</v>
      </c>
      <c r="C157" s="77">
        <v>0</v>
      </c>
      <c r="D157" s="76">
        <v>3</v>
      </c>
      <c r="E157" s="77">
        <v>1</v>
      </c>
      <c r="F157" s="2">
        <v>4</v>
      </c>
      <c r="G157" s="1">
        <v>2</v>
      </c>
      <c r="H157" s="2">
        <v>3</v>
      </c>
      <c r="I157" s="1">
        <v>0</v>
      </c>
      <c r="J157" s="2">
        <v>4</v>
      </c>
      <c r="K157" s="1">
        <v>7</v>
      </c>
      <c r="L157" s="2">
        <v>4</v>
      </c>
      <c r="M157" s="1">
        <v>0</v>
      </c>
      <c r="N157" s="2">
        <v>2</v>
      </c>
      <c r="O157" s="1">
        <v>3</v>
      </c>
      <c r="P157" s="2">
        <v>1</v>
      </c>
      <c r="Q157" s="1">
        <v>2</v>
      </c>
      <c r="S157" s="21">
        <f t="shared" si="14"/>
        <v>23</v>
      </c>
      <c r="T157" s="21">
        <f t="shared" si="15"/>
        <v>15</v>
      </c>
      <c r="U157" s="22">
        <f t="shared" si="16"/>
        <v>38</v>
      </c>
    </row>
    <row r="158" spans="1:21">
      <c r="A158" s="11">
        <v>44715</v>
      </c>
      <c r="B158" s="77">
        <v>2</v>
      </c>
      <c r="C158" s="77">
        <v>0</v>
      </c>
      <c r="D158" s="76">
        <v>3</v>
      </c>
      <c r="E158" s="77">
        <v>1</v>
      </c>
      <c r="F158" s="2">
        <v>4</v>
      </c>
      <c r="G158" s="1">
        <v>2</v>
      </c>
      <c r="H158" s="2">
        <v>3</v>
      </c>
      <c r="I158" s="1">
        <v>0</v>
      </c>
      <c r="J158" s="2">
        <v>4</v>
      </c>
      <c r="K158" s="1">
        <v>7</v>
      </c>
      <c r="L158" s="2">
        <v>4</v>
      </c>
      <c r="M158" s="1">
        <v>0</v>
      </c>
      <c r="N158" s="2">
        <v>2</v>
      </c>
      <c r="O158" s="1">
        <v>3</v>
      </c>
      <c r="P158" s="2">
        <v>1</v>
      </c>
      <c r="Q158" s="1">
        <v>2</v>
      </c>
      <c r="S158" s="21">
        <f t="shared" si="14"/>
        <v>23</v>
      </c>
      <c r="T158" s="21">
        <f t="shared" si="15"/>
        <v>15</v>
      </c>
      <c r="U158" s="22">
        <f t="shared" si="16"/>
        <v>38</v>
      </c>
    </row>
    <row r="159" spans="1:21">
      <c r="A159" s="12">
        <v>44716</v>
      </c>
      <c r="B159" s="77">
        <v>2</v>
      </c>
      <c r="C159" s="77">
        <v>0</v>
      </c>
      <c r="D159" s="76">
        <v>3</v>
      </c>
      <c r="E159" s="77">
        <v>1</v>
      </c>
      <c r="F159" s="2">
        <v>4</v>
      </c>
      <c r="G159" s="1">
        <v>2</v>
      </c>
      <c r="H159" s="2">
        <v>3</v>
      </c>
      <c r="I159" s="1">
        <v>0</v>
      </c>
      <c r="J159" s="2">
        <v>4</v>
      </c>
      <c r="K159" s="1">
        <v>7</v>
      </c>
      <c r="L159" s="2">
        <v>4</v>
      </c>
      <c r="M159" s="1">
        <v>0</v>
      </c>
      <c r="N159" s="2">
        <v>2</v>
      </c>
      <c r="O159" s="1">
        <v>3</v>
      </c>
      <c r="P159" s="2">
        <v>1</v>
      </c>
      <c r="Q159" s="1">
        <v>2</v>
      </c>
      <c r="S159" s="21">
        <f t="shared" si="14"/>
        <v>23</v>
      </c>
      <c r="T159" s="21">
        <f t="shared" si="15"/>
        <v>15</v>
      </c>
      <c r="U159" s="22">
        <f t="shared" si="16"/>
        <v>38</v>
      </c>
    </row>
    <row r="160" spans="1:21">
      <c r="A160" s="12">
        <v>44717</v>
      </c>
      <c r="B160" s="77">
        <v>2</v>
      </c>
      <c r="C160" s="77">
        <v>0</v>
      </c>
      <c r="D160" s="76">
        <v>3</v>
      </c>
      <c r="E160" s="77">
        <v>1</v>
      </c>
      <c r="F160" s="2">
        <v>4</v>
      </c>
      <c r="G160" s="1">
        <v>2</v>
      </c>
      <c r="H160" s="2">
        <v>3</v>
      </c>
      <c r="I160" s="1">
        <v>0</v>
      </c>
      <c r="J160" s="2">
        <v>4</v>
      </c>
      <c r="K160" s="1">
        <v>7</v>
      </c>
      <c r="L160" s="2">
        <v>4</v>
      </c>
      <c r="M160" s="1">
        <v>0</v>
      </c>
      <c r="N160" s="2">
        <v>2</v>
      </c>
      <c r="O160" s="1">
        <v>3</v>
      </c>
      <c r="P160" s="2">
        <v>1</v>
      </c>
      <c r="Q160" s="1">
        <v>2</v>
      </c>
      <c r="S160" s="21">
        <f t="shared" si="14"/>
        <v>23</v>
      </c>
      <c r="T160" s="21">
        <f t="shared" si="15"/>
        <v>15</v>
      </c>
      <c r="U160" s="22">
        <f t="shared" si="16"/>
        <v>38</v>
      </c>
    </row>
    <row r="161" spans="1:21">
      <c r="A161" s="11">
        <v>44718</v>
      </c>
      <c r="B161" s="77">
        <v>2</v>
      </c>
      <c r="C161" s="77">
        <v>0</v>
      </c>
      <c r="D161" s="76">
        <v>3</v>
      </c>
      <c r="E161" s="77">
        <v>1</v>
      </c>
      <c r="F161" s="2">
        <v>4</v>
      </c>
      <c r="G161" s="1">
        <v>2</v>
      </c>
      <c r="H161" s="2">
        <v>3</v>
      </c>
      <c r="I161" s="1">
        <v>0</v>
      </c>
      <c r="J161" s="2">
        <v>4</v>
      </c>
      <c r="K161" s="1">
        <v>7</v>
      </c>
      <c r="L161" s="2">
        <v>4</v>
      </c>
      <c r="M161" s="1">
        <v>0</v>
      </c>
      <c r="N161" s="2">
        <v>2</v>
      </c>
      <c r="O161" s="1">
        <v>3</v>
      </c>
      <c r="P161" s="2">
        <v>1</v>
      </c>
      <c r="Q161" s="1">
        <v>2</v>
      </c>
      <c r="S161" s="21">
        <f t="shared" si="14"/>
        <v>23</v>
      </c>
      <c r="T161" s="21">
        <f t="shared" si="15"/>
        <v>15</v>
      </c>
      <c r="U161" s="22">
        <f t="shared" si="16"/>
        <v>38</v>
      </c>
    </row>
    <row r="162" spans="1:21">
      <c r="A162" s="11">
        <v>44719</v>
      </c>
      <c r="B162" s="77">
        <v>2</v>
      </c>
      <c r="C162" s="77">
        <v>0</v>
      </c>
      <c r="D162" s="76">
        <v>3</v>
      </c>
      <c r="E162" s="77">
        <v>1</v>
      </c>
      <c r="F162" s="2">
        <v>4</v>
      </c>
      <c r="G162" s="1">
        <v>2</v>
      </c>
      <c r="H162" s="2">
        <v>3</v>
      </c>
      <c r="I162" s="1">
        <v>0</v>
      </c>
      <c r="J162" s="2">
        <v>4</v>
      </c>
      <c r="K162" s="1">
        <v>7</v>
      </c>
      <c r="L162" s="2">
        <v>4</v>
      </c>
      <c r="M162" s="1">
        <v>0</v>
      </c>
      <c r="N162" s="2">
        <v>2</v>
      </c>
      <c r="O162" s="1">
        <v>3</v>
      </c>
      <c r="P162" s="2">
        <v>1</v>
      </c>
      <c r="Q162" s="1">
        <v>2</v>
      </c>
      <c r="S162" s="21">
        <f t="shared" si="14"/>
        <v>23</v>
      </c>
      <c r="T162" s="21">
        <f t="shared" si="15"/>
        <v>15</v>
      </c>
      <c r="U162" s="22">
        <f t="shared" si="16"/>
        <v>38</v>
      </c>
    </row>
    <row r="163" spans="1:21">
      <c r="A163" s="13">
        <v>44720</v>
      </c>
      <c r="B163" s="77">
        <v>2</v>
      </c>
      <c r="C163" s="77">
        <v>0</v>
      </c>
      <c r="D163" s="76">
        <v>3</v>
      </c>
      <c r="E163" s="77">
        <v>1</v>
      </c>
      <c r="F163" s="2">
        <v>4</v>
      </c>
      <c r="G163" s="1">
        <v>2</v>
      </c>
      <c r="H163" s="2">
        <v>3</v>
      </c>
      <c r="I163" s="1">
        <v>0</v>
      </c>
      <c r="J163" s="2">
        <v>4</v>
      </c>
      <c r="K163" s="1">
        <v>7</v>
      </c>
      <c r="L163" s="2">
        <v>4</v>
      </c>
      <c r="M163" s="1">
        <v>0</v>
      </c>
      <c r="N163" s="2">
        <v>2</v>
      </c>
      <c r="O163" s="1">
        <v>3</v>
      </c>
      <c r="P163" s="2">
        <v>1</v>
      </c>
      <c r="Q163" s="1">
        <v>2</v>
      </c>
      <c r="S163" s="21">
        <f t="shared" si="14"/>
        <v>23</v>
      </c>
      <c r="T163" s="21">
        <f t="shared" si="15"/>
        <v>15</v>
      </c>
      <c r="U163" s="22">
        <f t="shared" si="16"/>
        <v>38</v>
      </c>
    </row>
    <row r="164" spans="1:21">
      <c r="A164" s="11">
        <v>44721</v>
      </c>
      <c r="B164" s="77">
        <v>2</v>
      </c>
      <c r="C164" s="77">
        <v>0</v>
      </c>
      <c r="D164" s="76">
        <v>3</v>
      </c>
      <c r="E164" s="77">
        <v>1</v>
      </c>
      <c r="F164" s="2">
        <v>4</v>
      </c>
      <c r="G164" s="1">
        <v>2</v>
      </c>
      <c r="H164" s="2">
        <v>3</v>
      </c>
      <c r="I164" s="1">
        <v>0</v>
      </c>
      <c r="J164" s="2">
        <v>4</v>
      </c>
      <c r="K164" s="1">
        <v>7</v>
      </c>
      <c r="L164" s="2">
        <v>4</v>
      </c>
      <c r="M164" s="1">
        <v>0</v>
      </c>
      <c r="N164" s="2">
        <v>2</v>
      </c>
      <c r="O164" s="1">
        <v>3</v>
      </c>
      <c r="P164" s="2">
        <v>1</v>
      </c>
      <c r="Q164" s="1">
        <v>2</v>
      </c>
      <c r="S164" s="21">
        <f t="shared" si="14"/>
        <v>23</v>
      </c>
      <c r="T164" s="21">
        <f t="shared" si="15"/>
        <v>15</v>
      </c>
      <c r="U164" s="22">
        <f t="shared" si="16"/>
        <v>38</v>
      </c>
    </row>
    <row r="165" spans="1:21">
      <c r="A165" s="11">
        <v>44722</v>
      </c>
      <c r="B165" s="77">
        <v>2</v>
      </c>
      <c r="C165" s="77">
        <v>0</v>
      </c>
      <c r="D165" s="76">
        <v>3</v>
      </c>
      <c r="E165" s="77">
        <v>1</v>
      </c>
      <c r="F165" s="2">
        <v>4</v>
      </c>
      <c r="G165" s="1">
        <v>2</v>
      </c>
      <c r="H165" s="2">
        <v>3</v>
      </c>
      <c r="I165" s="1">
        <v>0</v>
      </c>
      <c r="J165" s="2">
        <v>4</v>
      </c>
      <c r="K165" s="1">
        <v>7</v>
      </c>
      <c r="L165" s="2">
        <v>4</v>
      </c>
      <c r="M165" s="1">
        <v>0</v>
      </c>
      <c r="N165" s="2">
        <v>2</v>
      </c>
      <c r="O165" s="1">
        <v>3</v>
      </c>
      <c r="P165" s="2">
        <v>1</v>
      </c>
      <c r="Q165" s="1">
        <v>2</v>
      </c>
      <c r="S165" s="21">
        <f t="shared" si="14"/>
        <v>23</v>
      </c>
      <c r="T165" s="21">
        <f t="shared" si="15"/>
        <v>15</v>
      </c>
      <c r="U165" s="22">
        <f t="shared" si="16"/>
        <v>38</v>
      </c>
    </row>
    <row r="166" spans="1:21">
      <c r="A166" s="12">
        <v>44723</v>
      </c>
      <c r="B166" s="77">
        <v>2</v>
      </c>
      <c r="C166" s="77">
        <v>0</v>
      </c>
      <c r="D166" s="76">
        <v>3</v>
      </c>
      <c r="E166" s="77">
        <v>1</v>
      </c>
      <c r="F166" s="2">
        <v>4</v>
      </c>
      <c r="G166" s="1">
        <v>2</v>
      </c>
      <c r="H166" s="2">
        <v>3</v>
      </c>
      <c r="I166" s="1">
        <v>0</v>
      </c>
      <c r="J166" s="2">
        <v>4</v>
      </c>
      <c r="K166" s="1">
        <v>7</v>
      </c>
      <c r="L166" s="2">
        <v>4</v>
      </c>
      <c r="M166" s="1">
        <v>0</v>
      </c>
      <c r="N166" s="2">
        <v>2</v>
      </c>
      <c r="O166" s="1">
        <v>3</v>
      </c>
      <c r="P166" s="2">
        <v>1</v>
      </c>
      <c r="Q166" s="1">
        <v>2</v>
      </c>
      <c r="S166" s="21">
        <f t="shared" si="14"/>
        <v>23</v>
      </c>
      <c r="T166" s="21">
        <f t="shared" si="15"/>
        <v>15</v>
      </c>
      <c r="U166" s="22">
        <f t="shared" si="16"/>
        <v>38</v>
      </c>
    </row>
    <row r="167" spans="1:21">
      <c r="A167" s="12">
        <v>44724</v>
      </c>
      <c r="B167" s="77">
        <v>2</v>
      </c>
      <c r="C167" s="77">
        <v>0</v>
      </c>
      <c r="D167" s="76">
        <v>3</v>
      </c>
      <c r="E167" s="77">
        <v>1</v>
      </c>
      <c r="F167" s="2">
        <v>4</v>
      </c>
      <c r="G167" s="1">
        <v>2</v>
      </c>
      <c r="H167" s="2">
        <v>3</v>
      </c>
      <c r="I167" s="1">
        <v>0</v>
      </c>
      <c r="J167" s="2">
        <v>4</v>
      </c>
      <c r="K167" s="1">
        <v>7</v>
      </c>
      <c r="L167" s="2">
        <v>4</v>
      </c>
      <c r="M167" s="1">
        <v>0</v>
      </c>
      <c r="N167" s="2">
        <v>2</v>
      </c>
      <c r="O167" s="1">
        <v>3</v>
      </c>
      <c r="P167" s="2">
        <v>1</v>
      </c>
      <c r="Q167" s="1">
        <v>2</v>
      </c>
      <c r="S167" s="21">
        <f t="shared" si="14"/>
        <v>23</v>
      </c>
      <c r="T167" s="21">
        <f t="shared" si="15"/>
        <v>15</v>
      </c>
      <c r="U167" s="22">
        <f t="shared" si="16"/>
        <v>38</v>
      </c>
    </row>
    <row r="168" spans="1:21">
      <c r="A168" s="11">
        <v>44725</v>
      </c>
      <c r="B168" s="77">
        <v>2</v>
      </c>
      <c r="C168" s="77">
        <v>0</v>
      </c>
      <c r="D168" s="76">
        <v>3</v>
      </c>
      <c r="E168" s="77">
        <v>1</v>
      </c>
      <c r="F168" s="2">
        <v>4</v>
      </c>
      <c r="G168" s="1">
        <v>2</v>
      </c>
      <c r="H168" s="2">
        <v>3</v>
      </c>
      <c r="I168" s="1">
        <v>0</v>
      </c>
      <c r="J168" s="2">
        <v>4</v>
      </c>
      <c r="K168" s="1">
        <v>7</v>
      </c>
      <c r="L168" s="2">
        <v>4</v>
      </c>
      <c r="M168" s="1">
        <v>0</v>
      </c>
      <c r="N168" s="2">
        <v>2</v>
      </c>
      <c r="O168" s="1">
        <v>3</v>
      </c>
      <c r="P168" s="2">
        <v>1</v>
      </c>
      <c r="Q168" s="1">
        <v>2</v>
      </c>
      <c r="S168" s="21">
        <f t="shared" si="14"/>
        <v>23</v>
      </c>
      <c r="T168" s="21">
        <f t="shared" si="15"/>
        <v>15</v>
      </c>
      <c r="U168" s="22">
        <f t="shared" si="16"/>
        <v>38</v>
      </c>
    </row>
    <row r="169" spans="1:21">
      <c r="A169" s="11">
        <v>44726</v>
      </c>
      <c r="B169" s="77">
        <v>2</v>
      </c>
      <c r="C169" s="77">
        <v>0</v>
      </c>
      <c r="D169" s="76">
        <v>3</v>
      </c>
      <c r="E169" s="77">
        <v>1</v>
      </c>
      <c r="F169" s="2">
        <v>4</v>
      </c>
      <c r="G169" s="1">
        <v>2</v>
      </c>
      <c r="H169" s="2">
        <v>3</v>
      </c>
      <c r="I169" s="1">
        <v>0</v>
      </c>
      <c r="J169" s="2">
        <v>4</v>
      </c>
      <c r="K169" s="1">
        <v>7</v>
      </c>
      <c r="L169" s="2">
        <v>4</v>
      </c>
      <c r="M169" s="1">
        <v>0</v>
      </c>
      <c r="N169" s="2">
        <v>2</v>
      </c>
      <c r="O169" s="1">
        <v>3</v>
      </c>
      <c r="P169" s="2">
        <v>1</v>
      </c>
      <c r="Q169" s="1">
        <v>2</v>
      </c>
      <c r="S169" s="21">
        <f t="shared" si="14"/>
        <v>23</v>
      </c>
      <c r="T169" s="21">
        <f t="shared" si="15"/>
        <v>15</v>
      </c>
      <c r="U169" s="22">
        <f t="shared" si="16"/>
        <v>38</v>
      </c>
    </row>
    <row r="170" spans="1:21">
      <c r="A170" s="13">
        <v>44727</v>
      </c>
      <c r="B170" s="77">
        <v>2</v>
      </c>
      <c r="C170" s="77">
        <v>0</v>
      </c>
      <c r="D170" s="76">
        <v>3</v>
      </c>
      <c r="E170" s="77">
        <v>1</v>
      </c>
      <c r="F170" s="2">
        <v>4</v>
      </c>
      <c r="G170" s="1">
        <v>2</v>
      </c>
      <c r="H170" s="2">
        <v>3</v>
      </c>
      <c r="I170" s="1">
        <v>0</v>
      </c>
      <c r="J170" s="2">
        <v>4</v>
      </c>
      <c r="K170" s="1">
        <v>7</v>
      </c>
      <c r="L170" s="2">
        <v>4</v>
      </c>
      <c r="M170" s="1">
        <v>0</v>
      </c>
      <c r="N170" s="2">
        <v>2</v>
      </c>
      <c r="O170" s="1">
        <v>3</v>
      </c>
      <c r="P170" s="2">
        <v>1</v>
      </c>
      <c r="Q170" s="1">
        <v>2</v>
      </c>
      <c r="S170" s="21">
        <f t="shared" si="14"/>
        <v>23</v>
      </c>
      <c r="T170" s="21">
        <f t="shared" si="15"/>
        <v>15</v>
      </c>
      <c r="U170" s="22">
        <f t="shared" si="16"/>
        <v>38</v>
      </c>
    </row>
    <row r="171" spans="1:21">
      <c r="A171" s="11">
        <v>44728</v>
      </c>
      <c r="B171" s="77">
        <v>2</v>
      </c>
      <c r="C171" s="77">
        <v>0</v>
      </c>
      <c r="D171" s="76">
        <v>3</v>
      </c>
      <c r="E171" s="77">
        <v>1</v>
      </c>
      <c r="F171" s="2">
        <v>4</v>
      </c>
      <c r="G171" s="1">
        <v>2</v>
      </c>
      <c r="H171" s="2">
        <v>3</v>
      </c>
      <c r="I171" s="1">
        <v>0</v>
      </c>
      <c r="J171" s="2">
        <v>4</v>
      </c>
      <c r="K171" s="1">
        <v>7</v>
      </c>
      <c r="L171" s="2">
        <v>4</v>
      </c>
      <c r="M171" s="1">
        <v>0</v>
      </c>
      <c r="N171" s="2">
        <v>2</v>
      </c>
      <c r="O171" s="1">
        <v>3</v>
      </c>
      <c r="P171" s="2">
        <v>1</v>
      </c>
      <c r="Q171" s="1">
        <v>2</v>
      </c>
      <c r="S171" s="21">
        <f t="shared" si="14"/>
        <v>23</v>
      </c>
      <c r="T171" s="21">
        <f t="shared" si="15"/>
        <v>15</v>
      </c>
      <c r="U171" s="22">
        <f t="shared" si="16"/>
        <v>38</v>
      </c>
    </row>
    <row r="172" spans="1:21">
      <c r="A172" s="11">
        <v>44729</v>
      </c>
      <c r="B172" s="77">
        <v>2</v>
      </c>
      <c r="C172" s="77">
        <v>0</v>
      </c>
      <c r="D172" s="76">
        <v>3</v>
      </c>
      <c r="E172" s="77">
        <v>1</v>
      </c>
      <c r="F172" s="2">
        <v>4</v>
      </c>
      <c r="G172" s="1">
        <v>2</v>
      </c>
      <c r="H172" s="2">
        <v>3</v>
      </c>
      <c r="I172" s="1">
        <v>0</v>
      </c>
      <c r="J172" s="2">
        <v>4</v>
      </c>
      <c r="K172" s="1">
        <v>7</v>
      </c>
      <c r="L172" s="2">
        <v>4</v>
      </c>
      <c r="M172" s="1">
        <v>0</v>
      </c>
      <c r="N172" s="2">
        <v>2</v>
      </c>
      <c r="O172" s="1">
        <v>3</v>
      </c>
      <c r="P172" s="2">
        <v>1</v>
      </c>
      <c r="Q172" s="1">
        <v>2</v>
      </c>
      <c r="S172" s="21">
        <f t="shared" si="14"/>
        <v>23</v>
      </c>
      <c r="T172" s="21">
        <f t="shared" si="15"/>
        <v>15</v>
      </c>
      <c r="U172" s="22">
        <f t="shared" si="16"/>
        <v>38</v>
      </c>
    </row>
    <row r="173" spans="1:21">
      <c r="A173" s="12">
        <v>44730</v>
      </c>
      <c r="B173" s="77">
        <v>2</v>
      </c>
      <c r="C173" s="77">
        <v>0</v>
      </c>
      <c r="D173" s="76">
        <v>3</v>
      </c>
      <c r="E173" s="77">
        <v>1</v>
      </c>
      <c r="F173" s="2">
        <v>4</v>
      </c>
      <c r="G173" s="1">
        <v>2</v>
      </c>
      <c r="H173" s="2">
        <v>3</v>
      </c>
      <c r="I173" s="1">
        <v>0</v>
      </c>
      <c r="J173" s="2">
        <v>4</v>
      </c>
      <c r="K173" s="1">
        <v>7</v>
      </c>
      <c r="L173" s="2">
        <v>4</v>
      </c>
      <c r="M173" s="1">
        <v>0</v>
      </c>
      <c r="N173" s="2">
        <v>2</v>
      </c>
      <c r="O173" s="1">
        <v>3</v>
      </c>
      <c r="P173" s="2">
        <v>1</v>
      </c>
      <c r="Q173" s="1">
        <v>2</v>
      </c>
      <c r="S173" s="21">
        <f t="shared" si="14"/>
        <v>23</v>
      </c>
      <c r="T173" s="21">
        <f t="shared" si="15"/>
        <v>15</v>
      </c>
      <c r="U173" s="22">
        <f t="shared" si="16"/>
        <v>38</v>
      </c>
    </row>
    <row r="174" spans="1:21">
      <c r="A174" s="12">
        <v>44731</v>
      </c>
      <c r="B174" s="77">
        <v>2</v>
      </c>
      <c r="C174" s="77">
        <v>0</v>
      </c>
      <c r="D174" s="76">
        <v>3</v>
      </c>
      <c r="E174" s="77">
        <v>1</v>
      </c>
      <c r="F174" s="2">
        <v>4</v>
      </c>
      <c r="G174" s="1">
        <v>2</v>
      </c>
      <c r="H174" s="2">
        <v>3</v>
      </c>
      <c r="I174" s="1">
        <v>0</v>
      </c>
      <c r="J174" s="2">
        <v>4</v>
      </c>
      <c r="K174" s="1">
        <v>7</v>
      </c>
      <c r="L174" s="2">
        <v>4</v>
      </c>
      <c r="M174" s="1">
        <v>0</v>
      </c>
      <c r="N174" s="2">
        <v>2</v>
      </c>
      <c r="O174" s="1">
        <v>3</v>
      </c>
      <c r="P174" s="2">
        <v>1</v>
      </c>
      <c r="Q174" s="1">
        <v>2</v>
      </c>
      <c r="S174" s="21">
        <f t="shared" si="14"/>
        <v>23</v>
      </c>
      <c r="T174" s="21">
        <f t="shared" si="15"/>
        <v>15</v>
      </c>
      <c r="U174" s="22">
        <f t="shared" si="16"/>
        <v>38</v>
      </c>
    </row>
    <row r="175" spans="1:21">
      <c r="A175" s="11">
        <v>44732</v>
      </c>
      <c r="B175" s="77">
        <v>2</v>
      </c>
      <c r="C175" s="77">
        <v>0</v>
      </c>
      <c r="D175" s="76">
        <v>3</v>
      </c>
      <c r="E175" s="77">
        <v>1</v>
      </c>
      <c r="F175" s="2">
        <v>4</v>
      </c>
      <c r="G175" s="1">
        <v>2</v>
      </c>
      <c r="H175" s="2">
        <v>3</v>
      </c>
      <c r="I175" s="1">
        <v>0</v>
      </c>
      <c r="J175" s="2">
        <v>4</v>
      </c>
      <c r="K175" s="1">
        <v>7</v>
      </c>
      <c r="L175" s="2">
        <v>4</v>
      </c>
      <c r="M175" s="1">
        <v>0</v>
      </c>
      <c r="N175" s="2">
        <v>2</v>
      </c>
      <c r="O175" s="1">
        <v>3</v>
      </c>
      <c r="P175" s="2">
        <v>1</v>
      </c>
      <c r="Q175" s="1">
        <v>2</v>
      </c>
      <c r="S175" s="21">
        <f t="shared" si="14"/>
        <v>23</v>
      </c>
      <c r="T175" s="21">
        <f t="shared" si="15"/>
        <v>15</v>
      </c>
      <c r="U175" s="22">
        <f t="shared" si="16"/>
        <v>38</v>
      </c>
    </row>
    <row r="176" spans="1:21">
      <c r="A176" s="11">
        <v>44733</v>
      </c>
      <c r="B176" s="77">
        <v>2</v>
      </c>
      <c r="C176" s="77">
        <v>0</v>
      </c>
      <c r="D176" s="76">
        <v>3</v>
      </c>
      <c r="E176" s="77">
        <v>1</v>
      </c>
      <c r="F176" s="2">
        <v>4</v>
      </c>
      <c r="G176" s="1">
        <v>2</v>
      </c>
      <c r="H176" s="2">
        <v>3</v>
      </c>
      <c r="I176" s="1">
        <v>0</v>
      </c>
      <c r="J176" s="2">
        <v>4</v>
      </c>
      <c r="K176" s="1">
        <v>7</v>
      </c>
      <c r="L176" s="2">
        <v>4</v>
      </c>
      <c r="M176" s="1">
        <v>0</v>
      </c>
      <c r="N176" s="2">
        <v>2</v>
      </c>
      <c r="O176" s="1">
        <v>3</v>
      </c>
      <c r="P176" s="2">
        <v>1</v>
      </c>
      <c r="Q176" s="1">
        <v>2</v>
      </c>
      <c r="S176" s="21">
        <f t="shared" si="14"/>
        <v>23</v>
      </c>
      <c r="T176" s="21">
        <f t="shared" si="15"/>
        <v>15</v>
      </c>
      <c r="U176" s="22">
        <f t="shared" si="16"/>
        <v>38</v>
      </c>
    </row>
    <row r="177" spans="1:21">
      <c r="A177" s="13">
        <v>44734</v>
      </c>
      <c r="B177" s="77">
        <v>2</v>
      </c>
      <c r="C177" s="77">
        <v>0</v>
      </c>
      <c r="D177" s="76">
        <v>3</v>
      </c>
      <c r="E177" s="77">
        <v>1</v>
      </c>
      <c r="F177" s="2">
        <v>4</v>
      </c>
      <c r="G177" s="1">
        <v>2</v>
      </c>
      <c r="H177" s="2">
        <v>3</v>
      </c>
      <c r="I177" s="1">
        <v>0</v>
      </c>
      <c r="J177" s="2">
        <v>4</v>
      </c>
      <c r="K177" s="1">
        <v>7</v>
      </c>
      <c r="L177" s="2">
        <v>4</v>
      </c>
      <c r="M177" s="1">
        <v>0</v>
      </c>
      <c r="N177" s="2">
        <v>2</v>
      </c>
      <c r="O177" s="1">
        <v>3</v>
      </c>
      <c r="P177" s="2">
        <v>1</v>
      </c>
      <c r="Q177" s="1">
        <v>2</v>
      </c>
      <c r="S177" s="21">
        <f t="shared" si="14"/>
        <v>23</v>
      </c>
      <c r="T177" s="21">
        <f t="shared" si="15"/>
        <v>15</v>
      </c>
      <c r="U177" s="22">
        <f t="shared" si="16"/>
        <v>38</v>
      </c>
    </row>
    <row r="178" spans="1:21">
      <c r="A178" s="11">
        <v>44735</v>
      </c>
      <c r="B178" s="77">
        <v>2</v>
      </c>
      <c r="C178" s="77">
        <v>0</v>
      </c>
      <c r="D178" s="76">
        <v>3</v>
      </c>
      <c r="E178" s="77">
        <v>1</v>
      </c>
      <c r="F178" s="2">
        <v>4</v>
      </c>
      <c r="G178" s="1">
        <v>2</v>
      </c>
      <c r="H178" s="2">
        <v>3</v>
      </c>
      <c r="I178" s="1">
        <v>0</v>
      </c>
      <c r="J178" s="2">
        <v>4</v>
      </c>
      <c r="K178" s="1">
        <v>7</v>
      </c>
      <c r="L178" s="2">
        <v>4</v>
      </c>
      <c r="M178" s="1">
        <v>0</v>
      </c>
      <c r="N178" s="2">
        <v>2</v>
      </c>
      <c r="O178" s="1">
        <v>3</v>
      </c>
      <c r="P178" s="2">
        <v>1</v>
      </c>
      <c r="Q178" s="1">
        <v>2</v>
      </c>
      <c r="S178" s="21">
        <f t="shared" si="14"/>
        <v>23</v>
      </c>
      <c r="T178" s="21">
        <f t="shared" si="15"/>
        <v>15</v>
      </c>
      <c r="U178" s="22">
        <f t="shared" si="16"/>
        <v>38</v>
      </c>
    </row>
    <row r="179" spans="1:21">
      <c r="A179" s="11">
        <v>44736</v>
      </c>
      <c r="B179" s="77">
        <v>2</v>
      </c>
      <c r="C179" s="77">
        <v>0</v>
      </c>
      <c r="D179" s="76">
        <v>3</v>
      </c>
      <c r="E179" s="77">
        <v>1</v>
      </c>
      <c r="F179" s="2">
        <v>4</v>
      </c>
      <c r="G179" s="1">
        <v>2</v>
      </c>
      <c r="H179" s="2">
        <v>3</v>
      </c>
      <c r="I179" s="1">
        <v>0</v>
      </c>
      <c r="J179" s="2">
        <v>4</v>
      </c>
      <c r="K179" s="1">
        <v>7</v>
      </c>
      <c r="L179" s="2">
        <v>4</v>
      </c>
      <c r="M179" s="1">
        <v>0</v>
      </c>
      <c r="N179" s="2">
        <v>2</v>
      </c>
      <c r="O179" s="1">
        <v>3</v>
      </c>
      <c r="P179" s="2">
        <v>1</v>
      </c>
      <c r="Q179" s="1">
        <v>2</v>
      </c>
      <c r="S179" s="21">
        <f t="shared" si="14"/>
        <v>23</v>
      </c>
      <c r="T179" s="21">
        <f t="shared" si="15"/>
        <v>15</v>
      </c>
      <c r="U179" s="22">
        <f t="shared" si="16"/>
        <v>38</v>
      </c>
    </row>
    <row r="180" spans="1:21">
      <c r="A180" s="12">
        <v>44737</v>
      </c>
      <c r="B180" s="77">
        <v>2</v>
      </c>
      <c r="C180" s="77">
        <v>0</v>
      </c>
      <c r="D180" s="76">
        <v>3</v>
      </c>
      <c r="E180" s="77">
        <v>1</v>
      </c>
      <c r="F180" s="2">
        <v>4</v>
      </c>
      <c r="G180" s="1">
        <v>2</v>
      </c>
      <c r="H180" s="2">
        <v>3</v>
      </c>
      <c r="I180" s="1">
        <v>0</v>
      </c>
      <c r="J180" s="2">
        <v>4</v>
      </c>
      <c r="K180" s="1">
        <v>7</v>
      </c>
      <c r="L180" s="2">
        <v>4</v>
      </c>
      <c r="M180" s="1">
        <v>0</v>
      </c>
      <c r="N180" s="2">
        <v>2</v>
      </c>
      <c r="O180" s="1">
        <v>3</v>
      </c>
      <c r="P180" s="2">
        <v>1</v>
      </c>
      <c r="Q180" s="1">
        <v>2</v>
      </c>
      <c r="S180" s="21">
        <f t="shared" si="14"/>
        <v>23</v>
      </c>
      <c r="T180" s="21">
        <f t="shared" si="15"/>
        <v>15</v>
      </c>
      <c r="U180" s="22">
        <f t="shared" si="16"/>
        <v>38</v>
      </c>
    </row>
    <row r="181" spans="1:21">
      <c r="A181" s="12">
        <v>44738</v>
      </c>
      <c r="B181" s="77">
        <v>2</v>
      </c>
      <c r="C181" s="77">
        <v>0</v>
      </c>
      <c r="D181" s="76">
        <v>3</v>
      </c>
      <c r="E181" s="77">
        <v>1</v>
      </c>
      <c r="F181" s="2">
        <v>4</v>
      </c>
      <c r="G181" s="1">
        <v>2</v>
      </c>
      <c r="H181" s="2">
        <v>3</v>
      </c>
      <c r="I181" s="1">
        <v>0</v>
      </c>
      <c r="J181" s="2">
        <v>4</v>
      </c>
      <c r="K181" s="1">
        <v>7</v>
      </c>
      <c r="L181" s="2">
        <v>4</v>
      </c>
      <c r="M181" s="1">
        <v>0</v>
      </c>
      <c r="N181" s="2">
        <v>2</v>
      </c>
      <c r="O181" s="1">
        <v>3</v>
      </c>
      <c r="P181" s="2">
        <v>1</v>
      </c>
      <c r="Q181" s="1">
        <v>2</v>
      </c>
      <c r="S181" s="21">
        <f t="shared" si="14"/>
        <v>23</v>
      </c>
      <c r="T181" s="21">
        <f t="shared" si="15"/>
        <v>15</v>
      </c>
      <c r="U181" s="22">
        <f t="shared" si="16"/>
        <v>38</v>
      </c>
    </row>
    <row r="182" spans="1:21">
      <c r="A182" s="11">
        <v>44739</v>
      </c>
      <c r="B182" s="77">
        <v>2</v>
      </c>
      <c r="C182" s="77">
        <v>0</v>
      </c>
      <c r="D182" s="76">
        <v>3</v>
      </c>
      <c r="E182" s="77">
        <v>1</v>
      </c>
      <c r="F182" s="2">
        <v>4</v>
      </c>
      <c r="G182" s="1">
        <v>2</v>
      </c>
      <c r="H182" s="2">
        <v>3</v>
      </c>
      <c r="I182" s="1">
        <v>0</v>
      </c>
      <c r="J182" s="2">
        <v>4</v>
      </c>
      <c r="K182" s="1">
        <v>7</v>
      </c>
      <c r="L182" s="2">
        <v>4</v>
      </c>
      <c r="M182" s="1">
        <v>0</v>
      </c>
      <c r="N182" s="2">
        <v>2</v>
      </c>
      <c r="O182" s="1">
        <v>3</v>
      </c>
      <c r="P182" s="2">
        <v>1</v>
      </c>
      <c r="Q182" s="1">
        <v>2</v>
      </c>
      <c r="S182" s="21">
        <f t="shared" si="14"/>
        <v>23</v>
      </c>
      <c r="T182" s="21">
        <f t="shared" si="15"/>
        <v>15</v>
      </c>
      <c r="U182" s="22">
        <f t="shared" si="16"/>
        <v>38</v>
      </c>
    </row>
    <row r="183" spans="1:21">
      <c r="A183" s="11">
        <v>44740</v>
      </c>
      <c r="B183" s="77">
        <v>2</v>
      </c>
      <c r="C183" s="77">
        <v>0</v>
      </c>
      <c r="D183" s="76">
        <v>3</v>
      </c>
      <c r="E183" s="77">
        <v>1</v>
      </c>
      <c r="F183" s="2">
        <v>4</v>
      </c>
      <c r="G183" s="1">
        <v>2</v>
      </c>
      <c r="H183" s="2">
        <v>3</v>
      </c>
      <c r="I183" s="1">
        <v>0</v>
      </c>
      <c r="J183" s="2">
        <v>4</v>
      </c>
      <c r="K183" s="1">
        <v>7</v>
      </c>
      <c r="L183" s="2">
        <v>4</v>
      </c>
      <c r="M183" s="1">
        <v>0</v>
      </c>
      <c r="N183" s="2">
        <v>2</v>
      </c>
      <c r="O183" s="1">
        <v>3</v>
      </c>
      <c r="P183" s="2">
        <v>1</v>
      </c>
      <c r="Q183" s="1">
        <v>2</v>
      </c>
      <c r="S183" s="21">
        <f t="shared" si="14"/>
        <v>23</v>
      </c>
      <c r="T183" s="21">
        <f t="shared" si="15"/>
        <v>15</v>
      </c>
      <c r="U183" s="22">
        <f t="shared" si="16"/>
        <v>38</v>
      </c>
    </row>
    <row r="184" spans="1:21">
      <c r="A184" s="13">
        <v>44741</v>
      </c>
      <c r="B184" s="77">
        <v>2</v>
      </c>
      <c r="C184" s="77">
        <v>0</v>
      </c>
      <c r="D184" s="76">
        <v>3</v>
      </c>
      <c r="E184" s="77">
        <v>1</v>
      </c>
      <c r="F184" s="2">
        <v>4</v>
      </c>
      <c r="G184" s="1">
        <v>2</v>
      </c>
      <c r="H184" s="2">
        <v>3</v>
      </c>
      <c r="I184" s="1">
        <v>0</v>
      </c>
      <c r="J184" s="2">
        <v>4</v>
      </c>
      <c r="K184" s="1">
        <v>7</v>
      </c>
      <c r="L184" s="2">
        <v>4</v>
      </c>
      <c r="M184" s="1">
        <v>0</v>
      </c>
      <c r="N184" s="2">
        <v>2</v>
      </c>
      <c r="O184" s="1">
        <v>3</v>
      </c>
      <c r="P184" s="2">
        <v>1</v>
      </c>
      <c r="Q184" s="1">
        <v>2</v>
      </c>
      <c r="S184" s="21">
        <f t="shared" si="14"/>
        <v>23</v>
      </c>
      <c r="T184" s="21">
        <f t="shared" si="15"/>
        <v>15</v>
      </c>
      <c r="U184" s="22">
        <f t="shared" si="16"/>
        <v>38</v>
      </c>
    </row>
    <row r="185" spans="1:21">
      <c r="A185" s="11">
        <v>44742</v>
      </c>
      <c r="B185" s="77">
        <v>2</v>
      </c>
      <c r="C185" s="77">
        <v>0</v>
      </c>
      <c r="D185" s="76">
        <v>3</v>
      </c>
      <c r="E185" s="77">
        <v>1</v>
      </c>
      <c r="F185" s="2">
        <v>4</v>
      </c>
      <c r="G185" s="1">
        <v>2</v>
      </c>
      <c r="H185" s="2">
        <v>3</v>
      </c>
      <c r="I185" s="1">
        <v>0</v>
      </c>
      <c r="J185" s="2">
        <v>4</v>
      </c>
      <c r="K185" s="1">
        <v>7</v>
      </c>
      <c r="L185" s="2">
        <v>4</v>
      </c>
      <c r="M185" s="1">
        <v>0</v>
      </c>
      <c r="N185" s="2">
        <v>2</v>
      </c>
      <c r="O185" s="1">
        <v>3</v>
      </c>
      <c r="P185" s="2">
        <v>1</v>
      </c>
      <c r="Q185" s="1">
        <v>2</v>
      </c>
      <c r="S185" s="21">
        <f t="shared" si="14"/>
        <v>23</v>
      </c>
      <c r="T185" s="21">
        <f t="shared" si="15"/>
        <v>15</v>
      </c>
      <c r="U185" s="22">
        <f t="shared" si="16"/>
        <v>38</v>
      </c>
    </row>
    <row r="186" spans="1:21">
      <c r="A186" s="11">
        <v>44743</v>
      </c>
      <c r="B186" s="77">
        <v>2</v>
      </c>
      <c r="C186" s="77">
        <v>0</v>
      </c>
      <c r="D186" s="76">
        <v>3</v>
      </c>
      <c r="E186" s="77">
        <v>1</v>
      </c>
      <c r="F186" s="2">
        <v>4</v>
      </c>
      <c r="G186" s="1">
        <v>2</v>
      </c>
      <c r="H186" s="2">
        <v>3</v>
      </c>
      <c r="I186" s="1">
        <v>0</v>
      </c>
      <c r="J186" s="2">
        <v>4</v>
      </c>
      <c r="K186" s="1">
        <v>7</v>
      </c>
      <c r="L186" s="2">
        <v>4</v>
      </c>
      <c r="M186" s="1">
        <v>0</v>
      </c>
      <c r="N186" s="2">
        <v>2</v>
      </c>
      <c r="O186" s="1">
        <v>3</v>
      </c>
      <c r="P186" s="2">
        <v>1</v>
      </c>
      <c r="Q186" s="1">
        <v>2</v>
      </c>
      <c r="S186" s="21">
        <f t="shared" ref="S186:S217" si="17">SUM(B186,D186,F186,H186,J186,L186,N186,P186)</f>
        <v>23</v>
      </c>
      <c r="T186" s="21">
        <f t="shared" ref="T186:T217" si="18">SUM(C186,E186,G186,I186,K186,M186,O186,Q186)</f>
        <v>15</v>
      </c>
      <c r="U186" s="22">
        <f t="shared" ref="U186:U217" si="19">SUM(S186:T186)</f>
        <v>38</v>
      </c>
    </row>
    <row r="187" spans="1:21">
      <c r="A187" s="12">
        <v>44744</v>
      </c>
      <c r="B187" s="77">
        <v>2</v>
      </c>
      <c r="C187" s="77">
        <v>0</v>
      </c>
      <c r="D187" s="76">
        <v>3</v>
      </c>
      <c r="E187" s="77">
        <v>1</v>
      </c>
      <c r="F187" s="2">
        <v>4</v>
      </c>
      <c r="G187" s="1">
        <v>2</v>
      </c>
      <c r="H187" s="2">
        <v>3</v>
      </c>
      <c r="I187" s="1">
        <v>0</v>
      </c>
      <c r="J187" s="2">
        <v>4</v>
      </c>
      <c r="K187" s="1">
        <v>7</v>
      </c>
      <c r="L187" s="2">
        <v>4</v>
      </c>
      <c r="M187" s="1">
        <v>0</v>
      </c>
      <c r="N187" s="2">
        <v>2</v>
      </c>
      <c r="O187" s="1">
        <v>3</v>
      </c>
      <c r="P187" s="2">
        <v>1</v>
      </c>
      <c r="Q187" s="1">
        <v>2</v>
      </c>
      <c r="S187" s="21">
        <f t="shared" si="17"/>
        <v>23</v>
      </c>
      <c r="T187" s="21">
        <f t="shared" si="18"/>
        <v>15</v>
      </c>
      <c r="U187" s="22">
        <f t="shared" si="19"/>
        <v>38</v>
      </c>
    </row>
    <row r="188" spans="1:21">
      <c r="A188" s="12">
        <v>44745</v>
      </c>
      <c r="B188" s="77">
        <v>2</v>
      </c>
      <c r="C188" s="77">
        <v>0</v>
      </c>
      <c r="D188" s="76">
        <v>3</v>
      </c>
      <c r="E188" s="77">
        <v>1</v>
      </c>
      <c r="F188" s="2">
        <v>4</v>
      </c>
      <c r="G188" s="1">
        <v>2</v>
      </c>
      <c r="H188" s="2">
        <v>3</v>
      </c>
      <c r="I188" s="1">
        <v>0</v>
      </c>
      <c r="J188" s="2">
        <v>4</v>
      </c>
      <c r="K188" s="1">
        <v>7</v>
      </c>
      <c r="L188" s="2">
        <v>4</v>
      </c>
      <c r="M188" s="1">
        <v>0</v>
      </c>
      <c r="N188" s="2">
        <v>2</v>
      </c>
      <c r="O188" s="1">
        <v>3</v>
      </c>
      <c r="P188" s="2">
        <v>1</v>
      </c>
      <c r="Q188" s="1">
        <v>2</v>
      </c>
      <c r="S188" s="21">
        <f t="shared" si="17"/>
        <v>23</v>
      </c>
      <c r="T188" s="21">
        <f t="shared" si="18"/>
        <v>15</v>
      </c>
      <c r="U188" s="22">
        <f t="shared" si="19"/>
        <v>38</v>
      </c>
    </row>
    <row r="189" spans="1:21">
      <c r="A189" s="11">
        <v>44746</v>
      </c>
      <c r="B189" s="77">
        <v>2</v>
      </c>
      <c r="C189" s="77">
        <v>0</v>
      </c>
      <c r="D189" s="76">
        <v>3</v>
      </c>
      <c r="E189" s="77">
        <v>1</v>
      </c>
      <c r="F189" s="2">
        <v>4</v>
      </c>
      <c r="G189" s="1">
        <v>2</v>
      </c>
      <c r="H189" s="2">
        <v>3</v>
      </c>
      <c r="I189" s="1">
        <v>0</v>
      </c>
      <c r="J189" s="2">
        <v>4</v>
      </c>
      <c r="K189" s="1">
        <v>7</v>
      </c>
      <c r="L189" s="2">
        <v>4</v>
      </c>
      <c r="M189" s="1">
        <v>0</v>
      </c>
      <c r="N189" s="2">
        <v>2</v>
      </c>
      <c r="O189" s="1">
        <v>3</v>
      </c>
      <c r="P189" s="2">
        <v>1</v>
      </c>
      <c r="Q189" s="1">
        <v>2</v>
      </c>
      <c r="S189" s="21">
        <f t="shared" si="17"/>
        <v>23</v>
      </c>
      <c r="T189" s="21">
        <f t="shared" si="18"/>
        <v>15</v>
      </c>
      <c r="U189" s="22">
        <f t="shared" si="19"/>
        <v>38</v>
      </c>
    </row>
    <row r="190" spans="1:21">
      <c r="A190" s="11">
        <v>44747</v>
      </c>
      <c r="B190" s="77">
        <v>2</v>
      </c>
      <c r="C190" s="77">
        <v>0</v>
      </c>
      <c r="D190" s="76">
        <v>3</v>
      </c>
      <c r="E190" s="77">
        <v>1</v>
      </c>
      <c r="F190" s="2">
        <v>4</v>
      </c>
      <c r="G190" s="1">
        <v>2</v>
      </c>
      <c r="H190" s="2">
        <v>3</v>
      </c>
      <c r="I190" s="1">
        <v>0</v>
      </c>
      <c r="J190" s="2">
        <v>4</v>
      </c>
      <c r="K190" s="1">
        <v>7</v>
      </c>
      <c r="L190" s="2">
        <v>4</v>
      </c>
      <c r="M190" s="1">
        <v>0</v>
      </c>
      <c r="N190" s="2">
        <v>2</v>
      </c>
      <c r="O190" s="1">
        <v>3</v>
      </c>
      <c r="P190" s="2">
        <v>1</v>
      </c>
      <c r="Q190" s="1">
        <v>2</v>
      </c>
      <c r="S190" s="21">
        <f t="shared" si="17"/>
        <v>23</v>
      </c>
      <c r="T190" s="21">
        <f t="shared" si="18"/>
        <v>15</v>
      </c>
      <c r="U190" s="22">
        <f t="shared" si="19"/>
        <v>38</v>
      </c>
    </row>
    <row r="191" spans="1:21">
      <c r="A191" s="13">
        <v>44748</v>
      </c>
      <c r="B191" s="77">
        <v>2</v>
      </c>
      <c r="C191" s="77">
        <v>0</v>
      </c>
      <c r="D191" s="76">
        <v>3</v>
      </c>
      <c r="E191" s="77">
        <v>1</v>
      </c>
      <c r="F191" s="2">
        <v>4</v>
      </c>
      <c r="G191" s="1">
        <v>2</v>
      </c>
      <c r="H191" s="2">
        <v>3</v>
      </c>
      <c r="I191" s="1">
        <v>0</v>
      </c>
      <c r="J191" s="2">
        <v>4</v>
      </c>
      <c r="K191" s="1">
        <v>7</v>
      </c>
      <c r="L191" s="2">
        <v>4</v>
      </c>
      <c r="M191" s="1">
        <v>0</v>
      </c>
      <c r="N191" s="2">
        <v>2</v>
      </c>
      <c r="O191" s="1">
        <v>3</v>
      </c>
      <c r="P191" s="2">
        <v>1</v>
      </c>
      <c r="Q191" s="1">
        <v>2</v>
      </c>
      <c r="S191" s="21">
        <f t="shared" si="17"/>
        <v>23</v>
      </c>
      <c r="T191" s="21">
        <f t="shared" si="18"/>
        <v>15</v>
      </c>
      <c r="U191" s="22">
        <f t="shared" si="19"/>
        <v>38</v>
      </c>
    </row>
    <row r="192" spans="1:21">
      <c r="A192" s="11">
        <v>44749</v>
      </c>
      <c r="B192" s="77">
        <v>2</v>
      </c>
      <c r="C192" s="77">
        <v>0</v>
      </c>
      <c r="D192" s="76">
        <v>3</v>
      </c>
      <c r="E192" s="77">
        <v>1</v>
      </c>
      <c r="F192" s="2">
        <v>4</v>
      </c>
      <c r="G192" s="1">
        <v>2</v>
      </c>
      <c r="H192" s="2">
        <v>3</v>
      </c>
      <c r="I192" s="1">
        <v>0</v>
      </c>
      <c r="J192" s="2">
        <v>4</v>
      </c>
      <c r="K192" s="1">
        <v>7</v>
      </c>
      <c r="L192" s="2">
        <v>4</v>
      </c>
      <c r="M192" s="1">
        <v>0</v>
      </c>
      <c r="N192" s="2">
        <v>2</v>
      </c>
      <c r="O192" s="1">
        <v>3</v>
      </c>
      <c r="P192" s="2">
        <v>1</v>
      </c>
      <c r="Q192" s="1">
        <v>2</v>
      </c>
      <c r="S192" s="21">
        <f t="shared" si="17"/>
        <v>23</v>
      </c>
      <c r="T192" s="21">
        <f t="shared" si="18"/>
        <v>15</v>
      </c>
      <c r="U192" s="22">
        <f t="shared" si="19"/>
        <v>38</v>
      </c>
    </row>
    <row r="193" spans="1:21">
      <c r="A193" s="11">
        <v>44750</v>
      </c>
      <c r="B193" s="77">
        <v>2</v>
      </c>
      <c r="C193" s="77">
        <v>0</v>
      </c>
      <c r="D193" s="76">
        <v>3</v>
      </c>
      <c r="E193" s="77">
        <v>1</v>
      </c>
      <c r="F193" s="2">
        <v>4</v>
      </c>
      <c r="G193" s="1">
        <v>2</v>
      </c>
      <c r="H193" s="2">
        <v>3</v>
      </c>
      <c r="I193" s="1">
        <v>0</v>
      </c>
      <c r="J193" s="2">
        <v>4</v>
      </c>
      <c r="K193" s="1">
        <v>7</v>
      </c>
      <c r="L193" s="2">
        <v>4</v>
      </c>
      <c r="M193" s="1">
        <v>0</v>
      </c>
      <c r="N193" s="2">
        <v>2</v>
      </c>
      <c r="O193" s="1">
        <v>3</v>
      </c>
      <c r="P193" s="2">
        <v>1</v>
      </c>
      <c r="Q193" s="1">
        <v>2</v>
      </c>
      <c r="S193" s="21">
        <f t="shared" si="17"/>
        <v>23</v>
      </c>
      <c r="T193" s="21">
        <f t="shared" si="18"/>
        <v>15</v>
      </c>
      <c r="U193" s="22">
        <f t="shared" si="19"/>
        <v>38</v>
      </c>
    </row>
    <row r="194" spans="1:21">
      <c r="A194" s="12">
        <v>44751</v>
      </c>
      <c r="B194" s="77">
        <v>2</v>
      </c>
      <c r="C194" s="77">
        <v>0</v>
      </c>
      <c r="D194" s="76">
        <v>3</v>
      </c>
      <c r="E194" s="77">
        <v>1</v>
      </c>
      <c r="F194" s="2">
        <v>4</v>
      </c>
      <c r="G194" s="1">
        <v>2</v>
      </c>
      <c r="H194" s="2">
        <v>3</v>
      </c>
      <c r="I194" s="1">
        <v>0</v>
      </c>
      <c r="J194" s="2">
        <v>4</v>
      </c>
      <c r="K194" s="1">
        <v>7</v>
      </c>
      <c r="L194" s="2">
        <v>4</v>
      </c>
      <c r="M194" s="1">
        <v>0</v>
      </c>
      <c r="N194" s="2">
        <v>2</v>
      </c>
      <c r="O194" s="1">
        <v>3</v>
      </c>
      <c r="P194" s="2">
        <v>1</v>
      </c>
      <c r="Q194" s="1">
        <v>2</v>
      </c>
      <c r="S194" s="21">
        <f t="shared" si="17"/>
        <v>23</v>
      </c>
      <c r="T194" s="21">
        <f t="shared" si="18"/>
        <v>15</v>
      </c>
      <c r="U194" s="22">
        <f t="shared" si="19"/>
        <v>38</v>
      </c>
    </row>
    <row r="195" spans="1:21">
      <c r="A195" s="12">
        <v>44752</v>
      </c>
      <c r="B195" s="77">
        <v>2</v>
      </c>
      <c r="C195" s="77">
        <v>0</v>
      </c>
      <c r="D195" s="76">
        <v>3</v>
      </c>
      <c r="E195" s="77">
        <v>1</v>
      </c>
      <c r="F195" s="2">
        <v>4</v>
      </c>
      <c r="G195" s="1">
        <v>2</v>
      </c>
      <c r="H195" s="2">
        <v>3</v>
      </c>
      <c r="I195" s="1">
        <v>0</v>
      </c>
      <c r="J195" s="2">
        <v>4</v>
      </c>
      <c r="K195" s="1">
        <v>7</v>
      </c>
      <c r="L195" s="2">
        <v>4</v>
      </c>
      <c r="M195" s="1">
        <v>0</v>
      </c>
      <c r="N195" s="2">
        <v>2</v>
      </c>
      <c r="O195" s="1">
        <v>3</v>
      </c>
      <c r="P195" s="2">
        <v>1</v>
      </c>
      <c r="Q195" s="1">
        <v>2</v>
      </c>
      <c r="S195" s="21">
        <f t="shared" si="17"/>
        <v>23</v>
      </c>
      <c r="T195" s="21">
        <f t="shared" si="18"/>
        <v>15</v>
      </c>
      <c r="U195" s="22">
        <f t="shared" si="19"/>
        <v>38</v>
      </c>
    </row>
    <row r="196" spans="1:21">
      <c r="A196" s="11">
        <v>44753</v>
      </c>
      <c r="B196" s="77">
        <v>2</v>
      </c>
      <c r="C196" s="77">
        <v>0</v>
      </c>
      <c r="D196" s="76">
        <v>3</v>
      </c>
      <c r="E196" s="77">
        <v>1</v>
      </c>
      <c r="F196" s="2">
        <v>4</v>
      </c>
      <c r="G196" s="1">
        <v>2</v>
      </c>
      <c r="H196" s="2">
        <v>3</v>
      </c>
      <c r="I196" s="1">
        <v>0</v>
      </c>
      <c r="J196" s="2">
        <v>4</v>
      </c>
      <c r="K196" s="1">
        <v>7</v>
      </c>
      <c r="L196" s="2">
        <v>4</v>
      </c>
      <c r="M196" s="1">
        <v>0</v>
      </c>
      <c r="N196" s="2">
        <v>2</v>
      </c>
      <c r="O196" s="1">
        <v>3</v>
      </c>
      <c r="P196" s="2">
        <v>1</v>
      </c>
      <c r="Q196" s="1">
        <v>2</v>
      </c>
      <c r="S196" s="21">
        <f t="shared" si="17"/>
        <v>23</v>
      </c>
      <c r="T196" s="21">
        <f t="shared" si="18"/>
        <v>15</v>
      </c>
      <c r="U196" s="22">
        <f t="shared" si="19"/>
        <v>38</v>
      </c>
    </row>
    <row r="197" spans="1:21">
      <c r="A197" s="11">
        <v>44754</v>
      </c>
      <c r="B197" s="77">
        <v>2</v>
      </c>
      <c r="C197" s="77">
        <v>0</v>
      </c>
      <c r="D197" s="76">
        <v>3</v>
      </c>
      <c r="E197" s="77">
        <v>1</v>
      </c>
      <c r="F197" s="2">
        <v>4</v>
      </c>
      <c r="G197" s="1">
        <v>2</v>
      </c>
      <c r="H197" s="2">
        <v>3</v>
      </c>
      <c r="I197" s="1">
        <v>0</v>
      </c>
      <c r="J197" s="2">
        <v>4</v>
      </c>
      <c r="K197" s="1">
        <v>7</v>
      </c>
      <c r="L197" s="2">
        <v>4</v>
      </c>
      <c r="M197" s="1">
        <v>0</v>
      </c>
      <c r="N197" s="2">
        <v>2</v>
      </c>
      <c r="O197" s="1">
        <v>3</v>
      </c>
      <c r="P197" s="2">
        <v>1</v>
      </c>
      <c r="Q197" s="1">
        <v>2</v>
      </c>
      <c r="S197" s="21">
        <f t="shared" si="17"/>
        <v>23</v>
      </c>
      <c r="T197" s="21">
        <f t="shared" si="18"/>
        <v>15</v>
      </c>
      <c r="U197" s="22">
        <f t="shared" si="19"/>
        <v>38</v>
      </c>
    </row>
    <row r="198" spans="1:21">
      <c r="A198" s="13">
        <v>44755</v>
      </c>
      <c r="B198" s="77">
        <v>2</v>
      </c>
      <c r="C198" s="77">
        <v>0</v>
      </c>
      <c r="D198" s="76">
        <v>3</v>
      </c>
      <c r="E198" s="77">
        <v>1</v>
      </c>
      <c r="F198" s="2">
        <v>4</v>
      </c>
      <c r="G198" s="1">
        <v>2</v>
      </c>
      <c r="H198" s="2">
        <v>3</v>
      </c>
      <c r="I198" s="1">
        <v>0</v>
      </c>
      <c r="J198" s="2">
        <v>4</v>
      </c>
      <c r="K198" s="1">
        <v>7</v>
      </c>
      <c r="L198" s="2">
        <v>4</v>
      </c>
      <c r="M198" s="1">
        <v>0</v>
      </c>
      <c r="N198" s="2">
        <v>2</v>
      </c>
      <c r="O198" s="1">
        <v>3</v>
      </c>
      <c r="P198" s="2">
        <v>1</v>
      </c>
      <c r="Q198" s="1">
        <v>2</v>
      </c>
      <c r="S198" s="21">
        <f t="shared" si="17"/>
        <v>23</v>
      </c>
      <c r="T198" s="21">
        <f t="shared" si="18"/>
        <v>15</v>
      </c>
      <c r="U198" s="22">
        <f t="shared" si="19"/>
        <v>38</v>
      </c>
    </row>
    <row r="199" spans="1:21">
      <c r="A199" s="11">
        <v>44756</v>
      </c>
      <c r="B199" s="77">
        <v>2</v>
      </c>
      <c r="C199" s="77">
        <v>0</v>
      </c>
      <c r="D199" s="76">
        <v>3</v>
      </c>
      <c r="E199" s="77">
        <v>1</v>
      </c>
      <c r="F199" s="2">
        <v>4</v>
      </c>
      <c r="G199" s="1">
        <v>2</v>
      </c>
      <c r="H199" s="2">
        <v>3</v>
      </c>
      <c r="I199" s="1">
        <v>0</v>
      </c>
      <c r="J199" s="2">
        <v>4</v>
      </c>
      <c r="K199" s="1">
        <v>7</v>
      </c>
      <c r="L199" s="2">
        <v>4</v>
      </c>
      <c r="M199" s="1">
        <v>0</v>
      </c>
      <c r="N199" s="2">
        <v>2</v>
      </c>
      <c r="O199" s="1">
        <v>3</v>
      </c>
      <c r="P199" s="2">
        <v>1</v>
      </c>
      <c r="Q199" s="1">
        <v>2</v>
      </c>
      <c r="S199" s="21">
        <f t="shared" si="17"/>
        <v>23</v>
      </c>
      <c r="T199" s="21">
        <f t="shared" si="18"/>
        <v>15</v>
      </c>
      <c r="U199" s="22">
        <f t="shared" si="19"/>
        <v>38</v>
      </c>
    </row>
    <row r="200" spans="1:21">
      <c r="A200" s="11">
        <v>44757</v>
      </c>
      <c r="B200" s="77">
        <v>2</v>
      </c>
      <c r="C200" s="77">
        <v>0</v>
      </c>
      <c r="D200" s="76">
        <v>3</v>
      </c>
      <c r="E200" s="77">
        <v>1</v>
      </c>
      <c r="F200" s="2">
        <v>4</v>
      </c>
      <c r="G200" s="1">
        <v>2</v>
      </c>
      <c r="H200" s="2">
        <v>3</v>
      </c>
      <c r="I200" s="1">
        <v>0</v>
      </c>
      <c r="J200" s="2">
        <v>4</v>
      </c>
      <c r="K200" s="1">
        <v>7</v>
      </c>
      <c r="L200" s="2">
        <v>4</v>
      </c>
      <c r="M200" s="1">
        <v>0</v>
      </c>
      <c r="N200" s="2">
        <v>2</v>
      </c>
      <c r="O200" s="1">
        <v>3</v>
      </c>
      <c r="P200" s="2">
        <v>1</v>
      </c>
      <c r="Q200" s="1">
        <v>2</v>
      </c>
      <c r="S200" s="21">
        <f t="shared" si="17"/>
        <v>23</v>
      </c>
      <c r="T200" s="21">
        <f t="shared" si="18"/>
        <v>15</v>
      </c>
      <c r="U200" s="22">
        <f t="shared" si="19"/>
        <v>38</v>
      </c>
    </row>
    <row r="201" spans="1:21">
      <c r="A201" s="12">
        <v>44758</v>
      </c>
      <c r="B201" s="77">
        <v>2</v>
      </c>
      <c r="C201" s="77">
        <v>0</v>
      </c>
      <c r="D201" s="76">
        <v>3</v>
      </c>
      <c r="E201" s="77">
        <v>1</v>
      </c>
      <c r="F201" s="2">
        <v>4</v>
      </c>
      <c r="G201" s="1">
        <v>2</v>
      </c>
      <c r="H201" s="2">
        <v>3</v>
      </c>
      <c r="I201" s="1">
        <v>0</v>
      </c>
      <c r="J201" s="2">
        <v>4</v>
      </c>
      <c r="K201" s="1">
        <v>7</v>
      </c>
      <c r="L201" s="2">
        <v>4</v>
      </c>
      <c r="M201" s="1">
        <v>0</v>
      </c>
      <c r="N201" s="2">
        <v>2</v>
      </c>
      <c r="O201" s="1">
        <v>3</v>
      </c>
      <c r="P201" s="2">
        <v>1</v>
      </c>
      <c r="Q201" s="1">
        <v>2</v>
      </c>
      <c r="S201" s="21">
        <f t="shared" si="17"/>
        <v>23</v>
      </c>
      <c r="T201" s="21">
        <f t="shared" si="18"/>
        <v>15</v>
      </c>
      <c r="U201" s="22">
        <f t="shared" si="19"/>
        <v>38</v>
      </c>
    </row>
    <row r="202" spans="1:21">
      <c r="A202" s="12">
        <v>44759</v>
      </c>
      <c r="B202" s="77">
        <v>2</v>
      </c>
      <c r="C202" s="77">
        <v>0</v>
      </c>
      <c r="D202" s="76">
        <v>3</v>
      </c>
      <c r="E202" s="77">
        <v>1</v>
      </c>
      <c r="F202" s="2">
        <v>4</v>
      </c>
      <c r="G202" s="1">
        <v>2</v>
      </c>
      <c r="H202" s="2">
        <v>3</v>
      </c>
      <c r="I202" s="1">
        <v>0</v>
      </c>
      <c r="J202" s="2">
        <v>4</v>
      </c>
      <c r="K202" s="1">
        <v>7</v>
      </c>
      <c r="L202" s="2">
        <v>4</v>
      </c>
      <c r="M202" s="1">
        <v>0</v>
      </c>
      <c r="N202" s="2">
        <v>2</v>
      </c>
      <c r="O202" s="1">
        <v>3</v>
      </c>
      <c r="P202" s="2">
        <v>1</v>
      </c>
      <c r="Q202" s="1">
        <v>2</v>
      </c>
      <c r="S202" s="21">
        <f t="shared" si="17"/>
        <v>23</v>
      </c>
      <c r="T202" s="21">
        <f t="shared" si="18"/>
        <v>15</v>
      </c>
      <c r="U202" s="22">
        <f t="shared" si="19"/>
        <v>38</v>
      </c>
    </row>
    <row r="203" spans="1:21">
      <c r="A203" s="11">
        <v>44760</v>
      </c>
      <c r="B203" s="77">
        <v>2</v>
      </c>
      <c r="C203" s="77">
        <v>0</v>
      </c>
      <c r="D203" s="76">
        <v>3</v>
      </c>
      <c r="E203" s="77">
        <v>1</v>
      </c>
      <c r="F203" s="2">
        <v>4</v>
      </c>
      <c r="G203" s="1">
        <v>2</v>
      </c>
      <c r="H203" s="2">
        <v>3</v>
      </c>
      <c r="I203" s="1">
        <v>0</v>
      </c>
      <c r="J203" s="2">
        <v>4</v>
      </c>
      <c r="K203" s="1">
        <v>7</v>
      </c>
      <c r="L203" s="2">
        <v>4</v>
      </c>
      <c r="M203" s="1">
        <v>0</v>
      </c>
      <c r="N203" s="2">
        <v>2</v>
      </c>
      <c r="O203" s="1">
        <v>3</v>
      </c>
      <c r="P203" s="2">
        <v>1</v>
      </c>
      <c r="Q203" s="1">
        <v>2</v>
      </c>
      <c r="S203" s="21">
        <f t="shared" si="17"/>
        <v>23</v>
      </c>
      <c r="T203" s="21">
        <f t="shared" si="18"/>
        <v>15</v>
      </c>
      <c r="U203" s="22">
        <f t="shared" si="19"/>
        <v>38</v>
      </c>
    </row>
    <row r="204" spans="1:21">
      <c r="A204" s="11">
        <v>44761</v>
      </c>
      <c r="B204" s="77">
        <v>2</v>
      </c>
      <c r="C204" s="77">
        <v>0</v>
      </c>
      <c r="D204" s="76">
        <v>3</v>
      </c>
      <c r="E204" s="77">
        <v>1</v>
      </c>
      <c r="F204" s="2">
        <v>4</v>
      </c>
      <c r="G204" s="1">
        <v>2</v>
      </c>
      <c r="H204" s="2">
        <v>3</v>
      </c>
      <c r="I204" s="1">
        <v>0</v>
      </c>
      <c r="J204" s="2">
        <v>4</v>
      </c>
      <c r="K204" s="1">
        <v>7</v>
      </c>
      <c r="L204" s="2">
        <v>4</v>
      </c>
      <c r="M204" s="1">
        <v>0</v>
      </c>
      <c r="N204" s="2">
        <v>2</v>
      </c>
      <c r="O204" s="1">
        <v>3</v>
      </c>
      <c r="P204" s="2">
        <v>1</v>
      </c>
      <c r="Q204" s="1">
        <v>2</v>
      </c>
      <c r="S204" s="21">
        <f t="shared" si="17"/>
        <v>23</v>
      </c>
      <c r="T204" s="21">
        <f t="shared" si="18"/>
        <v>15</v>
      </c>
      <c r="U204" s="22">
        <f t="shared" si="19"/>
        <v>38</v>
      </c>
    </row>
    <row r="205" spans="1:21">
      <c r="A205" s="13">
        <v>44762</v>
      </c>
      <c r="B205" s="77">
        <v>2</v>
      </c>
      <c r="C205" s="77">
        <v>0</v>
      </c>
      <c r="D205" s="76">
        <v>3</v>
      </c>
      <c r="E205" s="77">
        <v>1</v>
      </c>
      <c r="F205" s="2">
        <v>4</v>
      </c>
      <c r="G205" s="1">
        <v>2</v>
      </c>
      <c r="H205" s="2">
        <v>3</v>
      </c>
      <c r="I205" s="1">
        <v>0</v>
      </c>
      <c r="J205" s="2">
        <v>4</v>
      </c>
      <c r="K205" s="1">
        <v>7</v>
      </c>
      <c r="L205" s="2">
        <v>4</v>
      </c>
      <c r="M205" s="1">
        <v>0</v>
      </c>
      <c r="N205" s="2">
        <v>2</v>
      </c>
      <c r="O205" s="1">
        <v>3</v>
      </c>
      <c r="P205" s="2">
        <v>1</v>
      </c>
      <c r="Q205" s="1">
        <v>2</v>
      </c>
      <c r="S205" s="21">
        <f t="shared" si="17"/>
        <v>23</v>
      </c>
      <c r="T205" s="21">
        <f t="shared" si="18"/>
        <v>15</v>
      </c>
      <c r="U205" s="22">
        <f t="shared" si="19"/>
        <v>38</v>
      </c>
    </row>
    <row r="206" spans="1:21">
      <c r="A206" s="11">
        <v>44763</v>
      </c>
      <c r="B206" s="77">
        <v>2</v>
      </c>
      <c r="C206" s="77">
        <v>0</v>
      </c>
      <c r="D206" s="76">
        <v>3</v>
      </c>
      <c r="E206" s="77">
        <v>1</v>
      </c>
      <c r="F206" s="2">
        <v>4</v>
      </c>
      <c r="G206" s="1">
        <v>2</v>
      </c>
      <c r="H206" s="2">
        <v>3</v>
      </c>
      <c r="I206" s="1">
        <v>0</v>
      </c>
      <c r="J206" s="2">
        <v>4</v>
      </c>
      <c r="K206" s="1">
        <v>7</v>
      </c>
      <c r="L206" s="2">
        <v>4</v>
      </c>
      <c r="M206" s="1">
        <v>0</v>
      </c>
      <c r="N206" s="2">
        <v>2</v>
      </c>
      <c r="O206" s="1">
        <v>3</v>
      </c>
      <c r="P206" s="2">
        <v>1</v>
      </c>
      <c r="Q206" s="1">
        <v>2</v>
      </c>
      <c r="S206" s="21">
        <f t="shared" si="17"/>
        <v>23</v>
      </c>
      <c r="T206" s="21">
        <f t="shared" si="18"/>
        <v>15</v>
      </c>
      <c r="U206" s="22">
        <f t="shared" si="19"/>
        <v>38</v>
      </c>
    </row>
    <row r="207" spans="1:21">
      <c r="A207" s="11">
        <v>44764</v>
      </c>
      <c r="B207" s="77">
        <v>2</v>
      </c>
      <c r="C207" s="77">
        <v>0</v>
      </c>
      <c r="D207" s="76">
        <v>3</v>
      </c>
      <c r="E207" s="77">
        <v>1</v>
      </c>
      <c r="F207" s="2">
        <v>4</v>
      </c>
      <c r="G207" s="1">
        <v>2</v>
      </c>
      <c r="H207" s="2">
        <v>3</v>
      </c>
      <c r="I207" s="1">
        <v>0</v>
      </c>
      <c r="J207" s="2">
        <v>4</v>
      </c>
      <c r="K207" s="1">
        <v>7</v>
      </c>
      <c r="L207" s="2">
        <v>4</v>
      </c>
      <c r="M207" s="1">
        <v>0</v>
      </c>
      <c r="N207" s="2">
        <v>2</v>
      </c>
      <c r="O207" s="1">
        <v>3</v>
      </c>
      <c r="P207" s="2">
        <v>1</v>
      </c>
      <c r="Q207" s="1">
        <v>2</v>
      </c>
      <c r="S207" s="21">
        <f t="shared" si="17"/>
        <v>23</v>
      </c>
      <c r="T207" s="21">
        <f t="shared" si="18"/>
        <v>15</v>
      </c>
      <c r="U207" s="22">
        <f t="shared" si="19"/>
        <v>38</v>
      </c>
    </row>
    <row r="208" spans="1:21">
      <c r="A208" s="12">
        <v>44765</v>
      </c>
      <c r="B208" s="77">
        <v>2</v>
      </c>
      <c r="C208" s="77">
        <v>0</v>
      </c>
      <c r="D208" s="76">
        <v>3</v>
      </c>
      <c r="E208" s="77">
        <v>1</v>
      </c>
      <c r="F208" s="2">
        <v>4</v>
      </c>
      <c r="G208" s="1">
        <v>2</v>
      </c>
      <c r="H208" s="2">
        <v>3</v>
      </c>
      <c r="I208" s="1">
        <v>0</v>
      </c>
      <c r="J208" s="2">
        <v>4</v>
      </c>
      <c r="K208" s="1">
        <v>7</v>
      </c>
      <c r="L208" s="2">
        <v>4</v>
      </c>
      <c r="M208" s="1">
        <v>0</v>
      </c>
      <c r="N208" s="2">
        <v>2</v>
      </c>
      <c r="O208" s="1">
        <v>3</v>
      </c>
      <c r="P208" s="2">
        <v>1</v>
      </c>
      <c r="Q208" s="1">
        <v>2</v>
      </c>
      <c r="S208" s="21">
        <f t="shared" si="17"/>
        <v>23</v>
      </c>
      <c r="T208" s="21">
        <f t="shared" si="18"/>
        <v>15</v>
      </c>
      <c r="U208" s="22">
        <f t="shared" si="19"/>
        <v>38</v>
      </c>
    </row>
    <row r="209" spans="1:21">
      <c r="A209" s="12">
        <v>44766</v>
      </c>
      <c r="B209" s="77">
        <v>2</v>
      </c>
      <c r="C209" s="77">
        <v>0</v>
      </c>
      <c r="D209" s="76">
        <v>3</v>
      </c>
      <c r="E209" s="77">
        <v>1</v>
      </c>
      <c r="F209" s="2">
        <v>4</v>
      </c>
      <c r="G209" s="1">
        <v>2</v>
      </c>
      <c r="H209" s="2">
        <v>3</v>
      </c>
      <c r="I209" s="1">
        <v>0</v>
      </c>
      <c r="J209" s="2">
        <v>4</v>
      </c>
      <c r="K209" s="1">
        <v>7</v>
      </c>
      <c r="L209" s="2">
        <v>4</v>
      </c>
      <c r="M209" s="1">
        <v>0</v>
      </c>
      <c r="N209" s="2">
        <v>2</v>
      </c>
      <c r="O209" s="1">
        <v>3</v>
      </c>
      <c r="P209" s="2">
        <v>1</v>
      </c>
      <c r="Q209" s="1">
        <v>2</v>
      </c>
      <c r="S209" s="21">
        <f t="shared" si="17"/>
        <v>23</v>
      </c>
      <c r="T209" s="21">
        <f t="shared" si="18"/>
        <v>15</v>
      </c>
      <c r="U209" s="22">
        <f t="shared" si="19"/>
        <v>38</v>
      </c>
    </row>
    <row r="210" spans="1:21">
      <c r="A210" s="11">
        <v>44767</v>
      </c>
      <c r="B210" s="77">
        <v>2</v>
      </c>
      <c r="C210" s="77">
        <v>0</v>
      </c>
      <c r="D210" s="76">
        <v>3</v>
      </c>
      <c r="E210" s="77">
        <v>1</v>
      </c>
      <c r="F210" s="2">
        <v>4</v>
      </c>
      <c r="G210" s="1">
        <v>2</v>
      </c>
      <c r="H210" s="2">
        <v>3</v>
      </c>
      <c r="I210" s="1">
        <v>0</v>
      </c>
      <c r="J210" s="2">
        <v>4</v>
      </c>
      <c r="K210" s="1">
        <v>7</v>
      </c>
      <c r="L210" s="2">
        <v>4</v>
      </c>
      <c r="M210" s="1">
        <v>0</v>
      </c>
      <c r="N210" s="2">
        <v>2</v>
      </c>
      <c r="O210" s="1">
        <v>3</v>
      </c>
      <c r="P210" s="2">
        <v>1</v>
      </c>
      <c r="Q210" s="1">
        <v>2</v>
      </c>
      <c r="S210" s="21">
        <f t="shared" si="17"/>
        <v>23</v>
      </c>
      <c r="T210" s="21">
        <f t="shared" si="18"/>
        <v>15</v>
      </c>
      <c r="U210" s="22">
        <f t="shared" si="19"/>
        <v>38</v>
      </c>
    </row>
    <row r="211" spans="1:21">
      <c r="A211" s="11">
        <v>44768</v>
      </c>
      <c r="B211" s="77">
        <v>2</v>
      </c>
      <c r="C211" s="77">
        <v>0</v>
      </c>
      <c r="D211" s="76">
        <v>3</v>
      </c>
      <c r="E211" s="77">
        <v>1</v>
      </c>
      <c r="F211" s="2">
        <v>4</v>
      </c>
      <c r="G211" s="1">
        <v>2</v>
      </c>
      <c r="H211" s="2">
        <v>3</v>
      </c>
      <c r="I211" s="1">
        <v>0</v>
      </c>
      <c r="J211" s="2">
        <v>4</v>
      </c>
      <c r="K211" s="1">
        <v>7</v>
      </c>
      <c r="L211" s="2">
        <v>4</v>
      </c>
      <c r="M211" s="1">
        <v>0</v>
      </c>
      <c r="N211" s="2">
        <v>2</v>
      </c>
      <c r="O211" s="1">
        <v>3</v>
      </c>
      <c r="P211" s="2">
        <v>1</v>
      </c>
      <c r="Q211" s="1">
        <v>2</v>
      </c>
      <c r="S211" s="21">
        <f t="shared" si="17"/>
        <v>23</v>
      </c>
      <c r="T211" s="21">
        <f t="shared" si="18"/>
        <v>15</v>
      </c>
      <c r="U211" s="22">
        <f t="shared" si="19"/>
        <v>38</v>
      </c>
    </row>
    <row r="212" spans="1:21">
      <c r="A212" s="13">
        <v>44769</v>
      </c>
      <c r="B212" s="77">
        <v>2</v>
      </c>
      <c r="C212" s="77">
        <v>0</v>
      </c>
      <c r="D212" s="76">
        <v>3</v>
      </c>
      <c r="E212" s="77">
        <v>1</v>
      </c>
      <c r="F212" s="2">
        <v>4</v>
      </c>
      <c r="G212" s="1">
        <v>2</v>
      </c>
      <c r="H212" s="2">
        <v>3</v>
      </c>
      <c r="I212" s="1">
        <v>0</v>
      </c>
      <c r="J212" s="2">
        <v>4</v>
      </c>
      <c r="K212" s="1">
        <v>7</v>
      </c>
      <c r="L212" s="2">
        <v>4</v>
      </c>
      <c r="M212" s="1">
        <v>0</v>
      </c>
      <c r="N212" s="2">
        <v>2</v>
      </c>
      <c r="O212" s="1">
        <v>3</v>
      </c>
      <c r="P212" s="2">
        <v>1</v>
      </c>
      <c r="Q212" s="1">
        <v>2</v>
      </c>
      <c r="S212" s="21">
        <f t="shared" si="17"/>
        <v>23</v>
      </c>
      <c r="T212" s="21">
        <f t="shared" si="18"/>
        <v>15</v>
      </c>
      <c r="U212" s="22">
        <f t="shared" si="19"/>
        <v>38</v>
      </c>
    </row>
    <row r="213" spans="1:21">
      <c r="A213" s="11">
        <v>44770</v>
      </c>
      <c r="B213" s="77">
        <v>2</v>
      </c>
      <c r="C213" s="77">
        <v>0</v>
      </c>
      <c r="D213" s="76">
        <v>3</v>
      </c>
      <c r="E213" s="77">
        <v>1</v>
      </c>
      <c r="F213" s="2">
        <v>4</v>
      </c>
      <c r="G213" s="1">
        <v>2</v>
      </c>
      <c r="H213" s="2">
        <v>3</v>
      </c>
      <c r="I213" s="1">
        <v>0</v>
      </c>
      <c r="J213" s="2">
        <v>4</v>
      </c>
      <c r="K213" s="1">
        <v>7</v>
      </c>
      <c r="L213" s="2">
        <v>4</v>
      </c>
      <c r="M213" s="1">
        <v>0</v>
      </c>
      <c r="N213" s="2">
        <v>2</v>
      </c>
      <c r="O213" s="1">
        <v>3</v>
      </c>
      <c r="P213" s="2">
        <v>1</v>
      </c>
      <c r="Q213" s="1">
        <v>2</v>
      </c>
      <c r="S213" s="21">
        <f t="shared" si="17"/>
        <v>23</v>
      </c>
      <c r="T213" s="21">
        <f t="shared" si="18"/>
        <v>15</v>
      </c>
      <c r="U213" s="22">
        <f t="shared" si="19"/>
        <v>38</v>
      </c>
    </row>
    <row r="214" spans="1:21">
      <c r="A214" s="11">
        <v>44771</v>
      </c>
      <c r="B214" s="77">
        <v>2</v>
      </c>
      <c r="C214" s="77">
        <v>0</v>
      </c>
      <c r="D214" s="76">
        <v>3</v>
      </c>
      <c r="E214" s="77">
        <v>1</v>
      </c>
      <c r="F214" s="2">
        <v>4</v>
      </c>
      <c r="G214" s="1">
        <v>2</v>
      </c>
      <c r="H214" s="2">
        <v>3</v>
      </c>
      <c r="I214" s="1">
        <v>0</v>
      </c>
      <c r="J214" s="2">
        <v>4</v>
      </c>
      <c r="K214" s="1">
        <v>7</v>
      </c>
      <c r="L214" s="2">
        <v>4</v>
      </c>
      <c r="M214" s="1">
        <v>0</v>
      </c>
      <c r="N214" s="2">
        <v>2</v>
      </c>
      <c r="O214" s="1">
        <v>3</v>
      </c>
      <c r="P214" s="2">
        <v>1</v>
      </c>
      <c r="Q214" s="1">
        <v>2</v>
      </c>
      <c r="S214" s="21">
        <f t="shared" si="17"/>
        <v>23</v>
      </c>
      <c r="T214" s="21">
        <f t="shared" si="18"/>
        <v>15</v>
      </c>
      <c r="U214" s="22">
        <f t="shared" si="19"/>
        <v>38</v>
      </c>
    </row>
    <row r="215" spans="1:21">
      <c r="A215" s="12">
        <v>44772</v>
      </c>
      <c r="B215" s="77">
        <v>2</v>
      </c>
      <c r="C215" s="77">
        <v>0</v>
      </c>
      <c r="D215" s="76">
        <v>3</v>
      </c>
      <c r="E215" s="77">
        <v>1</v>
      </c>
      <c r="F215" s="2">
        <v>4</v>
      </c>
      <c r="G215" s="1">
        <v>2</v>
      </c>
      <c r="H215" s="2">
        <v>3</v>
      </c>
      <c r="I215" s="1">
        <v>0</v>
      </c>
      <c r="J215" s="2">
        <v>4</v>
      </c>
      <c r="K215" s="1">
        <v>7</v>
      </c>
      <c r="L215" s="2">
        <v>4</v>
      </c>
      <c r="M215" s="1">
        <v>0</v>
      </c>
      <c r="N215" s="2">
        <v>2</v>
      </c>
      <c r="O215" s="1">
        <v>3</v>
      </c>
      <c r="P215" s="2">
        <v>1</v>
      </c>
      <c r="Q215" s="1">
        <v>2</v>
      </c>
      <c r="S215" s="21">
        <f t="shared" si="17"/>
        <v>23</v>
      </c>
      <c r="T215" s="21">
        <f t="shared" si="18"/>
        <v>15</v>
      </c>
      <c r="U215" s="22">
        <f t="shared" si="19"/>
        <v>38</v>
      </c>
    </row>
    <row r="216" spans="1:21">
      <c r="A216" s="12">
        <v>44773</v>
      </c>
      <c r="B216" s="77">
        <v>2</v>
      </c>
      <c r="C216" s="77">
        <v>0</v>
      </c>
      <c r="D216" s="76">
        <v>3</v>
      </c>
      <c r="E216" s="77">
        <v>1</v>
      </c>
      <c r="F216" s="2">
        <v>4</v>
      </c>
      <c r="G216" s="1">
        <v>2</v>
      </c>
      <c r="H216" s="2">
        <v>3</v>
      </c>
      <c r="I216" s="1">
        <v>0</v>
      </c>
      <c r="J216" s="2">
        <v>4</v>
      </c>
      <c r="K216" s="1">
        <v>7</v>
      </c>
      <c r="L216" s="2">
        <v>4</v>
      </c>
      <c r="M216" s="1">
        <v>0</v>
      </c>
      <c r="N216" s="2">
        <v>2</v>
      </c>
      <c r="O216" s="1">
        <v>3</v>
      </c>
      <c r="P216" s="2">
        <v>1</v>
      </c>
      <c r="Q216" s="1">
        <v>2</v>
      </c>
      <c r="S216" s="21">
        <f t="shared" si="17"/>
        <v>23</v>
      </c>
      <c r="T216" s="21">
        <f t="shared" si="18"/>
        <v>15</v>
      </c>
      <c r="U216" s="22">
        <f t="shared" si="19"/>
        <v>38</v>
      </c>
    </row>
    <row r="217" spans="1:21">
      <c r="A217" s="11">
        <v>44774</v>
      </c>
      <c r="B217" s="77">
        <v>2</v>
      </c>
      <c r="C217" s="77">
        <v>0</v>
      </c>
      <c r="D217" s="76">
        <v>3</v>
      </c>
      <c r="E217" s="77">
        <v>1</v>
      </c>
      <c r="F217" s="2">
        <v>4</v>
      </c>
      <c r="G217" s="1">
        <v>2</v>
      </c>
      <c r="H217" s="2">
        <v>3</v>
      </c>
      <c r="I217" s="1">
        <v>0</v>
      </c>
      <c r="J217" s="2">
        <v>4</v>
      </c>
      <c r="K217" s="1">
        <v>7</v>
      </c>
      <c r="L217" s="2">
        <v>4</v>
      </c>
      <c r="M217" s="1">
        <v>0</v>
      </c>
      <c r="N217" s="2">
        <v>2</v>
      </c>
      <c r="O217" s="1">
        <v>3</v>
      </c>
      <c r="P217" s="2">
        <v>1</v>
      </c>
      <c r="Q217" s="1">
        <v>2</v>
      </c>
      <c r="S217" s="21">
        <f t="shared" si="17"/>
        <v>23</v>
      </c>
      <c r="T217" s="21">
        <f t="shared" si="18"/>
        <v>15</v>
      </c>
      <c r="U217" s="22">
        <f t="shared" si="19"/>
        <v>38</v>
      </c>
    </row>
    <row r="218" spans="1:21">
      <c r="A218" s="11">
        <v>44775</v>
      </c>
      <c r="B218" s="77">
        <v>2</v>
      </c>
      <c r="C218" s="77">
        <v>0</v>
      </c>
      <c r="D218" s="76">
        <v>3</v>
      </c>
      <c r="E218" s="77">
        <v>1</v>
      </c>
      <c r="F218" s="2">
        <v>4</v>
      </c>
      <c r="G218" s="1">
        <v>2</v>
      </c>
      <c r="H218" s="2">
        <v>3</v>
      </c>
      <c r="I218" s="1">
        <v>0</v>
      </c>
      <c r="J218" s="2">
        <v>4</v>
      </c>
      <c r="K218" s="1">
        <v>7</v>
      </c>
      <c r="L218" s="2">
        <v>4</v>
      </c>
      <c r="M218" s="1">
        <v>0</v>
      </c>
      <c r="N218" s="2">
        <v>2</v>
      </c>
      <c r="O218" s="1">
        <v>3</v>
      </c>
      <c r="P218" s="2">
        <v>1</v>
      </c>
      <c r="Q218" s="1">
        <v>2</v>
      </c>
      <c r="S218" s="21">
        <f t="shared" ref="S218:S247" si="20">SUM(B218,D218,F218,H218,J218,L218,N218,P218)</f>
        <v>23</v>
      </c>
      <c r="T218" s="21">
        <f t="shared" ref="T218:T247" si="21">SUM(C218,E218,G218,I218,K218,M218,O218,Q218)</f>
        <v>15</v>
      </c>
      <c r="U218" s="22">
        <f t="shared" ref="U218:U281" si="22">SUM(S218:T218)</f>
        <v>38</v>
      </c>
    </row>
    <row r="219" spans="1:21">
      <c r="A219" s="13">
        <v>44776</v>
      </c>
      <c r="B219" s="77">
        <v>2</v>
      </c>
      <c r="C219" s="77">
        <v>0</v>
      </c>
      <c r="D219" s="76">
        <v>3</v>
      </c>
      <c r="E219" s="77">
        <v>1</v>
      </c>
      <c r="F219" s="2">
        <v>4</v>
      </c>
      <c r="G219" s="1">
        <v>2</v>
      </c>
      <c r="H219" s="2">
        <v>3</v>
      </c>
      <c r="I219" s="1">
        <v>0</v>
      </c>
      <c r="J219" s="2">
        <v>4</v>
      </c>
      <c r="K219" s="1">
        <v>7</v>
      </c>
      <c r="L219" s="2">
        <v>4</v>
      </c>
      <c r="M219" s="1">
        <v>0</v>
      </c>
      <c r="N219" s="2">
        <v>2</v>
      </c>
      <c r="O219" s="1">
        <v>3</v>
      </c>
      <c r="P219" s="2">
        <v>1</v>
      </c>
      <c r="Q219" s="1">
        <v>2</v>
      </c>
      <c r="S219" s="21">
        <f t="shared" si="20"/>
        <v>23</v>
      </c>
      <c r="T219" s="21">
        <f t="shared" si="21"/>
        <v>15</v>
      </c>
      <c r="U219" s="22">
        <f t="shared" si="22"/>
        <v>38</v>
      </c>
    </row>
    <row r="220" spans="1:21">
      <c r="A220" s="11">
        <v>44777</v>
      </c>
      <c r="B220" s="77">
        <v>2</v>
      </c>
      <c r="C220" s="77">
        <v>0</v>
      </c>
      <c r="D220" s="76">
        <v>3</v>
      </c>
      <c r="E220" s="77">
        <v>1</v>
      </c>
      <c r="F220" s="2">
        <v>4</v>
      </c>
      <c r="G220" s="1">
        <v>2</v>
      </c>
      <c r="H220" s="2">
        <v>3</v>
      </c>
      <c r="I220" s="1">
        <v>0</v>
      </c>
      <c r="J220" s="2">
        <v>4</v>
      </c>
      <c r="K220" s="1">
        <v>7</v>
      </c>
      <c r="L220" s="2">
        <v>4</v>
      </c>
      <c r="M220" s="1">
        <v>0</v>
      </c>
      <c r="N220" s="2">
        <v>2</v>
      </c>
      <c r="O220" s="1">
        <v>3</v>
      </c>
      <c r="P220" s="2">
        <v>1</v>
      </c>
      <c r="Q220" s="1">
        <v>2</v>
      </c>
      <c r="S220" s="21">
        <f t="shared" si="20"/>
        <v>23</v>
      </c>
      <c r="T220" s="21">
        <f t="shared" si="21"/>
        <v>15</v>
      </c>
      <c r="U220" s="22">
        <f t="shared" si="22"/>
        <v>38</v>
      </c>
    </row>
    <row r="221" spans="1:21">
      <c r="A221" s="11">
        <v>44778</v>
      </c>
      <c r="B221" s="77">
        <v>2</v>
      </c>
      <c r="C221" s="77">
        <v>0</v>
      </c>
      <c r="D221" s="76">
        <v>3</v>
      </c>
      <c r="E221" s="77">
        <v>1</v>
      </c>
      <c r="F221" s="2">
        <v>4</v>
      </c>
      <c r="G221" s="1">
        <v>2</v>
      </c>
      <c r="H221" s="2">
        <v>3</v>
      </c>
      <c r="I221" s="1">
        <v>0</v>
      </c>
      <c r="J221" s="2">
        <v>4</v>
      </c>
      <c r="K221" s="1">
        <v>7</v>
      </c>
      <c r="L221" s="2">
        <v>4</v>
      </c>
      <c r="M221" s="1">
        <v>0</v>
      </c>
      <c r="N221" s="2">
        <v>2</v>
      </c>
      <c r="O221" s="1">
        <v>3</v>
      </c>
      <c r="P221" s="2">
        <v>1</v>
      </c>
      <c r="Q221" s="1">
        <v>2</v>
      </c>
      <c r="S221" s="21">
        <f t="shared" si="20"/>
        <v>23</v>
      </c>
      <c r="T221" s="21">
        <f t="shared" si="21"/>
        <v>15</v>
      </c>
      <c r="U221" s="22">
        <f t="shared" si="22"/>
        <v>38</v>
      </c>
    </row>
    <row r="222" spans="1:21">
      <c r="A222" s="12">
        <v>44779</v>
      </c>
      <c r="B222" s="77">
        <v>2</v>
      </c>
      <c r="C222" s="77">
        <v>0</v>
      </c>
      <c r="D222" s="76">
        <v>3</v>
      </c>
      <c r="E222" s="77">
        <v>1</v>
      </c>
      <c r="F222" s="2">
        <v>4</v>
      </c>
      <c r="G222" s="1">
        <v>2</v>
      </c>
      <c r="H222" s="2">
        <v>3</v>
      </c>
      <c r="I222" s="1">
        <v>0</v>
      </c>
      <c r="J222" s="2">
        <v>4</v>
      </c>
      <c r="K222" s="1">
        <v>7</v>
      </c>
      <c r="L222" s="2">
        <v>4</v>
      </c>
      <c r="M222" s="1">
        <v>0</v>
      </c>
      <c r="N222" s="2">
        <v>2</v>
      </c>
      <c r="O222" s="1">
        <v>3</v>
      </c>
      <c r="P222" s="2">
        <v>1</v>
      </c>
      <c r="Q222" s="1">
        <v>2</v>
      </c>
      <c r="S222" s="21">
        <f t="shared" si="20"/>
        <v>23</v>
      </c>
      <c r="T222" s="21">
        <f t="shared" si="21"/>
        <v>15</v>
      </c>
      <c r="U222" s="22">
        <f t="shared" si="22"/>
        <v>38</v>
      </c>
    </row>
    <row r="223" spans="1:21">
      <c r="A223" s="12">
        <v>44780</v>
      </c>
      <c r="B223" s="77">
        <v>2</v>
      </c>
      <c r="C223" s="77">
        <v>0</v>
      </c>
      <c r="D223" s="76">
        <v>3</v>
      </c>
      <c r="E223" s="77">
        <v>1</v>
      </c>
      <c r="F223" s="2">
        <v>4</v>
      </c>
      <c r="G223" s="1">
        <v>2</v>
      </c>
      <c r="H223" s="2">
        <v>3</v>
      </c>
      <c r="I223" s="1">
        <v>0</v>
      </c>
      <c r="J223" s="2">
        <v>4</v>
      </c>
      <c r="K223" s="1">
        <v>7</v>
      </c>
      <c r="L223" s="2">
        <v>4</v>
      </c>
      <c r="M223" s="1">
        <v>0</v>
      </c>
      <c r="N223" s="2">
        <v>2</v>
      </c>
      <c r="O223" s="1">
        <v>3</v>
      </c>
      <c r="P223" s="2">
        <v>1</v>
      </c>
      <c r="Q223" s="1">
        <v>2</v>
      </c>
      <c r="S223" s="21">
        <f t="shared" si="20"/>
        <v>23</v>
      </c>
      <c r="T223" s="21">
        <f t="shared" si="21"/>
        <v>15</v>
      </c>
      <c r="U223" s="22">
        <f t="shared" si="22"/>
        <v>38</v>
      </c>
    </row>
    <row r="224" spans="1:21">
      <c r="A224" s="11">
        <v>44781</v>
      </c>
      <c r="B224" s="77">
        <v>2</v>
      </c>
      <c r="C224" s="77">
        <v>0</v>
      </c>
      <c r="D224" s="76">
        <v>3</v>
      </c>
      <c r="E224" s="77">
        <v>1</v>
      </c>
      <c r="F224" s="2">
        <v>4</v>
      </c>
      <c r="G224" s="1">
        <v>2</v>
      </c>
      <c r="H224" s="2">
        <v>3</v>
      </c>
      <c r="I224" s="1">
        <v>0</v>
      </c>
      <c r="J224" s="2">
        <v>4</v>
      </c>
      <c r="K224" s="1">
        <v>7</v>
      </c>
      <c r="L224" s="2">
        <v>4</v>
      </c>
      <c r="M224" s="1">
        <v>0</v>
      </c>
      <c r="N224" s="2">
        <v>2</v>
      </c>
      <c r="O224" s="1">
        <v>3</v>
      </c>
      <c r="P224" s="2">
        <v>1</v>
      </c>
      <c r="Q224" s="1">
        <v>2</v>
      </c>
      <c r="S224" s="21">
        <f t="shared" si="20"/>
        <v>23</v>
      </c>
      <c r="T224" s="21">
        <f t="shared" si="21"/>
        <v>15</v>
      </c>
      <c r="U224" s="22">
        <f t="shared" si="22"/>
        <v>38</v>
      </c>
    </row>
    <row r="225" spans="1:21">
      <c r="A225" s="11">
        <v>44782</v>
      </c>
      <c r="B225" s="77">
        <v>2</v>
      </c>
      <c r="C225" s="77">
        <v>0</v>
      </c>
      <c r="D225" s="76">
        <v>3</v>
      </c>
      <c r="E225" s="77">
        <v>1</v>
      </c>
      <c r="F225" s="2">
        <v>4</v>
      </c>
      <c r="G225" s="1">
        <v>2</v>
      </c>
      <c r="H225" s="2">
        <v>3</v>
      </c>
      <c r="I225" s="1">
        <v>0</v>
      </c>
      <c r="J225" s="2">
        <v>4</v>
      </c>
      <c r="K225" s="1">
        <v>7</v>
      </c>
      <c r="L225" s="2">
        <v>4</v>
      </c>
      <c r="M225" s="1">
        <v>0</v>
      </c>
      <c r="N225" s="2">
        <v>2</v>
      </c>
      <c r="O225" s="1">
        <v>3</v>
      </c>
      <c r="P225" s="2">
        <v>1</v>
      </c>
      <c r="Q225" s="1">
        <v>2</v>
      </c>
      <c r="S225" s="21">
        <f t="shared" si="20"/>
        <v>23</v>
      </c>
      <c r="T225" s="21">
        <f t="shared" si="21"/>
        <v>15</v>
      </c>
      <c r="U225" s="22">
        <f t="shared" si="22"/>
        <v>38</v>
      </c>
    </row>
    <row r="226" spans="1:21">
      <c r="A226" s="13">
        <v>44783</v>
      </c>
      <c r="B226" s="77">
        <v>2</v>
      </c>
      <c r="C226" s="77">
        <v>0</v>
      </c>
      <c r="D226" s="76">
        <v>3</v>
      </c>
      <c r="E226" s="77">
        <v>1</v>
      </c>
      <c r="F226" s="2">
        <v>4</v>
      </c>
      <c r="G226" s="1">
        <v>2</v>
      </c>
      <c r="H226" s="2">
        <v>3</v>
      </c>
      <c r="I226" s="1">
        <v>0</v>
      </c>
      <c r="J226" s="2">
        <v>4</v>
      </c>
      <c r="K226" s="1">
        <v>7</v>
      </c>
      <c r="L226" s="2">
        <v>4</v>
      </c>
      <c r="M226" s="1">
        <v>0</v>
      </c>
      <c r="N226" s="2">
        <v>2</v>
      </c>
      <c r="O226" s="1">
        <v>3</v>
      </c>
      <c r="P226" s="2">
        <v>1</v>
      </c>
      <c r="Q226" s="1">
        <v>2</v>
      </c>
      <c r="S226" s="21">
        <f t="shared" si="20"/>
        <v>23</v>
      </c>
      <c r="T226" s="21">
        <f t="shared" si="21"/>
        <v>15</v>
      </c>
      <c r="U226" s="22">
        <f t="shared" si="22"/>
        <v>38</v>
      </c>
    </row>
    <row r="227" spans="1:21">
      <c r="A227" s="11">
        <v>44784</v>
      </c>
      <c r="B227" s="77">
        <v>2</v>
      </c>
      <c r="C227" s="77">
        <v>0</v>
      </c>
      <c r="D227" s="76">
        <v>3</v>
      </c>
      <c r="E227" s="77">
        <v>1</v>
      </c>
      <c r="F227" s="2">
        <v>4</v>
      </c>
      <c r="G227" s="1">
        <v>2</v>
      </c>
      <c r="H227" s="2">
        <v>3</v>
      </c>
      <c r="I227" s="1">
        <v>0</v>
      </c>
      <c r="J227" s="2">
        <v>4</v>
      </c>
      <c r="K227" s="1">
        <v>7</v>
      </c>
      <c r="L227" s="2">
        <v>4</v>
      </c>
      <c r="M227" s="1">
        <v>0</v>
      </c>
      <c r="N227" s="2">
        <v>2</v>
      </c>
      <c r="O227" s="1">
        <v>3</v>
      </c>
      <c r="P227" s="2">
        <v>1</v>
      </c>
      <c r="Q227" s="1">
        <v>2</v>
      </c>
      <c r="S227" s="21">
        <f t="shared" si="20"/>
        <v>23</v>
      </c>
      <c r="T227" s="21">
        <f t="shared" si="21"/>
        <v>15</v>
      </c>
      <c r="U227" s="22">
        <f t="shared" si="22"/>
        <v>38</v>
      </c>
    </row>
    <row r="228" spans="1:21">
      <c r="A228" s="11">
        <v>44785</v>
      </c>
      <c r="B228" s="77">
        <v>2</v>
      </c>
      <c r="C228" s="77">
        <v>0</v>
      </c>
      <c r="D228" s="76">
        <v>3</v>
      </c>
      <c r="E228" s="77">
        <v>1</v>
      </c>
      <c r="F228" s="2">
        <v>4</v>
      </c>
      <c r="G228" s="1">
        <v>2</v>
      </c>
      <c r="H228" s="2">
        <v>3</v>
      </c>
      <c r="I228" s="1">
        <v>0</v>
      </c>
      <c r="J228" s="2">
        <v>4</v>
      </c>
      <c r="K228" s="1">
        <v>7</v>
      </c>
      <c r="L228" s="2">
        <v>4</v>
      </c>
      <c r="M228" s="1">
        <v>0</v>
      </c>
      <c r="N228" s="2">
        <v>2</v>
      </c>
      <c r="O228" s="1">
        <v>3</v>
      </c>
      <c r="P228" s="2">
        <v>1</v>
      </c>
      <c r="Q228" s="1">
        <v>2</v>
      </c>
      <c r="S228" s="21">
        <f t="shared" si="20"/>
        <v>23</v>
      </c>
      <c r="T228" s="21">
        <f t="shared" si="21"/>
        <v>15</v>
      </c>
      <c r="U228" s="22">
        <f t="shared" si="22"/>
        <v>38</v>
      </c>
    </row>
    <row r="229" spans="1:21">
      <c r="A229" s="12">
        <v>44786</v>
      </c>
      <c r="B229" s="77">
        <v>2</v>
      </c>
      <c r="C229" s="77">
        <v>0</v>
      </c>
      <c r="D229" s="76">
        <v>3</v>
      </c>
      <c r="E229" s="77">
        <v>1</v>
      </c>
      <c r="F229" s="2">
        <v>4</v>
      </c>
      <c r="G229" s="1">
        <v>2</v>
      </c>
      <c r="H229" s="2">
        <v>3</v>
      </c>
      <c r="I229" s="1">
        <v>0</v>
      </c>
      <c r="J229" s="2">
        <v>4</v>
      </c>
      <c r="K229" s="1">
        <v>7</v>
      </c>
      <c r="L229" s="2">
        <v>4</v>
      </c>
      <c r="M229" s="1">
        <v>0</v>
      </c>
      <c r="N229" s="2">
        <v>2</v>
      </c>
      <c r="O229" s="1">
        <v>3</v>
      </c>
      <c r="P229" s="2">
        <v>1</v>
      </c>
      <c r="Q229" s="1">
        <v>2</v>
      </c>
      <c r="S229" s="21">
        <f t="shared" si="20"/>
        <v>23</v>
      </c>
      <c r="T229" s="21">
        <f t="shared" si="21"/>
        <v>15</v>
      </c>
      <c r="U229" s="22">
        <f t="shared" si="22"/>
        <v>38</v>
      </c>
    </row>
    <row r="230" spans="1:21">
      <c r="A230" s="12">
        <v>44787</v>
      </c>
      <c r="B230" s="77">
        <v>2</v>
      </c>
      <c r="C230" s="77">
        <v>0</v>
      </c>
      <c r="D230" s="76">
        <v>3</v>
      </c>
      <c r="E230" s="77">
        <v>1</v>
      </c>
      <c r="F230" s="2">
        <v>4</v>
      </c>
      <c r="G230" s="1">
        <v>2</v>
      </c>
      <c r="H230" s="2">
        <v>3</v>
      </c>
      <c r="I230" s="1">
        <v>0</v>
      </c>
      <c r="J230" s="2">
        <v>4</v>
      </c>
      <c r="K230" s="1">
        <v>7</v>
      </c>
      <c r="L230" s="2">
        <v>4</v>
      </c>
      <c r="M230" s="1">
        <v>0</v>
      </c>
      <c r="N230" s="2">
        <v>2</v>
      </c>
      <c r="O230" s="1">
        <v>3</v>
      </c>
      <c r="P230" s="2">
        <v>1</v>
      </c>
      <c r="Q230" s="1">
        <v>2</v>
      </c>
      <c r="S230" s="21">
        <f t="shared" si="20"/>
        <v>23</v>
      </c>
      <c r="T230" s="21">
        <f t="shared" si="21"/>
        <v>15</v>
      </c>
      <c r="U230" s="22">
        <f t="shared" si="22"/>
        <v>38</v>
      </c>
    </row>
    <row r="231" spans="1:21">
      <c r="A231" s="11">
        <v>44788</v>
      </c>
      <c r="B231" s="77">
        <v>2</v>
      </c>
      <c r="C231" s="77">
        <v>0</v>
      </c>
      <c r="D231" s="76">
        <v>3</v>
      </c>
      <c r="E231" s="77">
        <v>1</v>
      </c>
      <c r="F231" s="2">
        <v>4</v>
      </c>
      <c r="G231" s="1">
        <v>2</v>
      </c>
      <c r="H231" s="2">
        <v>3</v>
      </c>
      <c r="I231" s="1">
        <v>0</v>
      </c>
      <c r="J231" s="2">
        <v>4</v>
      </c>
      <c r="K231" s="1">
        <v>7</v>
      </c>
      <c r="L231" s="2">
        <v>4</v>
      </c>
      <c r="M231" s="1">
        <v>0</v>
      </c>
      <c r="N231" s="2">
        <v>2</v>
      </c>
      <c r="O231" s="1">
        <v>3</v>
      </c>
      <c r="P231" s="2">
        <v>1</v>
      </c>
      <c r="Q231" s="1">
        <v>2</v>
      </c>
      <c r="S231" s="21">
        <f t="shared" si="20"/>
        <v>23</v>
      </c>
      <c r="T231" s="21">
        <f t="shared" si="21"/>
        <v>15</v>
      </c>
      <c r="U231" s="22">
        <f t="shared" si="22"/>
        <v>38</v>
      </c>
    </row>
    <row r="232" spans="1:21">
      <c r="A232" s="11">
        <v>44789</v>
      </c>
      <c r="B232" s="77">
        <v>2</v>
      </c>
      <c r="C232" s="77">
        <v>0</v>
      </c>
      <c r="D232" s="76">
        <v>3</v>
      </c>
      <c r="E232" s="77">
        <v>1</v>
      </c>
      <c r="F232" s="2">
        <v>4</v>
      </c>
      <c r="G232" s="1">
        <v>2</v>
      </c>
      <c r="H232" s="2">
        <v>3</v>
      </c>
      <c r="I232" s="1">
        <v>0</v>
      </c>
      <c r="J232" s="2">
        <v>4</v>
      </c>
      <c r="K232" s="1">
        <v>7</v>
      </c>
      <c r="L232" s="2">
        <v>4</v>
      </c>
      <c r="M232" s="1">
        <v>0</v>
      </c>
      <c r="N232" s="2">
        <v>2</v>
      </c>
      <c r="O232" s="1">
        <v>3</v>
      </c>
      <c r="P232" s="2">
        <v>1</v>
      </c>
      <c r="Q232" s="1">
        <v>2</v>
      </c>
      <c r="S232" s="21">
        <f t="shared" si="20"/>
        <v>23</v>
      </c>
      <c r="T232" s="21">
        <f t="shared" si="21"/>
        <v>15</v>
      </c>
      <c r="U232" s="22">
        <f t="shared" si="22"/>
        <v>38</v>
      </c>
    </row>
    <row r="233" spans="1:21">
      <c r="A233" s="13">
        <v>44790</v>
      </c>
      <c r="B233" s="77">
        <v>2</v>
      </c>
      <c r="C233" s="77">
        <v>0</v>
      </c>
      <c r="D233" s="76">
        <v>3</v>
      </c>
      <c r="E233" s="77">
        <v>1</v>
      </c>
      <c r="F233" s="2">
        <v>4</v>
      </c>
      <c r="G233" s="1">
        <v>2</v>
      </c>
      <c r="H233" s="2">
        <v>3</v>
      </c>
      <c r="I233" s="1">
        <v>0</v>
      </c>
      <c r="J233" s="2">
        <v>4</v>
      </c>
      <c r="K233" s="1">
        <v>7</v>
      </c>
      <c r="L233" s="2">
        <v>4</v>
      </c>
      <c r="M233" s="1">
        <v>0</v>
      </c>
      <c r="N233" s="2">
        <v>2</v>
      </c>
      <c r="O233" s="1">
        <v>3</v>
      </c>
      <c r="P233" s="2">
        <v>1</v>
      </c>
      <c r="Q233" s="1">
        <v>2</v>
      </c>
      <c r="S233" s="21">
        <f t="shared" si="20"/>
        <v>23</v>
      </c>
      <c r="T233" s="21">
        <f t="shared" si="21"/>
        <v>15</v>
      </c>
      <c r="U233" s="22">
        <f t="shared" si="22"/>
        <v>38</v>
      </c>
    </row>
    <row r="234" spans="1:21">
      <c r="A234" s="11">
        <v>44791</v>
      </c>
      <c r="B234" s="77">
        <v>2</v>
      </c>
      <c r="C234" s="77">
        <v>0</v>
      </c>
      <c r="D234" s="76">
        <v>3</v>
      </c>
      <c r="E234" s="77">
        <v>1</v>
      </c>
      <c r="F234" s="2">
        <v>4</v>
      </c>
      <c r="G234" s="1">
        <v>2</v>
      </c>
      <c r="H234" s="2">
        <v>3</v>
      </c>
      <c r="I234" s="1">
        <v>0</v>
      </c>
      <c r="J234" s="2">
        <v>4</v>
      </c>
      <c r="K234" s="1">
        <v>7</v>
      </c>
      <c r="L234" s="2">
        <v>4</v>
      </c>
      <c r="M234" s="1">
        <v>0</v>
      </c>
      <c r="N234" s="2">
        <v>2</v>
      </c>
      <c r="O234" s="1">
        <v>3</v>
      </c>
      <c r="P234" s="2">
        <v>1</v>
      </c>
      <c r="Q234" s="1">
        <v>2</v>
      </c>
      <c r="S234" s="21">
        <f t="shared" si="20"/>
        <v>23</v>
      </c>
      <c r="T234" s="21">
        <f t="shared" si="21"/>
        <v>15</v>
      </c>
      <c r="U234" s="22">
        <f t="shared" si="22"/>
        <v>38</v>
      </c>
    </row>
    <row r="235" spans="1:21">
      <c r="A235" s="11">
        <v>44792</v>
      </c>
      <c r="B235" s="77">
        <v>2</v>
      </c>
      <c r="C235" s="77">
        <v>0</v>
      </c>
      <c r="D235" s="76">
        <v>3</v>
      </c>
      <c r="E235" s="77">
        <v>1</v>
      </c>
      <c r="F235" s="2">
        <v>4</v>
      </c>
      <c r="G235" s="1">
        <v>2</v>
      </c>
      <c r="H235" s="2">
        <v>3</v>
      </c>
      <c r="I235" s="1">
        <v>0</v>
      </c>
      <c r="J235" s="2">
        <v>4</v>
      </c>
      <c r="K235" s="1">
        <v>7</v>
      </c>
      <c r="L235" s="2">
        <v>4</v>
      </c>
      <c r="M235" s="1">
        <v>0</v>
      </c>
      <c r="N235" s="2">
        <v>2</v>
      </c>
      <c r="O235" s="1">
        <v>3</v>
      </c>
      <c r="P235" s="2">
        <v>1</v>
      </c>
      <c r="Q235" s="1">
        <v>2</v>
      </c>
      <c r="S235" s="21">
        <f t="shared" si="20"/>
        <v>23</v>
      </c>
      <c r="T235" s="21">
        <f t="shared" si="21"/>
        <v>15</v>
      </c>
      <c r="U235" s="22">
        <f t="shared" si="22"/>
        <v>38</v>
      </c>
    </row>
    <row r="236" spans="1:21">
      <c r="A236" s="12">
        <v>44793</v>
      </c>
      <c r="B236" s="77">
        <v>2</v>
      </c>
      <c r="C236" s="77">
        <v>0</v>
      </c>
      <c r="D236" s="76">
        <v>3</v>
      </c>
      <c r="E236" s="77">
        <v>1</v>
      </c>
      <c r="F236" s="2">
        <v>4</v>
      </c>
      <c r="G236" s="1">
        <v>2</v>
      </c>
      <c r="H236" s="2">
        <v>3</v>
      </c>
      <c r="I236" s="1">
        <v>0</v>
      </c>
      <c r="J236" s="2">
        <v>4</v>
      </c>
      <c r="K236" s="1">
        <v>7</v>
      </c>
      <c r="L236" s="2">
        <v>4</v>
      </c>
      <c r="M236" s="1">
        <v>0</v>
      </c>
      <c r="N236" s="2">
        <v>2</v>
      </c>
      <c r="O236" s="1">
        <v>3</v>
      </c>
      <c r="P236" s="2">
        <v>1</v>
      </c>
      <c r="Q236" s="1">
        <v>2</v>
      </c>
      <c r="S236" s="21">
        <f t="shared" si="20"/>
        <v>23</v>
      </c>
      <c r="T236" s="21">
        <f t="shared" si="21"/>
        <v>15</v>
      </c>
      <c r="U236" s="22">
        <f t="shared" si="22"/>
        <v>38</v>
      </c>
    </row>
    <row r="237" spans="1:21">
      <c r="A237" s="12">
        <v>44794</v>
      </c>
      <c r="B237" s="77">
        <v>2</v>
      </c>
      <c r="C237" s="77">
        <v>0</v>
      </c>
      <c r="D237" s="76">
        <v>3</v>
      </c>
      <c r="E237" s="77">
        <v>1</v>
      </c>
      <c r="F237" s="2">
        <v>4</v>
      </c>
      <c r="G237" s="1">
        <v>2</v>
      </c>
      <c r="H237" s="2">
        <v>3</v>
      </c>
      <c r="I237" s="1">
        <v>0</v>
      </c>
      <c r="J237" s="2">
        <v>4</v>
      </c>
      <c r="K237" s="1">
        <v>7</v>
      </c>
      <c r="L237" s="2">
        <v>4</v>
      </c>
      <c r="M237" s="1">
        <v>0</v>
      </c>
      <c r="N237" s="2">
        <v>2</v>
      </c>
      <c r="O237" s="1">
        <v>3</v>
      </c>
      <c r="P237" s="2">
        <v>1</v>
      </c>
      <c r="Q237" s="1">
        <v>2</v>
      </c>
      <c r="S237" s="21">
        <f t="shared" si="20"/>
        <v>23</v>
      </c>
      <c r="T237" s="21">
        <f t="shared" si="21"/>
        <v>15</v>
      </c>
      <c r="U237" s="22">
        <f t="shared" si="22"/>
        <v>38</v>
      </c>
    </row>
    <row r="238" spans="1:21">
      <c r="A238" s="11">
        <v>44795</v>
      </c>
      <c r="B238" s="77">
        <v>2</v>
      </c>
      <c r="C238" s="77">
        <v>0</v>
      </c>
      <c r="D238" s="76">
        <v>3</v>
      </c>
      <c r="E238" s="77">
        <v>1</v>
      </c>
      <c r="F238" s="2">
        <v>4</v>
      </c>
      <c r="G238" s="1">
        <v>2</v>
      </c>
      <c r="H238" s="2">
        <v>3</v>
      </c>
      <c r="I238" s="1">
        <v>0</v>
      </c>
      <c r="J238" s="2">
        <v>4</v>
      </c>
      <c r="K238" s="1">
        <v>7</v>
      </c>
      <c r="L238" s="2">
        <v>4</v>
      </c>
      <c r="M238" s="1">
        <v>0</v>
      </c>
      <c r="N238" s="2">
        <v>2</v>
      </c>
      <c r="O238" s="1">
        <v>3</v>
      </c>
      <c r="P238" s="2">
        <v>1</v>
      </c>
      <c r="Q238" s="1">
        <v>2</v>
      </c>
      <c r="S238" s="21">
        <f t="shared" si="20"/>
        <v>23</v>
      </c>
      <c r="T238" s="21">
        <f t="shared" si="21"/>
        <v>15</v>
      </c>
      <c r="U238" s="22">
        <f t="shared" si="22"/>
        <v>38</v>
      </c>
    </row>
    <row r="239" spans="1:21">
      <c r="A239" s="11">
        <v>44796</v>
      </c>
      <c r="B239" s="77">
        <v>2</v>
      </c>
      <c r="C239" s="77">
        <v>0</v>
      </c>
      <c r="D239" s="76">
        <v>3</v>
      </c>
      <c r="E239" s="77">
        <v>1</v>
      </c>
      <c r="F239" s="2">
        <v>4</v>
      </c>
      <c r="G239" s="1">
        <v>2</v>
      </c>
      <c r="H239" s="2">
        <v>3</v>
      </c>
      <c r="I239" s="1">
        <v>0</v>
      </c>
      <c r="J239" s="2">
        <v>4</v>
      </c>
      <c r="K239" s="1">
        <v>7</v>
      </c>
      <c r="L239" s="2">
        <v>4</v>
      </c>
      <c r="M239" s="1">
        <v>0</v>
      </c>
      <c r="N239" s="2">
        <v>2</v>
      </c>
      <c r="O239" s="1">
        <v>3</v>
      </c>
      <c r="P239" s="2">
        <v>1</v>
      </c>
      <c r="Q239" s="1">
        <v>2</v>
      </c>
      <c r="S239" s="21">
        <f t="shared" si="20"/>
        <v>23</v>
      </c>
      <c r="T239" s="21">
        <f t="shared" si="21"/>
        <v>15</v>
      </c>
      <c r="U239" s="22">
        <f t="shared" si="22"/>
        <v>38</v>
      </c>
    </row>
    <row r="240" spans="1:21">
      <c r="A240" s="13">
        <v>44797</v>
      </c>
      <c r="B240" s="77">
        <v>2</v>
      </c>
      <c r="C240" s="77">
        <v>0</v>
      </c>
      <c r="D240" s="76">
        <v>3</v>
      </c>
      <c r="E240" s="77">
        <v>1</v>
      </c>
      <c r="F240" s="2">
        <v>4</v>
      </c>
      <c r="G240" s="1">
        <v>2</v>
      </c>
      <c r="H240" s="2">
        <v>3</v>
      </c>
      <c r="I240" s="1">
        <v>0</v>
      </c>
      <c r="J240" s="2">
        <v>4</v>
      </c>
      <c r="K240" s="1">
        <v>7</v>
      </c>
      <c r="L240" s="2">
        <v>4</v>
      </c>
      <c r="M240" s="1">
        <v>0</v>
      </c>
      <c r="N240" s="2">
        <v>2</v>
      </c>
      <c r="O240" s="1">
        <v>3</v>
      </c>
      <c r="P240" s="2">
        <v>1</v>
      </c>
      <c r="Q240" s="1">
        <v>2</v>
      </c>
      <c r="S240" s="21">
        <f t="shared" si="20"/>
        <v>23</v>
      </c>
      <c r="T240" s="21">
        <f t="shared" si="21"/>
        <v>15</v>
      </c>
      <c r="U240" s="22">
        <f t="shared" si="22"/>
        <v>38</v>
      </c>
    </row>
    <row r="241" spans="1:21">
      <c r="A241" s="11">
        <v>44798</v>
      </c>
      <c r="B241" s="77">
        <v>2</v>
      </c>
      <c r="C241" s="77">
        <v>0</v>
      </c>
      <c r="D241" s="76">
        <v>3</v>
      </c>
      <c r="E241" s="77">
        <v>1</v>
      </c>
      <c r="F241" s="2">
        <v>4</v>
      </c>
      <c r="G241" s="1">
        <v>2</v>
      </c>
      <c r="H241" s="2">
        <v>3</v>
      </c>
      <c r="I241" s="1">
        <v>0</v>
      </c>
      <c r="J241" s="2">
        <v>4</v>
      </c>
      <c r="K241" s="1">
        <v>7</v>
      </c>
      <c r="L241" s="2">
        <v>4</v>
      </c>
      <c r="M241" s="1">
        <v>0</v>
      </c>
      <c r="N241" s="2">
        <v>2</v>
      </c>
      <c r="O241" s="1">
        <v>3</v>
      </c>
      <c r="P241" s="2">
        <v>1</v>
      </c>
      <c r="Q241" s="1">
        <v>2</v>
      </c>
      <c r="S241" s="21">
        <f t="shared" si="20"/>
        <v>23</v>
      </c>
      <c r="T241" s="21">
        <f t="shared" si="21"/>
        <v>15</v>
      </c>
      <c r="U241" s="22">
        <f t="shared" si="22"/>
        <v>38</v>
      </c>
    </row>
    <row r="242" spans="1:21">
      <c r="A242" s="11">
        <v>44799</v>
      </c>
      <c r="B242" s="77">
        <v>2</v>
      </c>
      <c r="C242" s="77">
        <v>0</v>
      </c>
      <c r="D242" s="76">
        <v>3</v>
      </c>
      <c r="E242" s="77">
        <v>1</v>
      </c>
      <c r="F242" s="2">
        <v>4</v>
      </c>
      <c r="G242" s="1">
        <v>2</v>
      </c>
      <c r="H242" s="2">
        <v>3</v>
      </c>
      <c r="I242" s="1">
        <v>0</v>
      </c>
      <c r="J242" s="2">
        <v>4</v>
      </c>
      <c r="K242" s="1">
        <v>7</v>
      </c>
      <c r="L242" s="2">
        <v>4</v>
      </c>
      <c r="M242" s="1">
        <v>0</v>
      </c>
      <c r="N242" s="2">
        <v>2</v>
      </c>
      <c r="O242" s="1">
        <v>3</v>
      </c>
      <c r="P242" s="2">
        <v>1</v>
      </c>
      <c r="Q242" s="1">
        <v>2</v>
      </c>
      <c r="S242" s="21">
        <f t="shared" si="20"/>
        <v>23</v>
      </c>
      <c r="T242" s="21">
        <f t="shared" si="21"/>
        <v>15</v>
      </c>
      <c r="U242" s="22">
        <f t="shared" si="22"/>
        <v>38</v>
      </c>
    </row>
    <row r="243" spans="1:21">
      <c r="A243" s="12">
        <v>44800</v>
      </c>
      <c r="B243" s="77">
        <v>2</v>
      </c>
      <c r="C243" s="77">
        <v>0</v>
      </c>
      <c r="D243" s="76">
        <v>3</v>
      </c>
      <c r="E243" s="77">
        <v>1</v>
      </c>
      <c r="F243" s="2">
        <v>4</v>
      </c>
      <c r="G243" s="1">
        <v>2</v>
      </c>
      <c r="H243" s="2">
        <v>3</v>
      </c>
      <c r="I243" s="1">
        <v>0</v>
      </c>
      <c r="J243" s="2">
        <v>4</v>
      </c>
      <c r="K243" s="1">
        <v>7</v>
      </c>
      <c r="L243" s="2">
        <v>4</v>
      </c>
      <c r="M243" s="1">
        <v>0</v>
      </c>
      <c r="N243" s="2">
        <v>2</v>
      </c>
      <c r="O243" s="1">
        <v>3</v>
      </c>
      <c r="P243" s="2">
        <v>1</v>
      </c>
      <c r="Q243" s="1">
        <v>2</v>
      </c>
      <c r="S243" s="21">
        <f t="shared" si="20"/>
        <v>23</v>
      </c>
      <c r="T243" s="21">
        <f t="shared" si="21"/>
        <v>15</v>
      </c>
      <c r="U243" s="22">
        <f t="shared" si="22"/>
        <v>38</v>
      </c>
    </row>
    <row r="244" spans="1:21">
      <c r="A244" s="12">
        <v>44801</v>
      </c>
      <c r="B244" s="77">
        <v>2</v>
      </c>
      <c r="C244" s="77">
        <v>0</v>
      </c>
      <c r="D244" s="76">
        <v>3</v>
      </c>
      <c r="E244" s="77">
        <v>1</v>
      </c>
      <c r="F244" s="2">
        <v>4</v>
      </c>
      <c r="G244" s="1">
        <v>2</v>
      </c>
      <c r="H244" s="2">
        <v>3</v>
      </c>
      <c r="I244" s="1">
        <v>0</v>
      </c>
      <c r="J244" s="2">
        <v>4</v>
      </c>
      <c r="K244" s="1">
        <v>7</v>
      </c>
      <c r="L244" s="2">
        <v>4</v>
      </c>
      <c r="M244" s="1">
        <v>0</v>
      </c>
      <c r="N244" s="2">
        <v>2</v>
      </c>
      <c r="O244" s="1">
        <v>3</v>
      </c>
      <c r="P244" s="2">
        <v>1</v>
      </c>
      <c r="Q244" s="1">
        <v>2</v>
      </c>
      <c r="S244" s="21">
        <f t="shared" si="20"/>
        <v>23</v>
      </c>
      <c r="T244" s="21">
        <f t="shared" si="21"/>
        <v>15</v>
      </c>
      <c r="U244" s="22">
        <f t="shared" si="22"/>
        <v>38</v>
      </c>
    </row>
    <row r="245" spans="1:21">
      <c r="A245" s="11">
        <v>44802</v>
      </c>
      <c r="B245" s="77">
        <v>2</v>
      </c>
      <c r="C245" s="77">
        <v>0</v>
      </c>
      <c r="D245" s="76">
        <v>3</v>
      </c>
      <c r="E245" s="77">
        <v>1</v>
      </c>
      <c r="F245" s="2">
        <v>4</v>
      </c>
      <c r="G245" s="1">
        <v>2</v>
      </c>
      <c r="H245" s="2">
        <v>3</v>
      </c>
      <c r="I245" s="1">
        <v>0</v>
      </c>
      <c r="J245" s="2">
        <v>4</v>
      </c>
      <c r="K245" s="1">
        <v>7</v>
      </c>
      <c r="L245" s="2">
        <v>4</v>
      </c>
      <c r="M245" s="1">
        <v>0</v>
      </c>
      <c r="N245" s="2">
        <v>2</v>
      </c>
      <c r="O245" s="1">
        <v>3</v>
      </c>
      <c r="P245" s="2">
        <v>1</v>
      </c>
      <c r="Q245" s="1">
        <v>2</v>
      </c>
      <c r="S245" s="21">
        <f t="shared" si="20"/>
        <v>23</v>
      </c>
      <c r="T245" s="21">
        <f t="shared" si="21"/>
        <v>15</v>
      </c>
      <c r="U245" s="22">
        <f t="shared" si="22"/>
        <v>38</v>
      </c>
    </row>
    <row r="246" spans="1:21">
      <c r="A246" s="11">
        <v>44803</v>
      </c>
      <c r="B246" s="77">
        <v>2</v>
      </c>
      <c r="C246" s="77">
        <v>0</v>
      </c>
      <c r="D246" s="76">
        <v>3</v>
      </c>
      <c r="E246" s="77">
        <v>1</v>
      </c>
      <c r="F246" s="2">
        <v>4</v>
      </c>
      <c r="G246" s="1">
        <v>2</v>
      </c>
      <c r="H246" s="2">
        <v>3</v>
      </c>
      <c r="I246" s="1">
        <v>0</v>
      </c>
      <c r="J246" s="2">
        <v>4</v>
      </c>
      <c r="K246" s="1">
        <v>7</v>
      </c>
      <c r="L246" s="2">
        <v>4</v>
      </c>
      <c r="M246" s="1">
        <v>0</v>
      </c>
      <c r="N246" s="2">
        <v>2</v>
      </c>
      <c r="O246" s="1">
        <v>3</v>
      </c>
      <c r="P246" s="2">
        <v>1</v>
      </c>
      <c r="Q246" s="1">
        <v>2</v>
      </c>
      <c r="S246" s="21">
        <f t="shared" si="20"/>
        <v>23</v>
      </c>
      <c r="T246" s="21">
        <f t="shared" si="21"/>
        <v>15</v>
      </c>
      <c r="U246" s="22">
        <f t="shared" si="22"/>
        <v>38</v>
      </c>
    </row>
    <row r="247" spans="1:21">
      <c r="A247" s="13">
        <v>44804</v>
      </c>
      <c r="B247" s="77">
        <v>2</v>
      </c>
      <c r="C247" s="77">
        <v>0</v>
      </c>
      <c r="D247" s="76">
        <v>3</v>
      </c>
      <c r="E247" s="77">
        <v>1</v>
      </c>
      <c r="F247" s="2">
        <v>4</v>
      </c>
      <c r="G247" s="1">
        <v>2</v>
      </c>
      <c r="H247" s="2">
        <v>3</v>
      </c>
      <c r="I247" s="1">
        <v>0</v>
      </c>
      <c r="J247" s="2">
        <v>4</v>
      </c>
      <c r="K247" s="1">
        <v>7</v>
      </c>
      <c r="L247" s="2">
        <v>4</v>
      </c>
      <c r="M247" s="1">
        <v>0</v>
      </c>
      <c r="N247" s="2">
        <v>2</v>
      </c>
      <c r="O247" s="1">
        <v>3</v>
      </c>
      <c r="P247" s="2">
        <v>1</v>
      </c>
      <c r="Q247" s="1">
        <v>2</v>
      </c>
      <c r="S247" s="21">
        <f t="shared" si="20"/>
        <v>23</v>
      </c>
      <c r="T247" s="21">
        <f t="shared" si="21"/>
        <v>15</v>
      </c>
      <c r="U247" s="22">
        <f t="shared" si="22"/>
        <v>38</v>
      </c>
    </row>
    <row r="248" spans="1:21">
      <c r="A248" s="11">
        <v>44805</v>
      </c>
      <c r="B248" s="77">
        <v>2</v>
      </c>
      <c r="C248" s="77">
        <v>0</v>
      </c>
      <c r="D248" s="76">
        <v>3</v>
      </c>
      <c r="E248" s="77">
        <v>1</v>
      </c>
      <c r="F248" s="2">
        <v>4</v>
      </c>
      <c r="G248" s="1">
        <v>2</v>
      </c>
      <c r="H248" s="2">
        <v>3</v>
      </c>
      <c r="I248" s="1">
        <v>0</v>
      </c>
      <c r="J248" s="2">
        <v>4</v>
      </c>
      <c r="K248" s="1">
        <v>7</v>
      </c>
      <c r="L248" s="2">
        <v>4</v>
      </c>
      <c r="M248" s="1">
        <v>0</v>
      </c>
      <c r="N248" s="2">
        <v>2</v>
      </c>
      <c r="O248" s="1">
        <v>3</v>
      </c>
      <c r="P248" s="2">
        <v>1</v>
      </c>
      <c r="Q248" s="1">
        <v>2</v>
      </c>
      <c r="S248" s="21">
        <f t="shared" ref="S248:S277" si="23">SUM(B248,D248,F248,H248,J248,L248,N248,P248)</f>
        <v>23</v>
      </c>
      <c r="T248" s="21">
        <f t="shared" ref="T248:T277" si="24">SUM(C248,E248,G248,I248,K248,M248,O248,Q248)</f>
        <v>15</v>
      </c>
      <c r="U248" s="22">
        <f t="shared" si="22"/>
        <v>38</v>
      </c>
    </row>
    <row r="249" spans="1:21">
      <c r="A249" s="11">
        <v>44806</v>
      </c>
      <c r="B249" s="77">
        <v>2</v>
      </c>
      <c r="C249" s="77">
        <v>0</v>
      </c>
      <c r="D249" s="76">
        <v>3</v>
      </c>
      <c r="E249" s="77">
        <v>1</v>
      </c>
      <c r="F249" s="2">
        <v>4</v>
      </c>
      <c r="G249" s="1">
        <v>2</v>
      </c>
      <c r="H249" s="2">
        <v>3</v>
      </c>
      <c r="I249" s="1">
        <v>0</v>
      </c>
      <c r="J249" s="2">
        <v>4</v>
      </c>
      <c r="K249" s="1">
        <v>7</v>
      </c>
      <c r="L249" s="2">
        <v>4</v>
      </c>
      <c r="M249" s="1">
        <v>0</v>
      </c>
      <c r="N249" s="2">
        <v>2</v>
      </c>
      <c r="O249" s="1">
        <v>3</v>
      </c>
      <c r="P249" s="2">
        <v>1</v>
      </c>
      <c r="Q249" s="1">
        <v>2</v>
      </c>
      <c r="S249" s="21">
        <f t="shared" si="23"/>
        <v>23</v>
      </c>
      <c r="T249" s="21">
        <f t="shared" si="24"/>
        <v>15</v>
      </c>
      <c r="U249" s="22">
        <f t="shared" si="22"/>
        <v>38</v>
      </c>
    </row>
    <row r="250" spans="1:21">
      <c r="A250" s="12">
        <v>44807</v>
      </c>
      <c r="B250" s="77">
        <v>2</v>
      </c>
      <c r="C250" s="77">
        <v>0</v>
      </c>
      <c r="D250" s="76">
        <v>3</v>
      </c>
      <c r="E250" s="77">
        <v>1</v>
      </c>
      <c r="F250" s="2">
        <v>4</v>
      </c>
      <c r="G250" s="1">
        <v>2</v>
      </c>
      <c r="H250" s="2">
        <v>3</v>
      </c>
      <c r="I250" s="1">
        <v>0</v>
      </c>
      <c r="J250" s="2">
        <v>4</v>
      </c>
      <c r="K250" s="1">
        <v>7</v>
      </c>
      <c r="L250" s="2">
        <v>4</v>
      </c>
      <c r="M250" s="1">
        <v>0</v>
      </c>
      <c r="N250" s="2">
        <v>2</v>
      </c>
      <c r="O250" s="1">
        <v>3</v>
      </c>
      <c r="P250" s="2">
        <v>1</v>
      </c>
      <c r="Q250" s="1">
        <v>2</v>
      </c>
      <c r="S250" s="21">
        <f t="shared" si="23"/>
        <v>23</v>
      </c>
      <c r="T250" s="21">
        <f t="shared" si="24"/>
        <v>15</v>
      </c>
      <c r="U250" s="22">
        <f t="shared" si="22"/>
        <v>38</v>
      </c>
    </row>
    <row r="251" spans="1:21">
      <c r="A251" s="12">
        <v>44808</v>
      </c>
      <c r="B251" s="77">
        <v>2</v>
      </c>
      <c r="C251" s="77">
        <v>0</v>
      </c>
      <c r="D251" s="76">
        <v>3</v>
      </c>
      <c r="E251" s="77">
        <v>1</v>
      </c>
      <c r="F251" s="2">
        <v>4</v>
      </c>
      <c r="G251" s="1">
        <v>2</v>
      </c>
      <c r="H251" s="2">
        <v>3</v>
      </c>
      <c r="I251" s="1">
        <v>0</v>
      </c>
      <c r="J251" s="2">
        <v>4</v>
      </c>
      <c r="K251" s="1">
        <v>7</v>
      </c>
      <c r="L251" s="2">
        <v>4</v>
      </c>
      <c r="M251" s="1">
        <v>0</v>
      </c>
      <c r="N251" s="2">
        <v>2</v>
      </c>
      <c r="O251" s="1">
        <v>3</v>
      </c>
      <c r="P251" s="2">
        <v>1</v>
      </c>
      <c r="Q251" s="1">
        <v>2</v>
      </c>
      <c r="S251" s="21">
        <f t="shared" si="23"/>
        <v>23</v>
      </c>
      <c r="T251" s="21">
        <f t="shared" si="24"/>
        <v>15</v>
      </c>
      <c r="U251" s="22">
        <f t="shared" si="22"/>
        <v>38</v>
      </c>
    </row>
    <row r="252" spans="1:21">
      <c r="A252" s="11">
        <v>44809</v>
      </c>
      <c r="B252" s="77">
        <v>2</v>
      </c>
      <c r="C252" s="77">
        <v>0</v>
      </c>
      <c r="D252" s="76">
        <v>3</v>
      </c>
      <c r="E252" s="77">
        <v>1</v>
      </c>
      <c r="F252" s="2">
        <v>4</v>
      </c>
      <c r="G252" s="1">
        <v>2</v>
      </c>
      <c r="H252" s="2">
        <v>3</v>
      </c>
      <c r="I252" s="1">
        <v>0</v>
      </c>
      <c r="J252" s="2">
        <v>4</v>
      </c>
      <c r="K252" s="1">
        <v>7</v>
      </c>
      <c r="L252" s="2">
        <v>4</v>
      </c>
      <c r="M252" s="1">
        <v>0</v>
      </c>
      <c r="N252" s="2">
        <v>2</v>
      </c>
      <c r="O252" s="1">
        <v>3</v>
      </c>
      <c r="P252" s="2">
        <v>1</v>
      </c>
      <c r="Q252" s="1">
        <v>2</v>
      </c>
      <c r="S252" s="21">
        <f t="shared" si="23"/>
        <v>23</v>
      </c>
      <c r="T252" s="21">
        <f t="shared" si="24"/>
        <v>15</v>
      </c>
      <c r="U252" s="22">
        <f t="shared" si="22"/>
        <v>38</v>
      </c>
    </row>
    <row r="253" spans="1:21">
      <c r="A253" s="11">
        <v>44810</v>
      </c>
      <c r="B253" s="77">
        <v>2</v>
      </c>
      <c r="C253" s="77">
        <v>0</v>
      </c>
      <c r="D253" s="76">
        <v>3</v>
      </c>
      <c r="E253" s="77">
        <v>1</v>
      </c>
      <c r="F253" s="2">
        <v>4</v>
      </c>
      <c r="G253" s="1">
        <v>2</v>
      </c>
      <c r="H253" s="2">
        <v>3</v>
      </c>
      <c r="I253" s="1">
        <v>0</v>
      </c>
      <c r="J253" s="2">
        <v>4</v>
      </c>
      <c r="K253" s="1">
        <v>7</v>
      </c>
      <c r="L253" s="2">
        <v>4</v>
      </c>
      <c r="M253" s="1">
        <v>0</v>
      </c>
      <c r="N253" s="2">
        <v>2</v>
      </c>
      <c r="O253" s="1">
        <v>3</v>
      </c>
      <c r="P253" s="2">
        <v>1</v>
      </c>
      <c r="Q253" s="1">
        <v>2</v>
      </c>
      <c r="S253" s="21">
        <f t="shared" si="23"/>
        <v>23</v>
      </c>
      <c r="T253" s="21">
        <f t="shared" si="24"/>
        <v>15</v>
      </c>
      <c r="U253" s="22">
        <f t="shared" si="22"/>
        <v>38</v>
      </c>
    </row>
    <row r="254" spans="1:21">
      <c r="A254" s="13">
        <v>44811</v>
      </c>
      <c r="B254" s="77">
        <v>2</v>
      </c>
      <c r="C254" s="77">
        <v>0</v>
      </c>
      <c r="D254" s="76">
        <v>3</v>
      </c>
      <c r="E254" s="77">
        <v>1</v>
      </c>
      <c r="F254" s="2">
        <v>4</v>
      </c>
      <c r="G254" s="1">
        <v>2</v>
      </c>
      <c r="H254" s="2">
        <v>3</v>
      </c>
      <c r="I254" s="1">
        <v>0</v>
      </c>
      <c r="J254" s="2">
        <v>4</v>
      </c>
      <c r="K254" s="1">
        <v>7</v>
      </c>
      <c r="L254" s="2">
        <v>4</v>
      </c>
      <c r="M254" s="1">
        <v>0</v>
      </c>
      <c r="N254" s="2">
        <v>2</v>
      </c>
      <c r="O254" s="1">
        <v>3</v>
      </c>
      <c r="P254" s="2">
        <v>1</v>
      </c>
      <c r="Q254" s="1">
        <v>2</v>
      </c>
      <c r="S254" s="21">
        <f t="shared" si="23"/>
        <v>23</v>
      </c>
      <c r="T254" s="21">
        <f t="shared" si="24"/>
        <v>15</v>
      </c>
      <c r="U254" s="22">
        <f t="shared" si="22"/>
        <v>38</v>
      </c>
    </row>
    <row r="255" spans="1:21">
      <c r="A255" s="11">
        <v>44812</v>
      </c>
      <c r="B255" s="77">
        <v>2</v>
      </c>
      <c r="C255" s="77">
        <v>0</v>
      </c>
      <c r="D255" s="76">
        <v>3</v>
      </c>
      <c r="E255" s="77">
        <v>1</v>
      </c>
      <c r="F255" s="2">
        <v>4</v>
      </c>
      <c r="G255" s="1">
        <v>2</v>
      </c>
      <c r="H255" s="2">
        <v>3</v>
      </c>
      <c r="I255" s="1">
        <v>0</v>
      </c>
      <c r="J255" s="2">
        <v>4</v>
      </c>
      <c r="K255" s="1">
        <v>7</v>
      </c>
      <c r="L255" s="2">
        <v>4</v>
      </c>
      <c r="M255" s="1">
        <v>0</v>
      </c>
      <c r="N255" s="2">
        <v>2</v>
      </c>
      <c r="O255" s="1">
        <v>3</v>
      </c>
      <c r="P255" s="2">
        <v>1</v>
      </c>
      <c r="Q255" s="1">
        <v>2</v>
      </c>
      <c r="S255" s="21">
        <f t="shared" si="23"/>
        <v>23</v>
      </c>
      <c r="T255" s="21">
        <f t="shared" si="24"/>
        <v>15</v>
      </c>
      <c r="U255" s="22">
        <f t="shared" si="22"/>
        <v>38</v>
      </c>
    </row>
    <row r="256" spans="1:21">
      <c r="A256" s="11">
        <v>44813</v>
      </c>
      <c r="B256" s="77">
        <v>2</v>
      </c>
      <c r="C256" s="77">
        <v>0</v>
      </c>
      <c r="D256" s="76">
        <v>3</v>
      </c>
      <c r="E256" s="77">
        <v>1</v>
      </c>
      <c r="F256" s="2">
        <v>4</v>
      </c>
      <c r="G256" s="1">
        <v>2</v>
      </c>
      <c r="H256" s="2">
        <v>3</v>
      </c>
      <c r="I256" s="1">
        <v>0</v>
      </c>
      <c r="J256" s="2">
        <v>4</v>
      </c>
      <c r="K256" s="1">
        <v>7</v>
      </c>
      <c r="L256" s="2">
        <v>4</v>
      </c>
      <c r="M256" s="1">
        <v>0</v>
      </c>
      <c r="N256" s="2">
        <v>2</v>
      </c>
      <c r="O256" s="1">
        <v>3</v>
      </c>
      <c r="P256" s="2">
        <v>1</v>
      </c>
      <c r="Q256" s="1">
        <v>2</v>
      </c>
      <c r="S256" s="21">
        <f t="shared" si="23"/>
        <v>23</v>
      </c>
      <c r="T256" s="21">
        <f t="shared" si="24"/>
        <v>15</v>
      </c>
      <c r="U256" s="22">
        <f t="shared" si="22"/>
        <v>38</v>
      </c>
    </row>
    <row r="257" spans="1:21">
      <c r="A257" s="12">
        <v>44814</v>
      </c>
      <c r="B257" s="77">
        <v>2</v>
      </c>
      <c r="C257" s="77">
        <v>0</v>
      </c>
      <c r="D257" s="76">
        <v>3</v>
      </c>
      <c r="E257" s="77">
        <v>1</v>
      </c>
      <c r="F257" s="2">
        <v>4</v>
      </c>
      <c r="G257" s="1">
        <v>2</v>
      </c>
      <c r="H257" s="2">
        <v>3</v>
      </c>
      <c r="I257" s="1">
        <v>0</v>
      </c>
      <c r="J257" s="2">
        <v>4</v>
      </c>
      <c r="K257" s="1">
        <v>7</v>
      </c>
      <c r="L257" s="2">
        <v>4</v>
      </c>
      <c r="M257" s="1">
        <v>0</v>
      </c>
      <c r="N257" s="2">
        <v>2</v>
      </c>
      <c r="O257" s="1">
        <v>3</v>
      </c>
      <c r="P257" s="2">
        <v>1</v>
      </c>
      <c r="Q257" s="1">
        <v>2</v>
      </c>
      <c r="S257" s="21">
        <f t="shared" si="23"/>
        <v>23</v>
      </c>
      <c r="T257" s="21">
        <f t="shared" si="24"/>
        <v>15</v>
      </c>
      <c r="U257" s="22">
        <f t="shared" si="22"/>
        <v>38</v>
      </c>
    </row>
    <row r="258" spans="1:21">
      <c r="A258" s="12">
        <v>44815</v>
      </c>
      <c r="B258" s="77">
        <v>2</v>
      </c>
      <c r="C258" s="77">
        <v>0</v>
      </c>
      <c r="D258" s="76">
        <v>3</v>
      </c>
      <c r="E258" s="77">
        <v>1</v>
      </c>
      <c r="F258" s="2">
        <v>4</v>
      </c>
      <c r="G258" s="1">
        <v>2</v>
      </c>
      <c r="H258" s="2">
        <v>3</v>
      </c>
      <c r="I258" s="1">
        <v>0</v>
      </c>
      <c r="J258" s="2">
        <v>4</v>
      </c>
      <c r="K258" s="1">
        <v>7</v>
      </c>
      <c r="L258" s="2">
        <v>4</v>
      </c>
      <c r="M258" s="1">
        <v>0</v>
      </c>
      <c r="N258" s="2">
        <v>2</v>
      </c>
      <c r="O258" s="1">
        <v>3</v>
      </c>
      <c r="P258" s="2">
        <v>1</v>
      </c>
      <c r="Q258" s="1">
        <v>2</v>
      </c>
      <c r="S258" s="21">
        <f t="shared" si="23"/>
        <v>23</v>
      </c>
      <c r="T258" s="21">
        <f t="shared" si="24"/>
        <v>15</v>
      </c>
      <c r="U258" s="22">
        <f t="shared" si="22"/>
        <v>38</v>
      </c>
    </row>
    <row r="259" spans="1:21">
      <c r="A259" s="11">
        <v>44816</v>
      </c>
      <c r="B259" s="77">
        <v>2</v>
      </c>
      <c r="C259" s="77">
        <v>0</v>
      </c>
      <c r="D259" s="76">
        <v>3</v>
      </c>
      <c r="E259" s="77">
        <v>1</v>
      </c>
      <c r="F259" s="2">
        <v>4</v>
      </c>
      <c r="G259" s="1">
        <v>2</v>
      </c>
      <c r="H259" s="2">
        <v>3</v>
      </c>
      <c r="I259" s="1">
        <v>0</v>
      </c>
      <c r="J259" s="2">
        <v>4</v>
      </c>
      <c r="K259" s="1">
        <v>7</v>
      </c>
      <c r="L259" s="2">
        <v>4</v>
      </c>
      <c r="M259" s="1">
        <v>0</v>
      </c>
      <c r="N259" s="2">
        <v>2</v>
      </c>
      <c r="O259" s="1">
        <v>3</v>
      </c>
      <c r="P259" s="2">
        <v>1</v>
      </c>
      <c r="Q259" s="1">
        <v>2</v>
      </c>
      <c r="S259" s="21">
        <f t="shared" si="23"/>
        <v>23</v>
      </c>
      <c r="T259" s="21">
        <f t="shared" si="24"/>
        <v>15</v>
      </c>
      <c r="U259" s="22">
        <f t="shared" si="22"/>
        <v>38</v>
      </c>
    </row>
    <row r="260" spans="1:21">
      <c r="A260" s="11">
        <v>44817</v>
      </c>
      <c r="B260" s="77">
        <v>2</v>
      </c>
      <c r="C260" s="77">
        <v>0</v>
      </c>
      <c r="D260" s="76">
        <v>3</v>
      </c>
      <c r="E260" s="77">
        <v>1</v>
      </c>
      <c r="F260" s="2">
        <v>4</v>
      </c>
      <c r="G260" s="1">
        <v>2</v>
      </c>
      <c r="H260" s="2">
        <v>3</v>
      </c>
      <c r="I260" s="1">
        <v>0</v>
      </c>
      <c r="J260" s="2">
        <v>4</v>
      </c>
      <c r="K260" s="1">
        <v>7</v>
      </c>
      <c r="L260" s="2">
        <v>4</v>
      </c>
      <c r="M260" s="1">
        <v>0</v>
      </c>
      <c r="N260" s="2">
        <v>2</v>
      </c>
      <c r="O260" s="1">
        <v>3</v>
      </c>
      <c r="P260" s="2">
        <v>1</v>
      </c>
      <c r="Q260" s="1">
        <v>2</v>
      </c>
      <c r="S260" s="21">
        <f t="shared" si="23"/>
        <v>23</v>
      </c>
      <c r="T260" s="21">
        <f t="shared" si="24"/>
        <v>15</v>
      </c>
      <c r="U260" s="22">
        <f t="shared" si="22"/>
        <v>38</v>
      </c>
    </row>
    <row r="261" spans="1:21">
      <c r="A261" s="13">
        <v>44818</v>
      </c>
      <c r="B261" s="77">
        <v>2</v>
      </c>
      <c r="C261" s="77">
        <v>0</v>
      </c>
      <c r="D261" s="76">
        <v>3</v>
      </c>
      <c r="E261" s="77">
        <v>1</v>
      </c>
      <c r="F261" s="2">
        <v>4</v>
      </c>
      <c r="G261" s="1">
        <v>2</v>
      </c>
      <c r="H261" s="2">
        <v>3</v>
      </c>
      <c r="I261" s="1">
        <v>0</v>
      </c>
      <c r="J261" s="2">
        <v>4</v>
      </c>
      <c r="K261" s="1">
        <v>7</v>
      </c>
      <c r="L261" s="2">
        <v>4</v>
      </c>
      <c r="M261" s="1">
        <v>0</v>
      </c>
      <c r="N261" s="2">
        <v>2</v>
      </c>
      <c r="O261" s="1">
        <v>3</v>
      </c>
      <c r="P261" s="2">
        <v>1</v>
      </c>
      <c r="Q261" s="1">
        <v>2</v>
      </c>
      <c r="S261" s="21">
        <f t="shared" si="23"/>
        <v>23</v>
      </c>
      <c r="T261" s="21">
        <f t="shared" si="24"/>
        <v>15</v>
      </c>
      <c r="U261" s="22">
        <f t="shared" si="22"/>
        <v>38</v>
      </c>
    </row>
    <row r="262" spans="1:21">
      <c r="A262" s="11">
        <v>44819</v>
      </c>
      <c r="B262" s="77">
        <v>2</v>
      </c>
      <c r="C262" s="77">
        <v>0</v>
      </c>
      <c r="D262" s="76">
        <v>3</v>
      </c>
      <c r="E262" s="77">
        <v>1</v>
      </c>
      <c r="F262" s="2">
        <v>4</v>
      </c>
      <c r="G262" s="1">
        <v>2</v>
      </c>
      <c r="H262" s="2">
        <v>3</v>
      </c>
      <c r="I262" s="1">
        <v>0</v>
      </c>
      <c r="J262" s="2">
        <v>4</v>
      </c>
      <c r="K262" s="1">
        <v>7</v>
      </c>
      <c r="L262" s="2">
        <v>4</v>
      </c>
      <c r="M262" s="1">
        <v>0</v>
      </c>
      <c r="N262" s="2">
        <v>2</v>
      </c>
      <c r="O262" s="1">
        <v>3</v>
      </c>
      <c r="P262" s="2">
        <v>1</v>
      </c>
      <c r="Q262" s="1">
        <v>2</v>
      </c>
      <c r="S262" s="21">
        <f t="shared" si="23"/>
        <v>23</v>
      </c>
      <c r="T262" s="21">
        <f t="shared" si="24"/>
        <v>15</v>
      </c>
      <c r="U262" s="22">
        <f t="shared" si="22"/>
        <v>38</v>
      </c>
    </row>
    <row r="263" spans="1:21">
      <c r="A263" s="11">
        <v>44820</v>
      </c>
      <c r="B263" s="77">
        <v>2</v>
      </c>
      <c r="C263" s="77">
        <v>0</v>
      </c>
      <c r="D263" s="76">
        <v>3</v>
      </c>
      <c r="E263" s="77">
        <v>1</v>
      </c>
      <c r="F263" s="2">
        <v>4</v>
      </c>
      <c r="G263" s="1">
        <v>2</v>
      </c>
      <c r="H263" s="2">
        <v>3</v>
      </c>
      <c r="I263" s="1">
        <v>0</v>
      </c>
      <c r="J263" s="2">
        <v>4</v>
      </c>
      <c r="K263" s="1">
        <v>7</v>
      </c>
      <c r="L263" s="2">
        <v>4</v>
      </c>
      <c r="M263" s="1">
        <v>0</v>
      </c>
      <c r="N263" s="2">
        <v>2</v>
      </c>
      <c r="O263" s="1">
        <v>3</v>
      </c>
      <c r="P263" s="2">
        <v>1</v>
      </c>
      <c r="Q263" s="1">
        <v>2</v>
      </c>
      <c r="S263" s="21">
        <f t="shared" si="23"/>
        <v>23</v>
      </c>
      <c r="T263" s="21">
        <f t="shared" si="24"/>
        <v>15</v>
      </c>
      <c r="U263" s="22">
        <f t="shared" si="22"/>
        <v>38</v>
      </c>
    </row>
    <row r="264" spans="1:21">
      <c r="A264" s="12">
        <v>44821</v>
      </c>
      <c r="B264" s="77">
        <v>2</v>
      </c>
      <c r="C264" s="77">
        <v>0</v>
      </c>
      <c r="D264" s="76">
        <v>3</v>
      </c>
      <c r="E264" s="77">
        <v>1</v>
      </c>
      <c r="F264" s="2">
        <v>4</v>
      </c>
      <c r="G264" s="1">
        <v>2</v>
      </c>
      <c r="H264" s="2">
        <v>3</v>
      </c>
      <c r="I264" s="1">
        <v>0</v>
      </c>
      <c r="J264" s="2">
        <v>4</v>
      </c>
      <c r="K264" s="1">
        <v>7</v>
      </c>
      <c r="L264" s="2">
        <v>4</v>
      </c>
      <c r="M264" s="1">
        <v>0</v>
      </c>
      <c r="N264" s="2">
        <v>2</v>
      </c>
      <c r="O264" s="1">
        <v>3</v>
      </c>
      <c r="P264" s="2">
        <v>1</v>
      </c>
      <c r="Q264" s="1">
        <v>2</v>
      </c>
      <c r="S264" s="21">
        <f t="shared" si="23"/>
        <v>23</v>
      </c>
      <c r="T264" s="21">
        <f t="shared" si="24"/>
        <v>15</v>
      </c>
      <c r="U264" s="22">
        <f t="shared" si="22"/>
        <v>38</v>
      </c>
    </row>
    <row r="265" spans="1:21">
      <c r="A265" s="12">
        <v>44822</v>
      </c>
      <c r="B265" s="77">
        <v>2</v>
      </c>
      <c r="C265" s="77">
        <v>0</v>
      </c>
      <c r="D265" s="76">
        <v>3</v>
      </c>
      <c r="E265" s="77">
        <v>1</v>
      </c>
      <c r="F265" s="2">
        <v>4</v>
      </c>
      <c r="G265" s="1">
        <v>2</v>
      </c>
      <c r="H265" s="2">
        <v>3</v>
      </c>
      <c r="I265" s="1">
        <v>0</v>
      </c>
      <c r="J265" s="2">
        <v>4</v>
      </c>
      <c r="K265" s="1">
        <v>7</v>
      </c>
      <c r="L265" s="2">
        <v>4</v>
      </c>
      <c r="M265" s="1">
        <v>0</v>
      </c>
      <c r="N265" s="2">
        <v>2</v>
      </c>
      <c r="O265" s="1">
        <v>3</v>
      </c>
      <c r="P265" s="2">
        <v>1</v>
      </c>
      <c r="Q265" s="1">
        <v>2</v>
      </c>
      <c r="S265" s="21">
        <f t="shared" si="23"/>
        <v>23</v>
      </c>
      <c r="T265" s="21">
        <f t="shared" si="24"/>
        <v>15</v>
      </c>
      <c r="U265" s="22">
        <f t="shared" si="22"/>
        <v>38</v>
      </c>
    </row>
    <row r="266" spans="1:21">
      <c r="A266" s="11">
        <v>44823</v>
      </c>
      <c r="B266" s="77">
        <v>2</v>
      </c>
      <c r="C266" s="77">
        <v>0</v>
      </c>
      <c r="D266" s="76">
        <v>3</v>
      </c>
      <c r="E266" s="77">
        <v>1</v>
      </c>
      <c r="F266" s="2">
        <v>4</v>
      </c>
      <c r="G266" s="1">
        <v>2</v>
      </c>
      <c r="H266" s="2">
        <v>3</v>
      </c>
      <c r="I266" s="1">
        <v>0</v>
      </c>
      <c r="J266" s="2">
        <v>4</v>
      </c>
      <c r="K266" s="1">
        <v>7</v>
      </c>
      <c r="L266" s="2">
        <v>4</v>
      </c>
      <c r="M266" s="1">
        <v>0</v>
      </c>
      <c r="N266" s="2">
        <v>2</v>
      </c>
      <c r="O266" s="1">
        <v>3</v>
      </c>
      <c r="P266" s="2">
        <v>1</v>
      </c>
      <c r="Q266" s="1">
        <v>2</v>
      </c>
      <c r="S266" s="21">
        <f t="shared" si="23"/>
        <v>23</v>
      </c>
      <c r="T266" s="21">
        <f t="shared" si="24"/>
        <v>15</v>
      </c>
      <c r="U266" s="22">
        <f t="shared" si="22"/>
        <v>38</v>
      </c>
    </row>
    <row r="267" spans="1:21">
      <c r="A267" s="11">
        <v>44824</v>
      </c>
      <c r="B267" s="77">
        <v>2</v>
      </c>
      <c r="C267" s="77">
        <v>0</v>
      </c>
      <c r="D267" s="76">
        <v>3</v>
      </c>
      <c r="E267" s="77">
        <v>1</v>
      </c>
      <c r="F267" s="2">
        <v>4</v>
      </c>
      <c r="G267" s="1">
        <v>2</v>
      </c>
      <c r="H267" s="2">
        <v>3</v>
      </c>
      <c r="I267" s="1">
        <v>0</v>
      </c>
      <c r="J267" s="2">
        <v>4</v>
      </c>
      <c r="K267" s="1">
        <v>7</v>
      </c>
      <c r="L267" s="2">
        <v>4</v>
      </c>
      <c r="M267" s="1">
        <v>0</v>
      </c>
      <c r="N267" s="2">
        <v>2</v>
      </c>
      <c r="O267" s="1">
        <v>3</v>
      </c>
      <c r="P267" s="2">
        <v>1</v>
      </c>
      <c r="Q267" s="1">
        <v>2</v>
      </c>
      <c r="S267" s="21">
        <f t="shared" si="23"/>
        <v>23</v>
      </c>
      <c r="T267" s="21">
        <f t="shared" si="24"/>
        <v>15</v>
      </c>
      <c r="U267" s="22">
        <f t="shared" si="22"/>
        <v>38</v>
      </c>
    </row>
    <row r="268" spans="1:21">
      <c r="A268" s="13">
        <v>44825</v>
      </c>
      <c r="B268" s="77">
        <v>2</v>
      </c>
      <c r="C268" s="77">
        <v>0</v>
      </c>
      <c r="D268" s="76">
        <v>3</v>
      </c>
      <c r="E268" s="77">
        <v>1</v>
      </c>
      <c r="F268" s="2">
        <v>4</v>
      </c>
      <c r="G268" s="1">
        <v>2</v>
      </c>
      <c r="H268" s="2">
        <v>3</v>
      </c>
      <c r="I268" s="1">
        <v>0</v>
      </c>
      <c r="J268" s="2">
        <v>4</v>
      </c>
      <c r="K268" s="1">
        <v>7</v>
      </c>
      <c r="L268" s="2">
        <v>4</v>
      </c>
      <c r="M268" s="1">
        <v>0</v>
      </c>
      <c r="N268" s="2">
        <v>2</v>
      </c>
      <c r="O268" s="1">
        <v>3</v>
      </c>
      <c r="P268" s="2">
        <v>1</v>
      </c>
      <c r="Q268" s="1">
        <v>2</v>
      </c>
      <c r="S268" s="21">
        <f t="shared" si="23"/>
        <v>23</v>
      </c>
      <c r="T268" s="21">
        <f t="shared" si="24"/>
        <v>15</v>
      </c>
      <c r="U268" s="22">
        <f t="shared" si="22"/>
        <v>38</v>
      </c>
    </row>
    <row r="269" spans="1:21">
      <c r="A269" s="11">
        <v>44826</v>
      </c>
      <c r="B269" s="77">
        <v>2</v>
      </c>
      <c r="C269" s="77">
        <v>0</v>
      </c>
      <c r="D269" s="76">
        <v>3</v>
      </c>
      <c r="E269" s="77">
        <v>1</v>
      </c>
      <c r="F269" s="2">
        <v>4</v>
      </c>
      <c r="G269" s="1">
        <v>2</v>
      </c>
      <c r="H269" s="2">
        <v>3</v>
      </c>
      <c r="I269" s="1">
        <v>0</v>
      </c>
      <c r="J269" s="2">
        <v>4</v>
      </c>
      <c r="K269" s="1">
        <v>7</v>
      </c>
      <c r="L269" s="2">
        <v>4</v>
      </c>
      <c r="M269" s="1">
        <v>0</v>
      </c>
      <c r="N269" s="2">
        <v>2</v>
      </c>
      <c r="O269" s="1">
        <v>3</v>
      </c>
      <c r="P269" s="2">
        <v>1</v>
      </c>
      <c r="Q269" s="1">
        <v>2</v>
      </c>
      <c r="S269" s="21">
        <f t="shared" si="23"/>
        <v>23</v>
      </c>
      <c r="T269" s="21">
        <f t="shared" si="24"/>
        <v>15</v>
      </c>
      <c r="U269" s="22">
        <f t="shared" si="22"/>
        <v>38</v>
      </c>
    </row>
    <row r="270" spans="1:21">
      <c r="A270" s="11">
        <v>44827</v>
      </c>
      <c r="B270" s="77">
        <v>2</v>
      </c>
      <c r="C270" s="77">
        <v>0</v>
      </c>
      <c r="D270" s="76">
        <v>3</v>
      </c>
      <c r="E270" s="77">
        <v>1</v>
      </c>
      <c r="F270" s="2">
        <v>4</v>
      </c>
      <c r="G270" s="1">
        <v>2</v>
      </c>
      <c r="H270" s="2">
        <v>3</v>
      </c>
      <c r="I270" s="1">
        <v>0</v>
      </c>
      <c r="J270" s="2">
        <v>4</v>
      </c>
      <c r="K270" s="1">
        <v>7</v>
      </c>
      <c r="L270" s="2">
        <v>4</v>
      </c>
      <c r="M270" s="1">
        <v>0</v>
      </c>
      <c r="N270" s="2">
        <v>2</v>
      </c>
      <c r="O270" s="1">
        <v>3</v>
      </c>
      <c r="P270" s="2">
        <v>1</v>
      </c>
      <c r="Q270" s="1">
        <v>2</v>
      </c>
      <c r="S270" s="21">
        <f t="shared" si="23"/>
        <v>23</v>
      </c>
      <c r="T270" s="21">
        <f t="shared" si="24"/>
        <v>15</v>
      </c>
      <c r="U270" s="22">
        <f t="shared" si="22"/>
        <v>38</v>
      </c>
    </row>
    <row r="271" spans="1:21">
      <c r="A271" s="12">
        <v>44828</v>
      </c>
      <c r="B271" s="77">
        <v>2</v>
      </c>
      <c r="C271" s="77">
        <v>0</v>
      </c>
      <c r="D271" s="76">
        <v>3</v>
      </c>
      <c r="E271" s="77">
        <v>1</v>
      </c>
      <c r="F271" s="2">
        <v>4</v>
      </c>
      <c r="G271" s="1">
        <v>2</v>
      </c>
      <c r="H271" s="2">
        <v>3</v>
      </c>
      <c r="I271" s="1">
        <v>0</v>
      </c>
      <c r="J271" s="2">
        <v>4</v>
      </c>
      <c r="K271" s="1">
        <v>7</v>
      </c>
      <c r="L271" s="2">
        <v>4</v>
      </c>
      <c r="M271" s="1">
        <v>0</v>
      </c>
      <c r="N271" s="2">
        <v>2</v>
      </c>
      <c r="O271" s="1">
        <v>3</v>
      </c>
      <c r="P271" s="2">
        <v>1</v>
      </c>
      <c r="Q271" s="1">
        <v>2</v>
      </c>
      <c r="S271" s="21">
        <f t="shared" si="23"/>
        <v>23</v>
      </c>
      <c r="T271" s="21">
        <f t="shared" si="24"/>
        <v>15</v>
      </c>
      <c r="U271" s="22">
        <f t="shared" si="22"/>
        <v>38</v>
      </c>
    </row>
    <row r="272" spans="1:21">
      <c r="A272" s="12">
        <v>44829</v>
      </c>
      <c r="B272" s="77">
        <v>2</v>
      </c>
      <c r="C272" s="77">
        <v>0</v>
      </c>
      <c r="D272" s="76">
        <v>3</v>
      </c>
      <c r="E272" s="77">
        <v>1</v>
      </c>
      <c r="F272" s="2">
        <v>4</v>
      </c>
      <c r="G272" s="1">
        <v>2</v>
      </c>
      <c r="H272" s="2">
        <v>3</v>
      </c>
      <c r="I272" s="1">
        <v>0</v>
      </c>
      <c r="J272" s="2">
        <v>4</v>
      </c>
      <c r="K272" s="1">
        <v>7</v>
      </c>
      <c r="L272" s="2">
        <v>4</v>
      </c>
      <c r="M272" s="1">
        <v>0</v>
      </c>
      <c r="N272" s="2">
        <v>2</v>
      </c>
      <c r="O272" s="1">
        <v>3</v>
      </c>
      <c r="P272" s="2">
        <v>1</v>
      </c>
      <c r="Q272" s="1">
        <v>2</v>
      </c>
      <c r="S272" s="21">
        <f t="shared" si="23"/>
        <v>23</v>
      </c>
      <c r="T272" s="21">
        <f t="shared" si="24"/>
        <v>15</v>
      </c>
      <c r="U272" s="22">
        <f t="shared" si="22"/>
        <v>38</v>
      </c>
    </row>
    <row r="273" spans="1:21">
      <c r="A273" s="11">
        <v>44830</v>
      </c>
      <c r="B273" s="77">
        <v>2</v>
      </c>
      <c r="C273" s="77">
        <v>0</v>
      </c>
      <c r="D273" s="76">
        <v>3</v>
      </c>
      <c r="E273" s="77">
        <v>1</v>
      </c>
      <c r="F273" s="2">
        <v>4</v>
      </c>
      <c r="G273" s="1">
        <v>2</v>
      </c>
      <c r="H273" s="2">
        <v>3</v>
      </c>
      <c r="I273" s="1">
        <v>0</v>
      </c>
      <c r="J273" s="2">
        <v>4</v>
      </c>
      <c r="K273" s="1">
        <v>7</v>
      </c>
      <c r="L273" s="2">
        <v>4</v>
      </c>
      <c r="M273" s="1">
        <v>0</v>
      </c>
      <c r="N273" s="2">
        <v>2</v>
      </c>
      <c r="O273" s="1">
        <v>3</v>
      </c>
      <c r="P273" s="2">
        <v>1</v>
      </c>
      <c r="Q273" s="1">
        <v>2</v>
      </c>
      <c r="S273" s="21">
        <f t="shared" si="23"/>
        <v>23</v>
      </c>
      <c r="T273" s="21">
        <f t="shared" si="24"/>
        <v>15</v>
      </c>
      <c r="U273" s="22">
        <f t="shared" si="22"/>
        <v>38</v>
      </c>
    </row>
    <row r="274" spans="1:21">
      <c r="A274" s="11">
        <v>44831</v>
      </c>
      <c r="B274" s="77">
        <v>2</v>
      </c>
      <c r="C274" s="77">
        <v>0</v>
      </c>
      <c r="D274" s="76">
        <v>3</v>
      </c>
      <c r="E274" s="77">
        <v>1</v>
      </c>
      <c r="F274" s="2">
        <v>4</v>
      </c>
      <c r="G274" s="1">
        <v>2</v>
      </c>
      <c r="H274" s="2">
        <v>3</v>
      </c>
      <c r="I274" s="1">
        <v>0</v>
      </c>
      <c r="J274" s="2">
        <v>4</v>
      </c>
      <c r="K274" s="1">
        <v>7</v>
      </c>
      <c r="L274" s="2">
        <v>4</v>
      </c>
      <c r="M274" s="1">
        <v>0</v>
      </c>
      <c r="N274" s="2">
        <v>2</v>
      </c>
      <c r="O274" s="1">
        <v>3</v>
      </c>
      <c r="P274" s="2">
        <v>1</v>
      </c>
      <c r="Q274" s="1">
        <v>2</v>
      </c>
      <c r="S274" s="21">
        <f t="shared" si="23"/>
        <v>23</v>
      </c>
      <c r="T274" s="21">
        <f t="shared" si="24"/>
        <v>15</v>
      </c>
      <c r="U274" s="22">
        <f t="shared" si="22"/>
        <v>38</v>
      </c>
    </row>
    <row r="275" spans="1:21">
      <c r="A275" s="13">
        <v>44832</v>
      </c>
      <c r="B275" s="77">
        <v>2</v>
      </c>
      <c r="C275" s="77">
        <v>0</v>
      </c>
      <c r="D275" s="76">
        <v>3</v>
      </c>
      <c r="E275" s="77">
        <v>1</v>
      </c>
      <c r="F275" s="2">
        <v>4</v>
      </c>
      <c r="G275" s="1">
        <v>2</v>
      </c>
      <c r="H275" s="2">
        <v>3</v>
      </c>
      <c r="I275" s="1">
        <v>0</v>
      </c>
      <c r="J275" s="2">
        <v>4</v>
      </c>
      <c r="K275" s="1">
        <v>7</v>
      </c>
      <c r="L275" s="2">
        <v>4</v>
      </c>
      <c r="M275" s="1">
        <v>0</v>
      </c>
      <c r="N275" s="2">
        <v>2</v>
      </c>
      <c r="O275" s="1">
        <v>3</v>
      </c>
      <c r="P275" s="2">
        <v>1</v>
      </c>
      <c r="Q275" s="1">
        <v>2</v>
      </c>
      <c r="S275" s="21">
        <f t="shared" si="23"/>
        <v>23</v>
      </c>
      <c r="T275" s="21">
        <f t="shared" si="24"/>
        <v>15</v>
      </c>
      <c r="U275" s="22">
        <f t="shared" si="22"/>
        <v>38</v>
      </c>
    </row>
    <row r="276" spans="1:21">
      <c r="A276" s="11">
        <v>44833</v>
      </c>
      <c r="B276" s="77">
        <v>2</v>
      </c>
      <c r="C276" s="77">
        <v>0</v>
      </c>
      <c r="D276" s="76">
        <v>3</v>
      </c>
      <c r="E276" s="77">
        <v>1</v>
      </c>
      <c r="F276" s="2">
        <v>4</v>
      </c>
      <c r="G276" s="1">
        <v>2</v>
      </c>
      <c r="H276" s="2">
        <v>3</v>
      </c>
      <c r="I276" s="1">
        <v>0</v>
      </c>
      <c r="J276" s="2">
        <v>4</v>
      </c>
      <c r="K276" s="1">
        <v>7</v>
      </c>
      <c r="L276" s="2">
        <v>4</v>
      </c>
      <c r="M276" s="1">
        <v>0</v>
      </c>
      <c r="N276" s="2">
        <v>2</v>
      </c>
      <c r="O276" s="1">
        <v>3</v>
      </c>
      <c r="P276" s="2">
        <v>1</v>
      </c>
      <c r="Q276" s="1">
        <v>2</v>
      </c>
      <c r="S276" s="21">
        <f t="shared" si="23"/>
        <v>23</v>
      </c>
      <c r="T276" s="21">
        <f t="shared" si="24"/>
        <v>15</v>
      </c>
      <c r="U276" s="22">
        <f t="shared" si="22"/>
        <v>38</v>
      </c>
    </row>
    <row r="277" spans="1:21">
      <c r="A277" s="11">
        <v>44834</v>
      </c>
      <c r="B277" s="77">
        <v>2</v>
      </c>
      <c r="C277" s="77">
        <v>0</v>
      </c>
      <c r="D277" s="76">
        <v>3</v>
      </c>
      <c r="E277" s="77">
        <v>1</v>
      </c>
      <c r="F277" s="2">
        <v>4</v>
      </c>
      <c r="G277" s="1">
        <v>2</v>
      </c>
      <c r="H277" s="2">
        <v>3</v>
      </c>
      <c r="I277" s="1">
        <v>0</v>
      </c>
      <c r="J277" s="2">
        <v>4</v>
      </c>
      <c r="K277" s="1">
        <v>7</v>
      </c>
      <c r="L277" s="2">
        <v>4</v>
      </c>
      <c r="M277" s="1">
        <v>0</v>
      </c>
      <c r="N277" s="2">
        <v>2</v>
      </c>
      <c r="O277" s="1">
        <v>3</v>
      </c>
      <c r="P277" s="2">
        <v>1</v>
      </c>
      <c r="Q277" s="1">
        <v>2</v>
      </c>
      <c r="S277" s="21">
        <f t="shared" si="23"/>
        <v>23</v>
      </c>
      <c r="T277" s="21">
        <f t="shared" si="24"/>
        <v>15</v>
      </c>
      <c r="U277" s="22">
        <f t="shared" si="22"/>
        <v>38</v>
      </c>
    </row>
    <row r="278" spans="1:21">
      <c r="A278" s="12">
        <v>44835</v>
      </c>
      <c r="B278" s="77">
        <v>2</v>
      </c>
      <c r="C278" s="77">
        <v>0</v>
      </c>
      <c r="D278" s="76">
        <v>3</v>
      </c>
      <c r="E278" s="77">
        <v>1</v>
      </c>
      <c r="F278" s="2">
        <v>4</v>
      </c>
      <c r="G278" s="1">
        <v>2</v>
      </c>
      <c r="H278" s="2">
        <v>3</v>
      </c>
      <c r="I278" s="1">
        <v>0</v>
      </c>
      <c r="J278" s="2">
        <v>4</v>
      </c>
      <c r="K278" s="1">
        <v>7</v>
      </c>
      <c r="L278" s="2">
        <v>4</v>
      </c>
      <c r="M278" s="1">
        <v>0</v>
      </c>
      <c r="N278" s="2">
        <v>2</v>
      </c>
      <c r="O278" s="1">
        <v>3</v>
      </c>
      <c r="P278" s="2">
        <v>1</v>
      </c>
      <c r="Q278" s="1">
        <v>2</v>
      </c>
      <c r="S278" s="21">
        <f t="shared" ref="S278:S308" si="25">SUM(B278,D278,F278,H278,J278,L278,N278,P278)</f>
        <v>23</v>
      </c>
      <c r="T278" s="21">
        <f t="shared" ref="T278:T308" si="26">SUM(C278,E278,G278,I278,K278,M278,O278,Q278)</f>
        <v>15</v>
      </c>
      <c r="U278" s="22">
        <f t="shared" si="22"/>
        <v>38</v>
      </c>
    </row>
    <row r="279" spans="1:21">
      <c r="A279" s="12">
        <v>44836</v>
      </c>
      <c r="B279" s="77">
        <v>2</v>
      </c>
      <c r="C279" s="77">
        <v>0</v>
      </c>
      <c r="D279" s="76">
        <v>3</v>
      </c>
      <c r="E279" s="77">
        <v>1</v>
      </c>
      <c r="F279" s="2">
        <v>4</v>
      </c>
      <c r="G279" s="1">
        <v>2</v>
      </c>
      <c r="H279" s="2">
        <v>3</v>
      </c>
      <c r="I279" s="1">
        <v>0</v>
      </c>
      <c r="J279" s="2">
        <v>4</v>
      </c>
      <c r="K279" s="1">
        <v>7</v>
      </c>
      <c r="L279" s="2">
        <v>4</v>
      </c>
      <c r="M279" s="1">
        <v>0</v>
      </c>
      <c r="N279" s="2">
        <v>2</v>
      </c>
      <c r="O279" s="1">
        <v>3</v>
      </c>
      <c r="P279" s="2">
        <v>1</v>
      </c>
      <c r="Q279" s="1">
        <v>2</v>
      </c>
      <c r="S279" s="21">
        <f t="shared" si="25"/>
        <v>23</v>
      </c>
      <c r="T279" s="21">
        <f t="shared" si="26"/>
        <v>15</v>
      </c>
      <c r="U279" s="22">
        <f t="shared" si="22"/>
        <v>38</v>
      </c>
    </row>
    <row r="280" spans="1:21">
      <c r="A280" s="11">
        <v>44837</v>
      </c>
      <c r="B280" s="77">
        <v>2</v>
      </c>
      <c r="C280" s="77">
        <v>0</v>
      </c>
      <c r="D280" s="76">
        <v>3</v>
      </c>
      <c r="E280" s="77">
        <v>1</v>
      </c>
      <c r="F280" s="2">
        <v>4</v>
      </c>
      <c r="G280" s="1">
        <v>2</v>
      </c>
      <c r="H280" s="2">
        <v>3</v>
      </c>
      <c r="I280" s="1">
        <v>0</v>
      </c>
      <c r="J280" s="2">
        <v>4</v>
      </c>
      <c r="K280" s="1">
        <v>7</v>
      </c>
      <c r="L280" s="2">
        <v>4</v>
      </c>
      <c r="M280" s="1">
        <v>0</v>
      </c>
      <c r="N280" s="2">
        <v>2</v>
      </c>
      <c r="O280" s="1">
        <v>3</v>
      </c>
      <c r="P280" s="2">
        <v>1</v>
      </c>
      <c r="Q280" s="1">
        <v>2</v>
      </c>
      <c r="S280" s="21">
        <f t="shared" si="25"/>
        <v>23</v>
      </c>
      <c r="T280" s="21">
        <f t="shared" si="26"/>
        <v>15</v>
      </c>
      <c r="U280" s="22">
        <f t="shared" si="22"/>
        <v>38</v>
      </c>
    </row>
    <row r="281" spans="1:21">
      <c r="A281" s="11">
        <v>44838</v>
      </c>
      <c r="B281" s="77">
        <v>2</v>
      </c>
      <c r="C281" s="77">
        <v>0</v>
      </c>
      <c r="D281" s="76">
        <v>3</v>
      </c>
      <c r="E281" s="77">
        <v>1</v>
      </c>
      <c r="F281" s="2">
        <v>4</v>
      </c>
      <c r="G281" s="1">
        <v>2</v>
      </c>
      <c r="H281" s="2">
        <v>3</v>
      </c>
      <c r="I281" s="1">
        <v>0</v>
      </c>
      <c r="J281" s="2">
        <v>4</v>
      </c>
      <c r="K281" s="1">
        <v>7</v>
      </c>
      <c r="L281" s="2">
        <v>4</v>
      </c>
      <c r="M281" s="1">
        <v>0</v>
      </c>
      <c r="N281" s="2">
        <v>2</v>
      </c>
      <c r="O281" s="1">
        <v>3</v>
      </c>
      <c r="P281" s="2">
        <v>1</v>
      </c>
      <c r="Q281" s="1">
        <v>2</v>
      </c>
      <c r="S281" s="21">
        <f t="shared" si="25"/>
        <v>23</v>
      </c>
      <c r="T281" s="21">
        <f t="shared" si="26"/>
        <v>15</v>
      </c>
      <c r="U281" s="22">
        <f t="shared" si="22"/>
        <v>38</v>
      </c>
    </row>
    <row r="282" spans="1:21">
      <c r="A282" s="13">
        <v>44839</v>
      </c>
      <c r="B282" s="77">
        <v>2</v>
      </c>
      <c r="C282" s="77">
        <v>0</v>
      </c>
      <c r="D282" s="76">
        <v>3</v>
      </c>
      <c r="E282" s="77">
        <v>1</v>
      </c>
      <c r="F282" s="2">
        <v>4</v>
      </c>
      <c r="G282" s="1">
        <v>2</v>
      </c>
      <c r="H282" s="2">
        <v>3</v>
      </c>
      <c r="I282" s="1">
        <v>0</v>
      </c>
      <c r="J282" s="2">
        <v>4</v>
      </c>
      <c r="K282" s="1">
        <v>7</v>
      </c>
      <c r="L282" s="2">
        <v>4</v>
      </c>
      <c r="M282" s="1">
        <v>0</v>
      </c>
      <c r="N282" s="2">
        <v>2</v>
      </c>
      <c r="O282" s="1">
        <v>3</v>
      </c>
      <c r="P282" s="2">
        <v>1</v>
      </c>
      <c r="Q282" s="1">
        <v>2</v>
      </c>
      <c r="S282" s="21">
        <f t="shared" si="25"/>
        <v>23</v>
      </c>
      <c r="T282" s="21">
        <f t="shared" si="26"/>
        <v>15</v>
      </c>
      <c r="U282" s="22">
        <f t="shared" ref="U282:U308" si="27">SUM(S282:T282)</f>
        <v>38</v>
      </c>
    </row>
    <row r="283" spans="1:21">
      <c r="A283" s="11">
        <v>44840</v>
      </c>
      <c r="B283" s="77">
        <v>2</v>
      </c>
      <c r="C283" s="77">
        <v>0</v>
      </c>
      <c r="D283" s="76">
        <v>3</v>
      </c>
      <c r="E283" s="77">
        <v>1</v>
      </c>
      <c r="F283" s="2">
        <v>4</v>
      </c>
      <c r="G283" s="1">
        <v>2</v>
      </c>
      <c r="H283" s="2">
        <v>3</v>
      </c>
      <c r="I283" s="1">
        <v>0</v>
      </c>
      <c r="J283" s="2">
        <v>4</v>
      </c>
      <c r="K283" s="1">
        <v>7</v>
      </c>
      <c r="L283" s="2">
        <v>4</v>
      </c>
      <c r="M283" s="1">
        <v>0</v>
      </c>
      <c r="N283" s="2">
        <v>2</v>
      </c>
      <c r="O283" s="1">
        <v>3</v>
      </c>
      <c r="P283" s="2">
        <v>1</v>
      </c>
      <c r="Q283" s="1">
        <v>2</v>
      </c>
      <c r="S283" s="21">
        <f t="shared" si="25"/>
        <v>23</v>
      </c>
      <c r="T283" s="21">
        <f t="shared" si="26"/>
        <v>15</v>
      </c>
      <c r="U283" s="22">
        <f t="shared" si="27"/>
        <v>38</v>
      </c>
    </row>
    <row r="284" spans="1:21">
      <c r="A284" s="11">
        <v>44841</v>
      </c>
      <c r="B284" s="77">
        <v>2</v>
      </c>
      <c r="C284" s="77">
        <v>0</v>
      </c>
      <c r="D284" s="76">
        <v>3</v>
      </c>
      <c r="E284" s="77">
        <v>1</v>
      </c>
      <c r="F284" s="2">
        <v>4</v>
      </c>
      <c r="G284" s="1">
        <v>2</v>
      </c>
      <c r="H284" s="2">
        <v>3</v>
      </c>
      <c r="I284" s="1">
        <v>0</v>
      </c>
      <c r="J284" s="2">
        <v>4</v>
      </c>
      <c r="K284" s="1">
        <v>7</v>
      </c>
      <c r="L284" s="2">
        <v>4</v>
      </c>
      <c r="M284" s="1">
        <v>0</v>
      </c>
      <c r="N284" s="2">
        <v>2</v>
      </c>
      <c r="O284" s="1">
        <v>3</v>
      </c>
      <c r="P284" s="2">
        <v>1</v>
      </c>
      <c r="Q284" s="1">
        <v>2</v>
      </c>
      <c r="S284" s="21">
        <f t="shared" si="25"/>
        <v>23</v>
      </c>
      <c r="T284" s="21">
        <f t="shared" si="26"/>
        <v>15</v>
      </c>
      <c r="U284" s="22">
        <f t="shared" si="27"/>
        <v>38</v>
      </c>
    </row>
    <row r="285" spans="1:21">
      <c r="A285" s="12">
        <v>44842</v>
      </c>
      <c r="B285" s="77">
        <v>2</v>
      </c>
      <c r="C285" s="77">
        <v>0</v>
      </c>
      <c r="D285" s="76">
        <v>3</v>
      </c>
      <c r="E285" s="77">
        <v>1</v>
      </c>
      <c r="F285" s="2">
        <v>4</v>
      </c>
      <c r="G285" s="1">
        <v>2</v>
      </c>
      <c r="H285" s="2">
        <v>3</v>
      </c>
      <c r="I285" s="1">
        <v>0</v>
      </c>
      <c r="J285" s="2">
        <v>4</v>
      </c>
      <c r="K285" s="1">
        <v>7</v>
      </c>
      <c r="L285" s="2">
        <v>4</v>
      </c>
      <c r="M285" s="1">
        <v>0</v>
      </c>
      <c r="N285" s="2">
        <v>2</v>
      </c>
      <c r="O285" s="1">
        <v>3</v>
      </c>
      <c r="P285" s="2">
        <v>1</v>
      </c>
      <c r="Q285" s="1">
        <v>2</v>
      </c>
      <c r="S285" s="21">
        <f t="shared" si="25"/>
        <v>23</v>
      </c>
      <c r="T285" s="21">
        <f t="shared" si="26"/>
        <v>15</v>
      </c>
      <c r="U285" s="22">
        <f t="shared" si="27"/>
        <v>38</v>
      </c>
    </row>
    <row r="286" spans="1:21">
      <c r="A286" s="12">
        <v>44843</v>
      </c>
      <c r="B286" s="77">
        <v>2</v>
      </c>
      <c r="C286" s="77">
        <v>0</v>
      </c>
      <c r="D286" s="76">
        <v>3</v>
      </c>
      <c r="E286" s="77">
        <v>1</v>
      </c>
      <c r="F286" s="2">
        <v>4</v>
      </c>
      <c r="G286" s="1">
        <v>2</v>
      </c>
      <c r="H286" s="2">
        <v>3</v>
      </c>
      <c r="I286" s="1">
        <v>0</v>
      </c>
      <c r="J286" s="2">
        <v>4</v>
      </c>
      <c r="K286" s="1">
        <v>7</v>
      </c>
      <c r="L286" s="2">
        <v>4</v>
      </c>
      <c r="M286" s="1">
        <v>0</v>
      </c>
      <c r="N286" s="2">
        <v>2</v>
      </c>
      <c r="O286" s="1">
        <v>3</v>
      </c>
      <c r="P286" s="2">
        <v>1</v>
      </c>
      <c r="Q286" s="1">
        <v>2</v>
      </c>
      <c r="S286" s="21">
        <f t="shared" si="25"/>
        <v>23</v>
      </c>
      <c r="T286" s="21">
        <f t="shared" si="26"/>
        <v>15</v>
      </c>
      <c r="U286" s="22">
        <f t="shared" si="27"/>
        <v>38</v>
      </c>
    </row>
    <row r="287" spans="1:21">
      <c r="A287" s="11">
        <v>44844</v>
      </c>
      <c r="B287" s="77">
        <v>2</v>
      </c>
      <c r="C287" s="77">
        <v>0</v>
      </c>
      <c r="D287" s="76">
        <v>3</v>
      </c>
      <c r="E287" s="77">
        <v>1</v>
      </c>
      <c r="F287" s="2">
        <v>4</v>
      </c>
      <c r="G287" s="1">
        <v>2</v>
      </c>
      <c r="H287" s="2">
        <v>3</v>
      </c>
      <c r="I287" s="1">
        <v>0</v>
      </c>
      <c r="J287" s="2">
        <v>4</v>
      </c>
      <c r="K287" s="1">
        <v>7</v>
      </c>
      <c r="L287" s="2">
        <v>4</v>
      </c>
      <c r="M287" s="1">
        <v>0</v>
      </c>
      <c r="N287" s="2">
        <v>2</v>
      </c>
      <c r="O287" s="1">
        <v>3</v>
      </c>
      <c r="P287" s="2">
        <v>1</v>
      </c>
      <c r="Q287" s="1">
        <v>2</v>
      </c>
      <c r="S287" s="21">
        <f t="shared" si="25"/>
        <v>23</v>
      </c>
      <c r="T287" s="21">
        <f t="shared" si="26"/>
        <v>15</v>
      </c>
      <c r="U287" s="22">
        <f t="shared" si="27"/>
        <v>38</v>
      </c>
    </row>
    <row r="288" spans="1:21">
      <c r="A288" s="11">
        <v>44845</v>
      </c>
      <c r="B288" s="77">
        <v>2</v>
      </c>
      <c r="C288" s="77">
        <v>0</v>
      </c>
      <c r="D288" s="76">
        <v>3</v>
      </c>
      <c r="E288" s="77">
        <v>1</v>
      </c>
      <c r="F288" s="2">
        <v>4</v>
      </c>
      <c r="G288" s="1">
        <v>2</v>
      </c>
      <c r="H288" s="2">
        <v>3</v>
      </c>
      <c r="I288" s="1">
        <v>0</v>
      </c>
      <c r="J288" s="2">
        <v>4</v>
      </c>
      <c r="K288" s="1">
        <v>7</v>
      </c>
      <c r="L288" s="2">
        <v>4</v>
      </c>
      <c r="M288" s="1">
        <v>0</v>
      </c>
      <c r="N288" s="2">
        <v>2</v>
      </c>
      <c r="O288" s="1">
        <v>3</v>
      </c>
      <c r="P288" s="2">
        <v>1</v>
      </c>
      <c r="Q288" s="1">
        <v>2</v>
      </c>
      <c r="S288" s="21">
        <f t="shared" si="25"/>
        <v>23</v>
      </c>
      <c r="T288" s="21">
        <f t="shared" si="26"/>
        <v>15</v>
      </c>
      <c r="U288" s="22">
        <f t="shared" si="27"/>
        <v>38</v>
      </c>
    </row>
    <row r="289" spans="1:21">
      <c r="A289" s="13">
        <v>44846</v>
      </c>
      <c r="B289" s="77">
        <v>2</v>
      </c>
      <c r="C289" s="77">
        <v>0</v>
      </c>
      <c r="D289" s="76">
        <v>3</v>
      </c>
      <c r="E289" s="77">
        <v>1</v>
      </c>
      <c r="F289" s="2">
        <v>4</v>
      </c>
      <c r="G289" s="1">
        <v>2</v>
      </c>
      <c r="H289" s="2">
        <v>3</v>
      </c>
      <c r="I289" s="1">
        <v>0</v>
      </c>
      <c r="J289" s="2">
        <v>4</v>
      </c>
      <c r="K289" s="1">
        <v>7</v>
      </c>
      <c r="L289" s="2">
        <v>4</v>
      </c>
      <c r="M289" s="1">
        <v>0</v>
      </c>
      <c r="N289" s="2">
        <v>2</v>
      </c>
      <c r="O289" s="1">
        <v>3</v>
      </c>
      <c r="P289" s="2">
        <v>1</v>
      </c>
      <c r="Q289" s="1">
        <v>2</v>
      </c>
      <c r="S289" s="21">
        <f t="shared" si="25"/>
        <v>23</v>
      </c>
      <c r="T289" s="21">
        <f t="shared" si="26"/>
        <v>15</v>
      </c>
      <c r="U289" s="22">
        <f t="shared" si="27"/>
        <v>38</v>
      </c>
    </row>
    <row r="290" spans="1:21">
      <c r="A290" s="11">
        <v>44847</v>
      </c>
      <c r="B290" s="77">
        <v>2</v>
      </c>
      <c r="C290" s="77">
        <v>0</v>
      </c>
      <c r="D290" s="76">
        <v>3</v>
      </c>
      <c r="E290" s="77">
        <v>1</v>
      </c>
      <c r="F290" s="2">
        <v>4</v>
      </c>
      <c r="G290" s="1">
        <v>2</v>
      </c>
      <c r="H290" s="2">
        <v>3</v>
      </c>
      <c r="I290" s="1">
        <v>0</v>
      </c>
      <c r="J290" s="2">
        <v>4</v>
      </c>
      <c r="K290" s="1">
        <v>7</v>
      </c>
      <c r="L290" s="2">
        <v>4</v>
      </c>
      <c r="M290" s="1">
        <v>0</v>
      </c>
      <c r="N290" s="2">
        <v>2</v>
      </c>
      <c r="O290" s="1">
        <v>3</v>
      </c>
      <c r="P290" s="2">
        <v>1</v>
      </c>
      <c r="Q290" s="1">
        <v>2</v>
      </c>
      <c r="S290" s="21">
        <f t="shared" si="25"/>
        <v>23</v>
      </c>
      <c r="T290" s="21">
        <f t="shared" si="26"/>
        <v>15</v>
      </c>
      <c r="U290" s="22">
        <f t="shared" si="27"/>
        <v>38</v>
      </c>
    </row>
    <row r="291" spans="1:21">
      <c r="A291" s="11">
        <v>44848</v>
      </c>
      <c r="B291" s="77">
        <v>2</v>
      </c>
      <c r="C291" s="77">
        <v>0</v>
      </c>
      <c r="D291" s="76">
        <v>3</v>
      </c>
      <c r="E291" s="77">
        <v>1</v>
      </c>
      <c r="F291" s="2">
        <v>4</v>
      </c>
      <c r="G291" s="1">
        <v>2</v>
      </c>
      <c r="H291" s="2">
        <v>3</v>
      </c>
      <c r="I291" s="1">
        <v>0</v>
      </c>
      <c r="J291" s="2">
        <v>4</v>
      </c>
      <c r="K291" s="1">
        <v>7</v>
      </c>
      <c r="L291" s="2">
        <v>4</v>
      </c>
      <c r="M291" s="1">
        <v>0</v>
      </c>
      <c r="N291" s="2">
        <v>2</v>
      </c>
      <c r="O291" s="1">
        <v>3</v>
      </c>
      <c r="P291" s="2">
        <v>1</v>
      </c>
      <c r="Q291" s="1">
        <v>2</v>
      </c>
      <c r="S291" s="21">
        <f t="shared" si="25"/>
        <v>23</v>
      </c>
      <c r="T291" s="21">
        <f t="shared" si="26"/>
        <v>15</v>
      </c>
      <c r="U291" s="22">
        <f t="shared" si="27"/>
        <v>38</v>
      </c>
    </row>
    <row r="292" spans="1:21">
      <c r="A292" s="12">
        <v>44849</v>
      </c>
      <c r="B292" s="77">
        <v>2</v>
      </c>
      <c r="C292" s="77">
        <v>0</v>
      </c>
      <c r="D292" s="76">
        <v>3</v>
      </c>
      <c r="E292" s="77">
        <v>1</v>
      </c>
      <c r="F292" s="2">
        <v>4</v>
      </c>
      <c r="G292" s="1">
        <v>2</v>
      </c>
      <c r="H292" s="2">
        <v>3</v>
      </c>
      <c r="I292" s="1">
        <v>0</v>
      </c>
      <c r="J292" s="2">
        <v>4</v>
      </c>
      <c r="K292" s="1">
        <v>7</v>
      </c>
      <c r="L292" s="2">
        <v>4</v>
      </c>
      <c r="M292" s="1">
        <v>0</v>
      </c>
      <c r="N292" s="2">
        <v>2</v>
      </c>
      <c r="O292" s="1">
        <v>3</v>
      </c>
      <c r="P292" s="2">
        <v>1</v>
      </c>
      <c r="Q292" s="1">
        <v>2</v>
      </c>
      <c r="S292" s="21">
        <f t="shared" si="25"/>
        <v>23</v>
      </c>
      <c r="T292" s="21">
        <f t="shared" si="26"/>
        <v>15</v>
      </c>
      <c r="U292" s="22">
        <f t="shared" si="27"/>
        <v>38</v>
      </c>
    </row>
    <row r="293" spans="1:21">
      <c r="A293" s="12">
        <v>44850</v>
      </c>
      <c r="B293" s="77">
        <v>2</v>
      </c>
      <c r="C293" s="77">
        <v>0</v>
      </c>
      <c r="D293" s="76">
        <v>3</v>
      </c>
      <c r="E293" s="77">
        <v>1</v>
      </c>
      <c r="F293" s="2">
        <v>4</v>
      </c>
      <c r="G293" s="1">
        <v>2</v>
      </c>
      <c r="H293" s="2">
        <v>3</v>
      </c>
      <c r="I293" s="1">
        <v>0</v>
      </c>
      <c r="J293" s="2">
        <v>4</v>
      </c>
      <c r="K293" s="1">
        <v>7</v>
      </c>
      <c r="L293" s="2">
        <v>4</v>
      </c>
      <c r="M293" s="1">
        <v>0</v>
      </c>
      <c r="N293" s="2">
        <v>2</v>
      </c>
      <c r="O293" s="1">
        <v>3</v>
      </c>
      <c r="P293" s="2">
        <v>1</v>
      </c>
      <c r="Q293" s="1">
        <v>2</v>
      </c>
      <c r="S293" s="21">
        <f t="shared" si="25"/>
        <v>23</v>
      </c>
      <c r="T293" s="21">
        <f t="shared" si="26"/>
        <v>15</v>
      </c>
      <c r="U293" s="22">
        <f t="shared" si="27"/>
        <v>38</v>
      </c>
    </row>
    <row r="294" spans="1:21">
      <c r="A294" s="11">
        <v>44851</v>
      </c>
      <c r="B294" s="77">
        <v>2</v>
      </c>
      <c r="C294" s="77">
        <v>0</v>
      </c>
      <c r="D294" s="76">
        <v>3</v>
      </c>
      <c r="E294" s="77">
        <v>1</v>
      </c>
      <c r="F294" s="2">
        <v>4</v>
      </c>
      <c r="G294" s="1">
        <v>2</v>
      </c>
      <c r="H294" s="2">
        <v>3</v>
      </c>
      <c r="I294" s="1">
        <v>0</v>
      </c>
      <c r="J294" s="2">
        <v>4</v>
      </c>
      <c r="K294" s="1">
        <v>7</v>
      </c>
      <c r="L294" s="2">
        <v>4</v>
      </c>
      <c r="M294" s="1">
        <v>0</v>
      </c>
      <c r="N294" s="2">
        <v>2</v>
      </c>
      <c r="O294" s="1">
        <v>3</v>
      </c>
      <c r="P294" s="2">
        <v>1</v>
      </c>
      <c r="Q294" s="1">
        <v>2</v>
      </c>
      <c r="S294" s="21">
        <f t="shared" si="25"/>
        <v>23</v>
      </c>
      <c r="T294" s="21">
        <f t="shared" si="26"/>
        <v>15</v>
      </c>
      <c r="U294" s="22">
        <f t="shared" si="27"/>
        <v>38</v>
      </c>
    </row>
    <row r="295" spans="1:21">
      <c r="A295" s="11">
        <v>44852</v>
      </c>
      <c r="B295" s="77">
        <v>2</v>
      </c>
      <c r="C295" s="77">
        <v>0</v>
      </c>
      <c r="D295" s="76">
        <v>3</v>
      </c>
      <c r="E295" s="77">
        <v>1</v>
      </c>
      <c r="F295" s="2">
        <v>4</v>
      </c>
      <c r="G295" s="1">
        <v>2</v>
      </c>
      <c r="H295" s="2">
        <v>3</v>
      </c>
      <c r="I295" s="1">
        <v>0</v>
      </c>
      <c r="J295" s="2">
        <v>4</v>
      </c>
      <c r="K295" s="1">
        <v>7</v>
      </c>
      <c r="L295" s="2">
        <v>4</v>
      </c>
      <c r="M295" s="1">
        <v>0</v>
      </c>
      <c r="N295" s="2">
        <v>2</v>
      </c>
      <c r="O295" s="1">
        <v>3</v>
      </c>
      <c r="P295" s="2">
        <v>1</v>
      </c>
      <c r="Q295" s="1">
        <v>2</v>
      </c>
      <c r="S295" s="21">
        <f t="shared" si="25"/>
        <v>23</v>
      </c>
      <c r="T295" s="21">
        <f t="shared" si="26"/>
        <v>15</v>
      </c>
      <c r="U295" s="22">
        <f t="shared" si="27"/>
        <v>38</v>
      </c>
    </row>
    <row r="296" spans="1:21">
      <c r="A296" s="13">
        <v>44853</v>
      </c>
      <c r="B296" s="77">
        <v>2</v>
      </c>
      <c r="C296" s="77">
        <v>0</v>
      </c>
      <c r="D296" s="76">
        <v>3</v>
      </c>
      <c r="E296" s="77">
        <v>1</v>
      </c>
      <c r="F296" s="2">
        <v>4</v>
      </c>
      <c r="G296" s="1">
        <v>2</v>
      </c>
      <c r="H296" s="2">
        <v>3</v>
      </c>
      <c r="I296" s="1">
        <v>0</v>
      </c>
      <c r="J296" s="2">
        <v>4</v>
      </c>
      <c r="K296" s="1">
        <v>7</v>
      </c>
      <c r="L296" s="2">
        <v>4</v>
      </c>
      <c r="M296" s="1">
        <v>0</v>
      </c>
      <c r="N296" s="2">
        <v>2</v>
      </c>
      <c r="O296" s="1">
        <v>3</v>
      </c>
      <c r="P296" s="2">
        <v>1</v>
      </c>
      <c r="Q296" s="1">
        <v>2</v>
      </c>
      <c r="S296" s="21">
        <f t="shared" si="25"/>
        <v>23</v>
      </c>
      <c r="T296" s="21">
        <f t="shared" si="26"/>
        <v>15</v>
      </c>
      <c r="U296" s="22">
        <f t="shared" si="27"/>
        <v>38</v>
      </c>
    </row>
    <row r="297" spans="1:21">
      <c r="A297" s="11">
        <v>44854</v>
      </c>
      <c r="B297" s="77">
        <v>2</v>
      </c>
      <c r="C297" s="77">
        <v>0</v>
      </c>
      <c r="D297" s="76">
        <v>3</v>
      </c>
      <c r="E297" s="77">
        <v>1</v>
      </c>
      <c r="F297" s="2">
        <v>4</v>
      </c>
      <c r="G297" s="1">
        <v>2</v>
      </c>
      <c r="H297" s="2">
        <v>3</v>
      </c>
      <c r="I297" s="1">
        <v>0</v>
      </c>
      <c r="J297" s="2">
        <v>4</v>
      </c>
      <c r="K297" s="1">
        <v>7</v>
      </c>
      <c r="L297" s="2">
        <v>4</v>
      </c>
      <c r="M297" s="1">
        <v>0</v>
      </c>
      <c r="N297" s="2">
        <v>2</v>
      </c>
      <c r="O297" s="1">
        <v>3</v>
      </c>
      <c r="P297" s="2">
        <v>1</v>
      </c>
      <c r="Q297" s="1">
        <v>2</v>
      </c>
      <c r="S297" s="21">
        <f t="shared" si="25"/>
        <v>23</v>
      </c>
      <c r="T297" s="21">
        <f t="shared" si="26"/>
        <v>15</v>
      </c>
      <c r="U297" s="22">
        <f t="shared" si="27"/>
        <v>38</v>
      </c>
    </row>
    <row r="298" spans="1:21">
      <c r="A298" s="11">
        <v>44855</v>
      </c>
      <c r="B298" s="77">
        <v>2</v>
      </c>
      <c r="C298" s="77">
        <v>0</v>
      </c>
      <c r="D298" s="76">
        <v>3</v>
      </c>
      <c r="E298" s="77">
        <v>1</v>
      </c>
      <c r="F298" s="2">
        <v>4</v>
      </c>
      <c r="G298" s="1">
        <v>2</v>
      </c>
      <c r="H298" s="2">
        <v>3</v>
      </c>
      <c r="I298" s="1">
        <v>0</v>
      </c>
      <c r="J298" s="2">
        <v>4</v>
      </c>
      <c r="K298" s="1">
        <v>7</v>
      </c>
      <c r="L298" s="2">
        <v>4</v>
      </c>
      <c r="M298" s="1">
        <v>0</v>
      </c>
      <c r="N298" s="2">
        <v>2</v>
      </c>
      <c r="O298" s="1">
        <v>3</v>
      </c>
      <c r="P298" s="2">
        <v>1</v>
      </c>
      <c r="Q298" s="1">
        <v>2</v>
      </c>
      <c r="S298" s="21">
        <f t="shared" si="25"/>
        <v>23</v>
      </c>
      <c r="T298" s="21">
        <f t="shared" si="26"/>
        <v>15</v>
      </c>
      <c r="U298" s="22">
        <f t="shared" si="27"/>
        <v>38</v>
      </c>
    </row>
    <row r="299" spans="1:21">
      <c r="A299" s="12">
        <v>44856</v>
      </c>
      <c r="B299" s="77">
        <v>2</v>
      </c>
      <c r="C299" s="77">
        <v>0</v>
      </c>
      <c r="D299" s="76">
        <v>3</v>
      </c>
      <c r="E299" s="77">
        <v>1</v>
      </c>
      <c r="F299" s="2">
        <v>4</v>
      </c>
      <c r="G299" s="1">
        <v>2</v>
      </c>
      <c r="H299" s="2">
        <v>3</v>
      </c>
      <c r="I299" s="1">
        <v>0</v>
      </c>
      <c r="J299" s="2">
        <v>4</v>
      </c>
      <c r="K299" s="1">
        <v>7</v>
      </c>
      <c r="L299" s="2">
        <v>4</v>
      </c>
      <c r="M299" s="1">
        <v>0</v>
      </c>
      <c r="N299" s="2">
        <v>2</v>
      </c>
      <c r="O299" s="1">
        <v>3</v>
      </c>
      <c r="P299" s="2">
        <v>1</v>
      </c>
      <c r="Q299" s="1">
        <v>2</v>
      </c>
      <c r="S299" s="21">
        <f t="shared" si="25"/>
        <v>23</v>
      </c>
      <c r="T299" s="21">
        <f t="shared" si="26"/>
        <v>15</v>
      </c>
      <c r="U299" s="22">
        <f t="shared" si="27"/>
        <v>38</v>
      </c>
    </row>
    <row r="300" spans="1:21">
      <c r="A300" s="12">
        <v>44857</v>
      </c>
      <c r="B300" s="77">
        <v>2</v>
      </c>
      <c r="C300" s="77">
        <v>0</v>
      </c>
      <c r="D300" s="76">
        <v>3</v>
      </c>
      <c r="E300" s="77">
        <v>1</v>
      </c>
      <c r="F300" s="2">
        <v>4</v>
      </c>
      <c r="G300" s="1">
        <v>2</v>
      </c>
      <c r="H300" s="2">
        <v>3</v>
      </c>
      <c r="I300" s="1">
        <v>0</v>
      </c>
      <c r="J300" s="2">
        <v>4</v>
      </c>
      <c r="K300" s="1">
        <v>7</v>
      </c>
      <c r="L300" s="2">
        <v>4</v>
      </c>
      <c r="M300" s="1">
        <v>0</v>
      </c>
      <c r="N300" s="2">
        <v>2</v>
      </c>
      <c r="O300" s="1">
        <v>3</v>
      </c>
      <c r="P300" s="2">
        <v>1</v>
      </c>
      <c r="Q300" s="1">
        <v>2</v>
      </c>
      <c r="S300" s="21">
        <f t="shared" si="25"/>
        <v>23</v>
      </c>
      <c r="T300" s="21">
        <f t="shared" si="26"/>
        <v>15</v>
      </c>
      <c r="U300" s="22">
        <f t="shared" si="27"/>
        <v>38</v>
      </c>
    </row>
    <row r="301" spans="1:21">
      <c r="A301" s="11">
        <v>44858</v>
      </c>
      <c r="B301" s="77">
        <v>2</v>
      </c>
      <c r="C301" s="77">
        <v>0</v>
      </c>
      <c r="D301" s="76">
        <v>3</v>
      </c>
      <c r="E301" s="77">
        <v>1</v>
      </c>
      <c r="F301" s="2">
        <v>4</v>
      </c>
      <c r="G301" s="1">
        <v>2</v>
      </c>
      <c r="H301" s="2">
        <v>3</v>
      </c>
      <c r="I301" s="1">
        <v>0</v>
      </c>
      <c r="J301" s="2">
        <v>4</v>
      </c>
      <c r="K301" s="1">
        <v>7</v>
      </c>
      <c r="L301" s="2">
        <v>4</v>
      </c>
      <c r="M301" s="1">
        <v>0</v>
      </c>
      <c r="N301" s="2">
        <v>2</v>
      </c>
      <c r="O301" s="1">
        <v>3</v>
      </c>
      <c r="P301" s="2">
        <v>1</v>
      </c>
      <c r="Q301" s="1">
        <v>2</v>
      </c>
      <c r="S301" s="21">
        <f t="shared" si="25"/>
        <v>23</v>
      </c>
      <c r="T301" s="21">
        <f t="shared" si="26"/>
        <v>15</v>
      </c>
      <c r="U301" s="22">
        <f t="shared" si="27"/>
        <v>38</v>
      </c>
    </row>
    <row r="302" spans="1:21">
      <c r="A302" s="11">
        <v>44859</v>
      </c>
      <c r="B302" s="77">
        <v>2</v>
      </c>
      <c r="C302" s="77">
        <v>0</v>
      </c>
      <c r="D302" s="76">
        <v>3</v>
      </c>
      <c r="E302" s="77">
        <v>1</v>
      </c>
      <c r="F302" s="2">
        <v>4</v>
      </c>
      <c r="G302" s="1">
        <v>2</v>
      </c>
      <c r="H302" s="2">
        <v>3</v>
      </c>
      <c r="I302" s="1">
        <v>0</v>
      </c>
      <c r="J302" s="2">
        <v>4</v>
      </c>
      <c r="K302" s="1">
        <v>7</v>
      </c>
      <c r="L302" s="2">
        <v>4</v>
      </c>
      <c r="M302" s="1">
        <v>0</v>
      </c>
      <c r="N302" s="2">
        <v>2</v>
      </c>
      <c r="O302" s="1">
        <v>3</v>
      </c>
      <c r="P302" s="2">
        <v>1</v>
      </c>
      <c r="Q302" s="1">
        <v>2</v>
      </c>
      <c r="S302" s="21">
        <f t="shared" si="25"/>
        <v>23</v>
      </c>
      <c r="T302" s="21">
        <f t="shared" si="26"/>
        <v>15</v>
      </c>
      <c r="U302" s="22">
        <f t="shared" si="27"/>
        <v>38</v>
      </c>
    </row>
    <row r="303" spans="1:21">
      <c r="A303" s="13">
        <v>44860</v>
      </c>
      <c r="B303" s="77">
        <v>2</v>
      </c>
      <c r="C303" s="77">
        <v>0</v>
      </c>
      <c r="D303" s="76">
        <v>3</v>
      </c>
      <c r="E303" s="77">
        <v>1</v>
      </c>
      <c r="F303" s="2">
        <v>4</v>
      </c>
      <c r="G303" s="1">
        <v>2</v>
      </c>
      <c r="H303" s="2">
        <v>3</v>
      </c>
      <c r="I303" s="1">
        <v>0</v>
      </c>
      <c r="J303" s="2">
        <v>4</v>
      </c>
      <c r="K303" s="1">
        <v>7</v>
      </c>
      <c r="L303" s="2">
        <v>4</v>
      </c>
      <c r="M303" s="1">
        <v>0</v>
      </c>
      <c r="N303" s="2">
        <v>2</v>
      </c>
      <c r="O303" s="1">
        <v>3</v>
      </c>
      <c r="P303" s="2">
        <v>1</v>
      </c>
      <c r="Q303" s="1">
        <v>2</v>
      </c>
      <c r="S303" s="21">
        <f t="shared" si="25"/>
        <v>23</v>
      </c>
      <c r="T303" s="21">
        <f t="shared" si="26"/>
        <v>15</v>
      </c>
      <c r="U303" s="22">
        <f t="shared" si="27"/>
        <v>38</v>
      </c>
    </row>
    <row r="304" spans="1:21">
      <c r="A304" s="11">
        <v>44861</v>
      </c>
      <c r="B304" s="77">
        <v>2</v>
      </c>
      <c r="C304" s="77">
        <v>0</v>
      </c>
      <c r="D304" s="76">
        <v>3</v>
      </c>
      <c r="E304" s="77">
        <v>1</v>
      </c>
      <c r="F304" s="2">
        <v>4</v>
      </c>
      <c r="G304" s="1">
        <v>2</v>
      </c>
      <c r="H304" s="2">
        <v>3</v>
      </c>
      <c r="I304" s="1">
        <v>0</v>
      </c>
      <c r="J304" s="2">
        <v>4</v>
      </c>
      <c r="K304" s="1">
        <v>7</v>
      </c>
      <c r="L304" s="2">
        <v>4</v>
      </c>
      <c r="M304" s="1">
        <v>0</v>
      </c>
      <c r="N304" s="2">
        <v>2</v>
      </c>
      <c r="O304" s="1">
        <v>3</v>
      </c>
      <c r="P304" s="2">
        <v>1</v>
      </c>
      <c r="Q304" s="1">
        <v>2</v>
      </c>
      <c r="S304" s="21">
        <f t="shared" si="25"/>
        <v>23</v>
      </c>
      <c r="T304" s="21">
        <f t="shared" si="26"/>
        <v>15</v>
      </c>
      <c r="U304" s="22">
        <f t="shared" si="27"/>
        <v>38</v>
      </c>
    </row>
    <row r="305" spans="1:21">
      <c r="A305" s="11">
        <v>44862</v>
      </c>
      <c r="B305" s="77">
        <v>2</v>
      </c>
      <c r="C305" s="77">
        <v>0</v>
      </c>
      <c r="D305" s="76">
        <v>3</v>
      </c>
      <c r="E305" s="77">
        <v>1</v>
      </c>
      <c r="F305" s="2">
        <v>4</v>
      </c>
      <c r="G305" s="1">
        <v>2</v>
      </c>
      <c r="H305" s="2">
        <v>3</v>
      </c>
      <c r="I305" s="1">
        <v>0</v>
      </c>
      <c r="J305" s="2">
        <v>4</v>
      </c>
      <c r="K305" s="1">
        <v>7</v>
      </c>
      <c r="L305" s="2">
        <v>4</v>
      </c>
      <c r="M305" s="1">
        <v>0</v>
      </c>
      <c r="N305" s="2">
        <v>2</v>
      </c>
      <c r="O305" s="1">
        <v>3</v>
      </c>
      <c r="P305" s="2">
        <v>1</v>
      </c>
      <c r="Q305" s="1">
        <v>2</v>
      </c>
      <c r="S305" s="21">
        <f t="shared" si="25"/>
        <v>23</v>
      </c>
      <c r="T305" s="21">
        <f t="shared" si="26"/>
        <v>15</v>
      </c>
      <c r="U305" s="22">
        <f t="shared" si="27"/>
        <v>38</v>
      </c>
    </row>
    <row r="306" spans="1:21">
      <c r="A306" s="12">
        <v>44863</v>
      </c>
      <c r="B306" s="77">
        <v>2</v>
      </c>
      <c r="C306" s="77">
        <v>0</v>
      </c>
      <c r="D306" s="76">
        <v>3</v>
      </c>
      <c r="E306" s="77">
        <v>1</v>
      </c>
      <c r="F306" s="2">
        <v>4</v>
      </c>
      <c r="G306" s="1">
        <v>2</v>
      </c>
      <c r="H306" s="2">
        <v>3</v>
      </c>
      <c r="I306" s="1">
        <v>0</v>
      </c>
      <c r="J306" s="2">
        <v>4</v>
      </c>
      <c r="K306" s="1">
        <v>7</v>
      </c>
      <c r="L306" s="2">
        <v>4</v>
      </c>
      <c r="M306" s="1">
        <v>0</v>
      </c>
      <c r="N306" s="2">
        <v>2</v>
      </c>
      <c r="O306" s="1">
        <v>3</v>
      </c>
      <c r="P306" s="2">
        <v>1</v>
      </c>
      <c r="Q306" s="1">
        <v>2</v>
      </c>
      <c r="S306" s="21">
        <f t="shared" si="25"/>
        <v>23</v>
      </c>
      <c r="T306" s="21">
        <f t="shared" si="26"/>
        <v>15</v>
      </c>
      <c r="U306" s="22">
        <f t="shared" si="27"/>
        <v>38</v>
      </c>
    </row>
    <row r="307" spans="1:21">
      <c r="A307" s="12">
        <v>44864</v>
      </c>
      <c r="B307" s="77">
        <v>2</v>
      </c>
      <c r="C307" s="77">
        <v>0</v>
      </c>
      <c r="D307" s="76">
        <v>3</v>
      </c>
      <c r="E307" s="77">
        <v>1</v>
      </c>
      <c r="F307" s="2">
        <v>4</v>
      </c>
      <c r="G307" s="1">
        <v>2</v>
      </c>
      <c r="H307" s="2">
        <v>3</v>
      </c>
      <c r="I307" s="1">
        <v>0</v>
      </c>
      <c r="J307" s="2">
        <v>4</v>
      </c>
      <c r="K307" s="1">
        <v>7</v>
      </c>
      <c r="L307" s="2">
        <v>4</v>
      </c>
      <c r="M307" s="1">
        <v>0</v>
      </c>
      <c r="N307" s="2">
        <v>2</v>
      </c>
      <c r="O307" s="1">
        <v>3</v>
      </c>
      <c r="P307" s="2">
        <v>1</v>
      </c>
      <c r="Q307" s="1">
        <v>2</v>
      </c>
      <c r="S307" s="21">
        <f t="shared" si="25"/>
        <v>23</v>
      </c>
      <c r="T307" s="21">
        <f t="shared" si="26"/>
        <v>15</v>
      </c>
      <c r="U307" s="22">
        <f t="shared" si="27"/>
        <v>38</v>
      </c>
    </row>
    <row r="308" spans="1:21">
      <c r="A308" s="11">
        <v>44865</v>
      </c>
      <c r="B308" s="77">
        <v>2</v>
      </c>
      <c r="C308" s="77">
        <v>0</v>
      </c>
      <c r="D308" s="76">
        <v>3</v>
      </c>
      <c r="E308" s="77">
        <v>1</v>
      </c>
      <c r="F308" s="2">
        <v>4</v>
      </c>
      <c r="G308" s="1">
        <v>2</v>
      </c>
      <c r="H308" s="2">
        <v>3</v>
      </c>
      <c r="I308" s="1">
        <v>0</v>
      </c>
      <c r="J308" s="2">
        <v>4</v>
      </c>
      <c r="K308" s="1">
        <v>7</v>
      </c>
      <c r="L308" s="2">
        <v>4</v>
      </c>
      <c r="M308" s="1">
        <v>0</v>
      </c>
      <c r="N308" s="2">
        <v>2</v>
      </c>
      <c r="O308" s="1">
        <v>3</v>
      </c>
      <c r="P308" s="2">
        <v>1</v>
      </c>
      <c r="Q308" s="1">
        <v>2</v>
      </c>
      <c r="S308" s="21">
        <f t="shared" si="25"/>
        <v>23</v>
      </c>
      <c r="T308" s="21">
        <f t="shared" si="26"/>
        <v>15</v>
      </c>
      <c r="U308" s="22">
        <f t="shared" si="27"/>
        <v>38</v>
      </c>
    </row>
    <row r="309" spans="1:21">
      <c r="A309" s="11">
        <v>44866</v>
      </c>
      <c r="B309" s="77">
        <v>2</v>
      </c>
      <c r="C309" s="77">
        <v>0</v>
      </c>
      <c r="D309" s="76">
        <v>3</v>
      </c>
      <c r="E309" s="77">
        <v>1</v>
      </c>
      <c r="F309" s="2">
        <v>4</v>
      </c>
      <c r="G309" s="1">
        <v>2</v>
      </c>
      <c r="H309" s="2">
        <v>3</v>
      </c>
      <c r="I309" s="1">
        <v>0</v>
      </c>
      <c r="J309" s="2">
        <v>4</v>
      </c>
      <c r="K309" s="1">
        <v>7</v>
      </c>
      <c r="L309" s="2">
        <v>4</v>
      </c>
      <c r="M309" s="1">
        <v>0</v>
      </c>
      <c r="N309" s="2">
        <v>2</v>
      </c>
      <c r="O309" s="1">
        <v>3</v>
      </c>
      <c r="P309" s="2">
        <v>1</v>
      </c>
      <c r="Q309" s="1">
        <v>2</v>
      </c>
      <c r="S309" s="21">
        <f t="shared" ref="S309:S338" si="28">SUM(B309,D309,F309,H309,J309,L309,N309,P309)</f>
        <v>23</v>
      </c>
      <c r="T309" s="21">
        <f t="shared" ref="T309:T338" si="29">SUM(C309,E309,G309,I309,K309,M309,O309,Q309)</f>
        <v>15</v>
      </c>
      <c r="U309" s="22">
        <f t="shared" ref="U309:U338" si="30">SUM(S309:T309)</f>
        <v>38</v>
      </c>
    </row>
    <row r="310" spans="1:21">
      <c r="A310" s="13">
        <v>44867</v>
      </c>
      <c r="B310" s="77">
        <v>2</v>
      </c>
      <c r="C310" s="77">
        <v>0</v>
      </c>
      <c r="D310" s="76">
        <v>3</v>
      </c>
      <c r="E310" s="77">
        <v>1</v>
      </c>
      <c r="F310" s="2">
        <v>4</v>
      </c>
      <c r="G310" s="1">
        <v>2</v>
      </c>
      <c r="H310" s="2">
        <v>3</v>
      </c>
      <c r="I310" s="1">
        <v>0</v>
      </c>
      <c r="J310" s="2">
        <v>4</v>
      </c>
      <c r="K310" s="1">
        <v>7</v>
      </c>
      <c r="L310" s="2">
        <v>4</v>
      </c>
      <c r="M310" s="1">
        <v>0</v>
      </c>
      <c r="N310" s="2">
        <v>2</v>
      </c>
      <c r="O310" s="1">
        <v>3</v>
      </c>
      <c r="P310" s="2">
        <v>1</v>
      </c>
      <c r="Q310" s="1">
        <v>2</v>
      </c>
      <c r="S310" s="21">
        <f t="shared" si="28"/>
        <v>23</v>
      </c>
      <c r="T310" s="21">
        <f t="shared" si="29"/>
        <v>15</v>
      </c>
      <c r="U310" s="22">
        <f t="shared" si="30"/>
        <v>38</v>
      </c>
    </row>
    <row r="311" spans="1:21">
      <c r="A311" s="11">
        <v>44868</v>
      </c>
      <c r="B311" s="77">
        <v>2</v>
      </c>
      <c r="C311" s="77">
        <v>0</v>
      </c>
      <c r="D311" s="76">
        <v>3</v>
      </c>
      <c r="E311" s="77">
        <v>1</v>
      </c>
      <c r="F311" s="2">
        <v>4</v>
      </c>
      <c r="G311" s="1">
        <v>2</v>
      </c>
      <c r="H311" s="2">
        <v>3</v>
      </c>
      <c r="I311" s="1">
        <v>0</v>
      </c>
      <c r="J311" s="2">
        <v>4</v>
      </c>
      <c r="K311" s="1">
        <v>7</v>
      </c>
      <c r="L311" s="2">
        <v>4</v>
      </c>
      <c r="M311" s="1">
        <v>0</v>
      </c>
      <c r="N311" s="2">
        <v>2</v>
      </c>
      <c r="O311" s="1">
        <v>3</v>
      </c>
      <c r="P311" s="2">
        <v>1</v>
      </c>
      <c r="Q311" s="1">
        <v>2</v>
      </c>
      <c r="S311" s="21">
        <f t="shared" si="28"/>
        <v>23</v>
      </c>
      <c r="T311" s="21">
        <f t="shared" si="29"/>
        <v>15</v>
      </c>
      <c r="U311" s="22">
        <f t="shared" si="30"/>
        <v>38</v>
      </c>
    </row>
    <row r="312" spans="1:21">
      <c r="A312" s="11">
        <v>44869</v>
      </c>
      <c r="B312" s="77">
        <v>2</v>
      </c>
      <c r="C312" s="77">
        <v>0</v>
      </c>
      <c r="D312" s="76">
        <v>3</v>
      </c>
      <c r="E312" s="77">
        <v>1</v>
      </c>
      <c r="F312" s="2">
        <v>4</v>
      </c>
      <c r="G312" s="1">
        <v>2</v>
      </c>
      <c r="H312" s="2">
        <v>3</v>
      </c>
      <c r="I312" s="1">
        <v>0</v>
      </c>
      <c r="J312" s="2">
        <v>4</v>
      </c>
      <c r="K312" s="1">
        <v>7</v>
      </c>
      <c r="L312" s="2">
        <v>4</v>
      </c>
      <c r="M312" s="1">
        <v>0</v>
      </c>
      <c r="N312" s="2">
        <v>2</v>
      </c>
      <c r="O312" s="1">
        <v>3</v>
      </c>
      <c r="P312" s="2">
        <v>1</v>
      </c>
      <c r="Q312" s="1">
        <v>2</v>
      </c>
      <c r="S312" s="21">
        <f t="shared" si="28"/>
        <v>23</v>
      </c>
      <c r="T312" s="21">
        <f t="shared" si="29"/>
        <v>15</v>
      </c>
      <c r="U312" s="22">
        <f t="shared" si="30"/>
        <v>38</v>
      </c>
    </row>
    <row r="313" spans="1:21">
      <c r="A313" s="12">
        <v>44870</v>
      </c>
      <c r="B313" s="77">
        <v>2</v>
      </c>
      <c r="C313" s="77">
        <v>0</v>
      </c>
      <c r="D313" s="76">
        <v>3</v>
      </c>
      <c r="E313" s="77">
        <v>1</v>
      </c>
      <c r="F313" s="2">
        <v>4</v>
      </c>
      <c r="G313" s="1">
        <v>2</v>
      </c>
      <c r="H313" s="2">
        <v>3</v>
      </c>
      <c r="I313" s="1">
        <v>0</v>
      </c>
      <c r="J313" s="2">
        <v>4</v>
      </c>
      <c r="K313" s="1">
        <v>7</v>
      </c>
      <c r="L313" s="2">
        <v>4</v>
      </c>
      <c r="M313" s="1">
        <v>0</v>
      </c>
      <c r="N313" s="2">
        <v>2</v>
      </c>
      <c r="O313" s="1">
        <v>3</v>
      </c>
      <c r="P313" s="2">
        <v>1</v>
      </c>
      <c r="Q313" s="1">
        <v>2</v>
      </c>
      <c r="S313" s="21">
        <f t="shared" si="28"/>
        <v>23</v>
      </c>
      <c r="T313" s="21">
        <f t="shared" si="29"/>
        <v>15</v>
      </c>
      <c r="U313" s="22">
        <f t="shared" si="30"/>
        <v>38</v>
      </c>
    </row>
    <row r="314" spans="1:21">
      <c r="A314" s="12">
        <v>44871</v>
      </c>
      <c r="B314" s="77">
        <v>2</v>
      </c>
      <c r="C314" s="77">
        <v>0</v>
      </c>
      <c r="D314" s="76">
        <v>3</v>
      </c>
      <c r="E314" s="77">
        <v>1</v>
      </c>
      <c r="F314" s="2">
        <v>4</v>
      </c>
      <c r="G314" s="1">
        <v>2</v>
      </c>
      <c r="H314" s="2">
        <v>3</v>
      </c>
      <c r="I314" s="1">
        <v>0</v>
      </c>
      <c r="J314" s="2">
        <v>4</v>
      </c>
      <c r="K314" s="1">
        <v>7</v>
      </c>
      <c r="L314" s="2">
        <v>4</v>
      </c>
      <c r="M314" s="1">
        <v>0</v>
      </c>
      <c r="N314" s="2">
        <v>2</v>
      </c>
      <c r="O314" s="1">
        <v>3</v>
      </c>
      <c r="P314" s="2">
        <v>1</v>
      </c>
      <c r="Q314" s="1">
        <v>2</v>
      </c>
      <c r="S314" s="21">
        <f t="shared" si="28"/>
        <v>23</v>
      </c>
      <c r="T314" s="21">
        <f t="shared" si="29"/>
        <v>15</v>
      </c>
      <c r="U314" s="22">
        <f t="shared" si="30"/>
        <v>38</v>
      </c>
    </row>
    <row r="315" spans="1:21">
      <c r="A315" s="11">
        <v>44872</v>
      </c>
      <c r="B315" s="77">
        <v>2</v>
      </c>
      <c r="C315" s="77">
        <v>0</v>
      </c>
      <c r="D315" s="76">
        <v>3</v>
      </c>
      <c r="E315" s="77">
        <v>1</v>
      </c>
      <c r="F315" s="2">
        <v>4</v>
      </c>
      <c r="G315" s="1">
        <v>2</v>
      </c>
      <c r="H315" s="2">
        <v>3</v>
      </c>
      <c r="I315" s="1">
        <v>0</v>
      </c>
      <c r="J315" s="2">
        <v>4</v>
      </c>
      <c r="K315" s="1">
        <v>7</v>
      </c>
      <c r="L315" s="2">
        <v>4</v>
      </c>
      <c r="M315" s="1">
        <v>0</v>
      </c>
      <c r="N315" s="2">
        <v>2</v>
      </c>
      <c r="O315" s="1">
        <v>3</v>
      </c>
      <c r="P315" s="2">
        <v>1</v>
      </c>
      <c r="Q315" s="1">
        <v>2</v>
      </c>
      <c r="S315" s="21">
        <f t="shared" si="28"/>
        <v>23</v>
      </c>
      <c r="T315" s="21">
        <f t="shared" si="29"/>
        <v>15</v>
      </c>
      <c r="U315" s="22">
        <f t="shared" si="30"/>
        <v>38</v>
      </c>
    </row>
    <row r="316" spans="1:21">
      <c r="A316" s="11">
        <v>44873</v>
      </c>
      <c r="B316" s="77">
        <v>2</v>
      </c>
      <c r="C316" s="77">
        <v>0</v>
      </c>
      <c r="D316" s="76">
        <v>3</v>
      </c>
      <c r="E316" s="77">
        <v>1</v>
      </c>
      <c r="F316" s="2">
        <v>4</v>
      </c>
      <c r="G316" s="1">
        <v>2</v>
      </c>
      <c r="H316" s="2">
        <v>3</v>
      </c>
      <c r="I316" s="1">
        <v>0</v>
      </c>
      <c r="J316" s="2">
        <v>4</v>
      </c>
      <c r="K316" s="1">
        <v>7</v>
      </c>
      <c r="L316" s="2">
        <v>4</v>
      </c>
      <c r="M316" s="1">
        <v>0</v>
      </c>
      <c r="N316" s="2">
        <v>2</v>
      </c>
      <c r="O316" s="1">
        <v>3</v>
      </c>
      <c r="P316" s="2">
        <v>1</v>
      </c>
      <c r="Q316" s="1">
        <v>2</v>
      </c>
      <c r="S316" s="21">
        <f t="shared" si="28"/>
        <v>23</v>
      </c>
      <c r="T316" s="21">
        <f t="shared" si="29"/>
        <v>15</v>
      </c>
      <c r="U316" s="22">
        <f t="shared" si="30"/>
        <v>38</v>
      </c>
    </row>
    <row r="317" spans="1:21">
      <c r="A317" s="13">
        <v>44874</v>
      </c>
      <c r="B317" s="77">
        <v>2</v>
      </c>
      <c r="C317" s="77">
        <v>0</v>
      </c>
      <c r="D317" s="76">
        <v>3</v>
      </c>
      <c r="E317" s="77">
        <v>1</v>
      </c>
      <c r="F317" s="2">
        <v>4</v>
      </c>
      <c r="G317" s="1">
        <v>2</v>
      </c>
      <c r="H317" s="2">
        <v>3</v>
      </c>
      <c r="I317" s="1">
        <v>0</v>
      </c>
      <c r="J317" s="2">
        <v>4</v>
      </c>
      <c r="K317" s="1">
        <v>7</v>
      </c>
      <c r="L317" s="2">
        <v>4</v>
      </c>
      <c r="M317" s="1">
        <v>0</v>
      </c>
      <c r="N317" s="2">
        <v>2</v>
      </c>
      <c r="O317" s="1">
        <v>3</v>
      </c>
      <c r="P317" s="2">
        <v>1</v>
      </c>
      <c r="Q317" s="1">
        <v>2</v>
      </c>
      <c r="S317" s="21">
        <f t="shared" si="28"/>
        <v>23</v>
      </c>
      <c r="T317" s="21">
        <f t="shared" si="29"/>
        <v>15</v>
      </c>
      <c r="U317" s="22">
        <f t="shared" si="30"/>
        <v>38</v>
      </c>
    </row>
    <row r="318" spans="1:21">
      <c r="A318" s="11">
        <v>44875</v>
      </c>
      <c r="B318" s="77">
        <v>2</v>
      </c>
      <c r="C318" s="77">
        <v>0</v>
      </c>
      <c r="D318" s="76">
        <v>3</v>
      </c>
      <c r="E318" s="77">
        <v>1</v>
      </c>
      <c r="F318" s="2">
        <v>4</v>
      </c>
      <c r="G318" s="1">
        <v>2</v>
      </c>
      <c r="H318" s="2">
        <v>3</v>
      </c>
      <c r="I318" s="1">
        <v>0</v>
      </c>
      <c r="J318" s="2">
        <v>4</v>
      </c>
      <c r="K318" s="1">
        <v>7</v>
      </c>
      <c r="L318" s="2">
        <v>4</v>
      </c>
      <c r="M318" s="1">
        <v>0</v>
      </c>
      <c r="N318" s="2">
        <v>2</v>
      </c>
      <c r="O318" s="1">
        <v>3</v>
      </c>
      <c r="P318" s="2">
        <v>1</v>
      </c>
      <c r="Q318" s="1">
        <v>2</v>
      </c>
      <c r="S318" s="21">
        <f t="shared" si="28"/>
        <v>23</v>
      </c>
      <c r="T318" s="21">
        <f t="shared" si="29"/>
        <v>15</v>
      </c>
      <c r="U318" s="22">
        <f t="shared" si="30"/>
        <v>38</v>
      </c>
    </row>
    <row r="319" spans="1:21">
      <c r="A319" s="11">
        <v>44876</v>
      </c>
      <c r="B319" s="77">
        <v>2</v>
      </c>
      <c r="C319" s="77">
        <v>0</v>
      </c>
      <c r="D319" s="76">
        <v>3</v>
      </c>
      <c r="E319" s="77">
        <v>1</v>
      </c>
      <c r="F319" s="2">
        <v>4</v>
      </c>
      <c r="G319" s="1">
        <v>2</v>
      </c>
      <c r="H319" s="2">
        <v>3</v>
      </c>
      <c r="I319" s="1">
        <v>0</v>
      </c>
      <c r="J319" s="2">
        <v>4</v>
      </c>
      <c r="K319" s="1">
        <v>7</v>
      </c>
      <c r="L319" s="2">
        <v>4</v>
      </c>
      <c r="M319" s="1">
        <v>0</v>
      </c>
      <c r="N319" s="2">
        <v>2</v>
      </c>
      <c r="O319" s="1">
        <v>3</v>
      </c>
      <c r="P319" s="2">
        <v>1</v>
      </c>
      <c r="Q319" s="1">
        <v>2</v>
      </c>
      <c r="S319" s="21">
        <f t="shared" si="28"/>
        <v>23</v>
      </c>
      <c r="T319" s="21">
        <f t="shared" si="29"/>
        <v>15</v>
      </c>
      <c r="U319" s="22">
        <f t="shared" si="30"/>
        <v>38</v>
      </c>
    </row>
    <row r="320" spans="1:21">
      <c r="A320" s="12">
        <v>44877</v>
      </c>
      <c r="B320" s="77">
        <v>2</v>
      </c>
      <c r="C320" s="77">
        <v>0</v>
      </c>
      <c r="D320" s="76">
        <v>3</v>
      </c>
      <c r="E320" s="77">
        <v>1</v>
      </c>
      <c r="F320" s="2">
        <v>4</v>
      </c>
      <c r="G320" s="1">
        <v>2</v>
      </c>
      <c r="H320" s="2">
        <v>3</v>
      </c>
      <c r="I320" s="1">
        <v>0</v>
      </c>
      <c r="J320" s="2">
        <v>4</v>
      </c>
      <c r="K320" s="1">
        <v>7</v>
      </c>
      <c r="L320" s="2">
        <v>4</v>
      </c>
      <c r="M320" s="1">
        <v>0</v>
      </c>
      <c r="N320" s="2">
        <v>2</v>
      </c>
      <c r="O320" s="1">
        <v>3</v>
      </c>
      <c r="P320" s="2">
        <v>1</v>
      </c>
      <c r="Q320" s="1">
        <v>2</v>
      </c>
      <c r="S320" s="21">
        <f t="shared" si="28"/>
        <v>23</v>
      </c>
      <c r="T320" s="21">
        <f t="shared" si="29"/>
        <v>15</v>
      </c>
      <c r="U320" s="22">
        <f t="shared" si="30"/>
        <v>38</v>
      </c>
    </row>
    <row r="321" spans="1:21">
      <c r="A321" s="12">
        <v>44878</v>
      </c>
      <c r="B321" s="77">
        <v>2</v>
      </c>
      <c r="C321" s="77">
        <v>0</v>
      </c>
      <c r="D321" s="76">
        <v>3</v>
      </c>
      <c r="E321" s="77">
        <v>1</v>
      </c>
      <c r="F321" s="2">
        <v>4</v>
      </c>
      <c r="G321" s="1">
        <v>2</v>
      </c>
      <c r="H321" s="2">
        <v>3</v>
      </c>
      <c r="I321" s="1">
        <v>0</v>
      </c>
      <c r="J321" s="2">
        <v>4</v>
      </c>
      <c r="K321" s="1">
        <v>7</v>
      </c>
      <c r="L321" s="2">
        <v>4</v>
      </c>
      <c r="M321" s="1">
        <v>0</v>
      </c>
      <c r="N321" s="2">
        <v>2</v>
      </c>
      <c r="O321" s="1">
        <v>3</v>
      </c>
      <c r="P321" s="2">
        <v>1</v>
      </c>
      <c r="Q321" s="1">
        <v>2</v>
      </c>
      <c r="S321" s="21">
        <f t="shared" si="28"/>
        <v>23</v>
      </c>
      <c r="T321" s="21">
        <f t="shared" si="29"/>
        <v>15</v>
      </c>
      <c r="U321" s="22">
        <f t="shared" si="30"/>
        <v>38</v>
      </c>
    </row>
    <row r="322" spans="1:21">
      <c r="A322" s="11">
        <v>44879</v>
      </c>
      <c r="B322" s="77">
        <v>2</v>
      </c>
      <c r="C322" s="77">
        <v>0</v>
      </c>
      <c r="D322" s="76">
        <v>3</v>
      </c>
      <c r="E322" s="77">
        <v>1</v>
      </c>
      <c r="F322" s="2">
        <v>4</v>
      </c>
      <c r="G322" s="1">
        <v>2</v>
      </c>
      <c r="H322" s="2">
        <v>3</v>
      </c>
      <c r="I322" s="1">
        <v>0</v>
      </c>
      <c r="J322" s="2">
        <v>4</v>
      </c>
      <c r="K322" s="1">
        <v>7</v>
      </c>
      <c r="L322" s="2">
        <v>4</v>
      </c>
      <c r="M322" s="1">
        <v>0</v>
      </c>
      <c r="N322" s="2">
        <v>2</v>
      </c>
      <c r="O322" s="1">
        <v>3</v>
      </c>
      <c r="P322" s="2">
        <v>1</v>
      </c>
      <c r="Q322" s="1">
        <v>2</v>
      </c>
      <c r="S322" s="21">
        <f t="shared" si="28"/>
        <v>23</v>
      </c>
      <c r="T322" s="21">
        <f t="shared" si="29"/>
        <v>15</v>
      </c>
      <c r="U322" s="22">
        <f t="shared" si="30"/>
        <v>38</v>
      </c>
    </row>
    <row r="323" spans="1:21">
      <c r="A323" s="11">
        <v>44880</v>
      </c>
      <c r="B323" s="77">
        <v>2</v>
      </c>
      <c r="C323" s="77">
        <v>0</v>
      </c>
      <c r="D323" s="76">
        <v>3</v>
      </c>
      <c r="E323" s="77">
        <v>1</v>
      </c>
      <c r="F323" s="2">
        <v>4</v>
      </c>
      <c r="G323" s="1">
        <v>2</v>
      </c>
      <c r="H323" s="2">
        <v>3</v>
      </c>
      <c r="I323" s="1">
        <v>0</v>
      </c>
      <c r="J323" s="2">
        <v>4</v>
      </c>
      <c r="K323" s="1">
        <v>7</v>
      </c>
      <c r="L323" s="2">
        <v>4</v>
      </c>
      <c r="M323" s="1">
        <v>0</v>
      </c>
      <c r="N323" s="2">
        <v>2</v>
      </c>
      <c r="O323" s="1">
        <v>3</v>
      </c>
      <c r="P323" s="2">
        <v>1</v>
      </c>
      <c r="Q323" s="1">
        <v>2</v>
      </c>
      <c r="S323" s="21">
        <f t="shared" si="28"/>
        <v>23</v>
      </c>
      <c r="T323" s="21">
        <f t="shared" si="29"/>
        <v>15</v>
      </c>
      <c r="U323" s="22">
        <f t="shared" si="30"/>
        <v>38</v>
      </c>
    </row>
    <row r="324" spans="1:21">
      <c r="A324" s="13">
        <v>44881</v>
      </c>
      <c r="B324" s="77">
        <v>2</v>
      </c>
      <c r="C324" s="77">
        <v>0</v>
      </c>
      <c r="D324" s="76">
        <v>3</v>
      </c>
      <c r="E324" s="77">
        <v>1</v>
      </c>
      <c r="F324" s="2">
        <v>4</v>
      </c>
      <c r="G324" s="1">
        <v>2</v>
      </c>
      <c r="H324" s="2">
        <v>3</v>
      </c>
      <c r="I324" s="1">
        <v>0</v>
      </c>
      <c r="J324" s="2">
        <v>4</v>
      </c>
      <c r="K324" s="1">
        <v>7</v>
      </c>
      <c r="L324" s="2">
        <v>4</v>
      </c>
      <c r="M324" s="1">
        <v>0</v>
      </c>
      <c r="N324" s="2">
        <v>2</v>
      </c>
      <c r="O324" s="1">
        <v>3</v>
      </c>
      <c r="P324" s="2">
        <v>1</v>
      </c>
      <c r="Q324" s="1">
        <v>2</v>
      </c>
      <c r="S324" s="21">
        <f t="shared" si="28"/>
        <v>23</v>
      </c>
      <c r="T324" s="21">
        <f t="shared" si="29"/>
        <v>15</v>
      </c>
      <c r="U324" s="22">
        <f t="shared" si="30"/>
        <v>38</v>
      </c>
    </row>
    <row r="325" spans="1:21">
      <c r="A325" s="11">
        <v>44882</v>
      </c>
      <c r="B325" s="77">
        <v>2</v>
      </c>
      <c r="C325" s="77">
        <v>0</v>
      </c>
      <c r="D325" s="76">
        <v>3</v>
      </c>
      <c r="E325" s="77">
        <v>1</v>
      </c>
      <c r="F325" s="2">
        <v>4</v>
      </c>
      <c r="G325" s="1">
        <v>2</v>
      </c>
      <c r="H325" s="2">
        <v>3</v>
      </c>
      <c r="I325" s="1">
        <v>0</v>
      </c>
      <c r="J325" s="2">
        <v>4</v>
      </c>
      <c r="K325" s="1">
        <v>7</v>
      </c>
      <c r="L325" s="2">
        <v>4</v>
      </c>
      <c r="M325" s="1">
        <v>0</v>
      </c>
      <c r="N325" s="2">
        <v>2</v>
      </c>
      <c r="O325" s="1">
        <v>3</v>
      </c>
      <c r="P325" s="2">
        <v>1</v>
      </c>
      <c r="Q325" s="1">
        <v>2</v>
      </c>
      <c r="S325" s="21">
        <f t="shared" si="28"/>
        <v>23</v>
      </c>
      <c r="T325" s="21">
        <f t="shared" si="29"/>
        <v>15</v>
      </c>
      <c r="U325" s="22">
        <f t="shared" si="30"/>
        <v>38</v>
      </c>
    </row>
    <row r="326" spans="1:21">
      <c r="A326" s="11">
        <v>44883</v>
      </c>
      <c r="B326" s="77">
        <v>2</v>
      </c>
      <c r="C326" s="77">
        <v>0</v>
      </c>
      <c r="D326" s="76">
        <v>3</v>
      </c>
      <c r="E326" s="77">
        <v>1</v>
      </c>
      <c r="F326" s="2">
        <v>4</v>
      </c>
      <c r="G326" s="1">
        <v>2</v>
      </c>
      <c r="H326" s="2">
        <v>3</v>
      </c>
      <c r="I326" s="1">
        <v>0</v>
      </c>
      <c r="J326" s="2">
        <v>4</v>
      </c>
      <c r="K326" s="1">
        <v>7</v>
      </c>
      <c r="L326" s="2">
        <v>4</v>
      </c>
      <c r="M326" s="1">
        <v>0</v>
      </c>
      <c r="N326" s="2">
        <v>2</v>
      </c>
      <c r="O326" s="1">
        <v>3</v>
      </c>
      <c r="P326" s="2">
        <v>1</v>
      </c>
      <c r="Q326" s="1">
        <v>2</v>
      </c>
      <c r="S326" s="21">
        <f t="shared" si="28"/>
        <v>23</v>
      </c>
      <c r="T326" s="21">
        <f t="shared" si="29"/>
        <v>15</v>
      </c>
      <c r="U326" s="22">
        <f t="shared" si="30"/>
        <v>38</v>
      </c>
    </row>
    <row r="327" spans="1:21">
      <c r="A327" s="12">
        <v>44884</v>
      </c>
      <c r="B327" s="77">
        <v>2</v>
      </c>
      <c r="C327" s="77">
        <v>0</v>
      </c>
      <c r="D327" s="76">
        <v>3</v>
      </c>
      <c r="E327" s="77">
        <v>1</v>
      </c>
      <c r="F327" s="2">
        <v>4</v>
      </c>
      <c r="G327" s="1">
        <v>2</v>
      </c>
      <c r="H327" s="2">
        <v>3</v>
      </c>
      <c r="I327" s="1">
        <v>0</v>
      </c>
      <c r="J327" s="2">
        <v>4</v>
      </c>
      <c r="K327" s="1">
        <v>7</v>
      </c>
      <c r="L327" s="2">
        <v>4</v>
      </c>
      <c r="M327" s="1">
        <v>0</v>
      </c>
      <c r="N327" s="2">
        <v>2</v>
      </c>
      <c r="O327" s="1">
        <v>3</v>
      </c>
      <c r="P327" s="2">
        <v>1</v>
      </c>
      <c r="Q327" s="1">
        <v>2</v>
      </c>
      <c r="S327" s="21">
        <f t="shared" si="28"/>
        <v>23</v>
      </c>
      <c r="T327" s="21">
        <f t="shared" si="29"/>
        <v>15</v>
      </c>
      <c r="U327" s="22">
        <f t="shared" si="30"/>
        <v>38</v>
      </c>
    </row>
    <row r="328" spans="1:21">
      <c r="A328" s="12">
        <v>44885</v>
      </c>
      <c r="B328" s="77">
        <v>2</v>
      </c>
      <c r="C328" s="77">
        <v>0</v>
      </c>
      <c r="D328" s="76">
        <v>3</v>
      </c>
      <c r="E328" s="77">
        <v>1</v>
      </c>
      <c r="F328" s="2">
        <v>4</v>
      </c>
      <c r="G328" s="1">
        <v>2</v>
      </c>
      <c r="H328" s="2">
        <v>3</v>
      </c>
      <c r="I328" s="1">
        <v>0</v>
      </c>
      <c r="J328" s="2">
        <v>4</v>
      </c>
      <c r="K328" s="1">
        <v>7</v>
      </c>
      <c r="L328" s="2">
        <v>4</v>
      </c>
      <c r="M328" s="1">
        <v>0</v>
      </c>
      <c r="N328" s="2">
        <v>2</v>
      </c>
      <c r="O328" s="1">
        <v>3</v>
      </c>
      <c r="P328" s="2">
        <v>1</v>
      </c>
      <c r="Q328" s="1">
        <v>2</v>
      </c>
      <c r="S328" s="21">
        <f t="shared" si="28"/>
        <v>23</v>
      </c>
      <c r="T328" s="21">
        <f t="shared" si="29"/>
        <v>15</v>
      </c>
      <c r="U328" s="22">
        <f t="shared" si="30"/>
        <v>38</v>
      </c>
    </row>
    <row r="329" spans="1:21">
      <c r="A329" s="11">
        <v>44886</v>
      </c>
      <c r="B329" s="77">
        <v>2</v>
      </c>
      <c r="C329" s="77">
        <v>0</v>
      </c>
      <c r="D329" s="76">
        <v>3</v>
      </c>
      <c r="E329" s="77">
        <v>1</v>
      </c>
      <c r="F329" s="2">
        <v>4</v>
      </c>
      <c r="G329" s="1">
        <v>2</v>
      </c>
      <c r="H329" s="2">
        <v>3</v>
      </c>
      <c r="I329" s="1">
        <v>0</v>
      </c>
      <c r="J329" s="2">
        <v>4</v>
      </c>
      <c r="K329" s="1">
        <v>7</v>
      </c>
      <c r="L329" s="2">
        <v>4</v>
      </c>
      <c r="M329" s="1">
        <v>0</v>
      </c>
      <c r="N329" s="2">
        <v>2</v>
      </c>
      <c r="O329" s="1">
        <v>3</v>
      </c>
      <c r="P329" s="2">
        <v>1</v>
      </c>
      <c r="Q329" s="1">
        <v>2</v>
      </c>
      <c r="S329" s="21">
        <f t="shared" si="28"/>
        <v>23</v>
      </c>
      <c r="T329" s="21">
        <f t="shared" si="29"/>
        <v>15</v>
      </c>
      <c r="U329" s="22">
        <f t="shared" si="30"/>
        <v>38</v>
      </c>
    </row>
    <row r="330" spans="1:21">
      <c r="A330" s="11">
        <v>44887</v>
      </c>
      <c r="B330" s="77">
        <v>2</v>
      </c>
      <c r="C330" s="77">
        <v>0</v>
      </c>
      <c r="D330" s="76">
        <v>3</v>
      </c>
      <c r="E330" s="77">
        <v>1</v>
      </c>
      <c r="F330" s="2">
        <v>4</v>
      </c>
      <c r="G330" s="1">
        <v>2</v>
      </c>
      <c r="H330" s="2">
        <v>3</v>
      </c>
      <c r="I330" s="1">
        <v>0</v>
      </c>
      <c r="J330" s="2">
        <v>4</v>
      </c>
      <c r="K330" s="1">
        <v>7</v>
      </c>
      <c r="L330" s="2">
        <v>4</v>
      </c>
      <c r="M330" s="1">
        <v>0</v>
      </c>
      <c r="N330" s="2">
        <v>2</v>
      </c>
      <c r="O330" s="1">
        <v>3</v>
      </c>
      <c r="P330" s="2">
        <v>1</v>
      </c>
      <c r="Q330" s="1">
        <v>2</v>
      </c>
      <c r="S330" s="21">
        <f t="shared" si="28"/>
        <v>23</v>
      </c>
      <c r="T330" s="21">
        <f t="shared" si="29"/>
        <v>15</v>
      </c>
      <c r="U330" s="22">
        <f t="shared" si="30"/>
        <v>38</v>
      </c>
    </row>
    <row r="331" spans="1:21">
      <c r="A331" s="13">
        <v>44888</v>
      </c>
      <c r="B331" s="77">
        <v>2</v>
      </c>
      <c r="C331" s="77">
        <v>0</v>
      </c>
      <c r="D331" s="76">
        <v>3</v>
      </c>
      <c r="E331" s="77">
        <v>1</v>
      </c>
      <c r="F331" s="2">
        <v>4</v>
      </c>
      <c r="G331" s="1">
        <v>2</v>
      </c>
      <c r="H331" s="2">
        <v>3</v>
      </c>
      <c r="I331" s="1">
        <v>0</v>
      </c>
      <c r="J331" s="2">
        <v>4</v>
      </c>
      <c r="K331" s="1">
        <v>7</v>
      </c>
      <c r="L331" s="2">
        <v>4</v>
      </c>
      <c r="M331" s="1">
        <v>0</v>
      </c>
      <c r="N331" s="2">
        <v>2</v>
      </c>
      <c r="O331" s="1">
        <v>3</v>
      </c>
      <c r="P331" s="2">
        <v>1</v>
      </c>
      <c r="Q331" s="1">
        <v>2</v>
      </c>
      <c r="S331" s="21">
        <f t="shared" si="28"/>
        <v>23</v>
      </c>
      <c r="T331" s="21">
        <f t="shared" si="29"/>
        <v>15</v>
      </c>
      <c r="U331" s="22">
        <f t="shared" si="30"/>
        <v>38</v>
      </c>
    </row>
    <row r="332" spans="1:21">
      <c r="A332" s="11">
        <v>44889</v>
      </c>
      <c r="B332" s="77">
        <v>2</v>
      </c>
      <c r="C332" s="77">
        <v>0</v>
      </c>
      <c r="D332" s="76">
        <v>3</v>
      </c>
      <c r="E332" s="77">
        <v>1</v>
      </c>
      <c r="F332" s="2">
        <v>4</v>
      </c>
      <c r="G332" s="1">
        <v>2</v>
      </c>
      <c r="H332" s="2">
        <v>3</v>
      </c>
      <c r="I332" s="1">
        <v>0</v>
      </c>
      <c r="J332" s="2">
        <v>4</v>
      </c>
      <c r="K332" s="1">
        <v>7</v>
      </c>
      <c r="L332" s="2">
        <v>4</v>
      </c>
      <c r="M332" s="1">
        <v>0</v>
      </c>
      <c r="N332" s="2">
        <v>2</v>
      </c>
      <c r="O332" s="1">
        <v>3</v>
      </c>
      <c r="P332" s="2">
        <v>1</v>
      </c>
      <c r="Q332" s="1">
        <v>2</v>
      </c>
      <c r="S332" s="21">
        <f t="shared" si="28"/>
        <v>23</v>
      </c>
      <c r="T332" s="21">
        <f t="shared" si="29"/>
        <v>15</v>
      </c>
      <c r="U332" s="22">
        <f t="shared" si="30"/>
        <v>38</v>
      </c>
    </row>
    <row r="333" spans="1:21">
      <c r="A333" s="11">
        <v>44890</v>
      </c>
      <c r="B333" s="77">
        <v>2</v>
      </c>
      <c r="C333" s="77">
        <v>0</v>
      </c>
      <c r="D333" s="76">
        <v>3</v>
      </c>
      <c r="E333" s="77">
        <v>1</v>
      </c>
      <c r="F333" s="2">
        <v>4</v>
      </c>
      <c r="G333" s="1">
        <v>2</v>
      </c>
      <c r="H333" s="2">
        <v>3</v>
      </c>
      <c r="I333" s="1">
        <v>0</v>
      </c>
      <c r="J333" s="2">
        <v>4</v>
      </c>
      <c r="K333" s="1">
        <v>7</v>
      </c>
      <c r="L333" s="2">
        <v>4</v>
      </c>
      <c r="M333" s="1">
        <v>0</v>
      </c>
      <c r="N333" s="2">
        <v>2</v>
      </c>
      <c r="O333" s="1">
        <v>3</v>
      </c>
      <c r="P333" s="2">
        <v>1</v>
      </c>
      <c r="Q333" s="1">
        <v>2</v>
      </c>
      <c r="S333" s="21">
        <f t="shared" si="28"/>
        <v>23</v>
      </c>
      <c r="T333" s="21">
        <f t="shared" si="29"/>
        <v>15</v>
      </c>
      <c r="U333" s="22">
        <f t="shared" si="30"/>
        <v>38</v>
      </c>
    </row>
    <row r="334" spans="1:21">
      <c r="A334" s="12">
        <v>44891</v>
      </c>
      <c r="B334" s="77">
        <v>2</v>
      </c>
      <c r="C334" s="77">
        <v>0</v>
      </c>
      <c r="D334" s="76">
        <v>3</v>
      </c>
      <c r="E334" s="77">
        <v>1</v>
      </c>
      <c r="F334" s="2">
        <v>4</v>
      </c>
      <c r="G334" s="1">
        <v>2</v>
      </c>
      <c r="H334" s="2">
        <v>3</v>
      </c>
      <c r="I334" s="1">
        <v>0</v>
      </c>
      <c r="J334" s="2">
        <v>4</v>
      </c>
      <c r="K334" s="1">
        <v>7</v>
      </c>
      <c r="L334" s="2">
        <v>4</v>
      </c>
      <c r="M334" s="1">
        <v>0</v>
      </c>
      <c r="N334" s="2">
        <v>2</v>
      </c>
      <c r="O334" s="1">
        <v>3</v>
      </c>
      <c r="P334" s="2">
        <v>1</v>
      </c>
      <c r="Q334" s="1">
        <v>2</v>
      </c>
      <c r="S334" s="21">
        <f t="shared" si="28"/>
        <v>23</v>
      </c>
      <c r="T334" s="21">
        <f t="shared" si="29"/>
        <v>15</v>
      </c>
      <c r="U334" s="22">
        <f t="shared" si="30"/>
        <v>38</v>
      </c>
    </row>
    <row r="335" spans="1:21">
      <c r="A335" s="12">
        <v>44892</v>
      </c>
      <c r="B335" s="77">
        <v>2</v>
      </c>
      <c r="C335" s="77">
        <v>0</v>
      </c>
      <c r="D335" s="76">
        <v>3</v>
      </c>
      <c r="E335" s="77">
        <v>1</v>
      </c>
      <c r="F335" s="2">
        <v>4</v>
      </c>
      <c r="G335" s="1">
        <v>2</v>
      </c>
      <c r="H335" s="2">
        <v>3</v>
      </c>
      <c r="I335" s="1">
        <v>0</v>
      </c>
      <c r="J335" s="2">
        <v>4</v>
      </c>
      <c r="K335" s="1">
        <v>7</v>
      </c>
      <c r="L335" s="2">
        <v>4</v>
      </c>
      <c r="M335" s="1">
        <v>0</v>
      </c>
      <c r="N335" s="2">
        <v>2</v>
      </c>
      <c r="O335" s="1">
        <v>3</v>
      </c>
      <c r="P335" s="2">
        <v>1</v>
      </c>
      <c r="Q335" s="1">
        <v>2</v>
      </c>
      <c r="S335" s="21">
        <f t="shared" si="28"/>
        <v>23</v>
      </c>
      <c r="T335" s="21">
        <f t="shared" si="29"/>
        <v>15</v>
      </c>
      <c r="U335" s="22">
        <f t="shared" si="30"/>
        <v>38</v>
      </c>
    </row>
    <row r="336" spans="1:21">
      <c r="A336" s="11">
        <v>44893</v>
      </c>
      <c r="B336" s="77">
        <v>2</v>
      </c>
      <c r="C336" s="77">
        <v>0</v>
      </c>
      <c r="D336" s="76">
        <v>3</v>
      </c>
      <c r="E336" s="77">
        <v>1</v>
      </c>
      <c r="F336" s="2">
        <v>4</v>
      </c>
      <c r="G336" s="1">
        <v>2</v>
      </c>
      <c r="H336" s="2">
        <v>3</v>
      </c>
      <c r="I336" s="1">
        <v>0</v>
      </c>
      <c r="J336" s="2">
        <v>4</v>
      </c>
      <c r="K336" s="1">
        <v>7</v>
      </c>
      <c r="L336" s="2">
        <v>4</v>
      </c>
      <c r="M336" s="1">
        <v>0</v>
      </c>
      <c r="N336" s="2">
        <v>2</v>
      </c>
      <c r="O336" s="1">
        <v>3</v>
      </c>
      <c r="P336" s="2">
        <v>1</v>
      </c>
      <c r="Q336" s="1">
        <v>2</v>
      </c>
      <c r="S336" s="21">
        <f t="shared" si="28"/>
        <v>23</v>
      </c>
      <c r="T336" s="21">
        <f t="shared" si="29"/>
        <v>15</v>
      </c>
      <c r="U336" s="22">
        <f t="shared" si="30"/>
        <v>38</v>
      </c>
    </row>
    <row r="337" spans="1:21">
      <c r="A337" s="11">
        <v>44894</v>
      </c>
      <c r="B337" s="77">
        <v>2</v>
      </c>
      <c r="C337" s="77">
        <v>0</v>
      </c>
      <c r="D337" s="76">
        <v>3</v>
      </c>
      <c r="E337" s="77">
        <v>1</v>
      </c>
      <c r="F337" s="2">
        <v>4</v>
      </c>
      <c r="G337" s="1">
        <v>2</v>
      </c>
      <c r="H337" s="2">
        <v>3</v>
      </c>
      <c r="I337" s="1">
        <v>0</v>
      </c>
      <c r="J337" s="2">
        <v>4</v>
      </c>
      <c r="K337" s="1">
        <v>7</v>
      </c>
      <c r="L337" s="2">
        <v>4</v>
      </c>
      <c r="M337" s="1">
        <v>0</v>
      </c>
      <c r="N337" s="2">
        <v>2</v>
      </c>
      <c r="O337" s="1">
        <v>3</v>
      </c>
      <c r="P337" s="2">
        <v>1</v>
      </c>
      <c r="Q337" s="1">
        <v>2</v>
      </c>
      <c r="S337" s="21">
        <f t="shared" si="28"/>
        <v>23</v>
      </c>
      <c r="T337" s="21">
        <f t="shared" si="29"/>
        <v>15</v>
      </c>
      <c r="U337" s="22">
        <f t="shared" si="30"/>
        <v>38</v>
      </c>
    </row>
    <row r="338" spans="1:21">
      <c r="A338" s="13">
        <v>44895</v>
      </c>
      <c r="B338" s="77">
        <v>2</v>
      </c>
      <c r="C338" s="77">
        <v>0</v>
      </c>
      <c r="D338" s="76">
        <v>3</v>
      </c>
      <c r="E338" s="77">
        <v>1</v>
      </c>
      <c r="F338" s="2">
        <v>4</v>
      </c>
      <c r="G338" s="1">
        <v>2</v>
      </c>
      <c r="H338" s="2">
        <v>3</v>
      </c>
      <c r="I338" s="1">
        <v>0</v>
      </c>
      <c r="J338" s="2">
        <v>4</v>
      </c>
      <c r="K338" s="1">
        <v>7</v>
      </c>
      <c r="L338" s="2">
        <v>4</v>
      </c>
      <c r="M338" s="1">
        <v>0</v>
      </c>
      <c r="N338" s="2">
        <v>2</v>
      </c>
      <c r="O338" s="1">
        <v>3</v>
      </c>
      <c r="P338" s="2">
        <v>1</v>
      </c>
      <c r="Q338" s="1">
        <v>2</v>
      </c>
      <c r="S338" s="21">
        <f t="shared" si="28"/>
        <v>23</v>
      </c>
      <c r="T338" s="21">
        <f t="shared" si="29"/>
        <v>15</v>
      </c>
      <c r="U338" s="22">
        <f t="shared" si="30"/>
        <v>38</v>
      </c>
    </row>
    <row r="339" spans="1:21">
      <c r="A339" s="11">
        <v>44896</v>
      </c>
    </row>
    <row r="340" spans="1:21">
      <c r="A340" s="11">
        <v>44897</v>
      </c>
    </row>
    <row r="341" spans="1:21">
      <c r="A341" s="12">
        <v>44898</v>
      </c>
    </row>
    <row r="342" spans="1:21">
      <c r="A342" s="12">
        <v>44899</v>
      </c>
    </row>
    <row r="343" spans="1:21">
      <c r="A343" s="11">
        <v>44900</v>
      </c>
    </row>
    <row r="344" spans="1:21">
      <c r="A344" s="11">
        <v>44901</v>
      </c>
    </row>
    <row r="345" spans="1:21">
      <c r="A345" s="13">
        <v>44902</v>
      </c>
    </row>
    <row r="346" spans="1:21">
      <c r="A346" s="11">
        <v>44903</v>
      </c>
    </row>
    <row r="347" spans="1:21">
      <c r="A347" s="11">
        <v>44904</v>
      </c>
    </row>
    <row r="348" spans="1:21">
      <c r="A348" s="12">
        <v>44905</v>
      </c>
    </row>
    <row r="349" spans="1:21">
      <c r="A349" s="12">
        <v>44906</v>
      </c>
    </row>
    <row r="350" spans="1:21">
      <c r="A350" s="11">
        <v>44907</v>
      </c>
    </row>
    <row r="351" spans="1:21">
      <c r="A351" s="11">
        <v>44908</v>
      </c>
    </row>
    <row r="352" spans="1:21">
      <c r="A352" s="13">
        <v>44909</v>
      </c>
    </row>
    <row r="353" spans="1:1">
      <c r="A353" s="11">
        <v>44910</v>
      </c>
    </row>
    <row r="354" spans="1:1">
      <c r="A354" s="11">
        <v>44911</v>
      </c>
    </row>
    <row r="355" spans="1:1">
      <c r="A355" s="12">
        <v>44912</v>
      </c>
    </row>
    <row r="356" spans="1:1">
      <c r="A356" s="12">
        <v>44913</v>
      </c>
    </row>
    <row r="357" spans="1:1">
      <c r="A357" s="11">
        <v>44914</v>
      </c>
    </row>
    <row r="358" spans="1:1">
      <c r="A358" s="11">
        <v>44915</v>
      </c>
    </row>
    <row r="359" spans="1:1">
      <c r="A359" s="13">
        <v>44916</v>
      </c>
    </row>
    <row r="360" spans="1:1">
      <c r="A360" s="11">
        <v>44917</v>
      </c>
    </row>
    <row r="361" spans="1:1">
      <c r="A361" s="11">
        <v>44918</v>
      </c>
    </row>
    <row r="362" spans="1:1">
      <c r="A362" s="12">
        <v>44919</v>
      </c>
    </row>
    <row r="363" spans="1:1">
      <c r="A363" s="12">
        <v>44920</v>
      </c>
    </row>
    <row r="364" spans="1:1">
      <c r="A364" s="11">
        <v>44921</v>
      </c>
    </row>
    <row r="365" spans="1:1">
      <c r="A365" s="11">
        <v>44922</v>
      </c>
    </row>
    <row r="366" spans="1:1">
      <c r="A366" s="13">
        <v>44923</v>
      </c>
    </row>
    <row r="367" spans="1:1">
      <c r="A367" s="11">
        <v>44924</v>
      </c>
    </row>
    <row r="368" spans="1:1">
      <c r="A368" s="11">
        <v>44925</v>
      </c>
    </row>
    <row r="369" spans="1:1">
      <c r="A369" s="12">
        <v>44926</v>
      </c>
    </row>
    <row r="370" spans="1:1">
      <c r="A370" s="12">
        <v>44927</v>
      </c>
    </row>
  </sheetData>
  <mergeCells count="22">
    <mergeCell ref="AI3:AJ3"/>
    <mergeCell ref="AK3:AL3"/>
    <mergeCell ref="AN3:AP3"/>
    <mergeCell ref="A1:AP1"/>
    <mergeCell ref="F3:G3"/>
    <mergeCell ref="H3:I3"/>
    <mergeCell ref="S3:U3"/>
    <mergeCell ref="W2:AP2"/>
    <mergeCell ref="W3:X3"/>
    <mergeCell ref="Y3:Z3"/>
    <mergeCell ref="AA3:AB3"/>
    <mergeCell ref="AC3:AD3"/>
    <mergeCell ref="AE3:AF3"/>
    <mergeCell ref="AG3:AH3"/>
    <mergeCell ref="L3:M3"/>
    <mergeCell ref="N3:O3"/>
    <mergeCell ref="P3:Q3"/>
    <mergeCell ref="A2:A4"/>
    <mergeCell ref="B2:U2"/>
    <mergeCell ref="B3:C3"/>
    <mergeCell ref="D3:E3"/>
    <mergeCell ref="J3:K3"/>
  </mergeCells>
  <conditionalFormatting sqref="A5:A370">
    <cfRule type="expression" dxfId="1" priority="1">
      <formula>A5=TODAY()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82C59-9FFA-46B3-B4E4-AFDD5EE1D8A2}">
  <dimension ref="A1:NB17"/>
  <sheetViews>
    <sheetView zoomScaleNormal="100" workbookViewId="0">
      <pane xSplit="1" topLeftCell="GB1" activePane="topRight" state="frozen"/>
      <selection pane="topRight" activeCell="GW23" sqref="GW23"/>
    </sheetView>
  </sheetViews>
  <sheetFormatPr defaultRowHeight="15"/>
  <cols>
    <col min="1" max="1" width="28.140625" bestFit="1" customWidth="1"/>
    <col min="92" max="243" width="9.140625" bestFit="1" customWidth="1"/>
    <col min="244" max="366" width="9.140625" customWidth="1"/>
  </cols>
  <sheetData>
    <row r="1" spans="1:366" ht="51" customHeight="1">
      <c r="A1" s="80"/>
      <c r="B1" s="29">
        <v>44562</v>
      </c>
      <c r="C1" s="29">
        <v>44563</v>
      </c>
      <c r="D1" s="28">
        <v>44564</v>
      </c>
      <c r="E1" s="28">
        <v>44565</v>
      </c>
      <c r="F1" s="30">
        <v>44566</v>
      </c>
      <c r="G1" s="28">
        <v>44567</v>
      </c>
      <c r="H1" s="28">
        <v>44568</v>
      </c>
      <c r="I1" s="29">
        <v>44569</v>
      </c>
      <c r="J1" s="29">
        <v>44570</v>
      </c>
      <c r="K1" s="28">
        <v>44571</v>
      </c>
      <c r="L1" s="28">
        <v>44572</v>
      </c>
      <c r="M1" s="30">
        <v>44573</v>
      </c>
      <c r="N1" s="28">
        <v>44574</v>
      </c>
      <c r="O1" s="28">
        <v>44575</v>
      </c>
      <c r="P1" s="29">
        <v>44576</v>
      </c>
      <c r="Q1" s="29">
        <v>44577</v>
      </c>
      <c r="R1" s="28">
        <v>44578</v>
      </c>
      <c r="S1" s="28">
        <v>44579</v>
      </c>
      <c r="T1" s="30">
        <v>44580</v>
      </c>
      <c r="U1" s="28">
        <v>44581</v>
      </c>
      <c r="V1" s="28">
        <v>44582</v>
      </c>
      <c r="W1" s="29">
        <v>44583</v>
      </c>
      <c r="X1" s="29">
        <v>44584</v>
      </c>
      <c r="Y1" s="28">
        <v>44585</v>
      </c>
      <c r="Z1" s="28">
        <v>44586</v>
      </c>
      <c r="AA1" s="30">
        <v>44587</v>
      </c>
      <c r="AB1" s="28">
        <v>44588</v>
      </c>
      <c r="AC1" s="28">
        <v>44589</v>
      </c>
      <c r="AD1" s="29">
        <v>44590</v>
      </c>
      <c r="AE1" s="29">
        <v>44591</v>
      </c>
      <c r="AF1" s="28">
        <v>44592</v>
      </c>
      <c r="AG1" s="28">
        <v>44593</v>
      </c>
      <c r="AH1" s="30">
        <v>44594</v>
      </c>
      <c r="AI1" s="28">
        <v>44595</v>
      </c>
      <c r="AJ1" s="28">
        <v>44596</v>
      </c>
      <c r="AK1" s="29">
        <v>44597</v>
      </c>
      <c r="AL1" s="29">
        <v>44598</v>
      </c>
      <c r="AM1" s="28">
        <v>44599</v>
      </c>
      <c r="AN1" s="28">
        <v>44600</v>
      </c>
      <c r="AO1" s="30">
        <v>44601</v>
      </c>
      <c r="AP1" s="28">
        <v>44602</v>
      </c>
      <c r="AQ1" s="28">
        <v>44603</v>
      </c>
      <c r="AR1" s="29">
        <v>44604</v>
      </c>
      <c r="AS1" s="29">
        <v>44605</v>
      </c>
      <c r="AT1" s="28">
        <v>44606</v>
      </c>
      <c r="AU1" s="28">
        <v>44607</v>
      </c>
      <c r="AV1" s="30">
        <v>44608</v>
      </c>
      <c r="AW1" s="28">
        <v>44609</v>
      </c>
      <c r="AX1" s="28">
        <v>44610</v>
      </c>
      <c r="AY1" s="29">
        <v>44611</v>
      </c>
      <c r="AZ1" s="29">
        <v>44612</v>
      </c>
      <c r="BA1" s="28">
        <v>44613</v>
      </c>
      <c r="BB1" s="28">
        <v>44614</v>
      </c>
      <c r="BC1" s="30">
        <v>44615</v>
      </c>
      <c r="BD1" s="28">
        <v>44616</v>
      </c>
      <c r="BE1" s="28">
        <v>44617</v>
      </c>
      <c r="BF1" s="29">
        <v>44618</v>
      </c>
      <c r="BG1" s="29">
        <v>44619</v>
      </c>
      <c r="BH1" s="28">
        <v>44620</v>
      </c>
      <c r="BI1" s="28">
        <v>44621</v>
      </c>
      <c r="BJ1" s="30">
        <v>44622</v>
      </c>
      <c r="BK1" s="28">
        <v>44623</v>
      </c>
      <c r="BL1" s="28">
        <v>44624</v>
      </c>
      <c r="BM1" s="29">
        <v>44625</v>
      </c>
      <c r="BN1" s="29">
        <v>44626</v>
      </c>
      <c r="BO1" s="28">
        <v>44627</v>
      </c>
      <c r="BP1" s="28">
        <v>44628</v>
      </c>
      <c r="BQ1" s="30">
        <v>44629</v>
      </c>
      <c r="BR1" s="28">
        <v>44630</v>
      </c>
      <c r="BS1" s="28">
        <v>44631</v>
      </c>
      <c r="BT1" s="29">
        <v>44632</v>
      </c>
      <c r="BU1" s="29">
        <v>44633</v>
      </c>
      <c r="BV1" s="28">
        <v>44634</v>
      </c>
      <c r="BW1" s="28">
        <v>44635</v>
      </c>
      <c r="BX1" s="30">
        <v>44636</v>
      </c>
      <c r="BY1" s="28">
        <v>44637</v>
      </c>
      <c r="BZ1" s="28">
        <v>44638</v>
      </c>
      <c r="CA1" s="29">
        <v>44639</v>
      </c>
      <c r="CB1" s="29">
        <v>44640</v>
      </c>
      <c r="CC1" s="28">
        <v>44641</v>
      </c>
      <c r="CD1" s="28">
        <v>44642</v>
      </c>
      <c r="CE1" s="30">
        <v>44643</v>
      </c>
      <c r="CF1" s="28">
        <v>44644</v>
      </c>
      <c r="CG1" s="28">
        <v>44645</v>
      </c>
      <c r="CH1" s="29">
        <v>44646</v>
      </c>
      <c r="CI1" s="29">
        <v>44647</v>
      </c>
      <c r="CJ1" s="28">
        <v>44648</v>
      </c>
      <c r="CK1" s="28">
        <v>44649</v>
      </c>
      <c r="CL1" s="30">
        <v>44650</v>
      </c>
      <c r="CM1" s="28">
        <v>44651</v>
      </c>
      <c r="CN1" s="28">
        <v>44652</v>
      </c>
      <c r="CO1" s="28">
        <v>44653</v>
      </c>
      <c r="CP1" s="28">
        <v>44654</v>
      </c>
      <c r="CQ1" s="28">
        <v>44655</v>
      </c>
      <c r="CR1" s="28">
        <v>44656</v>
      </c>
      <c r="CS1" s="28">
        <v>44657</v>
      </c>
      <c r="CT1" s="28">
        <v>44658</v>
      </c>
      <c r="CU1" s="28">
        <v>44659</v>
      </c>
      <c r="CV1" s="28">
        <v>44660</v>
      </c>
      <c r="CW1" s="28">
        <v>44661</v>
      </c>
      <c r="CX1" s="28">
        <v>44662</v>
      </c>
      <c r="CY1" s="28">
        <v>44663</v>
      </c>
      <c r="CZ1" s="28">
        <v>44664</v>
      </c>
      <c r="DA1" s="28">
        <v>44665</v>
      </c>
      <c r="DB1" s="28">
        <v>44666</v>
      </c>
      <c r="DC1" s="28">
        <v>44667</v>
      </c>
      <c r="DD1" s="28">
        <v>44668</v>
      </c>
      <c r="DE1" s="28">
        <v>44669</v>
      </c>
      <c r="DF1" s="28">
        <v>44670</v>
      </c>
      <c r="DG1" s="28">
        <v>44671</v>
      </c>
      <c r="DH1" s="28">
        <v>44672</v>
      </c>
      <c r="DI1" s="28">
        <v>44673</v>
      </c>
      <c r="DJ1" s="28">
        <v>44674</v>
      </c>
      <c r="DK1" s="28">
        <v>44675</v>
      </c>
      <c r="DL1" s="28">
        <v>44676</v>
      </c>
      <c r="DM1" s="28">
        <v>44677</v>
      </c>
      <c r="DN1" s="28">
        <v>44678</v>
      </c>
      <c r="DO1" s="28">
        <v>44679</v>
      </c>
      <c r="DP1" s="28">
        <v>44680</v>
      </c>
      <c r="DQ1" s="28">
        <v>44681</v>
      </c>
      <c r="DR1" s="28">
        <v>44682</v>
      </c>
      <c r="DS1" s="28">
        <v>44683</v>
      </c>
      <c r="DT1" s="28">
        <v>44684</v>
      </c>
      <c r="DU1" s="28">
        <v>44685</v>
      </c>
      <c r="DV1" s="28">
        <v>44686</v>
      </c>
      <c r="DW1" s="28">
        <v>44687</v>
      </c>
      <c r="DX1" s="28">
        <v>44688</v>
      </c>
      <c r="DY1" s="28">
        <v>44689</v>
      </c>
      <c r="DZ1" s="28">
        <v>44690</v>
      </c>
      <c r="EA1" s="28">
        <v>44691</v>
      </c>
      <c r="EB1" s="28">
        <v>44692</v>
      </c>
      <c r="EC1" s="28">
        <v>44693</v>
      </c>
      <c r="ED1" s="28">
        <v>44694</v>
      </c>
      <c r="EE1" s="28">
        <v>44695</v>
      </c>
      <c r="EF1" s="28">
        <v>44696</v>
      </c>
      <c r="EG1" s="28">
        <v>44697</v>
      </c>
      <c r="EH1" s="28">
        <v>44698</v>
      </c>
      <c r="EI1" s="28">
        <v>44699</v>
      </c>
      <c r="EJ1" s="28">
        <v>44700</v>
      </c>
      <c r="EK1" s="28">
        <v>44701</v>
      </c>
      <c r="EL1" s="28">
        <v>44702</v>
      </c>
      <c r="EM1" s="28">
        <v>44703</v>
      </c>
      <c r="EN1" s="28">
        <v>44704</v>
      </c>
      <c r="EO1" s="28">
        <v>44705</v>
      </c>
      <c r="EP1" s="28">
        <v>44706</v>
      </c>
      <c r="EQ1" s="28">
        <v>44707</v>
      </c>
      <c r="ER1" s="28">
        <v>44708</v>
      </c>
      <c r="ES1" s="28">
        <v>44709</v>
      </c>
      <c r="ET1" s="28">
        <v>44710</v>
      </c>
      <c r="EU1" s="28">
        <v>44711</v>
      </c>
      <c r="EV1" s="28">
        <v>44712</v>
      </c>
      <c r="EW1" s="28">
        <v>44713</v>
      </c>
      <c r="EX1" s="28">
        <v>44714</v>
      </c>
      <c r="EY1" s="28">
        <v>44715</v>
      </c>
      <c r="EZ1" s="28">
        <v>44716</v>
      </c>
      <c r="FA1" s="28">
        <v>44717</v>
      </c>
      <c r="FB1" s="28">
        <v>44718</v>
      </c>
      <c r="FC1" s="28">
        <v>44719</v>
      </c>
      <c r="FD1" s="28">
        <v>44720</v>
      </c>
      <c r="FE1" s="28">
        <v>44721</v>
      </c>
      <c r="FF1" s="28">
        <v>44722</v>
      </c>
      <c r="FG1" s="28">
        <v>44723</v>
      </c>
      <c r="FH1" s="28">
        <v>44724</v>
      </c>
      <c r="FI1" s="28">
        <v>44725</v>
      </c>
      <c r="FJ1" s="28">
        <v>44726</v>
      </c>
      <c r="FK1" s="28">
        <v>44727</v>
      </c>
      <c r="FL1" s="28">
        <v>44728</v>
      </c>
      <c r="FM1" s="28">
        <v>44729</v>
      </c>
      <c r="FN1" s="28">
        <v>44730</v>
      </c>
      <c r="FO1" s="28">
        <v>44731</v>
      </c>
      <c r="FP1" s="28">
        <v>44732</v>
      </c>
      <c r="FQ1" s="28">
        <v>44733</v>
      </c>
      <c r="FR1" s="28">
        <v>44734</v>
      </c>
      <c r="FS1" s="28">
        <v>44735</v>
      </c>
      <c r="FT1" s="28">
        <v>44736</v>
      </c>
      <c r="FU1" s="28">
        <v>44737</v>
      </c>
      <c r="FV1" s="28">
        <v>44738</v>
      </c>
      <c r="FW1" s="28">
        <v>44739</v>
      </c>
      <c r="FX1" s="28">
        <v>44740</v>
      </c>
      <c r="FY1" s="28">
        <v>44741</v>
      </c>
      <c r="FZ1" s="28">
        <v>44742</v>
      </c>
      <c r="GA1" s="28">
        <v>44743</v>
      </c>
      <c r="GB1" s="28">
        <v>44744</v>
      </c>
      <c r="GC1" s="28">
        <v>44745</v>
      </c>
      <c r="GD1" s="28">
        <v>44746</v>
      </c>
      <c r="GE1" s="28">
        <v>44747</v>
      </c>
      <c r="GF1" s="28">
        <v>44748</v>
      </c>
      <c r="GG1" s="28">
        <v>44749</v>
      </c>
      <c r="GH1" s="28">
        <v>44750</v>
      </c>
      <c r="GI1" s="28">
        <v>44751</v>
      </c>
      <c r="GJ1" s="28">
        <v>44752</v>
      </c>
      <c r="GK1" s="28">
        <v>44753</v>
      </c>
      <c r="GL1" s="28">
        <v>44754</v>
      </c>
      <c r="GM1" s="28">
        <v>44755</v>
      </c>
      <c r="GN1" s="28">
        <v>44756</v>
      </c>
      <c r="GO1" s="28">
        <v>44757</v>
      </c>
      <c r="GP1" s="28">
        <v>44758</v>
      </c>
      <c r="GQ1" s="28">
        <v>44759</v>
      </c>
      <c r="GR1" s="28">
        <v>44760</v>
      </c>
      <c r="GS1" s="28">
        <v>44761</v>
      </c>
      <c r="GT1" s="28">
        <v>44762</v>
      </c>
      <c r="GU1" s="28">
        <v>44763</v>
      </c>
      <c r="GV1" s="28">
        <v>44764</v>
      </c>
      <c r="GW1" s="28">
        <v>44765</v>
      </c>
      <c r="GX1" s="28">
        <v>44766</v>
      </c>
      <c r="GY1" s="28">
        <v>44767</v>
      </c>
      <c r="GZ1" s="28">
        <v>44768</v>
      </c>
      <c r="HA1" s="28">
        <v>44769</v>
      </c>
      <c r="HB1" s="28">
        <v>44770</v>
      </c>
      <c r="HC1" s="28">
        <v>44771</v>
      </c>
      <c r="HD1" s="28">
        <v>44772</v>
      </c>
      <c r="HE1" s="28">
        <v>44773</v>
      </c>
      <c r="HF1" s="28">
        <v>44774</v>
      </c>
      <c r="HG1" s="28">
        <v>44775</v>
      </c>
      <c r="HH1" s="28">
        <v>44776</v>
      </c>
      <c r="HI1" s="28">
        <v>44777</v>
      </c>
      <c r="HJ1" s="28">
        <v>44778</v>
      </c>
      <c r="HK1" s="28">
        <v>44779</v>
      </c>
      <c r="HL1" s="28">
        <v>44780</v>
      </c>
      <c r="HM1" s="28">
        <v>44781</v>
      </c>
      <c r="HN1" s="28">
        <v>44782</v>
      </c>
      <c r="HO1" s="28">
        <v>44783</v>
      </c>
      <c r="HP1" s="28">
        <v>44784</v>
      </c>
      <c r="HQ1" s="28">
        <v>44785</v>
      </c>
      <c r="HR1" s="28">
        <v>44786</v>
      </c>
      <c r="HS1" s="28">
        <v>44787</v>
      </c>
      <c r="HT1" s="28">
        <v>44788</v>
      </c>
      <c r="HU1" s="28">
        <v>44789</v>
      </c>
      <c r="HV1" s="28">
        <v>44790</v>
      </c>
      <c r="HW1" s="28">
        <v>44791</v>
      </c>
      <c r="HX1" s="28">
        <v>44792</v>
      </c>
      <c r="HY1" s="28">
        <v>44793</v>
      </c>
      <c r="HZ1" s="28">
        <v>44794</v>
      </c>
      <c r="IA1" s="28">
        <v>44795</v>
      </c>
      <c r="IB1" s="28">
        <v>44796</v>
      </c>
      <c r="IC1" s="28">
        <v>44797</v>
      </c>
      <c r="ID1" s="28">
        <v>44798</v>
      </c>
      <c r="IE1" s="28">
        <v>44799</v>
      </c>
      <c r="IF1" s="28">
        <v>44800</v>
      </c>
      <c r="IG1" s="28">
        <v>44801</v>
      </c>
      <c r="IH1" s="28">
        <v>44802</v>
      </c>
      <c r="II1" s="28">
        <v>44803</v>
      </c>
      <c r="IJ1" s="28">
        <v>44804</v>
      </c>
      <c r="IK1" s="28">
        <v>44805</v>
      </c>
      <c r="IL1" s="28">
        <v>44806</v>
      </c>
      <c r="IM1" s="28">
        <v>44807</v>
      </c>
      <c r="IN1" s="28">
        <v>44808</v>
      </c>
      <c r="IO1" s="28">
        <v>44809</v>
      </c>
      <c r="IP1" s="28">
        <v>44810</v>
      </c>
      <c r="IQ1" s="28">
        <v>44811</v>
      </c>
      <c r="IR1" s="28">
        <v>44812</v>
      </c>
      <c r="IS1" s="28">
        <v>44813</v>
      </c>
      <c r="IT1" s="28">
        <v>44814</v>
      </c>
      <c r="IU1" s="28">
        <v>44815</v>
      </c>
      <c r="IV1" s="28">
        <v>44816</v>
      </c>
      <c r="IW1" s="28">
        <v>44817</v>
      </c>
      <c r="IX1" s="28">
        <v>44818</v>
      </c>
      <c r="IY1" s="28">
        <v>44819</v>
      </c>
      <c r="IZ1" s="28">
        <v>44820</v>
      </c>
      <c r="JA1" s="28">
        <v>44821</v>
      </c>
      <c r="JB1" s="28">
        <v>44822</v>
      </c>
      <c r="JC1" s="28">
        <v>44823</v>
      </c>
      <c r="JD1" s="28">
        <v>44824</v>
      </c>
      <c r="JE1" s="28">
        <v>44825</v>
      </c>
      <c r="JF1" s="28">
        <v>44826</v>
      </c>
      <c r="JG1" s="28">
        <v>44827</v>
      </c>
      <c r="JH1" s="28">
        <v>44828</v>
      </c>
      <c r="JI1" s="28">
        <v>44829</v>
      </c>
      <c r="JJ1" s="28">
        <v>44830</v>
      </c>
      <c r="JK1" s="28">
        <v>44831</v>
      </c>
      <c r="JL1" s="28">
        <v>44832</v>
      </c>
      <c r="JM1" s="28">
        <v>44833</v>
      </c>
      <c r="JN1" s="28">
        <v>44834</v>
      </c>
      <c r="JO1" s="28">
        <v>44835</v>
      </c>
      <c r="JP1" s="28">
        <v>44836</v>
      </c>
      <c r="JQ1" s="28">
        <v>44837</v>
      </c>
      <c r="JR1" s="28">
        <v>44838</v>
      </c>
      <c r="JS1" s="28">
        <v>44839</v>
      </c>
      <c r="JT1" s="28">
        <v>44840</v>
      </c>
      <c r="JU1" s="28">
        <v>44841</v>
      </c>
      <c r="JV1" s="28">
        <v>44842</v>
      </c>
      <c r="JW1" s="28">
        <v>44843</v>
      </c>
      <c r="JX1" s="28">
        <v>44844</v>
      </c>
      <c r="JY1" s="28">
        <v>44845</v>
      </c>
      <c r="JZ1" s="28">
        <v>44846</v>
      </c>
      <c r="KA1" s="28">
        <v>44847</v>
      </c>
      <c r="KB1" s="28">
        <v>44848</v>
      </c>
      <c r="KC1" s="28">
        <v>44849</v>
      </c>
      <c r="KD1" s="28">
        <v>44850</v>
      </c>
      <c r="KE1" s="28">
        <v>44851</v>
      </c>
      <c r="KF1" s="28">
        <v>44852</v>
      </c>
      <c r="KG1" s="28">
        <v>44853</v>
      </c>
      <c r="KH1" s="28">
        <v>44854</v>
      </c>
      <c r="KI1" s="28">
        <v>44855</v>
      </c>
      <c r="KJ1" s="28">
        <v>44856</v>
      </c>
      <c r="KK1" s="28">
        <v>44857</v>
      </c>
      <c r="KL1" s="28">
        <v>44858</v>
      </c>
      <c r="KM1" s="28">
        <v>44859</v>
      </c>
      <c r="KN1" s="28">
        <v>44860</v>
      </c>
      <c r="KO1" s="28">
        <v>44861</v>
      </c>
      <c r="KP1" s="28">
        <v>44862</v>
      </c>
      <c r="KQ1" s="28">
        <v>44863</v>
      </c>
      <c r="KR1" s="28">
        <v>44864</v>
      </c>
      <c r="KS1" s="28">
        <v>44865</v>
      </c>
      <c r="KT1" s="28">
        <v>44866</v>
      </c>
      <c r="KU1" s="28">
        <v>44867</v>
      </c>
      <c r="KV1" s="28">
        <v>44868</v>
      </c>
      <c r="KW1" s="28">
        <v>44869</v>
      </c>
      <c r="KX1" s="28">
        <v>44870</v>
      </c>
      <c r="KY1" s="28">
        <v>44871</v>
      </c>
      <c r="KZ1" s="28">
        <v>44872</v>
      </c>
      <c r="LA1" s="28">
        <v>44873</v>
      </c>
      <c r="LB1" s="28">
        <v>44874</v>
      </c>
      <c r="LC1" s="28">
        <v>44875</v>
      </c>
      <c r="LD1" s="28">
        <v>44876</v>
      </c>
      <c r="LE1" s="28">
        <v>44877</v>
      </c>
      <c r="LF1" s="28">
        <v>44878</v>
      </c>
      <c r="LG1" s="28">
        <v>44879</v>
      </c>
      <c r="LH1" s="28">
        <v>44880</v>
      </c>
      <c r="LI1" s="28">
        <v>44881</v>
      </c>
      <c r="LJ1" s="28">
        <v>44882</v>
      </c>
      <c r="LK1" s="28">
        <v>44883</v>
      </c>
      <c r="LL1" s="28">
        <v>44884</v>
      </c>
      <c r="LM1" s="28">
        <v>44885</v>
      </c>
      <c r="LN1" s="28">
        <v>44886</v>
      </c>
      <c r="LO1" s="28">
        <v>44887</v>
      </c>
      <c r="LP1" s="28">
        <v>44888</v>
      </c>
      <c r="LQ1" s="28">
        <v>44889</v>
      </c>
      <c r="LR1" s="28">
        <v>44890</v>
      </c>
      <c r="LS1" s="28">
        <v>44891</v>
      </c>
      <c r="LT1" s="28">
        <v>44892</v>
      </c>
      <c r="LU1" s="28">
        <v>44893</v>
      </c>
      <c r="LV1" s="28">
        <v>44894</v>
      </c>
      <c r="LW1" s="28">
        <v>44895</v>
      </c>
      <c r="LX1" s="28">
        <v>44896</v>
      </c>
      <c r="LY1" s="28">
        <v>44897</v>
      </c>
      <c r="LZ1" s="28">
        <v>44898</v>
      </c>
      <c r="MA1" s="28">
        <v>44899</v>
      </c>
      <c r="MB1" s="28">
        <v>44900</v>
      </c>
      <c r="MC1" s="28">
        <v>44901</v>
      </c>
      <c r="MD1" s="28">
        <v>44902</v>
      </c>
      <c r="ME1" s="28">
        <v>44903</v>
      </c>
      <c r="MF1" s="28">
        <v>44904</v>
      </c>
      <c r="MG1" s="28">
        <v>44905</v>
      </c>
      <c r="MH1" s="28">
        <v>44906</v>
      </c>
      <c r="MI1" s="28">
        <v>44907</v>
      </c>
      <c r="MJ1" s="28">
        <v>44908</v>
      </c>
      <c r="MK1" s="28">
        <v>44909</v>
      </c>
      <c r="ML1" s="28">
        <v>44910</v>
      </c>
      <c r="MM1" s="28">
        <v>44911</v>
      </c>
      <c r="MN1" s="28">
        <v>44912</v>
      </c>
      <c r="MO1" s="28">
        <v>44913</v>
      </c>
      <c r="MP1" s="28">
        <v>44914</v>
      </c>
      <c r="MQ1" s="28">
        <v>44915</v>
      </c>
      <c r="MR1" s="28">
        <v>44916</v>
      </c>
      <c r="MS1" s="28">
        <v>44917</v>
      </c>
      <c r="MT1" s="28">
        <v>44918</v>
      </c>
      <c r="MU1" s="28">
        <v>44919</v>
      </c>
      <c r="MV1" s="28">
        <v>44920</v>
      </c>
      <c r="MW1" s="28">
        <v>44921</v>
      </c>
      <c r="MX1" s="28">
        <v>44922</v>
      </c>
      <c r="MY1" s="28">
        <v>44923</v>
      </c>
      <c r="MZ1" s="28">
        <v>44924</v>
      </c>
      <c r="NA1" s="28">
        <v>44925</v>
      </c>
      <c r="NB1" s="28">
        <v>44926</v>
      </c>
    </row>
    <row r="2" spans="1:366">
      <c r="A2" s="119" t="s">
        <v>4</v>
      </c>
      <c r="B2" s="124">
        <f>'Rig Sheet '!G2</f>
        <v>3</v>
      </c>
      <c r="C2" s="124">
        <f>'Rig Sheet '!H2</f>
        <v>2</v>
      </c>
      <c r="D2" s="124">
        <f>'Rig Sheet '!I2</f>
        <v>2</v>
      </c>
      <c r="E2" s="124">
        <f>'Rig Sheet '!J2</f>
        <v>5</v>
      </c>
      <c r="F2" s="124">
        <f>'Rig Sheet '!K2</f>
        <v>3</v>
      </c>
      <c r="G2" s="124">
        <f>'Rig Sheet '!L2</f>
        <v>10</v>
      </c>
      <c r="H2" s="124">
        <f>'Rig Sheet '!M2</f>
        <v>7</v>
      </c>
      <c r="I2" s="124">
        <f>'Rig Sheet '!N2</f>
        <v>2</v>
      </c>
      <c r="J2" s="124">
        <f>'Rig Sheet '!O2</f>
        <v>8</v>
      </c>
      <c r="K2" s="124">
        <f>'Rig Sheet '!P2</f>
        <v>7</v>
      </c>
      <c r="L2" s="124">
        <f>'Rig Sheet '!Q2</f>
        <v>9</v>
      </c>
      <c r="M2" s="124">
        <f>'Rig Sheet '!R2</f>
        <v>2</v>
      </c>
      <c r="N2" s="124">
        <f>'Rig Sheet '!S2</f>
        <v>5</v>
      </c>
      <c r="O2" s="124">
        <f>'Rig Sheet '!T2</f>
        <v>4</v>
      </c>
      <c r="P2" s="124">
        <f>'Rig Sheet '!U2</f>
        <v>8</v>
      </c>
      <c r="Q2" s="124">
        <f>'Rig Sheet '!V2</f>
        <v>2</v>
      </c>
      <c r="R2" s="124">
        <f>'Rig Sheet '!W2</f>
        <v>8</v>
      </c>
      <c r="S2" s="124">
        <f>'Rig Sheet '!X2</f>
        <v>4</v>
      </c>
      <c r="T2" s="124">
        <f>'Rig Sheet '!Y2</f>
        <v>5</v>
      </c>
      <c r="U2" s="124">
        <f>'Rig Sheet '!Z2</f>
        <v>5</v>
      </c>
      <c r="V2" s="124">
        <f>'Rig Sheet '!AA2</f>
        <v>4</v>
      </c>
      <c r="W2" s="124">
        <f>'Rig Sheet '!AB2</f>
        <v>5</v>
      </c>
      <c r="X2" s="124">
        <f>'Rig Sheet '!AC2</f>
        <v>6</v>
      </c>
      <c r="Y2" s="124">
        <f>'Rig Sheet '!AD2</f>
        <v>8</v>
      </c>
      <c r="Z2" s="124">
        <f>'Rig Sheet '!AE2</f>
        <v>9</v>
      </c>
      <c r="AA2" s="124">
        <f>'Rig Sheet '!AF2</f>
        <v>3</v>
      </c>
      <c r="AB2" s="124">
        <f>'Rig Sheet '!AG2</f>
        <v>6</v>
      </c>
      <c r="AC2" s="124">
        <f>'Rig Sheet '!AH2</f>
        <v>3</v>
      </c>
      <c r="AD2" s="124">
        <f>'Rig Sheet '!AI2</f>
        <v>6</v>
      </c>
      <c r="AE2" s="124">
        <f>'Rig Sheet '!AJ2</f>
        <v>5</v>
      </c>
      <c r="AF2" s="124">
        <f>'Rig Sheet '!AK2</f>
        <v>6</v>
      </c>
      <c r="AG2" s="124">
        <f>'Rig Sheet '!AL2</f>
        <v>20</v>
      </c>
      <c r="AH2" s="124">
        <f>'Rig Sheet '!AM2</f>
        <v>20</v>
      </c>
      <c r="AI2" s="124">
        <f>'Rig Sheet '!AN2</f>
        <v>28</v>
      </c>
      <c r="AJ2" s="124">
        <f>'Rig Sheet '!AO2</f>
        <v>24</v>
      </c>
      <c r="AK2" s="124">
        <f>'Rig Sheet '!AP2</f>
        <v>21</v>
      </c>
      <c r="AL2" s="124">
        <f>'Rig Sheet '!AQ2</f>
        <v>26</v>
      </c>
      <c r="AM2" s="124">
        <f>'Rig Sheet '!AR2</f>
        <v>19</v>
      </c>
      <c r="AN2" s="124">
        <f>'Rig Sheet '!AS2</f>
        <v>26</v>
      </c>
      <c r="AO2" s="124">
        <f>'Rig Sheet '!AT2</f>
        <v>20</v>
      </c>
      <c r="AP2" s="124">
        <f>'Rig Sheet '!AU2</f>
        <v>21</v>
      </c>
      <c r="AQ2" s="124">
        <f>'Rig Sheet '!AV2</f>
        <v>26</v>
      </c>
      <c r="AR2" s="124">
        <f>'Rig Sheet '!AW2</f>
        <v>23</v>
      </c>
      <c r="AS2" s="124">
        <f>'Rig Sheet '!AX2</f>
        <v>25</v>
      </c>
      <c r="AT2" s="124">
        <f>'Rig Sheet '!AY2</f>
        <v>26</v>
      </c>
      <c r="AU2" s="124">
        <f>'Rig Sheet '!AZ2</f>
        <v>24</v>
      </c>
      <c r="AV2" s="124">
        <f>'Rig Sheet '!BA2</f>
        <v>26</v>
      </c>
      <c r="AW2" s="124">
        <f>'Rig Sheet '!BB2</f>
        <v>19</v>
      </c>
      <c r="AX2" s="124">
        <f>'Rig Sheet '!BC2</f>
        <v>23</v>
      </c>
      <c r="AY2" s="124">
        <f>'Rig Sheet '!BD2</f>
        <v>23</v>
      </c>
      <c r="AZ2" s="124">
        <f>'Rig Sheet '!BE2</f>
        <v>26</v>
      </c>
      <c r="BA2" s="124">
        <f>'Rig Sheet '!BF2</f>
        <v>13</v>
      </c>
      <c r="BB2" s="124">
        <f>'Rig Sheet '!BG2</f>
        <v>14</v>
      </c>
      <c r="BC2" s="124">
        <f>'Rig Sheet '!BH2</f>
        <v>17</v>
      </c>
      <c r="BD2" s="124">
        <f>'Rig Sheet '!BI2</f>
        <v>25</v>
      </c>
      <c r="BE2" s="124">
        <f>'Rig Sheet '!BJ2</f>
        <v>19</v>
      </c>
      <c r="BF2" s="124">
        <f>'Rig Sheet '!BK2</f>
        <v>19</v>
      </c>
      <c r="BG2" s="124">
        <f>'Rig Sheet '!BL2</f>
        <v>25</v>
      </c>
      <c r="BH2" s="124">
        <f>'Rig Sheet '!BM2</f>
        <v>26</v>
      </c>
      <c r="BI2" s="124">
        <f>'Rig Sheet '!BN2</f>
        <v>18</v>
      </c>
      <c r="BJ2" s="124">
        <f>'Rig Sheet '!BO2</f>
        <v>18</v>
      </c>
      <c r="BK2" s="124">
        <f>'Rig Sheet '!BP2</f>
        <v>22</v>
      </c>
      <c r="BL2" s="124">
        <f>'Rig Sheet '!BQ2</f>
        <v>16</v>
      </c>
      <c r="BM2" s="124">
        <f>'Rig Sheet '!BR2</f>
        <v>20</v>
      </c>
      <c r="BN2" s="124">
        <f>'Rig Sheet '!BS2</f>
        <v>18</v>
      </c>
      <c r="BO2" s="124">
        <f>'Rig Sheet '!BT2</f>
        <v>17</v>
      </c>
      <c r="BP2" s="124">
        <f>'Rig Sheet '!BU2</f>
        <v>19</v>
      </c>
      <c r="BQ2" s="124">
        <f>'Rig Sheet '!BV2</f>
        <v>21</v>
      </c>
      <c r="BR2" s="124">
        <f>'Rig Sheet '!BW2</f>
        <v>12</v>
      </c>
      <c r="BS2" s="124">
        <f>'Rig Sheet '!BX2</f>
        <v>14</v>
      </c>
      <c r="BT2" s="124">
        <f>'Rig Sheet '!BY2</f>
        <v>17</v>
      </c>
      <c r="BU2" s="124">
        <f>'Rig Sheet '!BZ2</f>
        <v>16</v>
      </c>
      <c r="BV2" s="124">
        <f>'Rig Sheet '!CA2</f>
        <v>12</v>
      </c>
      <c r="BW2" s="124">
        <f>'Rig Sheet '!CB2</f>
        <v>10</v>
      </c>
      <c r="BX2" s="124">
        <f>'Rig Sheet '!CC2</f>
        <v>12</v>
      </c>
      <c r="BY2" s="124">
        <f>'Rig Sheet '!CD2</f>
        <v>7</v>
      </c>
      <c r="BZ2" s="124">
        <f>'Rig Sheet '!CE2</f>
        <v>7</v>
      </c>
      <c r="CA2" s="124">
        <f>'Rig Sheet '!CF2</f>
        <v>8</v>
      </c>
      <c r="CB2" s="124">
        <f>'Rig Sheet '!CG2</f>
        <v>10</v>
      </c>
      <c r="CC2" s="124">
        <f>'Rig Sheet '!CH2</f>
        <v>17</v>
      </c>
      <c r="CD2" s="124">
        <f>'Rig Sheet '!CI2</f>
        <v>7</v>
      </c>
      <c r="CE2" s="124">
        <f>'Rig Sheet '!CJ2</f>
        <v>8</v>
      </c>
      <c r="CF2" s="124">
        <f>'Rig Sheet '!CK2</f>
        <v>10</v>
      </c>
      <c r="CG2" s="124">
        <f>'Rig Sheet '!CL2</f>
        <v>9</v>
      </c>
      <c r="CH2" s="124">
        <f>'Rig Sheet '!CM2</f>
        <v>4</v>
      </c>
      <c r="CI2" s="124">
        <f>'Rig Sheet '!CN2</f>
        <v>9</v>
      </c>
      <c r="CJ2" s="124">
        <f>'Rig Sheet '!CO2</f>
        <v>12</v>
      </c>
      <c r="CK2" s="124">
        <f>'Rig Sheet '!CP2</f>
        <v>10</v>
      </c>
      <c r="CL2" s="124">
        <f>'Rig Sheet '!CQ2</f>
        <v>12</v>
      </c>
      <c r="CM2" s="124">
        <f>'Rig Sheet '!CR2</f>
        <v>7</v>
      </c>
      <c r="CN2" s="124">
        <f>'Rig Sheet '!CS2</f>
        <v>7</v>
      </c>
      <c r="CO2" s="124">
        <f>'Rig Sheet '!CT2</f>
        <v>12</v>
      </c>
      <c r="CP2" s="124">
        <f>'Rig Sheet '!CU2</f>
        <v>9</v>
      </c>
      <c r="CQ2" s="124">
        <f>'Rig Sheet '!CV2</f>
        <v>12</v>
      </c>
      <c r="CR2" s="124">
        <f>'Rig Sheet '!CW2</f>
        <v>12</v>
      </c>
      <c r="CS2" s="124">
        <f>'Rig Sheet '!CX2</f>
        <v>13</v>
      </c>
      <c r="CT2" s="124">
        <f>'Rig Sheet '!CY2</f>
        <v>10</v>
      </c>
      <c r="CU2" s="124">
        <f>'Rig Sheet '!CZ2</f>
        <v>11</v>
      </c>
      <c r="CV2" s="124">
        <f>'Rig Sheet '!DA2</f>
        <v>13</v>
      </c>
      <c r="CW2" s="124">
        <f>'Rig Sheet '!DB2</f>
        <v>9</v>
      </c>
      <c r="CX2" s="124">
        <f>'Rig Sheet '!DC2</f>
        <v>8</v>
      </c>
      <c r="CY2" s="124">
        <f>'Rig Sheet '!DD2</f>
        <v>6</v>
      </c>
      <c r="CZ2" s="124">
        <f>'Rig Sheet '!DE2</f>
        <v>12</v>
      </c>
      <c r="DA2" s="124">
        <f>'Rig Sheet '!DF2</f>
        <v>10</v>
      </c>
      <c r="DB2" s="124">
        <f>'Rig Sheet '!DG2</f>
        <v>10</v>
      </c>
      <c r="DC2" s="124">
        <f>'Rig Sheet '!DH2</f>
        <v>10</v>
      </c>
      <c r="DD2" s="124">
        <f>'Rig Sheet '!DI2</f>
        <v>8</v>
      </c>
      <c r="DE2" s="124">
        <f>'Rig Sheet '!DJ2</f>
        <v>3</v>
      </c>
      <c r="DF2" s="124">
        <f>'Rig Sheet '!DK2</f>
        <v>12</v>
      </c>
      <c r="DG2" s="124">
        <f>'Rig Sheet '!DL2</f>
        <v>7</v>
      </c>
      <c r="DH2" s="124">
        <f>'Rig Sheet '!DM2</f>
        <v>7</v>
      </c>
      <c r="DI2" s="124">
        <f>'Rig Sheet '!DN2</f>
        <v>7</v>
      </c>
      <c r="DJ2" s="124">
        <f>'Rig Sheet '!DO2</f>
        <v>7</v>
      </c>
      <c r="DK2" s="124">
        <f>'Rig Sheet '!DP2</f>
        <v>10</v>
      </c>
      <c r="DL2" s="124">
        <f>'Rig Sheet '!DQ2</f>
        <v>9</v>
      </c>
      <c r="DM2" s="124">
        <f>'Rig Sheet '!DR2</f>
        <v>7</v>
      </c>
      <c r="DN2" s="124">
        <f>'Rig Sheet '!DS2</f>
        <v>6</v>
      </c>
      <c r="DO2" s="124">
        <f>'Rig Sheet '!DT2</f>
        <v>7</v>
      </c>
      <c r="DP2" s="124">
        <f>'Rig Sheet '!DU2</f>
        <v>7</v>
      </c>
      <c r="DQ2" s="124">
        <f>'Rig Sheet '!DV2</f>
        <v>8</v>
      </c>
      <c r="DR2" s="124">
        <f>'Rig Sheet '!DW2</f>
        <v>10</v>
      </c>
      <c r="DS2" s="124">
        <f>'Rig Sheet '!DX2</f>
        <v>6</v>
      </c>
      <c r="DT2" s="124">
        <f>'Rig Sheet '!DY2</f>
        <v>9</v>
      </c>
      <c r="DU2" s="124">
        <f>'Rig Sheet '!DZ2</f>
        <v>6</v>
      </c>
      <c r="DV2" s="124">
        <f>'Rig Sheet '!EA2</f>
        <v>8</v>
      </c>
      <c r="DW2" s="124">
        <f>'Rig Sheet '!EB2</f>
        <v>6</v>
      </c>
      <c r="DX2" s="124">
        <f>'Rig Sheet '!EC2</f>
        <v>5</v>
      </c>
      <c r="DY2" s="124">
        <f>'Rig Sheet '!ED2</f>
        <v>9</v>
      </c>
      <c r="DZ2" s="124">
        <f>'Rig Sheet '!EE2</f>
        <v>6</v>
      </c>
      <c r="EA2" s="124">
        <f>'Rig Sheet '!EF2</f>
        <v>9</v>
      </c>
      <c r="EB2" s="124">
        <f>'Rig Sheet '!EG2</f>
        <v>4</v>
      </c>
      <c r="EC2" s="124">
        <f>'Rig Sheet '!EH2</f>
        <v>8</v>
      </c>
      <c r="ED2" s="124">
        <f>'Rig Sheet '!EI2</f>
        <v>9</v>
      </c>
      <c r="EE2" s="124">
        <f>'Rig Sheet '!EJ2</f>
        <v>3</v>
      </c>
      <c r="EF2" s="124">
        <f>'Rig Sheet '!EK2</f>
        <v>7</v>
      </c>
      <c r="EG2" s="124">
        <f>'Rig Sheet '!EL2</f>
        <v>6</v>
      </c>
      <c r="EH2" s="124">
        <f>'Rig Sheet '!EM2</f>
        <v>7</v>
      </c>
      <c r="EI2" s="124">
        <f>'Rig Sheet '!EN2</f>
        <v>5</v>
      </c>
      <c r="EJ2" s="124">
        <f>'Rig Sheet '!EO2</f>
        <v>1</v>
      </c>
      <c r="EK2" s="124">
        <f>'Rig Sheet '!EP2</f>
        <v>6</v>
      </c>
      <c r="EL2" s="124">
        <f>'Rig Sheet '!EQ2</f>
        <v>5</v>
      </c>
      <c r="EM2" s="124">
        <f>'Rig Sheet '!ER2</f>
        <v>7</v>
      </c>
      <c r="EN2" s="124">
        <f>'Rig Sheet '!ES2</f>
        <v>8</v>
      </c>
      <c r="EO2" s="124">
        <f>'Rig Sheet '!ET2</f>
        <v>5</v>
      </c>
      <c r="EP2" s="124">
        <f>'Rig Sheet '!EU2</f>
        <v>9</v>
      </c>
      <c r="EQ2" s="124">
        <f>'Rig Sheet '!EV2</f>
        <v>10</v>
      </c>
      <c r="ER2" s="124">
        <f>'Rig Sheet '!EW2</f>
        <v>6</v>
      </c>
      <c r="ES2" s="124">
        <f>'Rig Sheet '!EX2</f>
        <v>9</v>
      </c>
      <c r="ET2" s="124">
        <f>'Rig Sheet '!EY2</f>
        <v>9</v>
      </c>
      <c r="EU2" s="124">
        <f>'Rig Sheet '!EZ2</f>
        <v>7</v>
      </c>
      <c r="EV2" s="124">
        <f>'Rig Sheet '!FA2</f>
        <v>7</v>
      </c>
      <c r="EW2" s="124">
        <f>'Rig Sheet '!FB2</f>
        <v>8</v>
      </c>
      <c r="EX2" s="124">
        <f>'Rig Sheet '!FC2</f>
        <v>8</v>
      </c>
      <c r="EY2" s="124">
        <f>'Rig Sheet '!FD2</f>
        <v>15</v>
      </c>
      <c r="EZ2" s="124">
        <f>'Rig Sheet '!FE2</f>
        <v>13</v>
      </c>
      <c r="FA2" s="124">
        <f>'Rig Sheet '!FF2</f>
        <v>13</v>
      </c>
      <c r="FB2" s="124">
        <f>'Rig Sheet '!FG2</f>
        <v>13</v>
      </c>
      <c r="FC2" s="124">
        <f>'Rig Sheet '!FH2</f>
        <v>11</v>
      </c>
      <c r="FD2" s="124">
        <f>'Rig Sheet '!FI2</f>
        <v>15</v>
      </c>
      <c r="FE2" s="124">
        <f>'Rig Sheet '!FJ2</f>
        <v>13</v>
      </c>
      <c r="FF2" s="124">
        <f>'Rig Sheet '!FK2</f>
        <v>15</v>
      </c>
      <c r="FG2" s="124">
        <f>'Rig Sheet '!FL2</f>
        <v>16</v>
      </c>
      <c r="FH2" s="124">
        <f>'Rig Sheet '!FM2</f>
        <v>13</v>
      </c>
      <c r="FI2" s="124">
        <f>'Rig Sheet '!FN2</f>
        <v>17</v>
      </c>
      <c r="FJ2" s="124">
        <f>'Rig Sheet '!FO2</f>
        <v>14</v>
      </c>
      <c r="FK2" s="124">
        <f>'Rig Sheet '!FP2</f>
        <v>15</v>
      </c>
      <c r="FL2" s="124">
        <f>'Rig Sheet '!FQ2</f>
        <v>15</v>
      </c>
      <c r="FM2" s="124">
        <f>'Rig Sheet '!FR2</f>
        <v>16</v>
      </c>
      <c r="FN2" s="124">
        <f>'Rig Sheet '!FS2</f>
        <v>12</v>
      </c>
      <c r="FO2" s="124">
        <f>'Rig Sheet '!FT2</f>
        <v>12</v>
      </c>
      <c r="FP2" s="124">
        <f>'Rig Sheet '!FU2</f>
        <v>19</v>
      </c>
      <c r="FQ2" s="124">
        <f>'Rig Sheet '!FV2</f>
        <v>12</v>
      </c>
      <c r="FR2" s="124">
        <f>'Rig Sheet '!FW2</f>
        <v>12</v>
      </c>
      <c r="FS2" s="124">
        <f>'Rig Sheet '!FX2</f>
        <v>16</v>
      </c>
      <c r="FT2" s="124">
        <f>'Rig Sheet '!FY2</f>
        <v>14</v>
      </c>
      <c r="FU2" s="124">
        <f>'Rig Sheet '!FZ2</f>
        <v>7</v>
      </c>
      <c r="FV2" s="124">
        <f>'Rig Sheet '!GA2</f>
        <v>11</v>
      </c>
      <c r="FW2" s="124">
        <f>'Rig Sheet '!GB2</f>
        <v>11</v>
      </c>
      <c r="FX2" s="124">
        <f>'Rig Sheet '!GC2</f>
        <v>12</v>
      </c>
      <c r="FY2" s="124">
        <f>'Rig Sheet '!GD2</f>
        <v>9</v>
      </c>
      <c r="FZ2" s="124">
        <f>'Rig Sheet '!GE2</f>
        <v>17</v>
      </c>
      <c r="GA2" s="124">
        <f>'Rig Sheet '!GF2</f>
        <v>14</v>
      </c>
      <c r="GB2" s="124">
        <f>'Rig Sheet '!GG2</f>
        <v>16</v>
      </c>
      <c r="GC2" s="124">
        <f>'Rig Sheet '!GH2</f>
        <v>8</v>
      </c>
      <c r="GD2" s="124">
        <f>'Rig Sheet '!GI2</f>
        <v>9</v>
      </c>
      <c r="GE2" s="124">
        <f>'Rig Sheet '!GJ2</f>
        <v>17</v>
      </c>
      <c r="GF2" s="124">
        <f>'Rig Sheet '!GK2</f>
        <v>15</v>
      </c>
      <c r="GG2" s="124">
        <f>'Rig Sheet '!GL2</f>
        <v>14</v>
      </c>
      <c r="GH2" s="124">
        <f>'Rig Sheet '!GM2</f>
        <v>14</v>
      </c>
      <c r="GI2" s="124">
        <f>'Rig Sheet '!GN2</f>
        <v>11</v>
      </c>
      <c r="GJ2" s="124">
        <f>'Rig Sheet '!GO2</f>
        <v>16</v>
      </c>
      <c r="GK2" s="124">
        <f>'Rig Sheet '!GP2</f>
        <v>14</v>
      </c>
      <c r="GL2" s="124">
        <f>'Rig Sheet '!GQ2</f>
        <v>16</v>
      </c>
      <c r="GM2" s="124">
        <f>'Rig Sheet '!GR2</f>
        <v>14</v>
      </c>
      <c r="GN2" s="124">
        <f>'Rig Sheet '!GS2</f>
        <v>17</v>
      </c>
      <c r="GO2" s="124">
        <f>'Rig Sheet '!GT2</f>
        <v>22</v>
      </c>
      <c r="GP2" s="124">
        <f>'Rig Sheet '!GU2</f>
        <v>15</v>
      </c>
      <c r="GQ2" s="124">
        <f>'Rig Sheet '!GV2</f>
        <v>15</v>
      </c>
      <c r="GR2" s="124">
        <f>'Rig Sheet '!GW2</f>
        <v>17</v>
      </c>
      <c r="GS2" s="124">
        <f>'Rig Sheet '!GX2</f>
        <v>18</v>
      </c>
      <c r="GT2" s="124">
        <f>'Rig Sheet '!GY2</f>
        <v>22</v>
      </c>
      <c r="GU2" s="124">
        <f>'Rig Sheet '!GZ2</f>
        <v>13</v>
      </c>
      <c r="GV2" s="124">
        <f>'Rig Sheet '!HA2</f>
        <v>15</v>
      </c>
      <c r="GW2" s="124">
        <f>'Rig Sheet '!HB2</f>
        <v>19</v>
      </c>
      <c r="GX2" s="124">
        <f>'Rig Sheet '!HC2</f>
        <v>19</v>
      </c>
      <c r="GY2" s="124">
        <f>'Rig Sheet '!HD2</f>
        <v>12</v>
      </c>
      <c r="GZ2" s="124">
        <f>'Rig Sheet '!HE2</f>
        <v>22</v>
      </c>
      <c r="HA2" s="124">
        <f>'Rig Sheet '!HF2</f>
        <v>21</v>
      </c>
      <c r="HB2" s="124">
        <f>'Rig Sheet '!HG2</f>
        <v>14</v>
      </c>
      <c r="HC2" s="124">
        <f>'Rig Sheet '!HH2</f>
        <v>19</v>
      </c>
      <c r="HD2" s="124">
        <f>'Rig Sheet '!HI2</f>
        <v>14</v>
      </c>
      <c r="HE2" s="124">
        <f>'Rig Sheet '!HJ2</f>
        <v>10</v>
      </c>
      <c r="HF2" s="124">
        <f>'Rig Sheet '!HK2</f>
        <v>21</v>
      </c>
      <c r="HG2" s="124">
        <f>'Rig Sheet '!HL2</f>
        <v>18</v>
      </c>
      <c r="HH2" s="124">
        <f>'Rig Sheet '!HM2</f>
        <v>19</v>
      </c>
      <c r="HI2" s="124">
        <f>'Rig Sheet '!HN2</f>
        <v>15</v>
      </c>
      <c r="HJ2" s="124">
        <f>'Rig Sheet '!HO2</f>
        <v>16</v>
      </c>
      <c r="HK2" s="124">
        <f>'Rig Sheet '!HP2</f>
        <v>14</v>
      </c>
      <c r="HL2" s="124">
        <f>'Rig Sheet '!HQ2</f>
        <v>18</v>
      </c>
      <c r="HM2" s="124">
        <f>'Rig Sheet '!HR2</f>
        <v>19</v>
      </c>
      <c r="HN2" s="124">
        <f>'Rig Sheet '!HS2</f>
        <v>12</v>
      </c>
      <c r="HO2" s="124">
        <f>'Rig Sheet '!HT2</f>
        <v>18</v>
      </c>
      <c r="HP2" s="124">
        <f>'Rig Sheet '!HU2</f>
        <v>20</v>
      </c>
      <c r="HQ2" s="124">
        <f>'Rig Sheet '!HV2</f>
        <v>21</v>
      </c>
      <c r="HR2" s="124">
        <f>'Rig Sheet '!HW2</f>
        <v>16</v>
      </c>
      <c r="HS2" s="124">
        <f>'Rig Sheet '!HX2</f>
        <v>15</v>
      </c>
      <c r="HT2" s="124">
        <f>'Rig Sheet '!HY2</f>
        <v>25</v>
      </c>
      <c r="HU2" s="124">
        <f>'Rig Sheet '!HZ2</f>
        <v>12</v>
      </c>
      <c r="HV2" s="124">
        <f>'Rig Sheet '!IA2</f>
        <v>24</v>
      </c>
      <c r="HW2" s="124">
        <f>'Rig Sheet '!IB2</f>
        <v>16</v>
      </c>
      <c r="HX2" s="124">
        <f>'Rig Sheet '!IC2</f>
        <v>25</v>
      </c>
      <c r="HY2" s="124">
        <f>'Rig Sheet '!ID2</f>
        <v>17</v>
      </c>
      <c r="HZ2" s="124">
        <f>'Rig Sheet '!IE2</f>
        <v>13</v>
      </c>
      <c r="IA2" s="124">
        <f>'Rig Sheet '!IF2</f>
        <v>18</v>
      </c>
      <c r="IB2" s="124">
        <f>'Rig Sheet '!IG2</f>
        <v>13</v>
      </c>
      <c r="IC2" s="124">
        <f>'Rig Sheet '!IH2</f>
        <v>13</v>
      </c>
      <c r="ID2" s="124">
        <f>'Rig Sheet '!II2</f>
        <v>19</v>
      </c>
      <c r="IE2" s="124">
        <f>'Rig Sheet '!IJ2</f>
        <v>19</v>
      </c>
      <c r="IF2" s="124">
        <f>'Rig Sheet '!IK2</f>
        <v>15</v>
      </c>
      <c r="IG2" s="124">
        <f>'Rig Sheet '!IL2</f>
        <v>19</v>
      </c>
      <c r="IH2" s="124">
        <f>'Rig Sheet '!IM2</f>
        <v>16</v>
      </c>
      <c r="II2" s="124">
        <f>'Rig Sheet '!IN2</f>
        <v>21</v>
      </c>
      <c r="IJ2" s="124">
        <f>'Rig Sheet '!IO2</f>
        <v>17</v>
      </c>
      <c r="IK2" s="124">
        <f>'Rig Sheet '!IP2</f>
        <v>19</v>
      </c>
      <c r="IL2" s="124">
        <f>'Rig Sheet '!IQ2</f>
        <v>25</v>
      </c>
      <c r="IM2" s="124">
        <f>'Rig Sheet '!IR2</f>
        <v>25</v>
      </c>
      <c r="IN2" s="124">
        <f>'Rig Sheet '!IS2</f>
        <v>24</v>
      </c>
      <c r="IO2" s="124">
        <f>'Rig Sheet '!IT2</f>
        <v>22</v>
      </c>
      <c r="IP2" s="124">
        <f>'Rig Sheet '!IU2</f>
        <v>26</v>
      </c>
      <c r="IQ2" s="124">
        <f>'Rig Sheet '!IV2</f>
        <v>24</v>
      </c>
      <c r="IR2" s="124">
        <f>'Rig Sheet '!IW2</f>
        <v>25</v>
      </c>
      <c r="IS2" s="124">
        <f>'Rig Sheet '!IX2</f>
        <v>22</v>
      </c>
      <c r="IT2" s="124">
        <f>'Rig Sheet '!IY2</f>
        <v>21</v>
      </c>
      <c r="IU2" s="124">
        <f>'Rig Sheet '!IZ2</f>
        <v>20</v>
      </c>
      <c r="IV2" s="124">
        <f>'Rig Sheet '!JA2</f>
        <v>21</v>
      </c>
      <c r="IW2" s="124">
        <f>'Rig Sheet '!JB2</f>
        <v>23</v>
      </c>
      <c r="IX2" s="124">
        <f>'Rig Sheet '!JC2</f>
        <v>25</v>
      </c>
      <c r="IY2" s="124">
        <f>'Rig Sheet '!JD2</f>
        <v>21</v>
      </c>
      <c r="IZ2" s="124">
        <f>'Rig Sheet '!JE2</f>
        <v>30</v>
      </c>
      <c r="JA2" s="124">
        <f>'Rig Sheet '!JF2</f>
        <v>21</v>
      </c>
      <c r="JB2" s="124">
        <f>'Rig Sheet '!JG2</f>
        <v>15</v>
      </c>
      <c r="JC2" s="124">
        <f>'Rig Sheet '!JH2</f>
        <v>23</v>
      </c>
      <c r="JD2" s="124">
        <f>'Rig Sheet '!JI2</f>
        <v>24</v>
      </c>
      <c r="JE2" s="124">
        <f>'Rig Sheet '!JJ2</f>
        <v>17</v>
      </c>
      <c r="JF2" s="124">
        <f>'Rig Sheet '!JK2</f>
        <v>24</v>
      </c>
      <c r="JG2" s="124">
        <f>'Rig Sheet '!JL2</f>
        <v>22</v>
      </c>
      <c r="JH2" s="124">
        <f>'Rig Sheet '!JM2</f>
        <v>22</v>
      </c>
      <c r="JI2" s="124">
        <f>'Rig Sheet '!JN2</f>
        <v>21</v>
      </c>
      <c r="JJ2" s="124">
        <f>'Rig Sheet '!JO2</f>
        <v>22</v>
      </c>
      <c r="JK2" s="124">
        <f>'Rig Sheet '!JP2</f>
        <v>22</v>
      </c>
      <c r="JL2" s="124">
        <f>'Rig Sheet '!JQ2</f>
        <v>20</v>
      </c>
      <c r="JM2" s="124">
        <f>'Rig Sheet '!JR2</f>
        <v>21</v>
      </c>
      <c r="JN2" s="124">
        <f>'Rig Sheet '!JS2</f>
        <v>18</v>
      </c>
      <c r="JO2" s="124">
        <f>'Rig Sheet '!JT2</f>
        <v>19</v>
      </c>
      <c r="JP2" s="124">
        <f>'Rig Sheet '!JU2</f>
        <v>25</v>
      </c>
      <c r="JQ2" s="124">
        <f>'Rig Sheet '!JV2</f>
        <v>10</v>
      </c>
      <c r="JR2" s="124">
        <f>'Rig Sheet '!JW2</f>
        <v>18</v>
      </c>
      <c r="JS2" s="124">
        <f>'Rig Sheet '!JX2</f>
        <v>19</v>
      </c>
      <c r="JT2" s="124">
        <f>'Rig Sheet '!JY2</f>
        <v>21</v>
      </c>
      <c r="JU2" s="124">
        <f>'Rig Sheet '!JZ2</f>
        <v>18</v>
      </c>
      <c r="JV2" s="124">
        <f>'Rig Sheet '!KA2</f>
        <v>19</v>
      </c>
      <c r="JW2" s="124">
        <f>'Rig Sheet '!KB2</f>
        <v>18</v>
      </c>
      <c r="JX2" s="124">
        <f>'Rig Sheet '!KC2</f>
        <v>21</v>
      </c>
      <c r="JY2" s="124">
        <f>'Rig Sheet '!KD2</f>
        <v>13</v>
      </c>
      <c r="JZ2" s="124">
        <f>'Rig Sheet '!KE2</f>
        <v>17</v>
      </c>
      <c r="KA2" s="124">
        <f>'Rig Sheet '!KF2</f>
        <v>19</v>
      </c>
      <c r="KB2" s="124">
        <f>'Rig Sheet '!KG2</f>
        <v>17</v>
      </c>
      <c r="KC2" s="124">
        <f>'Rig Sheet '!KH2</f>
        <v>15</v>
      </c>
      <c r="KD2" s="124">
        <f>'Rig Sheet '!KI2</f>
        <v>20</v>
      </c>
      <c r="KE2" s="124">
        <f>'Rig Sheet '!KJ2</f>
        <v>21</v>
      </c>
      <c r="KF2" s="124">
        <f>'Rig Sheet '!KK2</f>
        <v>21</v>
      </c>
      <c r="KG2" s="124">
        <f>'Rig Sheet '!KL2</f>
        <v>20</v>
      </c>
      <c r="KH2" s="124">
        <f>'Rig Sheet '!KM2</f>
        <v>17</v>
      </c>
      <c r="KI2" s="124">
        <f>'Rig Sheet '!KN2</f>
        <v>18</v>
      </c>
      <c r="KJ2" s="124">
        <f>'Rig Sheet '!KO2</f>
        <v>22</v>
      </c>
      <c r="KK2" s="124">
        <f>'Rig Sheet '!KP2</f>
        <v>12</v>
      </c>
      <c r="KL2" s="124">
        <f>'Rig Sheet '!KQ2</f>
        <v>16</v>
      </c>
      <c r="KM2" s="124">
        <f>'Rig Sheet '!KR2</f>
        <v>23</v>
      </c>
      <c r="KN2" s="124">
        <f>'Rig Sheet '!KS2</f>
        <v>16</v>
      </c>
      <c r="KO2" s="124">
        <f>'Rig Sheet '!KT2</f>
        <v>11</v>
      </c>
      <c r="KP2" s="124">
        <f>'Rig Sheet '!KU2</f>
        <v>19</v>
      </c>
      <c r="KQ2" s="124">
        <f>'Rig Sheet '!KV2</f>
        <v>16</v>
      </c>
      <c r="KR2" s="124">
        <f>'Rig Sheet '!KW2</f>
        <v>25</v>
      </c>
      <c r="KS2" s="124">
        <f>'Rig Sheet '!KX2</f>
        <v>16</v>
      </c>
      <c r="KT2" s="124">
        <f>'Rig Sheet '!KY2</f>
        <v>16</v>
      </c>
      <c r="KU2" s="124">
        <f>'Rig Sheet '!KZ2</f>
        <v>15</v>
      </c>
      <c r="KV2" s="124">
        <f>'Rig Sheet '!LA2</f>
        <v>15</v>
      </c>
      <c r="KW2" s="124">
        <f>'Rig Sheet '!LB2</f>
        <v>13</v>
      </c>
      <c r="KX2" s="124">
        <f>'Rig Sheet '!LC2</f>
        <v>11</v>
      </c>
      <c r="KY2" s="124">
        <f>'Rig Sheet '!LD2</f>
        <v>17</v>
      </c>
      <c r="KZ2" s="124">
        <f>'Rig Sheet '!LE2</f>
        <v>12</v>
      </c>
      <c r="LA2" s="124">
        <f>'Rig Sheet '!LF2</f>
        <v>13</v>
      </c>
      <c r="LB2" s="124">
        <f>'Rig Sheet '!LG2</f>
        <v>18</v>
      </c>
      <c r="LC2" s="124">
        <f>'Rig Sheet '!LH2</f>
        <v>15</v>
      </c>
      <c r="LD2" s="124">
        <f>'Rig Sheet '!LI2</f>
        <v>19</v>
      </c>
      <c r="LE2" s="124">
        <f>'Rig Sheet '!LJ2</f>
        <v>10</v>
      </c>
      <c r="LF2" s="124">
        <f>'Rig Sheet '!LK2</f>
        <v>13</v>
      </c>
      <c r="LG2" s="124">
        <f>'Rig Sheet '!LL2</f>
        <v>12</v>
      </c>
      <c r="LH2" s="124">
        <f>'Rig Sheet '!LM2</f>
        <v>12</v>
      </c>
      <c r="LI2" s="124">
        <f>'Rig Sheet '!LN2</f>
        <v>12</v>
      </c>
      <c r="LJ2" s="124">
        <f>'Rig Sheet '!LO2</f>
        <v>12</v>
      </c>
      <c r="LK2" s="124">
        <f>'Rig Sheet '!LP2</f>
        <v>21</v>
      </c>
      <c r="LL2" s="124">
        <f>'Rig Sheet '!LQ2</f>
        <v>15</v>
      </c>
      <c r="LM2" s="124">
        <f>'Rig Sheet '!LR2</f>
        <v>10</v>
      </c>
      <c r="LN2" s="124">
        <f>'Rig Sheet '!LS2</f>
        <v>13</v>
      </c>
      <c r="LO2" s="124">
        <f>'Rig Sheet '!LT2</f>
        <v>10</v>
      </c>
      <c r="LP2" s="124">
        <f>'Rig Sheet '!LU2</f>
        <v>12</v>
      </c>
      <c r="LQ2" s="124">
        <f>'Rig Sheet '!LV2</f>
        <v>13</v>
      </c>
      <c r="LR2" s="124">
        <f>'Rig Sheet '!LW2</f>
        <v>15</v>
      </c>
      <c r="LS2" s="124">
        <f>'Rig Sheet '!LX2</f>
        <v>18</v>
      </c>
      <c r="LT2" s="124">
        <f>'Rig Sheet '!LY2</f>
        <v>14</v>
      </c>
      <c r="LU2" s="124">
        <f>'Rig Sheet '!LZ2</f>
        <v>9</v>
      </c>
      <c r="LV2" s="124">
        <f>'Rig Sheet '!MA2</f>
        <v>15</v>
      </c>
      <c r="LW2" s="124">
        <f>'Rig Sheet '!MB2</f>
        <v>13</v>
      </c>
      <c r="LX2" s="124">
        <f>'Rig Sheet '!MC2</f>
        <v>0</v>
      </c>
      <c r="LY2" s="124">
        <f>'Rig Sheet '!MD2</f>
        <v>0</v>
      </c>
      <c r="LZ2" s="124">
        <f>'Rig Sheet '!ME2</f>
        <v>0</v>
      </c>
      <c r="MA2" s="124">
        <f>'Rig Sheet '!MF2</f>
        <v>0</v>
      </c>
      <c r="MB2" s="124">
        <f>'Rig Sheet '!MG2</f>
        <v>0</v>
      </c>
      <c r="MC2" s="124">
        <f>'Rig Sheet '!MH2</f>
        <v>0</v>
      </c>
      <c r="MD2" s="124">
        <f>'Rig Sheet '!MI2</f>
        <v>0</v>
      </c>
      <c r="ME2" s="124">
        <f>'Rig Sheet '!MJ2</f>
        <v>0</v>
      </c>
      <c r="MF2" s="124">
        <f>'Rig Sheet '!MK2</f>
        <v>0</v>
      </c>
      <c r="MG2" s="124">
        <f>'Rig Sheet '!ML2</f>
        <v>0</v>
      </c>
      <c r="MH2" s="124">
        <f>'Rig Sheet '!MM2</f>
        <v>0</v>
      </c>
      <c r="MI2" s="124">
        <f>'Rig Sheet '!MN2</f>
        <v>0</v>
      </c>
      <c r="MJ2" s="124">
        <f>'Rig Sheet '!MO2</f>
        <v>0</v>
      </c>
      <c r="MK2" s="124">
        <f>'Rig Sheet '!MP2</f>
        <v>0</v>
      </c>
      <c r="ML2" s="124">
        <f>'Rig Sheet '!MQ2</f>
        <v>0</v>
      </c>
      <c r="MM2" s="124">
        <f>'Rig Sheet '!MR2</f>
        <v>0</v>
      </c>
      <c r="MN2" s="124">
        <f>'Rig Sheet '!MS2</f>
        <v>0</v>
      </c>
      <c r="MO2" s="124">
        <f>'Rig Sheet '!MT2</f>
        <v>0</v>
      </c>
      <c r="MP2" s="124">
        <f>'Rig Sheet '!MU2</f>
        <v>0</v>
      </c>
      <c r="MQ2" s="124">
        <f>'Rig Sheet '!MV2</f>
        <v>0</v>
      </c>
      <c r="MR2" s="124">
        <f>'Rig Sheet '!MW2</f>
        <v>0</v>
      </c>
      <c r="MS2" s="124">
        <f>'Rig Sheet '!MX2</f>
        <v>0</v>
      </c>
      <c r="MT2" s="124">
        <f>'Rig Sheet '!MY2</f>
        <v>0</v>
      </c>
      <c r="MU2" s="124">
        <f>'Rig Sheet '!MZ2</f>
        <v>0</v>
      </c>
      <c r="MV2" s="124">
        <f>'Rig Sheet '!NA2</f>
        <v>0</v>
      </c>
      <c r="MW2" s="124">
        <f>'Rig Sheet '!NB2</f>
        <v>0</v>
      </c>
      <c r="MX2" s="124">
        <f>'Rig Sheet '!NC2</f>
        <v>0</v>
      </c>
      <c r="MY2" s="124">
        <f>'Rig Sheet '!ND2</f>
        <v>0</v>
      </c>
      <c r="MZ2" s="124">
        <f>'Rig Sheet '!NE2</f>
        <v>0</v>
      </c>
      <c r="NA2" s="124">
        <f>'Rig Sheet '!NF2</f>
        <v>0</v>
      </c>
      <c r="NB2" s="124">
        <f>'Rig Sheet '!NG2</f>
        <v>0</v>
      </c>
    </row>
    <row r="3" spans="1:366">
      <c r="A3" s="119" t="s">
        <v>5</v>
      </c>
      <c r="B3" s="124">
        <f>'Rig Sheet '!G3</f>
        <v>0</v>
      </c>
      <c r="C3" s="124">
        <f>'Rig Sheet '!H3</f>
        <v>0</v>
      </c>
      <c r="D3" s="124">
        <f>'Rig Sheet '!I3</f>
        <v>0</v>
      </c>
      <c r="E3" s="124">
        <f>'Rig Sheet '!J3</f>
        <v>0</v>
      </c>
      <c r="F3" s="124">
        <f>'Rig Sheet '!K3</f>
        <v>0</v>
      </c>
      <c r="G3" s="124">
        <f>'Rig Sheet '!L3</f>
        <v>0</v>
      </c>
      <c r="H3" s="124">
        <f>'Rig Sheet '!M3</f>
        <v>0</v>
      </c>
      <c r="I3" s="124">
        <f>'Rig Sheet '!N3</f>
        <v>1</v>
      </c>
      <c r="J3" s="124">
        <f>'Rig Sheet '!O3</f>
        <v>0</v>
      </c>
      <c r="K3" s="124">
        <f>'Rig Sheet '!P3</f>
        <v>1</v>
      </c>
      <c r="L3" s="124">
        <f>'Rig Sheet '!Q3</f>
        <v>0</v>
      </c>
      <c r="M3" s="124">
        <f>'Rig Sheet '!R3</f>
        <v>1</v>
      </c>
      <c r="N3" s="124">
        <f>'Rig Sheet '!S3</f>
        <v>1</v>
      </c>
      <c r="O3" s="124">
        <f>'Rig Sheet '!T3</f>
        <v>2</v>
      </c>
      <c r="P3" s="124">
        <f>'Rig Sheet '!U3</f>
        <v>1</v>
      </c>
      <c r="Q3" s="124">
        <f>'Rig Sheet '!V3</f>
        <v>1</v>
      </c>
      <c r="R3" s="124">
        <f>'Rig Sheet '!W3</f>
        <v>2</v>
      </c>
      <c r="S3" s="124">
        <f>'Rig Sheet '!X3</f>
        <v>0</v>
      </c>
      <c r="T3" s="124">
        <f>'Rig Sheet '!Y3</f>
        <v>2</v>
      </c>
      <c r="U3" s="124">
        <f>'Rig Sheet '!Z3</f>
        <v>1</v>
      </c>
      <c r="V3" s="124">
        <f>'Rig Sheet '!AA3</f>
        <v>2</v>
      </c>
      <c r="W3" s="124">
        <f>'Rig Sheet '!AB3</f>
        <v>0</v>
      </c>
      <c r="X3" s="124">
        <f>'Rig Sheet '!AC3</f>
        <v>0</v>
      </c>
      <c r="Y3" s="124">
        <f>'Rig Sheet '!AD3</f>
        <v>0</v>
      </c>
      <c r="Z3" s="124">
        <f>'Rig Sheet '!AE3</f>
        <v>0</v>
      </c>
      <c r="AA3" s="124">
        <f>'Rig Sheet '!AF3</f>
        <v>1</v>
      </c>
      <c r="AB3" s="124">
        <f>'Rig Sheet '!AG3</f>
        <v>0</v>
      </c>
      <c r="AC3" s="124">
        <f>'Rig Sheet '!AH3</f>
        <v>0</v>
      </c>
      <c r="AD3" s="124">
        <f>'Rig Sheet '!AI3</f>
        <v>1</v>
      </c>
      <c r="AE3" s="124">
        <f>'Rig Sheet '!AJ3</f>
        <v>1</v>
      </c>
      <c r="AF3" s="124">
        <f>'Rig Sheet '!AK3</f>
        <v>0</v>
      </c>
      <c r="AG3" s="124">
        <f>'Rig Sheet '!AL3</f>
        <v>0</v>
      </c>
      <c r="AH3" s="124">
        <f>'Rig Sheet '!AM3</f>
        <v>0</v>
      </c>
      <c r="AI3" s="124">
        <f>'Rig Sheet '!AN3</f>
        <v>0</v>
      </c>
      <c r="AJ3" s="124">
        <f>'Rig Sheet '!AO3</f>
        <v>0</v>
      </c>
      <c r="AK3" s="124">
        <f>'Rig Sheet '!AP3</f>
        <v>1</v>
      </c>
      <c r="AL3" s="124">
        <f>'Rig Sheet '!AQ3</f>
        <v>1</v>
      </c>
      <c r="AM3" s="124">
        <f>'Rig Sheet '!AR3</f>
        <v>1</v>
      </c>
      <c r="AN3" s="124">
        <f>'Rig Sheet '!AS3</f>
        <v>0</v>
      </c>
      <c r="AO3" s="124">
        <f>'Rig Sheet '!AT3</f>
        <v>0</v>
      </c>
      <c r="AP3" s="124">
        <f>'Rig Sheet '!AU3</f>
        <v>1</v>
      </c>
      <c r="AQ3" s="124">
        <f>'Rig Sheet '!AV3</f>
        <v>0</v>
      </c>
      <c r="AR3" s="124">
        <f>'Rig Sheet '!AW3</f>
        <v>0</v>
      </c>
      <c r="AS3" s="124">
        <f>'Rig Sheet '!AX3</f>
        <v>0</v>
      </c>
      <c r="AT3" s="124">
        <f>'Rig Sheet '!AY3</f>
        <v>0</v>
      </c>
      <c r="AU3" s="124">
        <f>'Rig Sheet '!AZ3</f>
        <v>0</v>
      </c>
      <c r="AV3" s="124">
        <f>'Rig Sheet '!BA3</f>
        <v>1</v>
      </c>
      <c r="AW3" s="124">
        <f>'Rig Sheet '!BB3</f>
        <v>0</v>
      </c>
      <c r="AX3" s="124">
        <f>'Rig Sheet '!BC3</f>
        <v>0</v>
      </c>
      <c r="AY3" s="124">
        <f>'Rig Sheet '!BD3</f>
        <v>2</v>
      </c>
      <c r="AZ3" s="124">
        <f>'Rig Sheet '!BE3</f>
        <v>0</v>
      </c>
      <c r="BA3" s="124">
        <f>'Rig Sheet '!BF3</f>
        <v>1</v>
      </c>
      <c r="BB3" s="124">
        <f>'Rig Sheet '!BG3</f>
        <v>1</v>
      </c>
      <c r="BC3" s="124">
        <f>'Rig Sheet '!BH3</f>
        <v>0</v>
      </c>
      <c r="BD3" s="124">
        <f>'Rig Sheet '!BI3</f>
        <v>0</v>
      </c>
      <c r="BE3" s="124">
        <f>'Rig Sheet '!BJ3</f>
        <v>0</v>
      </c>
      <c r="BF3" s="124">
        <f>'Rig Sheet '!BK3</f>
        <v>1</v>
      </c>
      <c r="BG3" s="124">
        <f>'Rig Sheet '!BL3</f>
        <v>2</v>
      </c>
      <c r="BH3" s="124">
        <f>'Rig Sheet '!BM3</f>
        <v>3</v>
      </c>
      <c r="BI3" s="124">
        <f>'Rig Sheet '!BN3</f>
        <v>1</v>
      </c>
      <c r="BJ3" s="124">
        <f>'Rig Sheet '!BO3</f>
        <v>2</v>
      </c>
      <c r="BK3" s="124">
        <f>'Rig Sheet '!BP3</f>
        <v>1</v>
      </c>
      <c r="BL3" s="124">
        <f>'Rig Sheet '!BQ3</f>
        <v>1</v>
      </c>
      <c r="BM3" s="124">
        <f>'Rig Sheet '!BR3</f>
        <v>1</v>
      </c>
      <c r="BN3" s="124">
        <f>'Rig Sheet '!BS3</f>
        <v>1</v>
      </c>
      <c r="BO3" s="124">
        <f>'Rig Sheet '!BT3</f>
        <v>1</v>
      </c>
      <c r="BP3" s="124">
        <f>'Rig Sheet '!BU3</f>
        <v>1</v>
      </c>
      <c r="BQ3" s="124">
        <f>'Rig Sheet '!BV3</f>
        <v>4</v>
      </c>
      <c r="BR3" s="124">
        <f>'Rig Sheet '!BW3</f>
        <v>5</v>
      </c>
      <c r="BS3" s="124">
        <f>'Rig Sheet '!BX3</f>
        <v>3</v>
      </c>
      <c r="BT3" s="124">
        <f>'Rig Sheet '!BY3</f>
        <v>3</v>
      </c>
      <c r="BU3" s="124">
        <f>'Rig Sheet '!BZ3</f>
        <v>1</v>
      </c>
      <c r="BV3" s="124">
        <f>'Rig Sheet '!CA3</f>
        <v>2</v>
      </c>
      <c r="BW3" s="124">
        <f>'Rig Sheet '!CB3</f>
        <v>3</v>
      </c>
      <c r="BX3" s="124">
        <f>'Rig Sheet '!CC3</f>
        <v>1</v>
      </c>
      <c r="BY3" s="124">
        <f>'Rig Sheet '!CD3</f>
        <v>2</v>
      </c>
      <c r="BZ3" s="124">
        <f>'Rig Sheet '!CE3</f>
        <v>2</v>
      </c>
      <c r="CA3" s="124">
        <f>'Rig Sheet '!CF3</f>
        <v>3</v>
      </c>
      <c r="CB3" s="124">
        <f>'Rig Sheet '!CG3</f>
        <v>2</v>
      </c>
      <c r="CC3" s="124">
        <f>'Rig Sheet '!CH3</f>
        <v>1</v>
      </c>
      <c r="CD3" s="124">
        <f>'Rig Sheet '!CI3</f>
        <v>1</v>
      </c>
      <c r="CE3" s="124">
        <f>'Rig Sheet '!CJ3</f>
        <v>1</v>
      </c>
      <c r="CF3" s="124">
        <f>'Rig Sheet '!CK3</f>
        <v>0</v>
      </c>
      <c r="CG3" s="124">
        <f>'Rig Sheet '!CL3</f>
        <v>0</v>
      </c>
      <c r="CH3" s="124">
        <f>'Rig Sheet '!CM3</f>
        <v>1</v>
      </c>
      <c r="CI3" s="124">
        <f>'Rig Sheet '!CN3</f>
        <v>1</v>
      </c>
      <c r="CJ3" s="124">
        <f>'Rig Sheet '!CO3</f>
        <v>0</v>
      </c>
      <c r="CK3" s="124">
        <f>'Rig Sheet '!CP3</f>
        <v>1</v>
      </c>
      <c r="CL3" s="124">
        <f>'Rig Sheet '!CQ3</f>
        <v>1</v>
      </c>
      <c r="CM3" s="124">
        <f>'Rig Sheet '!CR3</f>
        <v>1</v>
      </c>
      <c r="CN3" s="124">
        <f>'Rig Sheet '!CS3</f>
        <v>0</v>
      </c>
      <c r="CO3" s="124">
        <f>'Rig Sheet '!CT3</f>
        <v>0</v>
      </c>
      <c r="CP3" s="124">
        <f>'Rig Sheet '!CU3</f>
        <v>0</v>
      </c>
      <c r="CQ3" s="124">
        <f>'Rig Sheet '!CV3</f>
        <v>0</v>
      </c>
      <c r="CR3" s="124">
        <f>'Rig Sheet '!CW3</f>
        <v>0</v>
      </c>
      <c r="CS3" s="124">
        <f>'Rig Sheet '!CX3</f>
        <v>1</v>
      </c>
      <c r="CT3" s="124">
        <f>'Rig Sheet '!CY3</f>
        <v>1</v>
      </c>
      <c r="CU3" s="124">
        <f>'Rig Sheet '!CZ3</f>
        <v>1</v>
      </c>
      <c r="CV3" s="124">
        <f>'Rig Sheet '!DA3</f>
        <v>1</v>
      </c>
      <c r="CW3" s="124">
        <f>'Rig Sheet '!DB3</f>
        <v>0</v>
      </c>
      <c r="CX3" s="124">
        <f>'Rig Sheet '!DC3</f>
        <v>0</v>
      </c>
      <c r="CY3" s="124">
        <f>'Rig Sheet '!DD3</f>
        <v>0</v>
      </c>
      <c r="CZ3" s="124">
        <f>'Rig Sheet '!DE3</f>
        <v>0</v>
      </c>
      <c r="DA3" s="124">
        <f>'Rig Sheet '!DF3</f>
        <v>0</v>
      </c>
      <c r="DB3" s="124">
        <f>'Rig Sheet '!DG3</f>
        <v>0</v>
      </c>
      <c r="DC3" s="124">
        <f>'Rig Sheet '!DH3</f>
        <v>0</v>
      </c>
      <c r="DD3" s="124">
        <f>'Rig Sheet '!DI3</f>
        <v>0</v>
      </c>
      <c r="DE3" s="124">
        <f>'Rig Sheet '!DJ3</f>
        <v>0</v>
      </c>
      <c r="DF3" s="124">
        <f>'Rig Sheet '!DK3</f>
        <v>0</v>
      </c>
      <c r="DG3" s="124">
        <f>'Rig Sheet '!DL3</f>
        <v>0</v>
      </c>
      <c r="DH3" s="124">
        <f>'Rig Sheet '!DM3</f>
        <v>0</v>
      </c>
      <c r="DI3" s="124">
        <f>'Rig Sheet '!DN3</f>
        <v>0</v>
      </c>
      <c r="DJ3" s="124">
        <f>'Rig Sheet '!DO3</f>
        <v>1</v>
      </c>
      <c r="DK3" s="124">
        <f>'Rig Sheet '!DP3</f>
        <v>0</v>
      </c>
      <c r="DL3" s="124">
        <f>'Rig Sheet '!DQ3</f>
        <v>0</v>
      </c>
      <c r="DM3" s="124">
        <f>'Rig Sheet '!DR3</f>
        <v>0</v>
      </c>
      <c r="DN3" s="124">
        <f>'Rig Sheet '!DS3</f>
        <v>0</v>
      </c>
      <c r="DO3" s="124">
        <f>'Rig Sheet '!DT3</f>
        <v>0</v>
      </c>
      <c r="DP3" s="124">
        <f>'Rig Sheet '!DU3</f>
        <v>0</v>
      </c>
      <c r="DQ3" s="124">
        <f>'Rig Sheet '!DV3</f>
        <v>0</v>
      </c>
      <c r="DR3" s="124">
        <f>'Rig Sheet '!DW3</f>
        <v>1</v>
      </c>
      <c r="DS3" s="124">
        <f>'Rig Sheet '!DX3</f>
        <v>0</v>
      </c>
      <c r="DT3" s="124">
        <f>'Rig Sheet '!DY3</f>
        <v>0</v>
      </c>
      <c r="DU3" s="124">
        <f>'Rig Sheet '!DZ3</f>
        <v>1</v>
      </c>
      <c r="DV3" s="124">
        <f>'Rig Sheet '!EA3</f>
        <v>0</v>
      </c>
      <c r="DW3" s="124">
        <f>'Rig Sheet '!EB3</f>
        <v>1</v>
      </c>
      <c r="DX3" s="124">
        <f>'Rig Sheet '!EC3</f>
        <v>0</v>
      </c>
      <c r="DY3" s="124">
        <f>'Rig Sheet '!ED3</f>
        <v>0</v>
      </c>
      <c r="DZ3" s="124">
        <f>'Rig Sheet '!EE3</f>
        <v>0</v>
      </c>
      <c r="EA3" s="124">
        <f>'Rig Sheet '!EF3</f>
        <v>0</v>
      </c>
      <c r="EB3" s="124">
        <f>'Rig Sheet '!EG3</f>
        <v>0</v>
      </c>
      <c r="EC3" s="124">
        <f>'Rig Sheet '!EH3</f>
        <v>0</v>
      </c>
      <c r="ED3" s="124">
        <f>'Rig Sheet '!EI3</f>
        <v>0</v>
      </c>
      <c r="EE3" s="124">
        <f>'Rig Sheet '!EJ3</f>
        <v>0</v>
      </c>
      <c r="EF3" s="124">
        <f>'Rig Sheet '!EK3</f>
        <v>0</v>
      </c>
      <c r="EG3" s="124">
        <f>'Rig Sheet '!EL3</f>
        <v>0</v>
      </c>
      <c r="EH3" s="124">
        <f>'Rig Sheet '!EM3</f>
        <v>0</v>
      </c>
      <c r="EI3" s="124">
        <f>'Rig Sheet '!EN3</f>
        <v>0</v>
      </c>
      <c r="EJ3" s="124">
        <f>'Rig Sheet '!EO3</f>
        <v>0</v>
      </c>
      <c r="EK3" s="124">
        <f>'Rig Sheet '!EP3</f>
        <v>0</v>
      </c>
      <c r="EL3" s="124">
        <f>'Rig Sheet '!EQ3</f>
        <v>0</v>
      </c>
      <c r="EM3" s="124">
        <f>'Rig Sheet '!ER3</f>
        <v>0</v>
      </c>
      <c r="EN3" s="124">
        <f>'Rig Sheet '!ES3</f>
        <v>0</v>
      </c>
      <c r="EO3" s="124">
        <f>'Rig Sheet '!ET3</f>
        <v>0</v>
      </c>
      <c r="EP3" s="124">
        <f>'Rig Sheet '!EU3</f>
        <v>1</v>
      </c>
      <c r="EQ3" s="124">
        <f>'Rig Sheet '!EV3</f>
        <v>0</v>
      </c>
      <c r="ER3" s="124">
        <f>'Rig Sheet '!EW3</f>
        <v>1</v>
      </c>
      <c r="ES3" s="124">
        <f>'Rig Sheet '!EX3</f>
        <v>1</v>
      </c>
      <c r="ET3" s="124">
        <f>'Rig Sheet '!EY3</f>
        <v>0</v>
      </c>
      <c r="EU3" s="124">
        <f>'Rig Sheet '!EZ3</f>
        <v>0</v>
      </c>
      <c r="EV3" s="124">
        <f>'Rig Sheet '!FA3</f>
        <v>0</v>
      </c>
      <c r="EW3" s="124">
        <f>'Rig Sheet '!FB3</f>
        <v>2</v>
      </c>
      <c r="EX3" s="124">
        <f>'Rig Sheet '!FC3</f>
        <v>2</v>
      </c>
      <c r="EY3" s="124">
        <f>'Rig Sheet '!FD3</f>
        <v>1</v>
      </c>
      <c r="EZ3" s="124">
        <f>'Rig Sheet '!FE3</f>
        <v>2</v>
      </c>
      <c r="FA3" s="124">
        <f>'Rig Sheet '!FF3</f>
        <v>1</v>
      </c>
      <c r="FB3" s="124">
        <f>'Rig Sheet '!FG3</f>
        <v>1</v>
      </c>
      <c r="FC3" s="124">
        <f>'Rig Sheet '!FH3</f>
        <v>1</v>
      </c>
      <c r="FD3" s="124">
        <f>'Rig Sheet '!FI3</f>
        <v>1</v>
      </c>
      <c r="FE3" s="124">
        <f>'Rig Sheet '!FJ3</f>
        <v>1</v>
      </c>
      <c r="FF3" s="124">
        <f>'Rig Sheet '!FK3</f>
        <v>1</v>
      </c>
      <c r="FG3" s="124">
        <f>'Rig Sheet '!FL3</f>
        <v>1</v>
      </c>
      <c r="FH3" s="124">
        <f>'Rig Sheet '!FM3</f>
        <v>3</v>
      </c>
      <c r="FI3" s="124">
        <f>'Rig Sheet '!FN3</f>
        <v>3</v>
      </c>
      <c r="FJ3" s="124">
        <f>'Rig Sheet '!FO3</f>
        <v>3</v>
      </c>
      <c r="FK3" s="124">
        <f>'Rig Sheet '!FP3</f>
        <v>1</v>
      </c>
      <c r="FL3" s="124">
        <f>'Rig Sheet '!FQ3</f>
        <v>1</v>
      </c>
      <c r="FM3" s="124">
        <f>'Rig Sheet '!FR3</f>
        <v>1</v>
      </c>
      <c r="FN3" s="124">
        <f>'Rig Sheet '!FS3</f>
        <v>1</v>
      </c>
      <c r="FO3" s="124">
        <f>'Rig Sheet '!FT3</f>
        <v>1</v>
      </c>
      <c r="FP3" s="124">
        <f>'Rig Sheet '!FU3</f>
        <v>1</v>
      </c>
      <c r="FQ3" s="124">
        <f>'Rig Sheet '!FV3</f>
        <v>1</v>
      </c>
      <c r="FR3" s="124">
        <f>'Rig Sheet '!FW3</f>
        <v>2</v>
      </c>
      <c r="FS3" s="124">
        <f>'Rig Sheet '!FX3</f>
        <v>3</v>
      </c>
      <c r="FT3" s="124">
        <f>'Rig Sheet '!FY3</f>
        <v>3</v>
      </c>
      <c r="FU3" s="124">
        <f>'Rig Sheet '!FZ3</f>
        <v>3</v>
      </c>
      <c r="FV3" s="124">
        <f>'Rig Sheet '!GA3</f>
        <v>1</v>
      </c>
      <c r="FW3" s="124">
        <f>'Rig Sheet '!GB3</f>
        <v>1</v>
      </c>
      <c r="FX3" s="124">
        <f>'Rig Sheet '!GC3</f>
        <v>1</v>
      </c>
      <c r="FY3" s="124">
        <f>'Rig Sheet '!GD3</f>
        <v>1</v>
      </c>
      <c r="FZ3" s="124">
        <f>'Rig Sheet '!GE3</f>
        <v>3</v>
      </c>
      <c r="GA3" s="124">
        <f>'Rig Sheet '!GF3</f>
        <v>2</v>
      </c>
      <c r="GB3" s="124">
        <f>'Rig Sheet '!GG3</f>
        <v>0</v>
      </c>
      <c r="GC3" s="124">
        <f>'Rig Sheet '!GH3</f>
        <v>0</v>
      </c>
      <c r="GD3" s="124">
        <f>'Rig Sheet '!GI3</f>
        <v>0</v>
      </c>
      <c r="GE3" s="124">
        <f>'Rig Sheet '!GJ3</f>
        <v>2</v>
      </c>
      <c r="GF3" s="124">
        <f>'Rig Sheet '!GK3</f>
        <v>0</v>
      </c>
      <c r="GG3" s="124">
        <f>'Rig Sheet '!GL3</f>
        <v>1</v>
      </c>
      <c r="GH3" s="124">
        <f>'Rig Sheet '!GM3</f>
        <v>1</v>
      </c>
      <c r="GI3" s="124">
        <f>'Rig Sheet '!GN3</f>
        <v>0</v>
      </c>
      <c r="GJ3" s="124">
        <f>'Rig Sheet '!GO3</f>
        <v>0</v>
      </c>
      <c r="GK3" s="124">
        <f>'Rig Sheet '!GP3</f>
        <v>2</v>
      </c>
      <c r="GL3" s="124">
        <f>'Rig Sheet '!GQ3</f>
        <v>0</v>
      </c>
      <c r="GM3" s="124">
        <f>'Rig Sheet '!GR3</f>
        <v>0</v>
      </c>
      <c r="GN3" s="124">
        <f>'Rig Sheet '!GS3</f>
        <v>1</v>
      </c>
      <c r="GO3" s="124">
        <f>'Rig Sheet '!GT3</f>
        <v>1</v>
      </c>
      <c r="GP3" s="124">
        <f>'Rig Sheet '!GU3</f>
        <v>2</v>
      </c>
      <c r="GQ3" s="124">
        <f>'Rig Sheet '!GV3</f>
        <v>2</v>
      </c>
      <c r="GR3" s="124">
        <f>'Rig Sheet '!GW3</f>
        <v>0</v>
      </c>
      <c r="GS3" s="124">
        <f>'Rig Sheet '!GX3</f>
        <v>2</v>
      </c>
      <c r="GT3" s="124">
        <f>'Rig Sheet '!GY3</f>
        <v>1</v>
      </c>
      <c r="GU3" s="124">
        <f>'Rig Sheet '!GZ3</f>
        <v>1</v>
      </c>
      <c r="GV3" s="124">
        <f>'Rig Sheet '!HA3</f>
        <v>0</v>
      </c>
      <c r="GW3" s="124">
        <f>'Rig Sheet '!HB3</f>
        <v>0</v>
      </c>
      <c r="GX3" s="124">
        <f>'Rig Sheet '!HC3</f>
        <v>1</v>
      </c>
      <c r="GY3" s="124">
        <f>'Rig Sheet '!HD3</f>
        <v>1</v>
      </c>
      <c r="GZ3" s="124">
        <f>'Rig Sheet '!HE3</f>
        <v>1</v>
      </c>
      <c r="HA3" s="124">
        <f>'Rig Sheet '!HF3</f>
        <v>1</v>
      </c>
      <c r="HB3" s="124">
        <f>'Rig Sheet '!HG3</f>
        <v>1</v>
      </c>
      <c r="HC3" s="124">
        <f>'Rig Sheet '!HH3</f>
        <v>0</v>
      </c>
      <c r="HD3" s="124">
        <f>'Rig Sheet '!HI3</f>
        <v>0</v>
      </c>
      <c r="HE3" s="124">
        <f>'Rig Sheet '!HJ3</f>
        <v>1</v>
      </c>
      <c r="HF3" s="124">
        <f>'Rig Sheet '!HK3</f>
        <v>1</v>
      </c>
      <c r="HG3" s="124">
        <f>'Rig Sheet '!HL3</f>
        <v>0</v>
      </c>
      <c r="HH3" s="124">
        <f>'Rig Sheet '!HM3</f>
        <v>0</v>
      </c>
      <c r="HI3" s="124">
        <f>'Rig Sheet '!HN3</f>
        <v>0</v>
      </c>
      <c r="HJ3" s="124">
        <f>'Rig Sheet '!HO3</f>
        <v>0</v>
      </c>
      <c r="HK3" s="124">
        <f>'Rig Sheet '!HP3</f>
        <v>0</v>
      </c>
      <c r="HL3" s="124">
        <f>'Rig Sheet '!HQ3</f>
        <v>0</v>
      </c>
      <c r="HM3" s="124">
        <f>'Rig Sheet '!HR3</f>
        <v>0</v>
      </c>
      <c r="HN3" s="124">
        <f>'Rig Sheet '!HS3</f>
        <v>1</v>
      </c>
      <c r="HO3" s="124">
        <f>'Rig Sheet '!HT3</f>
        <v>0</v>
      </c>
      <c r="HP3" s="124">
        <f>'Rig Sheet '!HU3</f>
        <v>0</v>
      </c>
      <c r="HQ3" s="124">
        <f>'Rig Sheet '!HV3</f>
        <v>0</v>
      </c>
      <c r="HR3" s="124">
        <f>'Rig Sheet '!HW3</f>
        <v>0</v>
      </c>
      <c r="HS3" s="124">
        <f>'Rig Sheet '!HX3</f>
        <v>0</v>
      </c>
      <c r="HT3" s="124">
        <f>'Rig Sheet '!HY3</f>
        <v>0</v>
      </c>
      <c r="HU3" s="124">
        <f>'Rig Sheet '!HZ3</f>
        <v>0</v>
      </c>
      <c r="HV3" s="124">
        <f>'Rig Sheet '!IA3</f>
        <v>0</v>
      </c>
      <c r="HW3" s="124">
        <f>'Rig Sheet '!IB3</f>
        <v>1</v>
      </c>
      <c r="HX3" s="124">
        <f>'Rig Sheet '!IC3</f>
        <v>0</v>
      </c>
      <c r="HY3" s="124">
        <f>'Rig Sheet '!ID3</f>
        <v>0</v>
      </c>
      <c r="HZ3" s="124">
        <f>'Rig Sheet '!IE3</f>
        <v>0</v>
      </c>
      <c r="IA3" s="124">
        <f>'Rig Sheet '!IF3</f>
        <v>0</v>
      </c>
      <c r="IB3" s="124">
        <f>'Rig Sheet '!IG3</f>
        <v>1</v>
      </c>
      <c r="IC3" s="124">
        <f>'Rig Sheet '!IH3</f>
        <v>0</v>
      </c>
      <c r="ID3" s="124">
        <f>'Rig Sheet '!II3</f>
        <v>1</v>
      </c>
      <c r="IE3" s="124">
        <f>'Rig Sheet '!IJ3</f>
        <v>0</v>
      </c>
      <c r="IF3" s="124">
        <f>'Rig Sheet '!IK3</f>
        <v>1</v>
      </c>
      <c r="IG3" s="124">
        <f>'Rig Sheet '!IL3</f>
        <v>0</v>
      </c>
      <c r="IH3" s="124">
        <f>'Rig Sheet '!IM3</f>
        <v>1</v>
      </c>
      <c r="II3" s="124">
        <f>'Rig Sheet '!IN3</f>
        <v>0</v>
      </c>
      <c r="IJ3" s="124">
        <f>'Rig Sheet '!IO3</f>
        <v>0</v>
      </c>
      <c r="IK3" s="124">
        <f>'Rig Sheet '!IP3</f>
        <v>1</v>
      </c>
      <c r="IL3" s="124">
        <f>'Rig Sheet '!IQ3</f>
        <v>0</v>
      </c>
      <c r="IM3" s="124">
        <f>'Rig Sheet '!IR3</f>
        <v>0</v>
      </c>
      <c r="IN3" s="124">
        <f>'Rig Sheet '!IS3</f>
        <v>0</v>
      </c>
      <c r="IO3" s="124">
        <f>'Rig Sheet '!IT3</f>
        <v>0</v>
      </c>
      <c r="IP3" s="124">
        <f>'Rig Sheet '!IU3</f>
        <v>1</v>
      </c>
      <c r="IQ3" s="124">
        <f>'Rig Sheet '!IV3</f>
        <v>1</v>
      </c>
      <c r="IR3" s="124">
        <f>'Rig Sheet '!IW3</f>
        <v>1</v>
      </c>
      <c r="IS3" s="124">
        <f>'Rig Sheet '!IX3</f>
        <v>1</v>
      </c>
      <c r="IT3" s="124">
        <f>'Rig Sheet '!IY3</f>
        <v>1</v>
      </c>
      <c r="IU3" s="124">
        <f>'Rig Sheet '!IZ3</f>
        <v>1</v>
      </c>
      <c r="IV3" s="124">
        <f>'Rig Sheet '!JA3</f>
        <v>1</v>
      </c>
      <c r="IW3" s="124">
        <f>'Rig Sheet '!JB3</f>
        <v>1</v>
      </c>
      <c r="IX3" s="124">
        <f>'Rig Sheet '!JC3</f>
        <v>2</v>
      </c>
      <c r="IY3" s="124">
        <f>'Rig Sheet '!JD3</f>
        <v>1</v>
      </c>
      <c r="IZ3" s="124">
        <f>'Rig Sheet '!JE3</f>
        <v>1</v>
      </c>
      <c r="JA3" s="124">
        <f>'Rig Sheet '!JF3</f>
        <v>1</v>
      </c>
      <c r="JB3" s="124">
        <f>'Rig Sheet '!JG3</f>
        <v>1</v>
      </c>
      <c r="JC3" s="124">
        <f>'Rig Sheet '!JH3</f>
        <v>1</v>
      </c>
      <c r="JD3" s="124">
        <f>'Rig Sheet '!JI3</f>
        <v>0</v>
      </c>
      <c r="JE3" s="124">
        <f>'Rig Sheet '!JJ3</f>
        <v>0</v>
      </c>
      <c r="JF3" s="124">
        <f>'Rig Sheet '!JK3</f>
        <v>0</v>
      </c>
      <c r="JG3" s="124">
        <f>'Rig Sheet '!JL3</f>
        <v>0</v>
      </c>
      <c r="JH3" s="124">
        <f>'Rig Sheet '!JM3</f>
        <v>0</v>
      </c>
      <c r="JI3" s="124">
        <f>'Rig Sheet '!JN3</f>
        <v>0</v>
      </c>
      <c r="JJ3" s="124">
        <f>'Rig Sheet '!JO3</f>
        <v>0</v>
      </c>
      <c r="JK3" s="124">
        <f>'Rig Sheet '!JP3</f>
        <v>0</v>
      </c>
      <c r="JL3" s="124">
        <f>'Rig Sheet '!JQ3</f>
        <v>0</v>
      </c>
      <c r="JM3" s="124">
        <f>'Rig Sheet '!JR3</f>
        <v>0</v>
      </c>
      <c r="JN3" s="124">
        <f>'Rig Sheet '!JS3</f>
        <v>0</v>
      </c>
      <c r="JO3" s="124">
        <f>'Rig Sheet '!JT3</f>
        <v>0</v>
      </c>
      <c r="JP3" s="124">
        <f>'Rig Sheet '!JU3</f>
        <v>0</v>
      </c>
      <c r="JQ3" s="124">
        <f>'Rig Sheet '!JV3</f>
        <v>0</v>
      </c>
      <c r="JR3" s="124">
        <f>'Rig Sheet '!JW3</f>
        <v>0</v>
      </c>
      <c r="JS3" s="124">
        <f>'Rig Sheet '!JX3</f>
        <v>0</v>
      </c>
      <c r="JT3" s="124">
        <f>'Rig Sheet '!JY3</f>
        <v>0</v>
      </c>
      <c r="JU3" s="124">
        <f>'Rig Sheet '!JZ3</f>
        <v>0</v>
      </c>
      <c r="JV3" s="124">
        <f>'Rig Sheet '!KA3</f>
        <v>0</v>
      </c>
      <c r="JW3" s="124">
        <f>'Rig Sheet '!KB3</f>
        <v>0</v>
      </c>
      <c r="JX3" s="124">
        <f>'Rig Sheet '!KC3</f>
        <v>0</v>
      </c>
      <c r="JY3" s="124">
        <f>'Rig Sheet '!KD3</f>
        <v>0</v>
      </c>
      <c r="JZ3" s="124">
        <f>'Rig Sheet '!KE3</f>
        <v>0</v>
      </c>
      <c r="KA3" s="124">
        <f>'Rig Sheet '!KF3</f>
        <v>0</v>
      </c>
      <c r="KB3" s="124">
        <f>'Rig Sheet '!KG3</f>
        <v>0</v>
      </c>
      <c r="KC3" s="124">
        <f>'Rig Sheet '!KH3</f>
        <v>0</v>
      </c>
      <c r="KD3" s="124">
        <f>'Rig Sheet '!KI3</f>
        <v>0</v>
      </c>
      <c r="KE3" s="124">
        <f>'Rig Sheet '!KJ3</f>
        <v>0</v>
      </c>
      <c r="KF3" s="124">
        <f>'Rig Sheet '!KK3</f>
        <v>0</v>
      </c>
      <c r="KG3" s="124">
        <f>'Rig Sheet '!KL3</f>
        <v>0</v>
      </c>
      <c r="KH3" s="124">
        <f>'Rig Sheet '!KM3</f>
        <v>0</v>
      </c>
      <c r="KI3" s="124">
        <f>'Rig Sheet '!KN3</f>
        <v>0</v>
      </c>
      <c r="KJ3" s="124">
        <f>'Rig Sheet '!KO3</f>
        <v>0</v>
      </c>
      <c r="KK3" s="124">
        <f>'Rig Sheet '!KP3</f>
        <v>0</v>
      </c>
      <c r="KL3" s="124">
        <f>'Rig Sheet '!KQ3</f>
        <v>0</v>
      </c>
      <c r="KM3" s="124">
        <f>'Rig Sheet '!KR3</f>
        <v>0</v>
      </c>
      <c r="KN3" s="124">
        <f>'Rig Sheet '!KS3</f>
        <v>0</v>
      </c>
      <c r="KO3" s="124">
        <f>'Rig Sheet '!KT3</f>
        <v>0</v>
      </c>
      <c r="KP3" s="124">
        <f>'Rig Sheet '!KU3</f>
        <v>0</v>
      </c>
      <c r="KQ3" s="124">
        <f>'Rig Sheet '!KV3</f>
        <v>0</v>
      </c>
      <c r="KR3" s="124">
        <f>'Rig Sheet '!KW3</f>
        <v>0</v>
      </c>
      <c r="KS3" s="124">
        <f>'Rig Sheet '!KX3</f>
        <v>0</v>
      </c>
      <c r="KT3" s="124">
        <f>'Rig Sheet '!KY3</f>
        <v>0</v>
      </c>
      <c r="KU3" s="124">
        <f>'Rig Sheet '!KZ3</f>
        <v>0</v>
      </c>
      <c r="KV3" s="124">
        <f>'Rig Sheet '!LA3</f>
        <v>0</v>
      </c>
      <c r="KW3" s="124">
        <f>'Rig Sheet '!LB3</f>
        <v>0</v>
      </c>
      <c r="KX3" s="124">
        <f>'Rig Sheet '!LC3</f>
        <v>0</v>
      </c>
      <c r="KY3" s="124">
        <f>'Rig Sheet '!LD3</f>
        <v>0</v>
      </c>
      <c r="KZ3" s="124">
        <f>'Rig Sheet '!LE3</f>
        <v>0</v>
      </c>
      <c r="LA3" s="124">
        <f>'Rig Sheet '!LF3</f>
        <v>0</v>
      </c>
      <c r="LB3" s="124">
        <f>'Rig Sheet '!LG3</f>
        <v>0</v>
      </c>
      <c r="LC3" s="124">
        <f>'Rig Sheet '!LH3</f>
        <v>0</v>
      </c>
      <c r="LD3" s="124">
        <f>'Rig Sheet '!LI3</f>
        <v>0</v>
      </c>
      <c r="LE3" s="124">
        <f>'Rig Sheet '!LJ3</f>
        <v>0</v>
      </c>
      <c r="LF3" s="124">
        <f>'Rig Sheet '!LK3</f>
        <v>0</v>
      </c>
      <c r="LG3" s="124">
        <f>'Rig Sheet '!LL3</f>
        <v>0</v>
      </c>
      <c r="LH3" s="124">
        <f>'Rig Sheet '!LM3</f>
        <v>0</v>
      </c>
      <c r="LI3" s="124">
        <f>'Rig Sheet '!LN3</f>
        <v>0</v>
      </c>
      <c r="LJ3" s="124">
        <f>'Rig Sheet '!LO3</f>
        <v>0</v>
      </c>
      <c r="LK3" s="124">
        <f>'Rig Sheet '!LP3</f>
        <v>0</v>
      </c>
      <c r="LL3" s="124">
        <f>'Rig Sheet '!LQ3</f>
        <v>0</v>
      </c>
      <c r="LM3" s="124">
        <f>'Rig Sheet '!LR3</f>
        <v>0</v>
      </c>
      <c r="LN3" s="124">
        <f>'Rig Sheet '!LS3</f>
        <v>0</v>
      </c>
      <c r="LO3" s="124">
        <f>'Rig Sheet '!LT3</f>
        <v>0</v>
      </c>
      <c r="LP3" s="124">
        <f>'Rig Sheet '!LU3</f>
        <v>0</v>
      </c>
      <c r="LQ3" s="124">
        <f>'Rig Sheet '!LV3</f>
        <v>0</v>
      </c>
      <c r="LR3" s="124">
        <f>'Rig Sheet '!LW3</f>
        <v>0</v>
      </c>
      <c r="LS3" s="124">
        <f>'Rig Sheet '!LX3</f>
        <v>0</v>
      </c>
      <c r="LT3" s="124">
        <f>'Rig Sheet '!LY3</f>
        <v>0</v>
      </c>
      <c r="LU3" s="124">
        <f>'Rig Sheet '!LZ3</f>
        <v>0</v>
      </c>
      <c r="LV3" s="124">
        <f>'Rig Sheet '!MA3</f>
        <v>0</v>
      </c>
      <c r="LW3" s="124">
        <f>'Rig Sheet '!MB3</f>
        <v>0</v>
      </c>
      <c r="LX3" s="124">
        <f>'Rig Sheet '!MC3</f>
        <v>0</v>
      </c>
      <c r="LY3" s="124">
        <f>'Rig Sheet '!MD3</f>
        <v>0</v>
      </c>
      <c r="LZ3" s="124">
        <f>'Rig Sheet '!ME3</f>
        <v>0</v>
      </c>
      <c r="MA3" s="124">
        <f>'Rig Sheet '!MF3</f>
        <v>0</v>
      </c>
      <c r="MB3" s="124">
        <f>'Rig Sheet '!MG3</f>
        <v>0</v>
      </c>
      <c r="MC3" s="124">
        <f>'Rig Sheet '!MH3</f>
        <v>0</v>
      </c>
      <c r="MD3" s="124">
        <f>'Rig Sheet '!MI3</f>
        <v>0</v>
      </c>
      <c r="ME3" s="124">
        <f>'Rig Sheet '!MJ3</f>
        <v>0</v>
      </c>
      <c r="MF3" s="124">
        <f>'Rig Sheet '!MK3</f>
        <v>0</v>
      </c>
      <c r="MG3" s="124">
        <f>'Rig Sheet '!ML3</f>
        <v>0</v>
      </c>
      <c r="MH3" s="124">
        <f>'Rig Sheet '!MM3</f>
        <v>0</v>
      </c>
      <c r="MI3" s="124">
        <f>'Rig Sheet '!MN3</f>
        <v>0</v>
      </c>
      <c r="MJ3" s="124">
        <f>'Rig Sheet '!MO3</f>
        <v>0</v>
      </c>
      <c r="MK3" s="124">
        <f>'Rig Sheet '!MP3</f>
        <v>0</v>
      </c>
      <c r="ML3" s="124">
        <f>'Rig Sheet '!MQ3</f>
        <v>0</v>
      </c>
      <c r="MM3" s="124">
        <f>'Rig Sheet '!MR3</f>
        <v>0</v>
      </c>
      <c r="MN3" s="124">
        <f>'Rig Sheet '!MS3</f>
        <v>0</v>
      </c>
      <c r="MO3" s="124">
        <f>'Rig Sheet '!MT3</f>
        <v>0</v>
      </c>
      <c r="MP3" s="124">
        <f>'Rig Sheet '!MU3</f>
        <v>0</v>
      </c>
      <c r="MQ3" s="124">
        <f>'Rig Sheet '!MV3</f>
        <v>0</v>
      </c>
      <c r="MR3" s="124">
        <f>'Rig Sheet '!MW3</f>
        <v>0</v>
      </c>
      <c r="MS3" s="124">
        <f>'Rig Sheet '!MX3</f>
        <v>0</v>
      </c>
      <c r="MT3" s="124">
        <f>'Rig Sheet '!MY3</f>
        <v>0</v>
      </c>
      <c r="MU3" s="124">
        <f>'Rig Sheet '!MZ3</f>
        <v>0</v>
      </c>
      <c r="MV3" s="124">
        <f>'Rig Sheet '!NA3</f>
        <v>0</v>
      </c>
      <c r="MW3" s="124">
        <f>'Rig Sheet '!NB3</f>
        <v>0</v>
      </c>
      <c r="MX3" s="124">
        <f>'Rig Sheet '!NC3</f>
        <v>0</v>
      </c>
      <c r="MY3" s="124">
        <f>'Rig Sheet '!ND3</f>
        <v>0</v>
      </c>
      <c r="MZ3" s="124">
        <f>'Rig Sheet '!NE3</f>
        <v>0</v>
      </c>
      <c r="NA3" s="124">
        <f>'Rig Sheet '!NF3</f>
        <v>0</v>
      </c>
      <c r="NB3" s="124">
        <f>'Rig Sheet '!NG3</f>
        <v>0</v>
      </c>
    </row>
    <row r="4" spans="1:366">
      <c r="A4" s="119" t="s">
        <v>6</v>
      </c>
      <c r="B4" s="123">
        <f>'Rig Sheet '!G4</f>
        <v>3</v>
      </c>
      <c r="C4" s="123">
        <f>'Rig Sheet '!H4</f>
        <v>2</v>
      </c>
      <c r="D4" s="123">
        <f>'Rig Sheet '!I4</f>
        <v>2</v>
      </c>
      <c r="E4" s="123">
        <f>'Rig Sheet '!J4</f>
        <v>5</v>
      </c>
      <c r="F4" s="123">
        <f>'Rig Sheet '!K4</f>
        <v>3</v>
      </c>
      <c r="G4" s="123">
        <f>'Rig Sheet '!L4</f>
        <v>10</v>
      </c>
      <c r="H4" s="123">
        <f>'Rig Sheet '!M4</f>
        <v>7</v>
      </c>
      <c r="I4" s="123">
        <f>'Rig Sheet '!N4</f>
        <v>3</v>
      </c>
      <c r="J4" s="123">
        <f>'Rig Sheet '!O4</f>
        <v>8</v>
      </c>
      <c r="K4" s="123">
        <f>'Rig Sheet '!P4</f>
        <v>8</v>
      </c>
      <c r="L4" s="123">
        <f>'Rig Sheet '!Q4</f>
        <v>9</v>
      </c>
      <c r="M4" s="123">
        <f>'Rig Sheet '!R4</f>
        <v>3</v>
      </c>
      <c r="N4" s="123">
        <f>'Rig Sheet '!S4</f>
        <v>6</v>
      </c>
      <c r="O4" s="123">
        <f>'Rig Sheet '!T4</f>
        <v>6</v>
      </c>
      <c r="P4" s="123">
        <f>'Rig Sheet '!U4</f>
        <v>9</v>
      </c>
      <c r="Q4" s="123">
        <f>'Rig Sheet '!V4</f>
        <v>3</v>
      </c>
      <c r="R4" s="123">
        <f>'Rig Sheet '!W4</f>
        <v>10</v>
      </c>
      <c r="S4" s="123">
        <f>'Rig Sheet '!X4</f>
        <v>4</v>
      </c>
      <c r="T4" s="123">
        <f>'Rig Sheet '!Y4</f>
        <v>7</v>
      </c>
      <c r="U4" s="123">
        <f>'Rig Sheet '!Z4</f>
        <v>6</v>
      </c>
      <c r="V4" s="123">
        <f>'Rig Sheet '!AA4</f>
        <v>6</v>
      </c>
      <c r="W4" s="123">
        <f>'Rig Sheet '!AB4</f>
        <v>5</v>
      </c>
      <c r="X4" s="123">
        <f>'Rig Sheet '!AC4</f>
        <v>6</v>
      </c>
      <c r="Y4" s="123">
        <f>'Rig Sheet '!AD4</f>
        <v>8</v>
      </c>
      <c r="Z4" s="123">
        <f>'Rig Sheet '!AE4</f>
        <v>9</v>
      </c>
      <c r="AA4" s="123">
        <f>'Rig Sheet '!AF4</f>
        <v>4</v>
      </c>
      <c r="AB4" s="123">
        <f>'Rig Sheet '!AG4</f>
        <v>6</v>
      </c>
      <c r="AC4" s="123">
        <f>'Rig Sheet '!AH4</f>
        <v>3</v>
      </c>
      <c r="AD4" s="123">
        <f>'Rig Sheet '!AI4</f>
        <v>7</v>
      </c>
      <c r="AE4" s="123">
        <f>'Rig Sheet '!AJ4</f>
        <v>6</v>
      </c>
      <c r="AF4" s="123">
        <f>'Rig Sheet '!AK4</f>
        <v>6</v>
      </c>
      <c r="AG4" s="123">
        <f>'Rig Sheet '!AL4</f>
        <v>20</v>
      </c>
      <c r="AH4" s="123">
        <f>'Rig Sheet '!AM4</f>
        <v>20</v>
      </c>
      <c r="AI4" s="123">
        <f>'Rig Sheet '!AN4</f>
        <v>28</v>
      </c>
      <c r="AJ4" s="123">
        <f>'Rig Sheet '!AO4</f>
        <v>24</v>
      </c>
      <c r="AK4" s="123">
        <f>'Rig Sheet '!AP4</f>
        <v>22</v>
      </c>
      <c r="AL4" s="123">
        <f>'Rig Sheet '!AQ4</f>
        <v>27</v>
      </c>
      <c r="AM4" s="123">
        <f>'Rig Sheet '!AR4</f>
        <v>20</v>
      </c>
      <c r="AN4" s="123">
        <f>'Rig Sheet '!AS4</f>
        <v>26</v>
      </c>
      <c r="AO4" s="123">
        <f>'Rig Sheet '!AT4</f>
        <v>20</v>
      </c>
      <c r="AP4" s="123">
        <f>'Rig Sheet '!AU4</f>
        <v>22</v>
      </c>
      <c r="AQ4" s="123">
        <f>'Rig Sheet '!AV4</f>
        <v>26</v>
      </c>
      <c r="AR4" s="123">
        <f>'Rig Sheet '!AW4</f>
        <v>23</v>
      </c>
      <c r="AS4" s="123">
        <f>'Rig Sheet '!AX4</f>
        <v>25</v>
      </c>
      <c r="AT4" s="123">
        <f>'Rig Sheet '!AY4</f>
        <v>26</v>
      </c>
      <c r="AU4" s="123">
        <f>'Rig Sheet '!AZ4</f>
        <v>24</v>
      </c>
      <c r="AV4" s="123">
        <f>'Rig Sheet '!BA4</f>
        <v>27</v>
      </c>
      <c r="AW4" s="123">
        <f>'Rig Sheet '!BB4</f>
        <v>19</v>
      </c>
      <c r="AX4" s="123">
        <f>'Rig Sheet '!BC4</f>
        <v>23</v>
      </c>
      <c r="AY4" s="123">
        <f>'Rig Sheet '!BD4</f>
        <v>25</v>
      </c>
      <c r="AZ4" s="123">
        <f>'Rig Sheet '!BE4</f>
        <v>26</v>
      </c>
      <c r="BA4" s="123">
        <f>'Rig Sheet '!BF4</f>
        <v>14</v>
      </c>
      <c r="BB4" s="123">
        <f>'Rig Sheet '!BG4</f>
        <v>15</v>
      </c>
      <c r="BC4" s="123">
        <f>'Rig Sheet '!BH4</f>
        <v>17</v>
      </c>
      <c r="BD4" s="123">
        <f>'Rig Sheet '!BI4</f>
        <v>25</v>
      </c>
      <c r="BE4" s="123">
        <f>'Rig Sheet '!BJ4</f>
        <v>19</v>
      </c>
      <c r="BF4" s="123">
        <f>'Rig Sheet '!BK4</f>
        <v>20</v>
      </c>
      <c r="BG4" s="123">
        <f>'Rig Sheet '!BL4</f>
        <v>27</v>
      </c>
      <c r="BH4" s="123">
        <f>'Rig Sheet '!BM4</f>
        <v>29</v>
      </c>
      <c r="BI4" s="123">
        <f>'Rig Sheet '!BN4</f>
        <v>19</v>
      </c>
      <c r="BJ4" s="123">
        <f>'Rig Sheet '!BO4</f>
        <v>20</v>
      </c>
      <c r="BK4" s="123">
        <f>'Rig Sheet '!BP4</f>
        <v>23</v>
      </c>
      <c r="BL4" s="123">
        <f>'Rig Sheet '!BQ4</f>
        <v>17</v>
      </c>
      <c r="BM4" s="123">
        <f>'Rig Sheet '!BR4</f>
        <v>21</v>
      </c>
      <c r="BN4" s="123">
        <f>'Rig Sheet '!BS4</f>
        <v>19</v>
      </c>
      <c r="BO4" s="123">
        <f>'Rig Sheet '!BT4</f>
        <v>18</v>
      </c>
      <c r="BP4" s="123">
        <f>'Rig Sheet '!BU4</f>
        <v>20</v>
      </c>
      <c r="BQ4" s="123">
        <f>'Rig Sheet '!BV4</f>
        <v>25</v>
      </c>
      <c r="BR4" s="123">
        <f>'Rig Sheet '!BW4</f>
        <v>17</v>
      </c>
      <c r="BS4" s="123">
        <f>'Rig Sheet '!BX4</f>
        <v>17</v>
      </c>
      <c r="BT4" s="123">
        <f>'Rig Sheet '!BY4</f>
        <v>20</v>
      </c>
      <c r="BU4" s="123">
        <f>'Rig Sheet '!BZ4</f>
        <v>17</v>
      </c>
      <c r="BV4" s="123">
        <f>'Rig Sheet '!CA4</f>
        <v>14</v>
      </c>
      <c r="BW4" s="123">
        <f>'Rig Sheet '!CB4</f>
        <v>13</v>
      </c>
      <c r="BX4" s="123">
        <f>'Rig Sheet '!CC4</f>
        <v>13</v>
      </c>
      <c r="BY4" s="123">
        <f>'Rig Sheet '!CD4</f>
        <v>9</v>
      </c>
      <c r="BZ4" s="123">
        <f>'Rig Sheet '!CE4</f>
        <v>9</v>
      </c>
      <c r="CA4" s="123">
        <f>'Rig Sheet '!CF4</f>
        <v>11</v>
      </c>
      <c r="CB4" s="123">
        <f>'Rig Sheet '!CG4</f>
        <v>12</v>
      </c>
      <c r="CC4" s="123">
        <f>'Rig Sheet '!CH4</f>
        <v>18</v>
      </c>
      <c r="CD4" s="123">
        <f>'Rig Sheet '!CI4</f>
        <v>8</v>
      </c>
      <c r="CE4" s="123">
        <f>'Rig Sheet '!CJ4</f>
        <v>9</v>
      </c>
      <c r="CF4" s="123">
        <f>'Rig Sheet '!CK4</f>
        <v>10</v>
      </c>
      <c r="CG4" s="123">
        <f>'Rig Sheet '!CL4</f>
        <v>9</v>
      </c>
      <c r="CH4" s="123">
        <f>'Rig Sheet '!CM4</f>
        <v>5</v>
      </c>
      <c r="CI4" s="123">
        <f>'Rig Sheet '!CN4</f>
        <v>10</v>
      </c>
      <c r="CJ4" s="123">
        <f>'Rig Sheet '!CO4</f>
        <v>12</v>
      </c>
      <c r="CK4" s="123">
        <f>'Rig Sheet '!CP4</f>
        <v>11</v>
      </c>
      <c r="CL4" s="123">
        <f>'Rig Sheet '!CQ4</f>
        <v>13</v>
      </c>
      <c r="CM4" s="123">
        <f>'Rig Sheet '!CR4</f>
        <v>8</v>
      </c>
      <c r="CN4" s="123">
        <f>'Rig Sheet '!CS4</f>
        <v>7</v>
      </c>
      <c r="CO4" s="123">
        <f>'Rig Sheet '!CT4</f>
        <v>12</v>
      </c>
      <c r="CP4" s="123">
        <f>'Rig Sheet '!CU4</f>
        <v>9</v>
      </c>
      <c r="CQ4" s="123">
        <f>'Rig Sheet '!CV4</f>
        <v>12</v>
      </c>
      <c r="CR4" s="123">
        <f>'Rig Sheet '!CW4</f>
        <v>12</v>
      </c>
      <c r="CS4" s="123">
        <f>'Rig Sheet '!CX4</f>
        <v>14</v>
      </c>
      <c r="CT4" s="123">
        <f>'Rig Sheet '!CY4</f>
        <v>11</v>
      </c>
      <c r="CU4" s="123">
        <f>'Rig Sheet '!CZ4</f>
        <v>12</v>
      </c>
      <c r="CV4" s="123">
        <f>'Rig Sheet '!DA4</f>
        <v>14</v>
      </c>
      <c r="CW4" s="123">
        <f>'Rig Sheet '!DB4</f>
        <v>9</v>
      </c>
      <c r="CX4" s="123">
        <f>'Rig Sheet '!DC4</f>
        <v>8</v>
      </c>
      <c r="CY4" s="123">
        <f>'Rig Sheet '!DD4</f>
        <v>6</v>
      </c>
      <c r="CZ4" s="123">
        <f>'Rig Sheet '!DE4</f>
        <v>12</v>
      </c>
      <c r="DA4" s="123">
        <f>'Rig Sheet '!DF4</f>
        <v>10</v>
      </c>
      <c r="DB4" s="123">
        <f>'Rig Sheet '!DG4</f>
        <v>10</v>
      </c>
      <c r="DC4" s="123">
        <f>'Rig Sheet '!DH4</f>
        <v>10</v>
      </c>
      <c r="DD4" s="123">
        <f>'Rig Sheet '!DI4</f>
        <v>8</v>
      </c>
      <c r="DE4" s="123">
        <f>'Rig Sheet '!DJ4</f>
        <v>3</v>
      </c>
      <c r="DF4" s="123">
        <f>'Rig Sheet '!DK4</f>
        <v>12</v>
      </c>
      <c r="DG4" s="123">
        <f>'Rig Sheet '!DL4</f>
        <v>7</v>
      </c>
      <c r="DH4" s="123">
        <f>'Rig Sheet '!DM4</f>
        <v>7</v>
      </c>
      <c r="DI4" s="123">
        <f>'Rig Sheet '!DN4</f>
        <v>7</v>
      </c>
      <c r="DJ4" s="123">
        <f>'Rig Sheet '!DO4</f>
        <v>8</v>
      </c>
      <c r="DK4" s="123">
        <f>'Rig Sheet '!DP4</f>
        <v>10</v>
      </c>
      <c r="DL4" s="123">
        <f>'Rig Sheet '!DQ4</f>
        <v>9</v>
      </c>
      <c r="DM4" s="123">
        <f>'Rig Sheet '!DR4</f>
        <v>7</v>
      </c>
      <c r="DN4" s="123">
        <f>'Rig Sheet '!DS4</f>
        <v>6</v>
      </c>
      <c r="DO4" s="123">
        <f>'Rig Sheet '!DT4</f>
        <v>7</v>
      </c>
      <c r="DP4" s="123">
        <f>'Rig Sheet '!DU4</f>
        <v>7</v>
      </c>
      <c r="DQ4" s="123">
        <f>'Rig Sheet '!DV4</f>
        <v>8</v>
      </c>
      <c r="DR4" s="123">
        <f>'Rig Sheet '!DW4</f>
        <v>11</v>
      </c>
      <c r="DS4" s="123">
        <f>'Rig Sheet '!DX4</f>
        <v>6</v>
      </c>
      <c r="DT4" s="123">
        <f>'Rig Sheet '!DY4</f>
        <v>9</v>
      </c>
      <c r="DU4" s="123">
        <f>'Rig Sheet '!DZ4</f>
        <v>7</v>
      </c>
      <c r="DV4" s="123">
        <f>'Rig Sheet '!EA4</f>
        <v>8</v>
      </c>
      <c r="DW4" s="123">
        <f>'Rig Sheet '!EB4</f>
        <v>7</v>
      </c>
      <c r="DX4" s="123">
        <f>'Rig Sheet '!EC4</f>
        <v>5</v>
      </c>
      <c r="DY4" s="123">
        <f>'Rig Sheet '!ED4</f>
        <v>9</v>
      </c>
      <c r="DZ4" s="123">
        <f>'Rig Sheet '!EE4</f>
        <v>6</v>
      </c>
      <c r="EA4" s="123">
        <f>'Rig Sheet '!EF4</f>
        <v>9</v>
      </c>
      <c r="EB4" s="123">
        <f>'Rig Sheet '!EG4</f>
        <v>4</v>
      </c>
      <c r="EC4" s="123">
        <f>'Rig Sheet '!EH4</f>
        <v>8</v>
      </c>
      <c r="ED4" s="123">
        <f>'Rig Sheet '!EI4</f>
        <v>9</v>
      </c>
      <c r="EE4" s="123">
        <f>'Rig Sheet '!EJ4</f>
        <v>3</v>
      </c>
      <c r="EF4" s="123">
        <f>'Rig Sheet '!EK4</f>
        <v>7</v>
      </c>
      <c r="EG4" s="123">
        <f>'Rig Sheet '!EL4</f>
        <v>6</v>
      </c>
      <c r="EH4" s="123">
        <f>'Rig Sheet '!EM4</f>
        <v>7</v>
      </c>
      <c r="EI4" s="123">
        <f>'Rig Sheet '!EN4</f>
        <v>5</v>
      </c>
      <c r="EJ4" s="123">
        <f>'Rig Sheet '!EO4</f>
        <v>1</v>
      </c>
      <c r="EK4" s="123">
        <f>'Rig Sheet '!EP4</f>
        <v>6</v>
      </c>
      <c r="EL4" s="123">
        <f>'Rig Sheet '!EQ4</f>
        <v>5</v>
      </c>
      <c r="EM4" s="123">
        <f>'Rig Sheet '!ER4</f>
        <v>7</v>
      </c>
      <c r="EN4" s="123">
        <f>'Rig Sheet '!ES4</f>
        <v>8</v>
      </c>
      <c r="EO4" s="123">
        <f>'Rig Sheet '!ET4</f>
        <v>5</v>
      </c>
      <c r="EP4" s="123">
        <f>'Rig Sheet '!EU4</f>
        <v>10</v>
      </c>
      <c r="EQ4" s="123">
        <f>'Rig Sheet '!EV4</f>
        <v>10</v>
      </c>
      <c r="ER4" s="123">
        <f>'Rig Sheet '!EW4</f>
        <v>7</v>
      </c>
      <c r="ES4" s="123">
        <f>'Rig Sheet '!EX4</f>
        <v>10</v>
      </c>
      <c r="ET4" s="123">
        <f>'Rig Sheet '!EY4</f>
        <v>9</v>
      </c>
      <c r="EU4" s="123">
        <f>'Rig Sheet '!EZ4</f>
        <v>7</v>
      </c>
      <c r="EV4" s="123">
        <f>'Rig Sheet '!FA4</f>
        <v>7</v>
      </c>
      <c r="EW4" s="123">
        <f>'Rig Sheet '!FB4</f>
        <v>10</v>
      </c>
      <c r="EX4" s="123">
        <f>'Rig Sheet '!FC4</f>
        <v>10</v>
      </c>
      <c r="EY4" s="123">
        <f>'Rig Sheet '!FD4</f>
        <v>16</v>
      </c>
      <c r="EZ4" s="123">
        <f>'Rig Sheet '!FE4</f>
        <v>15</v>
      </c>
      <c r="FA4" s="123">
        <f>'Rig Sheet '!FF4</f>
        <v>14</v>
      </c>
      <c r="FB4" s="123">
        <f>'Rig Sheet '!FG4</f>
        <v>14</v>
      </c>
      <c r="FC4" s="123">
        <f>'Rig Sheet '!FH4</f>
        <v>12</v>
      </c>
      <c r="FD4" s="123">
        <f>'Rig Sheet '!FI4</f>
        <v>16</v>
      </c>
      <c r="FE4" s="123">
        <f>'Rig Sheet '!FJ4</f>
        <v>14</v>
      </c>
      <c r="FF4" s="123">
        <f>'Rig Sheet '!FK4</f>
        <v>16</v>
      </c>
      <c r="FG4" s="123">
        <f>'Rig Sheet '!FL4</f>
        <v>17</v>
      </c>
      <c r="FH4" s="123">
        <f>'Rig Sheet '!FM4</f>
        <v>16</v>
      </c>
      <c r="FI4" s="123">
        <f>'Rig Sheet '!FN4</f>
        <v>20</v>
      </c>
      <c r="FJ4" s="123">
        <f>'Rig Sheet '!FO4</f>
        <v>17</v>
      </c>
      <c r="FK4" s="123">
        <f>'Rig Sheet '!FP4</f>
        <v>16</v>
      </c>
      <c r="FL4" s="123">
        <f>'Rig Sheet '!FQ4</f>
        <v>16</v>
      </c>
      <c r="FM4" s="123">
        <f>'Rig Sheet '!FR4</f>
        <v>17</v>
      </c>
      <c r="FN4" s="123">
        <f>'Rig Sheet '!FS4</f>
        <v>13</v>
      </c>
      <c r="FO4" s="123">
        <f>'Rig Sheet '!FT4</f>
        <v>13</v>
      </c>
      <c r="FP4" s="123">
        <f>'Rig Sheet '!FU4</f>
        <v>20</v>
      </c>
      <c r="FQ4" s="123">
        <f>'Rig Sheet '!FV4</f>
        <v>13</v>
      </c>
      <c r="FR4" s="123">
        <f>'Rig Sheet '!FW4</f>
        <v>14</v>
      </c>
      <c r="FS4" s="123">
        <f>'Rig Sheet '!FX4</f>
        <v>19</v>
      </c>
      <c r="FT4" s="123">
        <f>'Rig Sheet '!FY4</f>
        <v>17</v>
      </c>
      <c r="FU4" s="123">
        <f>'Rig Sheet '!FZ4</f>
        <v>10</v>
      </c>
      <c r="FV4" s="123">
        <f>'Rig Sheet '!GA4</f>
        <v>12</v>
      </c>
      <c r="FW4" s="123">
        <f>'Rig Sheet '!GB4</f>
        <v>12</v>
      </c>
      <c r="FX4" s="123">
        <f>'Rig Sheet '!GC4</f>
        <v>13</v>
      </c>
      <c r="FY4" s="123">
        <f>'Rig Sheet '!GD4</f>
        <v>10</v>
      </c>
      <c r="FZ4" s="123">
        <f>'Rig Sheet '!GE4</f>
        <v>20</v>
      </c>
      <c r="GA4" s="123">
        <f>'Rig Sheet '!GF4</f>
        <v>16</v>
      </c>
      <c r="GB4" s="123">
        <f>'Rig Sheet '!GG4</f>
        <v>16</v>
      </c>
      <c r="GC4" s="123">
        <f>'Rig Sheet '!GH4</f>
        <v>8</v>
      </c>
      <c r="GD4" s="123">
        <f>'Rig Sheet '!GI4</f>
        <v>9</v>
      </c>
      <c r="GE4" s="123">
        <f>'Rig Sheet '!GJ4</f>
        <v>19</v>
      </c>
      <c r="GF4" s="123">
        <f>'Rig Sheet '!GK4</f>
        <v>15</v>
      </c>
      <c r="GG4" s="123">
        <f>'Rig Sheet '!GL4</f>
        <v>15</v>
      </c>
      <c r="GH4" s="123">
        <f>'Rig Sheet '!GM4</f>
        <v>15</v>
      </c>
      <c r="GI4" s="123">
        <f>'Rig Sheet '!GN4</f>
        <v>11</v>
      </c>
      <c r="GJ4" s="123">
        <f>'Rig Sheet '!GO4</f>
        <v>16</v>
      </c>
      <c r="GK4" s="123">
        <f>'Rig Sheet '!GP4</f>
        <v>16</v>
      </c>
      <c r="GL4" s="123">
        <f>'Rig Sheet '!GQ4</f>
        <v>16</v>
      </c>
      <c r="GM4" s="123">
        <f>'Rig Sheet '!GR4</f>
        <v>14</v>
      </c>
      <c r="GN4" s="123">
        <f>'Rig Sheet '!GS4</f>
        <v>18</v>
      </c>
      <c r="GO4" s="123">
        <f>'Rig Sheet '!GT4</f>
        <v>23</v>
      </c>
      <c r="GP4" s="123">
        <f>'Rig Sheet '!GU4</f>
        <v>17</v>
      </c>
      <c r="GQ4" s="123">
        <f>'Rig Sheet '!GV4</f>
        <v>17</v>
      </c>
      <c r="GR4" s="123">
        <f>'Rig Sheet '!GW4</f>
        <v>17</v>
      </c>
      <c r="GS4" s="123">
        <f>'Rig Sheet '!GX4</f>
        <v>20</v>
      </c>
      <c r="GT4" s="123">
        <f>'Rig Sheet '!GY4</f>
        <v>23</v>
      </c>
      <c r="GU4" s="123">
        <f>'Rig Sheet '!GZ4</f>
        <v>14</v>
      </c>
      <c r="GV4" s="123">
        <f>'Rig Sheet '!HA4</f>
        <v>15</v>
      </c>
      <c r="GW4" s="123">
        <f>'Rig Sheet '!HB4</f>
        <v>19</v>
      </c>
      <c r="GX4" s="123">
        <f>'Rig Sheet '!HC4</f>
        <v>20</v>
      </c>
      <c r="GY4" s="123">
        <f>'Rig Sheet '!HD4</f>
        <v>13</v>
      </c>
      <c r="GZ4" s="123">
        <f>'Rig Sheet '!HE4</f>
        <v>23</v>
      </c>
      <c r="HA4" s="123">
        <f>'Rig Sheet '!HF4</f>
        <v>22</v>
      </c>
      <c r="HB4" s="123">
        <f>'Rig Sheet '!HG4</f>
        <v>15</v>
      </c>
      <c r="HC4" s="123">
        <f>'Rig Sheet '!HH4</f>
        <v>19</v>
      </c>
      <c r="HD4" s="123">
        <f>'Rig Sheet '!HI4</f>
        <v>14</v>
      </c>
      <c r="HE4" s="123">
        <f>'Rig Sheet '!HJ4</f>
        <v>11</v>
      </c>
      <c r="HF4" s="123">
        <f>'Rig Sheet '!HK4</f>
        <v>22</v>
      </c>
      <c r="HG4" s="123">
        <f>'Rig Sheet '!HL4</f>
        <v>18</v>
      </c>
      <c r="HH4" s="123">
        <f>'Rig Sheet '!HM4</f>
        <v>19</v>
      </c>
      <c r="HI4" s="123">
        <f>'Rig Sheet '!HN4</f>
        <v>15</v>
      </c>
      <c r="HJ4" s="123">
        <f>'Rig Sheet '!HO4</f>
        <v>16</v>
      </c>
      <c r="HK4" s="123">
        <f>'Rig Sheet '!HP4</f>
        <v>14</v>
      </c>
      <c r="HL4" s="123">
        <f>'Rig Sheet '!HQ4</f>
        <v>18</v>
      </c>
      <c r="HM4" s="123">
        <f>'Rig Sheet '!HR4</f>
        <v>19</v>
      </c>
      <c r="HN4" s="123">
        <f>'Rig Sheet '!HS4</f>
        <v>13</v>
      </c>
      <c r="HO4" s="123">
        <f>'Rig Sheet '!HT4</f>
        <v>18</v>
      </c>
      <c r="HP4" s="123">
        <f>'Rig Sheet '!HU4</f>
        <v>20</v>
      </c>
      <c r="HQ4" s="123">
        <f>'Rig Sheet '!HV4</f>
        <v>21</v>
      </c>
      <c r="HR4" s="123">
        <f>'Rig Sheet '!HW4</f>
        <v>16</v>
      </c>
      <c r="HS4" s="123">
        <f>'Rig Sheet '!HX4</f>
        <v>15</v>
      </c>
      <c r="HT4" s="123">
        <f>'Rig Sheet '!HY4</f>
        <v>25</v>
      </c>
      <c r="HU4" s="123">
        <f>'Rig Sheet '!HZ4</f>
        <v>12</v>
      </c>
      <c r="HV4" s="123">
        <f>'Rig Sheet '!IA4</f>
        <v>24</v>
      </c>
      <c r="HW4" s="123">
        <f>'Rig Sheet '!IB4</f>
        <v>17</v>
      </c>
      <c r="HX4" s="123">
        <f>'Rig Sheet '!IC4</f>
        <v>25</v>
      </c>
      <c r="HY4" s="123">
        <f>'Rig Sheet '!ID4</f>
        <v>17</v>
      </c>
      <c r="HZ4" s="123">
        <f>'Rig Sheet '!IE4</f>
        <v>13</v>
      </c>
      <c r="IA4" s="123">
        <f>'Rig Sheet '!IF4</f>
        <v>18</v>
      </c>
      <c r="IB4" s="123">
        <f>'Rig Sheet '!IG4</f>
        <v>14</v>
      </c>
      <c r="IC4" s="123">
        <f>'Rig Sheet '!IH4</f>
        <v>13</v>
      </c>
      <c r="ID4" s="123">
        <f>'Rig Sheet '!II4</f>
        <v>20</v>
      </c>
      <c r="IE4" s="123">
        <f>'Rig Sheet '!IJ4</f>
        <v>19</v>
      </c>
      <c r="IF4" s="123">
        <f>'Rig Sheet '!IK4</f>
        <v>16</v>
      </c>
      <c r="IG4" s="123">
        <f>'Rig Sheet '!IL4</f>
        <v>19</v>
      </c>
      <c r="IH4" s="123">
        <f>'Rig Sheet '!IM4</f>
        <v>17</v>
      </c>
      <c r="II4" s="123">
        <f>'Rig Sheet '!IN4</f>
        <v>21</v>
      </c>
      <c r="IJ4" s="123">
        <f>'Rig Sheet '!IO4</f>
        <v>17</v>
      </c>
      <c r="IK4" s="123">
        <f>'Rig Sheet '!IP4</f>
        <v>20</v>
      </c>
      <c r="IL4" s="123">
        <f>'Rig Sheet '!IQ4</f>
        <v>25</v>
      </c>
      <c r="IM4" s="123">
        <f>'Rig Sheet '!IR4</f>
        <v>25</v>
      </c>
      <c r="IN4" s="123">
        <f>'Rig Sheet '!IS4</f>
        <v>24</v>
      </c>
      <c r="IO4" s="123">
        <f>'Rig Sheet '!IT4</f>
        <v>22</v>
      </c>
      <c r="IP4" s="123">
        <f>'Rig Sheet '!IU4</f>
        <v>27</v>
      </c>
      <c r="IQ4" s="123">
        <f>'Rig Sheet '!IV4</f>
        <v>25</v>
      </c>
      <c r="IR4" s="123">
        <f>'Rig Sheet '!IW4</f>
        <v>26</v>
      </c>
      <c r="IS4" s="123">
        <f>'Rig Sheet '!IX4</f>
        <v>23</v>
      </c>
      <c r="IT4" s="123">
        <f>'Rig Sheet '!IY4</f>
        <v>22</v>
      </c>
      <c r="IU4" s="123">
        <f>'Rig Sheet '!IZ4</f>
        <v>21</v>
      </c>
      <c r="IV4" s="123">
        <f>'Rig Sheet '!JA4</f>
        <v>22</v>
      </c>
      <c r="IW4" s="123">
        <f>'Rig Sheet '!JB4</f>
        <v>24</v>
      </c>
      <c r="IX4" s="123">
        <f>'Rig Sheet '!JC4</f>
        <v>27</v>
      </c>
      <c r="IY4" s="123">
        <f>'Rig Sheet '!JD4</f>
        <v>22</v>
      </c>
      <c r="IZ4" s="123">
        <f>'Rig Sheet '!JE4</f>
        <v>31</v>
      </c>
      <c r="JA4" s="123">
        <f>'Rig Sheet '!JF4</f>
        <v>22</v>
      </c>
      <c r="JB4" s="123">
        <f>'Rig Sheet '!JG4</f>
        <v>16</v>
      </c>
      <c r="JC4" s="123">
        <f>'Rig Sheet '!JH4</f>
        <v>24</v>
      </c>
      <c r="JD4" s="123">
        <f>'Rig Sheet '!JI4</f>
        <v>24</v>
      </c>
      <c r="JE4" s="123">
        <f>'Rig Sheet '!JJ4</f>
        <v>17</v>
      </c>
      <c r="JF4" s="123">
        <f>'Rig Sheet '!JK4</f>
        <v>24</v>
      </c>
      <c r="JG4" s="123">
        <f>'Rig Sheet '!JL4</f>
        <v>22</v>
      </c>
      <c r="JH4" s="123">
        <f>'Rig Sheet '!JM4</f>
        <v>22</v>
      </c>
      <c r="JI4" s="123">
        <f>'Rig Sheet '!JN4</f>
        <v>21</v>
      </c>
      <c r="JJ4" s="123">
        <f>'Rig Sheet '!JO4</f>
        <v>22</v>
      </c>
      <c r="JK4" s="123">
        <f>'Rig Sheet '!JP4</f>
        <v>22</v>
      </c>
      <c r="JL4" s="123">
        <f>'Rig Sheet '!JQ4</f>
        <v>20</v>
      </c>
      <c r="JM4" s="123">
        <f>'Rig Sheet '!JR4</f>
        <v>21</v>
      </c>
      <c r="JN4" s="123">
        <f>'Rig Sheet '!JS4</f>
        <v>18</v>
      </c>
      <c r="JO4" s="123">
        <f>'Rig Sheet '!JT4</f>
        <v>19</v>
      </c>
      <c r="JP4" s="123">
        <f>'Rig Sheet '!JU4</f>
        <v>25</v>
      </c>
      <c r="JQ4" s="123">
        <f>'Rig Sheet '!JV4</f>
        <v>10</v>
      </c>
      <c r="JR4" s="123">
        <f>'Rig Sheet '!JW4</f>
        <v>18</v>
      </c>
      <c r="JS4" s="123">
        <f>'Rig Sheet '!JX4</f>
        <v>19</v>
      </c>
      <c r="JT4" s="123">
        <f>'Rig Sheet '!JY4</f>
        <v>21</v>
      </c>
      <c r="JU4" s="123">
        <f>'Rig Sheet '!JZ4</f>
        <v>18</v>
      </c>
      <c r="JV4" s="123">
        <f>'Rig Sheet '!KA4</f>
        <v>19</v>
      </c>
      <c r="JW4" s="123">
        <f>'Rig Sheet '!KB4</f>
        <v>18</v>
      </c>
      <c r="JX4" s="123">
        <f>'Rig Sheet '!KC4</f>
        <v>21</v>
      </c>
      <c r="JY4" s="123">
        <f>'Rig Sheet '!KD4</f>
        <v>13</v>
      </c>
      <c r="JZ4" s="123">
        <f>'Rig Sheet '!KE4</f>
        <v>17</v>
      </c>
      <c r="KA4" s="123">
        <f>'Rig Sheet '!KF4</f>
        <v>19</v>
      </c>
      <c r="KB4" s="123">
        <f>'Rig Sheet '!KG4</f>
        <v>17</v>
      </c>
      <c r="KC4" s="123">
        <f>'Rig Sheet '!KH4</f>
        <v>15</v>
      </c>
      <c r="KD4" s="123">
        <f>'Rig Sheet '!KI4</f>
        <v>20</v>
      </c>
      <c r="KE4" s="123">
        <f>'Rig Sheet '!KJ4</f>
        <v>21</v>
      </c>
      <c r="KF4" s="123">
        <f>'Rig Sheet '!KK4</f>
        <v>21</v>
      </c>
      <c r="KG4" s="123">
        <f>'Rig Sheet '!KL4</f>
        <v>20</v>
      </c>
      <c r="KH4" s="123">
        <f>'Rig Sheet '!KM4</f>
        <v>17</v>
      </c>
      <c r="KI4" s="123">
        <f>'Rig Sheet '!KN4</f>
        <v>18</v>
      </c>
      <c r="KJ4" s="123">
        <f>'Rig Sheet '!KO4</f>
        <v>22</v>
      </c>
      <c r="KK4" s="123">
        <f>'Rig Sheet '!KP4</f>
        <v>12</v>
      </c>
      <c r="KL4" s="123">
        <f>'Rig Sheet '!KQ4</f>
        <v>16</v>
      </c>
      <c r="KM4" s="123">
        <f>'Rig Sheet '!KR4</f>
        <v>23</v>
      </c>
      <c r="KN4" s="123">
        <f>'Rig Sheet '!KS4</f>
        <v>16</v>
      </c>
      <c r="KO4" s="123">
        <f>'Rig Sheet '!KT4</f>
        <v>11</v>
      </c>
      <c r="KP4" s="123">
        <f>'Rig Sheet '!KU4</f>
        <v>19</v>
      </c>
      <c r="KQ4" s="123">
        <f>'Rig Sheet '!KV4</f>
        <v>16</v>
      </c>
      <c r="KR4" s="123">
        <f>'Rig Sheet '!KW4</f>
        <v>25</v>
      </c>
      <c r="KS4" s="123">
        <f>'Rig Sheet '!KX4</f>
        <v>16</v>
      </c>
      <c r="KT4" s="123">
        <f>'Rig Sheet '!KY4</f>
        <v>16</v>
      </c>
      <c r="KU4" s="123">
        <f>'Rig Sheet '!KZ4</f>
        <v>15</v>
      </c>
      <c r="KV4" s="123">
        <f>'Rig Sheet '!LA4</f>
        <v>15</v>
      </c>
      <c r="KW4" s="123">
        <f>'Rig Sheet '!LB4</f>
        <v>13</v>
      </c>
      <c r="KX4" s="123">
        <f>'Rig Sheet '!LC4</f>
        <v>11</v>
      </c>
      <c r="KY4" s="123">
        <f>'Rig Sheet '!LD4</f>
        <v>17</v>
      </c>
      <c r="KZ4" s="123">
        <f>'Rig Sheet '!LE4</f>
        <v>12</v>
      </c>
      <c r="LA4" s="123">
        <f>'Rig Sheet '!LF4</f>
        <v>13</v>
      </c>
      <c r="LB4" s="123">
        <f>'Rig Sheet '!LG4</f>
        <v>18</v>
      </c>
      <c r="LC4" s="123">
        <f>'Rig Sheet '!LH4</f>
        <v>15</v>
      </c>
      <c r="LD4" s="123">
        <f>'Rig Sheet '!LI4</f>
        <v>19</v>
      </c>
      <c r="LE4" s="123">
        <f>'Rig Sheet '!LJ4</f>
        <v>10</v>
      </c>
      <c r="LF4" s="123">
        <f>'Rig Sheet '!LK4</f>
        <v>13</v>
      </c>
      <c r="LG4" s="123">
        <f>'Rig Sheet '!LL4</f>
        <v>12</v>
      </c>
      <c r="LH4" s="123">
        <f>'Rig Sheet '!LM4</f>
        <v>12</v>
      </c>
      <c r="LI4" s="123">
        <f>'Rig Sheet '!LN4</f>
        <v>12</v>
      </c>
      <c r="LJ4" s="123">
        <f>'Rig Sheet '!LO4</f>
        <v>12</v>
      </c>
      <c r="LK4" s="123">
        <f>'Rig Sheet '!LP4</f>
        <v>21</v>
      </c>
      <c r="LL4" s="123">
        <f>'Rig Sheet '!LQ4</f>
        <v>15</v>
      </c>
      <c r="LM4" s="123">
        <f>'Rig Sheet '!LR4</f>
        <v>10</v>
      </c>
      <c r="LN4" s="123">
        <f>'Rig Sheet '!LS4</f>
        <v>13</v>
      </c>
      <c r="LO4" s="123">
        <f>'Rig Sheet '!LT4</f>
        <v>10</v>
      </c>
      <c r="LP4" s="123">
        <f>'Rig Sheet '!LU4</f>
        <v>12</v>
      </c>
      <c r="LQ4" s="123">
        <f>'Rig Sheet '!LV4</f>
        <v>13</v>
      </c>
      <c r="LR4" s="123">
        <f>'Rig Sheet '!LW4</f>
        <v>15</v>
      </c>
      <c r="LS4" s="123">
        <f>'Rig Sheet '!LX4</f>
        <v>18</v>
      </c>
      <c r="LT4" s="123">
        <f>'Rig Sheet '!LY4</f>
        <v>14</v>
      </c>
      <c r="LU4" s="123">
        <f>'Rig Sheet '!LZ4</f>
        <v>9</v>
      </c>
      <c r="LV4" s="123">
        <f>'Rig Sheet '!MA4</f>
        <v>15</v>
      </c>
      <c r="LW4" s="123">
        <f>'Rig Sheet '!MB4</f>
        <v>13</v>
      </c>
      <c r="LX4" s="123">
        <f>'Rig Sheet '!MC4</f>
        <v>0</v>
      </c>
      <c r="LY4" s="123">
        <f>'Rig Sheet '!MD4</f>
        <v>0</v>
      </c>
      <c r="LZ4" s="123">
        <f>'Rig Sheet '!ME4</f>
        <v>0</v>
      </c>
      <c r="MA4" s="123">
        <f>'Rig Sheet '!MF4</f>
        <v>0</v>
      </c>
      <c r="MB4" s="123">
        <f>'Rig Sheet '!MG4</f>
        <v>0</v>
      </c>
      <c r="MC4" s="123">
        <f>'Rig Sheet '!MH4</f>
        <v>0</v>
      </c>
      <c r="MD4" s="123">
        <f>'Rig Sheet '!MI4</f>
        <v>0</v>
      </c>
      <c r="ME4" s="123">
        <f>'Rig Sheet '!MJ4</f>
        <v>0</v>
      </c>
      <c r="MF4" s="123">
        <f>'Rig Sheet '!MK4</f>
        <v>0</v>
      </c>
      <c r="MG4" s="123">
        <f>'Rig Sheet '!ML4</f>
        <v>0</v>
      </c>
      <c r="MH4" s="123">
        <f>'Rig Sheet '!MM4</f>
        <v>0</v>
      </c>
      <c r="MI4" s="123">
        <f>'Rig Sheet '!MN4</f>
        <v>0</v>
      </c>
      <c r="MJ4" s="123">
        <f>'Rig Sheet '!MO4</f>
        <v>0</v>
      </c>
      <c r="MK4" s="123">
        <f>'Rig Sheet '!MP4</f>
        <v>0</v>
      </c>
      <c r="ML4" s="123">
        <f>'Rig Sheet '!MQ4</f>
        <v>0</v>
      </c>
      <c r="MM4" s="123">
        <f>'Rig Sheet '!MR4</f>
        <v>0</v>
      </c>
      <c r="MN4" s="123">
        <f>'Rig Sheet '!MS4</f>
        <v>0</v>
      </c>
      <c r="MO4" s="123">
        <f>'Rig Sheet '!MT4</f>
        <v>0</v>
      </c>
      <c r="MP4" s="123">
        <f>'Rig Sheet '!MU4</f>
        <v>0</v>
      </c>
      <c r="MQ4" s="123">
        <f>'Rig Sheet '!MV4</f>
        <v>0</v>
      </c>
      <c r="MR4" s="123">
        <f>'Rig Sheet '!MW4</f>
        <v>0</v>
      </c>
      <c r="MS4" s="123">
        <f>'Rig Sheet '!MX4</f>
        <v>0</v>
      </c>
      <c r="MT4" s="123">
        <f>'Rig Sheet '!MY4</f>
        <v>0</v>
      </c>
      <c r="MU4" s="123">
        <f>'Rig Sheet '!MZ4</f>
        <v>0</v>
      </c>
      <c r="MV4" s="123">
        <f>'Rig Sheet '!NA4</f>
        <v>0</v>
      </c>
      <c r="MW4" s="123">
        <f>'Rig Sheet '!NB4</f>
        <v>0</v>
      </c>
      <c r="MX4" s="123">
        <f>'Rig Sheet '!NC4</f>
        <v>0</v>
      </c>
      <c r="MY4" s="123">
        <f>'Rig Sheet '!ND4</f>
        <v>0</v>
      </c>
      <c r="MZ4" s="123">
        <f>'Rig Sheet '!NE4</f>
        <v>0</v>
      </c>
      <c r="NA4" s="123">
        <f>'Rig Sheet '!NF4</f>
        <v>0</v>
      </c>
      <c r="NB4" s="123">
        <f>'Rig Sheet '!NG4</f>
        <v>0</v>
      </c>
    </row>
    <row r="5" spans="1:366">
      <c r="A5" s="119" t="s">
        <v>7</v>
      </c>
      <c r="B5" s="122">
        <f>'Rig Sheet '!G6</f>
        <v>0</v>
      </c>
      <c r="C5" s="122">
        <f>'Rig Sheet '!H6</f>
        <v>0</v>
      </c>
      <c r="D5" s="122">
        <f>'Rig Sheet '!I6</f>
        <v>0</v>
      </c>
      <c r="E5" s="122">
        <f>'Rig Sheet '!J6</f>
        <v>0</v>
      </c>
      <c r="F5" s="122">
        <f>'Rig Sheet '!K6</f>
        <v>0</v>
      </c>
      <c r="G5" s="122">
        <f>'Rig Sheet '!L6</f>
        <v>2</v>
      </c>
      <c r="H5" s="122">
        <f>'Rig Sheet '!M6</f>
        <v>1</v>
      </c>
      <c r="I5" s="122">
        <f>'Rig Sheet '!N6</f>
        <v>0</v>
      </c>
      <c r="J5" s="122">
        <f>'Rig Sheet '!O6</f>
        <v>2</v>
      </c>
      <c r="K5" s="122">
        <f>'Rig Sheet '!P6</f>
        <v>2</v>
      </c>
      <c r="L5" s="122">
        <f>'Rig Sheet '!Q6</f>
        <v>1</v>
      </c>
      <c r="M5" s="122">
        <f>'Rig Sheet '!R6</f>
        <v>1</v>
      </c>
      <c r="N5" s="122">
        <f>'Rig Sheet '!S6</f>
        <v>1</v>
      </c>
      <c r="O5" s="122">
        <f>'Rig Sheet '!T6</f>
        <v>0</v>
      </c>
      <c r="P5" s="122">
        <f>'Rig Sheet '!U6</f>
        <v>2</v>
      </c>
      <c r="Q5" s="122">
        <f>'Rig Sheet '!V6</f>
        <v>0</v>
      </c>
      <c r="R5" s="122">
        <f>'Rig Sheet '!W6</f>
        <v>3</v>
      </c>
      <c r="S5" s="122">
        <f>'Rig Sheet '!X6</f>
        <v>0</v>
      </c>
      <c r="T5" s="122">
        <f>'Rig Sheet '!Y6</f>
        <v>1</v>
      </c>
      <c r="U5" s="122">
        <f>'Rig Sheet '!Z6</f>
        <v>3</v>
      </c>
      <c r="V5" s="122">
        <f>'Rig Sheet '!AA6</f>
        <v>0</v>
      </c>
      <c r="W5" s="122">
        <f>'Rig Sheet '!AB6</f>
        <v>2</v>
      </c>
      <c r="X5" s="122">
        <f>'Rig Sheet '!AC6</f>
        <v>2</v>
      </c>
      <c r="Y5" s="122">
        <f>'Rig Sheet '!AD6</f>
        <v>2</v>
      </c>
      <c r="Z5" s="122">
        <f>'Rig Sheet '!AE6</f>
        <v>1</v>
      </c>
      <c r="AA5" s="122">
        <f>'Rig Sheet '!AF6</f>
        <v>0</v>
      </c>
      <c r="AB5" s="122">
        <f>'Rig Sheet '!AG6</f>
        <v>4</v>
      </c>
      <c r="AC5" s="122">
        <f>'Rig Sheet '!AH6</f>
        <v>0</v>
      </c>
      <c r="AD5" s="122">
        <f>'Rig Sheet '!AI6</f>
        <v>1</v>
      </c>
      <c r="AE5" s="122">
        <f>'Rig Sheet '!AJ6</f>
        <v>2</v>
      </c>
      <c r="AF5" s="122">
        <f>'Rig Sheet '!AK6</f>
        <v>1</v>
      </c>
      <c r="AG5" s="122">
        <f>'Rig Sheet '!AL6</f>
        <v>1</v>
      </c>
      <c r="AH5" s="122">
        <f>'Rig Sheet '!AM6</f>
        <v>0</v>
      </c>
      <c r="AI5" s="122">
        <f>'Rig Sheet '!AN6</f>
        <v>1</v>
      </c>
      <c r="AJ5" s="122">
        <f>'Rig Sheet '!AO6</f>
        <v>1</v>
      </c>
      <c r="AK5" s="122">
        <f>'Rig Sheet '!AP6</f>
        <v>2</v>
      </c>
      <c r="AL5" s="122">
        <f>'Rig Sheet '!AQ6</f>
        <v>1</v>
      </c>
      <c r="AM5" s="122">
        <f>'Rig Sheet '!AR6</f>
        <v>0</v>
      </c>
      <c r="AN5" s="122">
        <f>'Rig Sheet '!AS6</f>
        <v>2</v>
      </c>
      <c r="AO5" s="122">
        <f>'Rig Sheet '!AT6</f>
        <v>0</v>
      </c>
      <c r="AP5" s="122">
        <f>'Rig Sheet '!AU6</f>
        <v>2</v>
      </c>
      <c r="AQ5" s="122">
        <f>'Rig Sheet '!AV6</f>
        <v>1</v>
      </c>
      <c r="AR5" s="122">
        <f>'Rig Sheet '!AW6</f>
        <v>2</v>
      </c>
      <c r="AS5" s="122">
        <f>'Rig Sheet '!AX6</f>
        <v>1</v>
      </c>
      <c r="AT5" s="122">
        <f>'Rig Sheet '!AY6</f>
        <v>1</v>
      </c>
      <c r="AU5" s="122">
        <f>'Rig Sheet '!AZ6</f>
        <v>0</v>
      </c>
      <c r="AV5" s="122">
        <f>'Rig Sheet '!BA6</f>
        <v>2</v>
      </c>
      <c r="AW5" s="122">
        <f>'Rig Sheet '!BB6</f>
        <v>0</v>
      </c>
      <c r="AX5" s="122">
        <f>'Rig Sheet '!BC6</f>
        <v>1</v>
      </c>
      <c r="AY5" s="122">
        <f>'Rig Sheet '!BD6</f>
        <v>0</v>
      </c>
      <c r="AZ5" s="122">
        <f>'Rig Sheet '!BE6</f>
        <v>2</v>
      </c>
      <c r="BA5" s="122">
        <f>'Rig Sheet '!BF6</f>
        <v>0</v>
      </c>
      <c r="BB5" s="122">
        <f>'Rig Sheet '!BG6</f>
        <v>0</v>
      </c>
      <c r="BC5" s="122">
        <f>'Rig Sheet '!BH6</f>
        <v>1</v>
      </c>
      <c r="BD5" s="122">
        <f>'Rig Sheet '!BI6</f>
        <v>1</v>
      </c>
      <c r="BE5" s="122">
        <f>'Rig Sheet '!BJ6</f>
        <v>2</v>
      </c>
      <c r="BF5" s="122">
        <f>'Rig Sheet '!BK6</f>
        <v>1</v>
      </c>
      <c r="BG5" s="122">
        <f>'Rig Sheet '!BL6</f>
        <v>1</v>
      </c>
      <c r="BH5" s="122">
        <f>'Rig Sheet '!BM6</f>
        <v>1</v>
      </c>
      <c r="BI5" s="122">
        <f>'Rig Sheet '!BN6</f>
        <v>1</v>
      </c>
      <c r="BJ5" s="122">
        <f>'Rig Sheet '!BO6</f>
        <v>0</v>
      </c>
      <c r="BK5" s="122">
        <f>'Rig Sheet '!BP6</f>
        <v>0</v>
      </c>
      <c r="BL5" s="122">
        <f>'Rig Sheet '!BQ6</f>
        <v>1</v>
      </c>
      <c r="BM5" s="122">
        <f>'Rig Sheet '!BR6</f>
        <v>0</v>
      </c>
      <c r="BN5" s="122">
        <f>'Rig Sheet '!BS6</f>
        <v>0</v>
      </c>
      <c r="BO5" s="122">
        <f>'Rig Sheet '!BT6</f>
        <v>2</v>
      </c>
      <c r="BP5" s="122">
        <f>'Rig Sheet '!BU6</f>
        <v>0</v>
      </c>
      <c r="BQ5" s="122">
        <f>'Rig Sheet '!BV6</f>
        <v>3</v>
      </c>
      <c r="BR5" s="122">
        <f>'Rig Sheet '!BW6</f>
        <v>1</v>
      </c>
      <c r="BS5" s="122">
        <f>'Rig Sheet '!BX6</f>
        <v>1</v>
      </c>
      <c r="BT5" s="122">
        <f>'Rig Sheet '!BY6</f>
        <v>2</v>
      </c>
      <c r="BU5" s="122">
        <f>'Rig Sheet '!BZ6</f>
        <v>2</v>
      </c>
      <c r="BV5" s="122">
        <f>'Rig Sheet '!CA6</f>
        <v>1</v>
      </c>
      <c r="BW5" s="122">
        <f>'Rig Sheet '!CB6</f>
        <v>1</v>
      </c>
      <c r="BX5" s="122">
        <f>'Rig Sheet '!CC6</f>
        <v>1</v>
      </c>
      <c r="BY5" s="122">
        <f>'Rig Sheet '!CD6</f>
        <v>1</v>
      </c>
      <c r="BZ5" s="122">
        <f>'Rig Sheet '!CE6</f>
        <v>2</v>
      </c>
      <c r="CA5" s="122">
        <f>'Rig Sheet '!CF6</f>
        <v>2</v>
      </c>
      <c r="CB5" s="122">
        <f>'Rig Sheet '!CG6</f>
        <v>2</v>
      </c>
      <c r="CC5" s="122">
        <f>'Rig Sheet '!CH6</f>
        <v>3</v>
      </c>
      <c r="CD5" s="122">
        <f>'Rig Sheet '!CI6</f>
        <v>0</v>
      </c>
      <c r="CE5" s="122">
        <f>'Rig Sheet '!CJ6</f>
        <v>2</v>
      </c>
      <c r="CF5" s="122">
        <f>'Rig Sheet '!CK6</f>
        <v>2</v>
      </c>
      <c r="CG5" s="122">
        <f>'Rig Sheet '!CL6</f>
        <v>2</v>
      </c>
      <c r="CH5" s="122">
        <f>'Rig Sheet '!CM6</f>
        <v>1</v>
      </c>
      <c r="CI5" s="122">
        <f>'Rig Sheet '!CN6</f>
        <v>0</v>
      </c>
      <c r="CJ5" s="122">
        <f>'Rig Sheet '!CO6</f>
        <v>2</v>
      </c>
      <c r="CK5" s="122">
        <f>'Rig Sheet '!CP6</f>
        <v>2</v>
      </c>
      <c r="CL5" s="122">
        <f>'Rig Sheet '!CQ6</f>
        <v>3</v>
      </c>
      <c r="CM5" s="122">
        <f>'Rig Sheet '!CR6</f>
        <v>1</v>
      </c>
      <c r="CN5" s="122">
        <f>'Rig Sheet '!CS6</f>
        <v>1</v>
      </c>
      <c r="CO5" s="122">
        <f>'Rig Sheet '!CT6</f>
        <v>3</v>
      </c>
      <c r="CP5" s="122">
        <f>'Rig Sheet '!CU6</f>
        <v>1</v>
      </c>
      <c r="CQ5" s="122">
        <f>'Rig Sheet '!CV6</f>
        <v>2</v>
      </c>
      <c r="CR5" s="122">
        <f>'Rig Sheet '!CW6</f>
        <v>0</v>
      </c>
      <c r="CS5" s="122">
        <f>'Rig Sheet '!CX6</f>
        <v>1</v>
      </c>
      <c r="CT5" s="122">
        <f>'Rig Sheet '!CY6</f>
        <v>1</v>
      </c>
      <c r="CU5" s="122">
        <f>'Rig Sheet '!CZ6</f>
        <v>2</v>
      </c>
      <c r="CV5" s="122">
        <f>'Rig Sheet '!DA6</f>
        <v>2</v>
      </c>
      <c r="CW5" s="122">
        <f>'Rig Sheet '!DB6</f>
        <v>1</v>
      </c>
      <c r="CX5" s="122">
        <f>'Rig Sheet '!DC6</f>
        <v>2</v>
      </c>
      <c r="CY5" s="122">
        <f>'Rig Sheet '!DD6</f>
        <v>1</v>
      </c>
      <c r="CZ5" s="122">
        <f>'Rig Sheet '!DE6</f>
        <v>2</v>
      </c>
      <c r="DA5" s="122">
        <f>'Rig Sheet '!DF6</f>
        <v>2</v>
      </c>
      <c r="DB5" s="122">
        <f>'Rig Sheet '!DG6</f>
        <v>1</v>
      </c>
      <c r="DC5" s="122">
        <f>'Rig Sheet '!DH6</f>
        <v>3</v>
      </c>
      <c r="DD5" s="122">
        <f>'Rig Sheet '!DI6</f>
        <v>2</v>
      </c>
      <c r="DE5" s="122">
        <f>'Rig Sheet '!DJ6</f>
        <v>2</v>
      </c>
      <c r="DF5" s="122">
        <f>'Rig Sheet '!DK6</f>
        <v>1</v>
      </c>
      <c r="DG5" s="122">
        <f>'Rig Sheet '!DL6</f>
        <v>3</v>
      </c>
      <c r="DH5" s="122">
        <f>'Rig Sheet '!DM6</f>
        <v>2</v>
      </c>
      <c r="DI5" s="122">
        <f>'Rig Sheet '!DN6</f>
        <v>3</v>
      </c>
      <c r="DJ5" s="122">
        <f>'Rig Sheet '!DO6</f>
        <v>3</v>
      </c>
      <c r="DK5" s="122">
        <f>'Rig Sheet '!DP6</f>
        <v>2</v>
      </c>
      <c r="DL5" s="122">
        <f>'Rig Sheet '!DQ6</f>
        <v>2</v>
      </c>
      <c r="DM5" s="122">
        <f>'Rig Sheet '!DR6</f>
        <v>2</v>
      </c>
      <c r="DN5" s="122">
        <f>'Rig Sheet '!DS6</f>
        <v>2</v>
      </c>
      <c r="DO5" s="122">
        <f>'Rig Sheet '!DT6</f>
        <v>1</v>
      </c>
      <c r="DP5" s="122">
        <f>'Rig Sheet '!DU6</f>
        <v>3</v>
      </c>
      <c r="DQ5" s="122">
        <f>'Rig Sheet '!DV6</f>
        <v>0</v>
      </c>
      <c r="DR5" s="122">
        <f>'Rig Sheet '!DW6</f>
        <v>1</v>
      </c>
      <c r="DS5" s="122">
        <f>'Rig Sheet '!DX6</f>
        <v>2</v>
      </c>
      <c r="DT5" s="122">
        <f>'Rig Sheet '!DY6</f>
        <v>1</v>
      </c>
      <c r="DU5" s="122">
        <f>'Rig Sheet '!DZ6</f>
        <v>2</v>
      </c>
      <c r="DV5" s="122">
        <f>'Rig Sheet '!EA6</f>
        <v>2</v>
      </c>
      <c r="DW5" s="122">
        <f>'Rig Sheet '!EB6</f>
        <v>1</v>
      </c>
      <c r="DX5" s="122">
        <f>'Rig Sheet '!EC6</f>
        <v>1</v>
      </c>
      <c r="DY5" s="122">
        <f>'Rig Sheet '!ED6</f>
        <v>3</v>
      </c>
      <c r="DZ5" s="122">
        <f>'Rig Sheet '!EE6</f>
        <v>2</v>
      </c>
      <c r="EA5" s="122">
        <f>'Rig Sheet '!EF6</f>
        <v>3</v>
      </c>
      <c r="EB5" s="122">
        <f>'Rig Sheet '!EG6</f>
        <v>2</v>
      </c>
      <c r="EC5" s="122">
        <f>'Rig Sheet '!EH6</f>
        <v>2</v>
      </c>
      <c r="ED5" s="122">
        <f>'Rig Sheet '!EI6</f>
        <v>1</v>
      </c>
      <c r="EE5" s="122">
        <f>'Rig Sheet '!EJ6</f>
        <v>2</v>
      </c>
      <c r="EF5" s="122">
        <f>'Rig Sheet '!EK6</f>
        <v>1</v>
      </c>
      <c r="EG5" s="122">
        <f>'Rig Sheet '!EL6</f>
        <v>1</v>
      </c>
      <c r="EH5" s="122">
        <f>'Rig Sheet '!EM6</f>
        <v>0</v>
      </c>
      <c r="EI5" s="122">
        <f>'Rig Sheet '!EN6</f>
        <v>2</v>
      </c>
      <c r="EJ5" s="122">
        <f>'Rig Sheet '!EO6</f>
        <v>0</v>
      </c>
      <c r="EK5" s="122">
        <f>'Rig Sheet '!EP6</f>
        <v>2</v>
      </c>
      <c r="EL5" s="122">
        <f>'Rig Sheet '!EQ6</f>
        <v>0</v>
      </c>
      <c r="EM5" s="122">
        <f>'Rig Sheet '!ER6</f>
        <v>0</v>
      </c>
      <c r="EN5" s="122">
        <f>'Rig Sheet '!ES6</f>
        <v>0</v>
      </c>
      <c r="EO5" s="122">
        <f>'Rig Sheet '!ET6</f>
        <v>1</v>
      </c>
      <c r="EP5" s="122">
        <f>'Rig Sheet '!EU6</f>
        <v>0</v>
      </c>
      <c r="EQ5" s="122">
        <f>'Rig Sheet '!EV6</f>
        <v>1</v>
      </c>
      <c r="ER5" s="122">
        <f>'Rig Sheet '!EW6</f>
        <v>0</v>
      </c>
      <c r="ES5" s="122">
        <f>'Rig Sheet '!EX6</f>
        <v>1</v>
      </c>
      <c r="ET5" s="122">
        <f>'Rig Sheet '!EY6</f>
        <v>1</v>
      </c>
      <c r="EU5" s="122">
        <f>'Rig Sheet '!EZ6</f>
        <v>0</v>
      </c>
      <c r="EV5" s="122">
        <f>'Rig Sheet '!FA6</f>
        <v>0</v>
      </c>
      <c r="EW5" s="122">
        <f>'Rig Sheet '!FB6</f>
        <v>0</v>
      </c>
      <c r="EX5" s="122">
        <f>'Rig Sheet '!FC6</f>
        <v>2</v>
      </c>
      <c r="EY5" s="122">
        <f>'Rig Sheet '!FD6</f>
        <v>1</v>
      </c>
      <c r="EZ5" s="122">
        <f>'Rig Sheet '!FE6</f>
        <v>1</v>
      </c>
      <c r="FA5" s="122">
        <f>'Rig Sheet '!FF6</f>
        <v>1</v>
      </c>
      <c r="FB5" s="122">
        <f>'Rig Sheet '!FG6</f>
        <v>1</v>
      </c>
      <c r="FC5" s="122">
        <f>'Rig Sheet '!FH6</f>
        <v>0</v>
      </c>
      <c r="FD5" s="122">
        <f>'Rig Sheet '!FI6</f>
        <v>2</v>
      </c>
      <c r="FE5" s="122">
        <f>'Rig Sheet '!FJ6</f>
        <v>1</v>
      </c>
      <c r="FF5" s="122">
        <f>'Rig Sheet '!FK6</f>
        <v>2</v>
      </c>
      <c r="FG5" s="122">
        <f>'Rig Sheet '!FL6</f>
        <v>0</v>
      </c>
      <c r="FH5" s="122">
        <f>'Rig Sheet '!FM6</f>
        <v>1</v>
      </c>
      <c r="FI5" s="122">
        <f>'Rig Sheet '!FN6</f>
        <v>2</v>
      </c>
      <c r="FJ5" s="122">
        <f>'Rig Sheet '!FO6</f>
        <v>1</v>
      </c>
      <c r="FK5" s="122">
        <f>'Rig Sheet '!FP6</f>
        <v>1</v>
      </c>
      <c r="FL5" s="122">
        <f>'Rig Sheet '!FQ6</f>
        <v>2</v>
      </c>
      <c r="FM5" s="122">
        <f>'Rig Sheet '!FR6</f>
        <v>2</v>
      </c>
      <c r="FN5" s="122">
        <f>'Rig Sheet '!FS6</f>
        <v>2</v>
      </c>
      <c r="FO5" s="122">
        <f>'Rig Sheet '!FT6</f>
        <v>1</v>
      </c>
      <c r="FP5" s="122">
        <f>'Rig Sheet '!FU6</f>
        <v>4</v>
      </c>
      <c r="FQ5" s="122">
        <f>'Rig Sheet '!FV6</f>
        <v>2</v>
      </c>
      <c r="FR5" s="122">
        <f>'Rig Sheet '!FW6</f>
        <v>0</v>
      </c>
      <c r="FS5" s="122">
        <f>'Rig Sheet '!FX6</f>
        <v>1</v>
      </c>
      <c r="FT5" s="122">
        <f>'Rig Sheet '!FY6</f>
        <v>3</v>
      </c>
      <c r="FU5" s="122">
        <f>'Rig Sheet '!FZ6</f>
        <v>1</v>
      </c>
      <c r="FV5" s="122">
        <f>'Rig Sheet '!GA6</f>
        <v>2</v>
      </c>
      <c r="FW5" s="122">
        <f>'Rig Sheet '!GB6</f>
        <v>1</v>
      </c>
      <c r="FX5" s="122">
        <f>'Rig Sheet '!GC6</f>
        <v>3</v>
      </c>
      <c r="FY5" s="122">
        <f>'Rig Sheet '!GD6</f>
        <v>1</v>
      </c>
      <c r="FZ5" s="122">
        <f>'Rig Sheet '!GE6</f>
        <v>4</v>
      </c>
      <c r="GA5" s="122">
        <f>'Rig Sheet '!GF6</f>
        <v>1</v>
      </c>
      <c r="GB5" s="122">
        <f>'Rig Sheet '!GG6</f>
        <v>2</v>
      </c>
      <c r="GC5" s="122">
        <f>'Rig Sheet '!GH6</f>
        <v>1</v>
      </c>
      <c r="GD5" s="122">
        <f>'Rig Sheet '!GI6</f>
        <v>2</v>
      </c>
      <c r="GE5" s="122">
        <f>'Rig Sheet '!GJ6</f>
        <v>2</v>
      </c>
      <c r="GF5" s="122">
        <f>'Rig Sheet '!GK6</f>
        <v>4</v>
      </c>
      <c r="GG5" s="122">
        <f>'Rig Sheet '!GL6</f>
        <v>0</v>
      </c>
      <c r="GH5" s="122">
        <f>'Rig Sheet '!GM6</f>
        <v>1</v>
      </c>
      <c r="GI5" s="122">
        <f>'Rig Sheet '!GN6</f>
        <v>1</v>
      </c>
      <c r="GJ5" s="122">
        <f>'Rig Sheet '!GO6</f>
        <v>3</v>
      </c>
      <c r="GK5" s="122">
        <f>'Rig Sheet '!GP6</f>
        <v>0</v>
      </c>
      <c r="GL5" s="122">
        <f>'Rig Sheet '!GQ6</f>
        <v>3</v>
      </c>
      <c r="GM5" s="122">
        <f>'Rig Sheet '!GR6</f>
        <v>0</v>
      </c>
      <c r="GN5" s="122">
        <f>'Rig Sheet '!GS6</f>
        <v>1</v>
      </c>
      <c r="GO5" s="122">
        <f>'Rig Sheet '!GT6</f>
        <v>1</v>
      </c>
      <c r="GP5" s="122">
        <f>'Rig Sheet '!GU6</f>
        <v>1</v>
      </c>
      <c r="GQ5" s="122">
        <f>'Rig Sheet '!GV6</f>
        <v>1</v>
      </c>
      <c r="GR5" s="122">
        <f>'Rig Sheet '!GW6</f>
        <v>3</v>
      </c>
      <c r="GS5" s="122">
        <f>'Rig Sheet '!GX6</f>
        <v>1</v>
      </c>
      <c r="GT5" s="122">
        <f>'Rig Sheet '!GY6</f>
        <v>4</v>
      </c>
      <c r="GU5" s="122">
        <f>'Rig Sheet '!GZ6</f>
        <v>1</v>
      </c>
      <c r="GV5" s="122">
        <f>'Rig Sheet '!HA6</f>
        <v>1</v>
      </c>
      <c r="GW5" s="122">
        <f>'Rig Sheet '!HB6</f>
        <v>4</v>
      </c>
      <c r="GX5" s="122">
        <f>'Rig Sheet '!HC6</f>
        <v>1</v>
      </c>
      <c r="GY5" s="122">
        <f>'Rig Sheet '!HD6</f>
        <v>2</v>
      </c>
      <c r="GZ5" s="122">
        <f>'Rig Sheet '!HE6</f>
        <v>1</v>
      </c>
      <c r="HA5" s="122">
        <f>'Rig Sheet '!HF6</f>
        <v>3</v>
      </c>
      <c r="HB5" s="122">
        <f>'Rig Sheet '!HG6</f>
        <v>3</v>
      </c>
      <c r="HC5" s="122">
        <f>'Rig Sheet '!HH6</f>
        <v>3</v>
      </c>
      <c r="HD5" s="122">
        <f>'Rig Sheet '!HI6</f>
        <v>1</v>
      </c>
      <c r="HE5" s="122">
        <f>'Rig Sheet '!HJ6</f>
        <v>3</v>
      </c>
      <c r="HF5" s="122">
        <f>'Rig Sheet '!HK6</f>
        <v>0</v>
      </c>
      <c r="HG5" s="122">
        <f>'Rig Sheet '!HL6</f>
        <v>2</v>
      </c>
      <c r="HH5" s="122">
        <f>'Rig Sheet '!HM6</f>
        <v>2</v>
      </c>
      <c r="HI5" s="122">
        <f>'Rig Sheet '!HN6</f>
        <v>2</v>
      </c>
      <c r="HJ5" s="122">
        <f>'Rig Sheet '!HO6</f>
        <v>2</v>
      </c>
      <c r="HK5" s="122">
        <f>'Rig Sheet '!HP6</f>
        <v>1</v>
      </c>
      <c r="HL5" s="122">
        <f>'Rig Sheet '!HQ6</f>
        <v>2</v>
      </c>
      <c r="HM5" s="122">
        <f>'Rig Sheet '!HR6</f>
        <v>0</v>
      </c>
      <c r="HN5" s="122">
        <f>'Rig Sheet '!HS6</f>
        <v>1</v>
      </c>
      <c r="HO5" s="122">
        <f>'Rig Sheet '!HT6</f>
        <v>2</v>
      </c>
      <c r="HP5" s="122">
        <f>'Rig Sheet '!HU6</f>
        <v>1</v>
      </c>
      <c r="HQ5" s="122">
        <f>'Rig Sheet '!HV6</f>
        <v>2</v>
      </c>
      <c r="HR5" s="122">
        <f>'Rig Sheet '!HW6</f>
        <v>1</v>
      </c>
      <c r="HS5" s="122">
        <f>'Rig Sheet '!HX6</f>
        <v>2</v>
      </c>
      <c r="HT5" s="122">
        <f>'Rig Sheet '!HY6</f>
        <v>1</v>
      </c>
      <c r="HU5" s="122">
        <f>'Rig Sheet '!HZ6</f>
        <v>0</v>
      </c>
      <c r="HV5" s="122">
        <f>'Rig Sheet '!IA6</f>
        <v>2</v>
      </c>
      <c r="HW5" s="122">
        <f>'Rig Sheet '!IB6</f>
        <v>0</v>
      </c>
      <c r="HX5" s="122">
        <f>'Rig Sheet '!IC6</f>
        <v>3</v>
      </c>
      <c r="HY5" s="122">
        <f>'Rig Sheet '!ID6</f>
        <v>1</v>
      </c>
      <c r="HZ5" s="122">
        <f>'Rig Sheet '!IE6</f>
        <v>1</v>
      </c>
      <c r="IA5" s="122">
        <f>'Rig Sheet '!IF6</f>
        <v>1</v>
      </c>
      <c r="IB5" s="122">
        <f>'Rig Sheet '!IG6</f>
        <v>0</v>
      </c>
      <c r="IC5" s="122">
        <f>'Rig Sheet '!IH6</f>
        <v>2</v>
      </c>
      <c r="ID5" s="122">
        <f>'Rig Sheet '!II6</f>
        <v>1</v>
      </c>
      <c r="IE5" s="122">
        <f>'Rig Sheet '!IJ6</f>
        <v>2</v>
      </c>
      <c r="IF5" s="122">
        <f>'Rig Sheet '!IK6</f>
        <v>2</v>
      </c>
      <c r="IG5" s="122">
        <f>'Rig Sheet '!IL6</f>
        <v>0</v>
      </c>
      <c r="IH5" s="122">
        <f>'Rig Sheet '!IM6</f>
        <v>2</v>
      </c>
      <c r="II5" s="122">
        <f>'Rig Sheet '!IN6</f>
        <v>2</v>
      </c>
      <c r="IJ5" s="122">
        <f>'Rig Sheet '!IO6</f>
        <v>2</v>
      </c>
      <c r="IK5" s="122">
        <f>'Rig Sheet '!IP6</f>
        <v>2</v>
      </c>
      <c r="IL5" s="122">
        <f>'Rig Sheet '!IQ6</f>
        <v>3</v>
      </c>
      <c r="IM5" s="122">
        <f>'Rig Sheet '!IR6</f>
        <v>1</v>
      </c>
      <c r="IN5" s="122">
        <f>'Rig Sheet '!IS6</f>
        <v>0</v>
      </c>
      <c r="IO5" s="122">
        <f>'Rig Sheet '!IT6</f>
        <v>2</v>
      </c>
      <c r="IP5" s="122">
        <f>'Rig Sheet '!IU6</f>
        <v>2</v>
      </c>
      <c r="IQ5" s="122">
        <f>'Rig Sheet '!IV6</f>
        <v>0</v>
      </c>
      <c r="IR5" s="122">
        <f>'Rig Sheet '!IW6</f>
        <v>4</v>
      </c>
      <c r="IS5" s="122">
        <f>'Rig Sheet '!IX6</f>
        <v>0</v>
      </c>
      <c r="IT5" s="122">
        <f>'Rig Sheet '!IY6</f>
        <v>0</v>
      </c>
      <c r="IU5" s="122">
        <f>'Rig Sheet '!IZ6</f>
        <v>2</v>
      </c>
      <c r="IV5" s="122">
        <f>'Rig Sheet '!JA6</f>
        <v>2</v>
      </c>
      <c r="IW5" s="122">
        <f>'Rig Sheet '!JB6</f>
        <v>3</v>
      </c>
      <c r="IX5" s="122">
        <f>'Rig Sheet '!JC6</f>
        <v>5</v>
      </c>
      <c r="IY5" s="122">
        <f>'Rig Sheet '!JD6</f>
        <v>2</v>
      </c>
      <c r="IZ5" s="122">
        <f>'Rig Sheet '!JE6</f>
        <v>2</v>
      </c>
      <c r="JA5" s="122">
        <f>'Rig Sheet '!JF6</f>
        <v>5</v>
      </c>
      <c r="JB5" s="122">
        <f>'Rig Sheet '!JG6</f>
        <v>3</v>
      </c>
      <c r="JC5" s="122">
        <f>'Rig Sheet '!JH6</f>
        <v>2</v>
      </c>
      <c r="JD5" s="122">
        <f>'Rig Sheet '!JI6</f>
        <v>6</v>
      </c>
      <c r="JE5" s="122">
        <f>'Rig Sheet '!JJ6</f>
        <v>2</v>
      </c>
      <c r="JF5" s="122">
        <f>'Rig Sheet '!JK6</f>
        <v>2</v>
      </c>
      <c r="JG5" s="122">
        <f>'Rig Sheet '!JL6</f>
        <v>3</v>
      </c>
      <c r="JH5" s="122">
        <f>'Rig Sheet '!JM6</f>
        <v>2</v>
      </c>
      <c r="JI5" s="122">
        <f>'Rig Sheet '!JN6</f>
        <v>1</v>
      </c>
      <c r="JJ5" s="122">
        <f>'Rig Sheet '!JO6</f>
        <v>5</v>
      </c>
      <c r="JK5" s="122">
        <f>'Rig Sheet '!JP6</f>
        <v>0</v>
      </c>
      <c r="JL5" s="122">
        <f>'Rig Sheet '!JQ6</f>
        <v>3</v>
      </c>
      <c r="JM5" s="122">
        <f>'Rig Sheet '!JR6</f>
        <v>2</v>
      </c>
      <c r="JN5" s="122">
        <f>'Rig Sheet '!JS6</f>
        <v>3</v>
      </c>
      <c r="JO5" s="122">
        <f>'Rig Sheet '!JT6</f>
        <v>1</v>
      </c>
      <c r="JP5" s="122">
        <f>'Rig Sheet '!JU6</f>
        <v>4</v>
      </c>
      <c r="JQ5" s="122">
        <f>'Rig Sheet '!JV6</f>
        <v>0</v>
      </c>
      <c r="JR5" s="122">
        <f>'Rig Sheet '!JW6</f>
        <v>2</v>
      </c>
      <c r="JS5" s="122">
        <f>'Rig Sheet '!JX6</f>
        <v>1</v>
      </c>
      <c r="JT5" s="122">
        <f>'Rig Sheet '!JY6</f>
        <v>2</v>
      </c>
      <c r="JU5" s="122">
        <f>'Rig Sheet '!JZ6</f>
        <v>2</v>
      </c>
      <c r="JV5" s="122">
        <f>'Rig Sheet '!KA6</f>
        <v>3</v>
      </c>
      <c r="JW5" s="122">
        <f>'Rig Sheet '!KB6</f>
        <v>0</v>
      </c>
      <c r="JX5" s="122">
        <f>'Rig Sheet '!KC6</f>
        <v>2</v>
      </c>
      <c r="JY5" s="122">
        <f>'Rig Sheet '!KD6</f>
        <v>1</v>
      </c>
      <c r="JZ5" s="122">
        <f>'Rig Sheet '!KE6</f>
        <v>2</v>
      </c>
      <c r="KA5" s="122">
        <f>'Rig Sheet '!KF6</f>
        <v>1</v>
      </c>
      <c r="KB5" s="122">
        <f>'Rig Sheet '!KG6</f>
        <v>3</v>
      </c>
      <c r="KC5" s="122">
        <f>'Rig Sheet '!KH6</f>
        <v>0</v>
      </c>
      <c r="KD5" s="122">
        <f>'Rig Sheet '!KI6</f>
        <v>2</v>
      </c>
      <c r="KE5" s="122">
        <f>'Rig Sheet '!KJ6</f>
        <v>1</v>
      </c>
      <c r="KF5" s="122">
        <f>'Rig Sheet '!KK6</f>
        <v>2</v>
      </c>
      <c r="KG5" s="122">
        <f>'Rig Sheet '!KL6</f>
        <v>2</v>
      </c>
      <c r="KH5" s="122">
        <f>'Rig Sheet '!KM6</f>
        <v>3</v>
      </c>
      <c r="KI5" s="122">
        <f>'Rig Sheet '!KN6</f>
        <v>0</v>
      </c>
      <c r="KJ5" s="122">
        <f>'Rig Sheet '!KO6</f>
        <v>3</v>
      </c>
      <c r="KK5" s="122">
        <f>'Rig Sheet '!KP6</f>
        <v>1</v>
      </c>
      <c r="KL5" s="122">
        <f>'Rig Sheet '!KQ6</f>
        <v>2</v>
      </c>
      <c r="KM5" s="122">
        <f>'Rig Sheet '!KR6</f>
        <v>2</v>
      </c>
      <c r="KN5" s="122">
        <f>'Rig Sheet '!KS6</f>
        <v>3</v>
      </c>
      <c r="KO5" s="122">
        <f>'Rig Sheet '!KT6</f>
        <v>0</v>
      </c>
      <c r="KP5" s="122">
        <f>'Rig Sheet '!KU6</f>
        <v>2</v>
      </c>
      <c r="KQ5" s="122">
        <f>'Rig Sheet '!KV6</f>
        <v>0</v>
      </c>
      <c r="KR5" s="122">
        <f>'Rig Sheet '!KW6</f>
        <v>2</v>
      </c>
      <c r="KS5" s="122">
        <f>'Rig Sheet '!KX6</f>
        <v>2</v>
      </c>
      <c r="KT5" s="122">
        <f>'Rig Sheet '!KY6</f>
        <v>1</v>
      </c>
      <c r="KU5" s="122">
        <f>'Rig Sheet '!KZ6</f>
        <v>1</v>
      </c>
      <c r="KV5" s="122">
        <f>'Rig Sheet '!LA6</f>
        <v>0</v>
      </c>
      <c r="KW5" s="122">
        <f>'Rig Sheet '!LB6</f>
        <v>0</v>
      </c>
      <c r="KX5" s="122">
        <f>'Rig Sheet '!LC6</f>
        <v>1</v>
      </c>
      <c r="KY5" s="122">
        <f>'Rig Sheet '!LD6</f>
        <v>0</v>
      </c>
      <c r="KZ5" s="122">
        <f>'Rig Sheet '!LE6</f>
        <v>2</v>
      </c>
      <c r="LA5" s="122">
        <f>'Rig Sheet '!LF6</f>
        <v>0</v>
      </c>
      <c r="LB5" s="122">
        <f>'Rig Sheet '!LG6</f>
        <v>0</v>
      </c>
      <c r="LC5" s="122">
        <f>'Rig Sheet '!LH6</f>
        <v>1</v>
      </c>
      <c r="LD5" s="122">
        <f>'Rig Sheet '!LI6</f>
        <v>1</v>
      </c>
      <c r="LE5" s="122">
        <f>'Rig Sheet '!LJ6</f>
        <v>0</v>
      </c>
      <c r="LF5" s="122">
        <f>'Rig Sheet '!LK6</f>
        <v>1</v>
      </c>
      <c r="LG5" s="122">
        <f>'Rig Sheet '!LL6</f>
        <v>0</v>
      </c>
      <c r="LH5" s="122">
        <f>'Rig Sheet '!LM6</f>
        <v>1</v>
      </c>
      <c r="LI5" s="122">
        <f>'Rig Sheet '!LN6</f>
        <v>0</v>
      </c>
      <c r="LJ5" s="122">
        <f>'Rig Sheet '!LO6</f>
        <v>1</v>
      </c>
      <c r="LK5" s="122">
        <f>'Rig Sheet '!LP6</f>
        <v>1</v>
      </c>
      <c r="LL5" s="122">
        <f>'Rig Sheet '!LQ6</f>
        <v>1</v>
      </c>
      <c r="LM5" s="122">
        <f>'Rig Sheet '!LR6</f>
        <v>0</v>
      </c>
      <c r="LN5" s="122">
        <f>'Rig Sheet '!LS6</f>
        <v>0</v>
      </c>
      <c r="LO5" s="122">
        <f>'Rig Sheet '!LT6</f>
        <v>0</v>
      </c>
      <c r="LP5" s="122">
        <f>'Rig Sheet '!LU6</f>
        <v>2</v>
      </c>
      <c r="LQ5" s="122">
        <f>'Rig Sheet '!LV6</f>
        <v>0</v>
      </c>
      <c r="LR5" s="122">
        <f>'Rig Sheet '!LW6</f>
        <v>1</v>
      </c>
      <c r="LS5" s="122">
        <f>'Rig Sheet '!LX6</f>
        <v>1</v>
      </c>
      <c r="LT5" s="122">
        <f>'Rig Sheet '!LY6</f>
        <v>0</v>
      </c>
      <c r="LU5" s="122">
        <f>'Rig Sheet '!LZ6</f>
        <v>0</v>
      </c>
      <c r="LV5" s="122">
        <f>'Rig Sheet '!MA6</f>
        <v>1</v>
      </c>
      <c r="LW5" s="122">
        <f>'Rig Sheet '!MB6</f>
        <v>0</v>
      </c>
      <c r="LX5" s="122">
        <f>'Rig Sheet '!MC6</f>
        <v>0</v>
      </c>
      <c r="LY5" s="122">
        <f>'Rig Sheet '!MD6</f>
        <v>0</v>
      </c>
      <c r="LZ5" s="122">
        <f>'Rig Sheet '!ME6</f>
        <v>0</v>
      </c>
      <c r="MA5" s="122">
        <f>'Rig Sheet '!MF6</f>
        <v>0</v>
      </c>
      <c r="MB5" s="122">
        <f>'Rig Sheet '!MG6</f>
        <v>0</v>
      </c>
      <c r="MC5" s="122">
        <f>'Rig Sheet '!MH6</f>
        <v>0</v>
      </c>
      <c r="MD5" s="122">
        <f>'Rig Sheet '!MI6</f>
        <v>0</v>
      </c>
      <c r="ME5" s="122">
        <f>'Rig Sheet '!MJ6</f>
        <v>0</v>
      </c>
      <c r="MF5" s="122">
        <f>'Rig Sheet '!MK6</f>
        <v>0</v>
      </c>
      <c r="MG5" s="122">
        <f>'Rig Sheet '!ML6</f>
        <v>0</v>
      </c>
      <c r="MH5" s="122">
        <f>'Rig Sheet '!MM6</f>
        <v>0</v>
      </c>
      <c r="MI5" s="122">
        <f>'Rig Sheet '!MN6</f>
        <v>0</v>
      </c>
      <c r="MJ5" s="122">
        <f>'Rig Sheet '!MO6</f>
        <v>0</v>
      </c>
      <c r="MK5" s="122">
        <f>'Rig Sheet '!MP6</f>
        <v>0</v>
      </c>
      <c r="ML5" s="122">
        <f>'Rig Sheet '!MQ6</f>
        <v>0</v>
      </c>
      <c r="MM5" s="122">
        <f>'Rig Sheet '!MR6</f>
        <v>0</v>
      </c>
      <c r="MN5" s="122">
        <f>'Rig Sheet '!MS6</f>
        <v>0</v>
      </c>
      <c r="MO5" s="122">
        <f>'Rig Sheet '!MT6</f>
        <v>0</v>
      </c>
      <c r="MP5" s="122">
        <f>'Rig Sheet '!MU6</f>
        <v>0</v>
      </c>
      <c r="MQ5" s="122">
        <f>'Rig Sheet '!MV6</f>
        <v>0</v>
      </c>
      <c r="MR5" s="122">
        <f>'Rig Sheet '!MW6</f>
        <v>0</v>
      </c>
      <c r="MS5" s="122">
        <f>'Rig Sheet '!MX6</f>
        <v>0</v>
      </c>
      <c r="MT5" s="122">
        <f>'Rig Sheet '!MY6</f>
        <v>0</v>
      </c>
      <c r="MU5" s="122">
        <f>'Rig Sheet '!MZ6</f>
        <v>0</v>
      </c>
      <c r="MV5" s="122">
        <f>'Rig Sheet '!NA6</f>
        <v>0</v>
      </c>
      <c r="MW5" s="122">
        <f>'Rig Sheet '!NB6</f>
        <v>0</v>
      </c>
      <c r="MX5" s="122">
        <f>'Rig Sheet '!NC6</f>
        <v>0</v>
      </c>
      <c r="MY5" s="122">
        <f>'Rig Sheet '!ND6</f>
        <v>0</v>
      </c>
      <c r="MZ5" s="122">
        <f>'Rig Sheet '!NE6</f>
        <v>0</v>
      </c>
      <c r="NA5" s="122">
        <f>'Rig Sheet '!NF6</f>
        <v>0</v>
      </c>
      <c r="NB5" s="122">
        <f>'Rig Sheet '!NG6</f>
        <v>0</v>
      </c>
    </row>
    <row r="6" spans="1:366">
      <c r="A6" s="119" t="s">
        <v>8</v>
      </c>
      <c r="B6" s="121">
        <f>'Rig Sheet '!G7</f>
        <v>0</v>
      </c>
      <c r="C6" s="121">
        <f>'Rig Sheet '!H7</f>
        <v>0</v>
      </c>
      <c r="D6" s="121">
        <f>'Rig Sheet '!I7</f>
        <v>0</v>
      </c>
      <c r="E6" s="121">
        <f>'Rig Sheet '!J7</f>
        <v>0</v>
      </c>
      <c r="F6" s="121">
        <f>'Rig Sheet '!K7</f>
        <v>0</v>
      </c>
      <c r="G6" s="121">
        <f>'Rig Sheet '!L7</f>
        <v>0</v>
      </c>
      <c r="H6" s="121">
        <f>'Rig Sheet '!M7</f>
        <v>0</v>
      </c>
      <c r="I6" s="121">
        <f>'Rig Sheet '!N7</f>
        <v>0</v>
      </c>
      <c r="J6" s="121">
        <f>'Rig Sheet '!O7</f>
        <v>0</v>
      </c>
      <c r="K6" s="121">
        <f>'Rig Sheet '!P7</f>
        <v>1</v>
      </c>
      <c r="L6" s="121">
        <f>'Rig Sheet '!Q7</f>
        <v>0</v>
      </c>
      <c r="M6" s="121">
        <f>'Rig Sheet '!R7</f>
        <v>0</v>
      </c>
      <c r="N6" s="121">
        <f>'Rig Sheet '!S7</f>
        <v>0</v>
      </c>
      <c r="O6" s="121">
        <f>'Rig Sheet '!T7</f>
        <v>0</v>
      </c>
      <c r="P6" s="121">
        <f>'Rig Sheet '!U7</f>
        <v>0</v>
      </c>
      <c r="Q6" s="121">
        <f>'Rig Sheet '!V7</f>
        <v>4</v>
      </c>
      <c r="R6" s="121">
        <f>'Rig Sheet '!W7</f>
        <v>3</v>
      </c>
      <c r="S6" s="121">
        <f>'Rig Sheet '!X7</f>
        <v>2</v>
      </c>
      <c r="T6" s="121">
        <f>'Rig Sheet '!Y7</f>
        <v>3</v>
      </c>
      <c r="U6" s="121">
        <f>'Rig Sheet '!Z7</f>
        <v>0</v>
      </c>
      <c r="V6" s="121">
        <f>'Rig Sheet '!AA7</f>
        <v>1</v>
      </c>
      <c r="W6" s="121">
        <f>'Rig Sheet '!AB7</f>
        <v>0</v>
      </c>
      <c r="X6" s="121">
        <f>'Rig Sheet '!AC7</f>
        <v>0</v>
      </c>
      <c r="Y6" s="121">
        <f>'Rig Sheet '!AD7</f>
        <v>1</v>
      </c>
      <c r="Z6" s="121">
        <f>'Rig Sheet '!AE7</f>
        <v>0</v>
      </c>
      <c r="AA6" s="121">
        <f>'Rig Sheet '!AF7</f>
        <v>0</v>
      </c>
      <c r="AB6" s="121">
        <f>'Rig Sheet '!AG7</f>
        <v>0</v>
      </c>
      <c r="AC6" s="121">
        <f>'Rig Sheet '!AH7</f>
        <v>0</v>
      </c>
      <c r="AD6" s="121">
        <f>'Rig Sheet '!AI7</f>
        <v>1</v>
      </c>
      <c r="AE6" s="121">
        <f>'Rig Sheet '!AJ7</f>
        <v>2</v>
      </c>
      <c r="AF6" s="121">
        <f>'Rig Sheet '!AK7</f>
        <v>2</v>
      </c>
      <c r="AG6" s="121">
        <f>'Rig Sheet '!AL7</f>
        <v>0</v>
      </c>
      <c r="AH6" s="121">
        <f>'Rig Sheet '!AM7</f>
        <v>0</v>
      </c>
      <c r="AI6" s="121">
        <f>'Rig Sheet '!AN7</f>
        <v>1</v>
      </c>
      <c r="AJ6" s="121">
        <f>'Rig Sheet '!AO7</f>
        <v>0</v>
      </c>
      <c r="AK6" s="121">
        <f>'Rig Sheet '!AP7</f>
        <v>0</v>
      </c>
      <c r="AL6" s="121">
        <f>'Rig Sheet '!AQ7</f>
        <v>0</v>
      </c>
      <c r="AM6" s="121">
        <f>'Rig Sheet '!AR7</f>
        <v>1</v>
      </c>
      <c r="AN6" s="121">
        <f>'Rig Sheet '!AS7</f>
        <v>0</v>
      </c>
      <c r="AO6" s="121">
        <f>'Rig Sheet '!AT7</f>
        <v>0</v>
      </c>
      <c r="AP6" s="121">
        <f>'Rig Sheet '!AU7</f>
        <v>0</v>
      </c>
      <c r="AQ6" s="121">
        <f>'Rig Sheet '!AV7</f>
        <v>0</v>
      </c>
      <c r="AR6" s="121">
        <f>'Rig Sheet '!AW7</f>
        <v>0</v>
      </c>
      <c r="AS6" s="121">
        <f>'Rig Sheet '!AX7</f>
        <v>1</v>
      </c>
      <c r="AT6" s="121">
        <f>'Rig Sheet '!AY7</f>
        <v>1</v>
      </c>
      <c r="AU6" s="121">
        <f>'Rig Sheet '!AZ7</f>
        <v>0</v>
      </c>
      <c r="AV6" s="121">
        <f>'Rig Sheet '!BA7</f>
        <v>0</v>
      </c>
      <c r="AW6" s="121">
        <f>'Rig Sheet '!BB7</f>
        <v>0</v>
      </c>
      <c r="AX6" s="121">
        <f>'Rig Sheet '!BC7</f>
        <v>0</v>
      </c>
      <c r="AY6" s="121">
        <f>'Rig Sheet '!BD7</f>
        <v>0</v>
      </c>
      <c r="AZ6" s="121">
        <f>'Rig Sheet '!BE7</f>
        <v>0</v>
      </c>
      <c r="BA6" s="121">
        <f>'Rig Sheet '!BF7</f>
        <v>0</v>
      </c>
      <c r="BB6" s="121">
        <f>'Rig Sheet '!BG7</f>
        <v>2</v>
      </c>
      <c r="BC6" s="121">
        <f>'Rig Sheet '!BH7</f>
        <v>2</v>
      </c>
      <c r="BD6" s="121">
        <f>'Rig Sheet '!BI7</f>
        <v>0</v>
      </c>
      <c r="BE6" s="121">
        <f>'Rig Sheet '!BJ7</f>
        <v>0</v>
      </c>
      <c r="BF6" s="121">
        <f>'Rig Sheet '!BK7</f>
        <v>0</v>
      </c>
      <c r="BG6" s="121">
        <f>'Rig Sheet '!BL7</f>
        <v>0</v>
      </c>
      <c r="BH6" s="121">
        <f>'Rig Sheet '!BM7</f>
        <v>0</v>
      </c>
      <c r="BI6" s="121">
        <f>'Rig Sheet '!BN7</f>
        <v>0</v>
      </c>
      <c r="BJ6" s="121">
        <f>'Rig Sheet '!BO7</f>
        <v>0</v>
      </c>
      <c r="BK6" s="121">
        <f>'Rig Sheet '!BP7</f>
        <v>0</v>
      </c>
      <c r="BL6" s="121">
        <f>'Rig Sheet '!BQ7</f>
        <v>0</v>
      </c>
      <c r="BM6" s="121">
        <f>'Rig Sheet '!BR7</f>
        <v>0</v>
      </c>
      <c r="BN6" s="121">
        <f>'Rig Sheet '!BS7</f>
        <v>0</v>
      </c>
      <c r="BO6" s="121">
        <f>'Rig Sheet '!BT7</f>
        <v>0</v>
      </c>
      <c r="BP6" s="121">
        <f>'Rig Sheet '!BU7</f>
        <v>0</v>
      </c>
      <c r="BQ6" s="121">
        <f>'Rig Sheet '!BV7</f>
        <v>0</v>
      </c>
      <c r="BR6" s="121">
        <f>'Rig Sheet '!BW7</f>
        <v>0</v>
      </c>
      <c r="BS6" s="121">
        <f>'Rig Sheet '!BX7</f>
        <v>0</v>
      </c>
      <c r="BT6" s="121">
        <f>'Rig Sheet '!BY7</f>
        <v>0</v>
      </c>
      <c r="BU6" s="121">
        <f>'Rig Sheet '!BZ7</f>
        <v>0</v>
      </c>
      <c r="BV6" s="121">
        <f>'Rig Sheet '!CA7</f>
        <v>0</v>
      </c>
      <c r="BW6" s="121">
        <f>'Rig Sheet '!CB7</f>
        <v>0</v>
      </c>
      <c r="BX6" s="121">
        <f>'Rig Sheet '!CC7</f>
        <v>0</v>
      </c>
      <c r="BY6" s="121">
        <f>'Rig Sheet '!CD7</f>
        <v>0</v>
      </c>
      <c r="BZ6" s="121">
        <f>'Rig Sheet '!CE7</f>
        <v>1</v>
      </c>
      <c r="CA6" s="121">
        <f>'Rig Sheet '!CF7</f>
        <v>2</v>
      </c>
      <c r="CB6" s="121">
        <f>'Rig Sheet '!CG7</f>
        <v>0</v>
      </c>
      <c r="CC6" s="121">
        <f>'Rig Sheet '!CH7</f>
        <v>0</v>
      </c>
      <c r="CD6" s="121">
        <f>'Rig Sheet '!CI7</f>
        <v>2</v>
      </c>
      <c r="CE6" s="121">
        <f>'Rig Sheet '!CJ7</f>
        <v>0</v>
      </c>
      <c r="CF6" s="121">
        <f>'Rig Sheet '!CK7</f>
        <v>0</v>
      </c>
      <c r="CG6" s="121">
        <f>'Rig Sheet '!CL7</f>
        <v>0</v>
      </c>
      <c r="CH6" s="121">
        <f>'Rig Sheet '!CM7</f>
        <v>0</v>
      </c>
      <c r="CI6" s="121">
        <f>'Rig Sheet '!CN7</f>
        <v>0</v>
      </c>
      <c r="CJ6" s="121">
        <f>'Rig Sheet '!CO7</f>
        <v>0</v>
      </c>
      <c r="CK6" s="121">
        <f>'Rig Sheet '!CP7</f>
        <v>0</v>
      </c>
      <c r="CL6" s="121">
        <f>'Rig Sheet '!CQ7</f>
        <v>1</v>
      </c>
      <c r="CM6" s="121">
        <f>'Rig Sheet '!CR7</f>
        <v>1</v>
      </c>
      <c r="CN6" s="121">
        <f>'Rig Sheet '!CS7</f>
        <v>0</v>
      </c>
      <c r="CO6" s="121">
        <f>'Rig Sheet '!CT7</f>
        <v>1</v>
      </c>
      <c r="CP6" s="121">
        <f>'Rig Sheet '!CU7</f>
        <v>0</v>
      </c>
      <c r="CQ6" s="121">
        <f>'Rig Sheet '!CV7</f>
        <v>0</v>
      </c>
      <c r="CR6" s="121">
        <f>'Rig Sheet '!CW7</f>
        <v>2</v>
      </c>
      <c r="CS6" s="121">
        <f>'Rig Sheet '!CX7</f>
        <v>0</v>
      </c>
      <c r="CT6" s="121">
        <f>'Rig Sheet '!CY7</f>
        <v>0</v>
      </c>
      <c r="CU6" s="121">
        <f>'Rig Sheet '!CZ7</f>
        <v>0</v>
      </c>
      <c r="CV6" s="121">
        <f>'Rig Sheet '!DA7</f>
        <v>0</v>
      </c>
      <c r="CW6" s="121">
        <f>'Rig Sheet '!DB7</f>
        <v>0</v>
      </c>
      <c r="CX6" s="121">
        <f>'Rig Sheet '!DC7</f>
        <v>0</v>
      </c>
      <c r="CY6" s="121">
        <f>'Rig Sheet '!DD7</f>
        <v>0</v>
      </c>
      <c r="CZ6" s="121">
        <f>'Rig Sheet '!DE7</f>
        <v>0</v>
      </c>
      <c r="DA6" s="121">
        <f>'Rig Sheet '!DF7</f>
        <v>0</v>
      </c>
      <c r="DB6" s="121">
        <f>'Rig Sheet '!DG7</f>
        <v>0</v>
      </c>
      <c r="DC6" s="121">
        <f>'Rig Sheet '!DH7</f>
        <v>0</v>
      </c>
      <c r="DD6" s="121">
        <f>'Rig Sheet '!DI7</f>
        <v>0</v>
      </c>
      <c r="DE6" s="121">
        <f>'Rig Sheet '!DJ7</f>
        <v>0</v>
      </c>
      <c r="DF6" s="121">
        <f>'Rig Sheet '!DK7</f>
        <v>0</v>
      </c>
      <c r="DG6" s="121">
        <f>'Rig Sheet '!DL7</f>
        <v>0</v>
      </c>
      <c r="DH6" s="121">
        <f>'Rig Sheet '!DM7</f>
        <v>0</v>
      </c>
      <c r="DI6" s="121">
        <f>'Rig Sheet '!DN7</f>
        <v>0</v>
      </c>
      <c r="DJ6" s="121">
        <f>'Rig Sheet '!DO7</f>
        <v>0</v>
      </c>
      <c r="DK6" s="121">
        <f>'Rig Sheet '!DP7</f>
        <v>0</v>
      </c>
      <c r="DL6" s="121">
        <f>'Rig Sheet '!DQ7</f>
        <v>0</v>
      </c>
      <c r="DM6" s="121">
        <f>'Rig Sheet '!DR7</f>
        <v>0</v>
      </c>
      <c r="DN6" s="121">
        <f>'Rig Sheet '!DS7</f>
        <v>0</v>
      </c>
      <c r="DO6" s="121">
        <f>'Rig Sheet '!DT7</f>
        <v>0</v>
      </c>
      <c r="DP6" s="121">
        <f>'Rig Sheet '!DU7</f>
        <v>0</v>
      </c>
      <c r="DQ6" s="121">
        <f>'Rig Sheet '!DV7</f>
        <v>0</v>
      </c>
      <c r="DR6" s="121">
        <f>'Rig Sheet '!DW7</f>
        <v>0</v>
      </c>
      <c r="DS6" s="121">
        <f>'Rig Sheet '!DX7</f>
        <v>0</v>
      </c>
      <c r="DT6" s="121">
        <f>'Rig Sheet '!DY7</f>
        <v>0</v>
      </c>
      <c r="DU6" s="121">
        <f>'Rig Sheet '!DZ7</f>
        <v>0</v>
      </c>
      <c r="DV6" s="121">
        <f>'Rig Sheet '!EA7</f>
        <v>0</v>
      </c>
      <c r="DW6" s="121">
        <f>'Rig Sheet '!EB7</f>
        <v>0</v>
      </c>
      <c r="DX6" s="121">
        <f>'Rig Sheet '!EC7</f>
        <v>0</v>
      </c>
      <c r="DY6" s="121">
        <f>'Rig Sheet '!ED7</f>
        <v>1</v>
      </c>
      <c r="DZ6" s="121">
        <f>'Rig Sheet '!EE7</f>
        <v>3</v>
      </c>
      <c r="EA6" s="121">
        <f>'Rig Sheet '!EF7</f>
        <v>0</v>
      </c>
      <c r="EB6" s="121">
        <f>'Rig Sheet '!EG7</f>
        <v>0</v>
      </c>
      <c r="EC6" s="121">
        <f>'Rig Sheet '!EH7</f>
        <v>0</v>
      </c>
      <c r="ED6" s="121">
        <f>'Rig Sheet '!EI7</f>
        <v>2</v>
      </c>
      <c r="EE6" s="121">
        <f>'Rig Sheet '!EJ7</f>
        <v>0</v>
      </c>
      <c r="EF6" s="121">
        <f>'Rig Sheet '!EK7</f>
        <v>2</v>
      </c>
      <c r="EG6" s="121">
        <f>'Rig Sheet '!EL7</f>
        <v>0</v>
      </c>
      <c r="EH6" s="121">
        <f>'Rig Sheet '!EM7</f>
        <v>0</v>
      </c>
      <c r="EI6" s="121">
        <f>'Rig Sheet '!EN7</f>
        <v>0</v>
      </c>
      <c r="EJ6" s="121">
        <f>'Rig Sheet '!EO7</f>
        <v>0</v>
      </c>
      <c r="EK6" s="121">
        <f>'Rig Sheet '!EP7</f>
        <v>0</v>
      </c>
      <c r="EL6" s="121">
        <f>'Rig Sheet '!EQ7</f>
        <v>0</v>
      </c>
      <c r="EM6" s="121">
        <f>'Rig Sheet '!ER7</f>
        <v>0</v>
      </c>
      <c r="EN6" s="121">
        <f>'Rig Sheet '!ES7</f>
        <v>0</v>
      </c>
      <c r="EO6" s="121">
        <f>'Rig Sheet '!ET7</f>
        <v>0</v>
      </c>
      <c r="EP6" s="121">
        <f>'Rig Sheet '!EU7</f>
        <v>0</v>
      </c>
      <c r="EQ6" s="121">
        <f>'Rig Sheet '!EV7</f>
        <v>0</v>
      </c>
      <c r="ER6" s="121">
        <f>'Rig Sheet '!EW7</f>
        <v>0</v>
      </c>
      <c r="ES6" s="121">
        <f>'Rig Sheet '!EX7</f>
        <v>0</v>
      </c>
      <c r="ET6" s="121">
        <f>'Rig Sheet '!EY7</f>
        <v>0</v>
      </c>
      <c r="EU6" s="121">
        <f>'Rig Sheet '!EZ7</f>
        <v>0</v>
      </c>
      <c r="EV6" s="121">
        <f>'Rig Sheet '!FA7</f>
        <v>0</v>
      </c>
      <c r="EW6" s="121">
        <f>'Rig Sheet '!FB7</f>
        <v>0</v>
      </c>
      <c r="EX6" s="121">
        <f>'Rig Sheet '!FC7</f>
        <v>0</v>
      </c>
      <c r="EY6" s="121">
        <f>'Rig Sheet '!FD7</f>
        <v>0</v>
      </c>
      <c r="EZ6" s="121">
        <f>'Rig Sheet '!FE7</f>
        <v>0</v>
      </c>
      <c r="FA6" s="121">
        <f>'Rig Sheet '!FF7</f>
        <v>0</v>
      </c>
      <c r="FB6" s="121">
        <f>'Rig Sheet '!FG7</f>
        <v>0</v>
      </c>
      <c r="FC6" s="121">
        <f>'Rig Sheet '!FH7</f>
        <v>0</v>
      </c>
      <c r="FD6" s="121">
        <f>'Rig Sheet '!FI7</f>
        <v>0</v>
      </c>
      <c r="FE6" s="121">
        <f>'Rig Sheet '!FJ7</f>
        <v>0</v>
      </c>
      <c r="FF6" s="121">
        <f>'Rig Sheet '!FK7</f>
        <v>2</v>
      </c>
      <c r="FG6" s="121">
        <f>'Rig Sheet '!FL7</f>
        <v>0</v>
      </c>
      <c r="FH6" s="121">
        <f>'Rig Sheet '!FM7</f>
        <v>0</v>
      </c>
      <c r="FI6" s="121">
        <f>'Rig Sheet '!FN7</f>
        <v>0</v>
      </c>
      <c r="FJ6" s="121">
        <f>'Rig Sheet '!FO7</f>
        <v>0</v>
      </c>
      <c r="FK6" s="121">
        <f>'Rig Sheet '!FP7</f>
        <v>0</v>
      </c>
      <c r="FL6" s="121">
        <f>'Rig Sheet '!FQ7</f>
        <v>0</v>
      </c>
      <c r="FM6" s="121">
        <f>'Rig Sheet '!FR7</f>
        <v>0</v>
      </c>
      <c r="FN6" s="121">
        <f>'Rig Sheet '!FS7</f>
        <v>0</v>
      </c>
      <c r="FO6" s="121">
        <f>'Rig Sheet '!FT7</f>
        <v>0</v>
      </c>
      <c r="FP6" s="121">
        <f>'Rig Sheet '!FU7</f>
        <v>0</v>
      </c>
      <c r="FQ6" s="121">
        <f>'Rig Sheet '!FV7</f>
        <v>0</v>
      </c>
      <c r="FR6" s="121">
        <f>'Rig Sheet '!FW7</f>
        <v>0</v>
      </c>
      <c r="FS6" s="121">
        <f>'Rig Sheet '!FX7</f>
        <v>0</v>
      </c>
      <c r="FT6" s="121">
        <f>'Rig Sheet '!FY7</f>
        <v>0</v>
      </c>
      <c r="FU6" s="121">
        <f>'Rig Sheet '!FZ7</f>
        <v>0</v>
      </c>
      <c r="FV6" s="121">
        <f>'Rig Sheet '!GA7</f>
        <v>0</v>
      </c>
      <c r="FW6" s="121">
        <f>'Rig Sheet '!GB7</f>
        <v>0</v>
      </c>
      <c r="FX6" s="121">
        <f>'Rig Sheet '!GC7</f>
        <v>0</v>
      </c>
      <c r="FY6" s="121">
        <f>'Rig Sheet '!GD7</f>
        <v>1</v>
      </c>
      <c r="FZ6" s="121">
        <f>'Rig Sheet '!GE7</f>
        <v>0</v>
      </c>
      <c r="GA6" s="121">
        <f>'Rig Sheet '!GF7</f>
        <v>0</v>
      </c>
      <c r="GB6" s="121">
        <f>'Rig Sheet '!GG7</f>
        <v>0</v>
      </c>
      <c r="GC6" s="121">
        <f>'Rig Sheet '!GH7</f>
        <v>0</v>
      </c>
      <c r="GD6" s="121">
        <f>'Rig Sheet '!GI7</f>
        <v>0</v>
      </c>
      <c r="GE6" s="121">
        <f>'Rig Sheet '!GJ7</f>
        <v>0</v>
      </c>
      <c r="GF6" s="121">
        <f>'Rig Sheet '!GK7</f>
        <v>0</v>
      </c>
      <c r="GG6" s="121">
        <f>'Rig Sheet '!GL7</f>
        <v>1</v>
      </c>
      <c r="GH6" s="121">
        <f>'Rig Sheet '!GM7</f>
        <v>0</v>
      </c>
      <c r="GI6" s="121">
        <f>'Rig Sheet '!GN7</f>
        <v>1</v>
      </c>
      <c r="GJ6" s="121">
        <f>'Rig Sheet '!GO7</f>
        <v>1</v>
      </c>
      <c r="GK6" s="121">
        <f>'Rig Sheet '!GP7</f>
        <v>1</v>
      </c>
      <c r="GL6" s="121">
        <f>'Rig Sheet '!GQ7</f>
        <v>0</v>
      </c>
      <c r="GM6" s="121">
        <f>'Rig Sheet '!GR7</f>
        <v>3</v>
      </c>
      <c r="GN6" s="121">
        <f>'Rig Sheet '!GS7</f>
        <v>1</v>
      </c>
      <c r="GO6" s="121">
        <f>'Rig Sheet '!GT7</f>
        <v>0</v>
      </c>
      <c r="GP6" s="121">
        <f>'Rig Sheet '!GU7</f>
        <v>0</v>
      </c>
      <c r="GQ6" s="121">
        <f>'Rig Sheet '!GV7</f>
        <v>0</v>
      </c>
      <c r="GR6" s="121">
        <f>'Rig Sheet '!GW7</f>
        <v>0</v>
      </c>
      <c r="GS6" s="121">
        <f>'Rig Sheet '!GX7</f>
        <v>0</v>
      </c>
      <c r="GT6" s="121">
        <f>'Rig Sheet '!GY7</f>
        <v>0</v>
      </c>
      <c r="GU6" s="121">
        <f>'Rig Sheet '!GZ7</f>
        <v>1</v>
      </c>
      <c r="GV6" s="121">
        <f>'Rig Sheet '!HA7</f>
        <v>0</v>
      </c>
      <c r="GW6" s="121">
        <f>'Rig Sheet '!HB7</f>
        <v>0</v>
      </c>
      <c r="GX6" s="121">
        <f>'Rig Sheet '!HC7</f>
        <v>0</v>
      </c>
      <c r="GY6" s="121">
        <f>'Rig Sheet '!HD7</f>
        <v>0</v>
      </c>
      <c r="GZ6" s="121">
        <f>'Rig Sheet '!HE7</f>
        <v>0</v>
      </c>
      <c r="HA6" s="121">
        <f>'Rig Sheet '!HF7</f>
        <v>0</v>
      </c>
      <c r="HB6" s="121">
        <f>'Rig Sheet '!HG7</f>
        <v>0</v>
      </c>
      <c r="HC6" s="121">
        <f>'Rig Sheet '!HH7</f>
        <v>0</v>
      </c>
      <c r="HD6" s="121">
        <f>'Rig Sheet '!HI7</f>
        <v>1</v>
      </c>
      <c r="HE6" s="121">
        <f>'Rig Sheet '!HJ7</f>
        <v>1</v>
      </c>
      <c r="HF6" s="121">
        <f>'Rig Sheet '!HK7</f>
        <v>3</v>
      </c>
      <c r="HG6" s="121">
        <f>'Rig Sheet '!HL7</f>
        <v>0</v>
      </c>
      <c r="HH6" s="121">
        <f>'Rig Sheet '!HM7</f>
        <v>0</v>
      </c>
      <c r="HI6" s="121">
        <f>'Rig Sheet '!HN7</f>
        <v>0</v>
      </c>
      <c r="HJ6" s="121">
        <f>'Rig Sheet '!HO7</f>
        <v>1</v>
      </c>
      <c r="HK6" s="121">
        <f>'Rig Sheet '!HP7</f>
        <v>2</v>
      </c>
      <c r="HL6" s="121">
        <f>'Rig Sheet '!HQ7</f>
        <v>0</v>
      </c>
      <c r="HM6" s="121">
        <f>'Rig Sheet '!HR7</f>
        <v>0</v>
      </c>
      <c r="HN6" s="121">
        <f>'Rig Sheet '!HS7</f>
        <v>1</v>
      </c>
      <c r="HO6" s="121">
        <f>'Rig Sheet '!HT7</f>
        <v>0</v>
      </c>
      <c r="HP6" s="121">
        <f>'Rig Sheet '!HU7</f>
        <v>1</v>
      </c>
      <c r="HQ6" s="121">
        <f>'Rig Sheet '!HV7</f>
        <v>0</v>
      </c>
      <c r="HR6" s="121">
        <f>'Rig Sheet '!HW7</f>
        <v>1</v>
      </c>
      <c r="HS6" s="121">
        <f>'Rig Sheet '!HX7</f>
        <v>0</v>
      </c>
      <c r="HT6" s="121">
        <f>'Rig Sheet '!HY7</f>
        <v>0</v>
      </c>
      <c r="HU6" s="121">
        <f>'Rig Sheet '!HZ7</f>
        <v>1</v>
      </c>
      <c r="HV6" s="121">
        <f>'Rig Sheet '!IA7</f>
        <v>0</v>
      </c>
      <c r="HW6" s="121">
        <f>'Rig Sheet '!IB7</f>
        <v>1</v>
      </c>
      <c r="HX6" s="121">
        <f>'Rig Sheet '!IC7</f>
        <v>0</v>
      </c>
      <c r="HY6" s="121">
        <f>'Rig Sheet '!ID7</f>
        <v>0</v>
      </c>
      <c r="HZ6" s="121">
        <f>'Rig Sheet '!IE7</f>
        <v>0</v>
      </c>
      <c r="IA6" s="121">
        <f>'Rig Sheet '!IF7</f>
        <v>0</v>
      </c>
      <c r="IB6" s="121">
        <f>'Rig Sheet '!IG7</f>
        <v>1</v>
      </c>
      <c r="IC6" s="121">
        <f>'Rig Sheet '!IH7</f>
        <v>0</v>
      </c>
      <c r="ID6" s="121">
        <f>'Rig Sheet '!II7</f>
        <v>1</v>
      </c>
      <c r="IE6" s="121">
        <f>'Rig Sheet '!IJ7</f>
        <v>0</v>
      </c>
      <c r="IF6" s="121">
        <f>'Rig Sheet '!IK7</f>
        <v>0</v>
      </c>
      <c r="IG6" s="121">
        <f>'Rig Sheet '!IL7</f>
        <v>0</v>
      </c>
      <c r="IH6" s="121">
        <f>'Rig Sheet '!IM7</f>
        <v>0</v>
      </c>
      <c r="II6" s="121">
        <f>'Rig Sheet '!IN7</f>
        <v>0</v>
      </c>
      <c r="IJ6" s="121">
        <f>'Rig Sheet '!IO7</f>
        <v>0</v>
      </c>
      <c r="IK6" s="121">
        <f>'Rig Sheet '!IP7</f>
        <v>0</v>
      </c>
      <c r="IL6" s="121">
        <f>'Rig Sheet '!IQ7</f>
        <v>0</v>
      </c>
      <c r="IM6" s="121">
        <f>'Rig Sheet '!IR7</f>
        <v>0</v>
      </c>
      <c r="IN6" s="121">
        <f>'Rig Sheet '!IS7</f>
        <v>0</v>
      </c>
      <c r="IO6" s="121">
        <f>'Rig Sheet '!IT7</f>
        <v>0</v>
      </c>
      <c r="IP6" s="121">
        <f>'Rig Sheet '!IU7</f>
        <v>0</v>
      </c>
      <c r="IQ6" s="121">
        <f>'Rig Sheet '!IV7</f>
        <v>0</v>
      </c>
      <c r="IR6" s="121">
        <f>'Rig Sheet '!IW7</f>
        <v>0</v>
      </c>
      <c r="IS6" s="121">
        <f>'Rig Sheet '!IX7</f>
        <v>0</v>
      </c>
      <c r="IT6" s="121">
        <f>'Rig Sheet '!IY7</f>
        <v>0</v>
      </c>
      <c r="IU6" s="121">
        <f>'Rig Sheet '!IZ7</f>
        <v>0</v>
      </c>
      <c r="IV6" s="121">
        <f>'Rig Sheet '!JA7</f>
        <v>0</v>
      </c>
      <c r="IW6" s="121">
        <f>'Rig Sheet '!JB7</f>
        <v>0</v>
      </c>
      <c r="IX6" s="121">
        <f>'Rig Sheet '!JC7</f>
        <v>0</v>
      </c>
      <c r="IY6" s="121">
        <f>'Rig Sheet '!JD7</f>
        <v>0</v>
      </c>
      <c r="IZ6" s="121">
        <f>'Rig Sheet '!JE7</f>
        <v>0</v>
      </c>
      <c r="JA6" s="121">
        <f>'Rig Sheet '!JF7</f>
        <v>0</v>
      </c>
      <c r="JB6" s="121">
        <f>'Rig Sheet '!JG7</f>
        <v>0</v>
      </c>
      <c r="JC6" s="121">
        <f>'Rig Sheet '!JH7</f>
        <v>0</v>
      </c>
      <c r="JD6" s="121">
        <f>'Rig Sheet '!JI7</f>
        <v>0</v>
      </c>
      <c r="JE6" s="121">
        <f>'Rig Sheet '!JJ7</f>
        <v>0</v>
      </c>
      <c r="JF6" s="121">
        <f>'Rig Sheet '!JK7</f>
        <v>0</v>
      </c>
      <c r="JG6" s="121">
        <f>'Rig Sheet '!JL7</f>
        <v>0</v>
      </c>
      <c r="JH6" s="121">
        <f>'Rig Sheet '!JM7</f>
        <v>0</v>
      </c>
      <c r="JI6" s="121">
        <f>'Rig Sheet '!JN7</f>
        <v>0</v>
      </c>
      <c r="JJ6" s="121">
        <f>'Rig Sheet '!JO7</f>
        <v>0</v>
      </c>
      <c r="JK6" s="121">
        <f>'Rig Sheet '!JP7</f>
        <v>0</v>
      </c>
      <c r="JL6" s="121">
        <f>'Rig Sheet '!JQ7</f>
        <v>0</v>
      </c>
      <c r="JM6" s="121">
        <f>'Rig Sheet '!JR7</f>
        <v>0</v>
      </c>
      <c r="JN6" s="121">
        <f>'Rig Sheet '!JS7</f>
        <v>0</v>
      </c>
      <c r="JO6" s="121">
        <f>'Rig Sheet '!JT7</f>
        <v>0</v>
      </c>
      <c r="JP6" s="121">
        <f>'Rig Sheet '!JU7</f>
        <v>0</v>
      </c>
      <c r="JQ6" s="121">
        <f>'Rig Sheet '!JV7</f>
        <v>0</v>
      </c>
      <c r="JR6" s="121">
        <f>'Rig Sheet '!JW7</f>
        <v>0</v>
      </c>
      <c r="JS6" s="121">
        <f>'Rig Sheet '!JX7</f>
        <v>0</v>
      </c>
      <c r="JT6" s="121">
        <f>'Rig Sheet '!JY7</f>
        <v>0</v>
      </c>
      <c r="JU6" s="121">
        <f>'Rig Sheet '!JZ7</f>
        <v>0</v>
      </c>
      <c r="JV6" s="121">
        <f>'Rig Sheet '!KA7</f>
        <v>0</v>
      </c>
      <c r="JW6" s="121">
        <f>'Rig Sheet '!KB7</f>
        <v>0</v>
      </c>
      <c r="JX6" s="121">
        <f>'Rig Sheet '!KC7</f>
        <v>0</v>
      </c>
      <c r="JY6" s="121">
        <f>'Rig Sheet '!KD7</f>
        <v>0</v>
      </c>
      <c r="JZ6" s="121">
        <f>'Rig Sheet '!KE7</f>
        <v>0</v>
      </c>
      <c r="KA6" s="121">
        <f>'Rig Sheet '!KF7</f>
        <v>0</v>
      </c>
      <c r="KB6" s="121">
        <f>'Rig Sheet '!KG7</f>
        <v>0</v>
      </c>
      <c r="KC6" s="121">
        <f>'Rig Sheet '!KH7</f>
        <v>0</v>
      </c>
      <c r="KD6" s="121">
        <f>'Rig Sheet '!KI7</f>
        <v>0</v>
      </c>
      <c r="KE6" s="121">
        <f>'Rig Sheet '!KJ7</f>
        <v>0</v>
      </c>
      <c r="KF6" s="121">
        <f>'Rig Sheet '!KK7</f>
        <v>0</v>
      </c>
      <c r="KG6" s="121">
        <f>'Rig Sheet '!KL7</f>
        <v>0</v>
      </c>
      <c r="KH6" s="121">
        <f>'Rig Sheet '!KM7</f>
        <v>0</v>
      </c>
      <c r="KI6" s="121">
        <f>'Rig Sheet '!KN7</f>
        <v>0</v>
      </c>
      <c r="KJ6" s="121">
        <f>'Rig Sheet '!KO7</f>
        <v>0</v>
      </c>
      <c r="KK6" s="121">
        <f>'Rig Sheet '!KP7</f>
        <v>0</v>
      </c>
      <c r="KL6" s="121">
        <f>'Rig Sheet '!KQ7</f>
        <v>0</v>
      </c>
      <c r="KM6" s="121">
        <f>'Rig Sheet '!KR7</f>
        <v>0</v>
      </c>
      <c r="KN6" s="121">
        <f>'Rig Sheet '!KS7</f>
        <v>0</v>
      </c>
      <c r="KO6" s="121">
        <f>'Rig Sheet '!KT7</f>
        <v>0</v>
      </c>
      <c r="KP6" s="121">
        <f>'Rig Sheet '!KU7</f>
        <v>0</v>
      </c>
      <c r="KQ6" s="121">
        <f>'Rig Sheet '!KV7</f>
        <v>0</v>
      </c>
      <c r="KR6" s="121">
        <f>'Rig Sheet '!KW7</f>
        <v>0</v>
      </c>
      <c r="KS6" s="121">
        <f>'Rig Sheet '!KX7</f>
        <v>0</v>
      </c>
      <c r="KT6" s="121">
        <f>'Rig Sheet '!KY7</f>
        <v>0</v>
      </c>
      <c r="KU6" s="121">
        <f>'Rig Sheet '!KZ7</f>
        <v>0</v>
      </c>
      <c r="KV6" s="121">
        <f>'Rig Sheet '!LA7</f>
        <v>0</v>
      </c>
      <c r="KW6" s="121">
        <f>'Rig Sheet '!LB7</f>
        <v>0</v>
      </c>
      <c r="KX6" s="121">
        <f>'Rig Sheet '!LC7</f>
        <v>0</v>
      </c>
      <c r="KY6" s="121">
        <f>'Rig Sheet '!LD7</f>
        <v>0</v>
      </c>
      <c r="KZ6" s="121">
        <f>'Rig Sheet '!LE7</f>
        <v>0</v>
      </c>
      <c r="LA6" s="121">
        <f>'Rig Sheet '!LF7</f>
        <v>0</v>
      </c>
      <c r="LB6" s="121">
        <f>'Rig Sheet '!LG7</f>
        <v>0</v>
      </c>
      <c r="LC6" s="121">
        <f>'Rig Sheet '!LH7</f>
        <v>0</v>
      </c>
      <c r="LD6" s="121">
        <f>'Rig Sheet '!LI7</f>
        <v>0</v>
      </c>
      <c r="LE6" s="121">
        <f>'Rig Sheet '!LJ7</f>
        <v>0</v>
      </c>
      <c r="LF6" s="121">
        <f>'Rig Sheet '!LK7</f>
        <v>0</v>
      </c>
      <c r="LG6" s="121">
        <f>'Rig Sheet '!LL7</f>
        <v>0</v>
      </c>
      <c r="LH6" s="121">
        <f>'Rig Sheet '!LM7</f>
        <v>0</v>
      </c>
      <c r="LI6" s="121">
        <f>'Rig Sheet '!LN7</f>
        <v>0</v>
      </c>
      <c r="LJ6" s="121">
        <f>'Rig Sheet '!LO7</f>
        <v>0</v>
      </c>
      <c r="LK6" s="121">
        <f>'Rig Sheet '!LP7</f>
        <v>0</v>
      </c>
      <c r="LL6" s="121">
        <f>'Rig Sheet '!LQ7</f>
        <v>0</v>
      </c>
      <c r="LM6" s="121">
        <f>'Rig Sheet '!LR7</f>
        <v>0</v>
      </c>
      <c r="LN6" s="121">
        <f>'Rig Sheet '!LS7</f>
        <v>0</v>
      </c>
      <c r="LO6" s="121">
        <f>'Rig Sheet '!LT7</f>
        <v>0</v>
      </c>
      <c r="LP6" s="121">
        <f>'Rig Sheet '!LU7</f>
        <v>0</v>
      </c>
      <c r="LQ6" s="121">
        <f>'Rig Sheet '!LV7</f>
        <v>0</v>
      </c>
      <c r="LR6" s="121">
        <f>'Rig Sheet '!LW7</f>
        <v>0</v>
      </c>
      <c r="LS6" s="121">
        <f>'Rig Sheet '!LX7</f>
        <v>0</v>
      </c>
      <c r="LT6" s="121">
        <f>'Rig Sheet '!LY7</f>
        <v>0</v>
      </c>
      <c r="LU6" s="121">
        <f>'Rig Sheet '!LZ7</f>
        <v>0</v>
      </c>
      <c r="LV6" s="121">
        <f>'Rig Sheet '!MA7</f>
        <v>0</v>
      </c>
      <c r="LW6" s="121">
        <f>'Rig Sheet '!MB7</f>
        <v>0</v>
      </c>
      <c r="LX6" s="121">
        <f>'Rig Sheet '!MC7</f>
        <v>0</v>
      </c>
      <c r="LY6" s="121">
        <f>'Rig Sheet '!MD7</f>
        <v>0</v>
      </c>
      <c r="LZ6" s="121">
        <f>'Rig Sheet '!ME7</f>
        <v>0</v>
      </c>
      <c r="MA6" s="121">
        <f>'Rig Sheet '!MF7</f>
        <v>0</v>
      </c>
      <c r="MB6" s="121">
        <f>'Rig Sheet '!MG7</f>
        <v>0</v>
      </c>
      <c r="MC6" s="121">
        <f>'Rig Sheet '!MH7</f>
        <v>0</v>
      </c>
      <c r="MD6" s="121">
        <f>'Rig Sheet '!MI7</f>
        <v>0</v>
      </c>
      <c r="ME6" s="121">
        <f>'Rig Sheet '!MJ7</f>
        <v>0</v>
      </c>
      <c r="MF6" s="121">
        <f>'Rig Sheet '!MK7</f>
        <v>0</v>
      </c>
      <c r="MG6" s="121">
        <f>'Rig Sheet '!ML7</f>
        <v>0</v>
      </c>
      <c r="MH6" s="121">
        <f>'Rig Sheet '!MM7</f>
        <v>0</v>
      </c>
      <c r="MI6" s="121">
        <f>'Rig Sheet '!MN7</f>
        <v>0</v>
      </c>
      <c r="MJ6" s="121">
        <f>'Rig Sheet '!MO7</f>
        <v>0</v>
      </c>
      <c r="MK6" s="121">
        <f>'Rig Sheet '!MP7</f>
        <v>0</v>
      </c>
      <c r="ML6" s="121">
        <f>'Rig Sheet '!MQ7</f>
        <v>0</v>
      </c>
      <c r="MM6" s="121">
        <f>'Rig Sheet '!MR7</f>
        <v>0</v>
      </c>
      <c r="MN6" s="121">
        <f>'Rig Sheet '!MS7</f>
        <v>0</v>
      </c>
      <c r="MO6" s="121">
        <f>'Rig Sheet '!MT7</f>
        <v>0</v>
      </c>
      <c r="MP6" s="121">
        <f>'Rig Sheet '!MU7</f>
        <v>0</v>
      </c>
      <c r="MQ6" s="121">
        <f>'Rig Sheet '!MV7</f>
        <v>0</v>
      </c>
      <c r="MR6" s="121">
        <f>'Rig Sheet '!MW7</f>
        <v>0</v>
      </c>
      <c r="MS6" s="121">
        <f>'Rig Sheet '!MX7</f>
        <v>0</v>
      </c>
      <c r="MT6" s="121">
        <f>'Rig Sheet '!MY7</f>
        <v>0</v>
      </c>
      <c r="MU6" s="121">
        <f>'Rig Sheet '!MZ7</f>
        <v>0</v>
      </c>
      <c r="MV6" s="121">
        <f>'Rig Sheet '!NA7</f>
        <v>0</v>
      </c>
      <c r="MW6" s="121">
        <f>'Rig Sheet '!NB7</f>
        <v>0</v>
      </c>
      <c r="MX6" s="121">
        <f>'Rig Sheet '!NC7</f>
        <v>0</v>
      </c>
      <c r="MY6" s="121">
        <f>'Rig Sheet '!ND7</f>
        <v>0</v>
      </c>
      <c r="MZ6" s="121">
        <f>'Rig Sheet '!NE7</f>
        <v>0</v>
      </c>
      <c r="NA6" s="121">
        <f>'Rig Sheet '!NF7</f>
        <v>0</v>
      </c>
      <c r="NB6" s="121">
        <f>'Rig Sheet '!NG7</f>
        <v>0</v>
      </c>
    </row>
    <row r="7" spans="1:366" ht="8.25" customHeight="1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  <c r="CT7" s="120"/>
      <c r="CU7" s="120"/>
      <c r="CV7" s="120"/>
      <c r="CW7" s="120"/>
      <c r="CX7" s="120"/>
      <c r="CY7" s="120"/>
      <c r="CZ7" s="120"/>
      <c r="DA7" s="120"/>
      <c r="DB7" s="120"/>
      <c r="DC7" s="120"/>
      <c r="DD7" s="120"/>
      <c r="DE7" s="120"/>
      <c r="DF7" s="120"/>
      <c r="DG7" s="120"/>
      <c r="DH7" s="120"/>
      <c r="DI7" s="120"/>
      <c r="DJ7" s="120"/>
      <c r="DK7" s="120"/>
      <c r="DL7" s="120"/>
      <c r="DM7" s="120"/>
      <c r="DN7" s="120"/>
      <c r="DO7" s="120"/>
      <c r="DP7" s="120"/>
      <c r="DQ7" s="120"/>
      <c r="DR7" s="120"/>
      <c r="DS7" s="120"/>
      <c r="DT7" s="120"/>
      <c r="DU7" s="120"/>
      <c r="DV7" s="120"/>
      <c r="DW7" s="120"/>
      <c r="DX7" s="120"/>
      <c r="DY7" s="120"/>
      <c r="DZ7" s="120"/>
      <c r="EA7" s="120"/>
      <c r="EB7" s="120"/>
      <c r="EC7" s="120"/>
      <c r="ED7" s="120"/>
      <c r="EE7" s="120"/>
      <c r="EF7" s="120"/>
      <c r="EG7" s="120"/>
      <c r="EH7" s="120"/>
      <c r="EI7" s="120"/>
      <c r="EJ7" s="120"/>
      <c r="EK7" s="120"/>
      <c r="EL7" s="120"/>
      <c r="EM7" s="120"/>
      <c r="EN7" s="120"/>
      <c r="EO7" s="120"/>
      <c r="EP7" s="120"/>
      <c r="EQ7" s="120"/>
      <c r="ER7" s="120"/>
      <c r="ES7" s="120"/>
      <c r="ET7" s="120"/>
      <c r="EU7" s="120"/>
      <c r="EV7" s="120"/>
      <c r="EW7" s="120"/>
      <c r="EX7" s="120"/>
      <c r="EY7" s="120"/>
      <c r="EZ7" s="120"/>
      <c r="FA7" s="120"/>
      <c r="FB7" s="120"/>
      <c r="FC7" s="120"/>
      <c r="FD7" s="120"/>
      <c r="FE7" s="120"/>
      <c r="FF7" s="120"/>
      <c r="FG7" s="120"/>
      <c r="FH7" s="120"/>
      <c r="FI7" s="120"/>
      <c r="FJ7" s="120"/>
      <c r="FK7" s="120"/>
      <c r="FL7" s="120"/>
      <c r="FM7" s="120"/>
      <c r="FN7" s="120"/>
      <c r="FO7" s="120"/>
      <c r="FP7" s="120"/>
      <c r="FQ7" s="120"/>
      <c r="FR7" s="120"/>
      <c r="FS7" s="120"/>
      <c r="FT7" s="120"/>
      <c r="FU7" s="120"/>
      <c r="FV7" s="120"/>
      <c r="FW7" s="120"/>
      <c r="FX7" s="120"/>
      <c r="FY7" s="120"/>
      <c r="FZ7" s="120"/>
      <c r="GA7" s="120"/>
      <c r="GB7" s="120"/>
      <c r="GC7" s="120"/>
      <c r="GD7" s="120"/>
      <c r="GE7" s="120"/>
      <c r="GF7" s="120"/>
      <c r="GG7" s="120"/>
      <c r="GH7" s="120"/>
      <c r="GI7" s="120"/>
      <c r="GJ7" s="120"/>
      <c r="GK7" s="120"/>
      <c r="GL7" s="120"/>
      <c r="GM7" s="120"/>
      <c r="GN7" s="120"/>
      <c r="GO7" s="120"/>
      <c r="GP7" s="120"/>
      <c r="GQ7" s="120"/>
      <c r="GR7" s="120"/>
      <c r="GS7" s="120"/>
      <c r="GT7" s="120"/>
      <c r="GU7" s="120"/>
      <c r="GV7" s="120"/>
      <c r="GW7" s="120"/>
      <c r="GX7" s="120"/>
      <c r="GY7" s="120"/>
      <c r="GZ7" s="120"/>
      <c r="HA7" s="120"/>
      <c r="HB7" s="120"/>
      <c r="HC7" s="120"/>
      <c r="HD7" s="120"/>
      <c r="HE7" s="120"/>
      <c r="HF7" s="120"/>
      <c r="HG7" s="120"/>
      <c r="HH7" s="120"/>
      <c r="HI7" s="120"/>
      <c r="HJ7" s="120"/>
      <c r="HK7" s="120"/>
      <c r="HL7" s="120"/>
      <c r="HM7" s="120"/>
      <c r="HN7" s="120"/>
      <c r="HO7" s="120"/>
      <c r="HP7" s="120"/>
      <c r="HQ7" s="120"/>
      <c r="HR7" s="120"/>
      <c r="HS7" s="120"/>
      <c r="HT7" s="120"/>
      <c r="HU7" s="120"/>
      <c r="HV7" s="120"/>
      <c r="HW7" s="120"/>
      <c r="HX7" s="120"/>
      <c r="HY7" s="120"/>
      <c r="HZ7" s="120"/>
      <c r="IA7" s="120"/>
      <c r="IB7" s="120"/>
      <c r="IC7" s="120"/>
      <c r="ID7" s="120"/>
      <c r="IE7" s="120"/>
      <c r="IF7" s="120"/>
      <c r="IG7" s="120"/>
      <c r="IH7" s="120"/>
      <c r="II7" s="120"/>
      <c r="IJ7" s="120"/>
      <c r="IK7" s="120"/>
      <c r="IL7" s="120"/>
      <c r="IM7" s="120"/>
      <c r="IN7" s="120"/>
      <c r="IO7" s="120"/>
      <c r="IP7" s="120"/>
      <c r="IQ7" s="120"/>
      <c r="IR7" s="120"/>
      <c r="IS7" s="120"/>
      <c r="IT7" s="120"/>
      <c r="IU7" s="120"/>
      <c r="IV7" s="120"/>
      <c r="IW7" s="120"/>
      <c r="IX7" s="120"/>
      <c r="IY7" s="120"/>
      <c r="IZ7" s="120"/>
      <c r="JA7" s="120"/>
      <c r="JB7" s="120"/>
      <c r="JC7" s="120"/>
      <c r="JD7" s="120"/>
      <c r="JE7" s="120"/>
      <c r="JF7" s="120"/>
      <c r="JG7" s="120"/>
      <c r="JH7" s="120"/>
      <c r="JI7" s="120"/>
      <c r="JJ7" s="120"/>
      <c r="JK7" s="120"/>
      <c r="JL7" s="120"/>
      <c r="JM7" s="120"/>
      <c r="JN7" s="120"/>
      <c r="JO7" s="120"/>
      <c r="JP7" s="120"/>
      <c r="JQ7" s="120"/>
      <c r="JR7" s="120"/>
      <c r="JS7" s="120"/>
      <c r="JT7" s="120"/>
      <c r="JU7" s="120"/>
      <c r="JV7" s="120"/>
      <c r="JW7" s="120"/>
      <c r="JX7" s="120"/>
      <c r="JY7" s="120"/>
      <c r="JZ7" s="120"/>
      <c r="KA7" s="120"/>
      <c r="KB7" s="120"/>
      <c r="KC7" s="120"/>
      <c r="KD7" s="120"/>
      <c r="KE7" s="120"/>
      <c r="KF7" s="120"/>
      <c r="KG7" s="120"/>
      <c r="KH7" s="120"/>
      <c r="KI7" s="120"/>
      <c r="KJ7" s="120"/>
      <c r="KK7" s="120"/>
      <c r="KL7" s="120"/>
      <c r="KM7" s="120"/>
      <c r="KN7" s="120"/>
      <c r="KO7" s="120"/>
      <c r="KP7" s="120"/>
      <c r="KQ7" s="120"/>
      <c r="KR7" s="120"/>
      <c r="KS7" s="120"/>
      <c r="KT7" s="120"/>
      <c r="KU7" s="120"/>
      <c r="KV7" s="120"/>
      <c r="KW7" s="120"/>
      <c r="KX7" s="120"/>
      <c r="KY7" s="120"/>
      <c r="KZ7" s="120"/>
      <c r="LA7" s="120"/>
      <c r="LB7" s="120"/>
      <c r="LC7" s="120"/>
      <c r="LD7" s="120"/>
      <c r="LE7" s="120"/>
      <c r="LF7" s="120"/>
      <c r="LG7" s="120"/>
      <c r="LH7" s="120"/>
      <c r="LI7" s="120"/>
      <c r="LJ7" s="120"/>
      <c r="LK7" s="120"/>
      <c r="LL7" s="120"/>
      <c r="LM7" s="120"/>
      <c r="LN7" s="120"/>
      <c r="LO7" s="120"/>
      <c r="LP7" s="120"/>
      <c r="LQ7" s="120"/>
      <c r="LR7" s="120"/>
      <c r="LS7" s="120"/>
      <c r="LT7" s="120"/>
      <c r="LU7" s="120"/>
      <c r="LV7" s="120"/>
      <c r="LW7" s="120"/>
      <c r="LX7" s="120"/>
      <c r="LY7" s="120"/>
      <c r="LZ7" s="120"/>
      <c r="MA7" s="120"/>
      <c r="MB7" s="120"/>
      <c r="MC7" s="120"/>
      <c r="MD7" s="120"/>
      <c r="ME7" s="120"/>
      <c r="MF7" s="120"/>
      <c r="MG7" s="120"/>
      <c r="MH7" s="120"/>
      <c r="MI7" s="120"/>
      <c r="MJ7" s="120"/>
      <c r="MK7" s="120"/>
      <c r="ML7" s="120"/>
      <c r="MM7" s="120"/>
      <c r="MN7" s="120"/>
      <c r="MO7" s="120"/>
      <c r="MP7" s="120"/>
      <c r="MQ7" s="120"/>
      <c r="MR7" s="120"/>
      <c r="MS7" s="120"/>
      <c r="MT7" s="120"/>
      <c r="MU7" s="120"/>
      <c r="MV7" s="120"/>
      <c r="MW7" s="120"/>
      <c r="MX7" s="120"/>
      <c r="MY7" s="120"/>
      <c r="MZ7" s="120"/>
      <c r="NA7" s="120"/>
      <c r="NB7" s="120"/>
    </row>
    <row r="8" spans="1:366">
      <c r="A8" s="119" t="s">
        <v>344</v>
      </c>
      <c r="B8" s="118">
        <f>COUNTIF('Rig Sheet '!G19:G132,"Conductor")</f>
        <v>0</v>
      </c>
      <c r="C8" s="118">
        <f>COUNTIF('Rig Sheet '!H19:H132,"Conductor")</f>
        <v>0</v>
      </c>
      <c r="D8" s="118">
        <f>COUNTIF('Rig Sheet '!I19:I132,"Conductor")</f>
        <v>0</v>
      </c>
      <c r="E8" s="118">
        <f>COUNTIF('Rig Sheet '!J19:J132,"Conductor")</f>
        <v>0</v>
      </c>
      <c r="F8" s="118">
        <f>COUNTIF('Rig Sheet '!K19:K132,"Conductor")</f>
        <v>0</v>
      </c>
      <c r="G8" s="118">
        <f>COUNTIF('Rig Sheet '!L19:L132,"Conductor")</f>
        <v>0</v>
      </c>
      <c r="H8" s="118">
        <f>COUNTIF('Rig Sheet '!M19:M132,"Conductor")</f>
        <v>0</v>
      </c>
      <c r="I8" s="118">
        <f>COUNTIF('Rig Sheet '!N19:N132,"Conductor")</f>
        <v>0</v>
      </c>
      <c r="J8" s="118">
        <f>COUNTIF('Rig Sheet '!O19:O132,"Conductor")</f>
        <v>0</v>
      </c>
      <c r="K8" s="118">
        <f>COUNTIF('Rig Sheet '!P19:P132,"Conductor")</f>
        <v>0</v>
      </c>
      <c r="L8" s="118">
        <f>COUNTIF('Rig Sheet '!Q19:Q132,"Conductor")</f>
        <v>0</v>
      </c>
      <c r="M8" s="118">
        <f>COUNTIF('Rig Sheet '!R19:R132,"Conductor")</f>
        <v>0</v>
      </c>
      <c r="N8" s="118">
        <f>COUNTIF('Rig Sheet '!S19:S132,"Conductor")</f>
        <v>0</v>
      </c>
      <c r="O8" s="118">
        <f>COUNTIF('Rig Sheet '!T19:T132,"Conductor")</f>
        <v>0</v>
      </c>
      <c r="P8" s="118">
        <f>COUNTIF('Rig Sheet '!U19:U132,"Conductor")</f>
        <v>0</v>
      </c>
      <c r="Q8" s="118">
        <f>COUNTIF('Rig Sheet '!V19:V132,"Conductor")</f>
        <v>0</v>
      </c>
      <c r="R8" s="118">
        <f>COUNTIF('Rig Sheet '!W19:W132,"Conductor")</f>
        <v>0</v>
      </c>
      <c r="S8" s="118">
        <f>COUNTIF('Rig Sheet '!X19:X132,"Conductor")</f>
        <v>0</v>
      </c>
      <c r="T8" s="118">
        <f>COUNTIF('Rig Sheet '!Y19:Y132,"Conductor")</f>
        <v>0</v>
      </c>
      <c r="U8" s="118">
        <f>COUNTIF('Rig Sheet '!Z19:Z132,"Conductor")</f>
        <v>0</v>
      </c>
      <c r="V8" s="118">
        <f>COUNTIF('Rig Sheet '!AA19:AA132,"Conductor")</f>
        <v>0</v>
      </c>
      <c r="W8" s="118">
        <f>COUNTIF('Rig Sheet '!AB19:AB132,"Conductor")</f>
        <v>0</v>
      </c>
      <c r="X8" s="118">
        <f>COUNTIF('Rig Sheet '!AC19:AC132,"Conductor")</f>
        <v>0</v>
      </c>
      <c r="Y8" s="118">
        <f>COUNTIF('Rig Sheet '!AD19:AD132,"Conductor")</f>
        <v>0</v>
      </c>
      <c r="Z8" s="118">
        <f>COUNTIF('Rig Sheet '!AE19:AE132,"Conductor")</f>
        <v>0</v>
      </c>
      <c r="AA8" s="118">
        <f>COUNTIF('Rig Sheet '!AF19:AF132,"Conductor")</f>
        <v>0</v>
      </c>
      <c r="AB8" s="118">
        <f>COUNTIF('Rig Sheet '!AG19:AG132,"Conductor")</f>
        <v>0</v>
      </c>
      <c r="AC8" s="118">
        <f>COUNTIF('Rig Sheet '!AH19:AH132,"Conductor")</f>
        <v>0</v>
      </c>
      <c r="AD8" s="118">
        <f>COUNTIF('Rig Sheet '!AI19:AI132,"Conductor")</f>
        <v>0</v>
      </c>
      <c r="AE8" s="118">
        <f>COUNTIF('Rig Sheet '!AJ19:AJ132,"Conductor")</f>
        <v>0</v>
      </c>
      <c r="AF8" s="118">
        <f>COUNTIF('Rig Sheet '!AK19:AK132,"Conductor")</f>
        <v>0</v>
      </c>
      <c r="AG8" s="118">
        <f>COUNTIF('Rig Sheet '!AL19:AL132,"Conductor")</f>
        <v>0</v>
      </c>
      <c r="AH8" s="118">
        <f>COUNTIF('Rig Sheet '!AM19:AM132,"Conductor")</f>
        <v>0</v>
      </c>
      <c r="AI8" s="118">
        <f>COUNTIF('Rig Sheet '!AN19:AN132,"Conductor")</f>
        <v>0</v>
      </c>
      <c r="AJ8" s="118">
        <f>COUNTIF('Rig Sheet '!AO19:AO132,"Conductor")</f>
        <v>0</v>
      </c>
      <c r="AK8" s="118">
        <f>COUNTIF('Rig Sheet '!AP19:AP132,"Conductor")</f>
        <v>0</v>
      </c>
      <c r="AL8" s="118">
        <f>COUNTIF('Rig Sheet '!AQ19:AQ132,"Conductor")</f>
        <v>0</v>
      </c>
      <c r="AM8" s="118">
        <f>COUNTIF('Rig Sheet '!AR19:AR132,"Conductor")</f>
        <v>0</v>
      </c>
      <c r="AN8" s="118">
        <f>COUNTIF('Rig Sheet '!AS19:AS132,"Conductor")</f>
        <v>0</v>
      </c>
      <c r="AO8" s="118">
        <f>COUNTIF('Rig Sheet '!AT19:AT132,"Conductor")</f>
        <v>0</v>
      </c>
      <c r="AP8" s="118">
        <f>COUNTIF('Rig Sheet '!AU19:AU132,"Conductor")</f>
        <v>0</v>
      </c>
      <c r="AQ8" s="118">
        <f>COUNTIF('Rig Sheet '!AV19:AV132,"Conductor")</f>
        <v>0</v>
      </c>
      <c r="AR8" s="118">
        <f>COUNTIF('Rig Sheet '!AW19:AW132,"Conductor")</f>
        <v>0</v>
      </c>
      <c r="AS8" s="118">
        <f>COUNTIF('Rig Sheet '!AX19:AX132,"Conductor")</f>
        <v>0</v>
      </c>
      <c r="AT8" s="118">
        <f>COUNTIF('Rig Sheet '!AY19:AY132,"Conductor")</f>
        <v>0</v>
      </c>
      <c r="AU8" s="118">
        <f>COUNTIF('Rig Sheet '!AZ19:AZ132,"Conductor")</f>
        <v>0</v>
      </c>
      <c r="AV8" s="118">
        <f>COUNTIF('Rig Sheet '!BA19:BA132,"Conductor")</f>
        <v>0</v>
      </c>
      <c r="AW8" s="118">
        <f>COUNTIF('Rig Sheet '!BB19:BB132,"Conductor")</f>
        <v>0</v>
      </c>
      <c r="AX8" s="118">
        <f>COUNTIF('Rig Sheet '!BC19:BC132,"Conductor")</f>
        <v>0</v>
      </c>
      <c r="AY8" s="118">
        <f>COUNTIF('Rig Sheet '!BD19:BD132,"Conductor")</f>
        <v>0</v>
      </c>
      <c r="AZ8" s="118">
        <f>COUNTIF('Rig Sheet '!BE19:BE132,"Conductor")</f>
        <v>0</v>
      </c>
      <c r="BA8" s="118">
        <f>COUNTIF('Rig Sheet '!BF19:BF132,"Conductor")</f>
        <v>0</v>
      </c>
      <c r="BB8" s="118">
        <f>COUNTIF('Rig Sheet '!BG19:BG132,"Conductor")</f>
        <v>0</v>
      </c>
      <c r="BC8" s="118">
        <f>COUNTIF('Rig Sheet '!BH19:BH132,"Conductor")</f>
        <v>0</v>
      </c>
      <c r="BD8" s="118">
        <f>COUNTIF('Rig Sheet '!BI19:BI132,"Conductor")</f>
        <v>0</v>
      </c>
      <c r="BE8" s="118">
        <f>COUNTIF('Rig Sheet '!BJ19:BJ132,"Conductor")</f>
        <v>0</v>
      </c>
      <c r="BF8" s="118">
        <f>COUNTIF('Rig Sheet '!BK19:BK132,"Conductor")</f>
        <v>0</v>
      </c>
      <c r="BG8" s="118">
        <f>COUNTIF('Rig Sheet '!BL19:BL132,"Conductor")</f>
        <v>0</v>
      </c>
      <c r="BH8" s="118">
        <f>COUNTIF('Rig Sheet '!BM19:BM132,"Conductor")</f>
        <v>0</v>
      </c>
      <c r="BI8" s="118">
        <f>COUNTIF('Rig Sheet '!BN19:BN132,"Conductor")</f>
        <v>0</v>
      </c>
      <c r="BJ8" s="118">
        <f>COUNTIF('Rig Sheet '!BO19:BO132,"Conductor")</f>
        <v>0</v>
      </c>
      <c r="BK8" s="118">
        <f>COUNTIF('Rig Sheet '!BP19:BP132,"Conductor")</f>
        <v>0</v>
      </c>
      <c r="BL8" s="118">
        <f>COUNTIF('Rig Sheet '!BQ19:BQ132,"Conductor")</f>
        <v>0</v>
      </c>
      <c r="BM8" s="118">
        <f>COUNTIF('Rig Sheet '!BR19:BR132,"Conductor")</f>
        <v>0</v>
      </c>
      <c r="BN8" s="118">
        <f>COUNTIF('Rig Sheet '!BS19:BS132,"Conductor")</f>
        <v>0</v>
      </c>
      <c r="BO8" s="118">
        <f>COUNTIF('Rig Sheet '!BT19:BT132,"Conductor")</f>
        <v>0</v>
      </c>
      <c r="BP8" s="118">
        <f>COUNTIF('Rig Sheet '!BU19:BU132,"Conductor")</f>
        <v>0</v>
      </c>
      <c r="BQ8" s="118">
        <f>COUNTIF('Rig Sheet '!BV19:BV132,"Conductor")</f>
        <v>0</v>
      </c>
      <c r="BR8" s="118">
        <f>COUNTIF('Rig Sheet '!BW19:BW132,"Conductor")</f>
        <v>0</v>
      </c>
      <c r="BS8" s="118">
        <f>COUNTIF('Rig Sheet '!BX19:BX132,"Conductor")</f>
        <v>0</v>
      </c>
      <c r="BT8" s="118">
        <f>COUNTIF('Rig Sheet '!BY19:BY132,"Conductor")</f>
        <v>0</v>
      </c>
      <c r="BU8" s="118">
        <f>COUNTIF('Rig Sheet '!BZ19:BZ132,"Conductor")</f>
        <v>0</v>
      </c>
      <c r="BV8" s="118">
        <f>COUNTIF('Rig Sheet '!CA19:CA132,"Conductor")</f>
        <v>0</v>
      </c>
      <c r="BW8" s="118">
        <f>COUNTIF('Rig Sheet '!CB19:CB132,"Conductor")</f>
        <v>0</v>
      </c>
      <c r="BX8" s="118">
        <f>COUNTIF('Rig Sheet '!CC19:CC132,"Conductor")</f>
        <v>0</v>
      </c>
      <c r="BY8" s="118">
        <f>COUNTIF('Rig Sheet '!CD19:CD132,"Conductor")</f>
        <v>0</v>
      </c>
      <c r="BZ8" s="118">
        <f>COUNTIF('Rig Sheet '!CE19:CE132,"Conductor")</f>
        <v>0</v>
      </c>
      <c r="CA8" s="118">
        <f>COUNTIF('Rig Sheet '!CF19:CF132,"Conductor")</f>
        <v>0</v>
      </c>
      <c r="CB8" s="118">
        <f>COUNTIF('Rig Sheet '!CG19:CG132,"Conductor")</f>
        <v>0</v>
      </c>
      <c r="CC8" s="118">
        <f>COUNTIF('Rig Sheet '!CH19:CH132,"Conductor")</f>
        <v>0</v>
      </c>
      <c r="CD8" s="118">
        <f>COUNTIF('Rig Sheet '!CI19:CI132,"Conductor")</f>
        <v>0</v>
      </c>
      <c r="CE8" s="118">
        <f>COUNTIF('Rig Sheet '!CJ19:CJ132,"Conductor")</f>
        <v>0</v>
      </c>
      <c r="CF8" s="118">
        <f>COUNTIF('Rig Sheet '!CK19:CK132,"Conductor")</f>
        <v>0</v>
      </c>
      <c r="CG8" s="118">
        <f>COUNTIF('Rig Sheet '!CL19:CL132,"Conductor")</f>
        <v>0</v>
      </c>
      <c r="CH8" s="118">
        <f>COUNTIF('Rig Sheet '!CM19:CM132,"Conductor")</f>
        <v>0</v>
      </c>
      <c r="CI8" s="118">
        <f>COUNTIF('Rig Sheet '!CN19:CN132,"Conductor")</f>
        <v>0</v>
      </c>
      <c r="CJ8" s="118">
        <f>COUNTIF('Rig Sheet '!CO19:CO132,"Conductor")</f>
        <v>0</v>
      </c>
      <c r="CK8" s="118">
        <f>COUNTIF('Rig Sheet '!CP19:CP132,"Conductor")</f>
        <v>0</v>
      </c>
      <c r="CL8" s="118">
        <f>COUNTIF('Rig Sheet '!CQ19:CQ132,"Conductor")</f>
        <v>0</v>
      </c>
      <c r="CM8" s="118">
        <f>COUNTIF('Rig Sheet '!CR19:CR132,"Conductor")</f>
        <v>0</v>
      </c>
      <c r="CN8" s="118">
        <f>COUNTIF('Rig Sheet '!CS19:CS132,"Conductor")</f>
        <v>0</v>
      </c>
      <c r="CO8" s="118">
        <f>COUNTIF('Rig Sheet '!CT19:CT132,"Conductor")</f>
        <v>0</v>
      </c>
      <c r="CP8" s="118">
        <f>COUNTIF('Rig Sheet '!CU19:CU132,"Conductor")</f>
        <v>0</v>
      </c>
      <c r="CQ8" s="118">
        <f>COUNTIF('Rig Sheet '!CV19:CV132,"Conductor")</f>
        <v>0</v>
      </c>
      <c r="CR8" s="118">
        <f>COUNTIF('Rig Sheet '!CW19:CW132,"Conductor")</f>
        <v>0</v>
      </c>
      <c r="CS8" s="118">
        <f>COUNTIF('Rig Sheet '!CX19:CX132,"Conductor")</f>
        <v>0</v>
      </c>
      <c r="CT8" s="118">
        <f>COUNTIF('Rig Sheet '!CY19:CY132,"Conductor")</f>
        <v>0</v>
      </c>
      <c r="CU8" s="118">
        <f>COUNTIF('Rig Sheet '!CZ19:CZ132,"Conductor")</f>
        <v>0</v>
      </c>
      <c r="CV8" s="118">
        <f>COUNTIF('Rig Sheet '!DA19:DA132,"Conductor")</f>
        <v>0</v>
      </c>
      <c r="CW8" s="118">
        <f>COUNTIF('Rig Sheet '!DB19:DB132,"Conductor")</f>
        <v>0</v>
      </c>
      <c r="CX8" s="118">
        <f>COUNTIF('Rig Sheet '!DC19:DC132,"Conductor")</f>
        <v>0</v>
      </c>
      <c r="CY8" s="118">
        <f>COUNTIF('Rig Sheet '!DD19:DD132,"Conductor")</f>
        <v>0</v>
      </c>
      <c r="CZ8" s="118">
        <f>COUNTIF('Rig Sheet '!DE19:DE132,"Conductor")</f>
        <v>0</v>
      </c>
      <c r="DA8" s="118">
        <f>COUNTIF('Rig Sheet '!DF19:DF132,"Conductor")</f>
        <v>0</v>
      </c>
      <c r="DB8" s="118">
        <f>COUNTIF('Rig Sheet '!DG19:DG132,"Conductor")</f>
        <v>0</v>
      </c>
      <c r="DC8" s="118">
        <f>COUNTIF('Rig Sheet '!DH19:DH132,"Conductor")</f>
        <v>0</v>
      </c>
      <c r="DD8" s="118">
        <f>COUNTIF('Rig Sheet '!DI19:DI132,"Conductor")</f>
        <v>0</v>
      </c>
      <c r="DE8" s="118">
        <f>COUNTIF('Rig Sheet '!DJ19:DJ132,"Conductor")</f>
        <v>0</v>
      </c>
      <c r="DF8" s="118">
        <f>COUNTIF('Rig Sheet '!DK19:DK132,"Conductor")</f>
        <v>0</v>
      </c>
      <c r="DG8" s="118">
        <f>COUNTIF('Rig Sheet '!DL19:DL132,"Conductor")</f>
        <v>0</v>
      </c>
      <c r="DH8" s="118">
        <f>COUNTIF('Rig Sheet '!DM19:DM132,"Conductor")</f>
        <v>0</v>
      </c>
      <c r="DI8" s="118">
        <f>COUNTIF('Rig Sheet '!DN19:DN132,"Conductor")</f>
        <v>0</v>
      </c>
      <c r="DJ8" s="118">
        <f>COUNTIF('Rig Sheet '!DO19:DO132,"Conductor")</f>
        <v>0</v>
      </c>
      <c r="DK8" s="118">
        <f>COUNTIF('Rig Sheet '!DP19:DP132,"Conductor")</f>
        <v>0</v>
      </c>
      <c r="DL8" s="118">
        <f>COUNTIF('Rig Sheet '!DQ19:DQ132,"Conductor")</f>
        <v>0</v>
      </c>
      <c r="DM8" s="118">
        <f>COUNTIF('Rig Sheet '!DR19:DR132,"Conductor")</f>
        <v>0</v>
      </c>
      <c r="DN8" s="118">
        <f>COUNTIF('Rig Sheet '!DS19:DS132,"Conductor")</f>
        <v>0</v>
      </c>
      <c r="DO8" s="118">
        <f>COUNTIF('Rig Sheet '!DT19:DT132,"Conductor")</f>
        <v>0</v>
      </c>
      <c r="DP8" s="118">
        <f>COUNTIF('Rig Sheet '!DU19:DU132,"Conductor")</f>
        <v>0</v>
      </c>
      <c r="DQ8" s="118">
        <f>COUNTIF('Rig Sheet '!DV19:DV132,"Conductor")</f>
        <v>0</v>
      </c>
      <c r="DR8" s="118">
        <f>COUNTIF('Rig Sheet '!DW19:DW132,"Conductor")</f>
        <v>0</v>
      </c>
      <c r="DS8" s="118">
        <f>COUNTIF('Rig Sheet '!DX19:DX132,"Conductor")</f>
        <v>0</v>
      </c>
      <c r="DT8" s="118">
        <f>COUNTIF('Rig Sheet '!DY19:DY132,"Conductor")</f>
        <v>0</v>
      </c>
      <c r="DU8" s="118">
        <f>COUNTIF('Rig Sheet '!DZ19:DZ132,"Conductor")</f>
        <v>0</v>
      </c>
      <c r="DV8" s="118">
        <f>COUNTIF('Rig Sheet '!EA19:EA132,"Conductor")</f>
        <v>0</v>
      </c>
      <c r="DW8" s="118">
        <f>COUNTIF('Rig Sheet '!EB19:EB132,"Conductor")</f>
        <v>0</v>
      </c>
      <c r="DX8" s="118">
        <f>COUNTIF('Rig Sheet '!EC19:EC132,"Conductor")</f>
        <v>0</v>
      </c>
      <c r="DY8" s="118">
        <f>COUNTIF('Rig Sheet '!ED19:ED132,"Conductor")</f>
        <v>0</v>
      </c>
      <c r="DZ8" s="118">
        <f>COUNTIF('Rig Sheet '!EE19:EE132,"Conductor")</f>
        <v>0</v>
      </c>
      <c r="EA8" s="118">
        <f>COUNTIF('Rig Sheet '!EF19:EF132,"Conductor")</f>
        <v>0</v>
      </c>
      <c r="EB8" s="118">
        <f>COUNTIF('Rig Sheet '!EG19:EG132,"Conductor")</f>
        <v>0</v>
      </c>
      <c r="EC8" s="118">
        <f>COUNTIF('Rig Sheet '!EH19:EH132,"Conductor")</f>
        <v>0</v>
      </c>
      <c r="ED8" s="118">
        <f>COUNTIF('Rig Sheet '!EI19:EI132,"Conductor")</f>
        <v>0</v>
      </c>
      <c r="EE8" s="118">
        <f>COUNTIF('Rig Sheet '!EJ19:EJ132,"Conductor")</f>
        <v>0</v>
      </c>
      <c r="EF8" s="118">
        <f>COUNTIF('Rig Sheet '!EK19:EK132,"Conductor")</f>
        <v>0</v>
      </c>
      <c r="EG8" s="118">
        <f>COUNTIF('Rig Sheet '!EL19:EL132,"Conductor")</f>
        <v>0</v>
      </c>
      <c r="EH8" s="118">
        <f>COUNTIF('Rig Sheet '!EM19:EM132,"Conductor")</f>
        <v>0</v>
      </c>
      <c r="EI8" s="118">
        <f>COUNTIF('Rig Sheet '!EN19:EN132,"Conductor")</f>
        <v>0</v>
      </c>
      <c r="EJ8" s="118">
        <f>COUNTIF('Rig Sheet '!EO19:EO132,"Conductor")</f>
        <v>0</v>
      </c>
      <c r="EK8" s="118">
        <f>COUNTIF('Rig Sheet '!EP19:EP132,"Conductor")</f>
        <v>0</v>
      </c>
      <c r="EL8" s="118">
        <f>COUNTIF('Rig Sheet '!EQ19:EQ132,"Conductor")</f>
        <v>0</v>
      </c>
      <c r="EM8" s="118">
        <f>COUNTIF('Rig Sheet '!ER19:ER132,"Conductor")</f>
        <v>0</v>
      </c>
      <c r="EN8" s="118">
        <f>COUNTIF('Rig Sheet '!ES19:ES132,"Conductor")</f>
        <v>0</v>
      </c>
      <c r="EO8" s="118">
        <f>COUNTIF('Rig Sheet '!ET19:ET132,"Conductor")</f>
        <v>0</v>
      </c>
      <c r="EP8" s="118">
        <f>COUNTIF('Rig Sheet '!EU19:EU132,"Conductor")</f>
        <v>0</v>
      </c>
      <c r="EQ8" s="118">
        <f>COUNTIF('Rig Sheet '!EV19:EV132,"Conductor")</f>
        <v>0</v>
      </c>
      <c r="ER8" s="118">
        <f>COUNTIF('Rig Sheet '!EW19:EW132,"Conductor")</f>
        <v>0</v>
      </c>
      <c r="ES8" s="118">
        <f>COUNTIF('Rig Sheet '!EX19:EX132,"Conductor")</f>
        <v>0</v>
      </c>
      <c r="ET8" s="118">
        <f>COUNTIF('Rig Sheet '!EY19:EY132,"Conductor")</f>
        <v>0</v>
      </c>
      <c r="EU8" s="118">
        <f>COUNTIF('Rig Sheet '!EZ19:EZ132,"Conductor")</f>
        <v>0</v>
      </c>
      <c r="EV8" s="118">
        <f>COUNTIF('Rig Sheet '!FA19:FA132,"Conductor")</f>
        <v>0</v>
      </c>
      <c r="EW8" s="118">
        <f>COUNTIF('Rig Sheet '!FB19:FB132,"Conductor")</f>
        <v>0</v>
      </c>
      <c r="EX8" s="118">
        <f>COUNTIF('Rig Sheet '!FC19:FC132,"Conductor")</f>
        <v>0</v>
      </c>
      <c r="EY8" s="118">
        <f>COUNTIF('Rig Sheet '!FD19:FD132,"Conductor")</f>
        <v>0</v>
      </c>
      <c r="EZ8" s="118">
        <f>COUNTIF('Rig Sheet '!FE19:FE132,"Conductor")</f>
        <v>0</v>
      </c>
      <c r="FA8" s="118">
        <f>COUNTIF('Rig Sheet '!FF19:FF132,"Conductor")</f>
        <v>0</v>
      </c>
      <c r="FB8" s="118">
        <f>COUNTIF('Rig Sheet '!FG19:FG132,"Conductor")</f>
        <v>0</v>
      </c>
      <c r="FC8" s="118">
        <f>COUNTIF('Rig Sheet '!FH19:FH132,"Conductor")</f>
        <v>0</v>
      </c>
      <c r="FD8" s="118">
        <f>COUNTIF('Rig Sheet '!FI19:FI132,"Conductor")</f>
        <v>0</v>
      </c>
      <c r="FE8" s="118">
        <f>COUNTIF('Rig Sheet '!FJ19:FJ132,"Conductor")</f>
        <v>0</v>
      </c>
      <c r="FF8" s="118">
        <f>COUNTIF('Rig Sheet '!FK19:FK132,"Conductor")</f>
        <v>0</v>
      </c>
      <c r="FG8" s="118">
        <f>COUNTIF('Rig Sheet '!FL19:FL132,"Conductor")</f>
        <v>0</v>
      </c>
      <c r="FH8" s="118">
        <f>COUNTIF('Rig Sheet '!FM19:FM132,"Conductor")</f>
        <v>0</v>
      </c>
      <c r="FI8" s="118">
        <f>COUNTIF('Rig Sheet '!FN19:FN132,"Conductor")</f>
        <v>0</v>
      </c>
      <c r="FJ8" s="118">
        <f>COUNTIF('Rig Sheet '!FO19:FO132,"Conductor")</f>
        <v>0</v>
      </c>
      <c r="FK8" s="118">
        <f>COUNTIF('Rig Sheet '!FP19:FP132,"Conductor")</f>
        <v>0</v>
      </c>
      <c r="FL8" s="118">
        <f>COUNTIF('Rig Sheet '!FQ19:FQ132,"Conductor")</f>
        <v>0</v>
      </c>
      <c r="FM8" s="118">
        <f>COUNTIF('Rig Sheet '!FR19:FR132,"Conductor")</f>
        <v>0</v>
      </c>
      <c r="FN8" s="118">
        <f>COUNTIF('Rig Sheet '!FS19:FS132,"Conductor")</f>
        <v>0</v>
      </c>
      <c r="FO8" s="118">
        <f>COUNTIF('Rig Sheet '!FT19:FT132,"Conductor")</f>
        <v>0</v>
      </c>
      <c r="FP8" s="118">
        <f>COUNTIF('Rig Sheet '!FU19:FU132,"Conductor")</f>
        <v>0</v>
      </c>
      <c r="FQ8" s="118">
        <f>COUNTIF('Rig Sheet '!FV19:FV132,"Conductor")</f>
        <v>0</v>
      </c>
      <c r="FR8" s="118">
        <f>COUNTIF('Rig Sheet '!FW19:FW132,"Conductor")</f>
        <v>0</v>
      </c>
      <c r="FS8" s="118">
        <f>COUNTIF('Rig Sheet '!FX19:FX132,"Conductor")</f>
        <v>0</v>
      </c>
      <c r="FT8" s="118">
        <f>COUNTIF('Rig Sheet '!FY19:FY132,"Conductor")</f>
        <v>0</v>
      </c>
      <c r="FU8" s="118">
        <f>COUNTIF('Rig Sheet '!FZ19:FZ132,"Conductor")</f>
        <v>0</v>
      </c>
      <c r="FV8" s="118">
        <f>COUNTIF('Rig Sheet '!GA19:GA132,"Conductor")</f>
        <v>0</v>
      </c>
      <c r="FW8" s="118">
        <f>COUNTIF('Rig Sheet '!GB19:GB132,"Conductor")</f>
        <v>0</v>
      </c>
      <c r="FX8" s="118">
        <f>COUNTIF('Rig Sheet '!GC19:GC132,"Conductor")</f>
        <v>0</v>
      </c>
      <c r="FY8" s="118">
        <f>COUNTIF('Rig Sheet '!GD19:GD132,"Conductor")</f>
        <v>0</v>
      </c>
      <c r="FZ8" s="118">
        <f>COUNTIF('Rig Sheet '!GE19:GE132,"Conductor")</f>
        <v>0</v>
      </c>
      <c r="GA8" s="118">
        <f>COUNTIF('Rig Sheet '!GF19:GF132,"Conductor")</f>
        <v>0</v>
      </c>
      <c r="GB8" s="118">
        <f>COUNTIF('Rig Sheet '!GG19:GG132,"Conductor")</f>
        <v>0</v>
      </c>
      <c r="GC8" s="118">
        <f>COUNTIF('Rig Sheet '!GH19:GH132,"Conductor")</f>
        <v>0</v>
      </c>
      <c r="GD8" s="118">
        <f>COUNTIF('Rig Sheet '!GI19:GI132,"Conductor")</f>
        <v>0</v>
      </c>
      <c r="GE8" s="118">
        <f>COUNTIF('Rig Sheet '!GJ19:GJ132,"Conductor")</f>
        <v>0</v>
      </c>
      <c r="GF8" s="118">
        <f>COUNTIF('Rig Sheet '!GK19:GK132,"Conductor")</f>
        <v>0</v>
      </c>
      <c r="GG8" s="118">
        <f>COUNTIF('Rig Sheet '!GL19:GL132,"Conductor")</f>
        <v>0</v>
      </c>
      <c r="GH8" s="118">
        <f>COUNTIF('Rig Sheet '!GM19:GM132,"Conductor")</f>
        <v>0</v>
      </c>
      <c r="GI8" s="118">
        <f>COUNTIF('Rig Sheet '!GN19:GN132,"Conductor")</f>
        <v>0</v>
      </c>
      <c r="GJ8" s="118">
        <f>COUNTIF('Rig Sheet '!GO19:GO132,"Conductor")</f>
        <v>0</v>
      </c>
      <c r="GK8" s="118">
        <f>COUNTIF('Rig Sheet '!GP19:GP132,"Conductor")</f>
        <v>0</v>
      </c>
      <c r="GL8" s="118">
        <f>COUNTIF('Rig Sheet '!GQ19:GQ132,"Conductor")</f>
        <v>0</v>
      </c>
      <c r="GM8" s="118">
        <f>COUNTIF('Rig Sheet '!GR19:GR132,"Conductor")</f>
        <v>0</v>
      </c>
      <c r="GN8" s="118">
        <f>COUNTIF('Rig Sheet '!GS19:GS132,"Conductor")</f>
        <v>0</v>
      </c>
      <c r="GO8" s="118">
        <f>COUNTIF('Rig Sheet '!GT19:GT132,"Conductor")</f>
        <v>0</v>
      </c>
      <c r="GP8" s="118">
        <f>COUNTIF('Rig Sheet '!GU19:GU132,"Conductor")</f>
        <v>0</v>
      </c>
      <c r="GQ8" s="118">
        <f>COUNTIF('Rig Sheet '!GV19:GV132,"Conductor")</f>
        <v>0</v>
      </c>
      <c r="GR8" s="118">
        <f>COUNTIF('Rig Sheet '!GW19:GW132,"Conductor")</f>
        <v>0</v>
      </c>
      <c r="GS8" s="118">
        <f>COUNTIF('Rig Sheet '!GX19:GX132,"Conductor")</f>
        <v>0</v>
      </c>
      <c r="GT8" s="118">
        <f>COUNTIF('Rig Sheet '!GY19:GY132,"Conductor")</f>
        <v>0</v>
      </c>
      <c r="GU8" s="118">
        <f>COUNTIF('Rig Sheet '!GZ19:GZ132,"Conductor")</f>
        <v>0</v>
      </c>
      <c r="GV8" s="118">
        <f>COUNTIF('Rig Sheet '!HA19:HA132,"Conductor")</f>
        <v>0</v>
      </c>
      <c r="GW8" s="118">
        <f>COUNTIF('Rig Sheet '!HB19:HB132,"Conductor")</f>
        <v>0</v>
      </c>
      <c r="GX8" s="118">
        <f>COUNTIF('Rig Sheet '!HC19:HC132,"Conductor")</f>
        <v>0</v>
      </c>
      <c r="GY8" s="118">
        <f>COUNTIF('Rig Sheet '!HD19:HD132,"Conductor")</f>
        <v>0</v>
      </c>
      <c r="GZ8" s="118">
        <f>COUNTIF('Rig Sheet '!HE19:HE132,"Conductor")</f>
        <v>0</v>
      </c>
      <c r="HA8" s="118">
        <f>COUNTIF('Rig Sheet '!HF19:HF132,"Conductor")</f>
        <v>0</v>
      </c>
      <c r="HB8" s="118">
        <f>COUNTIF('Rig Sheet '!HG19:HG132,"Conductor")</f>
        <v>0</v>
      </c>
      <c r="HC8" s="118">
        <f>COUNTIF('Rig Sheet '!HH19:HH132,"Conductor")</f>
        <v>0</v>
      </c>
      <c r="HD8" s="118">
        <f>COUNTIF('Rig Sheet '!HI19:HI132,"Conductor")</f>
        <v>0</v>
      </c>
      <c r="HE8" s="118">
        <f>COUNTIF('Rig Sheet '!HJ19:HJ132,"Conductor")</f>
        <v>0</v>
      </c>
      <c r="HF8" s="118">
        <f>COUNTIF('Rig Sheet '!HK19:HK132,"Conductor")</f>
        <v>0</v>
      </c>
      <c r="HG8" s="118">
        <f>COUNTIF('Rig Sheet '!HL19:HL132,"Conductor")</f>
        <v>0</v>
      </c>
      <c r="HH8" s="118">
        <f>COUNTIF('Rig Sheet '!HM19:HM132,"Conductor")</f>
        <v>0</v>
      </c>
      <c r="HI8" s="118">
        <f>COUNTIF('Rig Sheet '!HN19:HN132,"Conductor")</f>
        <v>0</v>
      </c>
      <c r="HJ8" s="118">
        <f>COUNTIF('Rig Sheet '!HO19:HO132,"Conductor")</f>
        <v>0</v>
      </c>
      <c r="HK8" s="118">
        <f>COUNTIF('Rig Sheet '!HP19:HP132,"Conductor")</f>
        <v>0</v>
      </c>
      <c r="HL8" s="118">
        <f>COUNTIF('Rig Sheet '!HQ19:HQ132,"Conductor")</f>
        <v>0</v>
      </c>
      <c r="HM8" s="118">
        <f>COUNTIF('Rig Sheet '!HR19:HR132,"Conductor")</f>
        <v>0</v>
      </c>
      <c r="HN8" s="118">
        <f>COUNTIF('Rig Sheet '!HS19:HS132,"Conductor")</f>
        <v>0</v>
      </c>
      <c r="HO8" s="118">
        <f>COUNTIF('Rig Sheet '!HT19:HT132,"Conductor")</f>
        <v>0</v>
      </c>
      <c r="HP8" s="118">
        <f>COUNTIF('Rig Sheet '!HU19:HU132,"Conductor")</f>
        <v>0</v>
      </c>
      <c r="HQ8" s="118">
        <f>COUNTIF('Rig Sheet '!HV19:HV132,"Conductor")</f>
        <v>0</v>
      </c>
      <c r="HR8" s="118">
        <f>COUNTIF('Rig Sheet '!HW19:HW132,"Conductor")</f>
        <v>0</v>
      </c>
      <c r="HS8" s="118">
        <f>COUNTIF('Rig Sheet '!HX19:HX132,"Conductor")</f>
        <v>0</v>
      </c>
      <c r="HT8" s="118">
        <f>COUNTIF('Rig Sheet '!HY19:HY132,"Conductor")</f>
        <v>0</v>
      </c>
      <c r="HU8" s="118">
        <f>COUNTIF('Rig Sheet '!HZ19:HZ132,"Conductor")</f>
        <v>0</v>
      </c>
      <c r="HV8" s="118">
        <f>COUNTIF('Rig Sheet '!IA19:IA132,"Conductor")</f>
        <v>0</v>
      </c>
      <c r="HW8" s="118">
        <f>COUNTIF('Rig Sheet '!IB19:IB132,"Conductor")</f>
        <v>0</v>
      </c>
      <c r="HX8" s="118">
        <f>COUNTIF('Rig Sheet '!IC19:IC132,"Conductor")</f>
        <v>0</v>
      </c>
      <c r="HY8" s="118">
        <f>COUNTIF('Rig Sheet '!ID19:ID132,"Conductor")</f>
        <v>0</v>
      </c>
      <c r="HZ8" s="118">
        <f>COUNTIF('Rig Sheet '!IE19:IE132,"Conductor")</f>
        <v>0</v>
      </c>
      <c r="IA8" s="118">
        <f>COUNTIF('Rig Sheet '!IF19:IF132,"Conductor")</f>
        <v>0</v>
      </c>
      <c r="IB8" s="118">
        <f>COUNTIF('Rig Sheet '!IG19:IG132,"Conductor")</f>
        <v>0</v>
      </c>
      <c r="IC8" s="118">
        <f>COUNTIF('Rig Sheet '!IH19:IH132,"Conductor")</f>
        <v>0</v>
      </c>
      <c r="ID8" s="118">
        <f>COUNTIF('Rig Sheet '!II19:II132,"Conductor")</f>
        <v>0</v>
      </c>
      <c r="IE8" s="118">
        <f>COUNTIF('Rig Sheet '!IJ19:IJ132,"Conductor")</f>
        <v>0</v>
      </c>
      <c r="IF8" s="118">
        <f>COUNTIF('Rig Sheet '!IK19:IK132,"Conductor")</f>
        <v>0</v>
      </c>
      <c r="IG8" s="118">
        <f>COUNTIF('Rig Sheet '!IL19:IL132,"Conductor")</f>
        <v>0</v>
      </c>
      <c r="IH8" s="118">
        <f>COUNTIF('Rig Sheet '!IM19:IM132,"Conductor")</f>
        <v>0</v>
      </c>
      <c r="II8" s="118">
        <f>COUNTIF('Rig Sheet '!IN19:IN132,"Conductor")</f>
        <v>0</v>
      </c>
      <c r="IJ8" s="118">
        <f>COUNTIF('Rig Sheet '!IO19:IO132,"Conductor")</f>
        <v>0</v>
      </c>
      <c r="IK8" s="118">
        <f>COUNTIF('Rig Sheet '!IP19:IP132,"Conductor")</f>
        <v>0</v>
      </c>
      <c r="IL8" s="118">
        <f>COUNTIF('Rig Sheet '!IQ19:IQ132,"Conductor")</f>
        <v>0</v>
      </c>
      <c r="IM8" s="118">
        <f>COUNTIF('Rig Sheet '!IR19:IR132,"Conductor")</f>
        <v>0</v>
      </c>
      <c r="IN8" s="118">
        <f>COUNTIF('Rig Sheet '!IS19:IS132,"Conductor")</f>
        <v>0</v>
      </c>
      <c r="IO8" s="118">
        <f>COUNTIF('Rig Sheet '!IT19:IT132,"Conductor")</f>
        <v>0</v>
      </c>
      <c r="IP8" s="118">
        <f>COUNTIF('Rig Sheet '!IU19:IU132,"Conductor")</f>
        <v>0</v>
      </c>
      <c r="IQ8" s="118">
        <f>COUNTIF('Rig Sheet '!IV19:IV132,"Conductor")</f>
        <v>0</v>
      </c>
      <c r="IR8" s="118">
        <f>COUNTIF('Rig Sheet '!IW19:IW132,"Conductor")</f>
        <v>0</v>
      </c>
      <c r="IS8" s="118">
        <f>COUNTIF('Rig Sheet '!IX19:IX132,"Conductor")</f>
        <v>0</v>
      </c>
      <c r="IT8" s="118">
        <f>COUNTIF('Rig Sheet '!IY19:IY132,"Conductor")</f>
        <v>0</v>
      </c>
      <c r="IU8" s="118">
        <f>COUNTIF('Rig Sheet '!IZ19:IZ132,"Conductor")</f>
        <v>0</v>
      </c>
      <c r="IV8" s="118">
        <f>COUNTIF('Rig Sheet '!JA19:JA132,"Conductor")</f>
        <v>0</v>
      </c>
      <c r="IW8" s="118">
        <f>COUNTIF('Rig Sheet '!JB19:JB132,"Conductor")</f>
        <v>0</v>
      </c>
      <c r="IX8" s="118">
        <f>COUNTIF('Rig Sheet '!JC19:JC132,"Conductor")</f>
        <v>0</v>
      </c>
      <c r="IY8" s="118">
        <f>COUNTIF('Rig Sheet '!JD19:JD132,"Conductor")</f>
        <v>0</v>
      </c>
      <c r="IZ8" s="118">
        <f>COUNTIF('Rig Sheet '!JE19:JE132,"Conductor")</f>
        <v>0</v>
      </c>
      <c r="JA8" s="118">
        <f>COUNTIF('Rig Sheet '!JF19:JF132,"Conductor")</f>
        <v>0</v>
      </c>
      <c r="JB8" s="118">
        <f>COUNTIF('Rig Sheet '!JG19:JG132,"Conductor")</f>
        <v>0</v>
      </c>
      <c r="JC8" s="118">
        <f>COUNTIF('Rig Sheet '!JH19:JH132,"Conductor")</f>
        <v>0</v>
      </c>
      <c r="JD8" s="118">
        <f>COUNTIF('Rig Sheet '!JI19:JI132,"Conductor")</f>
        <v>0</v>
      </c>
      <c r="JE8" s="118">
        <f>COUNTIF('Rig Sheet '!JJ19:JJ132,"Conductor")</f>
        <v>0</v>
      </c>
      <c r="JF8" s="118">
        <f>COUNTIF('Rig Sheet '!JK19:JK132,"Conductor")</f>
        <v>0</v>
      </c>
      <c r="JG8" s="118">
        <f>COUNTIF('Rig Sheet '!JL19:JL132,"Conductor")</f>
        <v>0</v>
      </c>
      <c r="JH8" s="118">
        <f>COUNTIF('Rig Sheet '!JM19:JM132,"Conductor")</f>
        <v>0</v>
      </c>
      <c r="JI8" s="118">
        <f>COUNTIF('Rig Sheet '!JN19:JN132,"Conductor")</f>
        <v>0</v>
      </c>
      <c r="JJ8" s="118">
        <f>COUNTIF('Rig Sheet '!JO19:JO132,"Conductor")</f>
        <v>0</v>
      </c>
      <c r="JK8" s="118">
        <f>COUNTIF('Rig Sheet '!JP19:JP132,"Conductor")</f>
        <v>0</v>
      </c>
      <c r="JL8" s="118">
        <f>COUNTIF('Rig Sheet '!JQ19:JQ132,"Conductor")</f>
        <v>0</v>
      </c>
      <c r="JM8" s="118">
        <f>COUNTIF('Rig Sheet '!JR19:JR132,"Conductor")</f>
        <v>0</v>
      </c>
      <c r="JN8" s="118">
        <f>COUNTIF('Rig Sheet '!JS19:JS132,"Conductor")</f>
        <v>0</v>
      </c>
      <c r="JO8" s="118">
        <f>COUNTIF('Rig Sheet '!JT19:JT132,"Conductor")</f>
        <v>0</v>
      </c>
      <c r="JP8" s="118">
        <f>COUNTIF('Rig Sheet '!JU19:JU132,"Conductor")</f>
        <v>0</v>
      </c>
      <c r="JQ8" s="118">
        <f>COUNTIF('Rig Sheet '!JV19:JV132,"Conductor")</f>
        <v>0</v>
      </c>
      <c r="JR8" s="118">
        <f>COUNTIF('Rig Sheet '!JW19:JW132,"Conductor")</f>
        <v>0</v>
      </c>
      <c r="JS8" s="118">
        <f>COUNTIF('Rig Sheet '!JX19:JX132,"Conductor")</f>
        <v>0</v>
      </c>
      <c r="JT8" s="118">
        <f>COUNTIF('Rig Sheet '!JY19:JY132,"Conductor")</f>
        <v>0</v>
      </c>
      <c r="JU8" s="118">
        <f>COUNTIF('Rig Sheet '!JZ19:JZ132,"Conductor")</f>
        <v>0</v>
      </c>
      <c r="JV8" s="118">
        <f>COUNTIF('Rig Sheet '!KA19:KA132,"Conductor")</f>
        <v>0</v>
      </c>
      <c r="JW8" s="118">
        <f>COUNTIF('Rig Sheet '!KB19:KB132,"Conductor")</f>
        <v>0</v>
      </c>
      <c r="JX8" s="118">
        <f>COUNTIF('Rig Sheet '!KC19:KC132,"Conductor")</f>
        <v>0</v>
      </c>
      <c r="JY8" s="118">
        <f>COUNTIF('Rig Sheet '!KD19:KD132,"Conductor")</f>
        <v>0</v>
      </c>
      <c r="JZ8" s="118">
        <f>COUNTIF('Rig Sheet '!KE19:KE132,"Conductor")</f>
        <v>0</v>
      </c>
      <c r="KA8" s="118">
        <f>COUNTIF('Rig Sheet '!KF19:KF132,"Conductor")</f>
        <v>0</v>
      </c>
      <c r="KB8" s="118">
        <f>COUNTIF('Rig Sheet '!KG19:KG132,"Conductor")</f>
        <v>0</v>
      </c>
      <c r="KC8" s="118">
        <f>COUNTIF('Rig Sheet '!KH19:KH132,"Conductor")</f>
        <v>0</v>
      </c>
      <c r="KD8" s="118">
        <f>COUNTIF('Rig Sheet '!KI19:KI132,"Conductor")</f>
        <v>0</v>
      </c>
      <c r="KE8" s="118">
        <f>COUNTIF('Rig Sheet '!KJ19:KJ132,"Conductor")</f>
        <v>0</v>
      </c>
      <c r="KF8" s="118">
        <f>COUNTIF('Rig Sheet '!KK19:KK132,"Conductor")</f>
        <v>0</v>
      </c>
      <c r="KG8" s="118">
        <f>COUNTIF('Rig Sheet '!KL19:KL132,"Conductor")</f>
        <v>0</v>
      </c>
      <c r="KH8" s="118">
        <f>COUNTIF('Rig Sheet '!KM19:KM132,"Conductor")</f>
        <v>0</v>
      </c>
      <c r="KI8" s="118">
        <f>COUNTIF('Rig Sheet '!KN19:KN132,"Conductor")</f>
        <v>0</v>
      </c>
      <c r="KJ8" s="118">
        <f>COUNTIF('Rig Sheet '!KO19:KO132,"Conductor")</f>
        <v>0</v>
      </c>
      <c r="KK8" s="118">
        <f>COUNTIF('Rig Sheet '!KP19:KP132,"Conductor")</f>
        <v>0</v>
      </c>
      <c r="KL8" s="118">
        <f>COUNTIF('Rig Sheet '!KQ19:KQ132,"Conductor")</f>
        <v>0</v>
      </c>
      <c r="KM8" s="118">
        <f>COUNTIF('Rig Sheet '!KR19:KR132,"Conductor")</f>
        <v>0</v>
      </c>
      <c r="KN8" s="118">
        <f>COUNTIF('Rig Sheet '!KS19:KS132,"Conductor")</f>
        <v>0</v>
      </c>
      <c r="KO8" s="118">
        <f>COUNTIF('Rig Sheet '!KT19:KT132,"Conductor")</f>
        <v>0</v>
      </c>
      <c r="KP8" s="118">
        <f>COUNTIF('Rig Sheet '!KU19:KU132,"Conductor")</f>
        <v>0</v>
      </c>
      <c r="KQ8" s="118">
        <f>COUNTIF('Rig Sheet '!KV19:KV132,"Conductor")</f>
        <v>0</v>
      </c>
      <c r="KR8" s="118">
        <f>COUNTIF('Rig Sheet '!KW19:KW132,"Conductor")</f>
        <v>0</v>
      </c>
      <c r="KS8" s="118">
        <f>COUNTIF('Rig Sheet '!KX19:KX132,"Conductor")</f>
        <v>0</v>
      </c>
      <c r="KT8" s="118">
        <f>COUNTIF('Rig Sheet '!KY19:KY132,"Conductor")</f>
        <v>0</v>
      </c>
      <c r="KU8" s="118">
        <f>COUNTIF('Rig Sheet '!KZ19:KZ132,"Conductor")</f>
        <v>0</v>
      </c>
      <c r="KV8" s="118">
        <f>COUNTIF('Rig Sheet '!LA19:LA132,"Conductor")</f>
        <v>0</v>
      </c>
      <c r="KW8" s="118">
        <f>COUNTIF('Rig Sheet '!LB19:LB132,"Conductor")</f>
        <v>0</v>
      </c>
      <c r="KX8" s="118">
        <f>COUNTIF('Rig Sheet '!LC19:LC132,"Conductor")</f>
        <v>0</v>
      </c>
      <c r="KY8" s="118">
        <f>COUNTIF('Rig Sheet '!LD19:LD132,"Conductor")</f>
        <v>0</v>
      </c>
      <c r="KZ8" s="118">
        <f>COUNTIF('Rig Sheet '!LE19:LE132,"Conductor")</f>
        <v>0</v>
      </c>
      <c r="LA8" s="118">
        <f>COUNTIF('Rig Sheet '!LF19:LF132,"Conductor")</f>
        <v>0</v>
      </c>
      <c r="LB8" s="118">
        <f>COUNTIF('Rig Sheet '!LG19:LG132,"Conductor")</f>
        <v>0</v>
      </c>
      <c r="LC8" s="118">
        <f>COUNTIF('Rig Sheet '!LH19:LH132,"Conductor")</f>
        <v>0</v>
      </c>
      <c r="LD8" s="118">
        <f>COUNTIF('Rig Sheet '!LI19:LI132,"Conductor")</f>
        <v>0</v>
      </c>
      <c r="LE8" s="118">
        <f>COUNTIF('Rig Sheet '!LJ19:LJ132,"Conductor")</f>
        <v>0</v>
      </c>
      <c r="LF8" s="118">
        <f>COUNTIF('Rig Sheet '!LK19:LK132,"Conductor")</f>
        <v>0</v>
      </c>
      <c r="LG8" s="118">
        <f>COUNTIF('Rig Sheet '!LL19:LL132,"Conductor")</f>
        <v>0</v>
      </c>
      <c r="LH8" s="118">
        <f>COUNTIF('Rig Sheet '!LM19:LM132,"Conductor")</f>
        <v>0</v>
      </c>
      <c r="LI8" s="118">
        <f>COUNTIF('Rig Sheet '!LN19:LN132,"Conductor")</f>
        <v>0</v>
      </c>
      <c r="LJ8" s="118">
        <f>COUNTIF('Rig Sheet '!LO19:LO132,"Conductor")</f>
        <v>0</v>
      </c>
      <c r="LK8" s="118">
        <f>COUNTIF('Rig Sheet '!LP19:LP132,"Conductor")</f>
        <v>0</v>
      </c>
      <c r="LL8" s="118">
        <f>COUNTIF('Rig Sheet '!LQ19:LQ132,"Conductor")</f>
        <v>0</v>
      </c>
      <c r="LM8" s="118">
        <f>COUNTIF('Rig Sheet '!LR19:LR132,"Conductor")</f>
        <v>0</v>
      </c>
      <c r="LN8" s="118">
        <f>COUNTIF('Rig Sheet '!LS19:LS132,"Conductor")</f>
        <v>0</v>
      </c>
      <c r="LO8" s="118">
        <f>COUNTIF('Rig Sheet '!LT19:LT132,"Conductor")</f>
        <v>0</v>
      </c>
      <c r="LP8" s="118">
        <f>COUNTIF('Rig Sheet '!LU19:LU132,"Conductor")</f>
        <v>0</v>
      </c>
      <c r="LQ8" s="118">
        <f>COUNTIF('Rig Sheet '!LV19:LV132,"Conductor")</f>
        <v>0</v>
      </c>
      <c r="LR8" s="118">
        <f>COUNTIF('Rig Sheet '!LW19:LW132,"Conductor")</f>
        <v>0</v>
      </c>
      <c r="LS8" s="118">
        <f>COUNTIF('Rig Sheet '!LX19:LX132,"Conductor")</f>
        <v>0</v>
      </c>
      <c r="LT8" s="118">
        <f>COUNTIF('Rig Sheet '!LY19:LY132,"Conductor")</f>
        <v>0</v>
      </c>
      <c r="LU8" s="118">
        <f>COUNTIF('Rig Sheet '!LZ19:LZ132,"Conductor")</f>
        <v>0</v>
      </c>
      <c r="LV8" s="118">
        <f>COUNTIF('Rig Sheet '!MA19:MA132,"Conductor")</f>
        <v>0</v>
      </c>
      <c r="LW8" s="118">
        <f>COUNTIF('Rig Sheet '!MB19:MB132,"Conductor")</f>
        <v>0</v>
      </c>
      <c r="LX8" s="118">
        <f>COUNTIF('Rig Sheet '!MC19:MC132,"Conductor")</f>
        <v>0</v>
      </c>
      <c r="LY8" s="118">
        <f>COUNTIF('Rig Sheet '!MD19:MD132,"Conductor")</f>
        <v>0</v>
      </c>
      <c r="LZ8" s="118">
        <f>COUNTIF('Rig Sheet '!ME19:ME132,"Conductor")</f>
        <v>0</v>
      </c>
      <c r="MA8" s="118">
        <f>COUNTIF('Rig Sheet '!MF19:MF132,"Conductor")</f>
        <v>0</v>
      </c>
      <c r="MB8" s="118">
        <f>COUNTIF('Rig Sheet '!MG19:MG132,"Conductor")</f>
        <v>0</v>
      </c>
      <c r="MC8" s="118">
        <f>COUNTIF('Rig Sheet '!MH19:MH132,"Conductor")</f>
        <v>0</v>
      </c>
      <c r="MD8" s="118">
        <f>COUNTIF('Rig Sheet '!MI19:MI132,"Conductor")</f>
        <v>0</v>
      </c>
      <c r="ME8" s="118">
        <f>COUNTIF('Rig Sheet '!MJ19:MJ132,"Conductor")</f>
        <v>0</v>
      </c>
      <c r="MF8" s="118">
        <f>COUNTIF('Rig Sheet '!MK19:MK132,"Conductor")</f>
        <v>0</v>
      </c>
      <c r="MG8" s="118">
        <f>COUNTIF('Rig Sheet '!ML19:ML132,"Conductor")</f>
        <v>0</v>
      </c>
      <c r="MH8" s="118">
        <f>COUNTIF('Rig Sheet '!MM19:MM132,"Conductor")</f>
        <v>0</v>
      </c>
      <c r="MI8" s="118">
        <f>COUNTIF('Rig Sheet '!MN19:MN132,"Conductor")</f>
        <v>0</v>
      </c>
      <c r="MJ8" s="118">
        <f>COUNTIF('Rig Sheet '!MO19:MO132,"Conductor")</f>
        <v>0</v>
      </c>
      <c r="MK8" s="118">
        <f>COUNTIF('Rig Sheet '!MP19:MP132,"Conductor")</f>
        <v>0</v>
      </c>
      <c r="ML8" s="118">
        <f>COUNTIF('Rig Sheet '!MQ19:MQ132,"Conductor")</f>
        <v>0</v>
      </c>
      <c r="MM8" s="118">
        <f>COUNTIF('Rig Sheet '!MR19:MR132,"Conductor")</f>
        <v>0</v>
      </c>
      <c r="MN8" s="118">
        <f>COUNTIF('Rig Sheet '!MS19:MS132,"Conductor")</f>
        <v>0</v>
      </c>
      <c r="MO8" s="118">
        <f>COUNTIF('Rig Sheet '!MT19:MT132,"Conductor")</f>
        <v>0</v>
      </c>
      <c r="MP8" s="118">
        <f>COUNTIF('Rig Sheet '!MU19:MU132,"Conductor")</f>
        <v>0</v>
      </c>
      <c r="MQ8" s="118">
        <f>COUNTIF('Rig Sheet '!MV19:MV132,"Conductor")</f>
        <v>0</v>
      </c>
      <c r="MR8" s="118">
        <f>COUNTIF('Rig Sheet '!MW19:MW132,"Conductor")</f>
        <v>0</v>
      </c>
      <c r="MS8" s="118">
        <f>COUNTIF('Rig Sheet '!MX19:MX132,"Conductor")</f>
        <v>0</v>
      </c>
      <c r="MT8" s="118">
        <f>COUNTIF('Rig Sheet '!MY19:MY132,"Conductor")</f>
        <v>0</v>
      </c>
      <c r="MU8" s="118">
        <f>COUNTIF('Rig Sheet '!MZ19:MZ132,"Conductor")</f>
        <v>0</v>
      </c>
      <c r="MV8" s="118">
        <f>COUNTIF('Rig Sheet '!NA19:NA132,"Conductor")</f>
        <v>0</v>
      </c>
      <c r="MW8" s="118">
        <f>COUNTIF('Rig Sheet '!NB19:NB132,"Conductor")</f>
        <v>0</v>
      </c>
      <c r="MX8" s="118">
        <f>COUNTIF('Rig Sheet '!NC19:NC132,"Conductor")</f>
        <v>0</v>
      </c>
      <c r="MY8" s="118">
        <f>COUNTIF('Rig Sheet '!ND19:ND132,"Conductor")</f>
        <v>0</v>
      </c>
      <c r="MZ8" s="118">
        <f>COUNTIF('Rig Sheet '!NE19:NE132,"Conductor")</f>
        <v>0</v>
      </c>
      <c r="NA8" s="118">
        <f>COUNTIF('Rig Sheet '!NF19:NF132,"Conductor")</f>
        <v>0</v>
      </c>
      <c r="NB8" s="118">
        <f>COUNTIF('Rig Sheet '!NG19:NG132,"Conductor")</f>
        <v>0</v>
      </c>
    </row>
    <row r="9" spans="1:366">
      <c r="A9" s="119" t="s">
        <v>26</v>
      </c>
      <c r="B9" s="118">
        <f>COUNTIF('Rig Sheet '!G19:G132,"Surface")</f>
        <v>2</v>
      </c>
      <c r="C9" s="118">
        <f>COUNTIF('Rig Sheet '!H19:H132,"Surface")</f>
        <v>2</v>
      </c>
      <c r="D9" s="118">
        <f>COUNTIF('Rig Sheet '!I19:I132,"Surface")</f>
        <v>0</v>
      </c>
      <c r="E9" s="118">
        <f>COUNTIF('Rig Sheet '!J19:J132,"Surface")</f>
        <v>3</v>
      </c>
      <c r="F9" s="118">
        <f>COUNTIF('Rig Sheet '!K19:K132,"Surface")</f>
        <v>1</v>
      </c>
      <c r="G9" s="118">
        <f>COUNTIF('Rig Sheet '!L19:L132,"Surface")</f>
        <v>7</v>
      </c>
      <c r="H9" s="118">
        <f>COUNTIF('Rig Sheet '!M19:M132,"Surface")</f>
        <v>5</v>
      </c>
      <c r="I9" s="118">
        <f>COUNTIF('Rig Sheet '!N19:N132,"Surface")</f>
        <v>2</v>
      </c>
      <c r="J9" s="118">
        <f>COUNTIF('Rig Sheet '!O19:O132,"Surface")</f>
        <v>4</v>
      </c>
      <c r="K9" s="118">
        <f>COUNTIF('Rig Sheet '!P19:P132,"Surface")</f>
        <v>3</v>
      </c>
      <c r="L9" s="118">
        <f>COUNTIF('Rig Sheet '!Q19:Q132,"Surface")</f>
        <v>4</v>
      </c>
      <c r="M9" s="118">
        <f>COUNTIF('Rig Sheet '!R19:R132,"Surface")</f>
        <v>2</v>
      </c>
      <c r="N9" s="118">
        <f>COUNTIF('Rig Sheet '!S19:S132,"Surface")</f>
        <v>5</v>
      </c>
      <c r="O9" s="118">
        <f>COUNTIF('Rig Sheet '!T19:T132,"Surface")</f>
        <v>2</v>
      </c>
      <c r="P9" s="118">
        <f>COUNTIF('Rig Sheet '!U19:U132,"Surface")</f>
        <v>2</v>
      </c>
      <c r="Q9" s="118">
        <f>COUNTIF('Rig Sheet '!V19:V132,"Surface")</f>
        <v>1</v>
      </c>
      <c r="R9" s="118">
        <f>COUNTIF('Rig Sheet '!W19:W132,"Surface")</f>
        <v>3</v>
      </c>
      <c r="S9" s="118">
        <f>COUNTIF('Rig Sheet '!X19:X132,"Surface")</f>
        <v>3</v>
      </c>
      <c r="T9" s="118">
        <f>COUNTIF('Rig Sheet '!Y19:Y132,"Surface")</f>
        <v>3</v>
      </c>
      <c r="U9" s="118">
        <f>COUNTIF('Rig Sheet '!Z19:Z132,"Surface")</f>
        <v>0</v>
      </c>
      <c r="V9" s="118">
        <f>COUNTIF('Rig Sheet '!AA19:AA132,"Surface")</f>
        <v>3</v>
      </c>
      <c r="W9" s="118">
        <f>COUNTIF('Rig Sheet '!AB19:AB132,"Surface")</f>
        <v>2</v>
      </c>
      <c r="X9" s="118">
        <f>COUNTIF('Rig Sheet '!AC19:AC132,"Surface")</f>
        <v>0</v>
      </c>
      <c r="Y9" s="118">
        <f>COUNTIF('Rig Sheet '!AD19:AD132,"Surface")</f>
        <v>3</v>
      </c>
      <c r="Z9" s="118">
        <f>COUNTIF('Rig Sheet '!AE19:AE132,"Surface")</f>
        <v>3</v>
      </c>
      <c r="AA9" s="118">
        <f>COUNTIF('Rig Sheet '!AF19:AF132,"Surface")</f>
        <v>1</v>
      </c>
      <c r="AB9" s="118">
        <f>COUNTIF('Rig Sheet '!AG19:AG132,"Surface")</f>
        <v>1</v>
      </c>
      <c r="AC9" s="118">
        <f>COUNTIF('Rig Sheet '!AH19:AH132,"Surface")</f>
        <v>2</v>
      </c>
      <c r="AD9" s="118">
        <f>COUNTIF('Rig Sheet '!AI19:AI132,"Surface")</f>
        <v>2</v>
      </c>
      <c r="AE9" s="118">
        <f>COUNTIF('Rig Sheet '!AJ19:AJ132,"Surface")</f>
        <v>1</v>
      </c>
      <c r="AF9" s="118">
        <f>COUNTIF('Rig Sheet '!AK19:AK132,"Surface")</f>
        <v>3</v>
      </c>
      <c r="AG9" s="118">
        <f>COUNTIF('Rig Sheet '!AL19:AL132,"Surface")</f>
        <v>5</v>
      </c>
      <c r="AH9" s="118">
        <f>COUNTIF('Rig Sheet '!AM19:AM132,"Surface")</f>
        <v>3</v>
      </c>
      <c r="AI9" s="118">
        <f>COUNTIF('Rig Sheet '!AN19:AN132,"Surface")</f>
        <v>7</v>
      </c>
      <c r="AJ9" s="118">
        <f>COUNTIF('Rig Sheet '!AO19:AO132,"Surface")</f>
        <v>1</v>
      </c>
      <c r="AK9" s="118">
        <f>COUNTIF('Rig Sheet '!AP19:AP132,"Surface")</f>
        <v>1</v>
      </c>
      <c r="AL9" s="118">
        <f>COUNTIF('Rig Sheet '!AQ19:AQ132,"Surface")</f>
        <v>3</v>
      </c>
      <c r="AM9" s="118">
        <f>COUNTIF('Rig Sheet '!AR19:AR132,"Surface")</f>
        <v>2</v>
      </c>
      <c r="AN9" s="118">
        <f>COUNTIF('Rig Sheet '!AS19:AS132,"Surface")</f>
        <v>2</v>
      </c>
      <c r="AO9" s="118">
        <f>COUNTIF('Rig Sheet '!AT19:AT132,"Surface")</f>
        <v>2</v>
      </c>
      <c r="AP9" s="118">
        <f>COUNTIF('Rig Sheet '!AU19:AU132,"Surface")</f>
        <v>3</v>
      </c>
      <c r="AQ9" s="118">
        <f>COUNTIF('Rig Sheet '!AV19:AV132,"Surface")</f>
        <v>3</v>
      </c>
      <c r="AR9" s="118">
        <f>COUNTIF('Rig Sheet '!AW19:AW132,"Surface")</f>
        <v>4</v>
      </c>
      <c r="AS9" s="118">
        <f>COUNTIF('Rig Sheet '!AX19:AX132,"Surface")</f>
        <v>2</v>
      </c>
      <c r="AT9" s="118">
        <f>COUNTIF('Rig Sheet '!AY19:AY132,"Surface")</f>
        <v>2</v>
      </c>
      <c r="AU9" s="118">
        <f>COUNTIF('Rig Sheet '!AZ19:AZ132,"Surface")</f>
        <v>2</v>
      </c>
      <c r="AV9" s="118">
        <f>COUNTIF('Rig Sheet '!BA19:BA132,"Surface")</f>
        <v>2</v>
      </c>
      <c r="AW9" s="118">
        <f>COUNTIF('Rig Sheet '!BB19:BB132,"Surface")</f>
        <v>1</v>
      </c>
      <c r="AX9" s="118">
        <f>COUNTIF('Rig Sheet '!BC19:BC132,"Surface")</f>
        <v>3</v>
      </c>
      <c r="AY9" s="118">
        <f>COUNTIF('Rig Sheet '!BD19:BD132,"Surface")</f>
        <v>1</v>
      </c>
      <c r="AZ9" s="118">
        <f>COUNTIF('Rig Sheet '!BE19:BE132,"Surface")</f>
        <v>1</v>
      </c>
      <c r="BA9" s="118">
        <f>COUNTIF('Rig Sheet '!BF19:BF132,"Surface")</f>
        <v>0</v>
      </c>
      <c r="BB9" s="118">
        <f>COUNTIF('Rig Sheet '!BG19:BG132,"Surface")</f>
        <v>0</v>
      </c>
      <c r="BC9" s="118">
        <f>COUNTIF('Rig Sheet '!BH19:BH132,"Surface")</f>
        <v>1</v>
      </c>
      <c r="BD9" s="118">
        <f>COUNTIF('Rig Sheet '!BI19:BI132,"Surface")</f>
        <v>3</v>
      </c>
      <c r="BE9" s="118">
        <f>COUNTIF('Rig Sheet '!BJ19:BJ132,"Surface")</f>
        <v>3</v>
      </c>
      <c r="BF9" s="118">
        <f>COUNTIF('Rig Sheet '!BK19:BK132,"Surface")</f>
        <v>2</v>
      </c>
      <c r="BG9" s="118">
        <f>COUNTIF('Rig Sheet '!BL19:BL132,"Surface")</f>
        <v>0</v>
      </c>
      <c r="BH9" s="118">
        <f>COUNTIF('Rig Sheet '!BM19:BM132,"Surface")</f>
        <v>1</v>
      </c>
      <c r="BI9" s="118">
        <f>COUNTIF('Rig Sheet '!BN19:BN132,"Surface")</f>
        <v>1</v>
      </c>
      <c r="BJ9" s="118">
        <f>COUNTIF('Rig Sheet '!BO19:BO132,"Surface")</f>
        <v>0</v>
      </c>
      <c r="BK9" s="118">
        <f>COUNTIF('Rig Sheet '!BP19:BP132,"Surface")</f>
        <v>2</v>
      </c>
      <c r="BL9" s="118">
        <f>COUNTIF('Rig Sheet '!BQ19:BQ132,"Surface")</f>
        <v>3</v>
      </c>
      <c r="BM9" s="118">
        <f>COUNTIF('Rig Sheet '!BR19:BR132,"Surface")</f>
        <v>4</v>
      </c>
      <c r="BN9" s="118">
        <f>COUNTIF('Rig Sheet '!BS19:BS132,"Surface")</f>
        <v>2</v>
      </c>
      <c r="BO9" s="118">
        <f>COUNTIF('Rig Sheet '!BT19:BT132,"Surface")</f>
        <v>5</v>
      </c>
      <c r="BP9" s="118">
        <f>COUNTIF('Rig Sheet '!BU19:BU132,"Surface")</f>
        <v>2</v>
      </c>
      <c r="BQ9" s="118">
        <f>COUNTIF('Rig Sheet '!BV19:BV132,"Surface")</f>
        <v>5</v>
      </c>
      <c r="BR9" s="118">
        <f>COUNTIF('Rig Sheet '!BW19:BW132,"Surface")</f>
        <v>3</v>
      </c>
      <c r="BS9" s="118">
        <f>COUNTIF('Rig Sheet '!BX19:BX132,"Surface")</f>
        <v>3</v>
      </c>
      <c r="BT9" s="118">
        <f>COUNTIF('Rig Sheet '!BY19:BY132,"Surface")</f>
        <v>5</v>
      </c>
      <c r="BU9" s="118">
        <f>COUNTIF('Rig Sheet '!BZ19:BZ132,"Surface")</f>
        <v>4</v>
      </c>
      <c r="BV9" s="118">
        <f>COUNTIF('Rig Sheet '!CA19:CA132,"Surface")</f>
        <v>4</v>
      </c>
      <c r="BW9" s="118">
        <f>COUNTIF('Rig Sheet '!CB19:CB132,"Surface")</f>
        <v>4</v>
      </c>
      <c r="BX9" s="118">
        <f>COUNTIF('Rig Sheet '!CC19:CC132,"Surface")</f>
        <v>2</v>
      </c>
      <c r="BY9" s="118">
        <f>COUNTIF('Rig Sheet '!CD19:CD132,"Surface")</f>
        <v>2</v>
      </c>
      <c r="BZ9" s="118">
        <f>COUNTIF('Rig Sheet '!CE19:CE132,"Surface")</f>
        <v>2</v>
      </c>
      <c r="CA9" s="118">
        <f>COUNTIF('Rig Sheet '!CF19:CF132,"Surface")</f>
        <v>3</v>
      </c>
      <c r="CB9" s="118">
        <f>COUNTIF('Rig Sheet '!CG19:CG132,"Surface")</f>
        <v>2</v>
      </c>
      <c r="CC9" s="118">
        <f>COUNTIF('Rig Sheet '!CH19:CH132,"Surface")</f>
        <v>6</v>
      </c>
      <c r="CD9" s="118">
        <f>COUNTIF('Rig Sheet '!CI19:CI132,"Surface")</f>
        <v>3</v>
      </c>
      <c r="CE9" s="118">
        <f>COUNTIF('Rig Sheet '!CJ19:CJ132,"Surface")</f>
        <v>3</v>
      </c>
      <c r="CF9" s="118">
        <f>COUNTIF('Rig Sheet '!CK19:CK132,"Surface")</f>
        <v>4</v>
      </c>
      <c r="CG9" s="118">
        <f>COUNTIF('Rig Sheet '!CL19:CL132,"Surface")</f>
        <v>4</v>
      </c>
      <c r="CH9" s="118">
        <f>COUNTIF('Rig Sheet '!CM19:CM132,"Surface")</f>
        <v>2</v>
      </c>
      <c r="CI9" s="118">
        <f>COUNTIF('Rig Sheet '!CN19:CN132,"Surface")</f>
        <v>2</v>
      </c>
      <c r="CJ9" s="118">
        <f>COUNTIF('Rig Sheet '!CO19:CO132,"Surface")</f>
        <v>5</v>
      </c>
      <c r="CK9" s="118">
        <f>COUNTIF('Rig Sheet '!CP19:CP132,"Surface")</f>
        <v>3</v>
      </c>
      <c r="CL9" s="118">
        <f>COUNTIF('Rig Sheet '!CQ19:CQ132,"Surface")</f>
        <v>6</v>
      </c>
      <c r="CM9" s="118">
        <f>COUNTIF('Rig Sheet '!CR19:CR132,"Surface")</f>
        <v>3</v>
      </c>
      <c r="CN9" s="118">
        <f>COUNTIF('Rig Sheet '!CS19:CS132,"Surface")</f>
        <v>2</v>
      </c>
      <c r="CO9" s="118">
        <f>COUNTIF('Rig Sheet '!CT19:CT132,"Surface")</f>
        <v>4</v>
      </c>
      <c r="CP9" s="118">
        <f>COUNTIF('Rig Sheet '!CU19:CU132,"Surface")</f>
        <v>3</v>
      </c>
      <c r="CQ9" s="118">
        <f>COUNTIF('Rig Sheet '!CV19:CV132,"Surface")</f>
        <v>2</v>
      </c>
      <c r="CR9" s="118">
        <f>COUNTIF('Rig Sheet '!CW19:CW132,"Surface")</f>
        <v>2</v>
      </c>
      <c r="CS9" s="118">
        <f>COUNTIF('Rig Sheet '!CX19:CX132,"Surface")</f>
        <v>4</v>
      </c>
      <c r="CT9" s="118">
        <f>COUNTIF('Rig Sheet '!CY19:CY132,"Surface")</f>
        <v>4</v>
      </c>
      <c r="CU9" s="118">
        <f>COUNTIF('Rig Sheet '!CZ19:CZ132,"Surface")</f>
        <v>4</v>
      </c>
      <c r="CV9" s="118">
        <f>COUNTIF('Rig Sheet '!DA19:DA132,"Surface")</f>
        <v>2</v>
      </c>
      <c r="CW9" s="118">
        <f>COUNTIF('Rig Sheet '!DB19:DB132,"Surface")</f>
        <v>2</v>
      </c>
      <c r="CX9" s="118">
        <f>COUNTIF('Rig Sheet '!DC19:DC132,"Surface")</f>
        <v>2</v>
      </c>
      <c r="CY9" s="118">
        <f>COUNTIF('Rig Sheet '!DD19:DD132,"Surface")</f>
        <v>2</v>
      </c>
      <c r="CZ9" s="118">
        <f>COUNTIF('Rig Sheet '!DE19:DE132,"Surface")</f>
        <v>4</v>
      </c>
      <c r="DA9" s="118">
        <f>COUNTIF('Rig Sheet '!DF19:DF132,"Surface")</f>
        <v>3</v>
      </c>
      <c r="DB9" s="118">
        <f>COUNTIF('Rig Sheet '!DG19:DG132,"Surface")</f>
        <v>3</v>
      </c>
      <c r="DC9" s="118">
        <f>COUNTIF('Rig Sheet '!DH19:DH132,"Surface")</f>
        <v>1</v>
      </c>
      <c r="DD9" s="118">
        <f>COUNTIF('Rig Sheet '!DI19:DI132,"Surface")</f>
        <v>4</v>
      </c>
      <c r="DE9" s="118">
        <f>COUNTIF('Rig Sheet '!DJ19:DJ132,"Surface")</f>
        <v>2</v>
      </c>
      <c r="DF9" s="118">
        <f>COUNTIF('Rig Sheet '!DK19:DK132,"Surface")</f>
        <v>1</v>
      </c>
      <c r="DG9" s="118">
        <f>COUNTIF('Rig Sheet '!DL19:DL132,"Surface")</f>
        <v>5</v>
      </c>
      <c r="DH9" s="118">
        <f>COUNTIF('Rig Sheet '!DM19:DM132,"Surface")</f>
        <v>3</v>
      </c>
      <c r="DI9" s="118">
        <f>COUNTIF('Rig Sheet '!DN19:DN132,"Surface")</f>
        <v>3</v>
      </c>
      <c r="DJ9" s="118">
        <f>COUNTIF('Rig Sheet '!DO19:DO132,"Surface")</f>
        <v>2</v>
      </c>
      <c r="DK9" s="118">
        <f>COUNTIF('Rig Sheet '!DP19:DP132,"Surface")</f>
        <v>1</v>
      </c>
      <c r="DL9" s="118">
        <f>COUNTIF('Rig Sheet '!DQ19:DQ132,"Surface")</f>
        <v>2</v>
      </c>
      <c r="DM9" s="118">
        <f>COUNTIF('Rig Sheet '!DR19:DR132,"Surface")</f>
        <v>3</v>
      </c>
      <c r="DN9" s="118">
        <f>COUNTIF('Rig Sheet '!DS19:DS132,"Surface")</f>
        <v>2</v>
      </c>
      <c r="DO9" s="118">
        <f>COUNTIF('Rig Sheet '!DT19:DT132,"Surface")</f>
        <v>2</v>
      </c>
      <c r="DP9" s="118">
        <f>COUNTIF('Rig Sheet '!DU19:DU132,"Surface")</f>
        <v>2</v>
      </c>
      <c r="DQ9" s="118">
        <f>COUNTIF('Rig Sheet '!DV19:DV132,"Surface")</f>
        <v>3</v>
      </c>
      <c r="DR9" s="118">
        <f>COUNTIF('Rig Sheet '!DW19:DW132,"Surface")</f>
        <v>2</v>
      </c>
      <c r="DS9" s="118">
        <f>COUNTIF('Rig Sheet '!DX19:DX132,"Surface")</f>
        <v>5</v>
      </c>
      <c r="DT9" s="118">
        <f>COUNTIF('Rig Sheet '!DY19:DY132,"Surface")</f>
        <v>1</v>
      </c>
      <c r="DU9" s="118">
        <f>COUNTIF('Rig Sheet '!DZ19:DZ132,"Surface")</f>
        <v>1</v>
      </c>
      <c r="DV9" s="118">
        <f>COUNTIF('Rig Sheet '!EA19:EA132,"Surface")</f>
        <v>3</v>
      </c>
      <c r="DW9" s="118">
        <f>COUNTIF('Rig Sheet '!EB19:EB132,"Surface")</f>
        <v>3</v>
      </c>
      <c r="DX9" s="118">
        <f>COUNTIF('Rig Sheet '!EC19:EC132,"Surface")</f>
        <v>1</v>
      </c>
      <c r="DY9" s="118">
        <f>COUNTIF('Rig Sheet '!ED19:ED132,"Surface")</f>
        <v>2</v>
      </c>
      <c r="DZ9" s="118">
        <f>COUNTIF('Rig Sheet '!EE19:EE132,"Surface")</f>
        <v>1</v>
      </c>
      <c r="EA9" s="118">
        <f>COUNTIF('Rig Sheet '!EF19:EF132,"Surface")</f>
        <v>1</v>
      </c>
      <c r="EB9" s="118">
        <f>COUNTIF('Rig Sheet '!EG19:EG132,"Surface")</f>
        <v>1</v>
      </c>
      <c r="EC9" s="118">
        <f>COUNTIF('Rig Sheet '!EH19:EH132,"Surface")</f>
        <v>1</v>
      </c>
      <c r="ED9" s="118">
        <f>COUNTIF('Rig Sheet '!EI19:EI132,"Surface")</f>
        <v>3</v>
      </c>
      <c r="EE9" s="118">
        <f>COUNTIF('Rig Sheet '!EJ19:EJ132,"Surface")</f>
        <v>0</v>
      </c>
      <c r="EF9" s="118">
        <f>COUNTIF('Rig Sheet '!EK19:EK132,"Surface")</f>
        <v>2</v>
      </c>
      <c r="EG9" s="118">
        <f>COUNTIF('Rig Sheet '!EL19:EL132,"Surface")</f>
        <v>2</v>
      </c>
      <c r="EH9" s="118">
        <f>COUNTIF('Rig Sheet '!EM19:EM132,"Surface")</f>
        <v>2</v>
      </c>
      <c r="EI9" s="118">
        <f>COUNTIF('Rig Sheet '!EN19:EN132,"Surface")</f>
        <v>3</v>
      </c>
      <c r="EJ9" s="118">
        <f>COUNTIF('Rig Sheet '!EO19:EO132,"Surface")</f>
        <v>0</v>
      </c>
      <c r="EK9" s="118">
        <f>COUNTIF('Rig Sheet '!EP19:EP132,"Surface")</f>
        <v>0</v>
      </c>
      <c r="EL9" s="118">
        <f>COUNTIF('Rig Sheet '!EQ19:EQ132,"Surface")</f>
        <v>2</v>
      </c>
      <c r="EM9" s="118">
        <f>COUNTIF('Rig Sheet '!ER19:ER132,"Surface")</f>
        <v>0</v>
      </c>
      <c r="EN9" s="118">
        <f>COUNTIF('Rig Sheet '!ES19:ES132,"Surface")</f>
        <v>0</v>
      </c>
      <c r="EO9" s="118">
        <f>COUNTIF('Rig Sheet '!ET19:ET132,"Surface")</f>
        <v>2</v>
      </c>
      <c r="EP9" s="118">
        <f>COUNTIF('Rig Sheet '!EU19:EU132,"Surface")</f>
        <v>2</v>
      </c>
      <c r="EQ9" s="118">
        <f>COUNTIF('Rig Sheet '!EV19:EV132,"Surface")</f>
        <v>3</v>
      </c>
      <c r="ER9" s="118">
        <f>COUNTIF('Rig Sheet '!EW19:EW132,"Surface")</f>
        <v>2</v>
      </c>
      <c r="ES9" s="118">
        <f>COUNTIF('Rig Sheet '!EX19:EX132,"Surface")</f>
        <v>2</v>
      </c>
      <c r="ET9" s="118">
        <f>COUNTIF('Rig Sheet '!EY19:EY132,"Surface")</f>
        <v>2</v>
      </c>
      <c r="EU9" s="118">
        <f>COUNTIF('Rig Sheet '!EZ19:EZ132,"Surface")</f>
        <v>4</v>
      </c>
      <c r="EV9" s="118">
        <f>COUNTIF('Rig Sheet '!FA19:FA132,"Surface")</f>
        <v>4</v>
      </c>
      <c r="EW9" s="118">
        <f>COUNTIF('Rig Sheet '!FB19:FB132,"Surface")</f>
        <v>5</v>
      </c>
      <c r="EX9" s="118">
        <f>COUNTIF('Rig Sheet '!FC19:FC132,"Surface")</f>
        <v>3</v>
      </c>
      <c r="EY9" s="118">
        <f>COUNTIF('Rig Sheet '!FD19:FD132,"Surface")</f>
        <v>3</v>
      </c>
      <c r="EZ9" s="118">
        <f>COUNTIF('Rig Sheet '!FE19:FE132,"Surface")</f>
        <v>5</v>
      </c>
      <c r="FA9" s="118">
        <f>COUNTIF('Rig Sheet '!FF19:FF132,"Surface")</f>
        <v>6</v>
      </c>
      <c r="FB9" s="118">
        <f>COUNTIF('Rig Sheet '!FG19:FG132,"Surface")</f>
        <v>4</v>
      </c>
      <c r="FC9" s="118">
        <f>COUNTIF('Rig Sheet '!FH19:FH132,"Surface")</f>
        <v>4</v>
      </c>
      <c r="FD9" s="118">
        <f>COUNTIF('Rig Sheet '!FI19:FI132,"Surface")</f>
        <v>6</v>
      </c>
      <c r="FE9" s="118">
        <f>COUNTIF('Rig Sheet '!FJ19:FJ132,"Surface")</f>
        <v>4</v>
      </c>
      <c r="FF9" s="118">
        <f>COUNTIF('Rig Sheet '!FK19:FK132,"Surface")</f>
        <v>3</v>
      </c>
      <c r="FG9" s="118">
        <f>COUNTIF('Rig Sheet '!FL19:FL132,"Surface")</f>
        <v>3</v>
      </c>
      <c r="FH9" s="118">
        <f>COUNTIF('Rig Sheet '!FM19:FM132,"Surface")</f>
        <v>3</v>
      </c>
      <c r="FI9" s="118">
        <f>COUNTIF('Rig Sheet '!FN19:FN132,"Surface")</f>
        <v>11</v>
      </c>
      <c r="FJ9" s="118">
        <f>COUNTIF('Rig Sheet '!FO19:FO132,"Surface")</f>
        <v>5</v>
      </c>
      <c r="FK9" s="118">
        <f>COUNTIF('Rig Sheet '!FP19:FP132,"Surface")</f>
        <v>8</v>
      </c>
      <c r="FL9" s="118">
        <f>COUNTIF('Rig Sheet '!FQ19:FQ132,"Surface")</f>
        <v>7</v>
      </c>
      <c r="FM9" s="118">
        <f>COUNTIF('Rig Sheet '!FR19:FR132,"Surface")</f>
        <v>4</v>
      </c>
      <c r="FN9" s="118">
        <f>COUNTIF('Rig Sheet '!FS19:FS132,"Surface")</f>
        <v>6</v>
      </c>
      <c r="FO9" s="118">
        <f>COUNTIF('Rig Sheet '!FT19:FT132,"Surface")</f>
        <v>4</v>
      </c>
      <c r="FP9" s="118">
        <f>COUNTIF('Rig Sheet '!FU19:FU132,"Surface")</f>
        <v>9</v>
      </c>
      <c r="FQ9" s="118">
        <f>COUNTIF('Rig Sheet '!FV19:FV132,"Surface")</f>
        <v>6</v>
      </c>
      <c r="FR9" s="118">
        <f>COUNTIF('Rig Sheet '!FW19:FW132,"Surface")</f>
        <v>3</v>
      </c>
      <c r="FS9" s="118">
        <f>COUNTIF('Rig Sheet '!FX19:FX132,"Surface")</f>
        <v>7</v>
      </c>
      <c r="FT9" s="118">
        <f>COUNTIF('Rig Sheet '!FY19:FY132,"Surface")</f>
        <v>4</v>
      </c>
      <c r="FU9" s="118">
        <f>COUNTIF('Rig Sheet '!FZ19:FZ132,"Surface")</f>
        <v>3</v>
      </c>
      <c r="FV9" s="118">
        <f>COUNTIF('Rig Sheet '!GA19:GA132,"Surface")</f>
        <v>3</v>
      </c>
      <c r="FW9" s="118">
        <f>COUNTIF('Rig Sheet '!GB19:GB132,"Surface")</f>
        <v>3</v>
      </c>
      <c r="FX9" s="118">
        <f>COUNTIF('Rig Sheet '!GC19:GC132,"Surface")</f>
        <v>3</v>
      </c>
      <c r="FY9" s="118">
        <f>COUNTIF('Rig Sheet '!GD19:GD132,"Surface")</f>
        <v>4</v>
      </c>
      <c r="FZ9" s="118">
        <f>COUNTIF('Rig Sheet '!GE19:GE132,"Surface")</f>
        <v>3</v>
      </c>
      <c r="GA9" s="118">
        <f>COUNTIF('Rig Sheet '!GF19:GF132,"Surface")</f>
        <v>6</v>
      </c>
      <c r="GB9" s="118">
        <f>COUNTIF('Rig Sheet '!GG19:GG132,"Surface")</f>
        <v>7</v>
      </c>
      <c r="GC9" s="118">
        <f>COUNTIF('Rig Sheet '!GH19:GH132,"Surface")</f>
        <v>3</v>
      </c>
      <c r="GD9" s="118">
        <f>COUNTIF('Rig Sheet '!GI19:GI132,"Surface")</f>
        <v>2</v>
      </c>
      <c r="GE9" s="118">
        <f>COUNTIF('Rig Sheet '!GJ19:GJ132,"Surface")</f>
        <v>4</v>
      </c>
      <c r="GF9" s="118">
        <f>COUNTIF('Rig Sheet '!GK19:GK132,"Surface")</f>
        <v>3</v>
      </c>
      <c r="GG9" s="118">
        <f>COUNTIF('Rig Sheet '!GL19:GL132,"Surface")</f>
        <v>5</v>
      </c>
      <c r="GH9" s="118">
        <f>COUNTIF('Rig Sheet '!GM19:GM132,"Surface")</f>
        <v>10</v>
      </c>
      <c r="GI9" s="118">
        <f>COUNTIF('Rig Sheet '!GN19:GN132,"Surface")</f>
        <v>4</v>
      </c>
      <c r="GJ9" s="118">
        <f>COUNTIF('Rig Sheet '!GO19:GO132,"Surface")</f>
        <v>3</v>
      </c>
      <c r="GK9" s="118">
        <f>COUNTIF('Rig Sheet '!GP19:GP132,"Surface")</f>
        <v>3</v>
      </c>
      <c r="GL9" s="118">
        <f>COUNTIF('Rig Sheet '!GQ19:GQ132,"Surface")</f>
        <v>5</v>
      </c>
      <c r="GM9" s="118">
        <f>COUNTIF('Rig Sheet '!GR19:GR132,"Surface")</f>
        <v>7</v>
      </c>
      <c r="GN9" s="118">
        <f>COUNTIF('Rig Sheet '!GS19:GS132,"Surface")</f>
        <v>6</v>
      </c>
      <c r="GO9" s="118">
        <f>COUNTIF('Rig Sheet '!GT19:GT132,"Surface")</f>
        <v>8</v>
      </c>
      <c r="GP9" s="118">
        <f>COUNTIF('Rig Sheet '!GU19:GU132,"Surface")</f>
        <v>5</v>
      </c>
      <c r="GQ9" s="118">
        <f>COUNTIF('Rig Sheet '!GV19:GV132,"Surface")</f>
        <v>4</v>
      </c>
      <c r="GR9" s="118">
        <f>COUNTIF('Rig Sheet '!GW19:GW132,"Surface")</f>
        <v>4</v>
      </c>
      <c r="GS9" s="118">
        <f>COUNTIF('Rig Sheet '!GX19:GX132,"Surface")</f>
        <v>6</v>
      </c>
      <c r="GT9" s="118">
        <f>COUNTIF('Rig Sheet '!GY19:GY132,"Surface")</f>
        <v>6</v>
      </c>
      <c r="GU9" s="118">
        <f>COUNTIF('Rig Sheet '!GZ19:GZ132,"Surface")</f>
        <v>6</v>
      </c>
      <c r="GV9" s="118">
        <f>COUNTIF('Rig Sheet '!HA19:HA132,"Surface")</f>
        <v>9</v>
      </c>
      <c r="GW9" s="118">
        <f>COUNTIF('Rig Sheet '!HB19:HB132,"Surface")</f>
        <v>7</v>
      </c>
      <c r="GX9" s="118">
        <f>COUNTIF('Rig Sheet '!HC19:HC132,"Surface")</f>
        <v>11</v>
      </c>
      <c r="GY9" s="118">
        <f>COUNTIF('Rig Sheet '!HD19:HD132,"Surface")</f>
        <v>5</v>
      </c>
      <c r="GZ9" s="118">
        <f>COUNTIF('Rig Sheet '!HE19:HE132,"Surface")</f>
        <v>6</v>
      </c>
      <c r="HA9" s="118">
        <f>COUNTIF('Rig Sheet '!HF19:HF132,"Surface")</f>
        <v>9</v>
      </c>
      <c r="HB9" s="118">
        <f>COUNTIF('Rig Sheet '!HG19:HG132,"Surface")</f>
        <v>3</v>
      </c>
      <c r="HC9" s="118">
        <f>COUNTIF('Rig Sheet '!HH19:HH132,"Surface")</f>
        <v>5</v>
      </c>
      <c r="HD9" s="118">
        <f>COUNTIF('Rig Sheet '!HI19:HI132,"Surface")</f>
        <v>7</v>
      </c>
      <c r="HE9" s="118">
        <f>COUNTIF('Rig Sheet '!HJ19:HJ132,"Surface")</f>
        <v>0</v>
      </c>
      <c r="HF9" s="118">
        <f>COUNTIF('Rig Sheet '!HK19:HK132,"Surface")</f>
        <v>8</v>
      </c>
      <c r="HG9" s="118">
        <f>COUNTIF('Rig Sheet '!HL19:HL132,"Surface")</f>
        <v>4</v>
      </c>
      <c r="HH9" s="118">
        <f>COUNTIF('Rig Sheet '!HM19:HM132,"Surface")</f>
        <v>7</v>
      </c>
      <c r="HI9" s="118">
        <f>COUNTIF('Rig Sheet '!HN19:HN132,"Surface")</f>
        <v>8</v>
      </c>
      <c r="HJ9" s="118">
        <f>COUNTIF('Rig Sheet '!HO19:HO132,"Surface")</f>
        <v>7</v>
      </c>
      <c r="HK9" s="118">
        <f>COUNTIF('Rig Sheet '!HP19:HP132,"Surface")</f>
        <v>2</v>
      </c>
      <c r="HL9" s="118">
        <f>COUNTIF('Rig Sheet '!HQ19:HQ132,"Surface")</f>
        <v>6</v>
      </c>
      <c r="HM9" s="118">
        <f>COUNTIF('Rig Sheet '!HR19:HR132,"Surface")</f>
        <v>6</v>
      </c>
      <c r="HN9" s="118">
        <f>COUNTIF('Rig Sheet '!HS19:HS132,"Surface")</f>
        <v>6</v>
      </c>
      <c r="HO9" s="118">
        <f>COUNTIF('Rig Sheet '!HT19:HT132,"Surface")</f>
        <v>9</v>
      </c>
      <c r="HP9" s="118">
        <f>COUNTIF('Rig Sheet '!HU19:HU132,"Surface")</f>
        <v>7</v>
      </c>
      <c r="HQ9" s="118">
        <f>COUNTIF('Rig Sheet '!HV19:HV132,"Surface")</f>
        <v>11</v>
      </c>
      <c r="HR9" s="118">
        <f>COUNTIF('Rig Sheet '!HW19:HW132,"Surface")</f>
        <v>3</v>
      </c>
      <c r="HS9" s="118">
        <f>COUNTIF('Rig Sheet '!HX19:HX132,"Surface")</f>
        <v>4</v>
      </c>
      <c r="HT9" s="118">
        <f>COUNTIF('Rig Sheet '!HY19:HY132,"Surface")</f>
        <v>9</v>
      </c>
      <c r="HU9" s="118">
        <f>COUNTIF('Rig Sheet '!HZ19:HZ132,"Surface")</f>
        <v>4</v>
      </c>
      <c r="HV9" s="118">
        <f>COUNTIF('Rig Sheet '!IA19:IA132,"Surface")</f>
        <v>11</v>
      </c>
      <c r="HW9" s="118">
        <f>COUNTIF('Rig Sheet '!IB19:IB132,"Surface")</f>
        <v>5</v>
      </c>
      <c r="HX9" s="118">
        <f>COUNTIF('Rig Sheet '!IC19:IC132,"Surface")</f>
        <v>8</v>
      </c>
      <c r="HY9" s="118">
        <f>COUNTIF('Rig Sheet '!ID19:ID132,"Surface")</f>
        <v>6</v>
      </c>
      <c r="HZ9" s="118">
        <f>COUNTIF('Rig Sheet '!IE19:IE132,"Surface")</f>
        <v>8</v>
      </c>
      <c r="IA9" s="118">
        <f>COUNTIF('Rig Sheet '!IF19:IF132,"Surface")</f>
        <v>3</v>
      </c>
      <c r="IB9" s="118">
        <f>COUNTIF('Rig Sheet '!IG19:IG132,"Surface")</f>
        <v>9</v>
      </c>
      <c r="IC9" s="118">
        <f>COUNTIF('Rig Sheet '!IH19:IH132,"Surface")</f>
        <v>5</v>
      </c>
      <c r="ID9" s="118">
        <f>COUNTIF('Rig Sheet '!II19:II132,"Surface")</f>
        <v>8</v>
      </c>
      <c r="IE9" s="118">
        <f>COUNTIF('Rig Sheet '!IJ19:IJ132,"Surface")</f>
        <v>8</v>
      </c>
      <c r="IF9" s="118">
        <f>COUNTIF('Rig Sheet '!IK19:IK132,"Surface")</f>
        <v>6</v>
      </c>
      <c r="IG9" s="118">
        <f>COUNTIF('Rig Sheet '!IL19:IL132,"Surface")</f>
        <v>5</v>
      </c>
      <c r="IH9" s="118">
        <f>COUNTIF('Rig Sheet '!IM19:IM132,"Surface")</f>
        <v>3</v>
      </c>
      <c r="II9" s="118">
        <f>COUNTIF('Rig Sheet '!IN19:IN132,"Surface")</f>
        <v>12</v>
      </c>
      <c r="IJ9" s="118">
        <f>COUNTIF('Rig Sheet '!IO19:IO132,"Surface")</f>
        <v>7</v>
      </c>
      <c r="IK9" s="118">
        <f>COUNTIF('Rig Sheet '!IP19:IP132,"Surface")</f>
        <v>10</v>
      </c>
      <c r="IL9" s="118">
        <f>COUNTIF('Rig Sheet '!IQ19:IQ132,"Surface")</f>
        <v>12</v>
      </c>
      <c r="IM9" s="118">
        <f>COUNTIF('Rig Sheet '!IR19:IR132,"Surface")</f>
        <v>7</v>
      </c>
      <c r="IN9" s="118">
        <f>COUNTIF('Rig Sheet '!IS19:IS132,"Surface")</f>
        <v>10</v>
      </c>
      <c r="IO9" s="118">
        <f>COUNTIF('Rig Sheet '!IT19:IT132,"Surface")</f>
        <v>13</v>
      </c>
      <c r="IP9" s="118">
        <f>COUNTIF('Rig Sheet '!IU19:IU132,"Surface")</f>
        <v>17</v>
      </c>
      <c r="IQ9" s="118">
        <f>COUNTIF('Rig Sheet '!IV19:IV132,"Surface")</f>
        <v>12</v>
      </c>
      <c r="IR9" s="118">
        <f>COUNTIF('Rig Sheet '!IW19:IW132,"Surface")</f>
        <v>11</v>
      </c>
      <c r="IS9" s="118">
        <f>COUNTIF('Rig Sheet '!IX19:IX132,"Surface")</f>
        <v>10</v>
      </c>
      <c r="IT9" s="118">
        <f>COUNTIF('Rig Sheet '!IY19:IY132,"Surface")</f>
        <v>9</v>
      </c>
      <c r="IU9" s="118">
        <f>COUNTIF('Rig Sheet '!IZ19:IZ132,"Surface")</f>
        <v>7</v>
      </c>
      <c r="IV9" s="118">
        <f>COUNTIF('Rig Sheet '!JA19:JA132,"Surface")</f>
        <v>12</v>
      </c>
      <c r="IW9" s="118">
        <f>COUNTIF('Rig Sheet '!JB19:JB132,"Surface")</f>
        <v>13</v>
      </c>
      <c r="IX9" s="118">
        <f>COUNTIF('Rig Sheet '!JC19:JC132,"Surface")</f>
        <v>7</v>
      </c>
      <c r="IY9" s="118">
        <f>COUNTIF('Rig Sheet '!JD19:JD132,"Surface")</f>
        <v>9</v>
      </c>
      <c r="IZ9" s="118">
        <f>COUNTIF('Rig Sheet '!JE19:JE132,"Surface")</f>
        <v>13</v>
      </c>
      <c r="JA9" s="118">
        <f>COUNTIF('Rig Sheet '!JF19:JF132,"Surface")</f>
        <v>9</v>
      </c>
      <c r="JB9" s="118">
        <f>COUNTIF('Rig Sheet '!JG19:JG132,"Surface")</f>
        <v>9</v>
      </c>
      <c r="JC9" s="118">
        <f>COUNTIF('Rig Sheet '!JH19:JH132,"Surface")</f>
        <v>10</v>
      </c>
      <c r="JD9" s="118">
        <f>COUNTIF('Rig Sheet '!JI19:JI132,"Surface")</f>
        <v>10</v>
      </c>
      <c r="JE9" s="118">
        <f>COUNTIF('Rig Sheet '!JJ19:JJ132,"Surface")</f>
        <v>8</v>
      </c>
      <c r="JF9" s="118">
        <f>COUNTIF('Rig Sheet '!JK19:JK132,"Surface")</f>
        <v>13</v>
      </c>
      <c r="JG9" s="118">
        <f>COUNTIF('Rig Sheet '!JL19:JL132,"Surface")</f>
        <v>9</v>
      </c>
      <c r="JH9" s="118">
        <f>COUNTIF('Rig Sheet '!JM19:JM132,"Surface")</f>
        <v>10</v>
      </c>
      <c r="JI9" s="118">
        <f>COUNTIF('Rig Sheet '!JN19:JN132,"Surface")</f>
        <v>10</v>
      </c>
      <c r="JJ9" s="118">
        <f>COUNTIF('Rig Sheet '!JO19:JO132,"Surface")</f>
        <v>5</v>
      </c>
      <c r="JK9" s="118">
        <f>COUNTIF('Rig Sheet '!JP19:JP132,"Surface")</f>
        <v>10</v>
      </c>
      <c r="JL9" s="118">
        <f>COUNTIF('Rig Sheet '!JQ19:JQ132,"Surface")</f>
        <v>10</v>
      </c>
      <c r="JM9" s="118">
        <f>COUNTIF('Rig Sheet '!JR19:JR132,"Surface")</f>
        <v>8</v>
      </c>
      <c r="JN9" s="118">
        <f>COUNTIF('Rig Sheet '!JS19:JS132,"Surface")</f>
        <v>7</v>
      </c>
      <c r="JO9" s="118">
        <f>COUNTIF('Rig Sheet '!JT19:JT132,"Surface")</f>
        <v>9</v>
      </c>
      <c r="JP9" s="118">
        <f>COUNTIF('Rig Sheet '!JU19:JU132,"Surface")</f>
        <v>9</v>
      </c>
      <c r="JQ9" s="118">
        <f>COUNTIF('Rig Sheet '!JV19:JV132,"Surface")</f>
        <v>3</v>
      </c>
      <c r="JR9" s="118">
        <f>COUNTIF('Rig Sheet '!JW19:JW132,"Surface")</f>
        <v>5</v>
      </c>
      <c r="JS9" s="118">
        <f>COUNTIF('Rig Sheet '!JX19:JX132,"Surface")</f>
        <v>7</v>
      </c>
      <c r="JT9" s="118">
        <f>COUNTIF('Rig Sheet '!JY19:JY132,"Surface")</f>
        <v>11</v>
      </c>
      <c r="JU9" s="118">
        <f>COUNTIF('Rig Sheet '!JZ19:JZ132,"Surface")</f>
        <v>6</v>
      </c>
      <c r="JV9" s="118">
        <f>COUNTIF('Rig Sheet '!KA19:KA132,"Surface")</f>
        <v>3</v>
      </c>
      <c r="JW9" s="118">
        <f>COUNTIF('Rig Sheet '!KB19:KB132,"Surface")</f>
        <v>4</v>
      </c>
      <c r="JX9" s="118">
        <f>COUNTIF('Rig Sheet '!KC19:KC132,"Surface")</f>
        <v>10</v>
      </c>
      <c r="JY9" s="118">
        <f>COUNTIF('Rig Sheet '!KD19:KD132,"Surface")</f>
        <v>5</v>
      </c>
      <c r="JZ9" s="118">
        <f>COUNTIF('Rig Sheet '!KE19:KE132,"Surface")</f>
        <v>6</v>
      </c>
      <c r="KA9" s="118">
        <f>COUNTIF('Rig Sheet '!KF19:KF132,"Surface")</f>
        <v>6</v>
      </c>
      <c r="KB9" s="118">
        <f>COUNTIF('Rig Sheet '!KG19:KG132,"Surface")</f>
        <v>7</v>
      </c>
      <c r="KC9" s="118">
        <f>COUNTIF('Rig Sheet '!KH19:KH132,"Surface")</f>
        <v>6</v>
      </c>
      <c r="KD9" s="118">
        <f>COUNTIF('Rig Sheet '!KI19:KI132,"Surface")</f>
        <v>7</v>
      </c>
      <c r="KE9" s="118">
        <f>COUNTIF('Rig Sheet '!KJ19:KJ132,"Surface")</f>
        <v>10</v>
      </c>
      <c r="KF9" s="118">
        <f>COUNTIF('Rig Sheet '!KK19:KK132,"Surface")</f>
        <v>13</v>
      </c>
      <c r="KG9" s="118">
        <f>COUNTIF('Rig Sheet '!KL19:KL132,"Surface")</f>
        <v>9</v>
      </c>
      <c r="KH9" s="118">
        <f>COUNTIF('Rig Sheet '!KM19:KM132,"Surface")</f>
        <v>8</v>
      </c>
      <c r="KI9" s="118">
        <f>COUNTIF('Rig Sheet '!KN19:KN132,"Surface")</f>
        <v>6</v>
      </c>
      <c r="KJ9" s="118">
        <f>COUNTIF('Rig Sheet '!KO19:KO132,"Surface")</f>
        <v>8</v>
      </c>
      <c r="KK9" s="118">
        <f>COUNTIF('Rig Sheet '!KP19:KP132,"Surface")</f>
        <v>4</v>
      </c>
      <c r="KL9" s="118">
        <f>COUNTIF('Rig Sheet '!KQ19:KQ132,"Surface")</f>
        <v>4</v>
      </c>
      <c r="KM9" s="118">
        <f>COUNTIF('Rig Sheet '!KR19:KR132,"Surface")</f>
        <v>10</v>
      </c>
      <c r="KN9" s="118">
        <f>COUNTIF('Rig Sheet '!KS19:KS132,"Surface")</f>
        <v>7</v>
      </c>
      <c r="KO9" s="118">
        <f>COUNTIF('Rig Sheet '!KT19:KT132,"Surface")</f>
        <v>4</v>
      </c>
      <c r="KP9" s="118">
        <f>COUNTIF('Rig Sheet '!KU19:KU132,"Surface")</f>
        <v>6</v>
      </c>
      <c r="KQ9" s="118">
        <f>COUNTIF('Rig Sheet '!KV19:KV132,"Surface")</f>
        <v>7</v>
      </c>
      <c r="KR9" s="118">
        <f>COUNTIF('Rig Sheet '!KW19:KW132,"Surface")</f>
        <v>14</v>
      </c>
      <c r="KS9" s="118">
        <f>COUNTIF('Rig Sheet '!KX19:KX132,"Surface")</f>
        <v>7</v>
      </c>
      <c r="KT9" s="118">
        <f>COUNTIF('Rig Sheet '!KY19:KY132,"Surface")</f>
        <v>11</v>
      </c>
      <c r="KU9" s="118">
        <f>COUNTIF('Rig Sheet '!KZ19:KZ132,"Surface")</f>
        <v>5</v>
      </c>
      <c r="KV9" s="118">
        <f>COUNTIF('Rig Sheet '!LA19:LA132,"Surface")</f>
        <v>7</v>
      </c>
      <c r="KW9" s="118">
        <f>COUNTIF('Rig Sheet '!LB19:LB132,"Surface")</f>
        <v>4</v>
      </c>
      <c r="KX9" s="118">
        <f>COUNTIF('Rig Sheet '!LC19:LC132,"Surface")</f>
        <v>5</v>
      </c>
      <c r="KY9" s="118">
        <f>COUNTIF('Rig Sheet '!LD19:LD132,"Surface")</f>
        <v>8</v>
      </c>
      <c r="KZ9" s="118">
        <f>COUNTIF('Rig Sheet '!LE19:LE132,"Surface")</f>
        <v>7</v>
      </c>
      <c r="LA9" s="118">
        <f>COUNTIF('Rig Sheet '!LF19:LF132,"Surface")</f>
        <v>3</v>
      </c>
      <c r="LB9" s="118">
        <f>COUNTIF('Rig Sheet '!LG19:LG132,"Surface")</f>
        <v>6</v>
      </c>
      <c r="LC9" s="118">
        <f>COUNTIF('Rig Sheet '!LH19:LH132,"Surface")</f>
        <v>7</v>
      </c>
      <c r="LD9" s="118">
        <f>COUNTIF('Rig Sheet '!LI19:LI132,"Surface")</f>
        <v>11</v>
      </c>
      <c r="LE9" s="118">
        <f>COUNTIF('Rig Sheet '!LJ19:LJ132,"Surface")</f>
        <v>4</v>
      </c>
      <c r="LF9" s="118">
        <f>COUNTIF('Rig Sheet '!LK19:LK132,"Surface")</f>
        <v>5</v>
      </c>
      <c r="LG9" s="118">
        <f>COUNTIF('Rig Sheet '!LL19:LL132,"Surface")</f>
        <v>3</v>
      </c>
      <c r="LH9" s="118">
        <f>COUNTIF('Rig Sheet '!LM19:LM132,"Surface")</f>
        <v>8</v>
      </c>
      <c r="LI9" s="118">
        <f>COUNTIF('Rig Sheet '!LN19:LN132,"Surface")</f>
        <v>3</v>
      </c>
      <c r="LJ9" s="118">
        <f>COUNTIF('Rig Sheet '!LO19:LO132,"Surface")</f>
        <v>5</v>
      </c>
      <c r="LK9" s="118">
        <f>COUNTIF('Rig Sheet '!LP19:LP132,"Surface")</f>
        <v>6</v>
      </c>
      <c r="LL9" s="118">
        <f>COUNTIF('Rig Sheet '!LQ19:LQ132,"Surface")</f>
        <v>6</v>
      </c>
      <c r="LM9" s="118">
        <f>COUNTIF('Rig Sheet '!LR19:LR132,"Surface")</f>
        <v>3</v>
      </c>
      <c r="LN9" s="118">
        <f>COUNTIF('Rig Sheet '!LS19:LS132,"Surface")</f>
        <v>4</v>
      </c>
      <c r="LO9" s="118">
        <f>COUNTIF('Rig Sheet '!LT19:LT132,"Surface")</f>
        <v>5</v>
      </c>
      <c r="LP9" s="118">
        <f>COUNTIF('Rig Sheet '!LU19:LU132,"Surface")</f>
        <v>7</v>
      </c>
      <c r="LQ9" s="118">
        <f>COUNTIF('Rig Sheet '!LV19:LV132,"Surface")</f>
        <v>8</v>
      </c>
      <c r="LR9" s="118">
        <f>COUNTIF('Rig Sheet '!LW19:LW132,"Surface")</f>
        <v>4</v>
      </c>
      <c r="LS9" s="118">
        <f>COUNTIF('Rig Sheet '!LX19:LX132,"Surface")</f>
        <v>6</v>
      </c>
      <c r="LT9" s="118">
        <f>COUNTIF('Rig Sheet '!LY19:LY132,"Surface")</f>
        <v>7</v>
      </c>
      <c r="LU9" s="118">
        <f>COUNTIF('Rig Sheet '!LZ19:LZ132,"Surface")</f>
        <v>2</v>
      </c>
      <c r="LV9" s="118">
        <f>COUNTIF('Rig Sheet '!MA19:MA132,"Surface")</f>
        <v>7</v>
      </c>
      <c r="LW9" s="118">
        <f>COUNTIF('Rig Sheet '!MB19:MB132,"Surface")</f>
        <v>6</v>
      </c>
      <c r="LX9" s="118">
        <f>COUNTIF('Rig Sheet '!MC19:MC132,"Surface")</f>
        <v>0</v>
      </c>
      <c r="LY9" s="118">
        <f>COUNTIF('Rig Sheet '!MD19:MD132,"Surface")</f>
        <v>1</v>
      </c>
      <c r="LZ9" s="118">
        <f>COUNTIF('Rig Sheet '!ME19:ME132,"Surface")</f>
        <v>0</v>
      </c>
      <c r="MA9" s="118">
        <f>COUNTIF('Rig Sheet '!MF19:MF132,"Surface")</f>
        <v>0</v>
      </c>
      <c r="MB9" s="118">
        <f>COUNTIF('Rig Sheet '!MG19:MG132,"Surface")</f>
        <v>0</v>
      </c>
      <c r="MC9" s="118">
        <f>COUNTIF('Rig Sheet '!MH19:MH132,"Surface")</f>
        <v>0</v>
      </c>
      <c r="MD9" s="118">
        <f>COUNTIF('Rig Sheet '!MI19:MI132,"Surface")</f>
        <v>0</v>
      </c>
      <c r="ME9" s="118">
        <f>COUNTIF('Rig Sheet '!MJ19:MJ132,"Surface")</f>
        <v>0</v>
      </c>
      <c r="MF9" s="118">
        <f>COUNTIF('Rig Sheet '!MK19:MK132,"Surface")</f>
        <v>0</v>
      </c>
      <c r="MG9" s="118">
        <f>COUNTIF('Rig Sheet '!ML19:ML132,"Surface")</f>
        <v>0</v>
      </c>
      <c r="MH9" s="118">
        <f>COUNTIF('Rig Sheet '!MM19:MM132,"Surface")</f>
        <v>0</v>
      </c>
      <c r="MI9" s="118">
        <f>COUNTIF('Rig Sheet '!MN19:MN132,"Surface")</f>
        <v>0</v>
      </c>
      <c r="MJ9" s="118">
        <f>COUNTIF('Rig Sheet '!MO19:MO132,"Surface")</f>
        <v>0</v>
      </c>
      <c r="MK9" s="118">
        <f>COUNTIF('Rig Sheet '!MP19:MP132,"Surface")</f>
        <v>0</v>
      </c>
      <c r="ML9" s="118">
        <f>COUNTIF('Rig Sheet '!MQ19:MQ132,"Surface")</f>
        <v>0</v>
      </c>
      <c r="MM9" s="118">
        <f>COUNTIF('Rig Sheet '!MR19:MR132,"Surface")</f>
        <v>0</v>
      </c>
      <c r="MN9" s="118">
        <f>COUNTIF('Rig Sheet '!MS19:MS132,"Surface")</f>
        <v>0</v>
      </c>
      <c r="MO9" s="118">
        <f>COUNTIF('Rig Sheet '!MT19:MT132,"Surface")</f>
        <v>0</v>
      </c>
      <c r="MP9" s="118">
        <f>COUNTIF('Rig Sheet '!MU19:MU132,"Surface")</f>
        <v>0</v>
      </c>
      <c r="MQ9" s="118">
        <f>COUNTIF('Rig Sheet '!MV19:MV132,"Surface")</f>
        <v>0</v>
      </c>
      <c r="MR9" s="118">
        <f>COUNTIF('Rig Sheet '!MW19:MW132,"Surface")</f>
        <v>0</v>
      </c>
      <c r="MS9" s="118">
        <f>COUNTIF('Rig Sheet '!MX19:MX132,"Surface")</f>
        <v>0</v>
      </c>
      <c r="MT9" s="118">
        <f>COUNTIF('Rig Sheet '!MY19:MY132,"Surface")</f>
        <v>0</v>
      </c>
      <c r="MU9" s="118">
        <f>COUNTIF('Rig Sheet '!MZ19:MZ132,"Surface")</f>
        <v>0</v>
      </c>
      <c r="MV9" s="118">
        <f>COUNTIF('Rig Sheet '!NA19:NA132,"Surface")</f>
        <v>0</v>
      </c>
      <c r="MW9" s="118">
        <f>COUNTIF('Rig Sheet '!NB19:NB132,"Surface")</f>
        <v>0</v>
      </c>
      <c r="MX9" s="118">
        <f>COUNTIF('Rig Sheet '!NC19:NC132,"Surface")</f>
        <v>0</v>
      </c>
      <c r="MY9" s="118">
        <f>COUNTIF('Rig Sheet '!ND19:ND132,"Surface")</f>
        <v>0</v>
      </c>
      <c r="MZ9" s="118">
        <f>COUNTIF('Rig Sheet '!NE19:NE132,"Surface")</f>
        <v>0</v>
      </c>
      <c r="NA9" s="118">
        <f>COUNTIF('Rig Sheet '!NF19:NF132,"Surface")</f>
        <v>0</v>
      </c>
      <c r="NB9" s="118">
        <f>COUNTIF('Rig Sheet '!NG19:NG132,"Surface")</f>
        <v>0</v>
      </c>
    </row>
    <row r="10" spans="1:366">
      <c r="A10" s="119" t="s">
        <v>80</v>
      </c>
      <c r="B10" s="118">
        <f>COUNTIF('Rig Sheet '!G19:G132,"Surface x 2")</f>
        <v>0</v>
      </c>
      <c r="C10" s="118">
        <f>COUNTIF('Rig Sheet '!H19:H132,"Surface x 2")</f>
        <v>0</v>
      </c>
      <c r="D10" s="118">
        <f>COUNTIF('Rig Sheet '!I19:I132,"Surface x 2")</f>
        <v>0</v>
      </c>
      <c r="E10" s="118">
        <f>COUNTIF('Rig Sheet '!J19:J132,"Surface x 2")</f>
        <v>0</v>
      </c>
      <c r="F10" s="118">
        <f>COUNTIF('Rig Sheet '!K19:K132,"Surface x 2")</f>
        <v>0</v>
      </c>
      <c r="G10" s="118">
        <f>COUNTIF('Rig Sheet '!L19:L132,"Surface x 2")</f>
        <v>0</v>
      </c>
      <c r="H10" s="118">
        <f>COUNTIF('Rig Sheet '!M19:M132,"Surface x 2")</f>
        <v>0</v>
      </c>
      <c r="I10" s="118">
        <f>COUNTIF('Rig Sheet '!N19:N132,"Surface x 2")</f>
        <v>0</v>
      </c>
      <c r="J10" s="118">
        <f>COUNTIF('Rig Sheet '!O19:O132,"Surface x 2")</f>
        <v>0</v>
      </c>
      <c r="K10" s="118">
        <f>COUNTIF('Rig Sheet '!P19:P132,"Surface x 2")</f>
        <v>0</v>
      </c>
      <c r="L10" s="118">
        <f>COUNTIF('Rig Sheet '!Q19:Q132,"Surface x 2")</f>
        <v>1</v>
      </c>
      <c r="M10" s="118">
        <f>COUNTIF('Rig Sheet '!R19:R132,"Surface x 2")</f>
        <v>0</v>
      </c>
      <c r="N10" s="118">
        <f>COUNTIF('Rig Sheet '!S19:S132,"Surface x 2")</f>
        <v>0</v>
      </c>
      <c r="O10" s="118">
        <f>COUNTIF('Rig Sheet '!T19:T132,"Surface x 2")</f>
        <v>0</v>
      </c>
      <c r="P10" s="118">
        <f>COUNTIF('Rig Sheet '!U19:U132,"Surface x 2")</f>
        <v>0</v>
      </c>
      <c r="Q10" s="118">
        <f>COUNTIF('Rig Sheet '!V19:V132,"Surface x 2")</f>
        <v>0</v>
      </c>
      <c r="R10" s="118">
        <f>COUNTIF('Rig Sheet '!W19:W132,"Surface x 2")</f>
        <v>0</v>
      </c>
      <c r="S10" s="118">
        <f>COUNTIF('Rig Sheet '!X19:X132,"Surface x 2")</f>
        <v>0</v>
      </c>
      <c r="T10" s="118">
        <f>COUNTIF('Rig Sheet '!Y19:Y132,"Surface x 2")</f>
        <v>0</v>
      </c>
      <c r="U10" s="118">
        <f>COUNTIF('Rig Sheet '!Z19:Z132,"Surface x 2")</f>
        <v>0</v>
      </c>
      <c r="V10" s="118">
        <f>COUNTIF('Rig Sheet '!AA19:AA132,"Surface x 2")</f>
        <v>0</v>
      </c>
      <c r="W10" s="118">
        <f>COUNTIF('Rig Sheet '!AB19:AB132,"Surface x 2")</f>
        <v>0</v>
      </c>
      <c r="X10" s="118">
        <f>COUNTIF('Rig Sheet '!AC19:AC132,"Surface x 2")</f>
        <v>0</v>
      </c>
      <c r="Y10" s="118">
        <f>COUNTIF('Rig Sheet '!AD19:AD132,"Surface x 2")</f>
        <v>0</v>
      </c>
      <c r="Z10" s="118">
        <f>COUNTIF('Rig Sheet '!AE19:AE132,"Surface x 2")</f>
        <v>0</v>
      </c>
      <c r="AA10" s="118">
        <f>COUNTIF('Rig Sheet '!AF19:AF132,"Surface x 2")</f>
        <v>0</v>
      </c>
      <c r="AB10" s="118">
        <f>COUNTIF('Rig Sheet '!AG19:AG132,"Surface x 2")</f>
        <v>0</v>
      </c>
      <c r="AC10" s="118">
        <f>COUNTIF('Rig Sheet '!AH19:AH132,"Surface x 2")</f>
        <v>0</v>
      </c>
      <c r="AD10" s="118">
        <f>COUNTIF('Rig Sheet '!AI19:AI132,"Surface x 2")</f>
        <v>0</v>
      </c>
      <c r="AE10" s="118">
        <f>COUNTIF('Rig Sheet '!AJ19:AJ132,"Surface x 2")</f>
        <v>0</v>
      </c>
      <c r="AF10" s="118">
        <f>COUNTIF('Rig Sheet '!AK19:AK132,"Surface x 2")</f>
        <v>0</v>
      </c>
      <c r="AG10" s="118">
        <f>COUNTIF('Rig Sheet '!AL19:AL132,"Surface x 2")</f>
        <v>0</v>
      </c>
      <c r="AH10" s="118">
        <f>COUNTIF('Rig Sheet '!AM19:AM132,"Surface x 2")</f>
        <v>0</v>
      </c>
      <c r="AI10" s="118">
        <f>COUNTIF('Rig Sheet '!AN19:AN132,"Surface x 2")</f>
        <v>0</v>
      </c>
      <c r="AJ10" s="118">
        <f>COUNTIF('Rig Sheet '!AO19:AO132,"Surface x 2")</f>
        <v>0</v>
      </c>
      <c r="AK10" s="118">
        <f>COUNTIF('Rig Sheet '!AP19:AP132,"Surface x 2")</f>
        <v>0</v>
      </c>
      <c r="AL10" s="118">
        <f>COUNTIF('Rig Sheet '!AQ19:AQ132,"Surface x 2")</f>
        <v>0</v>
      </c>
      <c r="AM10" s="118">
        <f>COUNTIF('Rig Sheet '!AR19:AR132,"Surface x 2")</f>
        <v>0</v>
      </c>
      <c r="AN10" s="118">
        <f>COUNTIF('Rig Sheet '!AS19:AS132,"Surface x 2")</f>
        <v>0</v>
      </c>
      <c r="AO10" s="118">
        <f>COUNTIF('Rig Sheet '!AT19:AT132,"Surface x 2")</f>
        <v>0</v>
      </c>
      <c r="AP10" s="118">
        <f>COUNTIF('Rig Sheet '!AU19:AU132,"Surface x 2")</f>
        <v>0</v>
      </c>
      <c r="AQ10" s="118">
        <f>COUNTIF('Rig Sheet '!AV19:AV132,"Surface x 2")</f>
        <v>0</v>
      </c>
      <c r="AR10" s="118">
        <f>COUNTIF('Rig Sheet '!AW19:AW132,"Surface x 2")</f>
        <v>0</v>
      </c>
      <c r="AS10" s="118">
        <f>COUNTIF('Rig Sheet '!AX19:AX132,"Surface x 2")</f>
        <v>0</v>
      </c>
      <c r="AT10" s="118">
        <f>COUNTIF('Rig Sheet '!AY19:AY132,"Surface x 2")</f>
        <v>0</v>
      </c>
      <c r="AU10" s="118">
        <f>COUNTIF('Rig Sheet '!AZ19:AZ132,"Surface x 2")</f>
        <v>0</v>
      </c>
      <c r="AV10" s="118">
        <f>COUNTIF('Rig Sheet '!BA19:BA132,"Surface x 2")</f>
        <v>0</v>
      </c>
      <c r="AW10" s="118">
        <f>COUNTIF('Rig Sheet '!BB19:BB132,"Surface x 2")</f>
        <v>0</v>
      </c>
      <c r="AX10" s="118">
        <f>COUNTIF('Rig Sheet '!BC19:BC132,"Surface x 2")</f>
        <v>0</v>
      </c>
      <c r="AY10" s="118">
        <f>COUNTIF('Rig Sheet '!BD19:BD132,"Surface x 2")</f>
        <v>0</v>
      </c>
      <c r="AZ10" s="118">
        <f>COUNTIF('Rig Sheet '!BE19:BE132,"Surface x 2")</f>
        <v>0</v>
      </c>
      <c r="BA10" s="118">
        <f>COUNTIF('Rig Sheet '!BF19:BF132,"Surface x 2")</f>
        <v>0</v>
      </c>
      <c r="BB10" s="118">
        <f>COUNTIF('Rig Sheet '!BG19:BG132,"Surface x 2")</f>
        <v>0</v>
      </c>
      <c r="BC10" s="118">
        <f>COUNTIF('Rig Sheet '!BH19:BH132,"Surface x 2")</f>
        <v>0</v>
      </c>
      <c r="BD10" s="118">
        <f>COUNTIF('Rig Sheet '!BI19:BI132,"Surface x 2")</f>
        <v>0</v>
      </c>
      <c r="BE10" s="118">
        <f>COUNTIF('Rig Sheet '!BJ19:BJ132,"Surface x 2")</f>
        <v>0</v>
      </c>
      <c r="BF10" s="118">
        <f>COUNTIF('Rig Sheet '!BK19:BK132,"Surface x 2")</f>
        <v>1</v>
      </c>
      <c r="BG10" s="118">
        <f>COUNTIF('Rig Sheet '!BL19:BL132,"Surface x 2")</f>
        <v>1</v>
      </c>
      <c r="BH10" s="118">
        <f>COUNTIF('Rig Sheet '!BM19:BM132,"Surface x 2")</f>
        <v>1</v>
      </c>
      <c r="BI10" s="118">
        <f>COUNTIF('Rig Sheet '!BN19:BN132,"Surface x 2")</f>
        <v>1</v>
      </c>
      <c r="BJ10" s="118">
        <f>COUNTIF('Rig Sheet '!BO19:BO132,"Surface x 2")</f>
        <v>1</v>
      </c>
      <c r="BK10" s="118">
        <f>COUNTIF('Rig Sheet '!BP19:BP132,"Surface x 2")</f>
        <v>1</v>
      </c>
      <c r="BL10" s="118">
        <f>COUNTIF('Rig Sheet '!BQ19:BQ132,"Surface x 2")</f>
        <v>1</v>
      </c>
      <c r="BM10" s="118">
        <f>COUNTIF('Rig Sheet '!BR19:BR132,"Surface x 2")</f>
        <v>0</v>
      </c>
      <c r="BN10" s="118">
        <f>COUNTIF('Rig Sheet '!BS19:BS132,"Surface x 2")</f>
        <v>1</v>
      </c>
      <c r="BO10" s="118">
        <f>COUNTIF('Rig Sheet '!BT19:BT132,"Surface x 2")</f>
        <v>1</v>
      </c>
      <c r="BP10" s="118">
        <f>COUNTIF('Rig Sheet '!BU19:BU132,"Surface x 2")</f>
        <v>1</v>
      </c>
      <c r="BQ10" s="118">
        <f>COUNTIF('Rig Sheet '!BV19:BV132,"Surface x 2")</f>
        <v>1</v>
      </c>
      <c r="BR10" s="118">
        <f>COUNTIF('Rig Sheet '!BW19:BW132,"Surface x 2")</f>
        <v>1</v>
      </c>
      <c r="BS10" s="118">
        <f>COUNTIF('Rig Sheet '!BX19:BX132,"Surface x 2")</f>
        <v>1</v>
      </c>
      <c r="BT10" s="118">
        <f>COUNTIF('Rig Sheet '!BY19:BY132,"Surface x 2")</f>
        <v>1</v>
      </c>
      <c r="BU10" s="118">
        <f>COUNTIF('Rig Sheet '!BZ19:BZ132,"Surface x 2")</f>
        <v>1</v>
      </c>
      <c r="BV10" s="118">
        <f>COUNTIF('Rig Sheet '!CA19:CA132,"Surface x 2")</f>
        <v>1</v>
      </c>
      <c r="BW10" s="118">
        <f>COUNTIF('Rig Sheet '!CB19:CB132,"Surface x 2")</f>
        <v>1</v>
      </c>
      <c r="BX10" s="118">
        <f>COUNTIF('Rig Sheet '!CC19:CC132,"Surface x 2")</f>
        <v>1</v>
      </c>
      <c r="BY10" s="118">
        <f>COUNTIF('Rig Sheet '!CD19:CD132,"Surface x 2")</f>
        <v>1</v>
      </c>
      <c r="BZ10" s="118">
        <f>COUNTIF('Rig Sheet '!CE19:CE132,"Surface x 2")</f>
        <v>0</v>
      </c>
      <c r="CA10" s="118">
        <f>COUNTIF('Rig Sheet '!CF19:CF132,"Surface x 2")</f>
        <v>0</v>
      </c>
      <c r="CB10" s="118">
        <f>COUNTIF('Rig Sheet '!CG19:CG132,"Surface x 2")</f>
        <v>0</v>
      </c>
      <c r="CC10" s="118">
        <f>COUNTIF('Rig Sheet '!CH19:CH132,"Surface x 2")</f>
        <v>0</v>
      </c>
      <c r="CD10" s="118">
        <f>COUNTIF('Rig Sheet '!CI19:CI132,"Surface x 2")</f>
        <v>0</v>
      </c>
      <c r="CE10" s="118">
        <f>COUNTIF('Rig Sheet '!CJ19:CJ132,"Surface x 2")</f>
        <v>0</v>
      </c>
      <c r="CF10" s="118">
        <f>COUNTIF('Rig Sheet '!CK19:CK132,"Surface x 2")</f>
        <v>0</v>
      </c>
      <c r="CG10" s="118">
        <f>COUNTIF('Rig Sheet '!CL19:CL132,"Surface x 2")</f>
        <v>0</v>
      </c>
      <c r="CH10" s="118">
        <f>COUNTIF('Rig Sheet '!CM19:CM132,"Surface x 2")</f>
        <v>0</v>
      </c>
      <c r="CI10" s="118">
        <f>COUNTIF('Rig Sheet '!CN19:CN132,"Surface x 2")</f>
        <v>0</v>
      </c>
      <c r="CJ10" s="118">
        <f>COUNTIF('Rig Sheet '!CO19:CO132,"Surface x 2")</f>
        <v>0</v>
      </c>
      <c r="CK10" s="118">
        <f>COUNTIF('Rig Sheet '!CP19:CP132,"Surface x 2")</f>
        <v>1</v>
      </c>
      <c r="CL10" s="118">
        <f>COUNTIF('Rig Sheet '!CQ19:CQ132,"Surface x 2")</f>
        <v>1</v>
      </c>
      <c r="CM10" s="118">
        <f>COUNTIF('Rig Sheet '!CR19:CR132,"Surface x 2")</f>
        <v>1</v>
      </c>
      <c r="CN10" s="118">
        <f>COUNTIF('Rig Sheet '!CS19:CS132,"Surface x 2")</f>
        <v>1</v>
      </c>
      <c r="CO10" s="118">
        <f>COUNTIF('Rig Sheet '!CT19:CT132,"Surface x 2")</f>
        <v>0</v>
      </c>
      <c r="CP10" s="118">
        <f>COUNTIF('Rig Sheet '!CU19:CU132,"Surface x 2")</f>
        <v>1</v>
      </c>
      <c r="CQ10" s="118">
        <f>COUNTIF('Rig Sheet '!CV19:CV132,"Surface x 2")</f>
        <v>1</v>
      </c>
      <c r="CR10" s="118">
        <f>COUNTIF('Rig Sheet '!CW19:CW132,"Surface x 2")</f>
        <v>1</v>
      </c>
      <c r="CS10" s="118">
        <f>COUNTIF('Rig Sheet '!CX19:CX132,"Surface x 2")</f>
        <v>1</v>
      </c>
      <c r="CT10" s="118">
        <f>COUNTIF('Rig Sheet '!CY19:CY132,"Surface x 2")</f>
        <v>1</v>
      </c>
      <c r="CU10" s="118">
        <f>COUNTIF('Rig Sheet '!CZ19:CZ132,"Surface x 2")</f>
        <v>1</v>
      </c>
      <c r="CV10" s="118">
        <f>COUNTIF('Rig Sheet '!DA19:DA132,"Surface x 2")</f>
        <v>2</v>
      </c>
      <c r="CW10" s="118">
        <f>COUNTIF('Rig Sheet '!DB19:DB132,"Surface x 2")</f>
        <v>1</v>
      </c>
      <c r="CX10" s="118">
        <f>COUNTIF('Rig Sheet '!DC19:DC132,"Surface x 2")</f>
        <v>1</v>
      </c>
      <c r="CY10" s="118">
        <f>COUNTIF('Rig Sheet '!DD19:DD132,"Surface x 2")</f>
        <v>0</v>
      </c>
      <c r="CZ10" s="118">
        <f>COUNTIF('Rig Sheet '!DE19:DE132,"Surface x 2")</f>
        <v>1</v>
      </c>
      <c r="DA10" s="118">
        <f>COUNTIF('Rig Sheet '!DF19:DF132,"Surface x 2")</f>
        <v>1</v>
      </c>
      <c r="DB10" s="118">
        <f>COUNTIF('Rig Sheet '!DG19:DG132,"Surface x 2")</f>
        <v>1</v>
      </c>
      <c r="DC10" s="118">
        <f>COUNTIF('Rig Sheet '!DH19:DH132,"Surface x 2")</f>
        <v>1</v>
      </c>
      <c r="DD10" s="118">
        <f>COUNTIF('Rig Sheet '!DI19:DI132,"Surface x 2")</f>
        <v>0</v>
      </c>
      <c r="DE10" s="118">
        <f>COUNTIF('Rig Sheet '!DJ19:DJ132,"Surface x 2")</f>
        <v>0</v>
      </c>
      <c r="DF10" s="118">
        <f>COUNTIF('Rig Sheet '!DK19:DK132,"Surface x 2")</f>
        <v>1</v>
      </c>
      <c r="DG10" s="118">
        <f>COUNTIF('Rig Sheet '!DL19:DL132,"Surface x 2")</f>
        <v>0</v>
      </c>
      <c r="DH10" s="118">
        <f>COUNTIF('Rig Sheet '!DM19:DM132,"Surface x 2")</f>
        <v>0</v>
      </c>
      <c r="DI10" s="118">
        <f>COUNTIF('Rig Sheet '!DN19:DN132,"Surface x 2")</f>
        <v>0</v>
      </c>
      <c r="DJ10" s="118">
        <f>COUNTIF('Rig Sheet '!DO19:DO132,"Surface x 2")</f>
        <v>0</v>
      </c>
      <c r="DK10" s="118">
        <f>COUNTIF('Rig Sheet '!DP19:DP132,"Surface x 2")</f>
        <v>1</v>
      </c>
      <c r="DL10" s="118">
        <f>COUNTIF('Rig Sheet '!DQ19:DQ132,"Surface x 2")</f>
        <v>0</v>
      </c>
      <c r="DM10" s="118">
        <f>COUNTIF('Rig Sheet '!DR19:DR132,"Surface x 2")</f>
        <v>0</v>
      </c>
      <c r="DN10" s="118">
        <f>COUNTIF('Rig Sheet '!DS19:DS132,"Surface x 2")</f>
        <v>0</v>
      </c>
      <c r="DO10" s="118">
        <f>COUNTIF('Rig Sheet '!DT19:DT132,"Surface x 2")</f>
        <v>0</v>
      </c>
      <c r="DP10" s="118">
        <f>COUNTIF('Rig Sheet '!DU19:DU132,"Surface x 2")</f>
        <v>0</v>
      </c>
      <c r="DQ10" s="118">
        <f>COUNTIF('Rig Sheet '!DV19:DV132,"Surface x 2")</f>
        <v>0</v>
      </c>
      <c r="DR10" s="118">
        <f>COUNTIF('Rig Sheet '!DW19:DW132,"Surface x 2")</f>
        <v>0</v>
      </c>
      <c r="DS10" s="118">
        <f>COUNTIF('Rig Sheet '!DX19:DX132,"Surface x 2")</f>
        <v>0</v>
      </c>
      <c r="DT10" s="118">
        <f>COUNTIF('Rig Sheet '!DY19:DY132,"Surface x 2")</f>
        <v>0</v>
      </c>
      <c r="DU10" s="118">
        <f>COUNTIF('Rig Sheet '!DZ19:DZ132,"Surface x 2")</f>
        <v>0</v>
      </c>
      <c r="DV10" s="118">
        <f>COUNTIF('Rig Sheet '!EA19:EA132,"Surface x 2")</f>
        <v>0</v>
      </c>
      <c r="DW10" s="118">
        <f>COUNTIF('Rig Sheet '!EB19:EB132,"Surface x 2")</f>
        <v>0</v>
      </c>
      <c r="DX10" s="118">
        <f>COUNTIF('Rig Sheet '!EC19:EC132,"Surface x 2")</f>
        <v>0</v>
      </c>
      <c r="DY10" s="118">
        <f>COUNTIF('Rig Sheet '!ED19:ED132,"Surface x 2")</f>
        <v>0</v>
      </c>
      <c r="DZ10" s="118">
        <f>COUNTIF('Rig Sheet '!EE19:EE132,"Surface x 2")</f>
        <v>0</v>
      </c>
      <c r="EA10" s="118">
        <f>COUNTIF('Rig Sheet '!EF19:EF132,"Surface x 2")</f>
        <v>0</v>
      </c>
      <c r="EB10" s="118">
        <f>COUNTIF('Rig Sheet '!EG19:EG132,"Surface x 2")</f>
        <v>0</v>
      </c>
      <c r="EC10" s="118">
        <f>COUNTIF('Rig Sheet '!EH19:EH132,"Surface x 2")</f>
        <v>0</v>
      </c>
      <c r="ED10" s="118">
        <f>COUNTIF('Rig Sheet '!EI19:EI132,"Surface x 2")</f>
        <v>0</v>
      </c>
      <c r="EE10" s="118">
        <f>COUNTIF('Rig Sheet '!EJ19:EJ132,"Surface x 2")</f>
        <v>0</v>
      </c>
      <c r="EF10" s="118">
        <f>COUNTIF('Rig Sheet '!EK19:EK132,"Surface x 2")</f>
        <v>0</v>
      </c>
      <c r="EG10" s="118">
        <f>COUNTIF('Rig Sheet '!EL19:EL132,"Surface x 2")</f>
        <v>0</v>
      </c>
      <c r="EH10" s="118">
        <f>COUNTIF('Rig Sheet '!EM19:EM132,"Surface x 2")</f>
        <v>0</v>
      </c>
      <c r="EI10" s="118">
        <f>COUNTIF('Rig Sheet '!EN19:EN132,"Surface x 2")</f>
        <v>0</v>
      </c>
      <c r="EJ10" s="118">
        <f>COUNTIF('Rig Sheet '!EO19:EO132,"Surface x 2")</f>
        <v>0</v>
      </c>
      <c r="EK10" s="118">
        <f>COUNTIF('Rig Sheet '!EP19:EP132,"Surface x 2")</f>
        <v>0</v>
      </c>
      <c r="EL10" s="118">
        <f>COUNTIF('Rig Sheet '!EQ19:EQ132,"Surface x 2")</f>
        <v>0</v>
      </c>
      <c r="EM10" s="118">
        <f>COUNTIF('Rig Sheet '!ER19:ER132,"Surface x 2")</f>
        <v>0</v>
      </c>
      <c r="EN10" s="118">
        <f>COUNTIF('Rig Sheet '!ES19:ES132,"Surface x 2")</f>
        <v>0</v>
      </c>
      <c r="EO10" s="118">
        <f>COUNTIF('Rig Sheet '!ET19:ET132,"Surface x 2")</f>
        <v>0</v>
      </c>
      <c r="EP10" s="118">
        <f>COUNTIF('Rig Sheet '!EU19:EU132,"Surface x 2")</f>
        <v>0</v>
      </c>
      <c r="EQ10" s="118">
        <f>COUNTIF('Rig Sheet '!EV19:EV132,"Surface x 2")</f>
        <v>0</v>
      </c>
      <c r="ER10" s="118">
        <f>COUNTIF('Rig Sheet '!EW19:EW132,"Surface x 2")</f>
        <v>0</v>
      </c>
      <c r="ES10" s="118">
        <f>COUNTIF('Rig Sheet '!EX19:EX132,"Surface x 2")</f>
        <v>0</v>
      </c>
      <c r="ET10" s="118">
        <f>COUNTIF('Rig Sheet '!EY19:EY132,"Surface x 2")</f>
        <v>0</v>
      </c>
      <c r="EU10" s="118">
        <f>COUNTIF('Rig Sheet '!EZ19:EZ132,"Surface x 2")</f>
        <v>0</v>
      </c>
      <c r="EV10" s="118">
        <f>COUNTIF('Rig Sheet '!FA19:FA132,"Surface x 2")</f>
        <v>0</v>
      </c>
      <c r="EW10" s="118">
        <f>COUNTIF('Rig Sheet '!FB19:FB132,"Surface x 2")</f>
        <v>0</v>
      </c>
      <c r="EX10" s="118">
        <f>COUNTIF('Rig Sheet '!FC19:FC132,"Surface x 2")</f>
        <v>0</v>
      </c>
      <c r="EY10" s="118">
        <f>COUNTIF('Rig Sheet '!FD19:FD132,"Surface x 2")</f>
        <v>0</v>
      </c>
      <c r="EZ10" s="118">
        <f>COUNTIF('Rig Sheet '!FE19:FE132,"Surface x 2")</f>
        <v>0</v>
      </c>
      <c r="FA10" s="118">
        <f>COUNTIF('Rig Sheet '!FF19:FF132,"Surface x 2")</f>
        <v>0</v>
      </c>
      <c r="FB10" s="118">
        <f>COUNTIF('Rig Sheet '!FG19:FG132,"Surface x 2")</f>
        <v>1</v>
      </c>
      <c r="FC10" s="118">
        <f>COUNTIF('Rig Sheet '!FH19:FH132,"Surface x 2")</f>
        <v>1</v>
      </c>
      <c r="FD10" s="118">
        <f>COUNTIF('Rig Sheet '!FI19:FI132,"Surface x 2")</f>
        <v>0</v>
      </c>
      <c r="FE10" s="118">
        <f>COUNTIF('Rig Sheet '!FJ19:FJ132,"Surface x 2")</f>
        <v>1</v>
      </c>
      <c r="FF10" s="118">
        <f>COUNTIF('Rig Sheet '!FK19:FK132,"Surface x 2")</f>
        <v>0</v>
      </c>
      <c r="FG10" s="118">
        <f>COUNTIF('Rig Sheet '!FL19:FL132,"Surface x 2")</f>
        <v>1</v>
      </c>
      <c r="FH10" s="118">
        <f>COUNTIF('Rig Sheet '!FM19:FM132,"Surface x 2")</f>
        <v>1</v>
      </c>
      <c r="FI10" s="118">
        <f>COUNTIF('Rig Sheet '!FN19:FN132,"Surface x 2")</f>
        <v>0</v>
      </c>
      <c r="FJ10" s="118">
        <f>COUNTIF('Rig Sheet '!FO19:FO132,"Surface x 2")</f>
        <v>1</v>
      </c>
      <c r="FK10" s="118">
        <f>COUNTIF('Rig Sheet '!FP19:FP132,"Surface x 2")</f>
        <v>0</v>
      </c>
      <c r="FL10" s="118">
        <f>COUNTIF('Rig Sheet '!FQ19:FQ132,"Surface x 2")</f>
        <v>1</v>
      </c>
      <c r="FM10" s="118">
        <f>COUNTIF('Rig Sheet '!FR19:FR132,"Surface x 2")</f>
        <v>0</v>
      </c>
      <c r="FN10" s="118">
        <f>COUNTIF('Rig Sheet '!FS19:FS132,"Surface x 2")</f>
        <v>0</v>
      </c>
      <c r="FO10" s="118">
        <f>COUNTIF('Rig Sheet '!FT19:FT132,"Surface x 2")</f>
        <v>2</v>
      </c>
      <c r="FP10" s="118">
        <f>COUNTIF('Rig Sheet '!FU19:FU132,"Surface x 2")</f>
        <v>0</v>
      </c>
      <c r="FQ10" s="118">
        <f>COUNTIF('Rig Sheet '!FV19:FV132,"Surface x 2")</f>
        <v>0</v>
      </c>
      <c r="FR10" s="118">
        <f>COUNTIF('Rig Sheet '!FW19:FW132,"Surface x 2")</f>
        <v>0</v>
      </c>
      <c r="FS10" s="118">
        <f>COUNTIF('Rig Sheet '!FX19:FX132,"Surface x 2")</f>
        <v>0</v>
      </c>
      <c r="FT10" s="118">
        <f>COUNTIF('Rig Sheet '!FY19:FY132,"Surface x 2")</f>
        <v>0</v>
      </c>
      <c r="FU10" s="118">
        <f>COUNTIF('Rig Sheet '!FZ19:FZ132,"Surface x 2")</f>
        <v>0</v>
      </c>
      <c r="FV10" s="118">
        <f>COUNTIF('Rig Sheet '!GA19:GA132,"Surface x 2")</f>
        <v>0</v>
      </c>
      <c r="FW10" s="118">
        <f>COUNTIF('Rig Sheet '!GB19:GB132,"Surface x 2")</f>
        <v>0</v>
      </c>
      <c r="FX10" s="118">
        <f>COUNTIF('Rig Sheet '!GC19:GC132,"Surface x 2")</f>
        <v>0</v>
      </c>
      <c r="FY10" s="118">
        <f>COUNTIF('Rig Sheet '!GD19:GD132,"Surface x 2")</f>
        <v>0</v>
      </c>
      <c r="FZ10" s="118">
        <f>COUNTIF('Rig Sheet '!GE19:GE132,"Surface x 2")</f>
        <v>0</v>
      </c>
      <c r="GA10" s="118">
        <f>COUNTIF('Rig Sheet '!GF19:GF132,"Surface x 2")</f>
        <v>0</v>
      </c>
      <c r="GB10" s="118">
        <f>COUNTIF('Rig Sheet '!GG19:GG132,"Surface x 2")</f>
        <v>0</v>
      </c>
      <c r="GC10" s="118">
        <f>COUNTIF('Rig Sheet '!GH19:GH132,"Surface x 2")</f>
        <v>0</v>
      </c>
      <c r="GD10" s="118">
        <f>COUNTIF('Rig Sheet '!GI19:GI132,"Surface x 2")</f>
        <v>0</v>
      </c>
      <c r="GE10" s="118">
        <f>COUNTIF('Rig Sheet '!GJ19:GJ132,"Surface x 2")</f>
        <v>1</v>
      </c>
      <c r="GF10" s="118">
        <f>COUNTIF('Rig Sheet '!GK19:GK132,"Surface x 2")</f>
        <v>0</v>
      </c>
      <c r="GG10" s="118">
        <f>COUNTIF('Rig Sheet '!GL19:GL132,"Surface x 2")</f>
        <v>0</v>
      </c>
      <c r="GH10" s="118">
        <f>COUNTIF('Rig Sheet '!GM19:GM132,"Surface x 2")</f>
        <v>0</v>
      </c>
      <c r="GI10" s="118">
        <f>COUNTIF('Rig Sheet '!GN19:GN132,"Surface x 2")</f>
        <v>0</v>
      </c>
      <c r="GJ10" s="118">
        <f>COUNTIF('Rig Sheet '!GO19:GO132,"Surface x 2")</f>
        <v>0</v>
      </c>
      <c r="GK10" s="118">
        <f>COUNTIF('Rig Sheet '!GP19:GP132,"Surface x 2")</f>
        <v>0</v>
      </c>
      <c r="GL10" s="118">
        <f>COUNTIF('Rig Sheet '!GQ19:GQ132,"Surface x 2")</f>
        <v>0</v>
      </c>
      <c r="GM10" s="118">
        <f>COUNTIF('Rig Sheet '!GR19:GR132,"Surface x 2")</f>
        <v>0</v>
      </c>
      <c r="GN10" s="118">
        <f>COUNTIF('Rig Sheet '!GS19:GS132,"Surface x 2")</f>
        <v>1</v>
      </c>
      <c r="GO10" s="118">
        <f>COUNTIF('Rig Sheet '!GT19:GT132,"Surface x 2")</f>
        <v>1</v>
      </c>
      <c r="GP10" s="118">
        <f>COUNTIF('Rig Sheet '!GU19:GU132,"Surface x 2")</f>
        <v>1</v>
      </c>
      <c r="GQ10" s="118">
        <f>COUNTIF('Rig Sheet '!GV19:GV132,"Surface x 2")</f>
        <v>0</v>
      </c>
      <c r="GR10" s="118">
        <f>COUNTIF('Rig Sheet '!GW19:GW132,"Surface x 2")</f>
        <v>1</v>
      </c>
      <c r="GS10" s="118">
        <f>COUNTIF('Rig Sheet '!GX19:GX132,"Surface x 2")</f>
        <v>1</v>
      </c>
      <c r="GT10" s="118">
        <f>COUNTIF('Rig Sheet '!GY19:GY132,"Surface x 2")</f>
        <v>0</v>
      </c>
      <c r="GU10" s="118">
        <f>COUNTIF('Rig Sheet '!GZ19:GZ132,"Surface x 2")</f>
        <v>0</v>
      </c>
      <c r="GV10" s="118">
        <f>COUNTIF('Rig Sheet '!HA19:HA132,"Surface x 2")</f>
        <v>0</v>
      </c>
      <c r="GW10" s="118">
        <f>COUNTIF('Rig Sheet '!HB19:HB132,"Surface x 2")</f>
        <v>0</v>
      </c>
      <c r="GX10" s="118">
        <f>COUNTIF('Rig Sheet '!HC19:HC132,"Surface x 2")</f>
        <v>0</v>
      </c>
      <c r="GY10" s="118">
        <f>COUNTIF('Rig Sheet '!HD19:HD132,"Surface x 2")</f>
        <v>0</v>
      </c>
      <c r="GZ10" s="118">
        <f>COUNTIF('Rig Sheet '!HE19:HE132,"Surface x 2")</f>
        <v>0</v>
      </c>
      <c r="HA10" s="118">
        <f>COUNTIF('Rig Sheet '!HF19:HF132,"Surface x 2")</f>
        <v>0</v>
      </c>
      <c r="HB10" s="118">
        <f>COUNTIF('Rig Sheet '!HG19:HG132,"Surface x 2")</f>
        <v>0</v>
      </c>
      <c r="HC10" s="118">
        <f>COUNTIF('Rig Sheet '!HH19:HH132,"Surface x 2")</f>
        <v>0</v>
      </c>
      <c r="HD10" s="118">
        <f>COUNTIF('Rig Sheet '!HI19:HI132,"Surface x 2")</f>
        <v>0</v>
      </c>
      <c r="HE10" s="118">
        <f>COUNTIF('Rig Sheet '!HJ19:HJ132,"Surface x 2")</f>
        <v>0</v>
      </c>
      <c r="HF10" s="118">
        <f>COUNTIF('Rig Sheet '!HK19:HK132,"Surface x 2")</f>
        <v>0</v>
      </c>
      <c r="HG10" s="118">
        <f>COUNTIF('Rig Sheet '!HL19:HL132,"Surface x 2")</f>
        <v>0</v>
      </c>
      <c r="HH10" s="118">
        <f>COUNTIF('Rig Sheet '!HM19:HM132,"Surface x 2")</f>
        <v>0</v>
      </c>
      <c r="HI10" s="118">
        <f>COUNTIF('Rig Sheet '!HN19:HN132,"Surface x 2")</f>
        <v>0</v>
      </c>
      <c r="HJ10" s="118">
        <f>COUNTIF('Rig Sheet '!HO19:HO132,"Surface x 2")</f>
        <v>0</v>
      </c>
      <c r="HK10" s="118">
        <f>COUNTIF('Rig Sheet '!HP19:HP132,"Surface x 2")</f>
        <v>0</v>
      </c>
      <c r="HL10" s="118">
        <f>COUNTIF('Rig Sheet '!HQ19:HQ132,"Surface x 2")</f>
        <v>0</v>
      </c>
      <c r="HM10" s="118">
        <f>COUNTIF('Rig Sheet '!HR19:HR132,"Surface x 2")</f>
        <v>0</v>
      </c>
      <c r="HN10" s="118">
        <f>COUNTIF('Rig Sheet '!HS19:HS132,"Surface x 2")</f>
        <v>0</v>
      </c>
      <c r="HO10" s="118">
        <f>COUNTIF('Rig Sheet '!HT19:HT132,"Surface x 2")</f>
        <v>0</v>
      </c>
      <c r="HP10" s="118">
        <f>COUNTIF('Rig Sheet '!HU19:HU132,"Surface x 2")</f>
        <v>0</v>
      </c>
      <c r="HQ10" s="118">
        <f>COUNTIF('Rig Sheet '!HV19:HV132,"Surface x 2")</f>
        <v>0</v>
      </c>
      <c r="HR10" s="118">
        <f>COUNTIF('Rig Sheet '!HW19:HW132,"Surface x 2")</f>
        <v>0</v>
      </c>
      <c r="HS10" s="118">
        <f>COUNTIF('Rig Sheet '!HX19:HX132,"Surface x 2")</f>
        <v>0</v>
      </c>
      <c r="HT10" s="118">
        <f>COUNTIF('Rig Sheet '!HY19:HY132,"Surface x 2")</f>
        <v>0</v>
      </c>
      <c r="HU10" s="118">
        <f>COUNTIF('Rig Sheet '!HZ19:HZ132,"Surface x 2")</f>
        <v>0</v>
      </c>
      <c r="HV10" s="118">
        <f>COUNTIF('Rig Sheet '!IA19:IA132,"Surface x 2")</f>
        <v>0</v>
      </c>
      <c r="HW10" s="118">
        <f>COUNTIF('Rig Sheet '!IB19:IB132,"Surface x 2")</f>
        <v>0</v>
      </c>
      <c r="HX10" s="118">
        <f>COUNTIF('Rig Sheet '!IC19:IC132,"Surface x 2")</f>
        <v>0</v>
      </c>
      <c r="HY10" s="118">
        <f>COUNTIF('Rig Sheet '!ID19:ID132,"Surface x 2")</f>
        <v>0</v>
      </c>
      <c r="HZ10" s="118">
        <f>COUNTIF('Rig Sheet '!IE19:IE132,"Surface x 2")</f>
        <v>0</v>
      </c>
      <c r="IA10" s="118">
        <f>COUNTIF('Rig Sheet '!IF19:IF132,"Surface x 2")</f>
        <v>0</v>
      </c>
      <c r="IB10" s="118">
        <f>COUNTIF('Rig Sheet '!IG19:IG132,"Surface x 2")</f>
        <v>0</v>
      </c>
      <c r="IC10" s="118">
        <f>COUNTIF('Rig Sheet '!IH19:IH132,"Surface x 2")</f>
        <v>0</v>
      </c>
      <c r="ID10" s="118">
        <f>COUNTIF('Rig Sheet '!II19:II132,"Surface x 2")</f>
        <v>0</v>
      </c>
      <c r="IE10" s="118">
        <f>COUNTIF('Rig Sheet '!IJ19:IJ132,"Surface x 2")</f>
        <v>0</v>
      </c>
      <c r="IF10" s="118">
        <f>COUNTIF('Rig Sheet '!IK19:IK132,"Surface x 2")</f>
        <v>0</v>
      </c>
      <c r="IG10" s="118">
        <f>COUNTIF('Rig Sheet '!IL19:IL132,"Surface x 2")</f>
        <v>0</v>
      </c>
      <c r="IH10" s="118">
        <f>COUNTIF('Rig Sheet '!IM19:IM132,"Surface x 2")</f>
        <v>0</v>
      </c>
      <c r="II10" s="118">
        <f>COUNTIF('Rig Sheet '!IN19:IN132,"Surface x 2")</f>
        <v>0</v>
      </c>
      <c r="IJ10" s="118">
        <f>COUNTIF('Rig Sheet '!IO19:IO132,"Surface x 2")</f>
        <v>0</v>
      </c>
      <c r="IK10" s="118">
        <f>COUNTIF('Rig Sheet '!IP19:IP132,"Surface x 2")</f>
        <v>0</v>
      </c>
      <c r="IL10" s="118">
        <f>COUNTIF('Rig Sheet '!IQ19:IQ132,"Surface x 2")</f>
        <v>0</v>
      </c>
      <c r="IM10" s="118">
        <f>COUNTIF('Rig Sheet '!IR19:IR132,"Surface x 2")</f>
        <v>0</v>
      </c>
      <c r="IN10" s="118">
        <f>COUNTIF('Rig Sheet '!IS19:IS132,"Surface x 2")</f>
        <v>0</v>
      </c>
      <c r="IO10" s="118">
        <f>COUNTIF('Rig Sheet '!IT19:IT132,"Surface x 2")</f>
        <v>0</v>
      </c>
      <c r="IP10" s="118">
        <f>COUNTIF('Rig Sheet '!IU19:IU132,"Surface x 2")</f>
        <v>0</v>
      </c>
      <c r="IQ10" s="118">
        <f>COUNTIF('Rig Sheet '!IV19:IV132,"Surface x 2")</f>
        <v>0</v>
      </c>
      <c r="IR10" s="118">
        <f>COUNTIF('Rig Sheet '!IW19:IW132,"Surface x 2")</f>
        <v>0</v>
      </c>
      <c r="IS10" s="118">
        <f>COUNTIF('Rig Sheet '!IX19:IX132,"Surface x 2")</f>
        <v>0</v>
      </c>
      <c r="IT10" s="118">
        <f>COUNTIF('Rig Sheet '!IY19:IY132,"Surface x 2")</f>
        <v>0</v>
      </c>
      <c r="IU10" s="118">
        <f>COUNTIF('Rig Sheet '!IZ19:IZ132,"Surface x 2")</f>
        <v>0</v>
      </c>
      <c r="IV10" s="118">
        <f>COUNTIF('Rig Sheet '!JA19:JA132,"Surface x 2")</f>
        <v>0</v>
      </c>
      <c r="IW10" s="118">
        <f>COUNTIF('Rig Sheet '!JB19:JB132,"Surface x 2")</f>
        <v>0</v>
      </c>
      <c r="IX10" s="118">
        <f>COUNTIF('Rig Sheet '!JC19:JC132,"Surface x 2")</f>
        <v>0</v>
      </c>
      <c r="IY10" s="118">
        <f>COUNTIF('Rig Sheet '!JD19:JD132,"Surface x 2")</f>
        <v>0</v>
      </c>
      <c r="IZ10" s="118">
        <f>COUNTIF('Rig Sheet '!JE19:JE132,"Surface x 2")</f>
        <v>0</v>
      </c>
      <c r="JA10" s="118">
        <f>COUNTIF('Rig Sheet '!JF19:JF132,"Surface x 2")</f>
        <v>0</v>
      </c>
      <c r="JB10" s="118">
        <f>COUNTIF('Rig Sheet '!JG19:JG132,"Surface x 2")</f>
        <v>0</v>
      </c>
      <c r="JC10" s="118">
        <f>COUNTIF('Rig Sheet '!JH19:JH132,"Surface x 2")</f>
        <v>0</v>
      </c>
      <c r="JD10" s="118">
        <f>COUNTIF('Rig Sheet '!JI19:JI132,"Surface x 2")</f>
        <v>0</v>
      </c>
      <c r="JE10" s="118">
        <f>COUNTIF('Rig Sheet '!JJ19:JJ132,"Surface x 2")</f>
        <v>0</v>
      </c>
      <c r="JF10" s="118">
        <f>COUNTIF('Rig Sheet '!JK19:JK132,"Surface x 2")</f>
        <v>0</v>
      </c>
      <c r="JG10" s="118">
        <f>COUNTIF('Rig Sheet '!JL19:JL132,"Surface x 2")</f>
        <v>0</v>
      </c>
      <c r="JH10" s="118">
        <f>COUNTIF('Rig Sheet '!JM19:JM132,"Surface x 2")</f>
        <v>0</v>
      </c>
      <c r="JI10" s="118">
        <f>COUNTIF('Rig Sheet '!JN19:JN132,"Surface x 2")</f>
        <v>0</v>
      </c>
      <c r="JJ10" s="118">
        <f>COUNTIF('Rig Sheet '!JO19:JO132,"Surface x 2")</f>
        <v>0</v>
      </c>
      <c r="JK10" s="118">
        <f>COUNTIF('Rig Sheet '!JP19:JP132,"Surface x 2")</f>
        <v>0</v>
      </c>
      <c r="JL10" s="118">
        <f>COUNTIF('Rig Sheet '!JQ19:JQ132,"Surface x 2")</f>
        <v>0</v>
      </c>
      <c r="JM10" s="118">
        <f>COUNTIF('Rig Sheet '!JR19:JR132,"Surface x 2")</f>
        <v>0</v>
      </c>
      <c r="JN10" s="118">
        <f>COUNTIF('Rig Sheet '!JS19:JS132,"Surface x 2")</f>
        <v>0</v>
      </c>
      <c r="JO10" s="118">
        <f>COUNTIF('Rig Sheet '!JT19:JT132,"Surface x 2")</f>
        <v>0</v>
      </c>
      <c r="JP10" s="118">
        <f>COUNTIF('Rig Sheet '!JU19:JU132,"Surface x 2")</f>
        <v>0</v>
      </c>
      <c r="JQ10" s="118">
        <f>COUNTIF('Rig Sheet '!JV19:JV132,"Surface x 2")</f>
        <v>0</v>
      </c>
      <c r="JR10" s="118">
        <f>COUNTIF('Rig Sheet '!JW19:JW132,"Surface x 2")</f>
        <v>0</v>
      </c>
      <c r="JS10" s="118">
        <f>COUNTIF('Rig Sheet '!JX19:JX132,"Surface x 2")</f>
        <v>0</v>
      </c>
      <c r="JT10" s="118">
        <f>COUNTIF('Rig Sheet '!JY19:JY132,"Surface x 2")</f>
        <v>0</v>
      </c>
      <c r="JU10" s="118">
        <f>COUNTIF('Rig Sheet '!JZ19:JZ132,"Surface x 2")</f>
        <v>0</v>
      </c>
      <c r="JV10" s="118">
        <f>COUNTIF('Rig Sheet '!KA19:KA132,"Surface x 2")</f>
        <v>0</v>
      </c>
      <c r="JW10" s="118">
        <f>COUNTIF('Rig Sheet '!KB19:KB132,"Surface x 2")</f>
        <v>0</v>
      </c>
      <c r="JX10" s="118">
        <f>COUNTIF('Rig Sheet '!KC19:KC132,"Surface x 2")</f>
        <v>0</v>
      </c>
      <c r="JY10" s="118">
        <f>COUNTIF('Rig Sheet '!KD19:KD132,"Surface x 2")</f>
        <v>0</v>
      </c>
      <c r="JZ10" s="118">
        <f>COUNTIF('Rig Sheet '!KE19:KE132,"Surface x 2")</f>
        <v>0</v>
      </c>
      <c r="KA10" s="118">
        <f>COUNTIF('Rig Sheet '!KF19:KF132,"Surface x 2")</f>
        <v>0</v>
      </c>
      <c r="KB10" s="118">
        <f>COUNTIF('Rig Sheet '!KG19:KG132,"Surface x 2")</f>
        <v>0</v>
      </c>
      <c r="KC10" s="118">
        <f>COUNTIF('Rig Sheet '!KH19:KH132,"Surface x 2")</f>
        <v>0</v>
      </c>
      <c r="KD10" s="118">
        <f>COUNTIF('Rig Sheet '!KI19:KI132,"Surface x 2")</f>
        <v>0</v>
      </c>
      <c r="KE10" s="118">
        <f>COUNTIF('Rig Sheet '!KJ19:KJ132,"Surface x 2")</f>
        <v>0</v>
      </c>
      <c r="KF10" s="118">
        <f>COUNTIF('Rig Sheet '!KK19:KK132,"Surface x 2")</f>
        <v>0</v>
      </c>
      <c r="KG10" s="118">
        <f>COUNTIF('Rig Sheet '!KL19:KL132,"Surface x 2")</f>
        <v>0</v>
      </c>
      <c r="KH10" s="118">
        <f>COUNTIF('Rig Sheet '!KM19:KM132,"Surface x 2")</f>
        <v>0</v>
      </c>
      <c r="KI10" s="118">
        <f>COUNTIF('Rig Sheet '!KN19:KN132,"Surface x 2")</f>
        <v>0</v>
      </c>
      <c r="KJ10" s="118">
        <f>COUNTIF('Rig Sheet '!KO19:KO132,"Surface x 2")</f>
        <v>0</v>
      </c>
      <c r="KK10" s="118">
        <f>COUNTIF('Rig Sheet '!KP19:KP132,"Surface x 2")</f>
        <v>0</v>
      </c>
      <c r="KL10" s="118">
        <f>COUNTIF('Rig Sheet '!KQ19:KQ132,"Surface x 2")</f>
        <v>0</v>
      </c>
      <c r="KM10" s="118">
        <f>COUNTIF('Rig Sheet '!KR19:KR132,"Surface x 2")</f>
        <v>0</v>
      </c>
      <c r="KN10" s="118">
        <f>COUNTIF('Rig Sheet '!KS19:KS132,"Surface x 2")</f>
        <v>0</v>
      </c>
      <c r="KO10" s="118">
        <f>COUNTIF('Rig Sheet '!KT19:KT132,"Surface x 2")</f>
        <v>0</v>
      </c>
      <c r="KP10" s="118">
        <f>COUNTIF('Rig Sheet '!KU19:KU132,"Surface x 2")</f>
        <v>0</v>
      </c>
      <c r="KQ10" s="118">
        <f>COUNTIF('Rig Sheet '!KV19:KV132,"Surface x 2")</f>
        <v>0</v>
      </c>
      <c r="KR10" s="118">
        <f>COUNTIF('Rig Sheet '!KW19:KW132,"Surface x 2")</f>
        <v>0</v>
      </c>
      <c r="KS10" s="118">
        <f>COUNTIF('Rig Sheet '!KX19:KX132,"Surface x 2")</f>
        <v>0</v>
      </c>
      <c r="KT10" s="118">
        <f>COUNTIF('Rig Sheet '!KY19:KY132,"Surface x 2")</f>
        <v>0</v>
      </c>
      <c r="KU10" s="118">
        <f>COUNTIF('Rig Sheet '!KZ19:KZ132,"Surface x 2")</f>
        <v>0</v>
      </c>
      <c r="KV10" s="118">
        <f>COUNTIF('Rig Sheet '!LA19:LA132,"Surface x 2")</f>
        <v>0</v>
      </c>
      <c r="KW10" s="118">
        <f>COUNTIF('Rig Sheet '!LB19:LB132,"Surface x 2")</f>
        <v>0</v>
      </c>
      <c r="KX10" s="118">
        <f>COUNTIF('Rig Sheet '!LC19:LC132,"Surface x 2")</f>
        <v>0</v>
      </c>
      <c r="KY10" s="118">
        <f>COUNTIF('Rig Sheet '!LD19:LD132,"Surface x 2")</f>
        <v>0</v>
      </c>
      <c r="KZ10" s="118">
        <f>COUNTIF('Rig Sheet '!LE19:LE132,"Surface x 2")</f>
        <v>0</v>
      </c>
      <c r="LA10" s="118">
        <f>COUNTIF('Rig Sheet '!LF19:LF132,"Surface x 2")</f>
        <v>0</v>
      </c>
      <c r="LB10" s="118">
        <f>COUNTIF('Rig Sheet '!LG19:LG132,"Surface x 2")</f>
        <v>0</v>
      </c>
      <c r="LC10" s="118">
        <f>COUNTIF('Rig Sheet '!LH19:LH132,"Surface x 2")</f>
        <v>0</v>
      </c>
      <c r="LD10" s="118">
        <f>COUNTIF('Rig Sheet '!LI19:LI132,"Surface x 2")</f>
        <v>0</v>
      </c>
      <c r="LE10" s="118">
        <f>COUNTIF('Rig Sheet '!LJ19:LJ132,"Surface x 2")</f>
        <v>0</v>
      </c>
      <c r="LF10" s="118">
        <f>COUNTIF('Rig Sheet '!LK19:LK132,"Surface x 2")</f>
        <v>0</v>
      </c>
      <c r="LG10" s="118">
        <f>COUNTIF('Rig Sheet '!LL19:LL132,"Surface x 2")</f>
        <v>0</v>
      </c>
      <c r="LH10" s="118">
        <f>COUNTIF('Rig Sheet '!LM19:LM132,"Surface x 2")</f>
        <v>0</v>
      </c>
      <c r="LI10" s="118">
        <f>COUNTIF('Rig Sheet '!LN19:LN132,"Surface x 2")</f>
        <v>0</v>
      </c>
      <c r="LJ10" s="118">
        <f>COUNTIF('Rig Sheet '!LO19:LO132,"Surface x 2")</f>
        <v>0</v>
      </c>
      <c r="LK10" s="118">
        <f>COUNTIF('Rig Sheet '!LP19:LP132,"Surface x 2")</f>
        <v>0</v>
      </c>
      <c r="LL10" s="118">
        <f>COUNTIF('Rig Sheet '!LQ19:LQ132,"Surface x 2")</f>
        <v>0</v>
      </c>
      <c r="LM10" s="118">
        <f>COUNTIF('Rig Sheet '!LR19:LR132,"Surface x 2")</f>
        <v>0</v>
      </c>
      <c r="LN10" s="118">
        <f>COUNTIF('Rig Sheet '!LS19:LS132,"Surface x 2")</f>
        <v>0</v>
      </c>
      <c r="LO10" s="118">
        <f>COUNTIF('Rig Sheet '!LT19:LT132,"Surface x 2")</f>
        <v>0</v>
      </c>
      <c r="LP10" s="118">
        <f>COUNTIF('Rig Sheet '!LU19:LU132,"Surface x 2")</f>
        <v>0</v>
      </c>
      <c r="LQ10" s="118">
        <f>COUNTIF('Rig Sheet '!LV19:LV132,"Surface x 2")</f>
        <v>0</v>
      </c>
      <c r="LR10" s="118">
        <f>COUNTIF('Rig Sheet '!LW19:LW132,"Surface x 2")</f>
        <v>0</v>
      </c>
      <c r="LS10" s="118">
        <f>COUNTIF('Rig Sheet '!LX19:LX132,"Surface x 2")</f>
        <v>0</v>
      </c>
      <c r="LT10" s="118">
        <f>COUNTIF('Rig Sheet '!LY19:LY132,"Surface x 2")</f>
        <v>0</v>
      </c>
      <c r="LU10" s="118">
        <f>COUNTIF('Rig Sheet '!LZ19:LZ132,"Surface x 2")</f>
        <v>0</v>
      </c>
      <c r="LV10" s="118">
        <f>COUNTIF('Rig Sheet '!MA19:MA132,"Surface x 2")</f>
        <v>0</v>
      </c>
      <c r="LW10" s="118">
        <f>COUNTIF('Rig Sheet '!MB19:MB132,"Surface x 2")</f>
        <v>0</v>
      </c>
      <c r="LX10" s="118">
        <f>COUNTIF('Rig Sheet '!MC19:MC132,"Surface x 2")</f>
        <v>0</v>
      </c>
      <c r="LY10" s="118">
        <f>COUNTIF('Rig Sheet '!MD19:MD132,"Surface x 2")</f>
        <v>0</v>
      </c>
      <c r="LZ10" s="118">
        <f>COUNTIF('Rig Sheet '!ME19:ME132,"Surface x 2")</f>
        <v>0</v>
      </c>
      <c r="MA10" s="118">
        <f>COUNTIF('Rig Sheet '!MF19:MF132,"Surface x 2")</f>
        <v>0</v>
      </c>
      <c r="MB10" s="118">
        <f>COUNTIF('Rig Sheet '!MG19:MG132,"Surface x 2")</f>
        <v>0</v>
      </c>
      <c r="MC10" s="118">
        <f>COUNTIF('Rig Sheet '!MH19:MH132,"Surface x 2")</f>
        <v>0</v>
      </c>
      <c r="MD10" s="118">
        <f>COUNTIF('Rig Sheet '!MI19:MI132,"Surface x 2")</f>
        <v>0</v>
      </c>
      <c r="ME10" s="118">
        <f>COUNTIF('Rig Sheet '!MJ19:MJ132,"Surface x 2")</f>
        <v>0</v>
      </c>
      <c r="MF10" s="118">
        <f>COUNTIF('Rig Sheet '!MK19:MK132,"Surface x 2")</f>
        <v>0</v>
      </c>
      <c r="MG10" s="118">
        <f>COUNTIF('Rig Sheet '!ML19:ML132,"Surface x 2")</f>
        <v>0</v>
      </c>
      <c r="MH10" s="118">
        <f>COUNTIF('Rig Sheet '!MM19:MM132,"Surface x 2")</f>
        <v>0</v>
      </c>
      <c r="MI10" s="118">
        <f>COUNTIF('Rig Sheet '!MN19:MN132,"Surface x 2")</f>
        <v>0</v>
      </c>
      <c r="MJ10" s="118">
        <f>COUNTIF('Rig Sheet '!MO19:MO132,"Surface x 2")</f>
        <v>0</v>
      </c>
      <c r="MK10" s="118">
        <f>COUNTIF('Rig Sheet '!MP19:MP132,"Surface x 2")</f>
        <v>0</v>
      </c>
      <c r="ML10" s="118">
        <f>COUNTIF('Rig Sheet '!MQ19:MQ132,"Surface x 2")</f>
        <v>0</v>
      </c>
      <c r="MM10" s="118">
        <f>COUNTIF('Rig Sheet '!MR19:MR132,"Surface x 2")</f>
        <v>0</v>
      </c>
      <c r="MN10" s="118">
        <f>COUNTIF('Rig Sheet '!MS19:MS132,"Surface x 2")</f>
        <v>0</v>
      </c>
      <c r="MO10" s="118">
        <f>COUNTIF('Rig Sheet '!MT19:MT132,"Surface x 2")</f>
        <v>0</v>
      </c>
      <c r="MP10" s="118">
        <f>COUNTIF('Rig Sheet '!MU19:MU132,"Surface x 2")</f>
        <v>0</v>
      </c>
      <c r="MQ10" s="118">
        <f>COUNTIF('Rig Sheet '!MV19:MV132,"Surface x 2")</f>
        <v>0</v>
      </c>
      <c r="MR10" s="118">
        <f>COUNTIF('Rig Sheet '!MW19:MW132,"Surface x 2")</f>
        <v>0</v>
      </c>
      <c r="MS10" s="118">
        <f>COUNTIF('Rig Sheet '!MX19:MX132,"Surface x 2")</f>
        <v>0</v>
      </c>
      <c r="MT10" s="118">
        <f>COUNTIF('Rig Sheet '!MY19:MY132,"Surface x 2")</f>
        <v>0</v>
      </c>
      <c r="MU10" s="118">
        <f>COUNTIF('Rig Sheet '!MZ19:MZ132,"Surface x 2")</f>
        <v>0</v>
      </c>
      <c r="MV10" s="118">
        <f>COUNTIF('Rig Sheet '!NA19:NA132,"Surface x 2")</f>
        <v>0</v>
      </c>
      <c r="MW10" s="118">
        <f>COUNTIF('Rig Sheet '!NB19:NB132,"Surface x 2")</f>
        <v>0</v>
      </c>
      <c r="MX10" s="118">
        <f>COUNTIF('Rig Sheet '!NC19:NC132,"Surface x 2")</f>
        <v>0</v>
      </c>
      <c r="MY10" s="118">
        <f>COUNTIF('Rig Sheet '!ND19:ND132,"Surface x 2")</f>
        <v>0</v>
      </c>
      <c r="MZ10" s="118">
        <f>COUNTIF('Rig Sheet '!NE19:NE132,"Surface x 2")</f>
        <v>0</v>
      </c>
      <c r="NA10" s="118">
        <f>COUNTIF('Rig Sheet '!NF19:NF132,"Surface x 2")</f>
        <v>0</v>
      </c>
      <c r="NB10" s="118">
        <f>COUNTIF('Rig Sheet '!NG19:NG132,"Surface x 2")</f>
        <v>0</v>
      </c>
    </row>
    <row r="11" spans="1:366">
      <c r="A11" s="119" t="s">
        <v>41</v>
      </c>
      <c r="B11" s="118">
        <f>COUNTIF('Rig Sheet '!G19:G132,"Intermediate")</f>
        <v>0</v>
      </c>
      <c r="C11" s="118">
        <f>COUNTIF('Rig Sheet '!H19:H132,"Intermediate")</f>
        <v>0</v>
      </c>
      <c r="D11" s="118">
        <f>COUNTIF('Rig Sheet '!I19:I132,"Intermediate")</f>
        <v>0</v>
      </c>
      <c r="E11" s="118">
        <f>COUNTIF('Rig Sheet '!J19:J132,"Intermediate")</f>
        <v>1</v>
      </c>
      <c r="F11" s="118">
        <f>COUNTIF('Rig Sheet '!K19:K132,"Intermediate")</f>
        <v>2</v>
      </c>
      <c r="G11" s="118">
        <f>COUNTIF('Rig Sheet '!L19:L132,"Intermediate")</f>
        <v>2</v>
      </c>
      <c r="H11" s="118">
        <f>COUNTIF('Rig Sheet '!M19:M132,"Intermediate")</f>
        <v>2</v>
      </c>
      <c r="I11" s="118">
        <f>COUNTIF('Rig Sheet '!N19:N132,"Intermediate")</f>
        <v>0</v>
      </c>
      <c r="J11" s="118">
        <f>COUNTIF('Rig Sheet '!O19:O132,"Intermediate")</f>
        <v>3</v>
      </c>
      <c r="K11" s="118">
        <f>COUNTIF('Rig Sheet '!P19:P132,"Intermediate")</f>
        <v>2</v>
      </c>
      <c r="L11" s="118">
        <f>COUNTIF('Rig Sheet '!Q19:Q132,"Intermediate")</f>
        <v>2</v>
      </c>
      <c r="M11" s="118">
        <f>COUNTIF('Rig Sheet '!R19:R132,"Intermediate")</f>
        <v>0</v>
      </c>
      <c r="N11" s="118">
        <f>COUNTIF('Rig Sheet '!S19:S132,"Intermediate")</f>
        <v>0</v>
      </c>
      <c r="O11" s="118">
        <f>COUNTIF('Rig Sheet '!T19:T132,"Intermediate")</f>
        <v>0</v>
      </c>
      <c r="P11" s="118">
        <f>COUNTIF('Rig Sheet '!U19:U132,"Intermediate")</f>
        <v>5</v>
      </c>
      <c r="Q11" s="118">
        <f>COUNTIF('Rig Sheet '!V19:V132,"Intermediate")</f>
        <v>0</v>
      </c>
      <c r="R11" s="118">
        <f>COUNTIF('Rig Sheet '!W19:W132,"Intermediate")</f>
        <v>3</v>
      </c>
      <c r="S11" s="118">
        <f>COUNTIF('Rig Sheet '!X19:X132,"Intermediate")</f>
        <v>1</v>
      </c>
      <c r="T11" s="118">
        <f>COUNTIF('Rig Sheet '!Y19:Y132,"Intermediate")</f>
        <v>1</v>
      </c>
      <c r="U11" s="118">
        <f>COUNTIF('Rig Sheet '!Z19:Z132,"Intermediate")</f>
        <v>4</v>
      </c>
      <c r="V11" s="118">
        <f>COUNTIF('Rig Sheet '!AA19:AA132,"Intermediate")</f>
        <v>0</v>
      </c>
      <c r="W11" s="118">
        <f>COUNTIF('Rig Sheet '!AB19:AB132,"Intermediate")</f>
        <v>2</v>
      </c>
      <c r="X11" s="118">
        <f>COUNTIF('Rig Sheet '!AC19:AC132,"Intermediate")</f>
        <v>5</v>
      </c>
      <c r="Y11" s="118">
        <f>COUNTIF('Rig Sheet '!AD19:AD132,"Intermediate")</f>
        <v>4</v>
      </c>
      <c r="Z11" s="118">
        <f>COUNTIF('Rig Sheet '!AE19:AE132,"Intermediate")</f>
        <v>2</v>
      </c>
      <c r="AA11" s="118">
        <f>COUNTIF('Rig Sheet '!AF19:AF132,"Intermediate")</f>
        <v>1</v>
      </c>
      <c r="AB11" s="118">
        <f>COUNTIF('Rig Sheet '!AG19:AG132,"Intermediate")</f>
        <v>4</v>
      </c>
      <c r="AC11" s="118">
        <f>COUNTIF('Rig Sheet '!AH19:AH132,"Intermediate")</f>
        <v>0</v>
      </c>
      <c r="AD11" s="118">
        <f>COUNTIF('Rig Sheet '!AI19:AI132,"Intermediate")</f>
        <v>3</v>
      </c>
      <c r="AE11" s="118">
        <f>COUNTIF('Rig Sheet '!AJ19:AJ132,"Intermediate")</f>
        <v>1</v>
      </c>
      <c r="AF11" s="118">
        <f>COUNTIF('Rig Sheet '!AK19:AK132,"Intermediate")</f>
        <v>1</v>
      </c>
      <c r="AG11" s="118">
        <f>COUNTIF('Rig Sheet '!AL19:AL132,"Intermediate")</f>
        <v>2</v>
      </c>
      <c r="AH11" s="118">
        <f>COUNTIF('Rig Sheet '!AM19:AM132,"Intermediate")</f>
        <v>2</v>
      </c>
      <c r="AI11" s="118">
        <f>COUNTIF('Rig Sheet '!AN19:AN132,"Intermediate")</f>
        <v>1</v>
      </c>
      <c r="AJ11" s="118">
        <f>COUNTIF('Rig Sheet '!AO19:AO132,"Intermediate")</f>
        <v>2</v>
      </c>
      <c r="AK11" s="118">
        <f>COUNTIF('Rig Sheet '!AP19:AP132,"Intermediate")</f>
        <v>5</v>
      </c>
      <c r="AL11" s="118">
        <f>COUNTIF('Rig Sheet '!AQ19:AQ132,"Intermediate")</f>
        <v>2</v>
      </c>
      <c r="AM11" s="118">
        <f>COUNTIF('Rig Sheet '!AR19:AR132,"Intermediate")</f>
        <v>0</v>
      </c>
      <c r="AN11" s="118">
        <f>COUNTIF('Rig Sheet '!AS19:AS132,"Intermediate")</f>
        <v>2</v>
      </c>
      <c r="AO11" s="118">
        <f>COUNTIF('Rig Sheet '!AT19:AT132,"Intermediate")</f>
        <v>2</v>
      </c>
      <c r="AP11" s="118">
        <f>COUNTIF('Rig Sheet '!AU19:AU132,"Intermediate")</f>
        <v>2</v>
      </c>
      <c r="AQ11" s="118">
        <f>COUNTIF('Rig Sheet '!AV19:AV132,"Intermediate")</f>
        <v>2</v>
      </c>
      <c r="AR11" s="118">
        <f>COUNTIF('Rig Sheet '!AW19:AW132,"Intermediate")</f>
        <v>3</v>
      </c>
      <c r="AS11" s="118">
        <f>COUNTIF('Rig Sheet '!AX19:AX132,"Intermediate")</f>
        <v>3</v>
      </c>
      <c r="AT11" s="118">
        <f>COUNTIF('Rig Sheet '!AY19:AY132,"Intermediate")</f>
        <v>3</v>
      </c>
      <c r="AU11" s="118">
        <f>COUNTIF('Rig Sheet '!AZ19:AZ132,"Intermediate")</f>
        <v>2</v>
      </c>
      <c r="AV11" s="118">
        <f>COUNTIF('Rig Sheet '!BA19:BA132,"Intermediate")</f>
        <v>3</v>
      </c>
      <c r="AW11" s="118">
        <f>COUNTIF('Rig Sheet '!BB19:BB132,"Intermediate")</f>
        <v>0</v>
      </c>
      <c r="AX11" s="118">
        <f>COUNTIF('Rig Sheet '!BC19:BC132,"Intermediate")</f>
        <v>1</v>
      </c>
      <c r="AY11" s="118">
        <f>COUNTIF('Rig Sheet '!BD19:BD132,"Intermediate")</f>
        <v>0</v>
      </c>
      <c r="AZ11" s="118">
        <f>COUNTIF('Rig Sheet '!BE19:BE132,"Intermediate")</f>
        <v>4</v>
      </c>
      <c r="BA11" s="118">
        <f>COUNTIF('Rig Sheet '!BF19:BF132,"Intermediate")</f>
        <v>0</v>
      </c>
      <c r="BB11" s="118">
        <f>COUNTIF('Rig Sheet '!BG19:BG132,"Intermediate")</f>
        <v>1</v>
      </c>
      <c r="BC11" s="118">
        <f>COUNTIF('Rig Sheet '!BH19:BH132,"Intermediate")</f>
        <v>2</v>
      </c>
      <c r="BD11" s="118">
        <f>COUNTIF('Rig Sheet '!BI19:BI132,"Intermediate")</f>
        <v>1</v>
      </c>
      <c r="BE11" s="118">
        <f>COUNTIF('Rig Sheet '!BJ19:BJ132,"Intermediate")</f>
        <v>3</v>
      </c>
      <c r="BF11" s="118">
        <f>COUNTIF('Rig Sheet '!BK19:BK132,"Intermediate")</f>
        <v>1</v>
      </c>
      <c r="BG11" s="118">
        <f>COUNTIF('Rig Sheet '!BL19:BL132,"Intermediate")</f>
        <v>5</v>
      </c>
      <c r="BH11" s="118">
        <f>COUNTIF('Rig Sheet '!BM19:BM132,"Intermediate")</f>
        <v>3</v>
      </c>
      <c r="BI11" s="118">
        <f>COUNTIF('Rig Sheet '!BN19:BN132,"Intermediate")</f>
        <v>2</v>
      </c>
      <c r="BJ11" s="118">
        <f>COUNTIF('Rig Sheet '!BO19:BO132,"Intermediate")</f>
        <v>0</v>
      </c>
      <c r="BK11" s="118">
        <f>COUNTIF('Rig Sheet '!BP19:BP132,"Intermediate")</f>
        <v>1</v>
      </c>
      <c r="BL11" s="118">
        <f>COUNTIF('Rig Sheet '!BQ19:BQ132,"Intermediate")</f>
        <v>3</v>
      </c>
      <c r="BM11" s="118">
        <f>COUNTIF('Rig Sheet '!BR19:BR132,"Intermediate")</f>
        <v>0</v>
      </c>
      <c r="BN11" s="118">
        <f>COUNTIF('Rig Sheet '!BS19:BS132,"Intermediate")</f>
        <v>1</v>
      </c>
      <c r="BO11" s="118">
        <f>COUNTIF('Rig Sheet '!BT19:BT132,"Intermediate")</f>
        <v>2</v>
      </c>
      <c r="BP11" s="118">
        <f>COUNTIF('Rig Sheet '!BU19:BU132,"Intermediate")</f>
        <v>1</v>
      </c>
      <c r="BQ11" s="118">
        <f>COUNTIF('Rig Sheet '!BV19:BV132,"Intermediate")</f>
        <v>3</v>
      </c>
      <c r="BR11" s="118">
        <f>COUNTIF('Rig Sheet '!BW19:BW132,"Intermediate")</f>
        <v>0</v>
      </c>
      <c r="BS11" s="118">
        <f>COUNTIF('Rig Sheet '!BX19:BX132,"Intermediate")</f>
        <v>2</v>
      </c>
      <c r="BT11" s="118">
        <f>COUNTIF('Rig Sheet '!BY19:BY132,"Intermediate")</f>
        <v>4</v>
      </c>
      <c r="BU11" s="118">
        <f>COUNTIF('Rig Sheet '!BZ19:BZ132,"Intermediate")</f>
        <v>4</v>
      </c>
      <c r="BV11" s="118">
        <f>COUNTIF('Rig Sheet '!CA19:CA132,"Intermediate")</f>
        <v>1</v>
      </c>
      <c r="BW11" s="118">
        <f>COUNTIF('Rig Sheet '!CB19:CB132,"Intermediate")</f>
        <v>0</v>
      </c>
      <c r="BX11" s="118">
        <f>COUNTIF('Rig Sheet '!CC19:CC132,"Intermediate")</f>
        <v>3</v>
      </c>
      <c r="BY11" s="118">
        <f>COUNTIF('Rig Sheet '!CD19:CD132,"Intermediate")</f>
        <v>1</v>
      </c>
      <c r="BZ11" s="118">
        <f>COUNTIF('Rig Sheet '!CE19:CE132,"Intermediate")</f>
        <v>3</v>
      </c>
      <c r="CA11" s="118">
        <f>COUNTIF('Rig Sheet '!CF19:CF132,"Intermediate")</f>
        <v>1</v>
      </c>
      <c r="CB11" s="118">
        <f>COUNTIF('Rig Sheet '!CG19:CG132,"Intermediate")</f>
        <v>7</v>
      </c>
      <c r="CC11" s="118">
        <f>COUNTIF('Rig Sheet '!CH19:CH132,"Intermediate")</f>
        <v>3</v>
      </c>
      <c r="CD11" s="118">
        <f>COUNTIF('Rig Sheet '!CI19:CI132,"Intermediate")</f>
        <v>1</v>
      </c>
      <c r="CE11" s="118">
        <f>COUNTIF('Rig Sheet '!CJ19:CJ132,"Intermediate")</f>
        <v>1</v>
      </c>
      <c r="CF11" s="118">
        <f>COUNTIF('Rig Sheet '!CK19:CK132,"Intermediate")</f>
        <v>1</v>
      </c>
      <c r="CG11" s="118">
        <f>COUNTIF('Rig Sheet '!CL19:CL132,"Intermediate")</f>
        <v>2</v>
      </c>
      <c r="CH11" s="118">
        <f>COUNTIF('Rig Sheet '!CM19:CM132,"Intermediate")</f>
        <v>0</v>
      </c>
      <c r="CI11" s="118">
        <f>COUNTIF('Rig Sheet '!CN19:CN132,"Intermediate")</f>
        <v>2</v>
      </c>
      <c r="CJ11" s="118">
        <f>COUNTIF('Rig Sheet '!CO19:CO132,"Intermediate")</f>
        <v>5</v>
      </c>
      <c r="CK11" s="118">
        <f>COUNTIF('Rig Sheet '!CP19:CP132,"Intermediate")</f>
        <v>0</v>
      </c>
      <c r="CL11" s="118">
        <f>COUNTIF('Rig Sheet '!CQ19:CQ132,"Intermediate")</f>
        <v>2</v>
      </c>
      <c r="CM11" s="118">
        <f>COUNTIF('Rig Sheet '!CR19:CR132,"Intermediate")</f>
        <v>0</v>
      </c>
      <c r="CN11" s="118">
        <f>COUNTIF('Rig Sheet '!CS19:CS132,"Intermediate")</f>
        <v>2</v>
      </c>
      <c r="CO11" s="118">
        <f>COUNTIF('Rig Sheet '!CT19:CT132,"Intermediate")</f>
        <v>5</v>
      </c>
      <c r="CP11" s="118">
        <f>COUNTIF('Rig Sheet '!CU19:CU132,"Intermediate")</f>
        <v>2</v>
      </c>
      <c r="CQ11" s="118">
        <f>COUNTIF('Rig Sheet '!CV19:CV132,"Intermediate")</f>
        <v>2</v>
      </c>
      <c r="CR11" s="118">
        <f>COUNTIF('Rig Sheet '!CW19:CW132,"Intermediate")</f>
        <v>2</v>
      </c>
      <c r="CS11" s="118">
        <f>COUNTIF('Rig Sheet '!CX19:CX132,"Intermediate")</f>
        <v>3</v>
      </c>
      <c r="CT11" s="118">
        <f>COUNTIF('Rig Sheet '!CY19:CY132,"Intermediate")</f>
        <v>2</v>
      </c>
      <c r="CU11" s="118">
        <f>COUNTIF('Rig Sheet '!CZ19:CZ132,"Intermediate")</f>
        <v>4</v>
      </c>
      <c r="CV11" s="118">
        <f>COUNTIF('Rig Sheet '!DA19:DA132,"Intermediate")</f>
        <v>2</v>
      </c>
      <c r="CW11" s="118">
        <f>COUNTIF('Rig Sheet '!DB19:DB132,"Intermediate")</f>
        <v>3</v>
      </c>
      <c r="CX11" s="118">
        <f>COUNTIF('Rig Sheet '!DC19:DC132,"Intermediate")</f>
        <v>3</v>
      </c>
      <c r="CY11" s="118">
        <f>COUNTIF('Rig Sheet '!DD19:DD132,"Intermediate")</f>
        <v>0</v>
      </c>
      <c r="CZ11" s="118">
        <f>COUNTIF('Rig Sheet '!DE19:DE132,"Intermediate")</f>
        <v>3</v>
      </c>
      <c r="DA11" s="118">
        <f>COUNTIF('Rig Sheet '!DF19:DF132,"Intermediate")</f>
        <v>3</v>
      </c>
      <c r="DB11" s="118">
        <f>COUNTIF('Rig Sheet '!DG19:DG132,"Intermediate")</f>
        <v>2</v>
      </c>
      <c r="DC11" s="118">
        <f>COUNTIF('Rig Sheet '!DH19:DH132,"Intermediate")</f>
        <v>5</v>
      </c>
      <c r="DD11" s="118">
        <f>COUNTIF('Rig Sheet '!DI19:DI132,"Intermediate")</f>
        <v>2</v>
      </c>
      <c r="DE11" s="118">
        <f>COUNTIF('Rig Sheet '!DJ19:DJ132,"Intermediate")</f>
        <v>1</v>
      </c>
      <c r="DF11" s="118">
        <f>COUNTIF('Rig Sheet '!DK19:DK132,"Intermediate")</f>
        <v>4</v>
      </c>
      <c r="DG11" s="118">
        <f>COUNTIF('Rig Sheet '!DL19:DL132,"Intermediate")</f>
        <v>1</v>
      </c>
      <c r="DH11" s="118">
        <f>COUNTIF('Rig Sheet '!DM19:DM132,"Intermediate")</f>
        <v>1</v>
      </c>
      <c r="DI11" s="118">
        <f>COUNTIF('Rig Sheet '!DN19:DN132,"Intermediate")</f>
        <v>3</v>
      </c>
      <c r="DJ11" s="118">
        <f>COUNTIF('Rig Sheet '!DO19:DO132,"Intermediate")</f>
        <v>2</v>
      </c>
      <c r="DK11" s="118">
        <f>COUNTIF('Rig Sheet '!DP19:DP132,"Intermediate")</f>
        <v>3</v>
      </c>
      <c r="DL11" s="118">
        <f>COUNTIF('Rig Sheet '!DQ19:DQ132,"Intermediate")</f>
        <v>3</v>
      </c>
      <c r="DM11" s="118">
        <f>COUNTIF('Rig Sheet '!DR19:DR132,"Intermediate")</f>
        <v>2</v>
      </c>
      <c r="DN11" s="118">
        <f>COUNTIF('Rig Sheet '!DS19:DS132,"Intermediate")</f>
        <v>2</v>
      </c>
      <c r="DO11" s="118">
        <f>COUNTIF('Rig Sheet '!DT19:DT132,"Intermediate")</f>
        <v>1</v>
      </c>
      <c r="DP11" s="118">
        <f>COUNTIF('Rig Sheet '!DU19:DU132,"Intermediate")</f>
        <v>3</v>
      </c>
      <c r="DQ11" s="118">
        <f>COUNTIF('Rig Sheet '!DV19:DV132,"Intermediate")</f>
        <v>1</v>
      </c>
      <c r="DR11" s="118">
        <f>COUNTIF('Rig Sheet '!DW19:DW132,"Intermediate")</f>
        <v>4</v>
      </c>
      <c r="DS11" s="118">
        <f>COUNTIF('Rig Sheet '!DX19:DX132,"Intermediate")</f>
        <v>0</v>
      </c>
      <c r="DT11" s="118">
        <f>COUNTIF('Rig Sheet '!DY19:DY132,"Intermediate")</f>
        <v>4</v>
      </c>
      <c r="DU11" s="118">
        <f>COUNTIF('Rig Sheet '!DZ19:DZ132,"Intermediate")</f>
        <v>2</v>
      </c>
      <c r="DV11" s="118">
        <f>COUNTIF('Rig Sheet '!EA19:EA132,"Intermediate")</f>
        <v>2</v>
      </c>
      <c r="DW11" s="118">
        <f>COUNTIF('Rig Sheet '!EB19:EB132,"Intermediate")</f>
        <v>1</v>
      </c>
      <c r="DX11" s="118">
        <f>COUNTIF('Rig Sheet '!EC19:EC132,"Intermediate")</f>
        <v>3</v>
      </c>
      <c r="DY11" s="118">
        <f>COUNTIF('Rig Sheet '!ED19:ED132,"Intermediate")</f>
        <v>3</v>
      </c>
      <c r="DZ11" s="118">
        <f>COUNTIF('Rig Sheet '!EE19:EE132,"Intermediate")</f>
        <v>2</v>
      </c>
      <c r="EA11" s="118">
        <f>COUNTIF('Rig Sheet '!EF19:EF132,"Intermediate")</f>
        <v>4</v>
      </c>
      <c r="EB11" s="118">
        <f>COUNTIF('Rig Sheet '!EG19:EG132,"Intermediate")</f>
        <v>2</v>
      </c>
      <c r="EC11" s="118">
        <f>COUNTIF('Rig Sheet '!EH19:EH132,"Intermediate")</f>
        <v>4</v>
      </c>
      <c r="ED11" s="118">
        <f>COUNTIF('Rig Sheet '!EI19:EI132,"Intermediate")</f>
        <v>2</v>
      </c>
      <c r="EE11" s="118">
        <f>COUNTIF('Rig Sheet '!EJ19:EJ132,"Intermediate")</f>
        <v>3</v>
      </c>
      <c r="EF11" s="118">
        <f>COUNTIF('Rig Sheet '!EK19:EK132,"Intermediate")</f>
        <v>2</v>
      </c>
      <c r="EG11" s="118">
        <f>COUNTIF('Rig Sheet '!EL19:EL132,"Intermediate")</f>
        <v>3</v>
      </c>
      <c r="EH11" s="118">
        <f>COUNTIF('Rig Sheet '!EM19:EM132,"Intermediate")</f>
        <v>3</v>
      </c>
      <c r="EI11" s="118">
        <f>COUNTIF('Rig Sheet '!EN19:EN132,"Intermediate")</f>
        <v>0</v>
      </c>
      <c r="EJ11" s="118">
        <f>COUNTIF('Rig Sheet '!EO19:EO132,"Intermediate")</f>
        <v>0</v>
      </c>
      <c r="EK11" s="118">
        <f>COUNTIF('Rig Sheet '!EP19:EP132,"Intermediate")</f>
        <v>4</v>
      </c>
      <c r="EL11" s="118">
        <f>COUNTIF('Rig Sheet '!EQ19:EQ132,"Intermediate")</f>
        <v>0</v>
      </c>
      <c r="EM11" s="118">
        <f>COUNTIF('Rig Sheet '!ER19:ER132,"Intermediate")</f>
        <v>3</v>
      </c>
      <c r="EN11" s="118">
        <f>COUNTIF('Rig Sheet '!ES19:ES132,"Intermediate")</f>
        <v>3</v>
      </c>
      <c r="EO11" s="118">
        <f>COUNTIF('Rig Sheet '!ET19:ET132,"Intermediate")</f>
        <v>1</v>
      </c>
      <c r="EP11" s="118">
        <f>COUNTIF('Rig Sheet '!EU19:EU132,"Intermediate")</f>
        <v>2</v>
      </c>
      <c r="EQ11" s="118">
        <f>COUNTIF('Rig Sheet '!EV19:EV132,"Intermediate")</f>
        <v>2</v>
      </c>
      <c r="ER11" s="118">
        <f>COUNTIF('Rig Sheet '!EW19:EW132,"Intermediate")</f>
        <v>1</v>
      </c>
      <c r="ES11" s="118">
        <f>COUNTIF('Rig Sheet '!EX19:EX132,"Intermediate")</f>
        <v>1</v>
      </c>
      <c r="ET11" s="118">
        <f>COUNTIF('Rig Sheet '!EY19:EY132,"Intermediate")</f>
        <v>3</v>
      </c>
      <c r="EU11" s="118">
        <f>COUNTIF('Rig Sheet '!EZ19:EZ132,"Intermediate")</f>
        <v>2</v>
      </c>
      <c r="EV11" s="118">
        <f>COUNTIF('Rig Sheet '!FA19:FA132,"Intermediate")</f>
        <v>1</v>
      </c>
      <c r="EW11" s="118">
        <f>COUNTIF('Rig Sheet '!FB19:FB132,"Intermediate")</f>
        <v>0</v>
      </c>
      <c r="EX11" s="118">
        <f>COUNTIF('Rig Sheet '!FC19:FC132,"Intermediate")</f>
        <v>2</v>
      </c>
      <c r="EY11" s="118">
        <f>COUNTIF('Rig Sheet '!FD19:FD132,"Intermediate")</f>
        <v>5</v>
      </c>
      <c r="EZ11" s="118">
        <f>COUNTIF('Rig Sheet '!FE19:FE132,"Intermediate")</f>
        <v>3</v>
      </c>
      <c r="FA11" s="118">
        <f>COUNTIF('Rig Sheet '!FF19:FF132,"Intermediate")</f>
        <v>3</v>
      </c>
      <c r="FB11" s="118">
        <f>COUNTIF('Rig Sheet '!FG19:FG132,"Intermediate")</f>
        <v>4</v>
      </c>
      <c r="FC11" s="118">
        <f>COUNTIF('Rig Sheet '!FH19:FH132,"Intermediate")</f>
        <v>0</v>
      </c>
      <c r="FD11" s="118">
        <f>COUNTIF('Rig Sheet '!FI19:FI132,"Intermediate")</f>
        <v>6</v>
      </c>
      <c r="FE11" s="118">
        <f>COUNTIF('Rig Sheet '!FJ19:FJ132,"Intermediate")</f>
        <v>2</v>
      </c>
      <c r="FF11" s="118">
        <f>COUNTIF('Rig Sheet '!FK19:FK132,"Intermediate")</f>
        <v>4</v>
      </c>
      <c r="FG11" s="118">
        <f>COUNTIF('Rig Sheet '!FL19:FL132,"Intermediate")</f>
        <v>2</v>
      </c>
      <c r="FH11" s="118">
        <f>COUNTIF('Rig Sheet '!FM19:FM132,"Intermediate")</f>
        <v>1</v>
      </c>
      <c r="FI11" s="118">
        <f>COUNTIF('Rig Sheet '!FN19:FN132,"Intermediate")</f>
        <v>2</v>
      </c>
      <c r="FJ11" s="118">
        <f>COUNTIF('Rig Sheet '!FO19:FO132,"Intermediate")</f>
        <v>3</v>
      </c>
      <c r="FK11" s="118">
        <f>COUNTIF('Rig Sheet '!FP19:FP132,"Intermediate")</f>
        <v>4</v>
      </c>
      <c r="FL11" s="118">
        <f>COUNTIF('Rig Sheet '!FQ19:FQ132,"Intermediate")</f>
        <v>3</v>
      </c>
      <c r="FM11" s="118">
        <f>COUNTIF('Rig Sheet '!FR19:FR132,"Intermediate")</f>
        <v>4</v>
      </c>
      <c r="FN11" s="118">
        <f>COUNTIF('Rig Sheet '!FS19:FS132,"Intermediate")</f>
        <v>2</v>
      </c>
      <c r="FO11" s="118">
        <f>COUNTIF('Rig Sheet '!FT19:FT132,"Intermediate")</f>
        <v>2</v>
      </c>
      <c r="FP11" s="118">
        <f>COUNTIF('Rig Sheet '!FU19:FU132,"Intermediate")</f>
        <v>6</v>
      </c>
      <c r="FQ11" s="118">
        <f>COUNTIF('Rig Sheet '!FV19:FV132,"Intermediate")</f>
        <v>1</v>
      </c>
      <c r="FR11" s="118">
        <f>COUNTIF('Rig Sheet '!FW19:FW132,"Intermediate")</f>
        <v>5</v>
      </c>
      <c r="FS11" s="118">
        <f>COUNTIF('Rig Sheet '!FX19:FX132,"Intermediate")</f>
        <v>7</v>
      </c>
      <c r="FT11" s="118">
        <f>COUNTIF('Rig Sheet '!FY19:FY132,"Intermediate")</f>
        <v>4</v>
      </c>
      <c r="FU11" s="118">
        <f>COUNTIF('Rig Sheet '!FZ19:FZ132,"Intermediate")</f>
        <v>2</v>
      </c>
      <c r="FV11" s="118">
        <f>COUNTIF('Rig Sheet '!GA19:GA132,"Intermediate")</f>
        <v>2</v>
      </c>
      <c r="FW11" s="118">
        <f>COUNTIF('Rig Sheet '!GB19:GB132,"Intermediate")</f>
        <v>1</v>
      </c>
      <c r="FX11" s="118">
        <f>COUNTIF('Rig Sheet '!GC19:GC132,"Intermediate")</f>
        <v>3</v>
      </c>
      <c r="FY11" s="118">
        <f>COUNTIF('Rig Sheet '!GD19:GD132,"Intermediate")</f>
        <v>3</v>
      </c>
      <c r="FZ11" s="118">
        <f>COUNTIF('Rig Sheet '!GE19:GE132,"Intermediate")</f>
        <v>8</v>
      </c>
      <c r="GA11" s="118">
        <f>COUNTIF('Rig Sheet '!GF19:GF132,"Intermediate")</f>
        <v>4</v>
      </c>
      <c r="GB11" s="118">
        <f>COUNTIF('Rig Sheet '!GG19:GG132,"Intermediate")</f>
        <v>5</v>
      </c>
      <c r="GC11" s="118">
        <f>COUNTIF('Rig Sheet '!GH19:GH132,"Intermediate")</f>
        <v>3</v>
      </c>
      <c r="GD11" s="118">
        <f>COUNTIF('Rig Sheet '!GI19:GI132,"Intermediate")</f>
        <v>5</v>
      </c>
      <c r="GE11" s="118">
        <f>COUNTIF('Rig Sheet '!GJ19:GJ132,"Intermediate")</f>
        <v>2</v>
      </c>
      <c r="GF11" s="118">
        <f>COUNTIF('Rig Sheet '!GK19:GK132,"Intermediate")</f>
        <v>6</v>
      </c>
      <c r="GG11" s="118">
        <f>COUNTIF('Rig Sheet '!GL19:GL132,"Intermediate")</f>
        <v>2</v>
      </c>
      <c r="GH11" s="118">
        <f>COUNTIF('Rig Sheet '!GM19:GM132,"Intermediate")</f>
        <v>2</v>
      </c>
      <c r="GI11" s="118">
        <f>COUNTIF('Rig Sheet '!GN19:GN132,"Intermediate")</f>
        <v>2</v>
      </c>
      <c r="GJ11" s="118">
        <f>COUNTIF('Rig Sheet '!GO19:GO132,"Intermediate")</f>
        <v>4</v>
      </c>
      <c r="GK11" s="118">
        <f>COUNTIF('Rig Sheet '!GP19:GP132,"Intermediate")</f>
        <v>1</v>
      </c>
      <c r="GL11" s="118">
        <f>COUNTIF('Rig Sheet '!GQ19:GQ132,"Intermediate")</f>
        <v>6</v>
      </c>
      <c r="GM11" s="118">
        <f>COUNTIF('Rig Sheet '!GR19:GR132,"Intermediate")</f>
        <v>2</v>
      </c>
      <c r="GN11" s="118">
        <f>COUNTIF('Rig Sheet '!GS19:GS132,"Intermediate")</f>
        <v>4</v>
      </c>
      <c r="GO11" s="118">
        <f>COUNTIF('Rig Sheet '!GT19:GT132,"Intermediate")</f>
        <v>4</v>
      </c>
      <c r="GP11" s="118">
        <f>COUNTIF('Rig Sheet '!GU19:GU132,"Intermediate")</f>
        <v>1</v>
      </c>
      <c r="GQ11" s="118">
        <f>COUNTIF('Rig Sheet '!GV19:GV132,"Intermediate")</f>
        <v>6</v>
      </c>
      <c r="GR11" s="118">
        <f>COUNTIF('Rig Sheet '!GW19:GW132,"Intermediate")</f>
        <v>6</v>
      </c>
      <c r="GS11" s="118">
        <f>COUNTIF('Rig Sheet '!GX19:GX132,"Intermediate")</f>
        <v>4</v>
      </c>
      <c r="GT11" s="118">
        <f>COUNTIF('Rig Sheet '!GY19:GY132,"Intermediate")</f>
        <v>7</v>
      </c>
      <c r="GU11" s="118">
        <f>COUNTIF('Rig Sheet '!GZ19:GZ132,"Intermediate")</f>
        <v>1</v>
      </c>
      <c r="GV11" s="118">
        <f>COUNTIF('Rig Sheet '!HA19:HA132,"Intermediate")</f>
        <v>1</v>
      </c>
      <c r="GW11" s="118">
        <f>COUNTIF('Rig Sheet '!HB19:HB132,"Intermediate")</f>
        <v>6</v>
      </c>
      <c r="GX11" s="118">
        <f>COUNTIF('Rig Sheet '!HC19:HC132,"Intermediate")</f>
        <v>4</v>
      </c>
      <c r="GY11" s="118">
        <f>COUNTIF('Rig Sheet '!HD19:HD132,"Intermediate")</f>
        <v>3</v>
      </c>
      <c r="GZ11" s="118">
        <f>COUNTIF('Rig Sheet '!HE19:HE132,"Intermediate")</f>
        <v>5</v>
      </c>
      <c r="HA11" s="118">
        <f>COUNTIF('Rig Sheet '!HF19:HF132,"Intermediate")</f>
        <v>5</v>
      </c>
      <c r="HB11" s="118">
        <f>COUNTIF('Rig Sheet '!HG19:HG132,"Intermediate")</f>
        <v>3</v>
      </c>
      <c r="HC11" s="118">
        <f>COUNTIF('Rig Sheet '!HH19:HH132,"Intermediate")</f>
        <v>7</v>
      </c>
      <c r="HD11" s="118">
        <f>COUNTIF('Rig Sheet '!HI19:HI132,"Intermediate")</f>
        <v>3</v>
      </c>
      <c r="HE11" s="118">
        <f>COUNTIF('Rig Sheet '!HJ19:HJ132,"Intermediate")</f>
        <v>5</v>
      </c>
      <c r="HF11" s="118">
        <f>COUNTIF('Rig Sheet '!HK19:HK132,"Intermediate")</f>
        <v>3</v>
      </c>
      <c r="HG11" s="118">
        <f>COUNTIF('Rig Sheet '!HL19:HL132,"Intermediate")</f>
        <v>4</v>
      </c>
      <c r="HH11" s="118">
        <f>COUNTIF('Rig Sheet '!HM19:HM132,"Intermediate")</f>
        <v>5</v>
      </c>
      <c r="HI11" s="118">
        <f>COUNTIF('Rig Sheet '!HN19:HN132,"Intermediate")</f>
        <v>2</v>
      </c>
      <c r="HJ11" s="118">
        <f>COUNTIF('Rig Sheet '!HO19:HO132,"Intermediate")</f>
        <v>6</v>
      </c>
      <c r="HK11" s="118">
        <f>COUNTIF('Rig Sheet '!HP19:HP132,"Intermediate")</f>
        <v>3</v>
      </c>
      <c r="HL11" s="118">
        <f>COUNTIF('Rig Sheet '!HQ19:HQ132,"Intermediate")</f>
        <v>5</v>
      </c>
      <c r="HM11" s="118">
        <f>COUNTIF('Rig Sheet '!HR19:HR132,"Intermediate")</f>
        <v>5</v>
      </c>
      <c r="HN11" s="118">
        <f>COUNTIF('Rig Sheet '!HS19:HS132,"Intermediate")</f>
        <v>1</v>
      </c>
      <c r="HO11" s="118">
        <f>COUNTIF('Rig Sheet '!HT19:HT132,"Intermediate")</f>
        <v>2</v>
      </c>
      <c r="HP11" s="118">
        <f>COUNTIF('Rig Sheet '!HU19:HU132,"Intermediate")</f>
        <v>6</v>
      </c>
      <c r="HQ11" s="118">
        <f>COUNTIF('Rig Sheet '!HV19:HV132,"Intermediate")</f>
        <v>6</v>
      </c>
      <c r="HR11" s="118">
        <f>COUNTIF('Rig Sheet '!HW19:HW132,"Intermediate")</f>
        <v>6</v>
      </c>
      <c r="HS11" s="118">
        <f>COUNTIF('Rig Sheet '!HX19:HX132,"Intermediate")</f>
        <v>3</v>
      </c>
      <c r="HT11" s="118">
        <f>COUNTIF('Rig Sheet '!HY19:HY132,"Intermediate")</f>
        <v>1</v>
      </c>
      <c r="HU11" s="118">
        <f>COUNTIF('Rig Sheet '!HZ19:HZ132,"Intermediate")</f>
        <v>4</v>
      </c>
      <c r="HV11" s="118">
        <f>COUNTIF('Rig Sheet '!IA19:IA132,"Intermediate")</f>
        <v>5</v>
      </c>
      <c r="HW11" s="118">
        <f>COUNTIF('Rig Sheet '!IB19:IB132,"Intermediate")</f>
        <v>6</v>
      </c>
      <c r="HX11" s="118">
        <f>COUNTIF('Rig Sheet '!IC19:IC132,"Intermediate")</f>
        <v>7</v>
      </c>
      <c r="HY11" s="118">
        <f>COUNTIF('Rig Sheet '!ID19:ID132,"Intermediate")</f>
        <v>3</v>
      </c>
      <c r="HZ11" s="118">
        <f>COUNTIF('Rig Sheet '!IE19:IE132,"Intermediate")</f>
        <v>1</v>
      </c>
      <c r="IA11" s="118">
        <f>COUNTIF('Rig Sheet '!IF19:IF132,"Intermediate")</f>
        <v>5</v>
      </c>
      <c r="IB11" s="118">
        <f>COUNTIF('Rig Sheet '!IG19:IG132,"Intermediate")</f>
        <v>1</v>
      </c>
      <c r="IC11" s="118">
        <f>COUNTIF('Rig Sheet '!IH19:IH132,"Intermediate")</f>
        <v>3</v>
      </c>
      <c r="ID11" s="118">
        <f>COUNTIF('Rig Sheet '!II19:II132,"Intermediate")</f>
        <v>4</v>
      </c>
      <c r="IE11" s="118">
        <f>COUNTIF('Rig Sheet '!IJ19:IJ132,"Intermediate")</f>
        <v>3</v>
      </c>
      <c r="IF11" s="118">
        <f>COUNTIF('Rig Sheet '!IK19:IK132,"Intermediate")</f>
        <v>7</v>
      </c>
      <c r="IG11" s="118">
        <f>COUNTIF('Rig Sheet '!IL19:IL132,"Intermediate")</f>
        <v>3</v>
      </c>
      <c r="IH11" s="118">
        <f>COUNTIF('Rig Sheet '!IM19:IM132,"Intermediate")</f>
        <v>4</v>
      </c>
      <c r="II11" s="118">
        <f>COUNTIF('Rig Sheet '!IN19:IN132,"Intermediate")</f>
        <v>3</v>
      </c>
      <c r="IJ11" s="118">
        <f>COUNTIF('Rig Sheet '!IO19:IO132,"Intermediate")</f>
        <v>4</v>
      </c>
      <c r="IK11" s="118">
        <f>COUNTIF('Rig Sheet '!IP19:IP132,"Intermediate")</f>
        <v>4</v>
      </c>
      <c r="IL11" s="118">
        <f>COUNTIF('Rig Sheet '!IQ19:IQ132,"Intermediate")</f>
        <v>8</v>
      </c>
      <c r="IM11" s="118">
        <f>COUNTIF('Rig Sheet '!IR19:IR132,"Intermediate")</f>
        <v>6</v>
      </c>
      <c r="IN11" s="118">
        <f>COUNTIF('Rig Sheet '!IS19:IS132,"Intermediate")</f>
        <v>4</v>
      </c>
      <c r="IO11" s="118">
        <f>COUNTIF('Rig Sheet '!IT19:IT132,"Intermediate")</f>
        <v>3</v>
      </c>
      <c r="IP11" s="118">
        <f>COUNTIF('Rig Sheet '!IU19:IU132,"Intermediate")</f>
        <v>3</v>
      </c>
      <c r="IQ11" s="118">
        <f>COUNTIF('Rig Sheet '!IV19:IV132,"Intermediate")</f>
        <v>6</v>
      </c>
      <c r="IR11" s="118">
        <f>COUNTIF('Rig Sheet '!IW19:IW132,"Intermediate")</f>
        <v>6</v>
      </c>
      <c r="IS11" s="118">
        <f>COUNTIF('Rig Sheet '!IX19:IX132,"Intermediate")</f>
        <v>5</v>
      </c>
      <c r="IT11" s="118">
        <f>COUNTIF('Rig Sheet '!IY19:IY132,"Intermediate")</f>
        <v>5</v>
      </c>
      <c r="IU11" s="118">
        <f>COUNTIF('Rig Sheet '!IZ19:IZ132,"Intermediate")</f>
        <v>5</v>
      </c>
      <c r="IV11" s="118">
        <f>COUNTIF('Rig Sheet '!JA19:JA132,"Intermediate")</f>
        <v>3</v>
      </c>
      <c r="IW11" s="118">
        <f>COUNTIF('Rig Sheet '!JB19:JB132,"Intermediate")</f>
        <v>5</v>
      </c>
      <c r="IX11" s="118">
        <f>COUNTIF('Rig Sheet '!JC19:JC132,"Intermediate")</f>
        <v>6</v>
      </c>
      <c r="IY11" s="118">
        <f>COUNTIF('Rig Sheet '!JD19:JD132,"Intermediate")</f>
        <v>6</v>
      </c>
      <c r="IZ11" s="118">
        <f>COUNTIF('Rig Sheet '!JE19:JE132,"Intermediate")</f>
        <v>8</v>
      </c>
      <c r="JA11" s="118">
        <f>COUNTIF('Rig Sheet '!JF19:JF132,"Intermediate")</f>
        <v>6</v>
      </c>
      <c r="JB11" s="118">
        <f>COUNTIF('Rig Sheet '!JG19:JG132,"Intermediate")</f>
        <v>2</v>
      </c>
      <c r="JC11" s="118">
        <f>COUNTIF('Rig Sheet '!JH19:JH132,"Intermediate")</f>
        <v>2</v>
      </c>
      <c r="JD11" s="118">
        <f>COUNTIF('Rig Sheet '!JI19:JI132,"Intermediate")</f>
        <v>7</v>
      </c>
      <c r="JE11" s="118">
        <f>COUNTIF('Rig Sheet '!JJ19:JJ132,"Intermediate")</f>
        <v>3</v>
      </c>
      <c r="JF11" s="118">
        <f>COUNTIF('Rig Sheet '!JK19:JK132,"Intermediate")</f>
        <v>2</v>
      </c>
      <c r="JG11" s="118">
        <f>COUNTIF('Rig Sheet '!JL19:JL132,"Intermediate")</f>
        <v>6</v>
      </c>
      <c r="JH11" s="118">
        <f>COUNTIF('Rig Sheet '!JM19:JM132,"Intermediate")</f>
        <v>4</v>
      </c>
      <c r="JI11" s="118">
        <f>COUNTIF('Rig Sheet '!JN19:JN132,"Intermediate")</f>
        <v>4</v>
      </c>
      <c r="JJ11" s="118">
        <f>COUNTIF('Rig Sheet '!JO19:JO132,"Intermediate")</f>
        <v>10</v>
      </c>
      <c r="JK11" s="118">
        <f>COUNTIF('Rig Sheet '!JP19:JP132,"Intermediate")</f>
        <v>5</v>
      </c>
      <c r="JL11" s="118">
        <f>COUNTIF('Rig Sheet '!JQ19:JQ132,"Intermediate")</f>
        <v>4</v>
      </c>
      <c r="JM11" s="118">
        <f>COUNTIF('Rig Sheet '!JR19:JR132,"Intermediate")</f>
        <v>4</v>
      </c>
      <c r="JN11" s="118">
        <f>COUNTIF('Rig Sheet '!JS19:JS132,"Intermediate")</f>
        <v>4</v>
      </c>
      <c r="JO11" s="118">
        <f>COUNTIF('Rig Sheet '!JT19:JT132,"Intermediate")</f>
        <v>5</v>
      </c>
      <c r="JP11" s="118">
        <f>COUNTIF('Rig Sheet '!JU19:JU132,"Intermediate")</f>
        <v>7</v>
      </c>
      <c r="JQ11" s="118">
        <f>COUNTIF('Rig Sheet '!JV19:JV132,"Intermediate")</f>
        <v>4</v>
      </c>
      <c r="JR11" s="118">
        <f>COUNTIF('Rig Sheet '!JW19:JW132,"Intermediate")</f>
        <v>5</v>
      </c>
      <c r="JS11" s="118">
        <f>COUNTIF('Rig Sheet '!JX19:JX132,"Intermediate")</f>
        <v>2</v>
      </c>
      <c r="JT11" s="118">
        <f>COUNTIF('Rig Sheet '!JY19:JY132,"Intermediate")</f>
        <v>4</v>
      </c>
      <c r="JU11" s="118">
        <f>COUNTIF('Rig Sheet '!JZ19:JZ132,"Intermediate")</f>
        <v>7</v>
      </c>
      <c r="JV11" s="118">
        <f>COUNTIF('Rig Sheet '!KA19:KA132,"Intermediate")</f>
        <v>8</v>
      </c>
      <c r="JW11" s="118">
        <f>COUNTIF('Rig Sheet '!KB19:KB132,"Intermediate")</f>
        <v>8</v>
      </c>
      <c r="JX11" s="118">
        <f>COUNTIF('Rig Sheet '!KC19:KC132,"Intermediate")</f>
        <v>2</v>
      </c>
      <c r="JY11" s="118">
        <f>COUNTIF('Rig Sheet '!KD19:KD132,"Intermediate")</f>
        <v>1</v>
      </c>
      <c r="JZ11" s="118">
        <f>COUNTIF('Rig Sheet '!KE19:KE132,"Intermediate")</f>
        <v>4</v>
      </c>
      <c r="KA11" s="118">
        <f>COUNTIF('Rig Sheet '!KF19:KF132,"Intermediate")</f>
        <v>5</v>
      </c>
      <c r="KB11" s="118">
        <f>COUNTIF('Rig Sheet '!KG19:KG132,"Intermediate")</f>
        <v>5</v>
      </c>
      <c r="KC11" s="118">
        <f>COUNTIF('Rig Sheet '!KH19:KH132,"Intermediate")</f>
        <v>5</v>
      </c>
      <c r="KD11" s="118">
        <f>COUNTIF('Rig Sheet '!KI19:KI132,"Intermediate")</f>
        <v>4</v>
      </c>
      <c r="KE11" s="118">
        <f>COUNTIF('Rig Sheet '!KJ19:KJ132,"Intermediate")</f>
        <v>4</v>
      </c>
      <c r="KF11" s="118">
        <f>COUNTIF('Rig Sheet '!KK19:KK132,"Intermediate")</f>
        <v>3</v>
      </c>
      <c r="KG11" s="118">
        <f>COUNTIF('Rig Sheet '!KL19:KL132,"Intermediate")</f>
        <v>5</v>
      </c>
      <c r="KH11" s="118">
        <f>COUNTIF('Rig Sheet '!KM19:KM132,"Intermediate")</f>
        <v>4</v>
      </c>
      <c r="KI11" s="118">
        <f>COUNTIF('Rig Sheet '!KN19:KN132,"Intermediate")</f>
        <v>8</v>
      </c>
      <c r="KJ11" s="118">
        <f>COUNTIF('Rig Sheet '!KO19:KO132,"Intermediate")</f>
        <v>9</v>
      </c>
      <c r="KK11" s="118">
        <f>COUNTIF('Rig Sheet '!KP19:KP132,"Intermediate")</f>
        <v>2</v>
      </c>
      <c r="KL11" s="118">
        <f>COUNTIF('Rig Sheet '!KQ19:KQ132,"Intermediate")</f>
        <v>3</v>
      </c>
      <c r="KM11" s="118">
        <f>COUNTIF('Rig Sheet '!KR19:KR132,"Intermediate")</f>
        <v>6</v>
      </c>
      <c r="KN11" s="118">
        <f>COUNTIF('Rig Sheet '!KS19:KS132,"Intermediate")</f>
        <v>4</v>
      </c>
      <c r="KO11" s="118">
        <f>COUNTIF('Rig Sheet '!KT19:KT132,"Intermediate")</f>
        <v>3</v>
      </c>
      <c r="KP11" s="118">
        <f>COUNTIF('Rig Sheet '!KU19:KU132,"Intermediate")</f>
        <v>5</v>
      </c>
      <c r="KQ11" s="118">
        <f>COUNTIF('Rig Sheet '!KV19:KV132,"Intermediate")</f>
        <v>2</v>
      </c>
      <c r="KR11" s="118">
        <f>COUNTIF('Rig Sheet '!KW19:KW132,"Intermediate")</f>
        <v>3</v>
      </c>
      <c r="KS11" s="118">
        <f>COUNTIF('Rig Sheet '!KX19:KX132,"Intermediate")</f>
        <v>4</v>
      </c>
      <c r="KT11" s="118">
        <f>COUNTIF('Rig Sheet '!KY19:KY132,"Intermediate")</f>
        <v>1</v>
      </c>
      <c r="KU11" s="118">
        <f>COUNTIF('Rig Sheet '!KZ19:KZ132,"Intermediate")</f>
        <v>5</v>
      </c>
      <c r="KV11" s="118">
        <f>COUNTIF('Rig Sheet '!LA19:LA132,"Intermediate")</f>
        <v>2</v>
      </c>
      <c r="KW11" s="118">
        <f>COUNTIF('Rig Sheet '!LB19:LB132,"Intermediate")</f>
        <v>4</v>
      </c>
      <c r="KX11" s="118">
        <f>COUNTIF('Rig Sheet '!LC19:LC132,"Intermediate")</f>
        <v>3</v>
      </c>
      <c r="KY11" s="118">
        <f>COUNTIF('Rig Sheet '!LD19:LD132,"Intermediate")</f>
        <v>3</v>
      </c>
      <c r="KZ11" s="118">
        <f>COUNTIF('Rig Sheet '!LE19:LE132,"Intermediate")</f>
        <v>2</v>
      </c>
      <c r="LA11" s="118">
        <f>COUNTIF('Rig Sheet '!LF19:LF132,"Intermediate")</f>
        <v>4</v>
      </c>
      <c r="LB11" s="118">
        <f>COUNTIF('Rig Sheet '!LG19:LG132,"Intermediate")</f>
        <v>2</v>
      </c>
      <c r="LC11" s="118">
        <f>COUNTIF('Rig Sheet '!LH19:LH132,"Intermediate")</f>
        <v>2</v>
      </c>
      <c r="LD11" s="118">
        <f>COUNTIF('Rig Sheet '!LI19:LI132,"Intermediate")</f>
        <v>5</v>
      </c>
      <c r="LE11" s="118">
        <f>COUNTIF('Rig Sheet '!LJ19:LJ132,"Intermediate")</f>
        <v>1</v>
      </c>
      <c r="LF11" s="118">
        <f>COUNTIF('Rig Sheet '!LK19:LK132,"Intermediate")</f>
        <v>3</v>
      </c>
      <c r="LG11" s="118">
        <f>COUNTIF('Rig Sheet '!LL19:LL132,"Intermediate")</f>
        <v>4</v>
      </c>
      <c r="LH11" s="118">
        <f>COUNTIF('Rig Sheet '!LM19:LM132,"Intermediate")</f>
        <v>1</v>
      </c>
      <c r="LI11" s="118">
        <f>COUNTIF('Rig Sheet '!LN19:LN132,"Intermediate")</f>
        <v>4</v>
      </c>
      <c r="LJ11" s="118">
        <f>COUNTIF('Rig Sheet '!LO19:LO132,"Intermediate")</f>
        <v>4</v>
      </c>
      <c r="LK11" s="118">
        <f>COUNTIF('Rig Sheet '!LP19:LP132,"Intermediate")</f>
        <v>5</v>
      </c>
      <c r="LL11" s="118">
        <f>COUNTIF('Rig Sheet '!LQ19:LQ132,"Intermediate")</f>
        <v>3</v>
      </c>
      <c r="LM11" s="118">
        <f>COUNTIF('Rig Sheet '!LR19:LR132,"Intermediate")</f>
        <v>3</v>
      </c>
      <c r="LN11" s="118">
        <f>COUNTIF('Rig Sheet '!LS19:LS132,"Intermediate")</f>
        <v>4</v>
      </c>
      <c r="LO11" s="118">
        <f>COUNTIF('Rig Sheet '!LT19:LT132,"Intermediate")</f>
        <v>1</v>
      </c>
      <c r="LP11" s="118">
        <f>COUNTIF('Rig Sheet '!LU19:LU132,"Intermediate")</f>
        <v>1</v>
      </c>
      <c r="LQ11" s="118">
        <f>COUNTIF('Rig Sheet '!LV19:LV132,"Intermediate")</f>
        <v>1</v>
      </c>
      <c r="LR11" s="118">
        <f>COUNTIF('Rig Sheet '!LW19:LW132,"Intermediate")</f>
        <v>4</v>
      </c>
      <c r="LS11" s="118">
        <f>COUNTIF('Rig Sheet '!LX19:LX132,"Intermediate")</f>
        <v>8</v>
      </c>
      <c r="LT11" s="118">
        <f>COUNTIF('Rig Sheet '!LY19:LY132,"Intermediate")</f>
        <v>0</v>
      </c>
      <c r="LU11" s="118">
        <f>COUNTIF('Rig Sheet '!LZ19:LZ132,"Intermediate")</f>
        <v>1</v>
      </c>
      <c r="LV11" s="118">
        <f>COUNTIF('Rig Sheet '!MA19:MA132,"Intermediate")</f>
        <v>2</v>
      </c>
      <c r="LW11" s="118">
        <f>COUNTIF('Rig Sheet '!MB19:MB132,"Intermediate")</f>
        <v>2</v>
      </c>
      <c r="LX11" s="118">
        <f>COUNTIF('Rig Sheet '!MC19:MC132,"Intermediate")</f>
        <v>0</v>
      </c>
      <c r="LY11" s="118">
        <f>COUNTIF('Rig Sheet '!MD19:MD132,"Intermediate")</f>
        <v>1</v>
      </c>
      <c r="LZ11" s="118">
        <f>COUNTIF('Rig Sheet '!ME19:ME132,"Intermediate")</f>
        <v>0</v>
      </c>
      <c r="MA11" s="118">
        <f>COUNTIF('Rig Sheet '!MF19:MF132,"Intermediate")</f>
        <v>0</v>
      </c>
      <c r="MB11" s="118">
        <f>COUNTIF('Rig Sheet '!MG19:MG132,"Intermediate")</f>
        <v>0</v>
      </c>
      <c r="MC11" s="118">
        <f>COUNTIF('Rig Sheet '!MH19:MH132,"Intermediate")</f>
        <v>0</v>
      </c>
      <c r="MD11" s="118">
        <f>COUNTIF('Rig Sheet '!MI19:MI132,"Intermediate")</f>
        <v>0</v>
      </c>
      <c r="ME11" s="118">
        <f>COUNTIF('Rig Sheet '!MJ19:MJ132,"Intermediate")</f>
        <v>0</v>
      </c>
      <c r="MF11" s="118">
        <f>COUNTIF('Rig Sheet '!MK19:MK132,"Intermediate")</f>
        <v>0</v>
      </c>
      <c r="MG11" s="118">
        <f>COUNTIF('Rig Sheet '!ML19:ML132,"Intermediate")</f>
        <v>0</v>
      </c>
      <c r="MH11" s="118">
        <f>COUNTIF('Rig Sheet '!MM19:MM132,"Intermediate")</f>
        <v>0</v>
      </c>
      <c r="MI11" s="118">
        <f>COUNTIF('Rig Sheet '!MN19:MN132,"Intermediate")</f>
        <v>0</v>
      </c>
      <c r="MJ11" s="118">
        <f>COUNTIF('Rig Sheet '!MO19:MO132,"Intermediate")</f>
        <v>0</v>
      </c>
      <c r="MK11" s="118">
        <f>COUNTIF('Rig Sheet '!MP19:MP132,"Intermediate")</f>
        <v>0</v>
      </c>
      <c r="ML11" s="118">
        <f>COUNTIF('Rig Sheet '!MQ19:MQ132,"Intermediate")</f>
        <v>0</v>
      </c>
      <c r="MM11" s="118">
        <f>COUNTIF('Rig Sheet '!MR19:MR132,"Intermediate")</f>
        <v>0</v>
      </c>
      <c r="MN11" s="118">
        <f>COUNTIF('Rig Sheet '!MS19:MS132,"Intermediate")</f>
        <v>0</v>
      </c>
      <c r="MO11" s="118">
        <f>COUNTIF('Rig Sheet '!MT19:MT132,"Intermediate")</f>
        <v>0</v>
      </c>
      <c r="MP11" s="118">
        <f>COUNTIF('Rig Sheet '!MU19:MU132,"Intermediate")</f>
        <v>0</v>
      </c>
      <c r="MQ11" s="118">
        <f>COUNTIF('Rig Sheet '!MV19:MV132,"Intermediate")</f>
        <v>0</v>
      </c>
      <c r="MR11" s="118">
        <f>COUNTIF('Rig Sheet '!MW19:MW132,"Intermediate")</f>
        <v>0</v>
      </c>
      <c r="MS11" s="118">
        <f>COUNTIF('Rig Sheet '!MX19:MX132,"Intermediate")</f>
        <v>0</v>
      </c>
      <c r="MT11" s="118">
        <f>COUNTIF('Rig Sheet '!MY19:MY132,"Intermediate")</f>
        <v>0</v>
      </c>
      <c r="MU11" s="118">
        <f>COUNTIF('Rig Sheet '!MZ19:MZ132,"Intermediate")</f>
        <v>0</v>
      </c>
      <c r="MV11" s="118">
        <f>COUNTIF('Rig Sheet '!NA19:NA132,"Intermediate")</f>
        <v>0</v>
      </c>
      <c r="MW11" s="118">
        <f>COUNTIF('Rig Sheet '!NB19:NB132,"Intermediate")</f>
        <v>0</v>
      </c>
      <c r="MX11" s="118">
        <f>COUNTIF('Rig Sheet '!NC19:NC132,"Intermediate")</f>
        <v>0</v>
      </c>
      <c r="MY11" s="118">
        <f>COUNTIF('Rig Sheet '!ND19:ND132,"Intermediate")</f>
        <v>0</v>
      </c>
      <c r="MZ11" s="118">
        <f>COUNTIF('Rig Sheet '!NE19:NE132,"Intermediate")</f>
        <v>0</v>
      </c>
      <c r="NA11" s="118">
        <f>COUNTIF('Rig Sheet '!NF19:NF132,"Intermediate")</f>
        <v>0</v>
      </c>
      <c r="NB11" s="118">
        <f>COUNTIF('Rig Sheet '!NG19:NG132,"Intermediate")</f>
        <v>0</v>
      </c>
    </row>
    <row r="12" spans="1:366">
      <c r="A12" s="119" t="s">
        <v>27</v>
      </c>
      <c r="B12" s="118">
        <f>COUNTIF('Rig Sheet '!G19:G132,"Production")</f>
        <v>1</v>
      </c>
      <c r="C12" s="118">
        <f>COUNTIF('Rig Sheet '!H19:H132,"Production")</f>
        <v>0</v>
      </c>
      <c r="D12" s="118">
        <f>COUNTIF('Rig Sheet '!I19:I132,"Production")</f>
        <v>1</v>
      </c>
      <c r="E12" s="118">
        <f>COUNTIF('Rig Sheet '!J19:J132,"Production")</f>
        <v>1</v>
      </c>
      <c r="F12" s="118">
        <f>COUNTIF('Rig Sheet '!K19:K132,"Production")</f>
        <v>0</v>
      </c>
      <c r="G12" s="118">
        <f>COUNTIF('Rig Sheet '!L19:L132,"Production")</f>
        <v>1</v>
      </c>
      <c r="H12" s="118">
        <f>COUNTIF('Rig Sheet '!M19:M132,"Production")</f>
        <v>0</v>
      </c>
      <c r="I12" s="118">
        <f>COUNTIF('Rig Sheet '!N19:N132,"Production")</f>
        <v>0</v>
      </c>
      <c r="J12" s="118">
        <f>COUNTIF('Rig Sheet '!O19:O132,"Production")</f>
        <v>1</v>
      </c>
      <c r="K12" s="118">
        <f>COUNTIF('Rig Sheet '!P19:P132,"Production")</f>
        <v>2</v>
      </c>
      <c r="L12" s="118">
        <f>COUNTIF('Rig Sheet '!Q19:Q132,"Production")</f>
        <v>1</v>
      </c>
      <c r="M12" s="118">
        <f>COUNTIF('Rig Sheet '!R19:R132,"Production")</f>
        <v>0</v>
      </c>
      <c r="N12" s="118">
        <f>COUNTIF('Rig Sheet '!S19:S132,"Production")</f>
        <v>0</v>
      </c>
      <c r="O12" s="118">
        <f>COUNTIF('Rig Sheet '!T19:T132,"Production")</f>
        <v>2</v>
      </c>
      <c r="P12" s="118">
        <f>COUNTIF('Rig Sheet '!U19:U132,"Production")</f>
        <v>1</v>
      </c>
      <c r="Q12" s="118">
        <f>COUNTIF('Rig Sheet '!V19:V132,"Production")</f>
        <v>1</v>
      </c>
      <c r="R12" s="118">
        <f>COUNTIF('Rig Sheet '!W19:W132,"Production")</f>
        <v>2</v>
      </c>
      <c r="S12" s="118">
        <f>COUNTIF('Rig Sheet '!X19:X132,"Production")</f>
        <v>0</v>
      </c>
      <c r="T12" s="118">
        <f>COUNTIF('Rig Sheet '!Y19:Y132,"Production")</f>
        <v>0</v>
      </c>
      <c r="U12" s="118">
        <f>COUNTIF('Rig Sheet '!Z19:Z132,"Production")</f>
        <v>1</v>
      </c>
      <c r="V12" s="118">
        <f>COUNTIF('Rig Sheet '!AA19:AA132,"Production")</f>
        <v>1</v>
      </c>
      <c r="W12" s="118">
        <f>COUNTIF('Rig Sheet '!AB19:AB132,"Production")</f>
        <v>1</v>
      </c>
      <c r="X12" s="118">
        <f>COUNTIF('Rig Sheet '!AC19:AC132,"Production")</f>
        <v>1</v>
      </c>
      <c r="Y12" s="118">
        <f>COUNTIF('Rig Sheet '!AD19:AD132,"Production")</f>
        <v>1</v>
      </c>
      <c r="Z12" s="118">
        <f>COUNTIF('Rig Sheet '!AE19:AE132,"Production")</f>
        <v>3</v>
      </c>
      <c r="AA12" s="118">
        <f>COUNTIF('Rig Sheet '!AF19:AF132,"Production")</f>
        <v>1</v>
      </c>
      <c r="AB12" s="118">
        <f>COUNTIF('Rig Sheet '!AG19:AG132,"Production")</f>
        <v>1</v>
      </c>
      <c r="AC12" s="118">
        <f>COUNTIF('Rig Sheet '!AH19:AH132,"Production")</f>
        <v>1</v>
      </c>
      <c r="AD12" s="118">
        <f>COUNTIF('Rig Sheet '!AI19:AI132,"Production")</f>
        <v>0</v>
      </c>
      <c r="AE12" s="118">
        <f>COUNTIF('Rig Sheet '!AJ19:AJ132,"Production")</f>
        <v>3</v>
      </c>
      <c r="AF12" s="118">
        <f>COUNTIF('Rig Sheet '!AK19:AK132,"Production")</f>
        <v>2</v>
      </c>
      <c r="AG12" s="118">
        <f>COUNTIF('Rig Sheet '!AL19:AL132,"Production")</f>
        <v>0</v>
      </c>
      <c r="AH12" s="118">
        <f>COUNTIF('Rig Sheet '!AM19:AM132,"Production")</f>
        <v>0</v>
      </c>
      <c r="AI12" s="118">
        <f>COUNTIF('Rig Sheet '!AN19:AN132,"Production")</f>
        <v>0</v>
      </c>
      <c r="AJ12" s="118">
        <f>COUNTIF('Rig Sheet '!AO19:AO132,"Production")</f>
        <v>2</v>
      </c>
      <c r="AK12" s="118">
        <f>COUNTIF('Rig Sheet '!AP19:AP132,"Production")</f>
        <v>2</v>
      </c>
      <c r="AL12" s="118">
        <f>COUNTIF('Rig Sheet '!AQ19:AQ132,"Production")</f>
        <v>0</v>
      </c>
      <c r="AM12" s="118">
        <f>COUNTIF('Rig Sheet '!AR19:AR132,"Production")</f>
        <v>1</v>
      </c>
      <c r="AN12" s="118">
        <f>COUNTIF('Rig Sheet '!AS19:AS132,"Production")</f>
        <v>2</v>
      </c>
      <c r="AO12" s="118">
        <f>COUNTIF('Rig Sheet '!AT19:AT132,"Production")</f>
        <v>1</v>
      </c>
      <c r="AP12" s="118">
        <f>COUNTIF('Rig Sheet '!AU19:AU132,"Production")</f>
        <v>2</v>
      </c>
      <c r="AQ12" s="118">
        <f>COUNTIF('Rig Sheet '!AV19:AV132,"Production")</f>
        <v>1</v>
      </c>
      <c r="AR12" s="118">
        <f>COUNTIF('Rig Sheet '!AW19:AW132,"Production")</f>
        <v>0</v>
      </c>
      <c r="AS12" s="118">
        <f>COUNTIF('Rig Sheet '!AX19:AX132,"Production")</f>
        <v>2</v>
      </c>
      <c r="AT12" s="118">
        <f>COUNTIF('Rig Sheet '!AY19:AY132,"Production")</f>
        <v>0</v>
      </c>
      <c r="AU12" s="118">
        <f>COUNTIF('Rig Sheet '!AZ19:AZ132,"Production")</f>
        <v>3</v>
      </c>
      <c r="AV12" s="118">
        <f>COUNTIF('Rig Sheet '!BA19:BA132,"Production")</f>
        <v>0</v>
      </c>
      <c r="AW12" s="118">
        <f>COUNTIF('Rig Sheet '!BB19:BB132,"Production")</f>
        <v>0</v>
      </c>
      <c r="AX12" s="118">
        <f>COUNTIF('Rig Sheet '!BC19:BC132,"Production")</f>
        <v>0</v>
      </c>
      <c r="AY12" s="118">
        <f>COUNTIF('Rig Sheet '!BD19:BD132,"Production")</f>
        <v>2</v>
      </c>
      <c r="AZ12" s="118">
        <f>COUNTIF('Rig Sheet '!BE19:BE132,"Production")</f>
        <v>0</v>
      </c>
      <c r="BA12" s="118">
        <f>COUNTIF('Rig Sheet '!BF19:BF132,"Production")</f>
        <v>1</v>
      </c>
      <c r="BB12" s="118">
        <f>COUNTIF('Rig Sheet '!BG19:BG132,"Production")</f>
        <v>1</v>
      </c>
      <c r="BC12" s="118">
        <f>COUNTIF('Rig Sheet '!BH19:BH132,"Production")</f>
        <v>1</v>
      </c>
      <c r="BD12" s="118">
        <f>COUNTIF('Rig Sheet '!BI19:BI132,"Production")</f>
        <v>2</v>
      </c>
      <c r="BE12" s="118">
        <f>COUNTIF('Rig Sheet '!BJ19:BJ132,"Production")</f>
        <v>0</v>
      </c>
      <c r="BF12" s="118">
        <f>COUNTIF('Rig Sheet '!BK19:BK132,"Production")</f>
        <v>0</v>
      </c>
      <c r="BG12" s="118">
        <f>COUNTIF('Rig Sheet '!BL19:BL132,"Production")</f>
        <v>3</v>
      </c>
      <c r="BH12" s="118">
        <f>COUNTIF('Rig Sheet '!BM19:BM132,"Production")</f>
        <v>2</v>
      </c>
      <c r="BI12" s="118">
        <f>COUNTIF('Rig Sheet '!BN19:BN132,"Production")</f>
        <v>0</v>
      </c>
      <c r="BJ12" s="118">
        <f>COUNTIF('Rig Sheet '!BO19:BO132,"Production")</f>
        <v>0</v>
      </c>
      <c r="BK12" s="118">
        <f>COUNTIF('Rig Sheet '!BP19:BP132,"Production")</f>
        <v>1</v>
      </c>
      <c r="BL12" s="118">
        <f>COUNTIF('Rig Sheet '!BQ19:BQ132,"Production")</f>
        <v>0</v>
      </c>
      <c r="BM12" s="118">
        <f>COUNTIF('Rig Sheet '!BR19:BR132,"Production")</f>
        <v>2</v>
      </c>
      <c r="BN12" s="118">
        <f>COUNTIF('Rig Sheet '!BS19:BS132,"Production")</f>
        <v>1</v>
      </c>
      <c r="BO12" s="118">
        <f>COUNTIF('Rig Sheet '!BT19:BT132,"Production")</f>
        <v>3</v>
      </c>
      <c r="BP12" s="118">
        <f>COUNTIF('Rig Sheet '!BU19:BU132,"Production")</f>
        <v>1</v>
      </c>
      <c r="BQ12" s="118">
        <f>COUNTIF('Rig Sheet '!BV19:BV132,"Production")</f>
        <v>1</v>
      </c>
      <c r="BR12" s="118">
        <f>COUNTIF('Rig Sheet '!BW19:BW132,"Production")</f>
        <v>0</v>
      </c>
      <c r="BS12" s="118">
        <f>COUNTIF('Rig Sheet '!BX19:BX132,"Production")</f>
        <v>1</v>
      </c>
      <c r="BT12" s="118">
        <f>COUNTIF('Rig Sheet '!BY19:BY132,"Production")</f>
        <v>0</v>
      </c>
      <c r="BU12" s="118">
        <f>COUNTIF('Rig Sheet '!BZ19:BZ132,"Production")</f>
        <v>2</v>
      </c>
      <c r="BV12" s="118">
        <f>COUNTIF('Rig Sheet '!CA19:CA132,"Production")</f>
        <v>0</v>
      </c>
      <c r="BW12" s="118">
        <f>COUNTIF('Rig Sheet '!CB19:CB132,"Production")</f>
        <v>1</v>
      </c>
      <c r="BX12" s="118">
        <f>COUNTIF('Rig Sheet '!CC19:CC132,"Production")</f>
        <v>2</v>
      </c>
      <c r="BY12" s="118">
        <f>COUNTIF('Rig Sheet '!CD19:CD132,"Production")</f>
        <v>0</v>
      </c>
      <c r="BZ12" s="118">
        <f>COUNTIF('Rig Sheet '!CE19:CE132,"Production")</f>
        <v>1</v>
      </c>
      <c r="CA12" s="118">
        <f>COUNTIF('Rig Sheet '!CF19:CF132,"Production")</f>
        <v>1</v>
      </c>
      <c r="CB12" s="118">
        <f>COUNTIF('Rig Sheet '!CG19:CG132,"Production")</f>
        <v>0</v>
      </c>
      <c r="CC12" s="118">
        <f>COUNTIF('Rig Sheet '!CH19:CH132,"Production")</f>
        <v>1</v>
      </c>
      <c r="CD12" s="118">
        <f>COUNTIF('Rig Sheet '!CI19:CI132,"Production")</f>
        <v>1</v>
      </c>
      <c r="CE12" s="118">
        <f>COUNTIF('Rig Sheet '!CJ19:CJ132,"Production")</f>
        <v>2</v>
      </c>
      <c r="CF12" s="118">
        <f>COUNTIF('Rig Sheet '!CK19:CK132,"Production")</f>
        <v>1</v>
      </c>
      <c r="CG12" s="118">
        <f>COUNTIF('Rig Sheet '!CL19:CL132,"Production")</f>
        <v>2</v>
      </c>
      <c r="CH12" s="118">
        <f>COUNTIF('Rig Sheet '!CM19:CM132,"Production")</f>
        <v>0</v>
      </c>
      <c r="CI12" s="118">
        <f>COUNTIF('Rig Sheet '!CN19:CN132,"Production")</f>
        <v>1</v>
      </c>
      <c r="CJ12" s="118">
        <f>COUNTIF('Rig Sheet '!CO19:CO132,"Production")</f>
        <v>1</v>
      </c>
      <c r="CK12" s="118">
        <f>COUNTIF('Rig Sheet '!CP19:CP132,"Production")</f>
        <v>1</v>
      </c>
      <c r="CL12" s="118">
        <f>COUNTIF('Rig Sheet '!CQ19:CQ132,"Production")</f>
        <v>0</v>
      </c>
      <c r="CM12" s="118">
        <f>COUNTIF('Rig Sheet '!CR19:CR132,"Production")</f>
        <v>1</v>
      </c>
      <c r="CN12" s="118">
        <f>COUNTIF('Rig Sheet '!CS19:CS132,"Production")</f>
        <v>0</v>
      </c>
      <c r="CO12" s="118">
        <f>COUNTIF('Rig Sheet '!CT19:CT132,"Production")</f>
        <v>1</v>
      </c>
      <c r="CP12" s="118">
        <f>COUNTIF('Rig Sheet '!CU19:CU132,"Production")</f>
        <v>0</v>
      </c>
      <c r="CQ12" s="118">
        <f>COUNTIF('Rig Sheet '!CV19:CV132,"Production")</f>
        <v>1</v>
      </c>
      <c r="CR12" s="118">
        <f>COUNTIF('Rig Sheet '!CW19:CW132,"Production")</f>
        <v>5</v>
      </c>
      <c r="CS12" s="118">
        <f>COUNTIF('Rig Sheet '!CX19:CX132,"Production")</f>
        <v>0</v>
      </c>
      <c r="CT12" s="118">
        <f>COUNTIF('Rig Sheet '!CY19:CY132,"Production")</f>
        <v>1</v>
      </c>
      <c r="CU12" s="118">
        <f>COUNTIF('Rig Sheet '!CZ19:CZ132,"Production")</f>
        <v>0</v>
      </c>
      <c r="CV12" s="118">
        <f>COUNTIF('Rig Sheet '!DA19:DA132,"Production")</f>
        <v>1</v>
      </c>
      <c r="CW12" s="118">
        <f>COUNTIF('Rig Sheet '!DB19:DB132,"Production")</f>
        <v>0</v>
      </c>
      <c r="CX12" s="118">
        <f>COUNTIF('Rig Sheet '!DC19:DC132,"Production")</f>
        <v>0</v>
      </c>
      <c r="CY12" s="118">
        <f>COUNTIF('Rig Sheet '!DD19:DD132,"Production")</f>
        <v>2</v>
      </c>
      <c r="CZ12" s="118">
        <f>COUNTIF('Rig Sheet '!DE19:DE132,"Production")</f>
        <v>0</v>
      </c>
      <c r="DA12" s="118">
        <f>COUNTIF('Rig Sheet '!DF19:DF132,"Production")</f>
        <v>2</v>
      </c>
      <c r="DB12" s="118">
        <f>COUNTIF('Rig Sheet '!DG19:DG132,"Production")</f>
        <v>2</v>
      </c>
      <c r="DC12" s="118">
        <f>COUNTIF('Rig Sheet '!DH19:DH132,"Production")</f>
        <v>0</v>
      </c>
      <c r="DD12" s="118">
        <f>COUNTIF('Rig Sheet '!DI19:DI132,"Production")</f>
        <v>1</v>
      </c>
      <c r="DE12" s="118">
        <f>COUNTIF('Rig Sheet '!DJ19:DJ132,"Production")</f>
        <v>0</v>
      </c>
      <c r="DF12" s="118">
        <f>COUNTIF('Rig Sheet '!DK19:DK132,"Production")</f>
        <v>3</v>
      </c>
      <c r="DG12" s="118">
        <f>COUNTIF('Rig Sheet '!DL19:DL132,"Production")</f>
        <v>0</v>
      </c>
      <c r="DH12" s="118">
        <f>COUNTIF('Rig Sheet '!DM19:DM132,"Production")</f>
        <v>1</v>
      </c>
      <c r="DI12" s="118">
        <f>COUNTIF('Rig Sheet '!DN19:DN132,"Production")</f>
        <v>0</v>
      </c>
      <c r="DJ12" s="118">
        <f>COUNTIF('Rig Sheet '!DO19:DO132,"Production")</f>
        <v>1</v>
      </c>
      <c r="DK12" s="118">
        <f>COUNTIF('Rig Sheet '!DP19:DP132,"Production")</f>
        <v>3</v>
      </c>
      <c r="DL12" s="118">
        <f>COUNTIF('Rig Sheet '!DQ19:DQ132,"Production")</f>
        <v>1</v>
      </c>
      <c r="DM12" s="118">
        <f>COUNTIF('Rig Sheet '!DR19:DR132,"Production")</f>
        <v>0</v>
      </c>
      <c r="DN12" s="118">
        <f>COUNTIF('Rig Sheet '!DS19:DS132,"Production")</f>
        <v>0</v>
      </c>
      <c r="DO12" s="118">
        <f>COUNTIF('Rig Sheet '!DT19:DT132,"Production")</f>
        <v>2</v>
      </c>
      <c r="DP12" s="118">
        <f>COUNTIF('Rig Sheet '!DU19:DU132,"Production")</f>
        <v>0</v>
      </c>
      <c r="DQ12" s="118">
        <f>COUNTIF('Rig Sheet '!DV19:DV132,"Production")</f>
        <v>2</v>
      </c>
      <c r="DR12" s="118">
        <f>COUNTIF('Rig Sheet '!DW19:DW132,"Production")</f>
        <v>3</v>
      </c>
      <c r="DS12" s="118">
        <f>COUNTIF('Rig Sheet '!DX19:DX132,"Production")</f>
        <v>0</v>
      </c>
      <c r="DT12" s="118">
        <f>COUNTIF('Rig Sheet '!DY19:DY132,"Production")</f>
        <v>2</v>
      </c>
      <c r="DU12" s="118">
        <f>COUNTIF('Rig Sheet '!DZ19:DZ132,"Production")</f>
        <v>2</v>
      </c>
      <c r="DV12" s="118">
        <f>COUNTIF('Rig Sheet '!EA19:EA132,"Production")</f>
        <v>0</v>
      </c>
      <c r="DW12" s="118">
        <f>COUNTIF('Rig Sheet '!EB19:EB132,"Production")</f>
        <v>0</v>
      </c>
      <c r="DX12" s="118">
        <f>COUNTIF('Rig Sheet '!EC19:EC132,"Production")</f>
        <v>0</v>
      </c>
      <c r="DY12" s="118">
        <f>COUNTIF('Rig Sheet '!ED19:ED132,"Production")</f>
        <v>2</v>
      </c>
      <c r="DZ12" s="118">
        <f>COUNTIF('Rig Sheet '!EE19:EE132,"Production")</f>
        <v>2</v>
      </c>
      <c r="EA12" s="118">
        <f>COUNTIF('Rig Sheet '!EF19:EF132,"Production")</f>
        <v>1</v>
      </c>
      <c r="EB12" s="118">
        <f>COUNTIF('Rig Sheet '!EG19:EG132,"Production")</f>
        <v>0</v>
      </c>
      <c r="EC12" s="118">
        <f>COUNTIF('Rig Sheet '!EH19:EH132,"Production")</f>
        <v>2</v>
      </c>
      <c r="ED12" s="118">
        <f>COUNTIF('Rig Sheet '!EI19:EI132,"Production")</f>
        <v>1</v>
      </c>
      <c r="EE12" s="118">
        <f>COUNTIF('Rig Sheet '!EJ19:EJ132,"Production")</f>
        <v>0</v>
      </c>
      <c r="EF12" s="118">
        <f>COUNTIF('Rig Sheet '!EK19:EK132,"Production")</f>
        <v>1</v>
      </c>
      <c r="EG12" s="118">
        <f>COUNTIF('Rig Sheet '!EL19:EL132,"Production")</f>
        <v>0</v>
      </c>
      <c r="EH12" s="118">
        <f>COUNTIF('Rig Sheet '!EM19:EM132,"Production")</f>
        <v>1</v>
      </c>
      <c r="EI12" s="118">
        <f>COUNTIF('Rig Sheet '!EN19:EN132,"Production")</f>
        <v>1</v>
      </c>
      <c r="EJ12" s="118">
        <f>COUNTIF('Rig Sheet '!EO19:EO132,"Production")</f>
        <v>0</v>
      </c>
      <c r="EK12" s="118">
        <f>COUNTIF('Rig Sheet '!EP19:EP132,"Production")</f>
        <v>1</v>
      </c>
      <c r="EL12" s="118">
        <f>COUNTIF('Rig Sheet '!EQ19:EQ132,"Production")</f>
        <v>2</v>
      </c>
      <c r="EM12" s="118">
        <f>COUNTIF('Rig Sheet '!ER19:ER132,"Production")</f>
        <v>4</v>
      </c>
      <c r="EN12" s="118">
        <f>COUNTIF('Rig Sheet '!ES19:ES132,"Production")</f>
        <v>3</v>
      </c>
      <c r="EO12" s="118">
        <f>COUNTIF('Rig Sheet '!ET19:ET132,"Production")</f>
        <v>1</v>
      </c>
      <c r="EP12" s="118">
        <f>COUNTIF('Rig Sheet '!EU19:EU132,"Production")</f>
        <v>3</v>
      </c>
      <c r="EQ12" s="118">
        <f>COUNTIF('Rig Sheet '!EV19:EV132,"Production")</f>
        <v>3</v>
      </c>
      <c r="ER12" s="118">
        <f>COUNTIF('Rig Sheet '!EW19:EW132,"Production")</f>
        <v>1</v>
      </c>
      <c r="ES12" s="118">
        <f>COUNTIF('Rig Sheet '!EX19:EX132,"Production")</f>
        <v>1</v>
      </c>
      <c r="ET12" s="118">
        <f>COUNTIF('Rig Sheet '!EY19:EY132,"Production")</f>
        <v>2</v>
      </c>
      <c r="EU12" s="118">
        <f>COUNTIF('Rig Sheet '!EZ19:EZ132,"Production")</f>
        <v>0</v>
      </c>
      <c r="EV12" s="118">
        <f>COUNTIF('Rig Sheet '!FA19:FA132,"Production")</f>
        <v>1</v>
      </c>
      <c r="EW12" s="118">
        <f>COUNTIF('Rig Sheet '!FB19:FB132,"Production")</f>
        <v>2</v>
      </c>
      <c r="EX12" s="118">
        <f>COUNTIF('Rig Sheet '!FC19:FC132,"Production")</f>
        <v>1</v>
      </c>
      <c r="EY12" s="118">
        <f>COUNTIF('Rig Sheet '!FD19:FD132,"Production")</f>
        <v>4</v>
      </c>
      <c r="EZ12" s="118">
        <f>COUNTIF('Rig Sheet '!FE19:FE132,"Production")</f>
        <v>3</v>
      </c>
      <c r="FA12" s="118">
        <f>COUNTIF('Rig Sheet '!FF19:FF132,"Production")</f>
        <v>0</v>
      </c>
      <c r="FB12" s="118">
        <f>COUNTIF('Rig Sheet '!FG19:FG132,"Production")</f>
        <v>1</v>
      </c>
      <c r="FC12" s="118">
        <f>COUNTIF('Rig Sheet '!FH19:FH132,"Production")</f>
        <v>4</v>
      </c>
      <c r="FD12" s="118">
        <f>COUNTIF('Rig Sheet '!FI19:FI132,"Production")</f>
        <v>2</v>
      </c>
      <c r="FE12" s="118">
        <f>COUNTIF('Rig Sheet '!FJ19:FJ132,"Production")</f>
        <v>2</v>
      </c>
      <c r="FF12" s="118">
        <f>COUNTIF('Rig Sheet '!FK19:FK132,"Production")</f>
        <v>6</v>
      </c>
      <c r="FG12" s="118">
        <f>COUNTIF('Rig Sheet '!FL19:FL132,"Production")</f>
        <v>3</v>
      </c>
      <c r="FH12" s="118">
        <f>COUNTIF('Rig Sheet '!FM19:FM132,"Production")</f>
        <v>2</v>
      </c>
      <c r="FI12" s="118">
        <f>COUNTIF('Rig Sheet '!FN19:FN132,"Production")</f>
        <v>3</v>
      </c>
      <c r="FJ12" s="118">
        <f>COUNTIF('Rig Sheet '!FO19:FO132,"Production")</f>
        <v>3</v>
      </c>
      <c r="FK12" s="118">
        <f>COUNTIF('Rig Sheet '!FP19:FP132,"Production")</f>
        <v>0</v>
      </c>
      <c r="FL12" s="118">
        <f>COUNTIF('Rig Sheet '!FQ19:FQ132,"Production")</f>
        <v>0</v>
      </c>
      <c r="FM12" s="118">
        <f>COUNTIF('Rig Sheet '!FR19:FR132,"Production")</f>
        <v>3</v>
      </c>
      <c r="FN12" s="118">
        <f>COUNTIF('Rig Sheet '!FS19:FS132,"Production")</f>
        <v>3</v>
      </c>
      <c r="FO12" s="118">
        <f>COUNTIF('Rig Sheet '!FT19:FT132,"Production")</f>
        <v>1</v>
      </c>
      <c r="FP12" s="118">
        <f>COUNTIF('Rig Sheet '!FU19:FU132,"Production")</f>
        <v>2</v>
      </c>
      <c r="FQ12" s="118">
        <f>COUNTIF('Rig Sheet '!FV19:FV132,"Production")</f>
        <v>4</v>
      </c>
      <c r="FR12" s="118">
        <f>COUNTIF('Rig Sheet '!FW19:FW132,"Production")</f>
        <v>3</v>
      </c>
      <c r="FS12" s="118">
        <f>COUNTIF('Rig Sheet '!FX19:FX132,"Production")</f>
        <v>0</v>
      </c>
      <c r="FT12" s="118">
        <f>COUNTIF('Rig Sheet '!FY19:FY132,"Production")</f>
        <v>2</v>
      </c>
      <c r="FU12" s="118">
        <f>COUNTIF('Rig Sheet '!FZ19:FZ132,"Production")</f>
        <v>1</v>
      </c>
      <c r="FV12" s="118">
        <f>COUNTIF('Rig Sheet '!GA19:GA132,"Production")</f>
        <v>2</v>
      </c>
      <c r="FW12" s="118">
        <f>COUNTIF('Rig Sheet '!GB19:GB132,"Production")</f>
        <v>4</v>
      </c>
      <c r="FX12" s="118">
        <f>COUNTIF('Rig Sheet '!GC19:GC132,"Production")</f>
        <v>4</v>
      </c>
      <c r="FY12" s="118">
        <f>COUNTIF('Rig Sheet '!GD19:GD132,"Production")</f>
        <v>1</v>
      </c>
      <c r="FZ12" s="118">
        <f>COUNTIF('Rig Sheet '!GE19:GE132,"Production")</f>
        <v>6</v>
      </c>
      <c r="GA12" s="118">
        <f>COUNTIF('Rig Sheet '!GF19:GF132,"Production")</f>
        <v>2</v>
      </c>
      <c r="GB12" s="118">
        <f>COUNTIF('Rig Sheet '!GG19:GG132,"Production")</f>
        <v>2</v>
      </c>
      <c r="GC12" s="118">
        <f>COUNTIF('Rig Sheet '!GH19:GH132,"Production")</f>
        <v>0</v>
      </c>
      <c r="GD12" s="118">
        <f>COUNTIF('Rig Sheet '!GI19:GI132,"Production")</f>
        <v>2</v>
      </c>
      <c r="GE12" s="118">
        <f>COUNTIF('Rig Sheet '!GJ19:GJ132,"Production")</f>
        <v>7</v>
      </c>
      <c r="GF12" s="118">
        <f>COUNTIF('Rig Sheet '!GK19:GK132,"Production")</f>
        <v>3</v>
      </c>
      <c r="GG12" s="118">
        <f>COUNTIF('Rig Sheet '!GL19:GL132,"Production")</f>
        <v>2</v>
      </c>
      <c r="GH12" s="118">
        <f>COUNTIF('Rig Sheet '!GM19:GM132,"Production")</f>
        <v>1</v>
      </c>
      <c r="GI12" s="118">
        <f>COUNTIF('Rig Sheet '!GN19:GN132,"Production")</f>
        <v>1</v>
      </c>
      <c r="GJ12" s="118">
        <f>COUNTIF('Rig Sheet '!GO19:GO132,"Production")</f>
        <v>4</v>
      </c>
      <c r="GK12" s="118">
        <f>COUNTIF('Rig Sheet '!GP19:GP132,"Production")</f>
        <v>5</v>
      </c>
      <c r="GL12" s="118">
        <f>COUNTIF('Rig Sheet '!GQ19:GQ132,"Production")</f>
        <v>4</v>
      </c>
      <c r="GM12" s="118">
        <f>COUNTIF('Rig Sheet '!GR19:GR132,"Production")</f>
        <v>3</v>
      </c>
      <c r="GN12" s="118">
        <f>COUNTIF('Rig Sheet '!GS19:GS132,"Production")</f>
        <v>3</v>
      </c>
      <c r="GO12" s="118">
        <f>COUNTIF('Rig Sheet '!GT19:GT132,"Production")</f>
        <v>5</v>
      </c>
      <c r="GP12" s="118">
        <f>COUNTIF('Rig Sheet '!GU19:GU132,"Production")</f>
        <v>3</v>
      </c>
      <c r="GQ12" s="118">
        <f>COUNTIF('Rig Sheet '!GV19:GV132,"Production")</f>
        <v>2</v>
      </c>
      <c r="GR12" s="118">
        <f>COUNTIF('Rig Sheet '!GW19:GW132,"Production")</f>
        <v>5</v>
      </c>
      <c r="GS12" s="118">
        <f>COUNTIF('Rig Sheet '!GX19:GX132,"Production")</f>
        <v>5</v>
      </c>
      <c r="GT12" s="118">
        <f>COUNTIF('Rig Sheet '!GY19:GY132,"Production")</f>
        <v>5</v>
      </c>
      <c r="GU12" s="118">
        <f>COUNTIF('Rig Sheet '!GZ19:GZ132,"Production")</f>
        <v>4</v>
      </c>
      <c r="GV12" s="118">
        <f>COUNTIF('Rig Sheet '!HA19:HA132,"Production")</f>
        <v>4</v>
      </c>
      <c r="GW12" s="118">
        <f>COUNTIF('Rig Sheet '!HB19:HB132,"Production")</f>
        <v>5</v>
      </c>
      <c r="GX12" s="118">
        <f>COUNTIF('Rig Sheet '!HC19:HC132,"Production")</f>
        <v>2</v>
      </c>
      <c r="GY12" s="118">
        <f>COUNTIF('Rig Sheet '!HD19:HD132,"Production")</f>
        <v>2</v>
      </c>
      <c r="GZ12" s="118">
        <f>COUNTIF('Rig Sheet '!HE19:HE132,"Production")</f>
        <v>8</v>
      </c>
      <c r="HA12" s="118">
        <f>COUNTIF('Rig Sheet '!HF19:HF132,"Production")</f>
        <v>5</v>
      </c>
      <c r="HB12" s="118">
        <f>COUNTIF('Rig Sheet '!HG19:HG132,"Production")</f>
        <v>6</v>
      </c>
      <c r="HC12" s="118">
        <f>COUNTIF('Rig Sheet '!HH19:HH132,"Production")</f>
        <v>6</v>
      </c>
      <c r="HD12" s="118">
        <f>COUNTIF('Rig Sheet '!HI19:HI132,"Production")</f>
        <v>2</v>
      </c>
      <c r="HE12" s="118">
        <f>COUNTIF('Rig Sheet '!HJ19:HJ132,"Production")</f>
        <v>5</v>
      </c>
      <c r="HF12" s="118">
        <f>COUNTIF('Rig Sheet '!HK19:HK132,"Production")</f>
        <v>7</v>
      </c>
      <c r="HG12" s="118">
        <f>COUNTIF('Rig Sheet '!HL19:HL132,"Production")</f>
        <v>5</v>
      </c>
      <c r="HH12" s="118">
        <f>COUNTIF('Rig Sheet '!HM19:HM132,"Production")</f>
        <v>3</v>
      </c>
      <c r="HI12" s="118">
        <f>COUNTIF('Rig Sheet '!HN19:HN132,"Production")</f>
        <v>2</v>
      </c>
      <c r="HJ12" s="118">
        <f>COUNTIF('Rig Sheet '!HO19:HO132,"Production")</f>
        <v>1</v>
      </c>
      <c r="HK12" s="118">
        <f>COUNTIF('Rig Sheet '!HP19:HP132,"Production")</f>
        <v>5</v>
      </c>
      <c r="HL12" s="118">
        <f>COUNTIF('Rig Sheet '!HQ19:HQ132,"Production")</f>
        <v>3</v>
      </c>
      <c r="HM12" s="118">
        <f>COUNTIF('Rig Sheet '!HR19:HR132,"Production")</f>
        <v>5</v>
      </c>
      <c r="HN12" s="118">
        <f>COUNTIF('Rig Sheet '!HS19:HS132,"Production")</f>
        <v>5</v>
      </c>
      <c r="HO12" s="118">
        <f>COUNTIF('Rig Sheet '!HT19:HT132,"Production")</f>
        <v>6</v>
      </c>
      <c r="HP12" s="118">
        <f>COUNTIF('Rig Sheet '!HU19:HU132,"Production")</f>
        <v>5</v>
      </c>
      <c r="HQ12" s="118">
        <f>COUNTIF('Rig Sheet '!HV19:HV132,"Production")</f>
        <v>2</v>
      </c>
      <c r="HR12" s="118">
        <f>COUNTIF('Rig Sheet '!HW19:HW132,"Production")</f>
        <v>4</v>
      </c>
      <c r="HS12" s="118">
        <f>COUNTIF('Rig Sheet '!HX19:HX132,"Production")</f>
        <v>6</v>
      </c>
      <c r="HT12" s="118">
        <f>COUNTIF('Rig Sheet '!HY19:HY132,"Production")</f>
        <v>13</v>
      </c>
      <c r="HU12" s="118">
        <f>COUNTIF('Rig Sheet '!HZ19:HZ132,"Production")</f>
        <v>3</v>
      </c>
      <c r="HV12" s="118">
        <f>COUNTIF('Rig Sheet '!IA19:IA132,"Production")</f>
        <v>4</v>
      </c>
      <c r="HW12" s="118">
        <f>COUNTIF('Rig Sheet '!IB19:IB132,"Production")</f>
        <v>5</v>
      </c>
      <c r="HX12" s="118">
        <f>COUNTIF('Rig Sheet '!IC19:IC132,"Production")</f>
        <v>7</v>
      </c>
      <c r="HY12" s="118">
        <f>COUNTIF('Rig Sheet '!ID19:ID132,"Production")</f>
        <v>5</v>
      </c>
      <c r="HZ12" s="118">
        <f>COUNTIF('Rig Sheet '!IE19:IE132,"Production")</f>
        <v>1</v>
      </c>
      <c r="IA12" s="118">
        <f>COUNTIF('Rig Sheet '!IF19:IF132,"Production")</f>
        <v>7</v>
      </c>
      <c r="IB12" s="118">
        <f>COUNTIF('Rig Sheet '!IG19:IG132,"Production")</f>
        <v>3</v>
      </c>
      <c r="IC12" s="118">
        <f>COUNTIF('Rig Sheet '!IH19:IH132,"Production")</f>
        <v>5</v>
      </c>
      <c r="ID12" s="118">
        <f>COUNTIF('Rig Sheet '!II19:II132,"Production")</f>
        <v>7</v>
      </c>
      <c r="IE12" s="118">
        <f>COUNTIF('Rig Sheet '!IJ19:IJ132,"Production")</f>
        <v>7</v>
      </c>
      <c r="IF12" s="118">
        <f>COUNTIF('Rig Sheet '!IK19:IK132,"Production")</f>
        <v>1</v>
      </c>
      <c r="IG12" s="118">
        <f>COUNTIF('Rig Sheet '!IL19:IL132,"Production")</f>
        <v>9</v>
      </c>
      <c r="IH12" s="118">
        <f>COUNTIF('Rig Sheet '!IM19:IM132,"Production")</f>
        <v>7</v>
      </c>
      <c r="II12" s="118">
        <f>COUNTIF('Rig Sheet '!IN19:IN132,"Production")</f>
        <v>6</v>
      </c>
      <c r="IJ12" s="118">
        <f>COUNTIF('Rig Sheet '!IO19:IO132,"Production")</f>
        <v>4</v>
      </c>
      <c r="IK12" s="118">
        <f>COUNTIF('Rig Sheet '!IP19:IP132,"Production")</f>
        <v>4</v>
      </c>
      <c r="IL12" s="118">
        <f>COUNTIF('Rig Sheet '!IQ19:IQ132,"Production")</f>
        <v>4</v>
      </c>
      <c r="IM12" s="118">
        <f>COUNTIF('Rig Sheet '!IR19:IR132,"Production")</f>
        <v>12</v>
      </c>
      <c r="IN12" s="118">
        <f>COUNTIF('Rig Sheet '!IS19:IS132,"Production")</f>
        <v>9</v>
      </c>
      <c r="IO12" s="118">
        <f>COUNTIF('Rig Sheet '!IT19:IT132,"Production")</f>
        <v>6</v>
      </c>
      <c r="IP12" s="118">
        <f>COUNTIF('Rig Sheet '!IU19:IU132,"Production")</f>
        <v>5</v>
      </c>
      <c r="IQ12" s="118">
        <f>COUNTIF('Rig Sheet '!IV19:IV132,"Production")</f>
        <v>5</v>
      </c>
      <c r="IR12" s="118">
        <f>COUNTIF('Rig Sheet '!IW19:IW132,"Production")</f>
        <v>7</v>
      </c>
      <c r="IS12" s="118">
        <f>COUNTIF('Rig Sheet '!IX19:IX132,"Production")</f>
        <v>6</v>
      </c>
      <c r="IT12" s="118">
        <f>COUNTIF('Rig Sheet '!IY19:IY132,"Production")</f>
        <v>7</v>
      </c>
      <c r="IU12" s="118">
        <f>COUNTIF('Rig Sheet '!IZ19:IZ132,"Production")</f>
        <v>7</v>
      </c>
      <c r="IV12" s="118">
        <f>COUNTIF('Rig Sheet '!JA19:JA132,"Production")</f>
        <v>5</v>
      </c>
      <c r="IW12" s="118">
        <f>COUNTIF('Rig Sheet '!JB19:JB132,"Production")</f>
        <v>4</v>
      </c>
      <c r="IX12" s="118">
        <f>COUNTIF('Rig Sheet '!JC19:JC132,"Production")</f>
        <v>12</v>
      </c>
      <c r="IY12" s="118">
        <f>COUNTIF('Rig Sheet '!JD19:JD132,"Production")</f>
        <v>5</v>
      </c>
      <c r="IZ12" s="118">
        <f>COUNTIF('Rig Sheet '!JE19:JE132,"Production")</f>
        <v>8</v>
      </c>
      <c r="JA12" s="118">
        <f>COUNTIF('Rig Sheet '!JF19:JF132,"Production")</f>
        <v>6</v>
      </c>
      <c r="JB12" s="118">
        <f>COUNTIF('Rig Sheet '!JG19:JG132,"Production")</f>
        <v>2</v>
      </c>
      <c r="JC12" s="118">
        <f>COUNTIF('Rig Sheet '!JH19:JH132,"Production")</f>
        <v>10</v>
      </c>
      <c r="JD12" s="118">
        <f>COUNTIF('Rig Sheet '!JI19:JI132,"Production")</f>
        <v>7</v>
      </c>
      <c r="JE12" s="118">
        <f>COUNTIF('Rig Sheet '!JJ19:JJ132,"Production")</f>
        <v>6</v>
      </c>
      <c r="JF12" s="118">
        <f>COUNTIF('Rig Sheet '!JK19:JK132,"Production")</f>
        <v>9</v>
      </c>
      <c r="JG12" s="118">
        <f>COUNTIF('Rig Sheet '!JL19:JL132,"Production")</f>
        <v>7</v>
      </c>
      <c r="JH12" s="118">
        <f>COUNTIF('Rig Sheet '!JM19:JM132,"Production")</f>
        <v>4</v>
      </c>
      <c r="JI12" s="118">
        <f>COUNTIF('Rig Sheet '!JN19:JN132,"Production")</f>
        <v>5</v>
      </c>
      <c r="JJ12" s="118">
        <f>COUNTIF('Rig Sheet '!JO19:JO132,"Production")</f>
        <v>6</v>
      </c>
      <c r="JK12" s="118">
        <f>COUNTIF('Rig Sheet '!JP19:JP132,"Production")</f>
        <v>7</v>
      </c>
      <c r="JL12" s="118">
        <f>COUNTIF('Rig Sheet '!JQ19:JQ132,"Production")</f>
        <v>6</v>
      </c>
      <c r="JM12" s="118">
        <f>COUNTIF('Rig Sheet '!JR19:JR132,"Production")</f>
        <v>9</v>
      </c>
      <c r="JN12" s="118">
        <f>COUNTIF('Rig Sheet '!JS19:JS132,"Production")</f>
        <v>6</v>
      </c>
      <c r="JO12" s="118">
        <f>COUNTIF('Rig Sheet '!JT19:JT132,"Production")</f>
        <v>5</v>
      </c>
      <c r="JP12" s="118">
        <f>COUNTIF('Rig Sheet '!JU19:JU132,"Production")</f>
        <v>6</v>
      </c>
      <c r="JQ12" s="118">
        <f>COUNTIF('Rig Sheet '!JV19:JV132,"Production")</f>
        <v>3</v>
      </c>
      <c r="JR12" s="118">
        <f>COUNTIF('Rig Sheet '!JW19:JW132,"Production")</f>
        <v>8</v>
      </c>
      <c r="JS12" s="118">
        <f>COUNTIF('Rig Sheet '!JX19:JX132,"Production")</f>
        <v>10</v>
      </c>
      <c r="JT12" s="118">
        <f>COUNTIF('Rig Sheet '!JY19:JY132,"Production")</f>
        <v>5</v>
      </c>
      <c r="JU12" s="118">
        <f>COUNTIF('Rig Sheet '!JZ19:JZ132,"Production")</f>
        <v>5</v>
      </c>
      <c r="JV12" s="118">
        <f>COUNTIF('Rig Sheet '!KA19:KA132,"Production")</f>
        <v>8</v>
      </c>
      <c r="JW12" s="118">
        <f>COUNTIF('Rig Sheet '!KB19:KB132,"Production")</f>
        <v>5</v>
      </c>
      <c r="JX12" s="118">
        <f>COUNTIF('Rig Sheet '!KC19:KC132,"Production")</f>
        <v>8</v>
      </c>
      <c r="JY12" s="118">
        <f>COUNTIF('Rig Sheet '!KD19:KD132,"Production")</f>
        <v>6</v>
      </c>
      <c r="JZ12" s="118">
        <f>COUNTIF('Rig Sheet '!KE19:KE132,"Production")</f>
        <v>4</v>
      </c>
      <c r="KA12" s="118">
        <f>COUNTIF('Rig Sheet '!KF19:KF132,"Production")</f>
        <v>6</v>
      </c>
      <c r="KB12" s="118">
        <f>COUNTIF('Rig Sheet '!KG19:KG132,"Production")</f>
        <v>5</v>
      </c>
      <c r="KC12" s="118">
        <f>COUNTIF('Rig Sheet '!KH19:KH132,"Production")</f>
        <v>4</v>
      </c>
      <c r="KD12" s="118">
        <f>COUNTIF('Rig Sheet '!KI19:KI132,"Production")</f>
        <v>8</v>
      </c>
      <c r="KE12" s="118">
        <f>COUNTIF('Rig Sheet '!KJ19:KJ132,"Production")</f>
        <v>7</v>
      </c>
      <c r="KF12" s="118">
        <f>COUNTIF('Rig Sheet '!KK19:KK132,"Production")</f>
        <v>4</v>
      </c>
      <c r="KG12" s="118">
        <f>COUNTIF('Rig Sheet '!KL19:KL132,"Production")</f>
        <v>6</v>
      </c>
      <c r="KH12" s="118">
        <f>COUNTIF('Rig Sheet '!KM19:KM132,"Production")</f>
        <v>5</v>
      </c>
      <c r="KI12" s="118">
        <f>COUNTIF('Rig Sheet '!KN19:KN132,"Production")</f>
        <v>3</v>
      </c>
      <c r="KJ12" s="118">
        <f>COUNTIF('Rig Sheet '!KO19:KO132,"Production")</f>
        <v>5</v>
      </c>
      <c r="KK12" s="118">
        <f>COUNTIF('Rig Sheet '!KP19:KP132,"Production")</f>
        <v>5</v>
      </c>
      <c r="KL12" s="118">
        <f>COUNTIF('Rig Sheet '!KQ19:KQ132,"Production")</f>
        <v>8</v>
      </c>
      <c r="KM12" s="118">
        <f>COUNTIF('Rig Sheet '!KR19:KR132,"Production")</f>
        <v>7</v>
      </c>
      <c r="KN12" s="118">
        <f>COUNTIF('Rig Sheet '!KS19:KS132,"Production")</f>
        <v>3</v>
      </c>
      <c r="KO12" s="118">
        <f>COUNTIF('Rig Sheet '!KT19:KT132,"Production")</f>
        <v>4</v>
      </c>
      <c r="KP12" s="118">
        <f>COUNTIF('Rig Sheet '!KU19:KU132,"Production")</f>
        <v>8</v>
      </c>
      <c r="KQ12" s="118">
        <f>COUNTIF('Rig Sheet '!KV19:KV132,"Production")</f>
        <v>7</v>
      </c>
      <c r="KR12" s="118">
        <f>COUNTIF('Rig Sheet '!KW19:KW132,"Production")</f>
        <v>4</v>
      </c>
      <c r="KS12" s="118">
        <f>COUNTIF('Rig Sheet '!KX19:KX132,"Production")</f>
        <v>5</v>
      </c>
      <c r="KT12" s="118">
        <f>COUNTIF('Rig Sheet '!KY19:KY132,"Production")</f>
        <v>4</v>
      </c>
      <c r="KU12" s="118">
        <f>COUNTIF('Rig Sheet '!KZ19:KZ132,"Production")</f>
        <v>5</v>
      </c>
      <c r="KV12" s="118">
        <f>COUNTIF('Rig Sheet '!LA19:LA132,"Production")</f>
        <v>6</v>
      </c>
      <c r="KW12" s="118">
        <f>COUNTIF('Rig Sheet '!LB19:LB132,"Production")</f>
        <v>5</v>
      </c>
      <c r="KX12" s="118">
        <f>COUNTIF('Rig Sheet '!LC19:LC132,"Production")</f>
        <v>2</v>
      </c>
      <c r="KY12" s="118">
        <f>COUNTIF('Rig Sheet '!LD19:LD132,"Production")</f>
        <v>5</v>
      </c>
      <c r="KZ12" s="118">
        <f>COUNTIF('Rig Sheet '!LE19:LE132,"Production")</f>
        <v>2</v>
      </c>
      <c r="LA12" s="118">
        <f>COUNTIF('Rig Sheet '!LF19:LF132,"Production")</f>
        <v>6</v>
      </c>
      <c r="LB12" s="118">
        <f>COUNTIF('Rig Sheet '!LG19:LG132,"Production")</f>
        <v>10</v>
      </c>
      <c r="LC12" s="118">
        <f>COUNTIF('Rig Sheet '!LH19:LH132,"Production")</f>
        <v>6</v>
      </c>
      <c r="LD12" s="118">
        <f>COUNTIF('Rig Sheet '!LI19:LI132,"Production")</f>
        <v>2</v>
      </c>
      <c r="LE12" s="118">
        <f>COUNTIF('Rig Sheet '!LJ19:LJ132,"Production")</f>
        <v>5</v>
      </c>
      <c r="LF12" s="118">
        <f>COUNTIF('Rig Sheet '!LK19:LK132,"Production")</f>
        <v>4</v>
      </c>
      <c r="LG12" s="118">
        <f>COUNTIF('Rig Sheet '!LL19:LL132,"Production")</f>
        <v>5</v>
      </c>
      <c r="LH12" s="118">
        <f>COUNTIF('Rig Sheet '!LM19:LM132,"Production")</f>
        <v>3</v>
      </c>
      <c r="LI12" s="118">
        <f>COUNTIF('Rig Sheet '!LN19:LN132,"Production")</f>
        <v>4</v>
      </c>
      <c r="LJ12" s="118">
        <f>COUNTIF('Rig Sheet '!LO19:LO132,"Production")</f>
        <v>2</v>
      </c>
      <c r="LK12" s="118">
        <f>COUNTIF('Rig Sheet '!LP19:LP132,"Production")</f>
        <v>9</v>
      </c>
      <c r="LL12" s="118">
        <f>COUNTIF('Rig Sheet '!LQ19:LQ132,"Production")</f>
        <v>6</v>
      </c>
      <c r="LM12" s="118">
        <f>COUNTIF('Rig Sheet '!LR19:LR132,"Production")</f>
        <v>3</v>
      </c>
      <c r="LN12" s="118">
        <f>COUNTIF('Rig Sheet '!LS19:LS132,"Production")</f>
        <v>5</v>
      </c>
      <c r="LO12" s="118">
        <f>COUNTIF('Rig Sheet '!LT19:LT132,"Production")</f>
        <v>4</v>
      </c>
      <c r="LP12" s="118">
        <f>COUNTIF('Rig Sheet '!LU19:LU132,"Production")</f>
        <v>3</v>
      </c>
      <c r="LQ12" s="118">
        <f>COUNTIF('Rig Sheet '!LV19:LV132,"Production")</f>
        <v>4</v>
      </c>
      <c r="LR12" s="118">
        <f>COUNTIF('Rig Sheet '!LW19:LW132,"Production")</f>
        <v>7</v>
      </c>
      <c r="LS12" s="118">
        <f>COUNTIF('Rig Sheet '!LX19:LX132,"Production")</f>
        <v>4</v>
      </c>
      <c r="LT12" s="118">
        <f>COUNTIF('Rig Sheet '!LY19:LY132,"Production")</f>
        <v>6</v>
      </c>
      <c r="LU12" s="118">
        <f>COUNTIF('Rig Sheet '!LZ19:LZ132,"Production")</f>
        <v>6</v>
      </c>
      <c r="LV12" s="118">
        <f>COUNTIF('Rig Sheet '!MA19:MA132,"Production")</f>
        <v>5</v>
      </c>
      <c r="LW12" s="118">
        <f>COUNTIF('Rig Sheet '!MB19:MB132,"Production")</f>
        <v>5</v>
      </c>
      <c r="LX12" s="118">
        <f>COUNTIF('Rig Sheet '!MC19:MC132,"Production")</f>
        <v>0</v>
      </c>
      <c r="LY12" s="118">
        <f>COUNTIF('Rig Sheet '!MD19:MD132,"Production")</f>
        <v>0</v>
      </c>
      <c r="LZ12" s="118">
        <f>COUNTIF('Rig Sheet '!ME19:ME132,"Production")</f>
        <v>0</v>
      </c>
      <c r="MA12" s="118">
        <f>COUNTIF('Rig Sheet '!MF19:MF132,"Production")</f>
        <v>0</v>
      </c>
      <c r="MB12" s="118">
        <f>COUNTIF('Rig Sheet '!MG19:MG132,"Production")</f>
        <v>0</v>
      </c>
      <c r="MC12" s="118">
        <f>COUNTIF('Rig Sheet '!MH19:MH132,"Production")</f>
        <v>0</v>
      </c>
      <c r="MD12" s="118">
        <f>COUNTIF('Rig Sheet '!MI19:MI132,"Production")</f>
        <v>0</v>
      </c>
      <c r="ME12" s="118">
        <f>COUNTIF('Rig Sheet '!MJ19:MJ132,"Production")</f>
        <v>0</v>
      </c>
      <c r="MF12" s="118">
        <f>COUNTIF('Rig Sheet '!MK19:MK132,"Production")</f>
        <v>0</v>
      </c>
      <c r="MG12" s="118">
        <f>COUNTIF('Rig Sheet '!ML19:ML132,"Production")</f>
        <v>0</v>
      </c>
      <c r="MH12" s="118">
        <f>COUNTIF('Rig Sheet '!MM19:MM132,"Production")</f>
        <v>0</v>
      </c>
      <c r="MI12" s="118">
        <f>COUNTIF('Rig Sheet '!MN19:MN132,"Production")</f>
        <v>0</v>
      </c>
      <c r="MJ12" s="118">
        <f>COUNTIF('Rig Sheet '!MO19:MO132,"Production")</f>
        <v>0</v>
      </c>
      <c r="MK12" s="118">
        <f>COUNTIF('Rig Sheet '!MP19:MP132,"Production")</f>
        <v>0</v>
      </c>
      <c r="ML12" s="118">
        <f>COUNTIF('Rig Sheet '!MQ19:MQ132,"Production")</f>
        <v>0</v>
      </c>
      <c r="MM12" s="118">
        <f>COUNTIF('Rig Sheet '!MR19:MR132,"Production")</f>
        <v>0</v>
      </c>
      <c r="MN12" s="118">
        <f>COUNTIF('Rig Sheet '!MS19:MS132,"Production")</f>
        <v>0</v>
      </c>
      <c r="MO12" s="118">
        <f>COUNTIF('Rig Sheet '!MT19:MT132,"Production")</f>
        <v>0</v>
      </c>
      <c r="MP12" s="118">
        <f>COUNTIF('Rig Sheet '!MU19:MU132,"Production")</f>
        <v>0</v>
      </c>
      <c r="MQ12" s="118">
        <f>COUNTIF('Rig Sheet '!MV19:MV132,"Production")</f>
        <v>0</v>
      </c>
      <c r="MR12" s="118">
        <f>COUNTIF('Rig Sheet '!MW19:MW132,"Production")</f>
        <v>0</v>
      </c>
      <c r="MS12" s="118">
        <f>COUNTIF('Rig Sheet '!MX19:MX132,"Production")</f>
        <v>0</v>
      </c>
      <c r="MT12" s="118">
        <f>COUNTIF('Rig Sheet '!MY19:MY132,"Production")</f>
        <v>0</v>
      </c>
      <c r="MU12" s="118">
        <f>COUNTIF('Rig Sheet '!MZ19:MZ132,"Production")</f>
        <v>0</v>
      </c>
      <c r="MV12" s="118">
        <f>COUNTIF('Rig Sheet '!NA19:NA132,"Production")</f>
        <v>0</v>
      </c>
      <c r="MW12" s="118">
        <f>COUNTIF('Rig Sheet '!NB19:NB132,"Production")</f>
        <v>0</v>
      </c>
      <c r="MX12" s="118">
        <f>COUNTIF('Rig Sheet '!NC19:NC132,"Production")</f>
        <v>0</v>
      </c>
      <c r="MY12" s="118">
        <f>COUNTIF('Rig Sheet '!ND19:ND132,"Production")</f>
        <v>0</v>
      </c>
      <c r="MZ12" s="118">
        <f>COUNTIF('Rig Sheet '!NE19:NE132,"Production")</f>
        <v>0</v>
      </c>
      <c r="NA12" s="118">
        <f>COUNTIF('Rig Sheet '!NF19:NF132,"Production")</f>
        <v>0</v>
      </c>
      <c r="NB12" s="118">
        <f>COUNTIF('Rig Sheet '!NG19:NG132,"Production")</f>
        <v>0</v>
      </c>
    </row>
    <row r="13" spans="1:366">
      <c r="A13" s="119" t="s">
        <v>85</v>
      </c>
      <c r="B13" s="118">
        <f>COUNTIF('Rig Sheet '!G19:G132,"Prod/Surf")</f>
        <v>0</v>
      </c>
      <c r="C13" s="118">
        <f>COUNTIF('Rig Sheet '!H19:H132,"Prod/Surf")</f>
        <v>0</v>
      </c>
      <c r="D13" s="118">
        <f>COUNTIF('Rig Sheet '!I19:I132,"Prod/Surf")</f>
        <v>0</v>
      </c>
      <c r="E13" s="118">
        <f>COUNTIF('Rig Sheet '!J19:J132,"Prod/Surf")</f>
        <v>0</v>
      </c>
      <c r="F13" s="118">
        <f>COUNTIF('Rig Sheet '!K19:K132,"Prod/Surf")</f>
        <v>0</v>
      </c>
      <c r="G13" s="118">
        <f>COUNTIF('Rig Sheet '!L19:L132,"Prod/Surf")</f>
        <v>0</v>
      </c>
      <c r="H13" s="118">
        <f>COUNTIF('Rig Sheet '!M19:M132,"Prod/Surf")</f>
        <v>0</v>
      </c>
      <c r="I13" s="118">
        <f>COUNTIF('Rig Sheet '!N19:N132,"Prod/Surf")</f>
        <v>0</v>
      </c>
      <c r="J13" s="118">
        <f>COUNTIF('Rig Sheet '!O19:O132,"Prod/Surf")</f>
        <v>0</v>
      </c>
      <c r="K13" s="118">
        <f>COUNTIF('Rig Sheet '!P19:P132,"Prod/Surf")</f>
        <v>0</v>
      </c>
      <c r="L13" s="118">
        <f>COUNTIF('Rig Sheet '!Q19:Q132,"Prod/Surf")</f>
        <v>0</v>
      </c>
      <c r="M13" s="118">
        <f>COUNTIF('Rig Sheet '!R19:R132,"Prod/Surf")</f>
        <v>0</v>
      </c>
      <c r="N13" s="118">
        <f>COUNTIF('Rig Sheet '!S19:S132,"Prod/Surf")</f>
        <v>0</v>
      </c>
      <c r="O13" s="118">
        <f>COUNTIF('Rig Sheet '!T19:T132,"Prod/Surf")</f>
        <v>0</v>
      </c>
      <c r="P13" s="118">
        <f>COUNTIF('Rig Sheet '!U19:U132,"Prod/Surf")</f>
        <v>0</v>
      </c>
      <c r="Q13" s="118">
        <f>COUNTIF('Rig Sheet '!V19:V132,"Prod/Surf")</f>
        <v>0</v>
      </c>
      <c r="R13" s="118">
        <f>COUNTIF('Rig Sheet '!W19:W132,"Prod/Surf")</f>
        <v>0</v>
      </c>
      <c r="S13" s="118">
        <f>COUNTIF('Rig Sheet '!X19:X132,"Prod/Surf")</f>
        <v>0</v>
      </c>
      <c r="T13" s="118">
        <f>COUNTIF('Rig Sheet '!Y19:Y132,"Prod/Surf")</f>
        <v>0</v>
      </c>
      <c r="U13" s="118">
        <f>COUNTIF('Rig Sheet '!Z19:Z132,"Prod/Surf")</f>
        <v>0</v>
      </c>
      <c r="V13" s="118">
        <f>COUNTIF('Rig Sheet '!AA19:AA132,"Prod/Surf")</f>
        <v>0</v>
      </c>
      <c r="W13" s="118">
        <f>COUNTIF('Rig Sheet '!AB19:AB132,"Prod/Surf")</f>
        <v>0</v>
      </c>
      <c r="X13" s="118">
        <f>COUNTIF('Rig Sheet '!AC19:AC132,"Prod/Surf")</f>
        <v>0</v>
      </c>
      <c r="Y13" s="118">
        <f>COUNTIF('Rig Sheet '!AD19:AD132,"Prod/Surf")</f>
        <v>0</v>
      </c>
      <c r="Z13" s="118">
        <f>COUNTIF('Rig Sheet '!AE19:AE132,"Prod/Surf")</f>
        <v>0</v>
      </c>
      <c r="AA13" s="118">
        <f>COUNTIF('Rig Sheet '!AF19:AF132,"Prod/Surf")</f>
        <v>0</v>
      </c>
      <c r="AB13" s="118">
        <f>COUNTIF('Rig Sheet '!AG19:AG132,"Prod/Surf")</f>
        <v>0</v>
      </c>
      <c r="AC13" s="118">
        <f>COUNTIF('Rig Sheet '!AH19:AH132,"Prod/Surf")</f>
        <v>0</v>
      </c>
      <c r="AD13" s="118">
        <f>COUNTIF('Rig Sheet '!AI19:AI132,"Prod/Surf")</f>
        <v>0</v>
      </c>
      <c r="AE13" s="118">
        <f>COUNTIF('Rig Sheet '!AJ19:AJ132,"Prod/Surf")</f>
        <v>0</v>
      </c>
      <c r="AF13" s="118">
        <f>COUNTIF('Rig Sheet '!AK19:AK132,"Prod/Surf")</f>
        <v>0</v>
      </c>
      <c r="AG13" s="118">
        <f>COUNTIF('Rig Sheet '!AL19:AL132,"Prod/Surf")</f>
        <v>0</v>
      </c>
      <c r="AH13" s="118">
        <f>COUNTIF('Rig Sheet '!AM19:AM132,"Prod/Surf")</f>
        <v>0</v>
      </c>
      <c r="AI13" s="118">
        <f>COUNTIF('Rig Sheet '!AN19:AN132,"Prod/Surf")</f>
        <v>0</v>
      </c>
      <c r="AJ13" s="118">
        <f>COUNTIF('Rig Sheet '!AO19:AO132,"Prod/Surf")</f>
        <v>0</v>
      </c>
      <c r="AK13" s="118">
        <f>COUNTIF('Rig Sheet '!AP19:AP132,"Prod/Surf")</f>
        <v>0</v>
      </c>
      <c r="AL13" s="118">
        <f>COUNTIF('Rig Sheet '!AQ19:AQ132,"Prod/Surf")</f>
        <v>0</v>
      </c>
      <c r="AM13" s="118">
        <f>COUNTIF('Rig Sheet '!AR19:AR132,"Prod/Surf")</f>
        <v>0</v>
      </c>
      <c r="AN13" s="118">
        <f>COUNTIF('Rig Sheet '!AS19:AS132,"Prod/Surf")</f>
        <v>0</v>
      </c>
      <c r="AO13" s="118">
        <f>COUNTIF('Rig Sheet '!AT19:AT132,"Prod/Surf")</f>
        <v>0</v>
      </c>
      <c r="AP13" s="118">
        <f>COUNTIF('Rig Sheet '!AU19:AU132,"Prod/Surf")</f>
        <v>0</v>
      </c>
      <c r="AQ13" s="118">
        <f>COUNTIF('Rig Sheet '!AV19:AV132,"Prod/Surf")</f>
        <v>0</v>
      </c>
      <c r="AR13" s="118">
        <f>COUNTIF('Rig Sheet '!AW19:AW132,"Prod/Surf")</f>
        <v>0</v>
      </c>
      <c r="AS13" s="118">
        <f>COUNTIF('Rig Sheet '!AX19:AX132,"Prod/Surf")</f>
        <v>0</v>
      </c>
      <c r="AT13" s="118">
        <f>COUNTIF('Rig Sheet '!AY19:AY132,"Prod/Surf")</f>
        <v>0</v>
      </c>
      <c r="AU13" s="118">
        <f>COUNTIF('Rig Sheet '!AZ19:AZ132,"Prod/Surf")</f>
        <v>0</v>
      </c>
      <c r="AV13" s="118">
        <f>COUNTIF('Rig Sheet '!BA19:BA132,"Prod/Surf")</f>
        <v>0</v>
      </c>
      <c r="AW13" s="118">
        <f>COUNTIF('Rig Sheet '!BB19:BB132,"Prod/Surf")</f>
        <v>0</v>
      </c>
      <c r="AX13" s="118">
        <f>COUNTIF('Rig Sheet '!BC19:BC132,"Prod/Surf")</f>
        <v>0</v>
      </c>
      <c r="AY13" s="118">
        <f>COUNTIF('Rig Sheet '!BD19:BD132,"Prod/Surf")</f>
        <v>0</v>
      </c>
      <c r="AZ13" s="118">
        <f>COUNTIF('Rig Sheet '!BE19:BE132,"Prod/Surf")</f>
        <v>0</v>
      </c>
      <c r="BA13" s="118">
        <f>COUNTIF('Rig Sheet '!BF19:BF132,"Prod/Surf")</f>
        <v>0</v>
      </c>
      <c r="BB13" s="118">
        <f>COUNTIF('Rig Sheet '!BG19:BG132,"Prod/Surf")</f>
        <v>0</v>
      </c>
      <c r="BC13" s="118">
        <f>COUNTIF('Rig Sheet '!BH19:BH132,"Prod/Surf")</f>
        <v>0</v>
      </c>
      <c r="BD13" s="118">
        <f>COUNTIF('Rig Sheet '!BI19:BI132,"Prod/Surf")</f>
        <v>0</v>
      </c>
      <c r="BE13" s="118">
        <f>COUNTIF('Rig Sheet '!BJ19:BJ132,"Prod/Surf")</f>
        <v>0</v>
      </c>
      <c r="BF13" s="118">
        <f>COUNTIF('Rig Sheet '!BK19:BK132,"Prod/Surf")</f>
        <v>0</v>
      </c>
      <c r="BG13" s="118">
        <f>COUNTIF('Rig Sheet '!BL19:BL132,"Prod/Surf")</f>
        <v>0</v>
      </c>
      <c r="BH13" s="118">
        <f>COUNTIF('Rig Sheet '!BM19:BM132,"Prod/Surf")</f>
        <v>0</v>
      </c>
      <c r="BI13" s="118">
        <f>COUNTIF('Rig Sheet '!BN19:BN132,"Prod/Surf")</f>
        <v>0</v>
      </c>
      <c r="BJ13" s="118">
        <f>COUNTIF('Rig Sheet '!BO19:BO132,"Prod/Surf")</f>
        <v>0</v>
      </c>
      <c r="BK13" s="118">
        <f>COUNTIF('Rig Sheet '!BP19:BP132,"Prod/Surf")</f>
        <v>0</v>
      </c>
      <c r="BL13" s="118">
        <f>COUNTIF('Rig Sheet '!BQ19:BQ132,"Prod/Surf")</f>
        <v>0</v>
      </c>
      <c r="BM13" s="118">
        <f>COUNTIF('Rig Sheet '!BR19:BR132,"Prod/Surf")</f>
        <v>0</v>
      </c>
      <c r="BN13" s="118">
        <f>COUNTIF('Rig Sheet '!BS19:BS132,"Prod/Surf")</f>
        <v>0</v>
      </c>
      <c r="BO13" s="118">
        <f>COUNTIF('Rig Sheet '!BT19:BT132,"Prod/Surf")</f>
        <v>0</v>
      </c>
      <c r="BP13" s="118">
        <f>COUNTIF('Rig Sheet '!BU19:BU132,"Prod/Surf")</f>
        <v>0</v>
      </c>
      <c r="BQ13" s="118">
        <f>COUNTIF('Rig Sheet '!BV19:BV132,"Prod/Surf")</f>
        <v>0</v>
      </c>
      <c r="BR13" s="118">
        <f>COUNTIF('Rig Sheet '!BW19:BW132,"Prod/Surf")</f>
        <v>0</v>
      </c>
      <c r="BS13" s="118">
        <f>COUNTIF('Rig Sheet '!BX19:BX132,"Prod/Surf")</f>
        <v>0</v>
      </c>
      <c r="BT13" s="118">
        <f>COUNTIF('Rig Sheet '!BY19:BY132,"Prod/Surf")</f>
        <v>0</v>
      </c>
      <c r="BU13" s="118">
        <f>COUNTIF('Rig Sheet '!BZ19:BZ132,"Prod/Surf")</f>
        <v>0</v>
      </c>
      <c r="BV13" s="118">
        <f>COUNTIF('Rig Sheet '!CA19:CA132,"Prod/Surf")</f>
        <v>0</v>
      </c>
      <c r="BW13" s="118">
        <f>COUNTIF('Rig Sheet '!CB19:CB132,"Prod/Surf")</f>
        <v>0</v>
      </c>
      <c r="BX13" s="118">
        <f>COUNTIF('Rig Sheet '!CC19:CC132,"Prod/Surf")</f>
        <v>0</v>
      </c>
      <c r="BY13" s="118">
        <f>COUNTIF('Rig Sheet '!CD19:CD132,"Prod/Surf")</f>
        <v>0</v>
      </c>
      <c r="BZ13" s="118">
        <f>COUNTIF('Rig Sheet '!CE19:CE132,"Prod/Surf")</f>
        <v>0</v>
      </c>
      <c r="CA13" s="118">
        <f>COUNTIF('Rig Sheet '!CF19:CF132,"Prod/Surf")</f>
        <v>0</v>
      </c>
      <c r="CB13" s="118">
        <f>COUNTIF('Rig Sheet '!CG19:CG132,"Prod/Surf")</f>
        <v>0</v>
      </c>
      <c r="CC13" s="118">
        <f>COUNTIF('Rig Sheet '!CH19:CH132,"Prod/Surf")</f>
        <v>0</v>
      </c>
      <c r="CD13" s="118">
        <f>COUNTIF('Rig Sheet '!CI19:CI132,"Prod/Surf")</f>
        <v>0</v>
      </c>
      <c r="CE13" s="118">
        <f>COUNTIF('Rig Sheet '!CJ19:CJ132,"Prod/Surf")</f>
        <v>0</v>
      </c>
      <c r="CF13" s="118">
        <f>COUNTIF('Rig Sheet '!CK19:CK132,"Prod/Surf")</f>
        <v>0</v>
      </c>
      <c r="CG13" s="118">
        <f>COUNTIF('Rig Sheet '!CL19:CL132,"Prod/Surf")</f>
        <v>0</v>
      </c>
      <c r="CH13" s="118">
        <f>COUNTIF('Rig Sheet '!CM19:CM132,"Prod/Surf")</f>
        <v>0</v>
      </c>
      <c r="CI13" s="118">
        <f>COUNTIF('Rig Sheet '!CN19:CN132,"Prod/Surf")</f>
        <v>0</v>
      </c>
      <c r="CJ13" s="118">
        <f>COUNTIF('Rig Sheet '!CO19:CO132,"Prod/Surf")</f>
        <v>0</v>
      </c>
      <c r="CK13" s="118">
        <f>COUNTIF('Rig Sheet '!CP19:CP132,"Prod/Surf")</f>
        <v>0</v>
      </c>
      <c r="CL13" s="118">
        <f>COUNTIF('Rig Sheet '!CQ19:CQ132,"Prod/Surf")</f>
        <v>0</v>
      </c>
      <c r="CM13" s="118">
        <f>COUNTIF('Rig Sheet '!CR19:CR132,"Prod/Surf")</f>
        <v>0</v>
      </c>
      <c r="CN13" s="118">
        <f>COUNTIF('Rig Sheet '!CS19:CS132,"Prod/Surf")</f>
        <v>0</v>
      </c>
      <c r="CO13" s="118">
        <f>COUNTIF('Rig Sheet '!CT19:CT132,"Prod/Surf")</f>
        <v>0</v>
      </c>
      <c r="CP13" s="118">
        <f>COUNTIF('Rig Sheet '!CU19:CU132,"Prod/Surf")</f>
        <v>0</v>
      </c>
      <c r="CQ13" s="118">
        <f>COUNTIF('Rig Sheet '!CV19:CV132,"Prod/Surf")</f>
        <v>0</v>
      </c>
      <c r="CR13" s="118">
        <f>COUNTIF('Rig Sheet '!CW19:CW132,"Prod/Surf")</f>
        <v>0</v>
      </c>
      <c r="CS13" s="118">
        <f>COUNTIF('Rig Sheet '!CX19:CX132,"Prod/Surf")</f>
        <v>0</v>
      </c>
      <c r="CT13" s="118">
        <f>COUNTIF('Rig Sheet '!CY19:CY132,"Prod/Surf")</f>
        <v>0</v>
      </c>
      <c r="CU13" s="118">
        <f>COUNTIF('Rig Sheet '!CZ19:CZ132,"Prod/Surf")</f>
        <v>0</v>
      </c>
      <c r="CV13" s="118">
        <f>COUNTIF('Rig Sheet '!DA19:DA132,"Prod/Surf")</f>
        <v>0</v>
      </c>
      <c r="CW13" s="118">
        <f>COUNTIF('Rig Sheet '!DB19:DB132,"Prod/Surf")</f>
        <v>0</v>
      </c>
      <c r="CX13" s="118">
        <f>COUNTIF('Rig Sheet '!DC19:DC132,"Prod/Surf")</f>
        <v>0</v>
      </c>
      <c r="CY13" s="118">
        <f>COUNTIF('Rig Sheet '!DD19:DD132,"Prod/Surf")</f>
        <v>0</v>
      </c>
      <c r="CZ13" s="118">
        <f>COUNTIF('Rig Sheet '!DE19:DE132,"Prod/Surf")</f>
        <v>0</v>
      </c>
      <c r="DA13" s="118">
        <f>COUNTIF('Rig Sheet '!DF19:DF132,"Prod/Surf")</f>
        <v>0</v>
      </c>
      <c r="DB13" s="118">
        <f>COUNTIF('Rig Sheet '!DG19:DG132,"Prod/Surf")</f>
        <v>0</v>
      </c>
      <c r="DC13" s="118">
        <f>COUNTIF('Rig Sheet '!DH19:DH132,"Prod/Surf")</f>
        <v>0</v>
      </c>
      <c r="DD13" s="118">
        <f>COUNTIF('Rig Sheet '!DI19:DI132,"Prod/Surf")</f>
        <v>0</v>
      </c>
      <c r="DE13" s="118">
        <f>COUNTIF('Rig Sheet '!DJ19:DJ132,"Prod/Surf")</f>
        <v>0</v>
      </c>
      <c r="DF13" s="118">
        <f>COUNTIF('Rig Sheet '!DK19:DK132,"Prod/Surf")</f>
        <v>0</v>
      </c>
      <c r="DG13" s="118">
        <f>COUNTIF('Rig Sheet '!DL19:DL132,"Prod/Surf")</f>
        <v>0</v>
      </c>
      <c r="DH13" s="118">
        <f>COUNTIF('Rig Sheet '!DM19:DM132,"Prod/Surf")</f>
        <v>0</v>
      </c>
      <c r="DI13" s="118">
        <f>COUNTIF('Rig Sheet '!DN19:DN132,"Prod/Surf")</f>
        <v>0</v>
      </c>
      <c r="DJ13" s="118">
        <f>COUNTIF('Rig Sheet '!DO19:DO132,"Prod/Surf")</f>
        <v>0</v>
      </c>
      <c r="DK13" s="118">
        <f>COUNTIF('Rig Sheet '!DP19:DP132,"Prod/Surf")</f>
        <v>0</v>
      </c>
      <c r="DL13" s="118">
        <f>COUNTIF('Rig Sheet '!DQ19:DQ132,"Prod/Surf")</f>
        <v>0</v>
      </c>
      <c r="DM13" s="118">
        <f>COUNTIF('Rig Sheet '!DR19:DR132,"Prod/Surf")</f>
        <v>0</v>
      </c>
      <c r="DN13" s="118">
        <f>COUNTIF('Rig Sheet '!DS19:DS132,"Prod/Surf")</f>
        <v>0</v>
      </c>
      <c r="DO13" s="118">
        <f>COUNTIF('Rig Sheet '!DT19:DT132,"Prod/Surf")</f>
        <v>0</v>
      </c>
      <c r="DP13" s="118">
        <f>COUNTIF('Rig Sheet '!DU19:DU132,"Prod/Surf")</f>
        <v>0</v>
      </c>
      <c r="DQ13" s="118">
        <f>COUNTIF('Rig Sheet '!DV19:DV132,"Prod/Surf")</f>
        <v>0</v>
      </c>
      <c r="DR13" s="118">
        <f>COUNTIF('Rig Sheet '!DW19:DW132,"Prod/Surf")</f>
        <v>0</v>
      </c>
      <c r="DS13" s="118">
        <f>COUNTIF('Rig Sheet '!DX19:DX132,"Prod/Surf")</f>
        <v>0</v>
      </c>
      <c r="DT13" s="118">
        <f>COUNTIF('Rig Sheet '!DY19:DY132,"Prod/Surf")</f>
        <v>0</v>
      </c>
      <c r="DU13" s="118">
        <f>COUNTIF('Rig Sheet '!DZ19:DZ132,"Prod/Surf")</f>
        <v>0</v>
      </c>
      <c r="DV13" s="118">
        <f>COUNTIF('Rig Sheet '!EA19:EA132,"Prod/Surf")</f>
        <v>0</v>
      </c>
      <c r="DW13" s="118">
        <f>COUNTIF('Rig Sheet '!EB19:EB132,"Prod/Surf")</f>
        <v>0</v>
      </c>
      <c r="DX13" s="118">
        <f>COUNTIF('Rig Sheet '!EC19:EC132,"Prod/Surf")</f>
        <v>0</v>
      </c>
      <c r="DY13" s="118">
        <f>COUNTIF('Rig Sheet '!ED19:ED132,"Prod/Surf")</f>
        <v>0</v>
      </c>
      <c r="DZ13" s="118">
        <f>COUNTIF('Rig Sheet '!EE19:EE132,"Prod/Surf")</f>
        <v>0</v>
      </c>
      <c r="EA13" s="118">
        <f>COUNTIF('Rig Sheet '!EF19:EF132,"Prod/Surf")</f>
        <v>0</v>
      </c>
      <c r="EB13" s="118">
        <f>COUNTIF('Rig Sheet '!EG19:EG132,"Prod/Surf")</f>
        <v>0</v>
      </c>
      <c r="EC13" s="118">
        <f>COUNTIF('Rig Sheet '!EH19:EH132,"Prod/Surf")</f>
        <v>0</v>
      </c>
      <c r="ED13" s="118">
        <f>COUNTIF('Rig Sheet '!EI19:EI132,"Prod/Surf")</f>
        <v>0</v>
      </c>
      <c r="EE13" s="118">
        <f>COUNTIF('Rig Sheet '!EJ19:EJ132,"Prod/Surf")</f>
        <v>0</v>
      </c>
      <c r="EF13" s="118">
        <f>COUNTIF('Rig Sheet '!EK19:EK132,"Prod/Surf")</f>
        <v>0</v>
      </c>
      <c r="EG13" s="118">
        <f>COUNTIF('Rig Sheet '!EL19:EL132,"Prod/Surf")</f>
        <v>0</v>
      </c>
      <c r="EH13" s="118">
        <f>COUNTIF('Rig Sheet '!EM19:EM132,"Prod/Surf")</f>
        <v>0</v>
      </c>
      <c r="EI13" s="118">
        <f>COUNTIF('Rig Sheet '!EN19:EN132,"Prod/Surf")</f>
        <v>0</v>
      </c>
      <c r="EJ13" s="118">
        <f>COUNTIF('Rig Sheet '!EO19:EO132,"Prod/Surf")</f>
        <v>0</v>
      </c>
      <c r="EK13" s="118">
        <f>COUNTIF('Rig Sheet '!EP19:EP132,"Prod/Surf")</f>
        <v>0</v>
      </c>
      <c r="EL13" s="118">
        <f>COUNTIF('Rig Sheet '!EQ19:EQ132,"Prod/Surf")</f>
        <v>0</v>
      </c>
      <c r="EM13" s="118">
        <f>COUNTIF('Rig Sheet '!ER19:ER132,"Prod/Surf")</f>
        <v>0</v>
      </c>
      <c r="EN13" s="118">
        <f>COUNTIF('Rig Sheet '!ES19:ES132,"Prod/Surf")</f>
        <v>0</v>
      </c>
      <c r="EO13" s="118">
        <f>COUNTIF('Rig Sheet '!ET19:ET132,"Prod/Surf")</f>
        <v>0</v>
      </c>
      <c r="EP13" s="118">
        <f>COUNTIF('Rig Sheet '!EU19:EU132,"Prod/Surf")</f>
        <v>0</v>
      </c>
      <c r="EQ13" s="118">
        <f>COUNTIF('Rig Sheet '!EV19:EV132,"Prod/Surf")</f>
        <v>0</v>
      </c>
      <c r="ER13" s="118">
        <f>COUNTIF('Rig Sheet '!EW19:EW132,"Prod/Surf")</f>
        <v>0</v>
      </c>
      <c r="ES13" s="118">
        <f>COUNTIF('Rig Sheet '!EX19:EX132,"Prod/Surf")</f>
        <v>0</v>
      </c>
      <c r="ET13" s="118">
        <f>COUNTIF('Rig Sheet '!EY19:EY132,"Prod/Surf")</f>
        <v>0</v>
      </c>
      <c r="EU13" s="118">
        <f>COUNTIF('Rig Sheet '!EZ19:EZ132,"Prod/Surf")</f>
        <v>0</v>
      </c>
      <c r="EV13" s="118">
        <f>COUNTIF('Rig Sheet '!FA19:FA132,"Prod/Surf")</f>
        <v>0</v>
      </c>
      <c r="EW13" s="118">
        <f>COUNTIF('Rig Sheet '!FB19:FB132,"Prod/Surf")</f>
        <v>0</v>
      </c>
      <c r="EX13" s="118">
        <f>COUNTIF('Rig Sheet '!FC19:FC132,"Prod/Surf")</f>
        <v>0</v>
      </c>
      <c r="EY13" s="118">
        <f>COUNTIF('Rig Sheet '!FD19:FD132,"Prod/Surf")</f>
        <v>0</v>
      </c>
      <c r="EZ13" s="118">
        <f>COUNTIF('Rig Sheet '!FE19:FE132,"Prod/Surf")</f>
        <v>0</v>
      </c>
      <c r="FA13" s="118">
        <f>COUNTIF('Rig Sheet '!FF19:FF132,"Prod/Surf")</f>
        <v>0</v>
      </c>
      <c r="FB13" s="118">
        <f>COUNTIF('Rig Sheet '!FG19:FG132,"Prod/Surf")</f>
        <v>0</v>
      </c>
      <c r="FC13" s="118">
        <f>COUNTIF('Rig Sheet '!FH19:FH132,"Prod/Surf")</f>
        <v>0</v>
      </c>
      <c r="FD13" s="118">
        <f>COUNTIF('Rig Sheet '!FI19:FI132,"Prod/Surf")</f>
        <v>0</v>
      </c>
      <c r="FE13" s="118">
        <f>COUNTIF('Rig Sheet '!FJ19:FJ132,"Prod/Surf")</f>
        <v>0</v>
      </c>
      <c r="FF13" s="118">
        <f>COUNTIF('Rig Sheet '!FK19:FK132,"Prod/Surf")</f>
        <v>0</v>
      </c>
      <c r="FG13" s="118">
        <f>COUNTIF('Rig Sheet '!FL19:FL132,"Prod/Surf")</f>
        <v>1</v>
      </c>
      <c r="FH13" s="118">
        <f>COUNTIF('Rig Sheet '!FM19:FM132,"Prod/Surf")</f>
        <v>1</v>
      </c>
      <c r="FI13" s="118">
        <f>COUNTIF('Rig Sheet '!FN19:FN132,"Prod/Surf")</f>
        <v>0</v>
      </c>
      <c r="FJ13" s="118">
        <f>COUNTIF('Rig Sheet '!FO19:FO132,"Prod/Surf")</f>
        <v>0</v>
      </c>
      <c r="FK13" s="118">
        <f>COUNTIF('Rig Sheet '!FP19:FP132,"Prod/Surf")</f>
        <v>0</v>
      </c>
      <c r="FL13" s="118">
        <f>COUNTIF('Rig Sheet '!FQ19:FQ132,"Prod/Surf")</f>
        <v>0</v>
      </c>
      <c r="FM13" s="118">
        <f>COUNTIF('Rig Sheet '!FR19:FR132,"Prod/Surf")</f>
        <v>0</v>
      </c>
      <c r="FN13" s="118">
        <f>COUNTIF('Rig Sheet '!FS19:FS132,"Prod/Surf")</f>
        <v>0</v>
      </c>
      <c r="FO13" s="118">
        <f>COUNTIF('Rig Sheet '!FT19:FT132,"Prod/Surf")</f>
        <v>0</v>
      </c>
      <c r="FP13" s="118">
        <f>COUNTIF('Rig Sheet '!FU19:FU132,"Prod/Surf")</f>
        <v>0</v>
      </c>
      <c r="FQ13" s="118">
        <f>COUNTIF('Rig Sheet '!FV19:FV132,"Prod/Surf")</f>
        <v>0</v>
      </c>
      <c r="FR13" s="118">
        <f>COUNTIF('Rig Sheet '!FW19:FW132,"Prod/Surf")</f>
        <v>0</v>
      </c>
      <c r="FS13" s="118">
        <f>COUNTIF('Rig Sheet '!FX19:FX132,"Prod/Surf")</f>
        <v>0</v>
      </c>
      <c r="FT13" s="118">
        <f>COUNTIF('Rig Sheet '!FY19:FY132,"Prod/Surf")</f>
        <v>0</v>
      </c>
      <c r="FU13" s="118">
        <f>COUNTIF('Rig Sheet '!FZ19:FZ132,"Prod/Surf")</f>
        <v>0</v>
      </c>
      <c r="FV13" s="118">
        <f>COUNTIF('Rig Sheet '!GA19:GA132,"Prod/Surf")</f>
        <v>0</v>
      </c>
      <c r="FW13" s="118">
        <f>COUNTIF('Rig Sheet '!GB19:GB132,"Prod/Surf")</f>
        <v>1</v>
      </c>
      <c r="FX13" s="118">
        <f>COUNTIF('Rig Sheet '!GC19:GC132,"Prod/Surf")</f>
        <v>0</v>
      </c>
      <c r="FY13" s="118">
        <f>COUNTIF('Rig Sheet '!GD19:GD132,"Prod/Surf")</f>
        <v>0</v>
      </c>
      <c r="FZ13" s="118">
        <f>COUNTIF('Rig Sheet '!GE19:GE132,"Prod/Surf")</f>
        <v>0</v>
      </c>
      <c r="GA13" s="118">
        <f>COUNTIF('Rig Sheet '!GF19:GF132,"Prod/Surf")</f>
        <v>1</v>
      </c>
      <c r="GB13" s="118">
        <f>COUNTIF('Rig Sheet '!GG19:GG132,"Prod/Surf")</f>
        <v>0</v>
      </c>
      <c r="GC13" s="118">
        <f>COUNTIF('Rig Sheet '!GH19:GH132,"Prod/Surf")</f>
        <v>0</v>
      </c>
      <c r="GD13" s="118">
        <f>COUNTIF('Rig Sheet '!GI19:GI132,"Prod/Surf")</f>
        <v>0</v>
      </c>
      <c r="GE13" s="118">
        <f>COUNTIF('Rig Sheet '!GJ19:GJ132,"Prod/Surf")</f>
        <v>0</v>
      </c>
      <c r="GF13" s="118">
        <f>COUNTIF('Rig Sheet '!GK19:GK132,"Prod/Surf")</f>
        <v>0</v>
      </c>
      <c r="GG13" s="118">
        <f>COUNTIF('Rig Sheet '!GL19:GL132,"Prod/Surf")</f>
        <v>0</v>
      </c>
      <c r="GH13" s="118">
        <f>COUNTIF('Rig Sheet '!GM19:GM132,"Prod/Surf")</f>
        <v>0</v>
      </c>
      <c r="GI13" s="118">
        <f>COUNTIF('Rig Sheet '!GN19:GN132,"Prod/Surf")</f>
        <v>0</v>
      </c>
      <c r="GJ13" s="118">
        <f>COUNTIF('Rig Sheet '!GO19:GO132,"Prod/Surf")</f>
        <v>0</v>
      </c>
      <c r="GK13" s="118">
        <f>COUNTIF('Rig Sheet '!GP19:GP132,"Prod/Surf")</f>
        <v>1</v>
      </c>
      <c r="GL13" s="118">
        <f>COUNTIF('Rig Sheet '!GQ19:GQ132,"Prod/Surf")</f>
        <v>0</v>
      </c>
      <c r="GM13" s="118">
        <f>COUNTIF('Rig Sheet '!GR19:GR132,"Prod/Surf")</f>
        <v>0</v>
      </c>
      <c r="GN13" s="118">
        <f>COUNTIF('Rig Sheet '!GS19:GS132,"Prod/Surf")</f>
        <v>0</v>
      </c>
      <c r="GO13" s="118">
        <f>COUNTIF('Rig Sheet '!GT19:GT132,"Prod/Surf")</f>
        <v>0</v>
      </c>
      <c r="GP13" s="118">
        <f>COUNTIF('Rig Sheet '!GU19:GU132,"Prod/Surf")</f>
        <v>0</v>
      </c>
      <c r="GQ13" s="118">
        <f>COUNTIF('Rig Sheet '!GV19:GV132,"Prod/Surf")</f>
        <v>0</v>
      </c>
      <c r="GR13" s="118">
        <f>COUNTIF('Rig Sheet '!GW19:GW132,"Prod/Surf")</f>
        <v>0</v>
      </c>
      <c r="GS13" s="118">
        <f>COUNTIF('Rig Sheet '!GX19:GX132,"Prod/Surf")</f>
        <v>0</v>
      </c>
      <c r="GT13" s="118">
        <f>COUNTIF('Rig Sheet '!GY19:GY132,"Prod/Surf")</f>
        <v>0</v>
      </c>
      <c r="GU13" s="118">
        <f>COUNTIF('Rig Sheet '!GZ19:GZ132,"Prod/Surf")</f>
        <v>0</v>
      </c>
      <c r="GV13" s="118">
        <f>COUNTIF('Rig Sheet '!HA19:HA132,"Prod/Surf")</f>
        <v>0</v>
      </c>
      <c r="GW13" s="118">
        <f>COUNTIF('Rig Sheet '!HB19:HB132,"Prod/Surf")</f>
        <v>0</v>
      </c>
      <c r="GX13" s="118">
        <f>COUNTIF('Rig Sheet '!HC19:HC132,"Prod/Surf")</f>
        <v>0</v>
      </c>
      <c r="GY13" s="118">
        <f>COUNTIF('Rig Sheet '!HD19:HD132,"Prod/Surf")</f>
        <v>0</v>
      </c>
      <c r="GZ13" s="118">
        <f>COUNTIF('Rig Sheet '!HE19:HE132,"Prod/Surf")</f>
        <v>0</v>
      </c>
      <c r="HA13" s="118">
        <f>COUNTIF('Rig Sheet '!HF19:HF132,"Prod/Surf")</f>
        <v>0</v>
      </c>
      <c r="HB13" s="118">
        <f>COUNTIF('Rig Sheet '!HG19:HG132,"Prod/Surf")</f>
        <v>0</v>
      </c>
      <c r="HC13" s="118">
        <f>COUNTIF('Rig Sheet '!HH19:HH132,"Prod/Surf")</f>
        <v>0</v>
      </c>
      <c r="HD13" s="118">
        <f>COUNTIF('Rig Sheet '!HI19:HI132,"Prod/Surf")</f>
        <v>0</v>
      </c>
      <c r="HE13" s="118">
        <f>COUNTIF('Rig Sheet '!HJ19:HJ132,"Prod/Surf")</f>
        <v>0</v>
      </c>
      <c r="HF13" s="118">
        <f>COUNTIF('Rig Sheet '!HK19:HK132,"Prod/Surf")</f>
        <v>0</v>
      </c>
      <c r="HG13" s="118">
        <f>COUNTIF('Rig Sheet '!HL19:HL132,"Prod/Surf")</f>
        <v>1</v>
      </c>
      <c r="HH13" s="118">
        <f>COUNTIF('Rig Sheet '!HM19:HM132,"Prod/Surf")</f>
        <v>0</v>
      </c>
      <c r="HI13" s="118">
        <f>COUNTIF('Rig Sheet '!HN19:HN132,"Prod/Surf")</f>
        <v>0</v>
      </c>
      <c r="HJ13" s="118">
        <f>COUNTIF('Rig Sheet '!HO19:HO132,"Prod/Surf")</f>
        <v>0</v>
      </c>
      <c r="HK13" s="118">
        <f>COUNTIF('Rig Sheet '!HP19:HP132,"Prod/Surf")</f>
        <v>0</v>
      </c>
      <c r="HL13" s="118">
        <f>COUNTIF('Rig Sheet '!HQ19:HQ132,"Prod/Surf")</f>
        <v>1</v>
      </c>
      <c r="HM13" s="118">
        <f>COUNTIF('Rig Sheet '!HR19:HR132,"Prod/Surf")</f>
        <v>0</v>
      </c>
      <c r="HN13" s="118">
        <f>COUNTIF('Rig Sheet '!HS19:HS132,"Prod/Surf")</f>
        <v>0</v>
      </c>
      <c r="HO13" s="118">
        <f>COUNTIF('Rig Sheet '!HT19:HT132,"Prod/Surf")</f>
        <v>0</v>
      </c>
      <c r="HP13" s="118">
        <f>COUNTIF('Rig Sheet '!HU19:HU132,"Prod/Surf")</f>
        <v>0</v>
      </c>
      <c r="HQ13" s="118">
        <f>COUNTIF('Rig Sheet '!HV19:HV132,"Prod/Surf")</f>
        <v>0</v>
      </c>
      <c r="HR13" s="118">
        <f>COUNTIF('Rig Sheet '!HW19:HW132,"Prod/Surf")</f>
        <v>0</v>
      </c>
      <c r="HS13" s="118">
        <f>COUNTIF('Rig Sheet '!HX19:HX132,"Prod/Surf")</f>
        <v>0</v>
      </c>
      <c r="HT13" s="118">
        <f>COUNTIF('Rig Sheet '!HY19:HY132,"Prod/Surf")</f>
        <v>0</v>
      </c>
      <c r="HU13" s="118">
        <f>COUNTIF('Rig Sheet '!HZ19:HZ132,"Prod/Surf")</f>
        <v>0</v>
      </c>
      <c r="HV13" s="118">
        <f>COUNTIF('Rig Sheet '!IA19:IA132,"Prod/Surf")</f>
        <v>0</v>
      </c>
      <c r="HW13" s="118">
        <f>COUNTIF('Rig Sheet '!IB19:IB132,"Prod/Surf")</f>
        <v>0</v>
      </c>
      <c r="HX13" s="118">
        <f>COUNTIF('Rig Sheet '!IC19:IC132,"Prod/Surf")</f>
        <v>0</v>
      </c>
      <c r="HY13" s="118">
        <f>COUNTIF('Rig Sheet '!ID19:ID132,"Prod/Surf")</f>
        <v>0</v>
      </c>
      <c r="HZ13" s="118">
        <f>COUNTIF('Rig Sheet '!IE19:IE132,"Prod/Surf")</f>
        <v>0</v>
      </c>
      <c r="IA13" s="118">
        <f>COUNTIF('Rig Sheet '!IF19:IF132,"Prod/Surf")</f>
        <v>0</v>
      </c>
      <c r="IB13" s="118">
        <f>COUNTIF('Rig Sheet '!IG19:IG132,"Prod/Surf")</f>
        <v>0</v>
      </c>
      <c r="IC13" s="118">
        <f>COUNTIF('Rig Sheet '!IH19:IH132,"Prod/Surf")</f>
        <v>0</v>
      </c>
      <c r="ID13" s="118">
        <f>COUNTIF('Rig Sheet '!II19:II132,"Prod/Surf")</f>
        <v>0</v>
      </c>
      <c r="IE13" s="118">
        <f>COUNTIF('Rig Sheet '!IJ19:IJ132,"Prod/Surf")</f>
        <v>0</v>
      </c>
      <c r="IF13" s="118">
        <f>COUNTIF('Rig Sheet '!IK19:IK132,"Prod/Surf")</f>
        <v>0</v>
      </c>
      <c r="IG13" s="118">
        <f>COUNTIF('Rig Sheet '!IL19:IL132,"Prod/Surf")</f>
        <v>0</v>
      </c>
      <c r="IH13" s="118">
        <f>COUNTIF('Rig Sheet '!IM19:IM132,"Prod/Surf")</f>
        <v>0</v>
      </c>
      <c r="II13" s="118">
        <f>COUNTIF('Rig Sheet '!IN19:IN132,"Prod/Surf")</f>
        <v>0</v>
      </c>
      <c r="IJ13" s="118">
        <f>COUNTIF('Rig Sheet '!IO19:IO132,"Prod/Surf")</f>
        <v>0</v>
      </c>
      <c r="IK13" s="118">
        <f>COUNTIF('Rig Sheet '!IP19:IP132,"Prod/Surf")</f>
        <v>0</v>
      </c>
      <c r="IL13" s="118">
        <f>COUNTIF('Rig Sheet '!IQ19:IQ132,"Prod/Surf")</f>
        <v>0</v>
      </c>
      <c r="IM13" s="118">
        <f>COUNTIF('Rig Sheet '!IR19:IR132,"Prod/Surf")</f>
        <v>0</v>
      </c>
      <c r="IN13" s="118">
        <f>COUNTIF('Rig Sheet '!IS19:IS132,"Prod/Surf")</f>
        <v>0</v>
      </c>
      <c r="IO13" s="118">
        <f>COUNTIF('Rig Sheet '!IT19:IT132,"Prod/Surf")</f>
        <v>0</v>
      </c>
      <c r="IP13" s="118">
        <f>COUNTIF('Rig Sheet '!IU19:IU132,"Prod/Surf")</f>
        <v>0</v>
      </c>
      <c r="IQ13" s="118">
        <f>COUNTIF('Rig Sheet '!IV19:IV132,"Prod/Surf")</f>
        <v>0</v>
      </c>
      <c r="IR13" s="118">
        <f>COUNTIF('Rig Sheet '!IW19:IW132,"Prod/Surf")</f>
        <v>0</v>
      </c>
      <c r="IS13" s="118">
        <f>COUNTIF('Rig Sheet '!IX19:IX132,"Prod/Surf")</f>
        <v>0</v>
      </c>
      <c r="IT13" s="118">
        <f>COUNTIF('Rig Sheet '!IY19:IY132,"Prod/Surf")</f>
        <v>0</v>
      </c>
      <c r="IU13" s="118">
        <f>COUNTIF('Rig Sheet '!IZ19:IZ132,"Prod/Surf")</f>
        <v>0</v>
      </c>
      <c r="IV13" s="118">
        <f>COUNTIF('Rig Sheet '!JA19:JA132,"Prod/Surf")</f>
        <v>0</v>
      </c>
      <c r="IW13" s="118">
        <f>COUNTIF('Rig Sheet '!JB19:JB132,"Prod/Surf")</f>
        <v>0</v>
      </c>
      <c r="IX13" s="118">
        <f>COUNTIF('Rig Sheet '!JC19:JC132,"Prod/Surf")</f>
        <v>0</v>
      </c>
      <c r="IY13" s="118">
        <f>COUNTIF('Rig Sheet '!JD19:JD132,"Prod/Surf")</f>
        <v>0</v>
      </c>
      <c r="IZ13" s="118">
        <f>COUNTIF('Rig Sheet '!JE19:JE132,"Prod/Surf")</f>
        <v>0</v>
      </c>
      <c r="JA13" s="118">
        <f>COUNTIF('Rig Sheet '!JF19:JF132,"Prod/Surf")</f>
        <v>0</v>
      </c>
      <c r="JB13" s="118">
        <f>COUNTIF('Rig Sheet '!JG19:JG132,"Prod/Surf")</f>
        <v>0</v>
      </c>
      <c r="JC13" s="118">
        <f>COUNTIF('Rig Sheet '!JH19:JH132,"Prod/Surf")</f>
        <v>0</v>
      </c>
      <c r="JD13" s="118">
        <f>COUNTIF('Rig Sheet '!JI19:JI132,"Prod/Surf")</f>
        <v>0</v>
      </c>
      <c r="JE13" s="118">
        <f>COUNTIF('Rig Sheet '!JJ19:JJ132,"Prod/Surf")</f>
        <v>0</v>
      </c>
      <c r="JF13" s="118">
        <f>COUNTIF('Rig Sheet '!JK19:JK132,"Prod/Surf")</f>
        <v>0</v>
      </c>
      <c r="JG13" s="118">
        <f>COUNTIF('Rig Sheet '!JL19:JL132,"Prod/Surf")</f>
        <v>0</v>
      </c>
      <c r="JH13" s="118">
        <f>COUNTIF('Rig Sheet '!JM19:JM132,"Prod/Surf")</f>
        <v>0</v>
      </c>
      <c r="JI13" s="118">
        <f>COUNTIF('Rig Sheet '!JN19:JN132,"Prod/Surf")</f>
        <v>0</v>
      </c>
      <c r="JJ13" s="118">
        <f>COUNTIF('Rig Sheet '!JO19:JO132,"Prod/Surf")</f>
        <v>0</v>
      </c>
      <c r="JK13" s="118">
        <f>COUNTIF('Rig Sheet '!JP19:JP132,"Prod/Surf")</f>
        <v>0</v>
      </c>
      <c r="JL13" s="118">
        <f>COUNTIF('Rig Sheet '!JQ19:JQ132,"Prod/Surf")</f>
        <v>0</v>
      </c>
      <c r="JM13" s="118">
        <f>COUNTIF('Rig Sheet '!JR19:JR132,"Prod/Surf")</f>
        <v>0</v>
      </c>
      <c r="JN13" s="118">
        <f>COUNTIF('Rig Sheet '!JS19:JS132,"Prod/Surf")</f>
        <v>0</v>
      </c>
      <c r="JO13" s="118">
        <f>COUNTIF('Rig Sheet '!JT19:JT132,"Prod/Surf")</f>
        <v>0</v>
      </c>
      <c r="JP13" s="118">
        <f>COUNTIF('Rig Sheet '!JU19:JU132,"Prod/Surf")</f>
        <v>0</v>
      </c>
      <c r="JQ13" s="118">
        <f>COUNTIF('Rig Sheet '!JV19:JV132,"Prod/Surf")</f>
        <v>0</v>
      </c>
      <c r="JR13" s="118">
        <f>COUNTIF('Rig Sheet '!JW19:JW132,"Prod/Surf")</f>
        <v>0</v>
      </c>
      <c r="JS13" s="118">
        <f>COUNTIF('Rig Sheet '!JX19:JX132,"Prod/Surf")</f>
        <v>0</v>
      </c>
      <c r="JT13" s="118">
        <f>COUNTIF('Rig Sheet '!JY19:JY132,"Prod/Surf")</f>
        <v>0</v>
      </c>
      <c r="JU13" s="118">
        <f>COUNTIF('Rig Sheet '!JZ19:JZ132,"Prod/Surf")</f>
        <v>0</v>
      </c>
      <c r="JV13" s="118">
        <f>COUNTIF('Rig Sheet '!KA19:KA132,"Prod/Surf")</f>
        <v>0</v>
      </c>
      <c r="JW13" s="118">
        <f>COUNTIF('Rig Sheet '!KB19:KB132,"Prod/Surf")</f>
        <v>0</v>
      </c>
      <c r="JX13" s="118">
        <f>COUNTIF('Rig Sheet '!KC19:KC132,"Prod/Surf")</f>
        <v>0</v>
      </c>
      <c r="JY13" s="118">
        <f>COUNTIF('Rig Sheet '!KD19:KD132,"Prod/Surf")</f>
        <v>0</v>
      </c>
      <c r="JZ13" s="118">
        <f>COUNTIF('Rig Sheet '!KE19:KE132,"Prod/Surf")</f>
        <v>0</v>
      </c>
      <c r="KA13" s="118">
        <f>COUNTIF('Rig Sheet '!KF19:KF132,"Prod/Surf")</f>
        <v>0</v>
      </c>
      <c r="KB13" s="118">
        <f>COUNTIF('Rig Sheet '!KG19:KG132,"Prod/Surf")</f>
        <v>0</v>
      </c>
      <c r="KC13" s="118">
        <f>COUNTIF('Rig Sheet '!KH19:KH132,"Prod/Surf")</f>
        <v>0</v>
      </c>
      <c r="KD13" s="118">
        <f>COUNTIF('Rig Sheet '!KI19:KI132,"Prod/Surf")</f>
        <v>0</v>
      </c>
      <c r="KE13" s="118">
        <f>COUNTIF('Rig Sheet '!KJ19:KJ132,"Prod/Surf")</f>
        <v>0</v>
      </c>
      <c r="KF13" s="118">
        <f>COUNTIF('Rig Sheet '!KK19:KK132,"Prod/Surf")</f>
        <v>0</v>
      </c>
      <c r="KG13" s="118">
        <f>COUNTIF('Rig Sheet '!KL19:KL132,"Prod/Surf")</f>
        <v>0</v>
      </c>
      <c r="KH13" s="118">
        <f>COUNTIF('Rig Sheet '!KM19:KM132,"Prod/Surf")</f>
        <v>0</v>
      </c>
      <c r="KI13" s="118">
        <f>COUNTIF('Rig Sheet '!KN19:KN132,"Prod/Surf")</f>
        <v>0</v>
      </c>
      <c r="KJ13" s="118">
        <f>COUNTIF('Rig Sheet '!KO19:KO132,"Prod/Surf")</f>
        <v>0</v>
      </c>
      <c r="KK13" s="118">
        <f>COUNTIF('Rig Sheet '!KP19:KP132,"Prod/Surf")</f>
        <v>0</v>
      </c>
      <c r="KL13" s="118">
        <f>COUNTIF('Rig Sheet '!KQ19:KQ132,"Prod/Surf")</f>
        <v>0</v>
      </c>
      <c r="KM13" s="118">
        <f>COUNTIF('Rig Sheet '!KR19:KR132,"Prod/Surf")</f>
        <v>0</v>
      </c>
      <c r="KN13" s="118">
        <f>COUNTIF('Rig Sheet '!KS19:KS132,"Prod/Surf")</f>
        <v>0</v>
      </c>
      <c r="KO13" s="118">
        <f>COUNTIF('Rig Sheet '!KT19:KT132,"Prod/Surf")</f>
        <v>0</v>
      </c>
      <c r="KP13" s="118">
        <f>COUNTIF('Rig Sheet '!KU19:KU132,"Prod/Surf")</f>
        <v>0</v>
      </c>
      <c r="KQ13" s="118">
        <f>COUNTIF('Rig Sheet '!KV19:KV132,"Prod/Surf")</f>
        <v>0</v>
      </c>
      <c r="KR13" s="118">
        <f>COUNTIF('Rig Sheet '!KW19:KW132,"Prod/Surf")</f>
        <v>0</v>
      </c>
      <c r="KS13" s="118">
        <f>COUNTIF('Rig Sheet '!KX19:KX132,"Prod/Surf")</f>
        <v>0</v>
      </c>
      <c r="KT13" s="118">
        <f>COUNTIF('Rig Sheet '!KY19:KY132,"Prod/Surf")</f>
        <v>0</v>
      </c>
      <c r="KU13" s="118">
        <f>COUNTIF('Rig Sheet '!KZ19:KZ132,"Prod/Surf")</f>
        <v>0</v>
      </c>
      <c r="KV13" s="118">
        <f>COUNTIF('Rig Sheet '!LA19:LA132,"Prod/Surf")</f>
        <v>0</v>
      </c>
      <c r="KW13" s="118">
        <f>COUNTIF('Rig Sheet '!LB19:LB132,"Prod/Surf")</f>
        <v>0</v>
      </c>
      <c r="KX13" s="118">
        <f>COUNTIF('Rig Sheet '!LC19:LC132,"Prod/Surf")</f>
        <v>0</v>
      </c>
      <c r="KY13" s="118">
        <f>COUNTIF('Rig Sheet '!LD19:LD132,"Prod/Surf")</f>
        <v>0</v>
      </c>
      <c r="KZ13" s="118">
        <f>COUNTIF('Rig Sheet '!LE19:LE132,"Prod/Surf")</f>
        <v>0</v>
      </c>
      <c r="LA13" s="118">
        <f>COUNTIF('Rig Sheet '!LF19:LF132,"Prod/Surf")</f>
        <v>0</v>
      </c>
      <c r="LB13" s="118">
        <f>COUNTIF('Rig Sheet '!LG19:LG132,"Prod/Surf")</f>
        <v>0</v>
      </c>
      <c r="LC13" s="118">
        <f>COUNTIF('Rig Sheet '!LH19:LH132,"Prod/Surf")</f>
        <v>0</v>
      </c>
      <c r="LD13" s="118">
        <f>COUNTIF('Rig Sheet '!LI19:LI132,"Prod/Surf")</f>
        <v>0</v>
      </c>
      <c r="LE13" s="118">
        <f>COUNTIF('Rig Sheet '!LJ19:LJ132,"Prod/Surf")</f>
        <v>0</v>
      </c>
      <c r="LF13" s="118">
        <f>COUNTIF('Rig Sheet '!LK19:LK132,"Prod/Surf")</f>
        <v>0</v>
      </c>
      <c r="LG13" s="118">
        <f>COUNTIF('Rig Sheet '!LL19:LL132,"Prod/Surf")</f>
        <v>0</v>
      </c>
      <c r="LH13" s="118">
        <f>COUNTIF('Rig Sheet '!LM19:LM132,"Prod/Surf")</f>
        <v>0</v>
      </c>
      <c r="LI13" s="118">
        <f>COUNTIF('Rig Sheet '!LN19:LN132,"Prod/Surf")</f>
        <v>0</v>
      </c>
      <c r="LJ13" s="118">
        <f>COUNTIF('Rig Sheet '!LO19:LO132,"Prod/Surf")</f>
        <v>0</v>
      </c>
      <c r="LK13" s="118">
        <f>COUNTIF('Rig Sheet '!LP19:LP132,"Prod/Surf")</f>
        <v>0</v>
      </c>
      <c r="LL13" s="118">
        <f>COUNTIF('Rig Sheet '!LQ19:LQ132,"Prod/Surf")</f>
        <v>0</v>
      </c>
      <c r="LM13" s="118">
        <f>COUNTIF('Rig Sheet '!LR19:LR132,"Prod/Surf")</f>
        <v>0</v>
      </c>
      <c r="LN13" s="118">
        <f>COUNTIF('Rig Sheet '!LS19:LS132,"Prod/Surf")</f>
        <v>0</v>
      </c>
      <c r="LO13" s="118">
        <f>COUNTIF('Rig Sheet '!LT19:LT132,"Prod/Surf")</f>
        <v>0</v>
      </c>
      <c r="LP13" s="118">
        <f>COUNTIF('Rig Sheet '!LU19:LU132,"Prod/Surf")</f>
        <v>0</v>
      </c>
      <c r="LQ13" s="118">
        <f>COUNTIF('Rig Sheet '!LV19:LV132,"Prod/Surf")</f>
        <v>0</v>
      </c>
      <c r="LR13" s="118">
        <f>COUNTIF('Rig Sheet '!LW19:LW132,"Prod/Surf")</f>
        <v>0</v>
      </c>
      <c r="LS13" s="118">
        <f>COUNTIF('Rig Sheet '!LX19:LX132,"Prod/Surf")</f>
        <v>0</v>
      </c>
      <c r="LT13" s="118">
        <f>COUNTIF('Rig Sheet '!LY19:LY132,"Prod/Surf")</f>
        <v>0</v>
      </c>
      <c r="LU13" s="118">
        <f>COUNTIF('Rig Sheet '!LZ19:LZ132,"Prod/Surf")</f>
        <v>0</v>
      </c>
      <c r="LV13" s="118">
        <f>COUNTIF('Rig Sheet '!MA19:MA132,"Prod/Surf")</f>
        <v>0</v>
      </c>
      <c r="LW13" s="118">
        <f>COUNTIF('Rig Sheet '!MB19:MB132,"Prod/Surf")</f>
        <v>0</v>
      </c>
      <c r="LX13" s="118">
        <f>COUNTIF('Rig Sheet '!MC19:MC132,"Prod/Surf")</f>
        <v>0</v>
      </c>
      <c r="LY13" s="118">
        <f>COUNTIF('Rig Sheet '!MD19:MD132,"Prod/Surf")</f>
        <v>0</v>
      </c>
      <c r="LZ13" s="118">
        <f>COUNTIF('Rig Sheet '!ME19:ME132,"Prod/Surf")</f>
        <v>0</v>
      </c>
      <c r="MA13" s="118">
        <f>COUNTIF('Rig Sheet '!MF19:MF132,"Prod/Surf")</f>
        <v>0</v>
      </c>
      <c r="MB13" s="118">
        <f>COUNTIF('Rig Sheet '!MG19:MG132,"Prod/Surf")</f>
        <v>0</v>
      </c>
      <c r="MC13" s="118">
        <f>COUNTIF('Rig Sheet '!MH19:MH132,"Prod/Surf")</f>
        <v>0</v>
      </c>
      <c r="MD13" s="118">
        <f>COUNTIF('Rig Sheet '!MI19:MI132,"Prod/Surf")</f>
        <v>0</v>
      </c>
      <c r="ME13" s="118">
        <f>COUNTIF('Rig Sheet '!MJ19:MJ132,"Prod/Surf")</f>
        <v>0</v>
      </c>
      <c r="MF13" s="118">
        <f>COUNTIF('Rig Sheet '!MK19:MK132,"Prod/Surf")</f>
        <v>0</v>
      </c>
      <c r="MG13" s="118">
        <f>COUNTIF('Rig Sheet '!ML19:ML132,"Prod/Surf")</f>
        <v>0</v>
      </c>
      <c r="MH13" s="118">
        <f>COUNTIF('Rig Sheet '!MM19:MM132,"Prod/Surf")</f>
        <v>0</v>
      </c>
      <c r="MI13" s="118">
        <f>COUNTIF('Rig Sheet '!MN19:MN132,"Prod/Surf")</f>
        <v>0</v>
      </c>
      <c r="MJ13" s="118">
        <f>COUNTIF('Rig Sheet '!MO19:MO132,"Prod/Surf")</f>
        <v>0</v>
      </c>
      <c r="MK13" s="118">
        <f>COUNTIF('Rig Sheet '!MP19:MP132,"Prod/Surf")</f>
        <v>0</v>
      </c>
      <c r="ML13" s="118">
        <f>COUNTIF('Rig Sheet '!MQ19:MQ132,"Prod/Surf")</f>
        <v>0</v>
      </c>
      <c r="MM13" s="118">
        <f>COUNTIF('Rig Sheet '!MR19:MR132,"Prod/Surf")</f>
        <v>0</v>
      </c>
      <c r="MN13" s="118">
        <f>COUNTIF('Rig Sheet '!MS19:MS132,"Prod/Surf")</f>
        <v>0</v>
      </c>
      <c r="MO13" s="118">
        <f>COUNTIF('Rig Sheet '!MT19:MT132,"Prod/Surf")</f>
        <v>0</v>
      </c>
      <c r="MP13" s="118">
        <f>COUNTIF('Rig Sheet '!MU19:MU132,"Prod/Surf")</f>
        <v>0</v>
      </c>
      <c r="MQ13" s="118">
        <f>COUNTIF('Rig Sheet '!MV19:MV132,"Prod/Surf")</f>
        <v>0</v>
      </c>
      <c r="MR13" s="118">
        <f>COUNTIF('Rig Sheet '!MW19:MW132,"Prod/Surf")</f>
        <v>0</v>
      </c>
      <c r="MS13" s="118">
        <f>COUNTIF('Rig Sheet '!MX19:MX132,"Prod/Surf")</f>
        <v>0</v>
      </c>
      <c r="MT13" s="118">
        <f>COUNTIF('Rig Sheet '!MY19:MY132,"Prod/Surf")</f>
        <v>0</v>
      </c>
      <c r="MU13" s="118">
        <f>COUNTIF('Rig Sheet '!MZ19:MZ132,"Prod/Surf")</f>
        <v>0</v>
      </c>
      <c r="MV13" s="118">
        <f>COUNTIF('Rig Sheet '!NA19:NA132,"Prod/Surf")</f>
        <v>0</v>
      </c>
      <c r="MW13" s="118">
        <f>COUNTIF('Rig Sheet '!NB19:NB132,"Prod/Surf")</f>
        <v>0</v>
      </c>
      <c r="MX13" s="118">
        <f>COUNTIF('Rig Sheet '!NC19:NC132,"Prod/Surf")</f>
        <v>0</v>
      </c>
      <c r="MY13" s="118">
        <f>COUNTIF('Rig Sheet '!ND19:ND132,"Prod/Surf")</f>
        <v>0</v>
      </c>
      <c r="MZ13" s="118">
        <f>COUNTIF('Rig Sheet '!NE19:NE132,"Prod/Surf")</f>
        <v>0</v>
      </c>
      <c r="NA13" s="118">
        <f>COUNTIF('Rig Sheet '!NF19:NF132,"Prod/Surf")</f>
        <v>0</v>
      </c>
      <c r="NB13" s="118">
        <f>COUNTIF('Rig Sheet '!NG19:NG132,"Prod/Surf")</f>
        <v>0</v>
      </c>
    </row>
    <row r="14" spans="1:366">
      <c r="A14" s="119" t="s">
        <v>57</v>
      </c>
      <c r="B14" s="118">
        <f>COUNTIF('Rig Sheet '!G19:G132,"Liner")</f>
        <v>0</v>
      </c>
      <c r="C14" s="118">
        <f>COUNTIF('Rig Sheet '!H19:H132,"Liner")</f>
        <v>0</v>
      </c>
      <c r="D14" s="118">
        <f>COUNTIF('Rig Sheet '!I19:I132,"Liner")</f>
        <v>0</v>
      </c>
      <c r="E14" s="118">
        <f>COUNTIF('Rig Sheet '!J19:J132,"Liner")</f>
        <v>0</v>
      </c>
      <c r="F14" s="118">
        <f>COUNTIF('Rig Sheet '!K19:K132,"Liner")</f>
        <v>0</v>
      </c>
      <c r="G14" s="118">
        <f>COUNTIF('Rig Sheet '!L19:L132,"Liner")</f>
        <v>0</v>
      </c>
      <c r="H14" s="118">
        <f>COUNTIF('Rig Sheet '!M19:M132,"Liner")</f>
        <v>0</v>
      </c>
      <c r="I14" s="118">
        <f>COUNTIF('Rig Sheet '!N19:N132,"Liner")</f>
        <v>0</v>
      </c>
      <c r="J14" s="118">
        <f>COUNTIF('Rig Sheet '!O19:O132,"Liner")</f>
        <v>0</v>
      </c>
      <c r="K14" s="118">
        <f>COUNTIF('Rig Sheet '!P19:P132,"Liner")</f>
        <v>0</v>
      </c>
      <c r="L14" s="118">
        <f>COUNTIF('Rig Sheet '!Q19:Q132,"Liner")</f>
        <v>0</v>
      </c>
      <c r="M14" s="118">
        <f>COUNTIF('Rig Sheet '!R19:R132,"Liner")</f>
        <v>0</v>
      </c>
      <c r="N14" s="118">
        <f>COUNTIF('Rig Sheet '!S19:S132,"Liner")</f>
        <v>0</v>
      </c>
      <c r="O14" s="118">
        <f>COUNTIF('Rig Sheet '!T19:T132,"Liner")</f>
        <v>0</v>
      </c>
      <c r="P14" s="118">
        <f>COUNTIF('Rig Sheet '!U19:U132,"Liner")</f>
        <v>0</v>
      </c>
      <c r="Q14" s="118">
        <f>COUNTIF('Rig Sheet '!V19:V132,"Liner")</f>
        <v>0</v>
      </c>
      <c r="R14" s="118">
        <f>COUNTIF('Rig Sheet '!W19:W132,"Liner")</f>
        <v>0</v>
      </c>
      <c r="S14" s="118">
        <f>COUNTIF('Rig Sheet '!X19:X132,"Liner")</f>
        <v>0</v>
      </c>
      <c r="T14" s="118">
        <f>COUNTIF('Rig Sheet '!Y19:Y132,"Liner")</f>
        <v>0</v>
      </c>
      <c r="U14" s="118">
        <f>COUNTIF('Rig Sheet '!Z19:Z132,"Liner")</f>
        <v>0</v>
      </c>
      <c r="V14" s="118">
        <f>COUNTIF('Rig Sheet '!AA19:AA132,"Liner")</f>
        <v>0</v>
      </c>
      <c r="W14" s="118">
        <f>COUNTIF('Rig Sheet '!AB19:AB132,"Liner")</f>
        <v>0</v>
      </c>
      <c r="X14" s="118">
        <f>COUNTIF('Rig Sheet '!AC19:AC132,"Liner")</f>
        <v>0</v>
      </c>
      <c r="Y14" s="118">
        <f>COUNTIF('Rig Sheet '!AD19:AD132,"Liner")</f>
        <v>0</v>
      </c>
      <c r="Z14" s="118">
        <f>COUNTIF('Rig Sheet '!AE19:AE132,"Liner")</f>
        <v>1</v>
      </c>
      <c r="AA14" s="118">
        <f>COUNTIF('Rig Sheet '!AF19:AF132,"Liner")</f>
        <v>0</v>
      </c>
      <c r="AB14" s="118">
        <f>COUNTIF('Rig Sheet '!AG19:AG132,"Liner")</f>
        <v>0</v>
      </c>
      <c r="AC14" s="118">
        <f>COUNTIF('Rig Sheet '!AH19:AH132,"Liner")</f>
        <v>0</v>
      </c>
      <c r="AD14" s="118">
        <f>COUNTIF('Rig Sheet '!AI19:AI132,"Liner")</f>
        <v>1</v>
      </c>
      <c r="AE14" s="118">
        <f>COUNTIF('Rig Sheet '!AJ19:AJ132,"Liner")</f>
        <v>0</v>
      </c>
      <c r="AF14" s="118">
        <f>COUNTIF('Rig Sheet '!AK19:AK132,"Liner")</f>
        <v>0</v>
      </c>
      <c r="AG14" s="118">
        <f>COUNTIF('Rig Sheet '!AL19:AL132,"Liner")</f>
        <v>0</v>
      </c>
      <c r="AH14" s="118">
        <f>COUNTIF('Rig Sheet '!AM19:AM132,"Liner")</f>
        <v>0</v>
      </c>
      <c r="AI14" s="118">
        <f>COUNTIF('Rig Sheet '!AN19:AN132,"Liner")</f>
        <v>0</v>
      </c>
      <c r="AJ14" s="118">
        <f>COUNTIF('Rig Sheet '!AO19:AO132,"Liner")</f>
        <v>0</v>
      </c>
      <c r="AK14" s="118">
        <f>COUNTIF('Rig Sheet '!AP19:AP132,"Liner")</f>
        <v>0</v>
      </c>
      <c r="AL14" s="118">
        <f>COUNTIF('Rig Sheet '!AQ19:AQ132,"Liner")</f>
        <v>0</v>
      </c>
      <c r="AM14" s="118">
        <f>COUNTIF('Rig Sheet '!AR19:AR132,"Liner")</f>
        <v>0</v>
      </c>
      <c r="AN14" s="118">
        <f>COUNTIF('Rig Sheet '!AS19:AS132,"Liner")</f>
        <v>0</v>
      </c>
      <c r="AO14" s="118">
        <f>COUNTIF('Rig Sheet '!AT19:AT132,"Liner")</f>
        <v>0</v>
      </c>
      <c r="AP14" s="118">
        <f>COUNTIF('Rig Sheet '!AU19:AU132,"Liner")</f>
        <v>0</v>
      </c>
      <c r="AQ14" s="118">
        <f>COUNTIF('Rig Sheet '!AV19:AV132,"Liner")</f>
        <v>0</v>
      </c>
      <c r="AR14" s="118">
        <f>COUNTIF('Rig Sheet '!AW19:AW132,"Liner")</f>
        <v>0</v>
      </c>
      <c r="AS14" s="118">
        <f>COUNTIF('Rig Sheet '!AX19:AX132,"Liner")</f>
        <v>1</v>
      </c>
      <c r="AT14" s="118">
        <f>COUNTIF('Rig Sheet '!AY19:AY132,"Liner")</f>
        <v>0</v>
      </c>
      <c r="AU14" s="118">
        <f>COUNTIF('Rig Sheet '!AZ19:AZ132,"Liner")</f>
        <v>0</v>
      </c>
      <c r="AV14" s="118">
        <f>COUNTIF('Rig Sheet '!BA19:BA132,"Liner")</f>
        <v>0</v>
      </c>
      <c r="AW14" s="118">
        <f>COUNTIF('Rig Sheet '!BB19:BB132,"Liner")</f>
        <v>0</v>
      </c>
      <c r="AX14" s="118">
        <f>COUNTIF('Rig Sheet '!BC19:BC132,"Liner")</f>
        <v>0</v>
      </c>
      <c r="AY14" s="118">
        <f>COUNTIF('Rig Sheet '!BD19:BD132,"Liner")</f>
        <v>0</v>
      </c>
      <c r="AZ14" s="118">
        <f>COUNTIF('Rig Sheet '!BE19:BE132,"Liner")</f>
        <v>0</v>
      </c>
      <c r="BA14" s="118">
        <f>COUNTIF('Rig Sheet '!BF19:BF132,"Liner")</f>
        <v>0</v>
      </c>
      <c r="BB14" s="118">
        <f>COUNTIF('Rig Sheet '!BG19:BG132,"Liner")</f>
        <v>0</v>
      </c>
      <c r="BC14" s="118">
        <f>COUNTIF('Rig Sheet '!BH19:BH132,"Liner")</f>
        <v>0</v>
      </c>
      <c r="BD14" s="118">
        <f>COUNTIF('Rig Sheet '!BI19:BI132,"Liner")</f>
        <v>1</v>
      </c>
      <c r="BE14" s="118">
        <f>COUNTIF('Rig Sheet '!BJ19:BJ132,"Liner")</f>
        <v>0</v>
      </c>
      <c r="BF14" s="118">
        <f>COUNTIF('Rig Sheet '!BK19:BK132,"Liner")</f>
        <v>0</v>
      </c>
      <c r="BG14" s="118">
        <f>COUNTIF('Rig Sheet '!BL19:BL132,"Liner")</f>
        <v>0</v>
      </c>
      <c r="BH14" s="118">
        <f>COUNTIF('Rig Sheet '!BM19:BM132,"Liner")</f>
        <v>0</v>
      </c>
      <c r="BI14" s="118">
        <f>COUNTIF('Rig Sheet '!BN19:BN132,"Liner")</f>
        <v>1</v>
      </c>
      <c r="BJ14" s="118">
        <f>COUNTIF('Rig Sheet '!BO19:BO132,"Liner")</f>
        <v>0</v>
      </c>
      <c r="BK14" s="118">
        <f>COUNTIF('Rig Sheet '!BP19:BP132,"Liner")</f>
        <v>1</v>
      </c>
      <c r="BL14" s="118">
        <f>COUNTIF('Rig Sheet '!BQ19:BQ132,"Liner")</f>
        <v>0</v>
      </c>
      <c r="BM14" s="118">
        <f>COUNTIF('Rig Sheet '!BR19:BR132,"Liner")</f>
        <v>0</v>
      </c>
      <c r="BN14" s="118">
        <f>COUNTIF('Rig Sheet '!BS19:BS132,"Liner")</f>
        <v>0</v>
      </c>
      <c r="BO14" s="118">
        <f>COUNTIF('Rig Sheet '!BT19:BT132,"Liner")</f>
        <v>0</v>
      </c>
      <c r="BP14" s="118">
        <f>COUNTIF('Rig Sheet '!BU19:BU132,"Liner")</f>
        <v>0</v>
      </c>
      <c r="BQ14" s="118">
        <f>COUNTIF('Rig Sheet '!BV19:BV132,"Liner")</f>
        <v>0</v>
      </c>
      <c r="BR14" s="118">
        <f>COUNTIF('Rig Sheet '!BW19:BW132,"Liner")</f>
        <v>0</v>
      </c>
      <c r="BS14" s="118">
        <f>COUNTIF('Rig Sheet '!BX19:BX132,"Liner")</f>
        <v>0</v>
      </c>
      <c r="BT14" s="118">
        <f>COUNTIF('Rig Sheet '!BY19:BY132,"Liner")</f>
        <v>0</v>
      </c>
      <c r="BU14" s="118">
        <f>COUNTIF('Rig Sheet '!BZ19:BZ132,"Liner")</f>
        <v>0</v>
      </c>
      <c r="BV14" s="118">
        <f>COUNTIF('Rig Sheet '!CA19:CA132,"Liner")</f>
        <v>0</v>
      </c>
      <c r="BW14" s="118">
        <f>COUNTIF('Rig Sheet '!CB19:CB132,"Liner")</f>
        <v>0</v>
      </c>
      <c r="BX14" s="118">
        <f>COUNTIF('Rig Sheet '!CC19:CC132,"Liner")</f>
        <v>0</v>
      </c>
      <c r="BY14" s="118">
        <f>COUNTIF('Rig Sheet '!CD19:CD132,"Liner")</f>
        <v>0</v>
      </c>
      <c r="BZ14" s="118">
        <f>COUNTIF('Rig Sheet '!CE19:CE132,"Liner")</f>
        <v>0</v>
      </c>
      <c r="CA14" s="118">
        <f>COUNTIF('Rig Sheet '!CF19:CF132,"Liner")</f>
        <v>0</v>
      </c>
      <c r="CB14" s="118">
        <f>COUNTIF('Rig Sheet '!CG19:CG132,"Liner")</f>
        <v>0</v>
      </c>
      <c r="CC14" s="118">
        <f>COUNTIF('Rig Sheet '!CH19:CH132,"Liner")</f>
        <v>0</v>
      </c>
      <c r="CD14" s="118">
        <f>COUNTIF('Rig Sheet '!CI19:CI132,"Liner")</f>
        <v>0</v>
      </c>
      <c r="CE14" s="118">
        <f>COUNTIF('Rig Sheet '!CJ19:CJ132,"Liner")</f>
        <v>0</v>
      </c>
      <c r="CF14" s="118">
        <f>COUNTIF('Rig Sheet '!CK19:CK132,"Liner")</f>
        <v>0</v>
      </c>
      <c r="CG14" s="118">
        <f>COUNTIF('Rig Sheet '!CL19:CL132,"Liner")</f>
        <v>0</v>
      </c>
      <c r="CH14" s="118">
        <f>COUNTIF('Rig Sheet '!CM19:CM132,"Liner")</f>
        <v>0</v>
      </c>
      <c r="CI14" s="118">
        <f>COUNTIF('Rig Sheet '!CN19:CN132,"Liner")</f>
        <v>0</v>
      </c>
      <c r="CJ14" s="118">
        <f>COUNTIF('Rig Sheet '!CO19:CO132,"Liner")</f>
        <v>0</v>
      </c>
      <c r="CK14" s="118">
        <f>COUNTIF('Rig Sheet '!CP19:CP132,"Liner")</f>
        <v>1</v>
      </c>
      <c r="CL14" s="118">
        <f>COUNTIF('Rig Sheet '!CQ19:CQ132,"Liner")</f>
        <v>0</v>
      </c>
      <c r="CM14" s="118">
        <f>COUNTIF('Rig Sheet '!CR19:CR132,"Liner")</f>
        <v>0</v>
      </c>
      <c r="CN14" s="118">
        <f>COUNTIF('Rig Sheet '!CS19:CS132,"Liner")</f>
        <v>0</v>
      </c>
      <c r="CO14" s="118">
        <f>COUNTIF('Rig Sheet '!CT19:CT132,"Liner")</f>
        <v>0</v>
      </c>
      <c r="CP14" s="118">
        <f>COUNTIF('Rig Sheet '!CU19:CU132,"Liner")</f>
        <v>0</v>
      </c>
      <c r="CQ14" s="118">
        <f>COUNTIF('Rig Sheet '!CV19:CV132,"Liner")</f>
        <v>0</v>
      </c>
      <c r="CR14" s="118">
        <f>COUNTIF('Rig Sheet '!CW19:CW132,"Liner")</f>
        <v>0</v>
      </c>
      <c r="CS14" s="118">
        <f>COUNTIF('Rig Sheet '!CX19:CX132,"Liner")</f>
        <v>1</v>
      </c>
      <c r="CT14" s="118">
        <f>COUNTIF('Rig Sheet '!CY19:CY132,"Liner")</f>
        <v>0</v>
      </c>
      <c r="CU14" s="118">
        <f>COUNTIF('Rig Sheet '!CZ19:CZ132,"Liner")</f>
        <v>0</v>
      </c>
      <c r="CV14" s="118">
        <f>COUNTIF('Rig Sheet '!DA19:DA132,"Liner")</f>
        <v>0</v>
      </c>
      <c r="CW14" s="118">
        <f>COUNTIF('Rig Sheet '!DB19:DB132,"Liner")</f>
        <v>0</v>
      </c>
      <c r="CX14" s="118">
        <f>COUNTIF('Rig Sheet '!DC19:DC132,"Liner")</f>
        <v>0</v>
      </c>
      <c r="CY14" s="118">
        <f>COUNTIF('Rig Sheet '!DD19:DD132,"Liner")</f>
        <v>0</v>
      </c>
      <c r="CZ14" s="118">
        <f>COUNTIF('Rig Sheet '!DE19:DE132,"Liner")</f>
        <v>0</v>
      </c>
      <c r="DA14" s="118">
        <f>COUNTIF('Rig Sheet '!DF19:DF132,"Liner")</f>
        <v>0</v>
      </c>
      <c r="DB14" s="118">
        <f>COUNTIF('Rig Sheet '!DG19:DG132,"Liner")</f>
        <v>0</v>
      </c>
      <c r="DC14" s="118">
        <f>COUNTIF('Rig Sheet '!DH19:DH132,"Liner")</f>
        <v>0</v>
      </c>
      <c r="DD14" s="118">
        <f>COUNTIF('Rig Sheet '!DI19:DI132,"Liner")</f>
        <v>0</v>
      </c>
      <c r="DE14" s="118">
        <f>COUNTIF('Rig Sheet '!DJ19:DJ132,"Liner")</f>
        <v>0</v>
      </c>
      <c r="DF14" s="118">
        <f>COUNTIF('Rig Sheet '!DK19:DK132,"Liner")</f>
        <v>1</v>
      </c>
      <c r="DG14" s="118">
        <f>COUNTIF('Rig Sheet '!DL19:DL132,"Liner")</f>
        <v>0</v>
      </c>
      <c r="DH14" s="118">
        <f>COUNTIF('Rig Sheet '!DM19:DM132,"Liner")</f>
        <v>0</v>
      </c>
      <c r="DI14" s="118">
        <f>COUNTIF('Rig Sheet '!DN19:DN132,"Liner")</f>
        <v>0</v>
      </c>
      <c r="DJ14" s="118">
        <f>COUNTIF('Rig Sheet '!DO19:DO132,"Liner")</f>
        <v>0</v>
      </c>
      <c r="DK14" s="118">
        <f>COUNTIF('Rig Sheet '!DP19:DP132,"Liner")</f>
        <v>0</v>
      </c>
      <c r="DL14" s="118">
        <f>COUNTIF('Rig Sheet '!DQ19:DQ132,"Liner")</f>
        <v>0</v>
      </c>
      <c r="DM14" s="118">
        <f>COUNTIF('Rig Sheet '!DR19:DR132,"Liner")</f>
        <v>0</v>
      </c>
      <c r="DN14" s="118">
        <f>COUNTIF('Rig Sheet '!DS19:DS132,"Liner")</f>
        <v>0</v>
      </c>
      <c r="DO14" s="118">
        <f>COUNTIF('Rig Sheet '!DT19:DT132,"Liner")</f>
        <v>0</v>
      </c>
      <c r="DP14" s="118">
        <f>COUNTIF('Rig Sheet '!DU19:DU132,"Liner")</f>
        <v>1</v>
      </c>
      <c r="DQ14" s="118">
        <f>COUNTIF('Rig Sheet '!DV19:DV132,"Liner")</f>
        <v>0</v>
      </c>
      <c r="DR14" s="118">
        <f>COUNTIF('Rig Sheet '!DW19:DW132,"Liner")</f>
        <v>0</v>
      </c>
      <c r="DS14" s="118">
        <f>COUNTIF('Rig Sheet '!DX19:DX132,"Liner")</f>
        <v>0</v>
      </c>
      <c r="DT14" s="118">
        <f>COUNTIF('Rig Sheet '!DY19:DY132,"Liner")</f>
        <v>0</v>
      </c>
      <c r="DU14" s="118">
        <f>COUNTIF('Rig Sheet '!DZ19:DZ132,"Liner")</f>
        <v>0</v>
      </c>
      <c r="DV14" s="118">
        <f>COUNTIF('Rig Sheet '!EA19:EA132,"Liner")</f>
        <v>0</v>
      </c>
      <c r="DW14" s="118">
        <f>COUNTIF('Rig Sheet '!EB19:EB132,"Liner")</f>
        <v>0</v>
      </c>
      <c r="DX14" s="118">
        <f>COUNTIF('Rig Sheet '!EC19:EC132,"Liner")</f>
        <v>0</v>
      </c>
      <c r="DY14" s="118">
        <f>COUNTIF('Rig Sheet '!ED19:ED132,"Liner")</f>
        <v>0</v>
      </c>
      <c r="DZ14" s="118">
        <f>COUNTIF('Rig Sheet '!EE19:EE132,"Liner")</f>
        <v>0</v>
      </c>
      <c r="EA14" s="118">
        <f>COUNTIF('Rig Sheet '!EF19:EF132,"Liner")</f>
        <v>1</v>
      </c>
      <c r="EB14" s="118">
        <f>COUNTIF('Rig Sheet '!EG19:EG132,"Liner")</f>
        <v>0</v>
      </c>
      <c r="EC14" s="118">
        <f>COUNTIF('Rig Sheet '!EH19:EH132,"Liner")</f>
        <v>1</v>
      </c>
      <c r="ED14" s="118">
        <f>COUNTIF('Rig Sheet '!EI19:EI132,"Liner")</f>
        <v>0</v>
      </c>
      <c r="EE14" s="118">
        <f>COUNTIF('Rig Sheet '!EJ19:EJ132,"Liner")</f>
        <v>0</v>
      </c>
      <c r="EF14" s="118">
        <f>COUNTIF('Rig Sheet '!EK19:EK132,"Liner")</f>
        <v>1</v>
      </c>
      <c r="EG14" s="118">
        <f>COUNTIF('Rig Sheet '!EL19:EL132,"Liner")</f>
        <v>0</v>
      </c>
      <c r="EH14" s="118">
        <f>COUNTIF('Rig Sheet '!EM19:EM132,"Liner")</f>
        <v>0</v>
      </c>
      <c r="EI14" s="118">
        <f>COUNTIF('Rig Sheet '!EN19:EN132,"Liner")</f>
        <v>0</v>
      </c>
      <c r="EJ14" s="118">
        <f>COUNTIF('Rig Sheet '!EO19:EO132,"Liner")</f>
        <v>0</v>
      </c>
      <c r="EK14" s="118">
        <f>COUNTIF('Rig Sheet '!EP19:EP132,"Liner")</f>
        <v>0</v>
      </c>
      <c r="EL14" s="118">
        <f>COUNTIF('Rig Sheet '!EQ19:EQ132,"Liner")</f>
        <v>0</v>
      </c>
      <c r="EM14" s="118">
        <f>COUNTIF('Rig Sheet '!ER19:ER132,"Liner")</f>
        <v>0</v>
      </c>
      <c r="EN14" s="118">
        <f>COUNTIF('Rig Sheet '!ES19:ES132,"Liner")</f>
        <v>0</v>
      </c>
      <c r="EO14" s="118">
        <f>COUNTIF('Rig Sheet '!ET19:ET132,"Liner")</f>
        <v>0</v>
      </c>
      <c r="EP14" s="118">
        <f>COUNTIF('Rig Sheet '!EU19:EU132,"Liner")</f>
        <v>0</v>
      </c>
      <c r="EQ14" s="118">
        <f>COUNTIF('Rig Sheet '!EV19:EV132,"Liner")</f>
        <v>1</v>
      </c>
      <c r="ER14" s="118">
        <f>COUNTIF('Rig Sheet '!EW19:EW132,"Liner")</f>
        <v>0</v>
      </c>
      <c r="ES14" s="118">
        <f>COUNTIF('Rig Sheet '!EX19:EX132,"Liner")</f>
        <v>1</v>
      </c>
      <c r="ET14" s="118">
        <f>COUNTIF('Rig Sheet '!EY19:EY132,"Liner")</f>
        <v>1</v>
      </c>
      <c r="EU14" s="118">
        <f>COUNTIF('Rig Sheet '!EZ19:EZ132,"Liner")</f>
        <v>0</v>
      </c>
      <c r="EV14" s="118">
        <f>COUNTIF('Rig Sheet '!FA19:FA132,"Liner")</f>
        <v>0</v>
      </c>
      <c r="EW14" s="118">
        <f>COUNTIF('Rig Sheet '!FB19:FB132,"Liner")</f>
        <v>0</v>
      </c>
      <c r="EX14" s="118">
        <f>COUNTIF('Rig Sheet '!FC19:FC132,"Liner")</f>
        <v>0</v>
      </c>
      <c r="EY14" s="118">
        <f>COUNTIF('Rig Sheet '!FD19:FD132,"Liner")</f>
        <v>1</v>
      </c>
      <c r="EZ14" s="118">
        <f>COUNTIF('Rig Sheet '!FE19:FE132,"Liner")</f>
        <v>0</v>
      </c>
      <c r="FA14" s="118">
        <f>COUNTIF('Rig Sheet '!FF19:FF132,"Liner")</f>
        <v>1</v>
      </c>
      <c r="FB14" s="118">
        <f>COUNTIF('Rig Sheet '!FG19:FG132,"Liner")</f>
        <v>0</v>
      </c>
      <c r="FC14" s="118">
        <f>COUNTIF('Rig Sheet '!FH19:FH132,"Liner")</f>
        <v>0</v>
      </c>
      <c r="FD14" s="118">
        <f>COUNTIF('Rig Sheet '!FI19:FI132,"Liner")</f>
        <v>0</v>
      </c>
      <c r="FE14" s="118">
        <f>COUNTIF('Rig Sheet '!FJ19:FJ132,"Liner")</f>
        <v>0</v>
      </c>
      <c r="FF14" s="118">
        <f>COUNTIF('Rig Sheet '!FK19:FK132,"Liner")</f>
        <v>2</v>
      </c>
      <c r="FG14" s="118">
        <f>COUNTIF('Rig Sheet '!FL19:FL132,"Liner")</f>
        <v>1</v>
      </c>
      <c r="FH14" s="118">
        <f>COUNTIF('Rig Sheet '!FM19:FM132,"Liner")</f>
        <v>2</v>
      </c>
      <c r="FI14" s="118">
        <f>COUNTIF('Rig Sheet '!FN19:FN132,"Liner")</f>
        <v>0</v>
      </c>
      <c r="FJ14" s="118">
        <f>COUNTIF('Rig Sheet '!FO19:FO132,"Liner")</f>
        <v>0</v>
      </c>
      <c r="FK14" s="118">
        <f>COUNTIF('Rig Sheet '!FP19:FP132,"Liner")</f>
        <v>0</v>
      </c>
      <c r="FL14" s="118">
        <f>COUNTIF('Rig Sheet '!FQ19:FQ132,"Liner")</f>
        <v>0</v>
      </c>
      <c r="FM14" s="118">
        <f>COUNTIF('Rig Sheet '!FR19:FR132,"Liner")</f>
        <v>0</v>
      </c>
      <c r="FN14" s="118">
        <f>COUNTIF('Rig Sheet '!FS19:FS132,"Liner")</f>
        <v>0</v>
      </c>
      <c r="FO14" s="118">
        <f>COUNTIF('Rig Sheet '!FT19:FT132,"Liner")</f>
        <v>0</v>
      </c>
      <c r="FP14" s="118">
        <f>COUNTIF('Rig Sheet '!FU19:FU132,"Liner")</f>
        <v>0</v>
      </c>
      <c r="FQ14" s="118">
        <f>COUNTIF('Rig Sheet '!FV19:FV132,"Liner")</f>
        <v>0</v>
      </c>
      <c r="FR14" s="118">
        <f>COUNTIF('Rig Sheet '!FW19:FW132,"Liner")</f>
        <v>1</v>
      </c>
      <c r="FS14" s="118">
        <f>COUNTIF('Rig Sheet '!FX19:FX132,"Liner")</f>
        <v>0</v>
      </c>
      <c r="FT14" s="118">
        <f>COUNTIF('Rig Sheet '!FY19:FY132,"Liner")</f>
        <v>1</v>
      </c>
      <c r="FU14" s="118">
        <f>COUNTIF('Rig Sheet '!FZ19:FZ132,"Liner")</f>
        <v>0</v>
      </c>
      <c r="FV14" s="118">
        <f>COUNTIF('Rig Sheet '!GA19:GA132,"Liner")</f>
        <v>0</v>
      </c>
      <c r="FW14" s="118">
        <f>COUNTIF('Rig Sheet '!GB19:GB132,"Liner")</f>
        <v>0</v>
      </c>
      <c r="FX14" s="118">
        <f>COUNTIF('Rig Sheet '!GC19:GC132,"Liner")</f>
        <v>0</v>
      </c>
      <c r="FY14" s="118">
        <f>COUNTIF('Rig Sheet '!GD19:GD132,"Liner")</f>
        <v>0</v>
      </c>
      <c r="FZ14" s="118">
        <f>COUNTIF('Rig Sheet '!GE19:GE132,"Liner")</f>
        <v>0</v>
      </c>
      <c r="GA14" s="118">
        <f>COUNTIF('Rig Sheet '!GF19:GF132,"Liner")</f>
        <v>0</v>
      </c>
      <c r="GB14" s="118">
        <f>COUNTIF('Rig Sheet '!GG19:GG132,"Liner")</f>
        <v>0</v>
      </c>
      <c r="GC14" s="118">
        <f>COUNTIF('Rig Sheet '!GH19:GH132,"Liner")</f>
        <v>0</v>
      </c>
      <c r="GD14" s="118">
        <f>COUNTIF('Rig Sheet '!GI19:GI132,"Liner")</f>
        <v>0</v>
      </c>
      <c r="GE14" s="118">
        <f>COUNTIF('Rig Sheet '!GJ19:GJ132,"Liner")</f>
        <v>2</v>
      </c>
      <c r="GF14" s="118">
        <f>COUNTIF('Rig Sheet '!GK19:GK132,"Liner")</f>
        <v>1</v>
      </c>
      <c r="GG14" s="118">
        <f>COUNTIF('Rig Sheet '!GL19:GL132,"Liner")</f>
        <v>0</v>
      </c>
      <c r="GH14" s="118">
        <f>COUNTIF('Rig Sheet '!GM19:GM132,"Liner")</f>
        <v>0</v>
      </c>
      <c r="GI14" s="118">
        <f>COUNTIF('Rig Sheet '!GN19:GN132,"Liner")</f>
        <v>0</v>
      </c>
      <c r="GJ14" s="118">
        <f>COUNTIF('Rig Sheet '!GO19:GO132,"Liner")</f>
        <v>1</v>
      </c>
      <c r="GK14" s="118">
        <f>COUNTIF('Rig Sheet '!GP19:GP132,"Liner")</f>
        <v>0</v>
      </c>
      <c r="GL14" s="118">
        <f>COUNTIF('Rig Sheet '!GQ19:GQ132,"Liner")</f>
        <v>0</v>
      </c>
      <c r="GM14" s="118">
        <f>COUNTIF('Rig Sheet '!GR19:GR132,"Liner")</f>
        <v>0</v>
      </c>
      <c r="GN14" s="118">
        <f>COUNTIF('Rig Sheet '!GS19:GS132,"Liner")</f>
        <v>1</v>
      </c>
      <c r="GO14" s="118">
        <f>COUNTIF('Rig Sheet '!GT19:GT132,"Liner")</f>
        <v>1</v>
      </c>
      <c r="GP14" s="118">
        <f>COUNTIF('Rig Sheet '!GU19:GU132,"Liner")</f>
        <v>0</v>
      </c>
      <c r="GQ14" s="118">
        <f>COUNTIF('Rig Sheet '!GV19:GV132,"Liner")</f>
        <v>0</v>
      </c>
      <c r="GR14" s="118">
        <f>COUNTIF('Rig Sheet '!GW19:GW132,"Liner")</f>
        <v>0</v>
      </c>
      <c r="GS14" s="118">
        <f>COUNTIF('Rig Sheet '!GX19:GX132,"Liner")</f>
        <v>0</v>
      </c>
      <c r="GT14" s="118">
        <f>COUNTIF('Rig Sheet '!GY19:GY132,"Liner")</f>
        <v>1</v>
      </c>
      <c r="GU14" s="118">
        <f>COUNTIF('Rig Sheet '!GZ19:GZ132,"Liner")</f>
        <v>0</v>
      </c>
      <c r="GV14" s="118">
        <f>COUNTIF('Rig Sheet '!HA19:HA132,"Liner")</f>
        <v>0</v>
      </c>
      <c r="GW14" s="118">
        <f>COUNTIF('Rig Sheet '!HB19:HB132,"Liner")</f>
        <v>0</v>
      </c>
      <c r="GX14" s="118">
        <f>COUNTIF('Rig Sheet '!HC19:HC132,"Liner")</f>
        <v>0</v>
      </c>
      <c r="GY14" s="118">
        <f>COUNTIF('Rig Sheet '!HD19:HD132,"Liner")</f>
        <v>0</v>
      </c>
      <c r="GZ14" s="118">
        <f>COUNTIF('Rig Sheet '!HE19:HE132,"Liner")</f>
        <v>1</v>
      </c>
      <c r="HA14" s="118">
        <f>COUNTIF('Rig Sheet '!HF19:HF132,"Liner")</f>
        <v>0</v>
      </c>
      <c r="HB14" s="118">
        <f>COUNTIF('Rig Sheet '!HG19:HG132,"Liner")</f>
        <v>0</v>
      </c>
      <c r="HC14" s="118">
        <f>COUNTIF('Rig Sheet '!HH19:HH132,"Liner")</f>
        <v>0</v>
      </c>
      <c r="HD14" s="118">
        <f>COUNTIF('Rig Sheet '!HI19:HI132,"Liner")</f>
        <v>1</v>
      </c>
      <c r="HE14" s="118">
        <f>COUNTIF('Rig Sheet '!HJ19:HJ132,"Liner")</f>
        <v>0</v>
      </c>
      <c r="HF14" s="118">
        <f>COUNTIF('Rig Sheet '!HK19:HK132,"Liner")</f>
        <v>2</v>
      </c>
      <c r="HG14" s="118">
        <f>COUNTIF('Rig Sheet '!HL19:HL132,"Liner")</f>
        <v>1</v>
      </c>
      <c r="HH14" s="118">
        <f>COUNTIF('Rig Sheet '!HM19:HM132,"Liner")</f>
        <v>0</v>
      </c>
      <c r="HI14" s="118">
        <f>COUNTIF('Rig Sheet '!HN19:HN132,"Liner")</f>
        <v>0</v>
      </c>
      <c r="HJ14" s="118">
        <f>COUNTIF('Rig Sheet '!HO19:HO132,"Liner")</f>
        <v>0</v>
      </c>
      <c r="HK14" s="118">
        <f>COUNTIF('Rig Sheet '!HP19:HP132,"Liner")</f>
        <v>2</v>
      </c>
      <c r="HL14" s="118">
        <f>COUNTIF('Rig Sheet '!HQ19:HQ132,"Liner")</f>
        <v>0</v>
      </c>
      <c r="HM14" s="118">
        <f>COUNTIF('Rig Sheet '!HR19:HR132,"Liner")</f>
        <v>0</v>
      </c>
      <c r="HN14" s="118">
        <f>COUNTIF('Rig Sheet '!HS19:HS132,"Liner")</f>
        <v>0</v>
      </c>
      <c r="HO14" s="118">
        <f>COUNTIF('Rig Sheet '!HT19:HT132,"Liner")</f>
        <v>1</v>
      </c>
      <c r="HP14" s="118">
        <f>COUNTIF('Rig Sheet '!HU19:HU132,"Liner")</f>
        <v>0</v>
      </c>
      <c r="HQ14" s="118">
        <f>COUNTIF('Rig Sheet '!HV19:HV132,"Liner")</f>
        <v>0</v>
      </c>
      <c r="HR14" s="118">
        <f>COUNTIF('Rig Sheet '!HW19:HW132,"Liner")</f>
        <v>1</v>
      </c>
      <c r="HS14" s="118">
        <f>COUNTIF('Rig Sheet '!HX19:HX132,"Liner")</f>
        <v>0</v>
      </c>
      <c r="HT14" s="118">
        <f>COUNTIF('Rig Sheet '!HY19:HY132,"Liner")</f>
        <v>1</v>
      </c>
      <c r="HU14" s="118">
        <f>COUNTIF('Rig Sheet '!HZ19:HZ132,"Liner")</f>
        <v>0</v>
      </c>
      <c r="HV14" s="118">
        <f>COUNTIF('Rig Sheet '!IA19:IA132,"Liner")</f>
        <v>1</v>
      </c>
      <c r="HW14" s="118">
        <f>COUNTIF('Rig Sheet '!IB19:IB132,"Liner")</f>
        <v>0</v>
      </c>
      <c r="HX14" s="118">
        <f>COUNTIF('Rig Sheet '!IC19:IC132,"Liner")</f>
        <v>1</v>
      </c>
      <c r="HY14" s="118">
        <f>COUNTIF('Rig Sheet '!ID19:ID132,"Liner")</f>
        <v>1</v>
      </c>
      <c r="HZ14" s="118">
        <f>COUNTIF('Rig Sheet '!IE19:IE132,"Liner")</f>
        <v>0</v>
      </c>
      <c r="IA14" s="118">
        <f>COUNTIF('Rig Sheet '!IF19:IF132,"Liner")</f>
        <v>1</v>
      </c>
      <c r="IB14" s="118">
        <f>COUNTIF('Rig Sheet '!IG19:IG132,"Liner")</f>
        <v>0</v>
      </c>
      <c r="IC14" s="118">
        <f>COUNTIF('Rig Sheet '!IH19:IH132,"Liner")</f>
        <v>0</v>
      </c>
      <c r="ID14" s="118">
        <f>COUNTIF('Rig Sheet '!II19:II132,"Liner")</f>
        <v>0</v>
      </c>
      <c r="IE14" s="118">
        <f>COUNTIF('Rig Sheet '!IJ19:IJ132,"Liner")</f>
        <v>0</v>
      </c>
      <c r="IF14" s="118">
        <f>COUNTIF('Rig Sheet '!IK19:IK132,"Liner")</f>
        <v>1</v>
      </c>
      <c r="IG14" s="118">
        <f>COUNTIF('Rig Sheet '!IL19:IL132,"Liner")</f>
        <v>1</v>
      </c>
      <c r="IH14" s="118">
        <f>COUNTIF('Rig Sheet '!IM19:IM132,"Liner")</f>
        <v>2</v>
      </c>
      <c r="II14" s="118">
        <f>COUNTIF('Rig Sheet '!IN19:IN132,"Liner")</f>
        <v>0</v>
      </c>
      <c r="IJ14" s="118">
        <f>COUNTIF('Rig Sheet '!IO19:IO132,"Liner")</f>
        <v>1</v>
      </c>
      <c r="IK14" s="118">
        <f>COUNTIF('Rig Sheet '!IP19:IP132,"Liner")</f>
        <v>0</v>
      </c>
      <c r="IL14" s="118">
        <f>COUNTIF('Rig Sheet '!IQ19:IQ132,"Liner")</f>
        <v>0</v>
      </c>
      <c r="IM14" s="118">
        <f>COUNTIF('Rig Sheet '!IR19:IR132,"Liner")</f>
        <v>0</v>
      </c>
      <c r="IN14" s="118">
        <f>COUNTIF('Rig Sheet '!IS19:IS132,"Liner")</f>
        <v>1</v>
      </c>
      <c r="IO14" s="118">
        <f>COUNTIF('Rig Sheet '!IT19:IT132,"Liner")</f>
        <v>0</v>
      </c>
      <c r="IP14" s="118">
        <f>COUNTIF('Rig Sheet '!IU19:IU132,"Liner")</f>
        <v>1</v>
      </c>
      <c r="IQ14" s="118">
        <f>COUNTIF('Rig Sheet '!IV19:IV132,"Liner")</f>
        <v>1</v>
      </c>
      <c r="IR14" s="118">
        <f>COUNTIF('Rig Sheet '!IW19:IW132,"Liner")</f>
        <v>1</v>
      </c>
      <c r="IS14" s="118">
        <f>COUNTIF('Rig Sheet '!IX19:IX132,"Liner")</f>
        <v>1</v>
      </c>
      <c r="IT14" s="118">
        <f>COUNTIF('Rig Sheet '!IY19:IY132,"Liner")</f>
        <v>0</v>
      </c>
      <c r="IU14" s="118">
        <f>COUNTIF('Rig Sheet '!IZ19:IZ132,"Liner")</f>
        <v>1</v>
      </c>
      <c r="IV14" s="118">
        <f>COUNTIF('Rig Sheet '!JA19:JA132,"Liner")</f>
        <v>1</v>
      </c>
      <c r="IW14" s="118">
        <f>COUNTIF('Rig Sheet '!JB19:JB132,"Liner")</f>
        <v>1</v>
      </c>
      <c r="IX14" s="118">
        <f>COUNTIF('Rig Sheet '!JC19:JC132,"Liner")</f>
        <v>0</v>
      </c>
      <c r="IY14" s="118">
        <f>COUNTIF('Rig Sheet '!JD19:JD132,"Liner")</f>
        <v>1</v>
      </c>
      <c r="IZ14" s="118">
        <f>COUNTIF('Rig Sheet '!JE19:JE132,"Liner")</f>
        <v>1</v>
      </c>
      <c r="JA14" s="118">
        <f>COUNTIF('Rig Sheet '!JF19:JF132,"Liner")</f>
        <v>0</v>
      </c>
      <c r="JB14" s="118">
        <f>COUNTIF('Rig Sheet '!JG19:JG132,"Liner")</f>
        <v>2</v>
      </c>
      <c r="JC14" s="118">
        <f>COUNTIF('Rig Sheet '!JH19:JH132,"Liner")</f>
        <v>1</v>
      </c>
      <c r="JD14" s="118">
        <f>COUNTIF('Rig Sheet '!JI19:JI132,"Liner")</f>
        <v>0</v>
      </c>
      <c r="JE14" s="118">
        <f>COUNTIF('Rig Sheet '!JJ19:JJ132,"Liner")</f>
        <v>0</v>
      </c>
      <c r="JF14" s="118">
        <f>COUNTIF('Rig Sheet '!JK19:JK132,"Liner")</f>
        <v>0</v>
      </c>
      <c r="JG14" s="118">
        <f>COUNTIF('Rig Sheet '!JL19:JL132,"Liner")</f>
        <v>0</v>
      </c>
      <c r="JH14" s="118">
        <f>COUNTIF('Rig Sheet '!JM19:JM132,"Liner")</f>
        <v>4</v>
      </c>
      <c r="JI14" s="118">
        <f>COUNTIF('Rig Sheet '!JN19:JN132,"Liner")</f>
        <v>2</v>
      </c>
      <c r="JJ14" s="118">
        <f>COUNTIF('Rig Sheet '!JO19:JO132,"Liner")</f>
        <v>1</v>
      </c>
      <c r="JK14" s="118">
        <f>COUNTIF('Rig Sheet '!JP19:JP132,"Liner")</f>
        <v>0</v>
      </c>
      <c r="JL14" s="118">
        <f>COUNTIF('Rig Sheet '!JQ19:JQ132,"Liner")</f>
        <v>0</v>
      </c>
      <c r="JM14" s="118">
        <f>COUNTIF('Rig Sheet '!JR19:JR132,"Liner")</f>
        <v>0</v>
      </c>
      <c r="JN14" s="118">
        <f>COUNTIF('Rig Sheet '!JS19:JS132,"Liner")</f>
        <v>1</v>
      </c>
      <c r="JO14" s="118">
        <f>COUNTIF('Rig Sheet '!JT19:JT132,"Liner")</f>
        <v>0</v>
      </c>
      <c r="JP14" s="118">
        <f>COUNTIF('Rig Sheet '!JU19:JU132,"Liner")</f>
        <v>3</v>
      </c>
      <c r="JQ14" s="118">
        <f>COUNTIF('Rig Sheet '!JV19:JV132,"Liner")</f>
        <v>0</v>
      </c>
      <c r="JR14" s="118">
        <f>COUNTIF('Rig Sheet '!JW19:JW132,"Liner")</f>
        <v>0</v>
      </c>
      <c r="JS14" s="118">
        <f>COUNTIF('Rig Sheet '!JX19:JX132,"Liner")</f>
        <v>0</v>
      </c>
      <c r="JT14" s="118">
        <f>COUNTIF('Rig Sheet '!JY19:JY132,"Liner")</f>
        <v>1</v>
      </c>
      <c r="JU14" s="118">
        <f>COUNTIF('Rig Sheet '!JZ19:JZ132,"Liner")</f>
        <v>0</v>
      </c>
      <c r="JV14" s="118">
        <f>COUNTIF('Rig Sheet '!KA19:KA132,"Liner")</f>
        <v>0</v>
      </c>
      <c r="JW14" s="118">
        <f>COUNTIF('Rig Sheet '!KB19:KB132,"Liner")</f>
        <v>1</v>
      </c>
      <c r="JX14" s="118">
        <f>COUNTIF('Rig Sheet '!KC19:KC132,"Liner")</f>
        <v>1</v>
      </c>
      <c r="JY14" s="118">
        <f>COUNTIF('Rig Sheet '!KD19:KD132,"Liner")</f>
        <v>1</v>
      </c>
      <c r="JZ14" s="118">
        <f>COUNTIF('Rig Sheet '!KE19:KE132,"Liner")</f>
        <v>3</v>
      </c>
      <c r="KA14" s="118">
        <f>COUNTIF('Rig Sheet '!KF19:KF132,"Liner")</f>
        <v>2</v>
      </c>
      <c r="KB14" s="118">
        <f>COUNTIF('Rig Sheet '!KG19:KG132,"Liner")</f>
        <v>0</v>
      </c>
      <c r="KC14" s="118">
        <f>COUNTIF('Rig Sheet '!KH19:KH132,"Liner")</f>
        <v>0</v>
      </c>
      <c r="KD14" s="118">
        <f>COUNTIF('Rig Sheet '!KI19:KI132,"Liner")</f>
        <v>1</v>
      </c>
      <c r="KE14" s="118">
        <f>COUNTIF('Rig Sheet '!KJ19:KJ132,"Liner")</f>
        <v>0</v>
      </c>
      <c r="KF14" s="118">
        <f>COUNTIF('Rig Sheet '!KK19:KK132,"Liner")</f>
        <v>1</v>
      </c>
      <c r="KG14" s="118">
        <f>COUNTIF('Rig Sheet '!KL19:KL132,"Liner")</f>
        <v>0</v>
      </c>
      <c r="KH14" s="118">
        <f>COUNTIF('Rig Sheet '!KM19:KM132,"Liner")</f>
        <v>0</v>
      </c>
      <c r="KI14" s="118">
        <f>COUNTIF('Rig Sheet '!KN19:KN132,"Liner")</f>
        <v>1</v>
      </c>
      <c r="KJ14" s="118">
        <f>COUNTIF('Rig Sheet '!KO19:KO132,"Liner")</f>
        <v>0</v>
      </c>
      <c r="KK14" s="118">
        <f>COUNTIF('Rig Sheet '!KP19:KP132,"Liner")</f>
        <v>1</v>
      </c>
      <c r="KL14" s="118">
        <f>COUNTIF('Rig Sheet '!KQ19:KQ132,"Liner")</f>
        <v>1</v>
      </c>
      <c r="KM14" s="118">
        <f>COUNTIF('Rig Sheet '!KR19:KR132,"Liner")</f>
        <v>0</v>
      </c>
      <c r="KN14" s="118">
        <f>COUNTIF('Rig Sheet '!KS19:KS132,"Liner")</f>
        <v>2</v>
      </c>
      <c r="KO14" s="118">
        <f>COUNTIF('Rig Sheet '!KT19:KT132,"Liner")</f>
        <v>0</v>
      </c>
      <c r="KP14" s="118">
        <f>COUNTIF('Rig Sheet '!KU19:KU132,"Liner")</f>
        <v>0</v>
      </c>
      <c r="KQ14" s="118">
        <f>COUNTIF('Rig Sheet '!KV19:KV132,"Liner")</f>
        <v>0</v>
      </c>
      <c r="KR14" s="118">
        <f>COUNTIF('Rig Sheet '!KW19:KW132,"Liner")</f>
        <v>4</v>
      </c>
      <c r="KS14" s="118">
        <f>COUNTIF('Rig Sheet '!KX19:KX132,"Liner")</f>
        <v>0</v>
      </c>
      <c r="KT14" s="118">
        <f>COUNTIF('Rig Sheet '!KY19:KY132,"Liner")</f>
        <v>0</v>
      </c>
      <c r="KU14" s="118">
        <f>COUNTIF('Rig Sheet '!KZ19:KZ132,"Liner")</f>
        <v>0</v>
      </c>
      <c r="KV14" s="118">
        <f>COUNTIF('Rig Sheet '!LA19:LA132,"Liner")</f>
        <v>0</v>
      </c>
      <c r="KW14" s="118">
        <f>COUNTIF('Rig Sheet '!LB19:LB132,"Liner")</f>
        <v>0</v>
      </c>
      <c r="KX14" s="118">
        <f>COUNTIF('Rig Sheet '!LC19:LC132,"Liner")</f>
        <v>1</v>
      </c>
      <c r="KY14" s="118">
        <f>COUNTIF('Rig Sheet '!LD19:LD132,"Liner")</f>
        <v>1</v>
      </c>
      <c r="KZ14" s="118">
        <f>COUNTIF('Rig Sheet '!LE19:LE132,"Liner")</f>
        <v>1</v>
      </c>
      <c r="LA14" s="118">
        <f>COUNTIF('Rig Sheet '!LF19:LF132,"Liner")</f>
        <v>0</v>
      </c>
      <c r="LB14" s="118">
        <f>COUNTIF('Rig Sheet '!LG19:LG132,"Liner")</f>
        <v>0</v>
      </c>
      <c r="LC14" s="118">
        <f>COUNTIF('Rig Sheet '!LH19:LH132,"Liner")</f>
        <v>0</v>
      </c>
      <c r="LD14" s="118">
        <f>COUNTIF('Rig Sheet '!LI19:LI132,"Liner")</f>
        <v>1</v>
      </c>
      <c r="LE14" s="118">
        <f>COUNTIF('Rig Sheet '!LJ19:LJ132,"Liner")</f>
        <v>0</v>
      </c>
      <c r="LF14" s="118">
        <f>COUNTIF('Rig Sheet '!LK19:LK132,"Liner")</f>
        <v>1</v>
      </c>
      <c r="LG14" s="118">
        <f>COUNTIF('Rig Sheet '!LL19:LL132,"Liner")</f>
        <v>0</v>
      </c>
      <c r="LH14" s="118">
        <f>COUNTIF('Rig Sheet '!LM19:LM132,"Liner")</f>
        <v>0</v>
      </c>
      <c r="LI14" s="118">
        <f>COUNTIF('Rig Sheet '!LN19:LN132,"Liner")</f>
        <v>1</v>
      </c>
      <c r="LJ14" s="118">
        <f>COUNTIF('Rig Sheet '!LO19:LO132,"Liner")</f>
        <v>1</v>
      </c>
      <c r="LK14" s="118">
        <f>COUNTIF('Rig Sheet '!LP19:LP132,"Liner")</f>
        <v>1</v>
      </c>
      <c r="LL14" s="118">
        <f>COUNTIF('Rig Sheet '!LQ19:LQ132,"Liner")</f>
        <v>0</v>
      </c>
      <c r="LM14" s="118">
        <f>COUNTIF('Rig Sheet '!LR19:LR132,"Liner")</f>
        <v>1</v>
      </c>
      <c r="LN14" s="118">
        <f>COUNTIF('Rig Sheet '!LS19:LS132,"Liner")</f>
        <v>0</v>
      </c>
      <c r="LO14" s="118">
        <f>COUNTIF('Rig Sheet '!LT19:LT132,"Liner")</f>
        <v>0</v>
      </c>
      <c r="LP14" s="118">
        <f>COUNTIF('Rig Sheet '!LU19:LU132,"Liner")</f>
        <v>1</v>
      </c>
      <c r="LQ14" s="118">
        <f>COUNTIF('Rig Sheet '!LV19:LV132,"Liner")</f>
        <v>0</v>
      </c>
      <c r="LR14" s="118">
        <f>COUNTIF('Rig Sheet '!LW19:LW132,"Liner")</f>
        <v>0</v>
      </c>
      <c r="LS14" s="118">
        <f>COUNTIF('Rig Sheet '!LX19:LX132,"Liner")</f>
        <v>0</v>
      </c>
      <c r="LT14" s="118">
        <f>COUNTIF('Rig Sheet '!LY19:LY132,"Liner")</f>
        <v>1</v>
      </c>
      <c r="LU14" s="118">
        <f>COUNTIF('Rig Sheet '!LZ19:LZ132,"Liner")</f>
        <v>0</v>
      </c>
      <c r="LV14" s="118">
        <f>COUNTIF('Rig Sheet '!MA19:MA132,"Liner")</f>
        <v>1</v>
      </c>
      <c r="LW14" s="118">
        <f>COUNTIF('Rig Sheet '!MB19:MB132,"Liner")</f>
        <v>0</v>
      </c>
      <c r="LX14" s="118">
        <f>COUNTIF('Rig Sheet '!MC19:MC132,"Liner")</f>
        <v>0</v>
      </c>
      <c r="LY14" s="118">
        <f>COUNTIF('Rig Sheet '!MD19:MD132,"Liner")</f>
        <v>0</v>
      </c>
      <c r="LZ14" s="118">
        <f>COUNTIF('Rig Sheet '!ME19:ME132,"Liner")</f>
        <v>0</v>
      </c>
      <c r="MA14" s="118">
        <f>COUNTIF('Rig Sheet '!MF19:MF132,"Liner")</f>
        <v>0</v>
      </c>
      <c r="MB14" s="118">
        <f>COUNTIF('Rig Sheet '!MG19:MG132,"Liner")</f>
        <v>0</v>
      </c>
      <c r="MC14" s="118">
        <f>COUNTIF('Rig Sheet '!MH19:MH132,"Liner")</f>
        <v>0</v>
      </c>
      <c r="MD14" s="118">
        <f>COUNTIF('Rig Sheet '!MI19:MI132,"Liner")</f>
        <v>0</v>
      </c>
      <c r="ME14" s="118">
        <f>COUNTIF('Rig Sheet '!MJ19:MJ132,"Liner")</f>
        <v>0</v>
      </c>
      <c r="MF14" s="118">
        <f>COUNTIF('Rig Sheet '!MK19:MK132,"Liner")</f>
        <v>0</v>
      </c>
      <c r="MG14" s="118">
        <f>COUNTIF('Rig Sheet '!ML19:ML132,"Liner")</f>
        <v>0</v>
      </c>
      <c r="MH14" s="118">
        <f>COUNTIF('Rig Sheet '!MM19:MM132,"Liner")</f>
        <v>0</v>
      </c>
      <c r="MI14" s="118">
        <f>COUNTIF('Rig Sheet '!MN19:MN132,"Liner")</f>
        <v>0</v>
      </c>
      <c r="MJ14" s="118">
        <f>COUNTIF('Rig Sheet '!MO19:MO132,"Liner")</f>
        <v>0</v>
      </c>
      <c r="MK14" s="118">
        <f>COUNTIF('Rig Sheet '!MP19:MP132,"Liner")</f>
        <v>0</v>
      </c>
      <c r="ML14" s="118">
        <f>COUNTIF('Rig Sheet '!MQ19:MQ132,"Liner")</f>
        <v>0</v>
      </c>
      <c r="MM14" s="118">
        <f>COUNTIF('Rig Sheet '!MR19:MR132,"Liner")</f>
        <v>0</v>
      </c>
      <c r="MN14" s="118">
        <f>COUNTIF('Rig Sheet '!MS19:MS132,"Liner")</f>
        <v>0</v>
      </c>
      <c r="MO14" s="118">
        <f>COUNTIF('Rig Sheet '!MT19:MT132,"Liner")</f>
        <v>0</v>
      </c>
      <c r="MP14" s="118">
        <f>COUNTIF('Rig Sheet '!MU19:MU132,"Liner")</f>
        <v>0</v>
      </c>
      <c r="MQ14" s="118">
        <f>COUNTIF('Rig Sheet '!MV19:MV132,"Liner")</f>
        <v>0</v>
      </c>
      <c r="MR14" s="118">
        <f>COUNTIF('Rig Sheet '!MW19:MW132,"Liner")</f>
        <v>0</v>
      </c>
      <c r="MS14" s="118">
        <f>COUNTIF('Rig Sheet '!MX19:MX132,"Liner")</f>
        <v>0</v>
      </c>
      <c r="MT14" s="118">
        <f>COUNTIF('Rig Sheet '!MY19:MY132,"Liner")</f>
        <v>0</v>
      </c>
      <c r="MU14" s="118">
        <f>COUNTIF('Rig Sheet '!MZ19:MZ132,"Liner")</f>
        <v>0</v>
      </c>
      <c r="MV14" s="118">
        <f>COUNTIF('Rig Sheet '!NA19:NA132,"Liner")</f>
        <v>0</v>
      </c>
      <c r="MW14" s="118">
        <f>COUNTIF('Rig Sheet '!NB19:NB132,"Liner")</f>
        <v>0</v>
      </c>
      <c r="MX14" s="118">
        <f>COUNTIF('Rig Sheet '!NC19:NC132,"Liner")</f>
        <v>0</v>
      </c>
      <c r="MY14" s="118">
        <f>COUNTIF('Rig Sheet '!ND19:ND132,"Liner")</f>
        <v>0</v>
      </c>
      <c r="MZ14" s="118">
        <f>COUNTIF('Rig Sheet '!NE19:NE132,"Liner")</f>
        <v>0</v>
      </c>
      <c r="NA14" s="118">
        <f>COUNTIF('Rig Sheet '!NF19:NF132,"Liner")</f>
        <v>0</v>
      </c>
      <c r="NB14" s="118">
        <f>COUNTIF('Rig Sheet '!NG19:NG132,"Liner")</f>
        <v>0</v>
      </c>
    </row>
    <row r="15" spans="1:366">
      <c r="A15" s="119" t="s">
        <v>28</v>
      </c>
      <c r="B15" s="118">
        <f>COUNTIF('Rig Sheet '!G19:G132,"Plugs")</f>
        <v>0</v>
      </c>
      <c r="C15" s="118">
        <f>COUNTIF('Rig Sheet '!H19:H132,"Plugs")</f>
        <v>0</v>
      </c>
      <c r="D15" s="118">
        <f>COUNTIF('Rig Sheet '!I19:I132,"Plugs")</f>
        <v>1</v>
      </c>
      <c r="E15" s="118">
        <f>COUNTIF('Rig Sheet '!J19:J132,"Plugs")</f>
        <v>0</v>
      </c>
      <c r="F15" s="118">
        <f>COUNTIF('Rig Sheet '!K19:K132,"Plugs")</f>
        <v>0</v>
      </c>
      <c r="G15" s="118">
        <f>COUNTIF('Rig Sheet '!L19:L132,"Plugs")</f>
        <v>0</v>
      </c>
      <c r="H15" s="118">
        <f>COUNTIF('Rig Sheet '!M19:M132,"Plugs")</f>
        <v>0</v>
      </c>
      <c r="I15" s="118">
        <f>COUNTIF('Rig Sheet '!N19:N132,"Plugs")</f>
        <v>0</v>
      </c>
      <c r="J15" s="118">
        <f>COUNTIF('Rig Sheet '!O19:O132,"Plugs")</f>
        <v>0</v>
      </c>
      <c r="K15" s="118">
        <f>COUNTIF('Rig Sheet '!P19:P132,"Plugs")</f>
        <v>0</v>
      </c>
      <c r="L15" s="118">
        <f>COUNTIF('Rig Sheet '!Q19:Q132,"Plugs")</f>
        <v>0</v>
      </c>
      <c r="M15" s="118">
        <f>COUNTIF('Rig Sheet '!R19:R132,"Plugs")</f>
        <v>0</v>
      </c>
      <c r="N15" s="118">
        <f>COUNTIF('Rig Sheet '!S19:S132,"Plugs")</f>
        <v>0</v>
      </c>
      <c r="O15" s="118">
        <f>COUNTIF('Rig Sheet '!T19:T132,"Plugs")</f>
        <v>0</v>
      </c>
      <c r="P15" s="118">
        <f>COUNTIF('Rig Sheet '!U19:U132,"Plugs")</f>
        <v>0</v>
      </c>
      <c r="Q15" s="118">
        <f>COUNTIF('Rig Sheet '!V19:V132,"Plugs")</f>
        <v>0</v>
      </c>
      <c r="R15" s="118">
        <f>COUNTIF('Rig Sheet '!W19:W132,"Plugs")</f>
        <v>0</v>
      </c>
      <c r="S15" s="118">
        <f>COUNTIF('Rig Sheet '!X19:X132,"Plugs")</f>
        <v>0</v>
      </c>
      <c r="T15" s="118">
        <f>COUNTIF('Rig Sheet '!Y19:Y132,"Plugs")</f>
        <v>1</v>
      </c>
      <c r="U15" s="118">
        <f>COUNTIF('Rig Sheet '!Z19:Z132,"Plugs")</f>
        <v>0</v>
      </c>
      <c r="V15" s="118">
        <f>COUNTIF('Rig Sheet '!AA19:AA132,"Plugs")</f>
        <v>0</v>
      </c>
      <c r="W15" s="118">
        <f>COUNTIF('Rig Sheet '!AB19:AB132,"Plugs")</f>
        <v>0</v>
      </c>
      <c r="X15" s="118">
        <f>COUNTIF('Rig Sheet '!AC19:AC132,"Plugs")</f>
        <v>0</v>
      </c>
      <c r="Y15" s="118">
        <f>COUNTIF('Rig Sheet '!AD19:AD132,"Plugs")</f>
        <v>0</v>
      </c>
      <c r="Z15" s="118">
        <f>COUNTIF('Rig Sheet '!AE19:AE132,"Plugs")</f>
        <v>0</v>
      </c>
      <c r="AA15" s="118">
        <f>COUNTIF('Rig Sheet '!AF19:AF132,"Plugs")</f>
        <v>0</v>
      </c>
      <c r="AB15" s="118">
        <f>COUNTIF('Rig Sheet '!AG19:AG132,"Plugs")</f>
        <v>0</v>
      </c>
      <c r="AC15" s="118">
        <f>COUNTIF('Rig Sheet '!AH19:AH132,"Plugs")</f>
        <v>0</v>
      </c>
      <c r="AD15" s="118">
        <f>COUNTIF('Rig Sheet '!AI19:AI132,"Plugs")</f>
        <v>0</v>
      </c>
      <c r="AE15" s="118">
        <f>COUNTIF('Rig Sheet '!AJ19:AJ132,"Plugs")</f>
        <v>0</v>
      </c>
      <c r="AF15" s="118">
        <f>COUNTIF('Rig Sheet '!AK19:AK132,"Plugs")</f>
        <v>0</v>
      </c>
      <c r="AG15" s="118">
        <f>COUNTIF('Rig Sheet '!AL19:AL132,"Plugs")</f>
        <v>0</v>
      </c>
      <c r="AH15" s="118">
        <f>COUNTIF('Rig Sheet '!AM19:AM132,"Plugs")</f>
        <v>0</v>
      </c>
      <c r="AI15" s="118">
        <f>COUNTIF('Rig Sheet '!AN19:AN132,"Plugs")</f>
        <v>0</v>
      </c>
      <c r="AJ15" s="118">
        <f>COUNTIF('Rig Sheet '!AO19:AO132,"Plugs")</f>
        <v>0</v>
      </c>
      <c r="AK15" s="118">
        <f>COUNTIF('Rig Sheet '!AP19:AP132,"Plugs")</f>
        <v>0</v>
      </c>
      <c r="AL15" s="118">
        <f>COUNTIF('Rig Sheet '!AQ19:AQ132,"Plugs")</f>
        <v>0</v>
      </c>
      <c r="AM15" s="118">
        <f>COUNTIF('Rig Sheet '!AR19:AR132,"Plugs")</f>
        <v>0</v>
      </c>
      <c r="AN15" s="118">
        <f>COUNTIF('Rig Sheet '!AS19:AS132,"Plugs")</f>
        <v>0</v>
      </c>
      <c r="AO15" s="118">
        <f>COUNTIF('Rig Sheet '!AT19:AT132,"Plugs")</f>
        <v>0</v>
      </c>
      <c r="AP15" s="118">
        <f>COUNTIF('Rig Sheet '!AU19:AU132,"Plugs")</f>
        <v>0</v>
      </c>
      <c r="AQ15" s="118">
        <f>COUNTIF('Rig Sheet '!AV19:AV132,"Plugs")</f>
        <v>1</v>
      </c>
      <c r="AR15" s="118">
        <f>COUNTIF('Rig Sheet '!AW19:AW132,"Plugs")</f>
        <v>1</v>
      </c>
      <c r="AS15" s="118">
        <f>COUNTIF('Rig Sheet '!AX19:AX132,"Plugs")</f>
        <v>0</v>
      </c>
      <c r="AT15" s="118">
        <f>COUNTIF('Rig Sheet '!AY19:AY132,"Plugs")</f>
        <v>1</v>
      </c>
      <c r="AU15" s="118">
        <f>COUNTIF('Rig Sheet '!AZ19:AZ132,"Plugs")</f>
        <v>0</v>
      </c>
      <c r="AV15" s="118">
        <f>COUNTIF('Rig Sheet '!BA19:BA132,"Plugs")</f>
        <v>1</v>
      </c>
      <c r="AW15" s="118">
        <f>COUNTIF('Rig Sheet '!BB19:BB132,"Plugs")</f>
        <v>0</v>
      </c>
      <c r="AX15" s="118">
        <f>COUNTIF('Rig Sheet '!BC19:BC132,"Plugs")</f>
        <v>1</v>
      </c>
      <c r="AY15" s="118">
        <f>COUNTIF('Rig Sheet '!BD19:BD132,"Plugs")</f>
        <v>1</v>
      </c>
      <c r="AZ15" s="118">
        <f>COUNTIF('Rig Sheet '!BE19:BE132,"Plugs")</f>
        <v>2</v>
      </c>
      <c r="BA15" s="118">
        <f>COUNTIF('Rig Sheet '!BF19:BF132,"Plugs")</f>
        <v>0</v>
      </c>
      <c r="BB15" s="118">
        <f>COUNTIF('Rig Sheet '!BG19:BG132,"Plugs")</f>
        <v>0</v>
      </c>
      <c r="BC15" s="118">
        <f>COUNTIF('Rig Sheet '!BH19:BH132,"Plugs")</f>
        <v>0</v>
      </c>
      <c r="BD15" s="118">
        <f>COUNTIF('Rig Sheet '!BI19:BI132,"Plugs")</f>
        <v>0</v>
      </c>
      <c r="BE15" s="118">
        <f>COUNTIF('Rig Sheet '!BJ19:BJ132,"Plugs")</f>
        <v>0</v>
      </c>
      <c r="BF15" s="118">
        <f>COUNTIF('Rig Sheet '!BK19:BK132,"Plugs")</f>
        <v>0</v>
      </c>
      <c r="BG15" s="118">
        <f>COUNTIF('Rig Sheet '!BL19:BL132,"Plugs")</f>
        <v>0</v>
      </c>
      <c r="BH15" s="118">
        <f>COUNTIF('Rig Sheet '!BM19:BM132,"Plugs")</f>
        <v>1</v>
      </c>
      <c r="BI15" s="118">
        <f>COUNTIF('Rig Sheet '!BN19:BN132,"Plugs")</f>
        <v>0</v>
      </c>
      <c r="BJ15" s="118">
        <f>COUNTIF('Rig Sheet '!BO19:BO132,"Plugs")</f>
        <v>0</v>
      </c>
      <c r="BK15" s="118">
        <f>COUNTIF('Rig Sheet '!BP19:BP132,"Plugs")</f>
        <v>0</v>
      </c>
      <c r="BL15" s="118">
        <f>COUNTIF('Rig Sheet '!BQ19:BQ132,"Plugs")</f>
        <v>0</v>
      </c>
      <c r="BM15" s="118">
        <f>COUNTIF('Rig Sheet '!BR19:BR132,"Plugs")</f>
        <v>0</v>
      </c>
      <c r="BN15" s="118">
        <f>COUNTIF('Rig Sheet '!BS19:BS132,"Plugs")</f>
        <v>0</v>
      </c>
      <c r="BO15" s="118">
        <f>COUNTIF('Rig Sheet '!BT19:BT132,"Plugs")</f>
        <v>0</v>
      </c>
      <c r="BP15" s="118">
        <f>COUNTIF('Rig Sheet '!BU19:BU132,"Plugs")</f>
        <v>0</v>
      </c>
      <c r="BQ15" s="118">
        <f>COUNTIF('Rig Sheet '!BV19:BV132,"Plugs")</f>
        <v>0</v>
      </c>
      <c r="BR15" s="118">
        <f>COUNTIF('Rig Sheet '!BW19:BW132,"Plugs")</f>
        <v>0</v>
      </c>
      <c r="BS15" s="118">
        <f>COUNTIF('Rig Sheet '!BX19:BX132,"Plugs")</f>
        <v>0</v>
      </c>
      <c r="BT15" s="118">
        <f>COUNTIF('Rig Sheet '!BY19:BY132,"Plugs")</f>
        <v>0</v>
      </c>
      <c r="BU15" s="118">
        <f>COUNTIF('Rig Sheet '!BZ19:BZ132,"Plugs")</f>
        <v>0</v>
      </c>
      <c r="BV15" s="118">
        <f>COUNTIF('Rig Sheet '!CA19:CA132,"Plugs")</f>
        <v>0</v>
      </c>
      <c r="BW15" s="118">
        <f>COUNTIF('Rig Sheet '!CB19:CB132,"Plugs")</f>
        <v>0</v>
      </c>
      <c r="BX15" s="118">
        <f>COUNTIF('Rig Sheet '!CC19:CC132,"Plugs")</f>
        <v>0</v>
      </c>
      <c r="BY15" s="118">
        <f>COUNTIF('Rig Sheet '!CD19:CD132,"Plugs")</f>
        <v>0</v>
      </c>
      <c r="BZ15" s="118">
        <f>COUNTIF('Rig Sheet '!CE19:CE132,"Plugs")</f>
        <v>1</v>
      </c>
      <c r="CA15" s="118">
        <f>COUNTIF('Rig Sheet '!CF19:CF132,"Plugs")</f>
        <v>0</v>
      </c>
      <c r="CB15" s="118">
        <f>COUNTIF('Rig Sheet '!CG19:CG132,"Plugs")</f>
        <v>0</v>
      </c>
      <c r="CC15" s="118">
        <f>COUNTIF('Rig Sheet '!CH19:CH132,"Plugs")</f>
        <v>1</v>
      </c>
      <c r="CD15" s="118">
        <f>COUNTIF('Rig Sheet '!CI19:CI132,"Plugs")</f>
        <v>1</v>
      </c>
      <c r="CE15" s="118">
        <f>COUNTIF('Rig Sheet '!CJ19:CJ132,"Plugs")</f>
        <v>0</v>
      </c>
      <c r="CF15" s="118">
        <f>COUNTIF('Rig Sheet '!CK19:CK132,"Plugs")</f>
        <v>2</v>
      </c>
      <c r="CG15" s="118">
        <f>COUNTIF('Rig Sheet '!CL19:CL132,"Plugs")</f>
        <v>0</v>
      </c>
      <c r="CH15" s="118">
        <f>COUNTIF('Rig Sheet '!CM19:CM132,"Plugs")</f>
        <v>1</v>
      </c>
      <c r="CI15" s="118">
        <f>COUNTIF('Rig Sheet '!CN19:CN132,"Plugs")</f>
        <v>1</v>
      </c>
      <c r="CJ15" s="118">
        <f>COUNTIF('Rig Sheet '!CO19:CO132,"Plugs")</f>
        <v>0</v>
      </c>
      <c r="CK15" s="118">
        <f>COUNTIF('Rig Sheet '!CP19:CP132,"Plugs")</f>
        <v>1</v>
      </c>
      <c r="CL15" s="118">
        <f>COUNTIF('Rig Sheet '!CQ19:CQ132,"Plugs")</f>
        <v>0</v>
      </c>
      <c r="CM15" s="118">
        <f>COUNTIF('Rig Sheet '!CR19:CR132,"Plugs")</f>
        <v>0</v>
      </c>
      <c r="CN15" s="118">
        <f>COUNTIF('Rig Sheet '!CS19:CS132,"Plugs")</f>
        <v>0</v>
      </c>
      <c r="CO15" s="118">
        <f>COUNTIF('Rig Sheet '!CT19:CT132,"Plugs")</f>
        <v>0</v>
      </c>
      <c r="CP15" s="118">
        <f>COUNTIF('Rig Sheet '!CU19:CU132,"Plugs")</f>
        <v>0</v>
      </c>
      <c r="CQ15" s="118">
        <f>COUNTIF('Rig Sheet '!CV19:CV132,"Plugs")</f>
        <v>0</v>
      </c>
      <c r="CR15" s="118">
        <f>COUNTIF('Rig Sheet '!CW19:CW132,"Plugs")</f>
        <v>0</v>
      </c>
      <c r="CS15" s="118">
        <f>COUNTIF('Rig Sheet '!CX19:CX132,"Plugs")</f>
        <v>0</v>
      </c>
      <c r="CT15" s="118">
        <f>COUNTIF('Rig Sheet '!CY19:CY132,"Plugs")</f>
        <v>0</v>
      </c>
      <c r="CU15" s="118">
        <f>COUNTIF('Rig Sheet '!CZ19:CZ132,"Plugs")</f>
        <v>0</v>
      </c>
      <c r="CV15" s="118">
        <f>COUNTIF('Rig Sheet '!DA19:DA132,"Plugs")</f>
        <v>0</v>
      </c>
      <c r="CW15" s="118">
        <f>COUNTIF('Rig Sheet '!DB19:DB132,"Plugs")</f>
        <v>0</v>
      </c>
      <c r="CX15" s="118">
        <f>COUNTIF('Rig Sheet '!DC19:DC132,"Plugs")</f>
        <v>0</v>
      </c>
      <c r="CY15" s="118">
        <f>COUNTIF('Rig Sheet '!DD19:DD132,"Plugs")</f>
        <v>0</v>
      </c>
      <c r="CZ15" s="118">
        <f>COUNTIF('Rig Sheet '!DE19:DE132,"Plugs")</f>
        <v>1</v>
      </c>
      <c r="DA15" s="118">
        <f>COUNTIF('Rig Sheet '!DF19:DF132,"Plugs")</f>
        <v>0</v>
      </c>
      <c r="DB15" s="118">
        <f>COUNTIF('Rig Sheet '!DG19:DG132,"Plugs")</f>
        <v>0</v>
      </c>
      <c r="DC15" s="118">
        <f>COUNTIF('Rig Sheet '!DH19:DH132,"Plugs")</f>
        <v>1</v>
      </c>
      <c r="DD15" s="118">
        <f>COUNTIF('Rig Sheet '!DI19:DI132,"Plugs")</f>
        <v>0</v>
      </c>
      <c r="DE15" s="118">
        <f>COUNTIF('Rig Sheet '!DJ19:DJ132,"Plugs")</f>
        <v>0</v>
      </c>
      <c r="DF15" s="118">
        <f>COUNTIF('Rig Sheet '!DK19:DK132,"Plugs")</f>
        <v>0</v>
      </c>
      <c r="DG15" s="118">
        <f>COUNTIF('Rig Sheet '!DL19:DL132,"Plugs")</f>
        <v>0</v>
      </c>
      <c r="DH15" s="118">
        <f>COUNTIF('Rig Sheet '!DM19:DM132,"Plugs")</f>
        <v>0</v>
      </c>
      <c r="DI15" s="118">
        <f>COUNTIF('Rig Sheet '!DN19:DN132,"Plugs")</f>
        <v>0</v>
      </c>
      <c r="DJ15" s="118">
        <f>COUNTIF('Rig Sheet '!DO19:DO132,"Plugs")</f>
        <v>0</v>
      </c>
      <c r="DK15" s="118">
        <f>COUNTIF('Rig Sheet '!DP19:DP132,"Plugs")</f>
        <v>1</v>
      </c>
      <c r="DL15" s="118">
        <f>COUNTIF('Rig Sheet '!DQ19:DQ132,"Plugs")</f>
        <v>1</v>
      </c>
      <c r="DM15" s="118">
        <f>COUNTIF('Rig Sheet '!DR19:DR132,"Plugs")</f>
        <v>0</v>
      </c>
      <c r="DN15" s="118">
        <f>COUNTIF('Rig Sheet '!DS19:DS132,"Plugs")</f>
        <v>1</v>
      </c>
      <c r="DO15" s="118">
        <f>COUNTIF('Rig Sheet '!DT19:DT132,"Plugs")</f>
        <v>0</v>
      </c>
      <c r="DP15" s="118">
        <f>COUNTIF('Rig Sheet '!DU19:DU132,"Plugs")</f>
        <v>0</v>
      </c>
      <c r="DQ15" s="118">
        <f>COUNTIF('Rig Sheet '!DV19:DV132,"Plugs")</f>
        <v>0</v>
      </c>
      <c r="DR15" s="118">
        <f>COUNTIF('Rig Sheet '!DW19:DW132,"Plugs")</f>
        <v>0</v>
      </c>
      <c r="DS15" s="118">
        <f>COUNTIF('Rig Sheet '!DX19:DX132,"Plugs")</f>
        <v>0</v>
      </c>
      <c r="DT15" s="118">
        <f>COUNTIF('Rig Sheet '!DY19:DY132,"Plugs")</f>
        <v>0</v>
      </c>
      <c r="DU15" s="118">
        <f>COUNTIF('Rig Sheet '!DZ19:DZ132,"Plugs")</f>
        <v>0</v>
      </c>
      <c r="DV15" s="118">
        <f>COUNTIF('Rig Sheet '!EA19:EA132,"Plugs")</f>
        <v>1</v>
      </c>
      <c r="DW15" s="118">
        <f>COUNTIF('Rig Sheet '!EB19:EB132,"Plugs")</f>
        <v>0</v>
      </c>
      <c r="DX15" s="118">
        <f>COUNTIF('Rig Sheet '!EC19:EC132,"Plugs")</f>
        <v>1</v>
      </c>
      <c r="DY15" s="118">
        <f>COUNTIF('Rig Sheet '!ED19:ED132,"Plugs")</f>
        <v>0</v>
      </c>
      <c r="DZ15" s="118">
        <f>COUNTIF('Rig Sheet '!EE19:EE132,"Plugs")</f>
        <v>0</v>
      </c>
      <c r="EA15" s="118">
        <f>COUNTIF('Rig Sheet '!EF19:EF132,"Plugs")</f>
        <v>0</v>
      </c>
      <c r="EB15" s="118">
        <f>COUNTIF('Rig Sheet '!EG19:EG132,"Plugs")</f>
        <v>0</v>
      </c>
      <c r="EC15" s="118">
        <f>COUNTIF('Rig Sheet '!EH19:EH132,"Plugs")</f>
        <v>0</v>
      </c>
      <c r="ED15" s="118">
        <f>COUNTIF('Rig Sheet '!EI19:EI132,"Plugs")</f>
        <v>0</v>
      </c>
      <c r="EE15" s="118">
        <f>COUNTIF('Rig Sheet '!EJ19:EJ132,"Plugs")</f>
        <v>0</v>
      </c>
      <c r="EF15" s="118">
        <f>COUNTIF('Rig Sheet '!EK19:EK132,"Plugs")</f>
        <v>0</v>
      </c>
      <c r="EG15" s="118">
        <f>COUNTIF('Rig Sheet '!EL19:EL132,"Plugs")</f>
        <v>0</v>
      </c>
      <c r="EH15" s="118">
        <f>COUNTIF('Rig Sheet '!EM19:EM132,"Plugs")</f>
        <v>0</v>
      </c>
      <c r="EI15" s="118">
        <f>COUNTIF('Rig Sheet '!EN19:EN132,"Plugs")</f>
        <v>0</v>
      </c>
      <c r="EJ15" s="118">
        <f>COUNTIF('Rig Sheet '!EO19:EO132,"Plugs")</f>
        <v>0</v>
      </c>
      <c r="EK15" s="118">
        <f>COUNTIF('Rig Sheet '!EP19:EP132,"Plugs")</f>
        <v>0</v>
      </c>
      <c r="EL15" s="118">
        <f>COUNTIF('Rig Sheet '!EQ19:EQ132,"Plugs")</f>
        <v>0</v>
      </c>
      <c r="EM15" s="118">
        <f>COUNTIF('Rig Sheet '!ER19:ER132,"Plugs")</f>
        <v>0</v>
      </c>
      <c r="EN15" s="118">
        <f>COUNTIF('Rig Sheet '!ES19:ES132,"Plugs")</f>
        <v>0</v>
      </c>
      <c r="EO15" s="118">
        <f>COUNTIF('Rig Sheet '!ET19:ET132,"Plugs")</f>
        <v>0</v>
      </c>
      <c r="EP15" s="118">
        <f>COUNTIF('Rig Sheet '!EU19:EU132,"Plugs")</f>
        <v>0</v>
      </c>
      <c r="EQ15" s="118">
        <f>COUNTIF('Rig Sheet '!EV19:EV132,"Plugs")</f>
        <v>0</v>
      </c>
      <c r="ER15" s="118">
        <f>COUNTIF('Rig Sheet '!EW19:EW132,"Plugs")</f>
        <v>0</v>
      </c>
      <c r="ES15" s="118">
        <f>COUNTIF('Rig Sheet '!EX19:EX132,"Plugs")</f>
        <v>0</v>
      </c>
      <c r="ET15" s="118">
        <f>COUNTIF('Rig Sheet '!EY19:EY132,"Plugs")</f>
        <v>0</v>
      </c>
      <c r="EU15" s="118">
        <f>COUNTIF('Rig Sheet '!EZ19:EZ132,"Plugs")</f>
        <v>0</v>
      </c>
      <c r="EV15" s="118">
        <f>COUNTIF('Rig Sheet '!FA19:FA132,"Plugs")</f>
        <v>0</v>
      </c>
      <c r="EW15" s="118">
        <f>COUNTIF('Rig Sheet '!FB19:FB132,"Plugs")</f>
        <v>0</v>
      </c>
      <c r="EX15" s="118">
        <f>COUNTIF('Rig Sheet '!FC19:FC132,"Plugs")</f>
        <v>0</v>
      </c>
      <c r="EY15" s="118">
        <f>COUNTIF('Rig Sheet '!FD19:FD132,"Plugs")</f>
        <v>0</v>
      </c>
      <c r="EZ15" s="118">
        <f>COUNTIF('Rig Sheet '!FE19:FE132,"Plugs")</f>
        <v>1</v>
      </c>
      <c r="FA15" s="118">
        <f>COUNTIF('Rig Sheet '!FF19:FF132,"Plugs")</f>
        <v>0</v>
      </c>
      <c r="FB15" s="118">
        <f>COUNTIF('Rig Sheet '!FG19:FG132,"Plugs")</f>
        <v>1</v>
      </c>
      <c r="FC15" s="118">
        <f>COUNTIF('Rig Sheet '!FH19:FH132,"Plugs")</f>
        <v>0</v>
      </c>
      <c r="FD15" s="118">
        <f>COUNTIF('Rig Sheet '!FI19:FI132,"Plugs")</f>
        <v>0</v>
      </c>
      <c r="FE15" s="118">
        <f>COUNTIF('Rig Sheet '!FJ19:FJ132,"Plugs")</f>
        <v>0</v>
      </c>
      <c r="FF15" s="118">
        <f>COUNTIF('Rig Sheet '!FK19:FK132,"Plugs")</f>
        <v>0</v>
      </c>
      <c r="FG15" s="118">
        <f>COUNTIF('Rig Sheet '!FL19:FL132,"Plugs")</f>
        <v>1</v>
      </c>
      <c r="FH15" s="118">
        <f>COUNTIF('Rig Sheet '!FM19:FM132,"Plugs")</f>
        <v>0</v>
      </c>
      <c r="FI15" s="118">
        <f>COUNTIF('Rig Sheet '!FN19:FN132,"Plugs")</f>
        <v>0</v>
      </c>
      <c r="FJ15" s="118">
        <f>COUNTIF('Rig Sheet '!FO19:FO132,"Plugs")</f>
        <v>0</v>
      </c>
      <c r="FK15" s="118">
        <f>COUNTIF('Rig Sheet '!FP19:FP132,"Plugs")</f>
        <v>0</v>
      </c>
      <c r="FL15" s="118">
        <f>COUNTIF('Rig Sheet '!FQ19:FQ132,"Plugs")</f>
        <v>1</v>
      </c>
      <c r="FM15" s="118">
        <f>COUNTIF('Rig Sheet '!FR19:FR132,"Plugs")</f>
        <v>1</v>
      </c>
      <c r="FN15" s="118">
        <f>COUNTIF('Rig Sheet '!FS19:FS132,"Plugs")</f>
        <v>0</v>
      </c>
      <c r="FO15" s="118">
        <f>COUNTIF('Rig Sheet '!FT19:FT132,"Plugs")</f>
        <v>0</v>
      </c>
      <c r="FP15" s="118">
        <f>COUNTIF('Rig Sheet '!FU19:FU132,"Plugs")</f>
        <v>2</v>
      </c>
      <c r="FQ15" s="118">
        <f>COUNTIF('Rig Sheet '!FV19:FV132,"Plugs")</f>
        <v>0</v>
      </c>
      <c r="FR15" s="118">
        <f>COUNTIF('Rig Sheet '!FW19:FW132,"Plugs")</f>
        <v>0</v>
      </c>
      <c r="FS15" s="118">
        <f>COUNTIF('Rig Sheet '!FX19:FX132,"Plugs")</f>
        <v>1</v>
      </c>
      <c r="FT15" s="118">
        <f>COUNTIF('Rig Sheet '!FY19:FY132,"Plugs")</f>
        <v>0</v>
      </c>
      <c r="FU15" s="118">
        <f>COUNTIF('Rig Sheet '!FZ19:FZ132,"Plugs")</f>
        <v>0</v>
      </c>
      <c r="FV15" s="118">
        <f>COUNTIF('Rig Sheet '!GA19:GA132,"Plugs")</f>
        <v>1</v>
      </c>
      <c r="FW15" s="118">
        <f>COUNTIF('Rig Sheet '!GB19:GB132,"Plugs")</f>
        <v>1</v>
      </c>
      <c r="FX15" s="118">
        <f>COUNTIF('Rig Sheet '!GC19:GC132,"Plugs")</f>
        <v>2</v>
      </c>
      <c r="FY15" s="118">
        <f>COUNTIF('Rig Sheet '!GD19:GD132,"Plugs")</f>
        <v>0</v>
      </c>
      <c r="FZ15" s="118">
        <f>COUNTIF('Rig Sheet '!GE19:GE132,"Plugs")</f>
        <v>0</v>
      </c>
      <c r="GA15" s="118">
        <f>COUNTIF('Rig Sheet '!GF19:GF132,"Plugs")</f>
        <v>0</v>
      </c>
      <c r="GB15" s="118">
        <f>COUNTIF('Rig Sheet '!GG19:GG132,"Plugs")</f>
        <v>1</v>
      </c>
      <c r="GC15" s="118">
        <f>COUNTIF('Rig Sheet '!GH19:GH132,"Plugs")</f>
        <v>1</v>
      </c>
      <c r="GD15" s="118">
        <f>COUNTIF('Rig Sheet '!GI19:GI132,"Plugs")</f>
        <v>0</v>
      </c>
      <c r="GE15" s="118">
        <f>COUNTIF('Rig Sheet '!GJ19:GJ132,"Plugs")</f>
        <v>0</v>
      </c>
      <c r="GF15" s="118">
        <f>COUNTIF('Rig Sheet '!GK19:GK132,"Plugs")</f>
        <v>0</v>
      </c>
      <c r="GG15" s="118">
        <f>COUNTIF('Rig Sheet '!GL19:GL132,"Plugs")</f>
        <v>1</v>
      </c>
      <c r="GH15" s="118">
        <f>COUNTIF('Rig Sheet '!GM19:GM132,"Plugs")</f>
        <v>1</v>
      </c>
      <c r="GI15" s="118">
        <f>COUNTIF('Rig Sheet '!GN19:GN132,"Plugs")</f>
        <v>0</v>
      </c>
      <c r="GJ15" s="118">
        <f>COUNTIF('Rig Sheet '!GO19:GO132,"Plugs")</f>
        <v>3</v>
      </c>
      <c r="GK15" s="118">
        <f>COUNTIF('Rig Sheet '!GP19:GP132,"Plugs")</f>
        <v>2</v>
      </c>
      <c r="GL15" s="118">
        <f>COUNTIF('Rig Sheet '!GQ19:GQ132,"Plugs")</f>
        <v>0</v>
      </c>
      <c r="GM15" s="118">
        <f>COUNTIF('Rig Sheet '!GR19:GR132,"Plugs")</f>
        <v>0</v>
      </c>
      <c r="GN15" s="118">
        <f>COUNTIF('Rig Sheet '!GS19:GS132,"Plugs")</f>
        <v>0</v>
      </c>
      <c r="GO15" s="118">
        <f>COUNTIF('Rig Sheet '!GT19:GT132,"Plugs")</f>
        <v>1</v>
      </c>
      <c r="GP15" s="118">
        <f>COUNTIF('Rig Sheet '!GU19:GU132,"Plugs")</f>
        <v>1</v>
      </c>
      <c r="GQ15" s="118">
        <f>COUNTIF('Rig Sheet '!GV19:GV132,"Plugs")</f>
        <v>1</v>
      </c>
      <c r="GR15" s="118">
        <f>COUNTIF('Rig Sheet '!GW19:GW132,"Plugs")</f>
        <v>0</v>
      </c>
      <c r="GS15" s="118">
        <f>COUNTIF('Rig Sheet '!GX19:GX132,"Plugs")</f>
        <v>0</v>
      </c>
      <c r="GT15" s="118">
        <f>COUNTIF('Rig Sheet '!GY19:GY132,"Plugs")</f>
        <v>0</v>
      </c>
      <c r="GU15" s="118">
        <f>COUNTIF('Rig Sheet '!GZ19:GZ132,"Plugs")</f>
        <v>1</v>
      </c>
      <c r="GV15" s="118">
        <f>COUNTIF('Rig Sheet '!HA19:HA132,"Plugs")</f>
        <v>0</v>
      </c>
      <c r="GW15" s="118">
        <f>COUNTIF('Rig Sheet '!HB19:HB132,"Plugs")</f>
        <v>1</v>
      </c>
      <c r="GX15" s="118">
        <f>COUNTIF('Rig Sheet '!HC19:HC132,"Plugs")</f>
        <v>1</v>
      </c>
      <c r="GY15" s="118">
        <f>COUNTIF('Rig Sheet '!HD19:HD132,"Plugs")</f>
        <v>1</v>
      </c>
      <c r="GZ15" s="118">
        <f>COUNTIF('Rig Sheet '!HE19:HE132,"Plugs")</f>
        <v>1</v>
      </c>
      <c r="HA15" s="118">
        <f>COUNTIF('Rig Sheet '!HF19:HF132,"Plugs")</f>
        <v>1</v>
      </c>
      <c r="HB15" s="118">
        <f>COUNTIF('Rig Sheet '!HG19:HG132,"Plugs")</f>
        <v>0</v>
      </c>
      <c r="HC15" s="118">
        <f>COUNTIF('Rig Sheet '!HH19:HH132,"Plugs")</f>
        <v>0</v>
      </c>
      <c r="HD15" s="118">
        <f>COUNTIF('Rig Sheet '!HI19:HI132,"Plugs")</f>
        <v>0</v>
      </c>
      <c r="HE15" s="118">
        <f>COUNTIF('Rig Sheet '!HJ19:HJ132,"Plugs")</f>
        <v>0</v>
      </c>
      <c r="HF15" s="118">
        <f>COUNTIF('Rig Sheet '!HK19:HK132,"Plugs")</f>
        <v>0</v>
      </c>
      <c r="HG15" s="118">
        <f>COUNTIF('Rig Sheet '!HL19:HL132,"Plugs")</f>
        <v>0</v>
      </c>
      <c r="HH15" s="118">
        <f>COUNTIF('Rig Sheet '!HM19:HM132,"Plugs")</f>
        <v>1</v>
      </c>
      <c r="HI15" s="118">
        <f>COUNTIF('Rig Sheet '!HN19:HN132,"Plugs")</f>
        <v>2</v>
      </c>
      <c r="HJ15" s="118">
        <f>COUNTIF('Rig Sheet '!HO19:HO132,"Plugs")</f>
        <v>0</v>
      </c>
      <c r="HK15" s="118">
        <f>COUNTIF('Rig Sheet '!HP19:HP132,"Plugs")</f>
        <v>1</v>
      </c>
      <c r="HL15" s="118">
        <f>COUNTIF('Rig Sheet '!HQ19:HQ132,"Plugs")</f>
        <v>1</v>
      </c>
      <c r="HM15" s="118">
        <f>COUNTIF('Rig Sheet '!HR19:HR132,"Plugs")</f>
        <v>2</v>
      </c>
      <c r="HN15" s="118">
        <f>COUNTIF('Rig Sheet '!HS19:HS132,"Plugs")</f>
        <v>0</v>
      </c>
      <c r="HO15" s="118">
        <f>COUNTIF('Rig Sheet '!HT19:HT132,"Plugs")</f>
        <v>0</v>
      </c>
      <c r="HP15" s="118">
        <f>COUNTIF('Rig Sheet '!HU19:HU132,"Plugs")</f>
        <v>1</v>
      </c>
      <c r="HQ15" s="118">
        <f>COUNTIF('Rig Sheet '!HV19:HV132,"Plugs")</f>
        <v>1</v>
      </c>
      <c r="HR15" s="118">
        <f>COUNTIF('Rig Sheet '!HW19:HW132,"Plugs")</f>
        <v>1</v>
      </c>
      <c r="HS15" s="118">
        <f>COUNTIF('Rig Sheet '!HX19:HX132,"Plugs")</f>
        <v>1</v>
      </c>
      <c r="HT15" s="118">
        <f>COUNTIF('Rig Sheet '!HY19:HY132,"Plugs")</f>
        <v>1</v>
      </c>
      <c r="HU15" s="118">
        <f>COUNTIF('Rig Sheet '!HZ19:HZ132,"Plugs")</f>
        <v>1</v>
      </c>
      <c r="HV15" s="118">
        <f>COUNTIF('Rig Sheet '!IA19:IA132,"Plugs")</f>
        <v>3</v>
      </c>
      <c r="HW15" s="118">
        <f>COUNTIF('Rig Sheet '!IB19:IB132,"Plugs")</f>
        <v>0</v>
      </c>
      <c r="HX15" s="118">
        <f>COUNTIF('Rig Sheet '!IC19:IC132,"Plugs")</f>
        <v>2</v>
      </c>
      <c r="HY15" s="118">
        <f>COUNTIF('Rig Sheet '!ID19:ID132,"Plugs")</f>
        <v>0</v>
      </c>
      <c r="HZ15" s="118">
        <f>COUNTIF('Rig Sheet '!IE19:IE132,"Plugs")</f>
        <v>2</v>
      </c>
      <c r="IA15" s="118">
        <f>COUNTIF('Rig Sheet '!IF19:IF132,"Plugs")</f>
        <v>2</v>
      </c>
      <c r="IB15" s="118">
        <f>COUNTIF('Rig Sheet '!IG19:IG132,"Plugs")</f>
        <v>0</v>
      </c>
      <c r="IC15" s="118">
        <f>COUNTIF('Rig Sheet '!IH19:IH132,"Plugs")</f>
        <v>0</v>
      </c>
      <c r="ID15" s="118">
        <f>COUNTIF('Rig Sheet '!II19:II132,"Plugs")</f>
        <v>0</v>
      </c>
      <c r="IE15" s="118">
        <f>COUNTIF('Rig Sheet '!IJ19:IJ132,"Plugs")</f>
        <v>1</v>
      </c>
      <c r="IF15" s="118">
        <f>COUNTIF('Rig Sheet '!IK19:IK132,"Plugs")</f>
        <v>0</v>
      </c>
      <c r="IG15" s="118">
        <f>COUNTIF('Rig Sheet '!IL19:IL132,"Plugs")</f>
        <v>1</v>
      </c>
      <c r="IH15" s="118">
        <f>COUNTIF('Rig Sheet '!IM19:IM132,"Plugs")</f>
        <v>0</v>
      </c>
      <c r="II15" s="118">
        <f>COUNTIF('Rig Sheet '!IN19:IN132,"Plugs")</f>
        <v>0</v>
      </c>
      <c r="IJ15" s="118">
        <f>COUNTIF('Rig Sheet '!IO19:IO132,"Plugs")</f>
        <v>0</v>
      </c>
      <c r="IK15" s="118">
        <f>COUNTIF('Rig Sheet '!IP19:IP132,"Plugs")</f>
        <v>1</v>
      </c>
      <c r="IL15" s="118">
        <f>COUNTIF('Rig Sheet '!IQ19:IQ132,"Plugs")</f>
        <v>1</v>
      </c>
      <c r="IM15" s="118">
        <f>COUNTIF('Rig Sheet '!IR19:IR132,"Plugs")</f>
        <v>0</v>
      </c>
      <c r="IN15" s="118">
        <f>COUNTIF('Rig Sheet '!IS19:IS132,"Plugs")</f>
        <v>0</v>
      </c>
      <c r="IO15" s="118">
        <f>COUNTIF('Rig Sheet '!IT19:IT132,"Plugs")</f>
        <v>0</v>
      </c>
      <c r="IP15" s="118">
        <f>COUNTIF('Rig Sheet '!IU19:IU132,"Plugs")</f>
        <v>0</v>
      </c>
      <c r="IQ15" s="118">
        <f>COUNTIF('Rig Sheet '!IV19:IV132,"Plugs")</f>
        <v>0</v>
      </c>
      <c r="IR15" s="118">
        <f>COUNTIF('Rig Sheet '!IW19:IW132,"Plugs")</f>
        <v>0</v>
      </c>
      <c r="IS15" s="118">
        <f>COUNTIF('Rig Sheet '!IX19:IX132,"Plugs")</f>
        <v>0</v>
      </c>
      <c r="IT15" s="118">
        <f>COUNTIF('Rig Sheet '!IY19:IY132,"Plugs")</f>
        <v>0</v>
      </c>
      <c r="IU15" s="118">
        <f>COUNTIF('Rig Sheet '!IZ19:IZ132,"Plugs")</f>
        <v>0</v>
      </c>
      <c r="IV15" s="118">
        <f>COUNTIF('Rig Sheet '!JA19:JA132,"Plugs")</f>
        <v>0</v>
      </c>
      <c r="IW15" s="118">
        <f>COUNTIF('Rig Sheet '!JB19:JB132,"Plugs")</f>
        <v>0</v>
      </c>
      <c r="IX15" s="118">
        <f>COUNTIF('Rig Sheet '!JC19:JC132,"Plugs")</f>
        <v>0</v>
      </c>
      <c r="IY15" s="118">
        <f>COUNTIF('Rig Sheet '!JD19:JD132,"Plugs")</f>
        <v>0</v>
      </c>
      <c r="IZ15" s="118">
        <f>COUNTIF('Rig Sheet '!JE19:JE132,"Plugs")</f>
        <v>0</v>
      </c>
      <c r="JA15" s="118">
        <f>COUNTIF('Rig Sheet '!JF19:JF132,"Plugs")</f>
        <v>0</v>
      </c>
      <c r="JB15" s="118">
        <f>COUNTIF('Rig Sheet '!JG19:JG132,"Plugs")</f>
        <v>0</v>
      </c>
      <c r="JC15" s="118">
        <f>COUNTIF('Rig Sheet '!JH19:JH132,"Plugs")</f>
        <v>0</v>
      </c>
      <c r="JD15" s="118">
        <f>COUNTIF('Rig Sheet '!JI19:JI132,"Plugs")</f>
        <v>0</v>
      </c>
      <c r="JE15" s="118">
        <f>COUNTIF('Rig Sheet '!JJ19:JJ132,"Plugs")</f>
        <v>0</v>
      </c>
      <c r="JF15" s="118">
        <f>COUNTIF('Rig Sheet '!JK19:JK132,"Plugs")</f>
        <v>0</v>
      </c>
      <c r="JG15" s="118">
        <f>COUNTIF('Rig Sheet '!JL19:JL132,"Plugs")</f>
        <v>0</v>
      </c>
      <c r="JH15" s="118">
        <f>COUNTIF('Rig Sheet '!JM19:JM132,"Plugs")</f>
        <v>0</v>
      </c>
      <c r="JI15" s="118">
        <f>COUNTIF('Rig Sheet '!JN19:JN132,"Plugs")</f>
        <v>0</v>
      </c>
      <c r="JJ15" s="118">
        <f>COUNTIF('Rig Sheet '!JO19:JO132,"Plugs")</f>
        <v>0</v>
      </c>
      <c r="JK15" s="118">
        <f>COUNTIF('Rig Sheet '!JP19:JP132,"Plugs")</f>
        <v>0</v>
      </c>
      <c r="JL15" s="118">
        <f>COUNTIF('Rig Sheet '!JQ19:JQ132,"Plugs")</f>
        <v>0</v>
      </c>
      <c r="JM15" s="118">
        <f>COUNTIF('Rig Sheet '!JR19:JR132,"Plugs")</f>
        <v>0</v>
      </c>
      <c r="JN15" s="118">
        <f>COUNTIF('Rig Sheet '!JS19:JS132,"Plugs")</f>
        <v>0</v>
      </c>
      <c r="JO15" s="118">
        <f>COUNTIF('Rig Sheet '!JT19:JT132,"Plugs")</f>
        <v>0</v>
      </c>
      <c r="JP15" s="118">
        <f>COUNTIF('Rig Sheet '!JU19:JU132,"Plugs")</f>
        <v>0</v>
      </c>
      <c r="JQ15" s="118">
        <f>COUNTIF('Rig Sheet '!JV19:JV132,"Plugs")</f>
        <v>0</v>
      </c>
      <c r="JR15" s="118">
        <f>COUNTIF('Rig Sheet '!JW19:JW132,"Plugs")</f>
        <v>0</v>
      </c>
      <c r="JS15" s="118">
        <f>COUNTIF('Rig Sheet '!JX19:JX132,"Plugs")</f>
        <v>0</v>
      </c>
      <c r="JT15" s="118">
        <f>COUNTIF('Rig Sheet '!JY19:JY132,"Plugs")</f>
        <v>0</v>
      </c>
      <c r="JU15" s="118">
        <f>COUNTIF('Rig Sheet '!JZ19:JZ132,"Plugs")</f>
        <v>0</v>
      </c>
      <c r="JV15" s="118">
        <f>COUNTIF('Rig Sheet '!KA19:KA132,"Plugs")</f>
        <v>0</v>
      </c>
      <c r="JW15" s="118">
        <f>COUNTIF('Rig Sheet '!KB19:KB132,"Plugs")</f>
        <v>0</v>
      </c>
      <c r="JX15" s="118">
        <f>COUNTIF('Rig Sheet '!KC19:KC132,"Plugs")</f>
        <v>0</v>
      </c>
      <c r="JY15" s="118">
        <f>COUNTIF('Rig Sheet '!KD19:KD132,"Plugs")</f>
        <v>0</v>
      </c>
      <c r="JZ15" s="118">
        <f>COUNTIF('Rig Sheet '!KE19:KE132,"Plugs")</f>
        <v>0</v>
      </c>
      <c r="KA15" s="118">
        <f>COUNTIF('Rig Sheet '!KF19:KF132,"Plugs")</f>
        <v>0</v>
      </c>
      <c r="KB15" s="118">
        <f>COUNTIF('Rig Sheet '!KG19:KG132,"Plugs")</f>
        <v>0</v>
      </c>
      <c r="KC15" s="118">
        <f>COUNTIF('Rig Sheet '!KH19:KH132,"Plugs")</f>
        <v>0</v>
      </c>
      <c r="KD15" s="118">
        <f>COUNTIF('Rig Sheet '!KI19:KI132,"Plugs")</f>
        <v>0</v>
      </c>
      <c r="KE15" s="118">
        <f>COUNTIF('Rig Sheet '!KJ19:KJ132,"Plugs")</f>
        <v>0</v>
      </c>
      <c r="KF15" s="118">
        <f>COUNTIF('Rig Sheet '!KK19:KK132,"Plugs")</f>
        <v>0</v>
      </c>
      <c r="KG15" s="118">
        <f>COUNTIF('Rig Sheet '!KL19:KL132,"Plugs")</f>
        <v>0</v>
      </c>
      <c r="KH15" s="118">
        <f>COUNTIF('Rig Sheet '!KM19:KM132,"Plugs")</f>
        <v>0</v>
      </c>
      <c r="KI15" s="118">
        <f>COUNTIF('Rig Sheet '!KN19:KN132,"Plugs")</f>
        <v>0</v>
      </c>
      <c r="KJ15" s="118">
        <f>COUNTIF('Rig Sheet '!KO19:KO132,"Plugs")</f>
        <v>0</v>
      </c>
      <c r="KK15" s="118">
        <f>COUNTIF('Rig Sheet '!KP19:KP132,"Plugs")</f>
        <v>0</v>
      </c>
      <c r="KL15" s="118">
        <f>COUNTIF('Rig Sheet '!KQ19:KQ132,"Plugs")</f>
        <v>0</v>
      </c>
      <c r="KM15" s="118">
        <f>COUNTIF('Rig Sheet '!KR19:KR132,"Plugs")</f>
        <v>0</v>
      </c>
      <c r="KN15" s="118">
        <f>COUNTIF('Rig Sheet '!KS19:KS132,"Plugs")</f>
        <v>0</v>
      </c>
      <c r="KO15" s="118">
        <f>COUNTIF('Rig Sheet '!KT19:KT132,"Plugs")</f>
        <v>0</v>
      </c>
      <c r="KP15" s="118">
        <f>COUNTIF('Rig Sheet '!KU19:KU132,"Plugs")</f>
        <v>0</v>
      </c>
      <c r="KQ15" s="118">
        <f>COUNTIF('Rig Sheet '!KV19:KV132,"Plugs")</f>
        <v>0</v>
      </c>
      <c r="KR15" s="118">
        <f>COUNTIF('Rig Sheet '!KW19:KW132,"Plugs")</f>
        <v>0</v>
      </c>
      <c r="KS15" s="118">
        <f>COUNTIF('Rig Sheet '!KX19:KX132,"Plugs")</f>
        <v>0</v>
      </c>
      <c r="KT15" s="118">
        <f>COUNTIF('Rig Sheet '!KY19:KY132,"Plugs")</f>
        <v>0</v>
      </c>
      <c r="KU15" s="118">
        <f>COUNTIF('Rig Sheet '!KZ19:KZ132,"Plugs")</f>
        <v>0</v>
      </c>
      <c r="KV15" s="118">
        <f>COUNTIF('Rig Sheet '!LA19:LA132,"Plugs")</f>
        <v>0</v>
      </c>
      <c r="KW15" s="118">
        <f>COUNTIF('Rig Sheet '!LB19:LB132,"Plugs")</f>
        <v>0</v>
      </c>
      <c r="KX15" s="118">
        <f>COUNTIF('Rig Sheet '!LC19:LC132,"Plugs")</f>
        <v>0</v>
      </c>
      <c r="KY15" s="118">
        <f>COUNTIF('Rig Sheet '!LD19:LD132,"Plugs")</f>
        <v>0</v>
      </c>
      <c r="KZ15" s="118">
        <f>COUNTIF('Rig Sheet '!LE19:LE132,"Plugs")</f>
        <v>0</v>
      </c>
      <c r="LA15" s="118">
        <f>COUNTIF('Rig Sheet '!LF19:LF132,"Plugs")</f>
        <v>0</v>
      </c>
      <c r="LB15" s="118">
        <f>COUNTIF('Rig Sheet '!LG19:LG132,"Plugs")</f>
        <v>0</v>
      </c>
      <c r="LC15" s="118">
        <f>COUNTIF('Rig Sheet '!LH19:LH132,"Plugs")</f>
        <v>0</v>
      </c>
      <c r="LD15" s="118">
        <f>COUNTIF('Rig Sheet '!LI19:LI132,"Plugs")</f>
        <v>0</v>
      </c>
      <c r="LE15" s="118">
        <f>COUNTIF('Rig Sheet '!LJ19:LJ132,"Plugs")</f>
        <v>0</v>
      </c>
      <c r="LF15" s="118">
        <f>COUNTIF('Rig Sheet '!LK19:LK132,"Plugs")</f>
        <v>0</v>
      </c>
      <c r="LG15" s="118">
        <f>COUNTIF('Rig Sheet '!LL19:LL132,"Plugs")</f>
        <v>0</v>
      </c>
      <c r="LH15" s="118">
        <f>COUNTIF('Rig Sheet '!LM19:LM132,"Plugs")</f>
        <v>0</v>
      </c>
      <c r="LI15" s="118">
        <f>COUNTIF('Rig Sheet '!LN19:LN132,"Plugs")</f>
        <v>0</v>
      </c>
      <c r="LJ15" s="118">
        <f>COUNTIF('Rig Sheet '!LO19:LO132,"Plugs")</f>
        <v>0</v>
      </c>
      <c r="LK15" s="118">
        <f>COUNTIF('Rig Sheet '!LP19:LP132,"Plugs")</f>
        <v>0</v>
      </c>
      <c r="LL15" s="118">
        <f>COUNTIF('Rig Sheet '!LQ19:LQ132,"Plugs")</f>
        <v>0</v>
      </c>
      <c r="LM15" s="118">
        <f>COUNTIF('Rig Sheet '!LR19:LR132,"Plugs")</f>
        <v>0</v>
      </c>
      <c r="LN15" s="118">
        <f>COUNTIF('Rig Sheet '!LS19:LS132,"Plugs")</f>
        <v>0</v>
      </c>
      <c r="LO15" s="118">
        <f>COUNTIF('Rig Sheet '!LT19:LT132,"Plugs")</f>
        <v>0</v>
      </c>
      <c r="LP15" s="118">
        <f>COUNTIF('Rig Sheet '!LU19:LU132,"Plugs")</f>
        <v>0</v>
      </c>
      <c r="LQ15" s="118">
        <f>COUNTIF('Rig Sheet '!LV19:LV132,"Plugs")</f>
        <v>0</v>
      </c>
      <c r="LR15" s="118">
        <f>COUNTIF('Rig Sheet '!LW19:LW132,"Plugs")</f>
        <v>0</v>
      </c>
      <c r="LS15" s="118">
        <f>COUNTIF('Rig Sheet '!LX19:LX132,"Plugs")</f>
        <v>0</v>
      </c>
      <c r="LT15" s="118">
        <f>COUNTIF('Rig Sheet '!LY19:LY132,"Plugs")</f>
        <v>0</v>
      </c>
      <c r="LU15" s="118">
        <f>COUNTIF('Rig Sheet '!LZ19:LZ132,"Plugs")</f>
        <v>0</v>
      </c>
      <c r="LV15" s="118">
        <f>COUNTIF('Rig Sheet '!MA19:MA132,"Plugs")</f>
        <v>0</v>
      </c>
      <c r="LW15" s="118">
        <f>COUNTIF('Rig Sheet '!MB19:MB132,"Plugs")</f>
        <v>0</v>
      </c>
      <c r="LX15" s="118">
        <f>COUNTIF('Rig Sheet '!MC19:MC132,"Plugs")</f>
        <v>0</v>
      </c>
      <c r="LY15" s="118">
        <f>COUNTIF('Rig Sheet '!MD19:MD132,"Plugs")</f>
        <v>0</v>
      </c>
      <c r="LZ15" s="118">
        <f>COUNTIF('Rig Sheet '!ME19:ME132,"Plugs")</f>
        <v>0</v>
      </c>
      <c r="MA15" s="118">
        <f>COUNTIF('Rig Sheet '!MF19:MF132,"Plugs")</f>
        <v>0</v>
      </c>
      <c r="MB15" s="118">
        <f>COUNTIF('Rig Sheet '!MG19:MG132,"Plugs")</f>
        <v>0</v>
      </c>
      <c r="MC15" s="118">
        <f>COUNTIF('Rig Sheet '!MH19:MH132,"Plugs")</f>
        <v>0</v>
      </c>
      <c r="MD15" s="118">
        <f>COUNTIF('Rig Sheet '!MI19:MI132,"Plugs")</f>
        <v>0</v>
      </c>
      <c r="ME15" s="118">
        <f>COUNTIF('Rig Sheet '!MJ19:MJ132,"Plugs")</f>
        <v>0</v>
      </c>
      <c r="MF15" s="118">
        <f>COUNTIF('Rig Sheet '!MK19:MK132,"Plugs")</f>
        <v>0</v>
      </c>
      <c r="MG15" s="118">
        <f>COUNTIF('Rig Sheet '!ML19:ML132,"Plugs")</f>
        <v>0</v>
      </c>
      <c r="MH15" s="118">
        <f>COUNTIF('Rig Sheet '!MM19:MM132,"Plugs")</f>
        <v>0</v>
      </c>
      <c r="MI15" s="118">
        <f>COUNTIF('Rig Sheet '!MN19:MN132,"Plugs")</f>
        <v>0</v>
      </c>
      <c r="MJ15" s="118">
        <f>COUNTIF('Rig Sheet '!MO19:MO132,"Plugs")</f>
        <v>0</v>
      </c>
      <c r="MK15" s="118">
        <f>COUNTIF('Rig Sheet '!MP19:MP132,"Plugs")</f>
        <v>0</v>
      </c>
      <c r="ML15" s="118">
        <f>COUNTIF('Rig Sheet '!MQ19:MQ132,"Plugs")</f>
        <v>0</v>
      </c>
      <c r="MM15" s="118">
        <f>COUNTIF('Rig Sheet '!MR19:MR132,"Plugs")</f>
        <v>0</v>
      </c>
      <c r="MN15" s="118">
        <f>COUNTIF('Rig Sheet '!MS19:MS132,"Plugs")</f>
        <v>0</v>
      </c>
      <c r="MO15" s="118">
        <f>COUNTIF('Rig Sheet '!MT19:MT132,"Plugs")</f>
        <v>0</v>
      </c>
      <c r="MP15" s="118">
        <f>COUNTIF('Rig Sheet '!MU19:MU132,"Plugs")</f>
        <v>0</v>
      </c>
      <c r="MQ15" s="118">
        <f>COUNTIF('Rig Sheet '!MV19:MV132,"Plugs")</f>
        <v>0</v>
      </c>
      <c r="MR15" s="118">
        <f>COUNTIF('Rig Sheet '!MW19:MW132,"Plugs")</f>
        <v>0</v>
      </c>
      <c r="MS15" s="118">
        <f>COUNTIF('Rig Sheet '!MX19:MX132,"Plugs")</f>
        <v>0</v>
      </c>
      <c r="MT15" s="118">
        <f>COUNTIF('Rig Sheet '!MY19:MY132,"Plugs")</f>
        <v>0</v>
      </c>
      <c r="MU15" s="118">
        <f>COUNTIF('Rig Sheet '!MZ19:MZ132,"Plugs")</f>
        <v>0</v>
      </c>
      <c r="MV15" s="118">
        <f>COUNTIF('Rig Sheet '!NA19:NA132,"Plugs")</f>
        <v>0</v>
      </c>
      <c r="MW15" s="118">
        <f>COUNTIF('Rig Sheet '!NB19:NB132,"Plugs")</f>
        <v>0</v>
      </c>
      <c r="MX15" s="118">
        <f>COUNTIF('Rig Sheet '!NC19:NC132,"Plugs")</f>
        <v>0</v>
      </c>
      <c r="MY15" s="118">
        <f>COUNTIF('Rig Sheet '!ND19:ND132,"Plugs")</f>
        <v>0</v>
      </c>
      <c r="MZ15" s="118">
        <f>COUNTIF('Rig Sheet '!NE19:NE132,"Plugs")</f>
        <v>0</v>
      </c>
      <c r="NA15" s="118">
        <f>COUNTIF('Rig Sheet '!NF19:NF132,"Plugs")</f>
        <v>0</v>
      </c>
      <c r="NB15" s="118">
        <f>COUNTIF('Rig Sheet '!NG19:NG132,"Plugs")</f>
        <v>0</v>
      </c>
    </row>
    <row r="16" spans="1:366"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  <c r="JD16" s="27"/>
      <c r="JE16" s="27"/>
      <c r="JF16" s="27"/>
      <c r="JG16" s="27"/>
      <c r="JH16" s="27"/>
      <c r="JI16" s="27"/>
      <c r="JJ16" s="27"/>
      <c r="JK16" s="27"/>
      <c r="JL16" s="27"/>
      <c r="JM16" s="27"/>
      <c r="JN16" s="27"/>
      <c r="JO16" s="27"/>
      <c r="JP16" s="27"/>
      <c r="JQ16" s="27"/>
      <c r="JR16" s="27"/>
      <c r="JS16" s="27"/>
      <c r="JT16" s="27"/>
      <c r="JU16" s="27"/>
      <c r="JV16" s="27"/>
      <c r="JW16" s="27"/>
      <c r="JX16" s="27"/>
      <c r="JY16" s="27"/>
      <c r="JZ16" s="27"/>
      <c r="KA16" s="27"/>
      <c r="KB16" s="27"/>
      <c r="KC16" s="27"/>
      <c r="KD16" s="27"/>
      <c r="KE16" s="27"/>
      <c r="KF16" s="27"/>
      <c r="KG16" s="27"/>
      <c r="KH16" s="27"/>
      <c r="KI16" s="27"/>
      <c r="KJ16" s="27"/>
      <c r="KK16" s="27"/>
      <c r="KL16" s="27"/>
      <c r="KM16" s="27"/>
      <c r="KN16" s="27"/>
      <c r="KO16" s="27"/>
      <c r="KP16" s="27"/>
      <c r="KQ16" s="27"/>
      <c r="KR16" s="27"/>
      <c r="KS16" s="27"/>
      <c r="KT16" s="27"/>
      <c r="KU16" s="27"/>
      <c r="KV16" s="27"/>
      <c r="KW16" s="27"/>
      <c r="KX16" s="27"/>
      <c r="KY16" s="27"/>
      <c r="KZ16" s="27"/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  <c r="LP16" s="27"/>
      <c r="LQ16" s="27"/>
      <c r="LR16" s="27"/>
      <c r="LS16" s="27"/>
      <c r="LT16" s="27"/>
      <c r="LU16" s="27"/>
      <c r="LV16" s="27"/>
      <c r="LW16" s="27"/>
      <c r="LX16" s="27"/>
      <c r="LY16" s="27"/>
      <c r="LZ16" s="27"/>
      <c r="MA16" s="27"/>
      <c r="MB16" s="27"/>
      <c r="MC16" s="27"/>
      <c r="MD16" s="27"/>
      <c r="ME16" s="27"/>
      <c r="MF16" s="27"/>
      <c r="MG16" s="27"/>
      <c r="MH16" s="27"/>
      <c r="MI16" s="27"/>
      <c r="MJ16" s="27"/>
      <c r="MK16" s="27"/>
      <c r="ML16" s="27"/>
      <c r="MM16" s="27"/>
      <c r="MN16" s="27"/>
      <c r="MO16" s="27"/>
      <c r="MP16" s="27"/>
      <c r="MQ16" s="27"/>
      <c r="MR16" s="27"/>
      <c r="MS16" s="27"/>
      <c r="MT16" s="27"/>
      <c r="MU16" s="27"/>
      <c r="MV16" s="27"/>
      <c r="MW16" s="27"/>
      <c r="MX16" s="27"/>
      <c r="MY16" s="27"/>
      <c r="MZ16" s="27"/>
      <c r="NA16" s="27"/>
      <c r="NB16" s="27"/>
    </row>
    <row r="17" spans="2:366"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  <c r="JD17" s="27"/>
      <c r="JE17" s="27"/>
      <c r="JF17" s="27"/>
      <c r="JG17" s="27"/>
      <c r="JH17" s="27"/>
      <c r="JI17" s="27"/>
      <c r="JJ17" s="27"/>
      <c r="JK17" s="27"/>
      <c r="JL17" s="27"/>
      <c r="JM17" s="27"/>
      <c r="JN17" s="27"/>
      <c r="JO17" s="27"/>
      <c r="JP17" s="27"/>
      <c r="JQ17" s="27"/>
      <c r="JR17" s="27"/>
      <c r="JS17" s="27"/>
      <c r="JT17" s="27"/>
      <c r="JU17" s="27"/>
      <c r="JV17" s="27"/>
      <c r="JW17" s="27"/>
      <c r="JX17" s="27"/>
      <c r="JY17" s="27"/>
      <c r="JZ17" s="27"/>
      <c r="KA17" s="27"/>
      <c r="KB17" s="27"/>
      <c r="KC17" s="27"/>
      <c r="KD17" s="27"/>
      <c r="KE17" s="27"/>
      <c r="KF17" s="27"/>
      <c r="KG17" s="27"/>
      <c r="KH17" s="27"/>
      <c r="KI17" s="27"/>
      <c r="KJ17" s="27"/>
      <c r="KK17" s="27"/>
      <c r="KL17" s="27"/>
      <c r="KM17" s="27"/>
      <c r="KN17" s="27"/>
      <c r="KO17" s="27"/>
      <c r="KP17" s="27"/>
      <c r="KQ17" s="27"/>
      <c r="KR17" s="27"/>
      <c r="KS17" s="27"/>
      <c r="KT17" s="27"/>
      <c r="KU17" s="27"/>
      <c r="KV17" s="27"/>
      <c r="KW17" s="27"/>
      <c r="KX17" s="27"/>
      <c r="KY17" s="27"/>
      <c r="KZ17" s="27"/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  <c r="LP17" s="27"/>
      <c r="LQ17" s="27"/>
      <c r="LR17" s="27"/>
      <c r="LS17" s="27"/>
      <c r="LT17" s="27"/>
      <c r="LU17" s="27"/>
      <c r="LV17" s="27"/>
      <c r="LW17" s="27"/>
      <c r="LX17" s="27"/>
      <c r="LY17" s="27"/>
      <c r="LZ17" s="27"/>
      <c r="MA17" s="27"/>
      <c r="MB17" s="27"/>
      <c r="MC17" s="27"/>
      <c r="MD17" s="27"/>
      <c r="ME17" s="27"/>
      <c r="MF17" s="27"/>
      <c r="MG17" s="27"/>
      <c r="MH17" s="27"/>
      <c r="MI17" s="27"/>
      <c r="MJ17" s="27"/>
      <c r="MK17" s="27"/>
      <c r="ML17" s="27"/>
      <c r="MM17" s="27"/>
      <c r="MN17" s="27"/>
      <c r="MO17" s="27"/>
      <c r="MP17" s="27"/>
      <c r="MQ17" s="27"/>
      <c r="MR17" s="27"/>
      <c r="MS17" s="27"/>
      <c r="MT17" s="27"/>
      <c r="MU17" s="27"/>
      <c r="MV17" s="27"/>
      <c r="MW17" s="27"/>
      <c r="MX17" s="27"/>
      <c r="MY17" s="27"/>
      <c r="MZ17" s="27"/>
      <c r="NA17" s="27"/>
      <c r="NB17" s="27"/>
    </row>
  </sheetData>
  <sheetProtection algorithmName="SHA-512" hashValue="SANIHD/BTRJumtfxaWSVLulfqPuLUTV+alrS31/r35Fjqdrg8dva8+My7gHz3sVp5VWuJEd96DE6werwK4lq6A==" saltValue="s6uDM218ElRj2BxiZUwnAA==" spinCount="100000" sheet="1" objects="1" scenarios="1"/>
  <conditionalFormatting sqref="B1:NB1">
    <cfRule type="expression" dxfId="0" priority="3">
      <formula>B1=TODAY()</formula>
    </cfRule>
  </conditionalFormatting>
  <conditionalFormatting sqref="B3:NB3">
    <cfRule type="colorScale" priority="1">
      <colorScale>
        <cfvo type="num" val="0"/>
        <cfvo type="percentile" val="70"/>
        <cfvo type="num" val="5"/>
        <color rgb="FF00B050"/>
        <color rgb="FFFFEB84"/>
        <color rgb="FFFF0000"/>
      </colorScale>
    </cfRule>
  </conditionalFormatting>
  <conditionalFormatting sqref="B2:NB2">
    <cfRule type="colorScale" priority="1031061">
      <colorScale>
        <cfvo type="percent" val="0"/>
        <cfvo type="percentile" val="50"/>
        <cfvo type="num" val="23"/>
        <color rgb="FF00B050"/>
        <color rgb="FFFFEB84"/>
        <color rgb="FFFF0000"/>
      </colorScale>
    </cfRule>
  </conditionalFormatting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59C4-B2B7-4064-B80F-23420A0F307C}">
  <dimension ref="A1:D59"/>
  <sheetViews>
    <sheetView workbookViewId="0">
      <selection activeCell="P22" sqref="P22"/>
    </sheetView>
  </sheetViews>
  <sheetFormatPr defaultRowHeight="15"/>
  <cols>
    <col min="1" max="1" width="16.7109375" bestFit="1" customWidth="1"/>
    <col min="3" max="3" width="10.7109375" bestFit="1" customWidth="1"/>
    <col min="4" max="4" width="11.42578125" bestFit="1" customWidth="1"/>
  </cols>
  <sheetData>
    <row r="1" spans="1:4">
      <c r="A1" s="179" t="s">
        <v>364</v>
      </c>
      <c r="B1" s="179"/>
      <c r="C1" s="179" t="s">
        <v>365</v>
      </c>
      <c r="D1" s="179" t="s">
        <v>365</v>
      </c>
    </row>
    <row r="2" spans="1:4">
      <c r="A2" s="179" t="s">
        <v>346</v>
      </c>
      <c r="B2" s="179" t="s">
        <v>366</v>
      </c>
      <c r="C2" s="179" t="s">
        <v>367</v>
      </c>
      <c r="D2" s="179" t="s">
        <v>368</v>
      </c>
    </row>
    <row r="3" spans="1:4">
      <c r="A3" s="181" t="s">
        <v>369</v>
      </c>
      <c r="B3" s="180">
        <v>28</v>
      </c>
      <c r="C3" s="180">
        <v>22</v>
      </c>
      <c r="D3" s="184">
        <f>AVERAGE('Utilization '!N65:N69)</f>
        <v>25.6</v>
      </c>
    </row>
    <row r="4" spans="1:4">
      <c r="A4" s="181" t="s">
        <v>370</v>
      </c>
      <c r="B4" s="180">
        <v>28</v>
      </c>
      <c r="C4" s="180">
        <v>22</v>
      </c>
      <c r="D4" s="184">
        <f>AVERAGE('Utilization '!N70:N76)</f>
        <v>25.571428571428573</v>
      </c>
    </row>
    <row r="5" spans="1:4">
      <c r="A5" s="181" t="s">
        <v>371</v>
      </c>
      <c r="B5" s="180">
        <v>28</v>
      </c>
      <c r="C5" s="180">
        <v>22</v>
      </c>
      <c r="D5" s="184">
        <f>AVERAGE('Utilization '!N77:N83)</f>
        <v>23.571428571428573</v>
      </c>
    </row>
    <row r="6" spans="1:4">
      <c r="A6" s="181" t="s">
        <v>372</v>
      </c>
      <c r="B6" s="180">
        <v>26</v>
      </c>
      <c r="C6" s="180">
        <v>22</v>
      </c>
      <c r="D6" s="184">
        <f>AVERAGE('Utilization '!N84:N90)</f>
        <v>19.571428571428573</v>
      </c>
    </row>
    <row r="7" spans="1:4">
      <c r="A7" s="181" t="s">
        <v>373</v>
      </c>
      <c r="B7" s="180">
        <v>22</v>
      </c>
      <c r="C7" s="180">
        <v>22</v>
      </c>
      <c r="D7" s="184">
        <f>AVERAGE('Utilization '!N91:N97)</f>
        <v>19</v>
      </c>
    </row>
    <row r="8" spans="1:4">
      <c r="A8" s="181" t="s">
        <v>374</v>
      </c>
      <c r="B8" s="180">
        <v>20</v>
      </c>
      <c r="C8" s="180">
        <v>22</v>
      </c>
      <c r="D8" s="184">
        <f>AVERAGE('Utilization '!N98:N104)</f>
        <v>18.428571428571427</v>
      </c>
    </row>
    <row r="9" spans="1:4">
      <c r="A9" s="181" t="s">
        <v>375</v>
      </c>
      <c r="B9" s="180">
        <v>20</v>
      </c>
      <c r="C9" s="180">
        <v>22</v>
      </c>
      <c r="D9" s="184">
        <f>AVERAGE('Utilization '!N105:N111)</f>
        <v>16.714285714285715</v>
      </c>
    </row>
    <row r="10" spans="1:4">
      <c r="A10" s="181" t="s">
        <v>376</v>
      </c>
      <c r="B10" s="180">
        <v>20</v>
      </c>
      <c r="C10" s="180">
        <v>22</v>
      </c>
      <c r="D10" s="184">
        <f>AVERAGE('Utilization '!N112:N118)</f>
        <v>17</v>
      </c>
    </row>
    <row r="11" spans="1:4">
      <c r="A11" s="181" t="s">
        <v>377</v>
      </c>
      <c r="B11" s="180">
        <v>21</v>
      </c>
      <c r="C11" s="180">
        <v>22</v>
      </c>
      <c r="D11" s="184">
        <f>AVERAGE('Utilization '!N119:N125)</f>
        <v>18</v>
      </c>
    </row>
    <row r="12" spans="1:4">
      <c r="A12" s="181" t="s">
        <v>378</v>
      </c>
      <c r="B12" s="180">
        <v>21</v>
      </c>
      <c r="C12" s="180">
        <v>22</v>
      </c>
      <c r="D12" s="184">
        <f>AVERAGE('Utilization '!N126:N132)</f>
        <v>17.428571428571427</v>
      </c>
    </row>
    <row r="13" spans="1:4">
      <c r="A13" s="181" t="s">
        <v>379</v>
      </c>
      <c r="B13" s="180">
        <v>21</v>
      </c>
      <c r="C13" s="180">
        <v>22</v>
      </c>
      <c r="D13" s="184">
        <f>AVERAGE('Utilization '!N133:N139)</f>
        <v>17</v>
      </c>
    </row>
    <row r="14" spans="1:4">
      <c r="A14" s="181" t="s">
        <v>380</v>
      </c>
      <c r="B14" s="180">
        <v>21</v>
      </c>
      <c r="C14" s="180">
        <v>22</v>
      </c>
      <c r="D14" s="184">
        <f>AVERAGE('Utilization '!N140:N146)</f>
        <v>17.571428571428573</v>
      </c>
    </row>
    <row r="15" spans="1:4">
      <c r="A15" s="181" t="s">
        <v>381</v>
      </c>
      <c r="B15" s="180">
        <v>21</v>
      </c>
      <c r="C15" s="180">
        <v>22</v>
      </c>
      <c r="D15" s="184">
        <f>AVERAGE('Utilization '!N147:N153)</f>
        <v>17.714285714285715</v>
      </c>
    </row>
    <row r="16" spans="1:4">
      <c r="A16" s="181" t="s">
        <v>382</v>
      </c>
      <c r="B16" s="180">
        <v>22</v>
      </c>
      <c r="C16" s="180">
        <v>22</v>
      </c>
      <c r="D16" s="184">
        <f>AVERAGE('Utilization '!N154:N160)</f>
        <v>18.571428571428573</v>
      </c>
    </row>
    <row r="17" spans="1:4">
      <c r="A17" s="181" t="s">
        <v>383</v>
      </c>
      <c r="B17" s="180">
        <v>22</v>
      </c>
      <c r="C17" s="180">
        <v>22</v>
      </c>
      <c r="D17" s="184">
        <f>AVERAGE('Utilization '!N161:N167)</f>
        <v>20.714285714285715</v>
      </c>
    </row>
    <row r="18" spans="1:4">
      <c r="A18" s="181" t="s">
        <v>384</v>
      </c>
      <c r="B18" s="180">
        <v>22</v>
      </c>
      <c r="C18" s="180">
        <v>22</v>
      </c>
      <c r="D18" s="184">
        <f>AVERAGE('Utilization '!N168:N174)</f>
        <v>22</v>
      </c>
    </row>
    <row r="19" spans="1:4">
      <c r="A19" s="181" t="s">
        <v>385</v>
      </c>
      <c r="B19" s="180">
        <v>22</v>
      </c>
      <c r="C19" s="180">
        <v>22</v>
      </c>
      <c r="D19" s="184">
        <f>AVERAGE('Utilization '!N175:N181)</f>
        <v>21</v>
      </c>
    </row>
    <row r="20" spans="1:4">
      <c r="A20" s="181" t="s">
        <v>386</v>
      </c>
      <c r="B20" s="180">
        <v>25</v>
      </c>
      <c r="C20" s="180">
        <v>22</v>
      </c>
      <c r="D20" s="184">
        <f>AVERAGE('Utilization '!N182:N188)</f>
        <v>19.285714285714285</v>
      </c>
    </row>
    <row r="21" spans="1:4">
      <c r="A21" s="181" t="s">
        <v>387</v>
      </c>
      <c r="B21" s="180">
        <v>25</v>
      </c>
      <c r="C21" s="180">
        <v>22</v>
      </c>
      <c r="D21" s="184">
        <f>AVERAGE('Utilization '!N189:N195)</f>
        <v>19.714285714285715</v>
      </c>
    </row>
    <row r="22" spans="1:4">
      <c r="A22" s="181" t="s">
        <v>388</v>
      </c>
      <c r="B22" s="180">
        <v>25</v>
      </c>
      <c r="C22" s="180">
        <v>22</v>
      </c>
      <c r="D22" s="184">
        <f>AVERAGE('Utilization '!N196:N202)</f>
        <v>19.428571428571427</v>
      </c>
    </row>
    <row r="23" spans="1:4">
      <c r="A23" s="181" t="s">
        <v>389</v>
      </c>
      <c r="B23" s="180">
        <v>25</v>
      </c>
      <c r="C23" s="180">
        <v>22</v>
      </c>
      <c r="D23" s="184">
        <f>AVERAGE('Utilization '!N203:N209)</f>
        <v>19.285714285714285</v>
      </c>
    </row>
    <row r="24" spans="1:4">
      <c r="A24" s="181" t="s">
        <v>390</v>
      </c>
      <c r="B24" s="180">
        <v>25</v>
      </c>
      <c r="C24" s="180">
        <v>22</v>
      </c>
      <c r="D24" s="184">
        <f>AVERAGE('Utilization '!N210:N216)</f>
        <v>22</v>
      </c>
    </row>
    <row r="25" spans="1:4">
      <c r="A25" s="181" t="s">
        <v>391</v>
      </c>
      <c r="B25" s="180">
        <v>28</v>
      </c>
      <c r="C25" s="180">
        <v>22</v>
      </c>
      <c r="D25" s="184">
        <f>AVERAGE('Utilization '!N217:N223)</f>
        <v>22.142857142857142</v>
      </c>
    </row>
    <row r="26" spans="1:4">
      <c r="A26" s="181" t="s">
        <v>392</v>
      </c>
      <c r="B26" s="180">
        <v>28</v>
      </c>
      <c r="C26" s="180">
        <v>25</v>
      </c>
      <c r="D26" s="184">
        <f>AVERAGE('Utilization '!N224:N230)</f>
        <v>22.142857142857142</v>
      </c>
    </row>
    <row r="27" spans="1:4">
      <c r="A27" s="181" t="s">
        <v>393</v>
      </c>
      <c r="B27" s="180">
        <v>28</v>
      </c>
      <c r="C27" s="180">
        <v>25</v>
      </c>
      <c r="D27" s="184">
        <f>AVERAGE('Utilization '!N231:N237)</f>
        <v>21.285714285714285</v>
      </c>
    </row>
    <row r="28" spans="1:4">
      <c r="A28" s="181" t="s">
        <v>394</v>
      </c>
      <c r="B28" s="180">
        <v>28</v>
      </c>
      <c r="C28" s="180">
        <v>25</v>
      </c>
      <c r="D28" s="184">
        <f>AVERAGE('Utilization '!N238:N244)</f>
        <v>21</v>
      </c>
    </row>
    <row r="29" spans="1:4">
      <c r="A29" s="181" t="s">
        <v>395</v>
      </c>
      <c r="B29" s="180">
        <v>30</v>
      </c>
      <c r="C29" s="180">
        <v>25</v>
      </c>
      <c r="D29" s="184">
        <f>AVERAGE('Utilization '!N245:N251)</f>
        <v>21.142857142857142</v>
      </c>
    </row>
    <row r="30" spans="1:4">
      <c r="A30" s="181" t="s">
        <v>396</v>
      </c>
      <c r="B30" s="180">
        <v>30</v>
      </c>
      <c r="C30" s="180">
        <v>27</v>
      </c>
      <c r="D30" s="184">
        <f>AVERAGE('Utilization '!N252:N258)</f>
        <v>21.714285714285715</v>
      </c>
    </row>
    <row r="31" spans="1:4">
      <c r="A31" s="181" t="s">
        <v>397</v>
      </c>
      <c r="B31" s="180">
        <v>30</v>
      </c>
      <c r="C31" s="180">
        <v>27</v>
      </c>
      <c r="D31" s="184">
        <f>AVERAGE('Utilization '!N259:N265)</f>
        <v>9.4285714285714288</v>
      </c>
    </row>
    <row r="32" spans="1:4">
      <c r="A32" s="181" t="s">
        <v>398</v>
      </c>
      <c r="B32" s="180">
        <v>30</v>
      </c>
      <c r="C32" s="180">
        <v>27</v>
      </c>
      <c r="D32" s="184">
        <f>AVERAGE('Utilization '!N266:N272)</f>
        <v>0</v>
      </c>
    </row>
    <row r="33" spans="1:4">
      <c r="A33" s="181" t="s">
        <v>399</v>
      </c>
      <c r="B33" s="180">
        <v>30</v>
      </c>
      <c r="C33" s="180">
        <v>27</v>
      </c>
      <c r="D33" s="184">
        <f>AVERAGE('Utilization '!N273:N279)</f>
        <v>0</v>
      </c>
    </row>
    <row r="34" spans="1:4">
      <c r="A34" s="181" t="s">
        <v>400</v>
      </c>
      <c r="B34" s="180">
        <v>30</v>
      </c>
      <c r="C34" s="180">
        <v>27</v>
      </c>
      <c r="D34" s="184">
        <f>AVERAGE('Utilization '!N280:N286)</f>
        <v>0</v>
      </c>
    </row>
    <row r="35" spans="1:4">
      <c r="A35" s="181" t="s">
        <v>401</v>
      </c>
      <c r="B35" s="180">
        <v>30</v>
      </c>
      <c r="C35" s="180">
        <v>27</v>
      </c>
      <c r="D35" s="184">
        <f>AVERAGE('Utilization '!N287:N293)</f>
        <v>0</v>
      </c>
    </row>
    <row r="36" spans="1:4">
      <c r="A36" s="181" t="s">
        <v>402</v>
      </c>
      <c r="B36" s="180">
        <v>30</v>
      </c>
      <c r="C36" s="180">
        <v>27</v>
      </c>
      <c r="D36" s="184">
        <f>AVERAGE('Utilization '!N294:N300)</f>
        <v>0</v>
      </c>
    </row>
    <row r="37" spans="1:4">
      <c r="A37" s="181" t="s">
        <v>403</v>
      </c>
      <c r="B37" s="180">
        <v>30</v>
      </c>
      <c r="C37" s="180">
        <v>27</v>
      </c>
      <c r="D37" s="184">
        <f>AVERAGE('Utilization '!N301:N307)</f>
        <v>0</v>
      </c>
    </row>
    <row r="38" spans="1:4">
      <c r="A38" s="181" t="s">
        <v>404</v>
      </c>
      <c r="B38" s="180">
        <v>33</v>
      </c>
      <c r="C38" s="180">
        <v>27</v>
      </c>
      <c r="D38" s="184">
        <f>AVERAGE('Utilization '!N308:N314)</f>
        <v>0</v>
      </c>
    </row>
    <row r="39" spans="1:4">
      <c r="A39" s="181" t="s">
        <v>405</v>
      </c>
      <c r="B39" s="180">
        <v>33</v>
      </c>
      <c r="C39" s="180">
        <v>27</v>
      </c>
      <c r="D39" s="184">
        <f>AVERAGE('Utilization '!N315:N321)</f>
        <v>0</v>
      </c>
    </row>
    <row r="40" spans="1:4">
      <c r="A40" s="181" t="s">
        <v>406</v>
      </c>
      <c r="B40" s="180">
        <v>33</v>
      </c>
      <c r="C40" s="180">
        <v>27</v>
      </c>
      <c r="D40" s="184">
        <f>AVERAGE('Utilization '!N322:N328)</f>
        <v>0</v>
      </c>
    </row>
    <row r="41" spans="1:4">
      <c r="A41" s="181" t="s">
        <v>407</v>
      </c>
      <c r="B41" s="180">
        <v>33</v>
      </c>
      <c r="C41" s="180">
        <v>27</v>
      </c>
      <c r="D41" s="184">
        <f>AVERAGE('Utilization '!N329:N335)</f>
        <v>0</v>
      </c>
    </row>
    <row r="42" spans="1:4">
      <c r="A42" s="181" t="s">
        <v>408</v>
      </c>
      <c r="B42" s="180">
        <v>31</v>
      </c>
      <c r="C42" s="180">
        <v>27</v>
      </c>
      <c r="D42" s="184">
        <f>AVERAGE('Utilization '!N336:N342)</f>
        <v>0</v>
      </c>
    </row>
    <row r="43" spans="1:4">
      <c r="A43" s="181" t="s">
        <v>409</v>
      </c>
      <c r="B43" s="180">
        <v>31</v>
      </c>
      <c r="C43" s="180">
        <v>27</v>
      </c>
      <c r="D43" s="184">
        <f>AVERAGE('Utilization '!N343:N349)</f>
        <v>0</v>
      </c>
    </row>
    <row r="44" spans="1:4">
      <c r="A44" s="181" t="s">
        <v>410</v>
      </c>
      <c r="B44" s="180">
        <v>31</v>
      </c>
      <c r="C44" s="180">
        <v>27</v>
      </c>
      <c r="D44" s="184">
        <f>AVERAGE('Utilization '!N350:N356)</f>
        <v>0</v>
      </c>
    </row>
    <row r="45" spans="1:4">
      <c r="A45" s="181" t="s">
        <v>411</v>
      </c>
      <c r="B45" s="180">
        <v>31</v>
      </c>
      <c r="C45" s="180">
        <v>28</v>
      </c>
      <c r="D45" s="184">
        <f>AVERAGE('Utilization '!N357:N363)</f>
        <v>0</v>
      </c>
    </row>
    <row r="46" spans="1:4">
      <c r="A46" s="181" t="s">
        <v>412</v>
      </c>
      <c r="B46" s="180">
        <v>31</v>
      </c>
      <c r="C46" s="180">
        <v>28</v>
      </c>
      <c r="D46" s="184">
        <f>AVERAGE('Utilization '!N364:N370)</f>
        <v>0</v>
      </c>
    </row>
    <row r="47" spans="1:4">
      <c r="A47" s="181" t="s">
        <v>413</v>
      </c>
      <c r="B47" s="180">
        <v>36</v>
      </c>
      <c r="C47" s="180">
        <v>28</v>
      </c>
      <c r="D47" s="184">
        <f>AVERAGE('Utilization '!N371:N377)</f>
        <v>0</v>
      </c>
    </row>
    <row r="48" spans="1:4">
      <c r="A48" s="181" t="s">
        <v>414</v>
      </c>
      <c r="B48" s="180">
        <v>36</v>
      </c>
      <c r="C48" s="180">
        <v>34</v>
      </c>
      <c r="D48" s="184">
        <f>AVERAGE('Utilization '!N378:N384)</f>
        <v>0</v>
      </c>
    </row>
    <row r="49" spans="1:4">
      <c r="A49" s="181" t="s">
        <v>415</v>
      </c>
      <c r="B49" s="180">
        <v>36</v>
      </c>
      <c r="C49" s="180">
        <v>34</v>
      </c>
      <c r="D49" s="184">
        <f>AVERAGE('Utilization '!N385:N391)</f>
        <v>0</v>
      </c>
    </row>
    <row r="50" spans="1:4">
      <c r="A50" s="181" t="s">
        <v>416</v>
      </c>
      <c r="B50" s="180">
        <v>36</v>
      </c>
      <c r="C50" s="180">
        <v>34</v>
      </c>
      <c r="D50" s="184">
        <f>AVERAGE('Utilization '!N392:N398)</f>
        <v>0</v>
      </c>
    </row>
    <row r="51" spans="1:4">
      <c r="A51" s="181" t="s">
        <v>417</v>
      </c>
      <c r="B51" s="180">
        <v>36</v>
      </c>
      <c r="C51" s="180">
        <v>34</v>
      </c>
      <c r="D51" s="180">
        <f>AVERAGE('Utilization '!N399:N405)</f>
        <v>0</v>
      </c>
    </row>
    <row r="52" spans="1:4">
      <c r="A52" s="181" t="s">
        <v>418</v>
      </c>
      <c r="B52" s="180">
        <v>36</v>
      </c>
      <c r="C52" s="180">
        <v>34</v>
      </c>
      <c r="D52" s="180">
        <f>AVERAGE('Utilization '!N406:N412)</f>
        <v>0</v>
      </c>
    </row>
    <row r="53" spans="1:4">
      <c r="A53" s="181" t="s">
        <v>419</v>
      </c>
      <c r="B53" s="180">
        <v>36</v>
      </c>
      <c r="C53" s="180">
        <v>34</v>
      </c>
      <c r="D53" s="180">
        <f>AVERAGE('Utilization '!N413:N419)</f>
        <v>0</v>
      </c>
    </row>
    <row r="54" spans="1:4">
      <c r="A54" s="181" t="s">
        <v>420</v>
      </c>
      <c r="B54" s="180">
        <v>36</v>
      </c>
      <c r="C54" s="180">
        <v>34</v>
      </c>
      <c r="D54" s="180">
        <f>AVERAGE('Utilization '!N420:N426)</f>
        <v>0</v>
      </c>
    </row>
    <row r="55" spans="1:4">
      <c r="A55" s="181" t="s">
        <v>421</v>
      </c>
      <c r="B55" s="180">
        <v>36</v>
      </c>
      <c r="C55" s="180">
        <v>36</v>
      </c>
      <c r="D55" s="180">
        <f>AVERAGE('Utilization '!N427:N433)</f>
        <v>0</v>
      </c>
    </row>
    <row r="56" spans="1:4">
      <c r="A56" s="181" t="s">
        <v>422</v>
      </c>
      <c r="B56" s="180">
        <v>36</v>
      </c>
      <c r="C56" s="180">
        <v>36</v>
      </c>
      <c r="D56" s="180">
        <f>AVERAGE('Utilization '!N434:N440)</f>
        <v>0</v>
      </c>
    </row>
    <row r="57" spans="1:4">
      <c r="A57" s="181" t="s">
        <v>423</v>
      </c>
      <c r="B57" s="180">
        <v>36</v>
      </c>
      <c r="C57" s="180">
        <v>36</v>
      </c>
      <c r="D57" s="180">
        <f>AVERAGE('Utilization '!N441:N447)</f>
        <v>0</v>
      </c>
    </row>
    <row r="58" spans="1:4">
      <c r="A58" t="s">
        <v>424</v>
      </c>
      <c r="B58">
        <v>36</v>
      </c>
      <c r="C58" s="180">
        <v>36</v>
      </c>
      <c r="D58">
        <f>AVERAGE('Utilization '!N448:N454)</f>
        <v>0</v>
      </c>
    </row>
    <row r="59" spans="1:4">
      <c r="A59" t="s">
        <v>425</v>
      </c>
      <c r="B59">
        <v>36</v>
      </c>
      <c r="C59" s="180">
        <v>36</v>
      </c>
      <c r="D59">
        <f>AVERAGE('Utilization '!N455:N461)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FA4FD-78A1-46BB-A740-7E110D333C47}">
  <dimension ref="A1"/>
  <sheetViews>
    <sheetView workbookViewId="0">
      <selection activeCell="AD21" sqref="AD21"/>
    </sheetView>
  </sheetViews>
  <sheetFormatPr defaultRowHeight="1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0B0F1-1C7E-41E2-81F0-C53FF7F55CB3}">
  <dimension ref="A1:G1361"/>
  <sheetViews>
    <sheetView topLeftCell="A425" workbookViewId="0">
      <selection activeCell="K674" sqref="K674"/>
    </sheetView>
  </sheetViews>
  <sheetFormatPr defaultRowHeight="15"/>
  <cols>
    <col min="1" max="1" width="26.7109375" customWidth="1"/>
    <col min="2" max="2" width="10.7109375" bestFit="1" customWidth="1"/>
    <col min="3" max="3" width="10.42578125" bestFit="1" customWidth="1"/>
    <col min="5" max="5" width="12.28515625" bestFit="1" customWidth="1"/>
    <col min="6" max="6" width="13.28515625" bestFit="1" customWidth="1"/>
    <col min="7" max="7" width="31.42578125" bestFit="1" customWidth="1"/>
  </cols>
  <sheetData>
    <row r="1" spans="1:7">
      <c r="A1" s="177" t="s">
        <v>346</v>
      </c>
      <c r="B1" s="177" t="s">
        <v>426</v>
      </c>
      <c r="C1" s="177" t="s">
        <v>427</v>
      </c>
      <c r="D1" s="177" t="s">
        <v>428</v>
      </c>
      <c r="E1" s="177" t="s">
        <v>429</v>
      </c>
      <c r="F1" s="177" t="s">
        <v>430</v>
      </c>
      <c r="G1" s="177" t="s">
        <v>431</v>
      </c>
    </row>
    <row r="2" spans="1:7">
      <c r="A2" s="11">
        <v>44757</v>
      </c>
      <c r="B2" t="s">
        <v>432</v>
      </c>
      <c r="C2" t="s">
        <v>349</v>
      </c>
      <c r="D2" t="s">
        <v>40</v>
      </c>
      <c r="F2" cm="1">
        <f t="array" ref="F2:F7">TRANSPOSE('Utilization '!B201:G201)</f>
        <v>2</v>
      </c>
    </row>
    <row r="3" spans="1:7">
      <c r="A3" s="11">
        <v>44757</v>
      </c>
      <c r="B3" t="s">
        <v>432</v>
      </c>
      <c r="C3" t="s">
        <v>349</v>
      </c>
      <c r="D3" t="s">
        <v>36</v>
      </c>
      <c r="F3">
        <v>3</v>
      </c>
    </row>
    <row r="4" spans="1:7">
      <c r="A4" s="11">
        <v>44757</v>
      </c>
      <c r="B4" t="s">
        <v>432</v>
      </c>
      <c r="C4" t="s">
        <v>22</v>
      </c>
      <c r="D4" t="s">
        <v>23</v>
      </c>
      <c r="F4">
        <v>3</v>
      </c>
    </row>
    <row r="5" spans="1:7">
      <c r="A5" s="11">
        <v>44757</v>
      </c>
      <c r="B5" t="s">
        <v>432</v>
      </c>
      <c r="C5" t="s">
        <v>22</v>
      </c>
      <c r="D5" t="s">
        <v>76</v>
      </c>
      <c r="F5">
        <v>1</v>
      </c>
    </row>
    <row r="6" spans="1:7">
      <c r="A6" s="11">
        <v>44757</v>
      </c>
      <c r="B6" t="s">
        <v>432</v>
      </c>
      <c r="C6" t="s">
        <v>350</v>
      </c>
      <c r="D6" t="s">
        <v>78</v>
      </c>
      <c r="F6">
        <v>4</v>
      </c>
    </row>
    <row r="7" spans="1:7">
      <c r="A7" s="11">
        <v>44757</v>
      </c>
      <c r="B7" t="s">
        <v>432</v>
      </c>
      <c r="C7" t="s">
        <v>350</v>
      </c>
      <c r="D7" t="s">
        <v>354</v>
      </c>
      <c r="F7">
        <v>3</v>
      </c>
    </row>
    <row r="8" spans="1:7">
      <c r="A8" s="11">
        <v>44757</v>
      </c>
      <c r="B8" t="s">
        <v>432</v>
      </c>
      <c r="C8" t="s">
        <v>351</v>
      </c>
      <c r="D8" t="s">
        <v>46</v>
      </c>
      <c r="F8" cm="1">
        <f t="array" ref="F8:F9">TRANSPOSE('Utilization '!I201:J201)</f>
        <v>3</v>
      </c>
    </row>
    <row r="9" spans="1:7">
      <c r="A9" s="11">
        <v>44757</v>
      </c>
      <c r="B9" t="s">
        <v>432</v>
      </c>
      <c r="C9" t="s">
        <v>351</v>
      </c>
      <c r="D9" t="s">
        <v>62</v>
      </c>
      <c r="F9">
        <v>0</v>
      </c>
    </row>
    <row r="10" spans="1:7">
      <c r="A10" s="11">
        <v>44758</v>
      </c>
      <c r="B10" t="s">
        <v>432</v>
      </c>
      <c r="C10" t="s">
        <v>349</v>
      </c>
      <c r="D10" t="s">
        <v>40</v>
      </c>
      <c r="F10" cm="1">
        <f t="array" ref="F10:F15">TRANSPOSE('Utilization '!B202:G202)</f>
        <v>1</v>
      </c>
    </row>
    <row r="11" spans="1:7">
      <c r="A11" s="11">
        <v>44758</v>
      </c>
      <c r="B11" t="s">
        <v>432</v>
      </c>
      <c r="C11" t="s">
        <v>349</v>
      </c>
      <c r="D11" t="s">
        <v>36</v>
      </c>
      <c r="F11">
        <v>3</v>
      </c>
    </row>
    <row r="12" spans="1:7">
      <c r="A12" s="11">
        <v>44758</v>
      </c>
      <c r="B12" t="s">
        <v>432</v>
      </c>
      <c r="C12" t="s">
        <v>22</v>
      </c>
      <c r="D12" t="s">
        <v>23</v>
      </c>
      <c r="F12">
        <v>2</v>
      </c>
    </row>
    <row r="13" spans="1:7">
      <c r="A13" s="11">
        <v>44758</v>
      </c>
      <c r="B13" t="s">
        <v>432</v>
      </c>
      <c r="C13" t="s">
        <v>22</v>
      </c>
      <c r="D13" t="s">
        <v>76</v>
      </c>
      <c r="F13">
        <v>1</v>
      </c>
    </row>
    <row r="14" spans="1:7">
      <c r="A14" s="11">
        <v>44758</v>
      </c>
      <c r="B14" t="s">
        <v>432</v>
      </c>
      <c r="C14" t="s">
        <v>350</v>
      </c>
      <c r="D14" t="s">
        <v>78</v>
      </c>
      <c r="F14">
        <v>4</v>
      </c>
    </row>
    <row r="15" spans="1:7">
      <c r="A15" s="11">
        <v>44758</v>
      </c>
      <c r="B15" t="s">
        <v>432</v>
      </c>
      <c r="C15" t="s">
        <v>350</v>
      </c>
      <c r="D15" t="s">
        <v>354</v>
      </c>
      <c r="F15">
        <v>3</v>
      </c>
    </row>
    <row r="16" spans="1:7">
      <c r="A16" s="11">
        <v>44758</v>
      </c>
      <c r="B16" t="s">
        <v>432</v>
      </c>
      <c r="C16" t="s">
        <v>351</v>
      </c>
      <c r="D16" t="s">
        <v>46</v>
      </c>
      <c r="F16" cm="1">
        <f t="array" ref="F16:F17">TRANSPOSE('Utilization '!I202:J202)</f>
        <v>3</v>
      </c>
    </row>
    <row r="17" spans="1:6">
      <c r="A17" s="11">
        <v>44758</v>
      </c>
      <c r="B17" t="s">
        <v>432</v>
      </c>
      <c r="C17" t="s">
        <v>351</v>
      </c>
      <c r="D17" t="s">
        <v>62</v>
      </c>
      <c r="F17">
        <v>0</v>
      </c>
    </row>
    <row r="18" spans="1:6">
      <c r="A18" s="11">
        <v>44759</v>
      </c>
      <c r="B18" t="s">
        <v>432</v>
      </c>
      <c r="C18" t="s">
        <v>349</v>
      </c>
      <c r="D18" t="s">
        <v>40</v>
      </c>
      <c r="F18" cm="1">
        <f t="array" ref="F18:F23">TRANSPOSE('Utilization '!B203:G203)</f>
        <v>1</v>
      </c>
    </row>
    <row r="19" spans="1:6">
      <c r="A19" s="11">
        <v>44759</v>
      </c>
      <c r="B19" t="s">
        <v>432</v>
      </c>
      <c r="C19" t="s">
        <v>349</v>
      </c>
      <c r="D19" t="s">
        <v>36</v>
      </c>
      <c r="F19">
        <v>3</v>
      </c>
    </row>
    <row r="20" spans="1:6">
      <c r="A20" s="11">
        <v>44759</v>
      </c>
      <c r="B20" t="s">
        <v>432</v>
      </c>
      <c r="C20" t="s">
        <v>22</v>
      </c>
      <c r="D20" t="s">
        <v>23</v>
      </c>
      <c r="F20">
        <v>2</v>
      </c>
    </row>
    <row r="21" spans="1:6">
      <c r="A21" s="11">
        <v>44759</v>
      </c>
      <c r="B21" t="s">
        <v>432</v>
      </c>
      <c r="C21" t="s">
        <v>22</v>
      </c>
      <c r="D21" t="s">
        <v>76</v>
      </c>
      <c r="F21">
        <v>1</v>
      </c>
    </row>
    <row r="22" spans="1:6">
      <c r="A22" s="11">
        <v>44759</v>
      </c>
      <c r="B22" t="s">
        <v>432</v>
      </c>
      <c r="C22" t="s">
        <v>350</v>
      </c>
      <c r="D22" t="s">
        <v>78</v>
      </c>
      <c r="F22">
        <v>4</v>
      </c>
    </row>
    <row r="23" spans="1:6">
      <c r="A23" s="11">
        <v>44759</v>
      </c>
      <c r="B23" t="s">
        <v>432</v>
      </c>
      <c r="C23" t="s">
        <v>350</v>
      </c>
      <c r="D23" t="s">
        <v>354</v>
      </c>
      <c r="F23">
        <v>3</v>
      </c>
    </row>
    <row r="24" spans="1:6">
      <c r="A24" s="11">
        <v>44759</v>
      </c>
      <c r="B24" t="s">
        <v>432</v>
      </c>
      <c r="C24" t="s">
        <v>351</v>
      </c>
      <c r="D24" t="s">
        <v>46</v>
      </c>
      <c r="F24" cm="1">
        <f t="array" ref="F24:F25">TRANSPOSE('Utilization '!I203:J203)</f>
        <v>3</v>
      </c>
    </row>
    <row r="25" spans="1:6">
      <c r="A25" s="11">
        <v>44759</v>
      </c>
      <c r="B25" t="s">
        <v>432</v>
      </c>
      <c r="C25" t="s">
        <v>351</v>
      </c>
      <c r="D25" t="s">
        <v>62</v>
      </c>
      <c r="F25">
        <v>0</v>
      </c>
    </row>
    <row r="26" spans="1:6">
      <c r="A26" s="11">
        <v>44760</v>
      </c>
      <c r="B26" t="s">
        <v>432</v>
      </c>
      <c r="C26" t="s">
        <v>349</v>
      </c>
      <c r="D26" t="s">
        <v>40</v>
      </c>
      <c r="F26" cm="1">
        <f t="array" ref="F26:F31">TRANSPOSE('Utilization '!B204:G204)</f>
        <v>1</v>
      </c>
    </row>
    <row r="27" spans="1:6">
      <c r="A27" s="11">
        <v>44760</v>
      </c>
      <c r="B27" t="s">
        <v>432</v>
      </c>
      <c r="C27" t="s">
        <v>349</v>
      </c>
      <c r="D27" t="s">
        <v>36</v>
      </c>
      <c r="F27">
        <v>3</v>
      </c>
    </row>
    <row r="28" spans="1:6">
      <c r="A28" s="11">
        <v>44760</v>
      </c>
      <c r="B28" t="s">
        <v>432</v>
      </c>
      <c r="C28" t="s">
        <v>22</v>
      </c>
      <c r="D28" t="s">
        <v>23</v>
      </c>
      <c r="F28">
        <v>2</v>
      </c>
    </row>
    <row r="29" spans="1:6">
      <c r="A29" s="11">
        <v>44760</v>
      </c>
      <c r="B29" t="s">
        <v>432</v>
      </c>
      <c r="C29" t="s">
        <v>22</v>
      </c>
      <c r="D29" t="s">
        <v>76</v>
      </c>
      <c r="F29">
        <v>1</v>
      </c>
    </row>
    <row r="30" spans="1:6">
      <c r="A30" s="11">
        <v>44760</v>
      </c>
      <c r="B30" t="s">
        <v>432</v>
      </c>
      <c r="C30" t="s">
        <v>350</v>
      </c>
      <c r="D30" t="s">
        <v>78</v>
      </c>
      <c r="F30">
        <v>4</v>
      </c>
    </row>
    <row r="31" spans="1:6">
      <c r="A31" s="11">
        <v>44760</v>
      </c>
      <c r="B31" t="s">
        <v>432</v>
      </c>
      <c r="C31" t="s">
        <v>350</v>
      </c>
      <c r="D31" t="s">
        <v>354</v>
      </c>
      <c r="F31">
        <v>3</v>
      </c>
    </row>
    <row r="32" spans="1:6">
      <c r="A32" s="11">
        <v>44760</v>
      </c>
      <c r="B32" t="s">
        <v>432</v>
      </c>
      <c r="C32" t="s">
        <v>351</v>
      </c>
      <c r="D32" t="s">
        <v>46</v>
      </c>
      <c r="F32" cm="1">
        <f t="array" ref="F32:F33">TRANSPOSE('Utilization '!I204:J204)</f>
        <v>3</v>
      </c>
    </row>
    <row r="33" spans="1:6">
      <c r="A33" s="11">
        <v>44760</v>
      </c>
      <c r="B33" t="s">
        <v>432</v>
      </c>
      <c r="C33" t="s">
        <v>351</v>
      </c>
      <c r="D33" t="s">
        <v>62</v>
      </c>
      <c r="F33">
        <v>0</v>
      </c>
    </row>
    <row r="34" spans="1:6">
      <c r="A34" s="11">
        <v>44761</v>
      </c>
      <c r="B34" t="s">
        <v>432</v>
      </c>
      <c r="C34" t="s">
        <v>349</v>
      </c>
      <c r="D34" t="s">
        <v>40</v>
      </c>
      <c r="F34" cm="1">
        <f t="array" ref="F34:F39">TRANSPOSE('Utilization '!B205:G205)</f>
        <v>2</v>
      </c>
    </row>
    <row r="35" spans="1:6">
      <c r="A35" s="11">
        <v>44761</v>
      </c>
      <c r="B35" t="s">
        <v>432</v>
      </c>
      <c r="C35" t="s">
        <v>349</v>
      </c>
      <c r="D35" t="s">
        <v>36</v>
      </c>
      <c r="F35">
        <v>3</v>
      </c>
    </row>
    <row r="36" spans="1:6">
      <c r="A36" s="11">
        <v>44761</v>
      </c>
      <c r="B36" t="s">
        <v>432</v>
      </c>
      <c r="C36" t="s">
        <v>22</v>
      </c>
      <c r="D36" t="s">
        <v>23</v>
      </c>
      <c r="F36">
        <v>2</v>
      </c>
    </row>
    <row r="37" spans="1:6">
      <c r="A37" s="11">
        <v>44761</v>
      </c>
      <c r="B37" t="s">
        <v>432</v>
      </c>
      <c r="C37" t="s">
        <v>22</v>
      </c>
      <c r="D37" t="s">
        <v>76</v>
      </c>
      <c r="F37">
        <v>1</v>
      </c>
    </row>
    <row r="38" spans="1:6">
      <c r="A38" s="11">
        <v>44761</v>
      </c>
      <c r="B38" t="s">
        <v>432</v>
      </c>
      <c r="C38" t="s">
        <v>350</v>
      </c>
      <c r="D38" t="s">
        <v>78</v>
      </c>
      <c r="F38">
        <v>4</v>
      </c>
    </row>
    <row r="39" spans="1:6">
      <c r="A39" s="11">
        <v>44761</v>
      </c>
      <c r="B39" t="s">
        <v>432</v>
      </c>
      <c r="C39" t="s">
        <v>350</v>
      </c>
      <c r="D39" t="s">
        <v>354</v>
      </c>
      <c r="F39">
        <v>3</v>
      </c>
    </row>
    <row r="40" spans="1:6">
      <c r="A40" s="11">
        <v>44761</v>
      </c>
      <c r="B40" t="s">
        <v>432</v>
      </c>
      <c r="C40" t="s">
        <v>351</v>
      </c>
      <c r="D40" t="s">
        <v>46</v>
      </c>
      <c r="F40" cm="1">
        <f t="array" ref="F40:F41">TRANSPOSE('Utilization '!I205:J205)</f>
        <v>3</v>
      </c>
    </row>
    <row r="41" spans="1:6">
      <c r="A41" s="11">
        <v>44761</v>
      </c>
      <c r="B41" t="s">
        <v>432</v>
      </c>
      <c r="C41" t="s">
        <v>351</v>
      </c>
      <c r="D41" t="s">
        <v>62</v>
      </c>
      <c r="F41">
        <v>0</v>
      </c>
    </row>
    <row r="42" spans="1:6">
      <c r="A42" s="11">
        <v>44762</v>
      </c>
      <c r="B42" t="s">
        <v>432</v>
      </c>
      <c r="C42" t="s">
        <v>349</v>
      </c>
      <c r="D42" t="s">
        <v>40</v>
      </c>
      <c r="F42" cm="1">
        <f t="array" ref="F42:F47">TRANSPOSE('Utilization '!B206:G206)</f>
        <v>2</v>
      </c>
    </row>
    <row r="43" spans="1:6">
      <c r="A43" s="11">
        <v>44762</v>
      </c>
      <c r="B43" t="s">
        <v>432</v>
      </c>
      <c r="C43" t="s">
        <v>349</v>
      </c>
      <c r="D43" t="s">
        <v>36</v>
      </c>
      <c r="F43">
        <v>3</v>
      </c>
    </row>
    <row r="44" spans="1:6">
      <c r="A44" s="11">
        <v>44762</v>
      </c>
      <c r="B44" t="s">
        <v>432</v>
      </c>
      <c r="C44" t="s">
        <v>22</v>
      </c>
      <c r="D44" t="s">
        <v>23</v>
      </c>
      <c r="F44">
        <v>2</v>
      </c>
    </row>
    <row r="45" spans="1:6">
      <c r="A45" s="11">
        <v>44762</v>
      </c>
      <c r="B45" t="s">
        <v>432</v>
      </c>
      <c r="C45" t="s">
        <v>22</v>
      </c>
      <c r="D45" t="s">
        <v>76</v>
      </c>
      <c r="F45">
        <v>1</v>
      </c>
    </row>
    <row r="46" spans="1:6">
      <c r="A46" s="11">
        <v>44762</v>
      </c>
      <c r="B46" t="s">
        <v>432</v>
      </c>
      <c r="C46" t="s">
        <v>350</v>
      </c>
      <c r="D46" t="s">
        <v>78</v>
      </c>
      <c r="F46">
        <v>4</v>
      </c>
    </row>
    <row r="47" spans="1:6">
      <c r="A47" s="11">
        <v>44762</v>
      </c>
      <c r="B47" t="s">
        <v>432</v>
      </c>
      <c r="C47" t="s">
        <v>350</v>
      </c>
      <c r="D47" t="s">
        <v>354</v>
      </c>
      <c r="F47">
        <v>4</v>
      </c>
    </row>
    <row r="48" spans="1:6">
      <c r="A48" s="11">
        <v>44762</v>
      </c>
      <c r="B48" t="s">
        <v>432</v>
      </c>
      <c r="C48" t="s">
        <v>351</v>
      </c>
      <c r="D48" t="s">
        <v>46</v>
      </c>
      <c r="F48" cm="1">
        <f t="array" ref="F48:F49">TRANSPOSE('Utilization '!I206:J206)</f>
        <v>6</v>
      </c>
    </row>
    <row r="49" spans="1:6">
      <c r="A49" s="11">
        <v>44762</v>
      </c>
      <c r="B49" t="s">
        <v>432</v>
      </c>
      <c r="C49" t="s">
        <v>351</v>
      </c>
      <c r="D49" t="s">
        <v>62</v>
      </c>
      <c r="F49">
        <v>0</v>
      </c>
    </row>
    <row r="50" spans="1:6">
      <c r="A50" s="11">
        <v>44763</v>
      </c>
      <c r="B50" t="s">
        <v>432</v>
      </c>
      <c r="C50" t="s">
        <v>349</v>
      </c>
      <c r="D50" t="s">
        <v>40</v>
      </c>
      <c r="F50" cm="1">
        <f t="array" ref="F50:F55">TRANSPOSE('Utilization '!B207:G207)</f>
        <v>2</v>
      </c>
    </row>
    <row r="51" spans="1:6">
      <c r="A51" s="11">
        <v>44763</v>
      </c>
      <c r="B51" t="s">
        <v>432</v>
      </c>
      <c r="C51" t="s">
        <v>349</v>
      </c>
      <c r="D51" t="s">
        <v>36</v>
      </c>
      <c r="F51">
        <v>3</v>
      </c>
    </row>
    <row r="52" spans="1:6">
      <c r="A52" s="11">
        <v>44763</v>
      </c>
      <c r="B52" t="s">
        <v>432</v>
      </c>
      <c r="C52" t="s">
        <v>22</v>
      </c>
      <c r="D52" t="s">
        <v>23</v>
      </c>
      <c r="F52">
        <v>2</v>
      </c>
    </row>
    <row r="53" spans="1:6">
      <c r="A53" s="11">
        <v>44763</v>
      </c>
      <c r="B53" t="s">
        <v>432</v>
      </c>
      <c r="C53" t="s">
        <v>22</v>
      </c>
      <c r="D53" t="s">
        <v>76</v>
      </c>
      <c r="F53">
        <v>1</v>
      </c>
    </row>
    <row r="54" spans="1:6">
      <c r="A54" s="11">
        <v>44763</v>
      </c>
      <c r="B54" t="s">
        <v>432</v>
      </c>
      <c r="C54" t="s">
        <v>350</v>
      </c>
      <c r="D54" t="s">
        <v>78</v>
      </c>
      <c r="F54">
        <v>4</v>
      </c>
    </row>
    <row r="55" spans="1:6">
      <c r="A55" s="11">
        <v>44763</v>
      </c>
      <c r="B55" t="s">
        <v>432</v>
      </c>
      <c r="C55" t="s">
        <v>350</v>
      </c>
      <c r="D55" t="s">
        <v>354</v>
      </c>
      <c r="F55">
        <v>3</v>
      </c>
    </row>
    <row r="56" spans="1:6">
      <c r="A56" s="11">
        <v>44763</v>
      </c>
      <c r="B56" t="s">
        <v>432</v>
      </c>
      <c r="C56" t="s">
        <v>351</v>
      </c>
      <c r="D56" t="s">
        <v>46</v>
      </c>
      <c r="F56" cm="1">
        <f t="array" ref="F56:F57">TRANSPOSE('Utilization '!I207:J207)</f>
        <v>5</v>
      </c>
    </row>
    <row r="57" spans="1:6">
      <c r="A57" s="11">
        <v>44763</v>
      </c>
      <c r="B57" t="s">
        <v>432</v>
      </c>
      <c r="C57" t="s">
        <v>351</v>
      </c>
      <c r="D57" t="s">
        <v>62</v>
      </c>
      <c r="F57">
        <v>0</v>
      </c>
    </row>
    <row r="58" spans="1:6">
      <c r="A58" s="11">
        <v>44764</v>
      </c>
      <c r="B58" t="s">
        <v>432</v>
      </c>
      <c r="C58" t="s">
        <v>349</v>
      </c>
      <c r="D58" t="s">
        <v>40</v>
      </c>
      <c r="F58" cm="1">
        <f t="array" ref="F58:F63">TRANSPOSE('Utilization '!B208:G208)</f>
        <v>2</v>
      </c>
    </row>
    <row r="59" spans="1:6">
      <c r="A59" s="11">
        <v>44764</v>
      </c>
      <c r="B59" t="s">
        <v>432</v>
      </c>
      <c r="C59" t="s">
        <v>349</v>
      </c>
      <c r="D59" t="s">
        <v>36</v>
      </c>
      <c r="F59">
        <v>3</v>
      </c>
    </row>
    <row r="60" spans="1:6">
      <c r="A60" s="11">
        <v>44764</v>
      </c>
      <c r="B60" t="s">
        <v>432</v>
      </c>
      <c r="C60" t="s">
        <v>22</v>
      </c>
      <c r="D60" t="s">
        <v>23</v>
      </c>
      <c r="F60">
        <v>2</v>
      </c>
    </row>
    <row r="61" spans="1:6">
      <c r="A61" s="11">
        <v>44764</v>
      </c>
      <c r="B61" t="s">
        <v>432</v>
      </c>
      <c r="C61" t="s">
        <v>22</v>
      </c>
      <c r="D61" t="s">
        <v>76</v>
      </c>
      <c r="F61">
        <v>1</v>
      </c>
    </row>
    <row r="62" spans="1:6">
      <c r="A62" s="11">
        <v>44764</v>
      </c>
      <c r="B62" t="s">
        <v>432</v>
      </c>
      <c r="C62" t="s">
        <v>350</v>
      </c>
      <c r="D62" t="s">
        <v>78</v>
      </c>
      <c r="F62">
        <v>4</v>
      </c>
    </row>
    <row r="63" spans="1:6">
      <c r="A63" s="11">
        <v>44764</v>
      </c>
      <c r="B63" t="s">
        <v>432</v>
      </c>
      <c r="C63" t="s">
        <v>350</v>
      </c>
      <c r="D63" t="s">
        <v>354</v>
      </c>
      <c r="F63">
        <v>3</v>
      </c>
    </row>
    <row r="64" spans="1:6">
      <c r="A64" s="11">
        <v>44764</v>
      </c>
      <c r="B64" t="s">
        <v>432</v>
      </c>
      <c r="C64" t="s">
        <v>351</v>
      </c>
      <c r="D64" t="s">
        <v>46</v>
      </c>
      <c r="F64" cm="1">
        <f t="array" ref="F64:F65">TRANSPOSE('Utilization '!I208:J208)</f>
        <v>5</v>
      </c>
    </row>
    <row r="65" spans="1:6">
      <c r="A65" s="11">
        <v>44764</v>
      </c>
      <c r="B65" t="s">
        <v>432</v>
      </c>
      <c r="C65" t="s">
        <v>351</v>
      </c>
      <c r="D65" t="s">
        <v>62</v>
      </c>
      <c r="F65">
        <v>0</v>
      </c>
    </row>
    <row r="66" spans="1:6">
      <c r="A66" s="11">
        <v>44765</v>
      </c>
      <c r="B66" t="s">
        <v>432</v>
      </c>
      <c r="C66" t="s">
        <v>349</v>
      </c>
      <c r="D66" t="s">
        <v>40</v>
      </c>
      <c r="F66" cm="1">
        <f t="array" ref="F66:F71">TRANSPOSE('Utilization '!B209:G209)</f>
        <v>2</v>
      </c>
    </row>
    <row r="67" spans="1:6">
      <c r="A67" s="11">
        <v>44765</v>
      </c>
      <c r="B67" t="s">
        <v>432</v>
      </c>
      <c r="C67" t="s">
        <v>349</v>
      </c>
      <c r="D67" t="s">
        <v>36</v>
      </c>
      <c r="F67">
        <v>3</v>
      </c>
    </row>
    <row r="68" spans="1:6">
      <c r="A68" s="11">
        <v>44765</v>
      </c>
      <c r="B68" t="s">
        <v>432</v>
      </c>
      <c r="C68" t="s">
        <v>22</v>
      </c>
      <c r="D68" t="s">
        <v>23</v>
      </c>
      <c r="F68">
        <v>3</v>
      </c>
    </row>
    <row r="69" spans="1:6">
      <c r="A69" s="11">
        <v>44765</v>
      </c>
      <c r="B69" t="s">
        <v>432</v>
      </c>
      <c r="C69" t="s">
        <v>22</v>
      </c>
      <c r="D69" t="s">
        <v>76</v>
      </c>
      <c r="F69">
        <v>1</v>
      </c>
    </row>
    <row r="70" spans="1:6">
      <c r="A70" s="11">
        <v>44765</v>
      </c>
      <c r="B70" t="s">
        <v>432</v>
      </c>
      <c r="C70" t="s">
        <v>350</v>
      </c>
      <c r="D70" t="s">
        <v>78</v>
      </c>
      <c r="F70">
        <v>4</v>
      </c>
    </row>
    <row r="71" spans="1:6">
      <c r="A71" s="11">
        <v>44765</v>
      </c>
      <c r="B71" t="s">
        <v>432</v>
      </c>
      <c r="C71" t="s">
        <v>350</v>
      </c>
      <c r="D71" t="s">
        <v>354</v>
      </c>
      <c r="F71">
        <v>3</v>
      </c>
    </row>
    <row r="72" spans="1:6">
      <c r="A72" s="11">
        <v>44765</v>
      </c>
      <c r="B72" t="s">
        <v>432</v>
      </c>
      <c r="C72" t="s">
        <v>351</v>
      </c>
      <c r="D72" t="s">
        <v>46</v>
      </c>
      <c r="F72" cm="1">
        <f t="array" ref="F72:F73">TRANSPOSE('Utilization '!I209:J209)</f>
        <v>5</v>
      </c>
    </row>
    <row r="73" spans="1:6">
      <c r="A73" s="11">
        <v>44765</v>
      </c>
      <c r="B73" t="s">
        <v>432</v>
      </c>
      <c r="C73" t="s">
        <v>351</v>
      </c>
      <c r="D73" t="s">
        <v>62</v>
      </c>
      <c r="F73">
        <v>0</v>
      </c>
    </row>
    <row r="74" spans="1:6">
      <c r="A74" s="11">
        <v>44766</v>
      </c>
      <c r="B74" t="s">
        <v>432</v>
      </c>
      <c r="C74" t="s">
        <v>349</v>
      </c>
      <c r="D74" t="s">
        <v>40</v>
      </c>
      <c r="F74" cm="1">
        <f t="array" ref="F74:F79">TRANSPOSE('Utilization '!B210:G210)</f>
        <v>3</v>
      </c>
    </row>
    <row r="75" spans="1:6">
      <c r="A75" s="11">
        <v>44766</v>
      </c>
      <c r="B75" t="s">
        <v>432</v>
      </c>
      <c r="C75" t="s">
        <v>349</v>
      </c>
      <c r="D75" t="s">
        <v>36</v>
      </c>
      <c r="F75">
        <v>3</v>
      </c>
    </row>
    <row r="76" spans="1:6">
      <c r="A76" s="11">
        <v>44766</v>
      </c>
      <c r="B76" t="s">
        <v>432</v>
      </c>
      <c r="C76" t="s">
        <v>22</v>
      </c>
      <c r="D76" t="s">
        <v>23</v>
      </c>
      <c r="F76">
        <v>3</v>
      </c>
    </row>
    <row r="77" spans="1:6">
      <c r="A77" s="11">
        <v>44766</v>
      </c>
      <c r="B77" t="s">
        <v>432</v>
      </c>
      <c r="C77" t="s">
        <v>22</v>
      </c>
      <c r="D77" t="s">
        <v>76</v>
      </c>
      <c r="F77">
        <v>1</v>
      </c>
    </row>
    <row r="78" spans="1:6">
      <c r="A78" s="11">
        <v>44766</v>
      </c>
      <c r="B78" t="s">
        <v>432</v>
      </c>
      <c r="C78" t="s">
        <v>350</v>
      </c>
      <c r="D78" t="s">
        <v>78</v>
      </c>
      <c r="F78">
        <v>4</v>
      </c>
    </row>
    <row r="79" spans="1:6">
      <c r="A79" s="11">
        <v>44766</v>
      </c>
      <c r="B79" t="s">
        <v>432</v>
      </c>
      <c r="C79" t="s">
        <v>350</v>
      </c>
      <c r="D79" t="s">
        <v>354</v>
      </c>
      <c r="F79">
        <v>3</v>
      </c>
    </row>
    <row r="80" spans="1:6">
      <c r="A80" s="11">
        <v>44766</v>
      </c>
      <c r="B80" t="s">
        <v>432</v>
      </c>
      <c r="C80" t="s">
        <v>351</v>
      </c>
      <c r="D80" t="s">
        <v>46</v>
      </c>
      <c r="F80" cm="1">
        <f t="array" ref="F80:F81">TRANSPOSE('Utilization '!I210:J210)</f>
        <v>5</v>
      </c>
    </row>
    <row r="81" spans="1:6">
      <c r="A81" s="11">
        <v>44766</v>
      </c>
      <c r="B81" t="s">
        <v>432</v>
      </c>
      <c r="C81" t="s">
        <v>351</v>
      </c>
      <c r="D81" t="s">
        <v>62</v>
      </c>
      <c r="F81">
        <v>0</v>
      </c>
    </row>
    <row r="82" spans="1:6">
      <c r="A82" s="11">
        <v>44767</v>
      </c>
      <c r="B82" t="s">
        <v>432</v>
      </c>
      <c r="C82" t="s">
        <v>349</v>
      </c>
      <c r="D82" t="s">
        <v>40</v>
      </c>
      <c r="F82" cm="1">
        <f t="array" ref="F82:F87">TRANSPOSE('Utilization '!B211:G211)</f>
        <v>3</v>
      </c>
    </row>
    <row r="83" spans="1:6">
      <c r="A83" s="11">
        <v>44767</v>
      </c>
      <c r="B83" t="s">
        <v>432</v>
      </c>
      <c r="C83" t="s">
        <v>349</v>
      </c>
      <c r="D83" t="s">
        <v>36</v>
      </c>
      <c r="F83">
        <v>3</v>
      </c>
    </row>
    <row r="84" spans="1:6">
      <c r="A84" s="11">
        <v>44767</v>
      </c>
      <c r="B84" t="s">
        <v>432</v>
      </c>
      <c r="C84" t="s">
        <v>22</v>
      </c>
      <c r="D84" t="s">
        <v>23</v>
      </c>
      <c r="F84">
        <v>3</v>
      </c>
    </row>
    <row r="85" spans="1:6">
      <c r="A85" s="11">
        <v>44767</v>
      </c>
      <c r="B85" t="s">
        <v>432</v>
      </c>
      <c r="C85" t="s">
        <v>22</v>
      </c>
      <c r="D85" t="s">
        <v>76</v>
      </c>
      <c r="F85">
        <v>1</v>
      </c>
    </row>
    <row r="86" spans="1:6">
      <c r="A86" s="11">
        <v>44767</v>
      </c>
      <c r="B86" t="s">
        <v>432</v>
      </c>
      <c r="C86" t="s">
        <v>350</v>
      </c>
      <c r="D86" t="s">
        <v>78</v>
      </c>
      <c r="F86">
        <v>4</v>
      </c>
    </row>
    <row r="87" spans="1:6">
      <c r="A87" s="11">
        <v>44767</v>
      </c>
      <c r="B87" t="s">
        <v>432</v>
      </c>
      <c r="C87" t="s">
        <v>350</v>
      </c>
      <c r="D87" t="s">
        <v>354</v>
      </c>
      <c r="F87">
        <v>3</v>
      </c>
    </row>
    <row r="88" spans="1:6">
      <c r="A88" s="11">
        <v>44767</v>
      </c>
      <c r="B88" t="s">
        <v>432</v>
      </c>
      <c r="C88" t="s">
        <v>351</v>
      </c>
      <c r="D88" t="s">
        <v>46</v>
      </c>
      <c r="F88" cm="1">
        <f t="array" ref="F88:F89">TRANSPOSE('Utilization '!I211:J211)</f>
        <v>5</v>
      </c>
    </row>
    <row r="89" spans="1:6">
      <c r="A89" s="11">
        <v>44767</v>
      </c>
      <c r="B89" t="s">
        <v>432</v>
      </c>
      <c r="C89" t="s">
        <v>351</v>
      </c>
      <c r="D89" t="s">
        <v>62</v>
      </c>
      <c r="F89">
        <v>0</v>
      </c>
    </row>
    <row r="90" spans="1:6">
      <c r="A90" s="11">
        <v>44768</v>
      </c>
      <c r="B90" t="s">
        <v>432</v>
      </c>
      <c r="C90" t="s">
        <v>349</v>
      </c>
      <c r="D90" t="s">
        <v>40</v>
      </c>
      <c r="F90" cm="1">
        <f t="array" ref="F90:F95">TRANSPOSE('Utilization '!B212:G212)</f>
        <v>3</v>
      </c>
    </row>
    <row r="91" spans="1:6">
      <c r="A91" s="11">
        <v>44768</v>
      </c>
      <c r="B91" t="s">
        <v>432</v>
      </c>
      <c r="C91" t="s">
        <v>349</v>
      </c>
      <c r="D91" t="s">
        <v>36</v>
      </c>
      <c r="F91">
        <v>3</v>
      </c>
    </row>
    <row r="92" spans="1:6">
      <c r="A92" s="11">
        <v>44768</v>
      </c>
      <c r="B92" t="s">
        <v>432</v>
      </c>
      <c r="C92" t="s">
        <v>22</v>
      </c>
      <c r="D92" t="s">
        <v>23</v>
      </c>
      <c r="F92">
        <v>3</v>
      </c>
    </row>
    <row r="93" spans="1:6">
      <c r="A93" s="11">
        <v>44768</v>
      </c>
      <c r="B93" t="s">
        <v>432</v>
      </c>
      <c r="C93" t="s">
        <v>22</v>
      </c>
      <c r="D93" t="s">
        <v>76</v>
      </c>
      <c r="F93">
        <v>1</v>
      </c>
    </row>
    <row r="94" spans="1:6">
      <c r="A94" s="11">
        <v>44768</v>
      </c>
      <c r="B94" t="s">
        <v>432</v>
      </c>
      <c r="C94" t="s">
        <v>350</v>
      </c>
      <c r="D94" t="s">
        <v>78</v>
      </c>
      <c r="F94">
        <v>4</v>
      </c>
    </row>
    <row r="95" spans="1:6">
      <c r="A95" s="11">
        <v>44768</v>
      </c>
      <c r="B95" t="s">
        <v>432</v>
      </c>
      <c r="C95" t="s">
        <v>350</v>
      </c>
      <c r="D95" t="s">
        <v>354</v>
      </c>
      <c r="F95">
        <v>3</v>
      </c>
    </row>
    <row r="96" spans="1:6">
      <c r="A96" s="11">
        <v>44768</v>
      </c>
      <c r="B96" t="s">
        <v>432</v>
      </c>
      <c r="C96" t="s">
        <v>351</v>
      </c>
      <c r="D96" t="s">
        <v>46</v>
      </c>
      <c r="F96" cm="1">
        <f t="array" ref="F96:F97">TRANSPOSE('Utilization '!I212:J212)</f>
        <v>5</v>
      </c>
    </row>
    <row r="97" spans="1:6">
      <c r="A97" s="11">
        <v>44768</v>
      </c>
      <c r="B97" t="s">
        <v>432</v>
      </c>
      <c r="C97" t="s">
        <v>351</v>
      </c>
      <c r="D97" t="s">
        <v>62</v>
      </c>
      <c r="F97">
        <v>0</v>
      </c>
    </row>
    <row r="98" spans="1:6">
      <c r="A98" s="11">
        <v>44769</v>
      </c>
      <c r="B98" t="s">
        <v>432</v>
      </c>
      <c r="C98" t="s">
        <v>349</v>
      </c>
      <c r="D98" t="s">
        <v>40</v>
      </c>
      <c r="F98" cm="1">
        <f t="array" ref="F98:F103">TRANSPOSE('Utilization '!B213:G213)</f>
        <v>4</v>
      </c>
    </row>
    <row r="99" spans="1:6">
      <c r="A99" s="11">
        <v>44769</v>
      </c>
      <c r="B99" t="s">
        <v>432</v>
      </c>
      <c r="C99" t="s">
        <v>349</v>
      </c>
      <c r="D99" t="s">
        <v>36</v>
      </c>
      <c r="F99">
        <v>3</v>
      </c>
    </row>
    <row r="100" spans="1:6">
      <c r="A100" s="11">
        <v>44769</v>
      </c>
      <c r="B100" t="s">
        <v>432</v>
      </c>
      <c r="C100" t="s">
        <v>22</v>
      </c>
      <c r="D100" t="s">
        <v>23</v>
      </c>
      <c r="F100">
        <v>3</v>
      </c>
    </row>
    <row r="101" spans="1:6">
      <c r="A101" s="11">
        <v>44769</v>
      </c>
      <c r="B101" t="s">
        <v>432</v>
      </c>
      <c r="C101" t="s">
        <v>22</v>
      </c>
      <c r="D101" t="s">
        <v>76</v>
      </c>
      <c r="F101">
        <v>1</v>
      </c>
    </row>
    <row r="102" spans="1:6">
      <c r="A102" s="11">
        <v>44769</v>
      </c>
      <c r="B102" t="s">
        <v>432</v>
      </c>
      <c r="C102" t="s">
        <v>350</v>
      </c>
      <c r="D102" t="s">
        <v>78</v>
      </c>
      <c r="F102">
        <v>4</v>
      </c>
    </row>
    <row r="103" spans="1:6">
      <c r="A103" s="11">
        <v>44769</v>
      </c>
      <c r="B103" t="s">
        <v>432</v>
      </c>
      <c r="C103" t="s">
        <v>350</v>
      </c>
      <c r="D103" t="s">
        <v>354</v>
      </c>
      <c r="F103">
        <v>4</v>
      </c>
    </row>
    <row r="104" spans="1:6">
      <c r="A104" s="11">
        <v>44769</v>
      </c>
      <c r="B104" t="s">
        <v>432</v>
      </c>
      <c r="C104" t="s">
        <v>351</v>
      </c>
      <c r="D104" t="s">
        <v>46</v>
      </c>
      <c r="F104" cm="1">
        <f t="array" ref="F104:F105">TRANSPOSE('Utilization '!I213:J213)</f>
        <v>5</v>
      </c>
    </row>
    <row r="105" spans="1:6">
      <c r="A105" s="11">
        <v>44769</v>
      </c>
      <c r="B105" t="s">
        <v>432</v>
      </c>
      <c r="C105" t="s">
        <v>351</v>
      </c>
      <c r="D105" t="s">
        <v>62</v>
      </c>
      <c r="F105">
        <v>0</v>
      </c>
    </row>
    <row r="106" spans="1:6">
      <c r="A106" s="11">
        <v>44770</v>
      </c>
      <c r="B106" t="s">
        <v>432</v>
      </c>
      <c r="C106" t="s">
        <v>349</v>
      </c>
      <c r="D106" t="s">
        <v>40</v>
      </c>
      <c r="F106" cm="1">
        <f t="array" ref="F106:F111">TRANSPOSE('Utilization '!B214:G214)</f>
        <v>2</v>
      </c>
    </row>
    <row r="107" spans="1:6">
      <c r="A107" s="11">
        <v>44770</v>
      </c>
      <c r="B107" t="s">
        <v>432</v>
      </c>
      <c r="C107" t="s">
        <v>349</v>
      </c>
      <c r="D107" t="s">
        <v>36</v>
      </c>
      <c r="F107">
        <v>3</v>
      </c>
    </row>
    <row r="108" spans="1:6">
      <c r="A108" s="11">
        <v>44770</v>
      </c>
      <c r="B108" t="s">
        <v>432</v>
      </c>
      <c r="C108" t="s">
        <v>22</v>
      </c>
      <c r="D108" t="s">
        <v>23</v>
      </c>
      <c r="F108">
        <v>3</v>
      </c>
    </row>
    <row r="109" spans="1:6">
      <c r="A109" s="11">
        <v>44770</v>
      </c>
      <c r="B109" t="s">
        <v>432</v>
      </c>
      <c r="C109" t="s">
        <v>22</v>
      </c>
      <c r="D109" t="s">
        <v>76</v>
      </c>
      <c r="F109">
        <v>1</v>
      </c>
    </row>
    <row r="110" spans="1:6">
      <c r="A110" s="11">
        <v>44770</v>
      </c>
      <c r="B110" t="s">
        <v>432</v>
      </c>
      <c r="C110" t="s">
        <v>350</v>
      </c>
      <c r="D110" t="s">
        <v>78</v>
      </c>
      <c r="F110">
        <v>4</v>
      </c>
    </row>
    <row r="111" spans="1:6">
      <c r="A111" s="11">
        <v>44770</v>
      </c>
      <c r="B111" t="s">
        <v>432</v>
      </c>
      <c r="C111" t="s">
        <v>350</v>
      </c>
      <c r="D111" t="s">
        <v>354</v>
      </c>
      <c r="F111">
        <v>4</v>
      </c>
    </row>
    <row r="112" spans="1:6">
      <c r="A112" s="11">
        <v>44770</v>
      </c>
      <c r="B112" t="s">
        <v>432</v>
      </c>
      <c r="C112" t="s">
        <v>351</v>
      </c>
      <c r="D112" t="s">
        <v>46</v>
      </c>
      <c r="F112" cm="1">
        <f t="array" ref="F112:F113">TRANSPOSE('Utilization '!I215:J215)</f>
        <v>4</v>
      </c>
    </row>
    <row r="113" spans="1:6">
      <c r="A113" s="11">
        <v>44770</v>
      </c>
      <c r="B113" t="s">
        <v>432</v>
      </c>
      <c r="C113" t="s">
        <v>351</v>
      </c>
      <c r="D113" t="s">
        <v>62</v>
      </c>
      <c r="F113">
        <v>0</v>
      </c>
    </row>
    <row r="114" spans="1:6">
      <c r="A114" s="11">
        <v>44771</v>
      </c>
      <c r="B114" t="s">
        <v>432</v>
      </c>
      <c r="C114" t="s">
        <v>349</v>
      </c>
      <c r="D114" t="s">
        <v>40</v>
      </c>
      <c r="F114" cm="1">
        <f t="array" ref="F114:F119">TRANSPOSE('Utilization '!B216:G216)</f>
        <v>2</v>
      </c>
    </row>
    <row r="115" spans="1:6">
      <c r="A115" s="11">
        <v>44771</v>
      </c>
      <c r="B115" t="s">
        <v>432</v>
      </c>
      <c r="C115" t="s">
        <v>349</v>
      </c>
      <c r="D115" t="s">
        <v>36</v>
      </c>
      <c r="F115">
        <v>3</v>
      </c>
    </row>
    <row r="116" spans="1:6">
      <c r="A116" s="11">
        <v>44771</v>
      </c>
      <c r="B116" t="s">
        <v>432</v>
      </c>
      <c r="C116" t="s">
        <v>22</v>
      </c>
      <c r="D116" t="s">
        <v>23</v>
      </c>
      <c r="F116">
        <v>3</v>
      </c>
    </row>
    <row r="117" spans="1:6">
      <c r="A117" s="11">
        <v>44771</v>
      </c>
      <c r="B117" t="s">
        <v>432</v>
      </c>
      <c r="C117" t="s">
        <v>22</v>
      </c>
      <c r="D117" t="s">
        <v>76</v>
      </c>
      <c r="F117">
        <v>1</v>
      </c>
    </row>
    <row r="118" spans="1:6">
      <c r="A118" s="11">
        <v>44771</v>
      </c>
      <c r="B118" t="s">
        <v>432</v>
      </c>
      <c r="C118" t="s">
        <v>350</v>
      </c>
      <c r="D118" t="s">
        <v>78</v>
      </c>
      <c r="F118">
        <v>5</v>
      </c>
    </row>
    <row r="119" spans="1:6">
      <c r="A119" s="11">
        <v>44771</v>
      </c>
      <c r="B119" t="s">
        <v>432</v>
      </c>
      <c r="C119" t="s">
        <v>350</v>
      </c>
      <c r="D119" t="s">
        <v>354</v>
      </c>
      <c r="F119">
        <v>4</v>
      </c>
    </row>
    <row r="120" spans="1:6">
      <c r="A120" s="11">
        <v>44771</v>
      </c>
      <c r="B120" t="s">
        <v>432</v>
      </c>
      <c r="C120" t="s">
        <v>351</v>
      </c>
      <c r="D120" t="s">
        <v>46</v>
      </c>
      <c r="F120" cm="1">
        <f t="array" ref="F120:F121">TRANSPOSE('Utilization '!I216:J216)</f>
        <v>4</v>
      </c>
    </row>
    <row r="121" spans="1:6">
      <c r="A121" s="11">
        <v>44771</v>
      </c>
      <c r="B121" t="s">
        <v>432</v>
      </c>
      <c r="C121" t="s">
        <v>351</v>
      </c>
      <c r="D121" t="s">
        <v>62</v>
      </c>
      <c r="F121">
        <v>0</v>
      </c>
    </row>
    <row r="122" spans="1:6">
      <c r="A122" s="11">
        <v>44772</v>
      </c>
      <c r="B122" t="s">
        <v>432</v>
      </c>
      <c r="C122" t="s">
        <v>349</v>
      </c>
      <c r="D122" t="s">
        <v>40</v>
      </c>
      <c r="F122" cm="1">
        <f t="array" ref="F122:F127">TRANSPOSE('Utilization '!B217:G217)</f>
        <v>2</v>
      </c>
    </row>
    <row r="123" spans="1:6">
      <c r="A123" s="11">
        <v>44772</v>
      </c>
      <c r="B123" t="s">
        <v>432</v>
      </c>
      <c r="C123" t="s">
        <v>349</v>
      </c>
      <c r="D123" t="s">
        <v>36</v>
      </c>
      <c r="F123">
        <v>3</v>
      </c>
    </row>
    <row r="124" spans="1:6">
      <c r="A124" s="11">
        <v>44772</v>
      </c>
      <c r="B124" t="s">
        <v>432</v>
      </c>
      <c r="C124" t="s">
        <v>22</v>
      </c>
      <c r="D124" t="s">
        <v>23</v>
      </c>
      <c r="F124">
        <v>3</v>
      </c>
    </row>
    <row r="125" spans="1:6">
      <c r="A125" s="11">
        <v>44772</v>
      </c>
      <c r="B125" t="s">
        <v>432</v>
      </c>
      <c r="C125" t="s">
        <v>22</v>
      </c>
      <c r="D125" t="s">
        <v>76</v>
      </c>
      <c r="F125">
        <v>1</v>
      </c>
    </row>
    <row r="126" spans="1:6">
      <c r="A126" s="11">
        <v>44772</v>
      </c>
      <c r="B126" t="s">
        <v>432</v>
      </c>
      <c r="C126" t="s">
        <v>350</v>
      </c>
      <c r="D126" t="s">
        <v>78</v>
      </c>
      <c r="F126">
        <v>5</v>
      </c>
    </row>
    <row r="127" spans="1:6">
      <c r="A127" s="11">
        <v>44772</v>
      </c>
      <c r="B127" t="s">
        <v>432</v>
      </c>
      <c r="C127" t="s">
        <v>350</v>
      </c>
      <c r="D127" t="s">
        <v>354</v>
      </c>
      <c r="F127">
        <v>4</v>
      </c>
    </row>
    <row r="128" spans="1:6">
      <c r="A128" s="11">
        <v>44772</v>
      </c>
      <c r="B128" t="s">
        <v>432</v>
      </c>
      <c r="C128" t="s">
        <v>351</v>
      </c>
      <c r="D128" t="s">
        <v>46</v>
      </c>
      <c r="F128" cm="1">
        <f t="array" ref="F128:F129">TRANSPOSE('Utilization '!I217:J217)</f>
        <v>4</v>
      </c>
    </row>
    <row r="129" spans="1:6">
      <c r="A129" s="11">
        <v>44772</v>
      </c>
      <c r="B129" t="s">
        <v>432</v>
      </c>
      <c r="C129" t="s">
        <v>351</v>
      </c>
      <c r="D129" t="s">
        <v>62</v>
      </c>
      <c r="F129">
        <v>0</v>
      </c>
    </row>
    <row r="130" spans="1:6">
      <c r="A130" s="11">
        <v>44773</v>
      </c>
      <c r="B130" t="s">
        <v>432</v>
      </c>
      <c r="C130" t="s">
        <v>349</v>
      </c>
      <c r="D130" t="s">
        <v>40</v>
      </c>
      <c r="F130" cm="1">
        <f t="array" ref="F130:F135">TRANSPOSE('Utilization '!B218:G218)</f>
        <v>2</v>
      </c>
    </row>
    <row r="131" spans="1:6">
      <c r="A131" s="11">
        <v>44773</v>
      </c>
      <c r="B131" t="s">
        <v>432</v>
      </c>
      <c r="C131" t="s">
        <v>349</v>
      </c>
      <c r="D131" t="s">
        <v>36</v>
      </c>
      <c r="F131">
        <v>3</v>
      </c>
    </row>
    <row r="132" spans="1:6">
      <c r="A132" s="11">
        <v>44773</v>
      </c>
      <c r="B132" t="s">
        <v>432</v>
      </c>
      <c r="C132" t="s">
        <v>22</v>
      </c>
      <c r="D132" t="s">
        <v>23</v>
      </c>
      <c r="F132">
        <v>3</v>
      </c>
    </row>
    <row r="133" spans="1:6">
      <c r="A133" s="11">
        <v>44773</v>
      </c>
      <c r="B133" t="s">
        <v>432</v>
      </c>
      <c r="C133" t="s">
        <v>22</v>
      </c>
      <c r="D133" t="s">
        <v>76</v>
      </c>
      <c r="F133">
        <v>2</v>
      </c>
    </row>
    <row r="134" spans="1:6">
      <c r="A134" s="11">
        <v>44773</v>
      </c>
      <c r="B134" t="s">
        <v>432</v>
      </c>
      <c r="C134" t="s">
        <v>350</v>
      </c>
      <c r="D134" t="s">
        <v>78</v>
      </c>
      <c r="F134">
        <v>4</v>
      </c>
    </row>
    <row r="135" spans="1:6">
      <c r="A135" s="11">
        <v>44773</v>
      </c>
      <c r="B135" t="s">
        <v>432</v>
      </c>
      <c r="C135" t="s">
        <v>350</v>
      </c>
      <c r="D135" t="s">
        <v>354</v>
      </c>
      <c r="F135">
        <v>4</v>
      </c>
    </row>
    <row r="136" spans="1:6">
      <c r="A136" s="11">
        <v>44773</v>
      </c>
      <c r="B136" t="s">
        <v>432</v>
      </c>
      <c r="C136" t="s">
        <v>351</v>
      </c>
      <c r="D136" t="s">
        <v>46</v>
      </c>
      <c r="F136" cm="1">
        <f t="array" ref="F136:F137">TRANSPOSE('Utilization '!I218:J218)</f>
        <v>4</v>
      </c>
    </row>
    <row r="137" spans="1:6">
      <c r="A137" s="11">
        <v>44773</v>
      </c>
      <c r="B137" t="s">
        <v>432</v>
      </c>
      <c r="C137" t="s">
        <v>351</v>
      </c>
      <c r="D137" t="s">
        <v>62</v>
      </c>
      <c r="F137">
        <v>0</v>
      </c>
    </row>
    <row r="138" spans="1:6">
      <c r="A138" s="11">
        <v>44774</v>
      </c>
      <c r="B138" t="s">
        <v>432</v>
      </c>
      <c r="C138" t="s">
        <v>349</v>
      </c>
      <c r="D138" t="s">
        <v>40</v>
      </c>
      <c r="F138" cm="1">
        <f t="array" ref="F138:F143">TRANSPOSE('Utilization '!B219:G219)</f>
        <v>2</v>
      </c>
    </row>
    <row r="139" spans="1:6">
      <c r="A139" s="11">
        <v>44774</v>
      </c>
      <c r="B139" t="s">
        <v>432</v>
      </c>
      <c r="C139" t="s">
        <v>349</v>
      </c>
      <c r="D139" t="s">
        <v>36</v>
      </c>
      <c r="F139">
        <v>3</v>
      </c>
    </row>
    <row r="140" spans="1:6">
      <c r="A140" s="11">
        <v>44774</v>
      </c>
      <c r="B140" t="s">
        <v>432</v>
      </c>
      <c r="C140" t="s">
        <v>22</v>
      </c>
      <c r="D140" t="s">
        <v>23</v>
      </c>
      <c r="F140">
        <v>3</v>
      </c>
    </row>
    <row r="141" spans="1:6">
      <c r="A141" s="11">
        <v>44774</v>
      </c>
      <c r="B141" t="s">
        <v>432</v>
      </c>
      <c r="C141" t="s">
        <v>22</v>
      </c>
      <c r="D141" t="s">
        <v>76</v>
      </c>
      <c r="F141">
        <v>2</v>
      </c>
    </row>
    <row r="142" spans="1:6">
      <c r="A142" s="11">
        <v>44774</v>
      </c>
      <c r="B142" t="s">
        <v>432</v>
      </c>
      <c r="C142" t="s">
        <v>350</v>
      </c>
      <c r="D142" t="s">
        <v>78</v>
      </c>
      <c r="F142">
        <v>4</v>
      </c>
    </row>
    <row r="143" spans="1:6">
      <c r="A143" s="11">
        <v>44774</v>
      </c>
      <c r="B143" t="s">
        <v>432</v>
      </c>
      <c r="C143" t="s">
        <v>350</v>
      </c>
      <c r="D143" t="s">
        <v>354</v>
      </c>
      <c r="F143">
        <v>4</v>
      </c>
    </row>
    <row r="144" spans="1:6">
      <c r="A144" s="11">
        <v>44774</v>
      </c>
      <c r="B144" t="s">
        <v>432</v>
      </c>
      <c r="C144" t="s">
        <v>351</v>
      </c>
      <c r="D144" t="s">
        <v>46</v>
      </c>
      <c r="F144" cm="1">
        <f t="array" ref="F144:F145">TRANSPOSE('Utilization '!I219:J219)</f>
        <v>4</v>
      </c>
    </row>
    <row r="145" spans="1:6">
      <c r="A145" s="11">
        <v>44774</v>
      </c>
      <c r="B145" t="s">
        <v>432</v>
      </c>
      <c r="C145" t="s">
        <v>351</v>
      </c>
      <c r="D145" t="s">
        <v>62</v>
      </c>
      <c r="F145">
        <v>0</v>
      </c>
    </row>
    <row r="146" spans="1:6">
      <c r="A146" s="11">
        <v>44775</v>
      </c>
      <c r="B146" t="s">
        <v>432</v>
      </c>
      <c r="C146" t="s">
        <v>349</v>
      </c>
      <c r="D146" t="s">
        <v>40</v>
      </c>
      <c r="F146" cm="1">
        <f t="array" ref="F146:F151">TRANSPOSE('Utilization '!B220:G220)</f>
        <v>2</v>
      </c>
    </row>
    <row r="147" spans="1:6">
      <c r="A147" s="11">
        <v>44775</v>
      </c>
      <c r="B147" t="s">
        <v>432</v>
      </c>
      <c r="C147" t="s">
        <v>349</v>
      </c>
      <c r="D147" t="s">
        <v>36</v>
      </c>
      <c r="F147">
        <v>3</v>
      </c>
    </row>
    <row r="148" spans="1:6">
      <c r="A148" s="11">
        <v>44775</v>
      </c>
      <c r="B148" t="s">
        <v>432</v>
      </c>
      <c r="C148" t="s">
        <v>22</v>
      </c>
      <c r="D148" t="s">
        <v>23</v>
      </c>
      <c r="F148">
        <v>3</v>
      </c>
    </row>
    <row r="149" spans="1:6">
      <c r="A149" s="11">
        <v>44775</v>
      </c>
      <c r="B149" t="s">
        <v>432</v>
      </c>
      <c r="C149" t="s">
        <v>22</v>
      </c>
      <c r="D149" t="s">
        <v>76</v>
      </c>
      <c r="F149">
        <v>2</v>
      </c>
    </row>
    <row r="150" spans="1:6">
      <c r="A150" s="11">
        <v>44775</v>
      </c>
      <c r="B150" t="s">
        <v>432</v>
      </c>
      <c r="C150" t="s">
        <v>350</v>
      </c>
      <c r="D150" t="s">
        <v>78</v>
      </c>
      <c r="F150">
        <v>4</v>
      </c>
    </row>
    <row r="151" spans="1:6">
      <c r="A151" s="11">
        <v>44775</v>
      </c>
      <c r="B151" t="s">
        <v>432</v>
      </c>
      <c r="C151" t="s">
        <v>350</v>
      </c>
      <c r="D151" t="s">
        <v>354</v>
      </c>
      <c r="F151">
        <v>4</v>
      </c>
    </row>
    <row r="152" spans="1:6">
      <c r="A152" s="11">
        <v>44775</v>
      </c>
      <c r="B152" t="s">
        <v>432</v>
      </c>
      <c r="C152" t="s">
        <v>351</v>
      </c>
      <c r="D152" t="s">
        <v>46</v>
      </c>
      <c r="F152" cm="1">
        <f t="array" ref="F152:F153">TRANSPOSE('Utilization '!I220:J220)</f>
        <v>5</v>
      </c>
    </row>
    <row r="153" spans="1:6">
      <c r="A153" s="11">
        <v>44775</v>
      </c>
      <c r="B153" t="s">
        <v>432</v>
      </c>
      <c r="C153" t="s">
        <v>351</v>
      </c>
      <c r="D153" t="s">
        <v>62</v>
      </c>
      <c r="F153">
        <v>0</v>
      </c>
    </row>
    <row r="154" spans="1:6">
      <c r="A154" s="11">
        <v>44776</v>
      </c>
      <c r="B154" t="s">
        <v>432</v>
      </c>
      <c r="C154" t="s">
        <v>349</v>
      </c>
      <c r="D154" t="s">
        <v>40</v>
      </c>
      <c r="F154" cm="1">
        <f t="array" ref="F154:F159">TRANSPOSE('Utilization '!B221:G221)</f>
        <v>2</v>
      </c>
    </row>
    <row r="155" spans="1:6">
      <c r="A155" s="11">
        <v>44776</v>
      </c>
      <c r="B155" t="s">
        <v>432</v>
      </c>
      <c r="C155" t="s">
        <v>349</v>
      </c>
      <c r="D155" t="s">
        <v>36</v>
      </c>
      <c r="F155">
        <v>3</v>
      </c>
    </row>
    <row r="156" spans="1:6">
      <c r="A156" s="11">
        <v>44776</v>
      </c>
      <c r="B156" t="s">
        <v>432</v>
      </c>
      <c r="C156" t="s">
        <v>22</v>
      </c>
      <c r="D156" t="s">
        <v>23</v>
      </c>
      <c r="F156">
        <v>3</v>
      </c>
    </row>
    <row r="157" spans="1:6">
      <c r="A157" s="11">
        <v>44776</v>
      </c>
      <c r="B157" t="s">
        <v>432</v>
      </c>
      <c r="C157" t="s">
        <v>22</v>
      </c>
      <c r="D157" t="s">
        <v>76</v>
      </c>
      <c r="F157">
        <v>1</v>
      </c>
    </row>
    <row r="158" spans="1:6">
      <c r="A158" s="11">
        <v>44776</v>
      </c>
      <c r="B158" t="s">
        <v>432</v>
      </c>
      <c r="C158" t="s">
        <v>350</v>
      </c>
      <c r="D158" t="s">
        <v>78</v>
      </c>
      <c r="F158">
        <v>4</v>
      </c>
    </row>
    <row r="159" spans="1:6">
      <c r="A159" s="11">
        <v>44776</v>
      </c>
      <c r="B159" t="s">
        <v>432</v>
      </c>
      <c r="C159" t="s">
        <v>350</v>
      </c>
      <c r="D159" t="s">
        <v>354</v>
      </c>
      <c r="F159">
        <v>4</v>
      </c>
    </row>
    <row r="160" spans="1:6">
      <c r="A160" s="11">
        <v>44776</v>
      </c>
      <c r="B160" t="s">
        <v>432</v>
      </c>
      <c r="C160" t="s">
        <v>351</v>
      </c>
      <c r="D160" t="s">
        <v>46</v>
      </c>
      <c r="F160" cm="1">
        <f t="array" ref="F160:F161">TRANSPOSE('Utilization '!I221:J221)</f>
        <v>5</v>
      </c>
    </row>
    <row r="161" spans="1:6">
      <c r="A161" s="11">
        <v>44776</v>
      </c>
      <c r="B161" t="s">
        <v>432</v>
      </c>
      <c r="C161" t="s">
        <v>351</v>
      </c>
      <c r="D161" t="s">
        <v>62</v>
      </c>
      <c r="F161">
        <v>0</v>
      </c>
    </row>
    <row r="162" spans="1:6">
      <c r="A162" s="11">
        <v>44777</v>
      </c>
      <c r="B162" t="s">
        <v>432</v>
      </c>
      <c r="C162" t="s">
        <v>349</v>
      </c>
      <c r="D162" t="s">
        <v>40</v>
      </c>
      <c r="F162" cm="1">
        <f t="array" ref="F162:F167">TRANSPOSE('Utilization '!B222:G222)</f>
        <v>2</v>
      </c>
    </row>
    <row r="163" spans="1:6">
      <c r="A163" s="11">
        <v>44777</v>
      </c>
      <c r="B163" t="s">
        <v>432</v>
      </c>
      <c r="C163" t="s">
        <v>349</v>
      </c>
      <c r="D163" t="s">
        <v>36</v>
      </c>
      <c r="F163">
        <v>3</v>
      </c>
    </row>
    <row r="164" spans="1:6">
      <c r="A164" s="11">
        <v>44777</v>
      </c>
      <c r="B164" t="s">
        <v>432</v>
      </c>
      <c r="C164" t="s">
        <v>22</v>
      </c>
      <c r="D164" t="s">
        <v>23</v>
      </c>
      <c r="F164">
        <v>3</v>
      </c>
    </row>
    <row r="165" spans="1:6">
      <c r="A165" s="11">
        <v>44777</v>
      </c>
      <c r="B165" t="s">
        <v>432</v>
      </c>
      <c r="C165" t="s">
        <v>22</v>
      </c>
      <c r="D165" t="s">
        <v>76</v>
      </c>
      <c r="F165">
        <v>1</v>
      </c>
    </row>
    <row r="166" spans="1:6">
      <c r="A166" s="11">
        <v>44777</v>
      </c>
      <c r="B166" t="s">
        <v>432</v>
      </c>
      <c r="C166" t="s">
        <v>350</v>
      </c>
      <c r="D166" t="s">
        <v>78</v>
      </c>
      <c r="F166">
        <v>4</v>
      </c>
    </row>
    <row r="167" spans="1:6">
      <c r="A167" s="11">
        <v>44777</v>
      </c>
      <c r="B167" t="s">
        <v>432</v>
      </c>
      <c r="C167" t="s">
        <v>350</v>
      </c>
      <c r="D167" t="s">
        <v>354</v>
      </c>
      <c r="F167">
        <v>4</v>
      </c>
    </row>
    <row r="168" spans="1:6">
      <c r="A168" s="11">
        <v>44777</v>
      </c>
      <c r="B168" t="s">
        <v>432</v>
      </c>
      <c r="C168" t="s">
        <v>351</v>
      </c>
      <c r="D168" t="s">
        <v>46</v>
      </c>
      <c r="F168" cm="1">
        <f t="array" ref="F168:F169">TRANSPOSE('Utilization '!I222:J222)</f>
        <v>5</v>
      </c>
    </row>
    <row r="169" spans="1:6">
      <c r="A169" s="11">
        <v>44777</v>
      </c>
      <c r="B169" t="s">
        <v>432</v>
      </c>
      <c r="C169" t="s">
        <v>351</v>
      </c>
      <c r="D169" t="s">
        <v>62</v>
      </c>
      <c r="F169">
        <v>0</v>
      </c>
    </row>
    <row r="170" spans="1:6">
      <c r="A170" s="11">
        <v>44778</v>
      </c>
      <c r="B170" t="s">
        <v>432</v>
      </c>
      <c r="C170" t="s">
        <v>349</v>
      </c>
      <c r="D170" t="s">
        <v>40</v>
      </c>
      <c r="F170" cm="1">
        <f t="array" ref="F170:F175">TRANSPOSE('Utilization '!B223:G223)</f>
        <v>2</v>
      </c>
    </row>
    <row r="171" spans="1:6">
      <c r="A171" s="11">
        <v>44778</v>
      </c>
      <c r="B171" t="s">
        <v>432</v>
      </c>
      <c r="C171" t="s">
        <v>349</v>
      </c>
      <c r="D171" t="s">
        <v>36</v>
      </c>
      <c r="F171">
        <v>3</v>
      </c>
    </row>
    <row r="172" spans="1:6">
      <c r="A172" s="11">
        <v>44778</v>
      </c>
      <c r="B172" t="s">
        <v>432</v>
      </c>
      <c r="C172" t="s">
        <v>22</v>
      </c>
      <c r="D172" t="s">
        <v>23</v>
      </c>
      <c r="F172">
        <v>3</v>
      </c>
    </row>
    <row r="173" spans="1:6">
      <c r="A173" s="11">
        <v>44778</v>
      </c>
      <c r="B173" t="s">
        <v>432</v>
      </c>
      <c r="C173" t="s">
        <v>22</v>
      </c>
      <c r="D173" t="s">
        <v>76</v>
      </c>
      <c r="F173">
        <v>1</v>
      </c>
    </row>
    <row r="174" spans="1:6">
      <c r="A174" s="11">
        <v>44778</v>
      </c>
      <c r="B174" t="s">
        <v>432</v>
      </c>
      <c r="C174" t="s">
        <v>350</v>
      </c>
      <c r="D174" t="s">
        <v>78</v>
      </c>
      <c r="F174">
        <v>4</v>
      </c>
    </row>
    <row r="175" spans="1:6">
      <c r="A175" s="11">
        <v>44778</v>
      </c>
      <c r="B175" t="s">
        <v>432</v>
      </c>
      <c r="C175" t="s">
        <v>350</v>
      </c>
      <c r="D175" t="s">
        <v>354</v>
      </c>
      <c r="F175">
        <v>4</v>
      </c>
    </row>
    <row r="176" spans="1:6">
      <c r="A176" s="11">
        <v>44778</v>
      </c>
      <c r="B176" t="s">
        <v>432</v>
      </c>
      <c r="C176" t="s">
        <v>351</v>
      </c>
      <c r="D176" t="s">
        <v>46</v>
      </c>
      <c r="F176" cm="1">
        <f t="array" ref="F176:F177">TRANSPOSE('Utilization '!I223:J223)</f>
        <v>5</v>
      </c>
    </row>
    <row r="177" spans="1:6">
      <c r="A177" s="11">
        <v>44778</v>
      </c>
      <c r="B177" t="s">
        <v>432</v>
      </c>
      <c r="C177" t="s">
        <v>351</v>
      </c>
      <c r="D177" t="s">
        <v>62</v>
      </c>
      <c r="F177">
        <v>0</v>
      </c>
    </row>
    <row r="178" spans="1:6">
      <c r="A178" s="11">
        <v>44779</v>
      </c>
      <c r="B178" t="s">
        <v>432</v>
      </c>
      <c r="C178" t="s">
        <v>349</v>
      </c>
      <c r="D178" t="s">
        <v>40</v>
      </c>
      <c r="F178" cm="1">
        <f t="array" ref="F178:F183">TRANSPOSE('Utilization '!B224:G224)</f>
        <v>2</v>
      </c>
    </row>
    <row r="179" spans="1:6">
      <c r="A179" s="11">
        <v>44779</v>
      </c>
      <c r="B179" t="s">
        <v>432</v>
      </c>
      <c r="C179" t="s">
        <v>349</v>
      </c>
      <c r="D179" t="s">
        <v>36</v>
      </c>
      <c r="F179">
        <v>3</v>
      </c>
    </row>
    <row r="180" spans="1:6">
      <c r="A180" s="11">
        <v>44779</v>
      </c>
      <c r="B180" t="s">
        <v>432</v>
      </c>
      <c r="C180" t="s">
        <v>22</v>
      </c>
      <c r="D180" t="s">
        <v>23</v>
      </c>
      <c r="F180">
        <v>3</v>
      </c>
    </row>
    <row r="181" spans="1:6">
      <c r="A181" s="11">
        <v>44779</v>
      </c>
      <c r="B181" t="s">
        <v>432</v>
      </c>
      <c r="C181" t="s">
        <v>22</v>
      </c>
      <c r="D181" t="s">
        <v>76</v>
      </c>
      <c r="F181">
        <v>1</v>
      </c>
    </row>
    <row r="182" spans="1:6">
      <c r="A182" s="11">
        <v>44779</v>
      </c>
      <c r="B182" t="s">
        <v>432</v>
      </c>
      <c r="C182" t="s">
        <v>350</v>
      </c>
      <c r="D182" t="s">
        <v>78</v>
      </c>
      <c r="F182">
        <v>4</v>
      </c>
    </row>
    <row r="183" spans="1:6">
      <c r="A183" s="11">
        <v>44779</v>
      </c>
      <c r="B183" t="s">
        <v>432</v>
      </c>
      <c r="C183" t="s">
        <v>350</v>
      </c>
      <c r="D183" t="s">
        <v>354</v>
      </c>
      <c r="F183">
        <v>4</v>
      </c>
    </row>
    <row r="184" spans="1:6">
      <c r="A184" s="11">
        <v>44779</v>
      </c>
      <c r="B184" t="s">
        <v>432</v>
      </c>
      <c r="C184" t="s">
        <v>351</v>
      </c>
      <c r="D184" t="s">
        <v>46</v>
      </c>
      <c r="F184" cm="1">
        <f t="array" ref="F184:F185">TRANSPOSE('Utilization '!I224:J224)</f>
        <v>5</v>
      </c>
    </row>
    <row r="185" spans="1:6">
      <c r="A185" s="11">
        <v>44779</v>
      </c>
      <c r="B185" t="s">
        <v>432</v>
      </c>
      <c r="C185" t="s">
        <v>351</v>
      </c>
      <c r="D185" t="s">
        <v>62</v>
      </c>
      <c r="F185">
        <v>0</v>
      </c>
    </row>
    <row r="186" spans="1:6">
      <c r="A186" s="11">
        <v>44780</v>
      </c>
      <c r="B186" t="s">
        <v>432</v>
      </c>
      <c r="C186" t="s">
        <v>349</v>
      </c>
      <c r="D186" t="s">
        <v>40</v>
      </c>
      <c r="F186" cm="1">
        <f t="array" ref="F186:F191">TRANSPOSE('Utilization '!B225:G225)</f>
        <v>2</v>
      </c>
    </row>
    <row r="187" spans="1:6">
      <c r="A187" s="11">
        <v>44780</v>
      </c>
      <c r="B187" t="s">
        <v>432</v>
      </c>
      <c r="C187" t="s">
        <v>349</v>
      </c>
      <c r="D187" t="s">
        <v>36</v>
      </c>
      <c r="F187">
        <v>3</v>
      </c>
    </row>
    <row r="188" spans="1:6">
      <c r="A188" s="11">
        <v>44780</v>
      </c>
      <c r="B188" t="s">
        <v>432</v>
      </c>
      <c r="C188" t="s">
        <v>22</v>
      </c>
      <c r="D188" t="s">
        <v>23</v>
      </c>
      <c r="F188">
        <v>3</v>
      </c>
    </row>
    <row r="189" spans="1:6">
      <c r="A189" s="11">
        <v>44780</v>
      </c>
      <c r="B189" t="s">
        <v>432</v>
      </c>
      <c r="C189" t="s">
        <v>22</v>
      </c>
      <c r="D189" t="s">
        <v>76</v>
      </c>
      <c r="F189">
        <v>1</v>
      </c>
    </row>
    <row r="190" spans="1:6">
      <c r="A190" s="11">
        <v>44780</v>
      </c>
      <c r="B190" t="s">
        <v>432</v>
      </c>
      <c r="C190" t="s">
        <v>350</v>
      </c>
      <c r="D190" t="s">
        <v>78</v>
      </c>
      <c r="F190">
        <v>4</v>
      </c>
    </row>
    <row r="191" spans="1:6">
      <c r="A191" s="11">
        <v>44780</v>
      </c>
      <c r="B191" t="s">
        <v>432</v>
      </c>
      <c r="C191" t="s">
        <v>350</v>
      </c>
      <c r="D191" t="s">
        <v>354</v>
      </c>
      <c r="F191">
        <v>4</v>
      </c>
    </row>
    <row r="192" spans="1:6">
      <c r="A192" s="11">
        <v>44780</v>
      </c>
      <c r="B192" t="s">
        <v>432</v>
      </c>
      <c r="C192" t="s">
        <v>351</v>
      </c>
      <c r="D192" t="s">
        <v>46</v>
      </c>
      <c r="F192" cm="1">
        <f t="array" ref="F192:F193">TRANSPOSE('Utilization '!I225:J225)</f>
        <v>5</v>
      </c>
    </row>
    <row r="193" spans="1:6">
      <c r="A193" s="11">
        <v>44780</v>
      </c>
      <c r="B193" t="s">
        <v>432</v>
      </c>
      <c r="C193" t="s">
        <v>351</v>
      </c>
      <c r="D193" t="s">
        <v>62</v>
      </c>
      <c r="F193">
        <v>0</v>
      </c>
    </row>
    <row r="194" spans="1:6">
      <c r="A194" s="11">
        <v>44781</v>
      </c>
      <c r="B194" t="s">
        <v>432</v>
      </c>
      <c r="C194" t="s">
        <v>349</v>
      </c>
      <c r="D194" t="s">
        <v>40</v>
      </c>
      <c r="F194" cm="1">
        <f t="array" ref="F194:F199">TRANSPOSE('Utilization '!B226:G226)</f>
        <v>2</v>
      </c>
    </row>
    <row r="195" spans="1:6">
      <c r="A195" s="11">
        <v>44781</v>
      </c>
      <c r="B195" t="s">
        <v>432</v>
      </c>
      <c r="C195" t="s">
        <v>349</v>
      </c>
      <c r="D195" t="s">
        <v>36</v>
      </c>
      <c r="F195">
        <v>3</v>
      </c>
    </row>
    <row r="196" spans="1:6">
      <c r="A196" s="11">
        <v>44781</v>
      </c>
      <c r="B196" t="s">
        <v>432</v>
      </c>
      <c r="C196" t="s">
        <v>22</v>
      </c>
      <c r="D196" t="s">
        <v>23</v>
      </c>
      <c r="F196">
        <v>3</v>
      </c>
    </row>
    <row r="197" spans="1:6">
      <c r="A197" s="11">
        <v>44781</v>
      </c>
      <c r="B197" t="s">
        <v>432</v>
      </c>
      <c r="C197" t="s">
        <v>22</v>
      </c>
      <c r="D197" t="s">
        <v>76</v>
      </c>
      <c r="F197">
        <v>1</v>
      </c>
    </row>
    <row r="198" spans="1:6">
      <c r="A198" s="11">
        <v>44781</v>
      </c>
      <c r="B198" t="s">
        <v>432</v>
      </c>
      <c r="C198" t="s">
        <v>350</v>
      </c>
      <c r="D198" t="s">
        <v>78</v>
      </c>
      <c r="F198">
        <v>4</v>
      </c>
    </row>
    <row r="199" spans="1:6">
      <c r="A199" s="11">
        <v>44781</v>
      </c>
      <c r="B199" t="s">
        <v>432</v>
      </c>
      <c r="C199" t="s">
        <v>350</v>
      </c>
      <c r="D199" t="s">
        <v>354</v>
      </c>
      <c r="F199">
        <v>4</v>
      </c>
    </row>
    <row r="200" spans="1:6">
      <c r="A200" s="11">
        <v>44781</v>
      </c>
      <c r="B200" t="s">
        <v>432</v>
      </c>
      <c r="C200" t="s">
        <v>351</v>
      </c>
      <c r="D200" t="s">
        <v>46</v>
      </c>
      <c r="F200" cm="1">
        <f t="array" ref="F200:F201">TRANSPOSE('Utilization '!I226:J226)</f>
        <v>5</v>
      </c>
    </row>
    <row r="201" spans="1:6">
      <c r="A201" s="11">
        <v>44781</v>
      </c>
      <c r="B201" t="s">
        <v>432</v>
      </c>
      <c r="C201" t="s">
        <v>351</v>
      </c>
      <c r="D201" t="s">
        <v>62</v>
      </c>
      <c r="F201">
        <v>0</v>
      </c>
    </row>
    <row r="202" spans="1:6">
      <c r="A202" s="11">
        <v>44782</v>
      </c>
      <c r="B202" t="s">
        <v>432</v>
      </c>
      <c r="C202" t="s">
        <v>349</v>
      </c>
      <c r="D202" t="s">
        <v>40</v>
      </c>
      <c r="F202" cm="1">
        <f t="array" ref="F202:F207">TRANSPOSE('Utilization '!B227:G227)</f>
        <v>3</v>
      </c>
    </row>
    <row r="203" spans="1:6">
      <c r="A203" s="11">
        <v>44782</v>
      </c>
      <c r="B203" t="s">
        <v>432</v>
      </c>
      <c r="C203" t="s">
        <v>349</v>
      </c>
      <c r="D203" t="s">
        <v>36</v>
      </c>
      <c r="F203">
        <v>3</v>
      </c>
    </row>
    <row r="204" spans="1:6">
      <c r="A204" s="11">
        <v>44782</v>
      </c>
      <c r="B204" t="s">
        <v>432</v>
      </c>
      <c r="C204" t="s">
        <v>22</v>
      </c>
      <c r="D204" t="s">
        <v>23</v>
      </c>
      <c r="F204">
        <v>3</v>
      </c>
    </row>
    <row r="205" spans="1:6">
      <c r="A205" s="11">
        <v>44782</v>
      </c>
      <c r="B205" t="s">
        <v>432</v>
      </c>
      <c r="C205" t="s">
        <v>22</v>
      </c>
      <c r="D205" t="s">
        <v>76</v>
      </c>
      <c r="F205">
        <v>1</v>
      </c>
    </row>
    <row r="206" spans="1:6">
      <c r="A206" s="11">
        <v>44782</v>
      </c>
      <c r="B206" t="s">
        <v>432</v>
      </c>
      <c r="C206" t="s">
        <v>350</v>
      </c>
      <c r="D206" t="s">
        <v>78</v>
      </c>
      <c r="F206">
        <v>4</v>
      </c>
    </row>
    <row r="207" spans="1:6">
      <c r="A207" s="11">
        <v>44782</v>
      </c>
      <c r="B207" t="s">
        <v>432</v>
      </c>
      <c r="C207" t="s">
        <v>350</v>
      </c>
      <c r="D207" t="s">
        <v>354</v>
      </c>
      <c r="F207">
        <v>4</v>
      </c>
    </row>
    <row r="208" spans="1:6">
      <c r="A208" s="11">
        <v>44782</v>
      </c>
      <c r="B208" t="s">
        <v>432</v>
      </c>
      <c r="C208" t="s">
        <v>351</v>
      </c>
      <c r="D208" t="s">
        <v>46</v>
      </c>
      <c r="F208" cm="1">
        <f t="array" ref="F208:F209">TRANSPOSE('Utilization '!I227:J227)</f>
        <v>5</v>
      </c>
    </row>
    <row r="209" spans="1:6">
      <c r="A209" s="11">
        <v>44782</v>
      </c>
      <c r="B209" t="s">
        <v>432</v>
      </c>
      <c r="C209" t="s">
        <v>351</v>
      </c>
      <c r="D209" t="s">
        <v>62</v>
      </c>
      <c r="F209">
        <v>0</v>
      </c>
    </row>
    <row r="210" spans="1:6">
      <c r="A210" s="11">
        <v>44783</v>
      </c>
      <c r="B210" t="s">
        <v>432</v>
      </c>
      <c r="C210" t="s">
        <v>349</v>
      </c>
      <c r="D210" t="s">
        <v>40</v>
      </c>
      <c r="F210" cm="1">
        <f t="array" ref="F210:F215">TRANSPOSE('Utilization '!B228:G228)</f>
        <v>3</v>
      </c>
    </row>
    <row r="211" spans="1:6">
      <c r="A211" s="11">
        <v>44783</v>
      </c>
      <c r="B211" t="s">
        <v>432</v>
      </c>
      <c r="C211" t="s">
        <v>349</v>
      </c>
      <c r="D211" t="s">
        <v>36</v>
      </c>
      <c r="F211">
        <v>3</v>
      </c>
    </row>
    <row r="212" spans="1:6">
      <c r="A212" s="11">
        <v>44783</v>
      </c>
      <c r="B212" t="s">
        <v>432</v>
      </c>
      <c r="C212" t="s">
        <v>22</v>
      </c>
      <c r="D212" t="s">
        <v>23</v>
      </c>
      <c r="F212">
        <v>3</v>
      </c>
    </row>
    <row r="213" spans="1:6">
      <c r="A213" s="11">
        <v>44783</v>
      </c>
      <c r="B213" t="s">
        <v>432</v>
      </c>
      <c r="C213" t="s">
        <v>22</v>
      </c>
      <c r="D213" t="s">
        <v>76</v>
      </c>
      <c r="F213">
        <v>1</v>
      </c>
    </row>
    <row r="214" spans="1:6">
      <c r="A214" s="11">
        <v>44783</v>
      </c>
      <c r="B214" t="s">
        <v>432</v>
      </c>
      <c r="C214" t="s">
        <v>350</v>
      </c>
      <c r="D214" t="s">
        <v>78</v>
      </c>
      <c r="F214">
        <v>3</v>
      </c>
    </row>
    <row r="215" spans="1:6">
      <c r="A215" s="11">
        <v>44783</v>
      </c>
      <c r="B215" t="s">
        <v>432</v>
      </c>
      <c r="C215" t="s">
        <v>350</v>
      </c>
      <c r="D215" t="s">
        <v>354</v>
      </c>
      <c r="F215">
        <v>4</v>
      </c>
    </row>
    <row r="216" spans="1:6">
      <c r="A216" s="11">
        <v>44783</v>
      </c>
      <c r="B216" t="s">
        <v>432</v>
      </c>
      <c r="C216" t="s">
        <v>351</v>
      </c>
      <c r="D216" t="s">
        <v>46</v>
      </c>
      <c r="F216" cm="1">
        <f t="array" ref="F216:F217">TRANSPOSE('Utilization '!I228:J228)</f>
        <v>5</v>
      </c>
    </row>
    <row r="217" spans="1:6">
      <c r="A217" s="11">
        <v>44783</v>
      </c>
      <c r="B217" t="s">
        <v>432</v>
      </c>
      <c r="C217" t="s">
        <v>351</v>
      </c>
      <c r="D217" t="s">
        <v>62</v>
      </c>
      <c r="F217">
        <v>0</v>
      </c>
    </row>
    <row r="218" spans="1:6">
      <c r="A218" s="11">
        <v>44784</v>
      </c>
      <c r="B218" t="s">
        <v>432</v>
      </c>
      <c r="C218" t="s">
        <v>349</v>
      </c>
      <c r="D218" t="s">
        <v>40</v>
      </c>
      <c r="F218" cm="1">
        <f t="array" ref="F218:F223">TRANSPOSE('Utilization '!B229:G229)</f>
        <v>3</v>
      </c>
    </row>
    <row r="219" spans="1:6">
      <c r="A219" s="11">
        <v>44784</v>
      </c>
      <c r="B219" t="s">
        <v>432</v>
      </c>
      <c r="C219" t="s">
        <v>349</v>
      </c>
      <c r="D219" t="s">
        <v>36</v>
      </c>
      <c r="F219">
        <v>3</v>
      </c>
    </row>
    <row r="220" spans="1:6">
      <c r="A220" s="11">
        <v>44784</v>
      </c>
      <c r="B220" t="s">
        <v>432</v>
      </c>
      <c r="C220" t="s">
        <v>22</v>
      </c>
      <c r="D220" t="s">
        <v>23</v>
      </c>
      <c r="F220">
        <v>3</v>
      </c>
    </row>
    <row r="221" spans="1:6">
      <c r="A221" s="11">
        <v>44784</v>
      </c>
      <c r="B221" t="s">
        <v>432</v>
      </c>
      <c r="C221" t="s">
        <v>22</v>
      </c>
      <c r="D221" t="s">
        <v>76</v>
      </c>
      <c r="F221">
        <v>1</v>
      </c>
    </row>
    <row r="222" spans="1:6">
      <c r="A222" s="11">
        <v>44784</v>
      </c>
      <c r="B222" t="s">
        <v>432</v>
      </c>
      <c r="C222" t="s">
        <v>350</v>
      </c>
      <c r="D222" t="s">
        <v>78</v>
      </c>
      <c r="F222">
        <v>3</v>
      </c>
    </row>
    <row r="223" spans="1:6">
      <c r="A223" s="11">
        <v>44784</v>
      </c>
      <c r="B223" t="s">
        <v>432</v>
      </c>
      <c r="C223" t="s">
        <v>350</v>
      </c>
      <c r="D223" t="s">
        <v>354</v>
      </c>
      <c r="F223">
        <v>4</v>
      </c>
    </row>
    <row r="224" spans="1:6">
      <c r="A224" s="11">
        <v>44784</v>
      </c>
      <c r="B224" t="s">
        <v>432</v>
      </c>
      <c r="C224" t="s">
        <v>351</v>
      </c>
      <c r="D224" t="s">
        <v>46</v>
      </c>
      <c r="F224" cm="1">
        <f t="array" ref="F224:F225">TRANSPOSE('Utilization '!I229:J229)</f>
        <v>5</v>
      </c>
    </row>
    <row r="225" spans="1:6">
      <c r="A225" s="11">
        <v>44784</v>
      </c>
      <c r="B225" t="s">
        <v>432</v>
      </c>
      <c r="C225" t="s">
        <v>351</v>
      </c>
      <c r="D225" t="s">
        <v>62</v>
      </c>
      <c r="F225">
        <v>0</v>
      </c>
    </row>
    <row r="226" spans="1:6">
      <c r="A226" s="11">
        <v>44785</v>
      </c>
      <c r="B226" t="s">
        <v>432</v>
      </c>
      <c r="C226" t="s">
        <v>349</v>
      </c>
      <c r="D226" t="s">
        <v>40</v>
      </c>
      <c r="F226" cm="1">
        <f t="array" ref="F226:F231">TRANSPOSE('Utilization '!B230:G230)</f>
        <v>3</v>
      </c>
    </row>
    <row r="227" spans="1:6">
      <c r="A227" s="11">
        <v>44785</v>
      </c>
      <c r="B227" t="s">
        <v>432</v>
      </c>
      <c r="C227" t="s">
        <v>349</v>
      </c>
      <c r="D227" t="s">
        <v>36</v>
      </c>
      <c r="F227">
        <v>3</v>
      </c>
    </row>
    <row r="228" spans="1:6">
      <c r="A228" s="11">
        <v>44785</v>
      </c>
      <c r="B228" t="s">
        <v>432</v>
      </c>
      <c r="C228" t="s">
        <v>22</v>
      </c>
      <c r="D228" t="s">
        <v>23</v>
      </c>
      <c r="F228">
        <v>3</v>
      </c>
    </row>
    <row r="229" spans="1:6">
      <c r="A229" s="11">
        <v>44785</v>
      </c>
      <c r="B229" t="s">
        <v>432</v>
      </c>
      <c r="C229" t="s">
        <v>22</v>
      </c>
      <c r="D229" t="s">
        <v>76</v>
      </c>
      <c r="F229">
        <v>1</v>
      </c>
    </row>
    <row r="230" spans="1:6">
      <c r="A230" s="11">
        <v>44785</v>
      </c>
      <c r="B230" t="s">
        <v>432</v>
      </c>
      <c r="C230" t="s">
        <v>350</v>
      </c>
      <c r="D230" t="s">
        <v>78</v>
      </c>
      <c r="F230">
        <v>3</v>
      </c>
    </row>
    <row r="231" spans="1:6">
      <c r="A231" s="11">
        <v>44785</v>
      </c>
      <c r="B231" t="s">
        <v>432</v>
      </c>
      <c r="C231" t="s">
        <v>350</v>
      </c>
      <c r="D231" t="s">
        <v>354</v>
      </c>
      <c r="F231">
        <v>4</v>
      </c>
    </row>
    <row r="232" spans="1:6">
      <c r="A232" s="11">
        <v>44785</v>
      </c>
      <c r="B232" t="s">
        <v>432</v>
      </c>
      <c r="C232" t="s">
        <v>351</v>
      </c>
      <c r="D232" t="s">
        <v>46</v>
      </c>
      <c r="F232" cm="1">
        <f t="array" ref="F232:F233">TRANSPOSE('Utilization '!I230:J230)</f>
        <v>5</v>
      </c>
    </row>
    <row r="233" spans="1:6">
      <c r="A233" s="11">
        <v>44785</v>
      </c>
      <c r="B233" t="s">
        <v>432</v>
      </c>
      <c r="C233" t="s">
        <v>351</v>
      </c>
      <c r="D233" t="s">
        <v>62</v>
      </c>
      <c r="F233">
        <v>0</v>
      </c>
    </row>
    <row r="234" spans="1:6">
      <c r="A234" s="11">
        <v>44786</v>
      </c>
      <c r="B234" t="s">
        <v>432</v>
      </c>
      <c r="C234" t="s">
        <v>349</v>
      </c>
      <c r="D234" t="s">
        <v>40</v>
      </c>
      <c r="F234" cm="1">
        <f t="array" ref="F234:F239">TRANSPOSE('Utilization '!B231:G231)</f>
        <v>3</v>
      </c>
    </row>
    <row r="235" spans="1:6">
      <c r="A235" s="11">
        <v>44786</v>
      </c>
      <c r="B235" t="s">
        <v>432</v>
      </c>
      <c r="C235" t="s">
        <v>349</v>
      </c>
      <c r="D235" t="s">
        <v>36</v>
      </c>
      <c r="F235">
        <v>3</v>
      </c>
    </row>
    <row r="236" spans="1:6">
      <c r="A236" s="11">
        <v>44786</v>
      </c>
      <c r="B236" t="s">
        <v>432</v>
      </c>
      <c r="C236" t="s">
        <v>22</v>
      </c>
      <c r="D236" t="s">
        <v>23</v>
      </c>
      <c r="F236">
        <v>3</v>
      </c>
    </row>
    <row r="237" spans="1:6">
      <c r="A237" s="11">
        <v>44786</v>
      </c>
      <c r="B237" t="s">
        <v>432</v>
      </c>
      <c r="C237" t="s">
        <v>22</v>
      </c>
      <c r="D237" t="s">
        <v>76</v>
      </c>
      <c r="F237">
        <v>1</v>
      </c>
    </row>
    <row r="238" spans="1:6">
      <c r="A238" s="11">
        <v>44786</v>
      </c>
      <c r="B238" t="s">
        <v>432</v>
      </c>
      <c r="C238" t="s">
        <v>350</v>
      </c>
      <c r="D238" t="s">
        <v>78</v>
      </c>
      <c r="F238">
        <v>3</v>
      </c>
    </row>
    <row r="239" spans="1:6">
      <c r="A239" s="11">
        <v>44786</v>
      </c>
      <c r="B239" t="s">
        <v>432</v>
      </c>
      <c r="C239" t="s">
        <v>350</v>
      </c>
      <c r="D239" t="s">
        <v>354</v>
      </c>
      <c r="F239">
        <v>4</v>
      </c>
    </row>
    <row r="240" spans="1:6">
      <c r="A240" s="11">
        <v>44786</v>
      </c>
      <c r="B240" t="s">
        <v>432</v>
      </c>
      <c r="C240" t="s">
        <v>351</v>
      </c>
      <c r="D240" t="s">
        <v>46</v>
      </c>
      <c r="F240" cm="1">
        <f t="array" ref="F240:F241">TRANSPOSE('Utilization '!I231:J231)</f>
        <v>5</v>
      </c>
    </row>
    <row r="241" spans="1:6">
      <c r="A241" s="11">
        <v>44786</v>
      </c>
      <c r="B241" t="s">
        <v>432</v>
      </c>
      <c r="C241" t="s">
        <v>351</v>
      </c>
      <c r="D241" t="s">
        <v>62</v>
      </c>
      <c r="F241">
        <v>0</v>
      </c>
    </row>
    <row r="242" spans="1:6">
      <c r="A242" s="11">
        <v>44787</v>
      </c>
      <c r="B242" t="s">
        <v>432</v>
      </c>
      <c r="C242" t="s">
        <v>349</v>
      </c>
      <c r="D242" t="s">
        <v>40</v>
      </c>
      <c r="F242" cm="1">
        <f t="array" ref="F242:F247">TRANSPOSE('Utilization '!B232:G232)</f>
        <v>3</v>
      </c>
    </row>
    <row r="243" spans="1:6">
      <c r="A243" s="11">
        <v>44787</v>
      </c>
      <c r="B243" t="s">
        <v>432</v>
      </c>
      <c r="C243" t="s">
        <v>349</v>
      </c>
      <c r="D243" t="s">
        <v>36</v>
      </c>
      <c r="F243">
        <v>3</v>
      </c>
    </row>
    <row r="244" spans="1:6">
      <c r="A244" s="11">
        <v>44787</v>
      </c>
      <c r="B244" t="s">
        <v>432</v>
      </c>
      <c r="C244" t="s">
        <v>22</v>
      </c>
      <c r="D244" t="s">
        <v>23</v>
      </c>
      <c r="F244">
        <v>3</v>
      </c>
    </row>
    <row r="245" spans="1:6">
      <c r="A245" s="11">
        <v>44787</v>
      </c>
      <c r="B245" t="s">
        <v>432</v>
      </c>
      <c r="C245" t="s">
        <v>22</v>
      </c>
      <c r="D245" t="s">
        <v>76</v>
      </c>
      <c r="F245">
        <v>1</v>
      </c>
    </row>
    <row r="246" spans="1:6">
      <c r="A246" s="11">
        <v>44787</v>
      </c>
      <c r="B246" t="s">
        <v>432</v>
      </c>
      <c r="C246" t="s">
        <v>350</v>
      </c>
      <c r="D246" t="s">
        <v>78</v>
      </c>
      <c r="F246">
        <v>3</v>
      </c>
    </row>
    <row r="247" spans="1:6">
      <c r="A247" s="11">
        <v>44787</v>
      </c>
      <c r="B247" t="s">
        <v>432</v>
      </c>
      <c r="C247" t="s">
        <v>350</v>
      </c>
      <c r="D247" t="s">
        <v>354</v>
      </c>
      <c r="F247">
        <v>4</v>
      </c>
    </row>
    <row r="248" spans="1:6">
      <c r="A248" s="11">
        <v>44787</v>
      </c>
      <c r="B248" t="s">
        <v>432</v>
      </c>
      <c r="C248" t="s">
        <v>351</v>
      </c>
      <c r="D248" t="s">
        <v>46</v>
      </c>
      <c r="F248" cm="1">
        <f t="array" ref="F248:F249">TRANSPOSE('Utilization '!I232:J232)</f>
        <v>5</v>
      </c>
    </row>
    <row r="249" spans="1:6">
      <c r="A249" s="11">
        <v>44787</v>
      </c>
      <c r="B249" t="s">
        <v>432</v>
      </c>
      <c r="C249" t="s">
        <v>351</v>
      </c>
      <c r="D249" t="s">
        <v>62</v>
      </c>
      <c r="F249">
        <v>0</v>
      </c>
    </row>
    <row r="250" spans="1:6">
      <c r="A250" s="11">
        <v>44788</v>
      </c>
      <c r="B250" t="s">
        <v>432</v>
      </c>
      <c r="C250" t="s">
        <v>349</v>
      </c>
      <c r="D250" t="s">
        <v>40</v>
      </c>
      <c r="F250" cm="1">
        <f t="array" ref="F250:F255">TRANSPOSE('Utilization '!B233:G233)</f>
        <v>3</v>
      </c>
    </row>
    <row r="251" spans="1:6">
      <c r="A251" s="11">
        <v>44788</v>
      </c>
      <c r="B251" t="s">
        <v>432</v>
      </c>
      <c r="C251" t="s">
        <v>349</v>
      </c>
      <c r="D251" t="s">
        <v>36</v>
      </c>
      <c r="F251">
        <v>3</v>
      </c>
    </row>
    <row r="252" spans="1:6">
      <c r="A252" s="11">
        <v>44788</v>
      </c>
      <c r="B252" t="s">
        <v>432</v>
      </c>
      <c r="C252" t="s">
        <v>22</v>
      </c>
      <c r="D252" t="s">
        <v>23</v>
      </c>
      <c r="F252">
        <v>3</v>
      </c>
    </row>
    <row r="253" spans="1:6">
      <c r="A253" s="11">
        <v>44788</v>
      </c>
      <c r="B253" t="s">
        <v>432</v>
      </c>
      <c r="C253" t="s">
        <v>22</v>
      </c>
      <c r="D253" t="s">
        <v>76</v>
      </c>
      <c r="F253">
        <v>1</v>
      </c>
    </row>
    <row r="254" spans="1:6">
      <c r="A254" s="11">
        <v>44788</v>
      </c>
      <c r="B254" t="s">
        <v>432</v>
      </c>
      <c r="C254" t="s">
        <v>350</v>
      </c>
      <c r="D254" t="s">
        <v>78</v>
      </c>
      <c r="F254">
        <v>3</v>
      </c>
    </row>
    <row r="255" spans="1:6">
      <c r="A255" s="11">
        <v>44788</v>
      </c>
      <c r="B255" t="s">
        <v>432</v>
      </c>
      <c r="C255" t="s">
        <v>350</v>
      </c>
      <c r="D255" t="s">
        <v>354</v>
      </c>
      <c r="F255">
        <v>4</v>
      </c>
    </row>
    <row r="256" spans="1:6">
      <c r="A256" s="11">
        <v>44788</v>
      </c>
      <c r="B256" t="s">
        <v>432</v>
      </c>
      <c r="C256" t="s">
        <v>351</v>
      </c>
      <c r="D256" t="s">
        <v>46</v>
      </c>
      <c r="F256" cm="1">
        <f t="array" ref="F256:F257">TRANSPOSE('Utilization '!I233:J233)</f>
        <v>5</v>
      </c>
    </row>
    <row r="257" spans="1:6">
      <c r="A257" s="11">
        <v>44788</v>
      </c>
      <c r="B257" t="s">
        <v>432</v>
      </c>
      <c r="C257" t="s">
        <v>351</v>
      </c>
      <c r="D257" t="s">
        <v>62</v>
      </c>
      <c r="F257">
        <v>0</v>
      </c>
    </row>
    <row r="258" spans="1:6">
      <c r="A258" s="11">
        <v>44789</v>
      </c>
      <c r="B258" t="s">
        <v>432</v>
      </c>
      <c r="C258" t="s">
        <v>349</v>
      </c>
      <c r="D258" t="s">
        <v>40</v>
      </c>
      <c r="F258" cm="1">
        <f t="array" ref="F258:F263">TRANSPOSE('Utilization '!B234:G234)</f>
        <v>3</v>
      </c>
    </row>
    <row r="259" spans="1:6">
      <c r="A259" s="11">
        <v>44789</v>
      </c>
      <c r="B259" t="s">
        <v>432</v>
      </c>
      <c r="C259" t="s">
        <v>349</v>
      </c>
      <c r="D259" t="s">
        <v>36</v>
      </c>
      <c r="F259">
        <v>3</v>
      </c>
    </row>
    <row r="260" spans="1:6">
      <c r="A260" s="11">
        <v>44789</v>
      </c>
      <c r="B260" t="s">
        <v>432</v>
      </c>
      <c r="C260" t="s">
        <v>22</v>
      </c>
      <c r="D260" t="s">
        <v>23</v>
      </c>
      <c r="F260">
        <v>3</v>
      </c>
    </row>
    <row r="261" spans="1:6">
      <c r="A261" s="11">
        <v>44789</v>
      </c>
      <c r="B261" t="s">
        <v>432</v>
      </c>
      <c r="C261" t="s">
        <v>22</v>
      </c>
      <c r="D261" t="s">
        <v>76</v>
      </c>
      <c r="F261">
        <v>1</v>
      </c>
    </row>
    <row r="262" spans="1:6">
      <c r="A262" s="11">
        <v>44789</v>
      </c>
      <c r="B262" t="s">
        <v>432</v>
      </c>
      <c r="C262" t="s">
        <v>350</v>
      </c>
      <c r="D262" t="s">
        <v>78</v>
      </c>
      <c r="F262">
        <v>3</v>
      </c>
    </row>
    <row r="263" spans="1:6">
      <c r="A263" s="11">
        <v>44789</v>
      </c>
      <c r="B263" t="s">
        <v>432</v>
      </c>
      <c r="C263" t="s">
        <v>350</v>
      </c>
      <c r="D263" t="s">
        <v>354</v>
      </c>
      <c r="F263">
        <v>4</v>
      </c>
    </row>
    <row r="264" spans="1:6">
      <c r="A264" s="11">
        <v>44789</v>
      </c>
      <c r="B264" t="s">
        <v>432</v>
      </c>
      <c r="C264" t="s">
        <v>351</v>
      </c>
      <c r="D264" t="s">
        <v>46</v>
      </c>
      <c r="F264" cm="1">
        <f t="array" ref="F264:F265">TRANSPOSE('Utilization '!I234:J234)</f>
        <v>5</v>
      </c>
    </row>
    <row r="265" spans="1:6">
      <c r="A265" s="11">
        <v>44789</v>
      </c>
      <c r="B265" t="s">
        <v>432</v>
      </c>
      <c r="C265" t="s">
        <v>351</v>
      </c>
      <c r="D265" t="s">
        <v>62</v>
      </c>
      <c r="F265">
        <v>0</v>
      </c>
    </row>
    <row r="266" spans="1:6">
      <c r="A266" s="11">
        <v>44790</v>
      </c>
      <c r="B266" t="s">
        <v>432</v>
      </c>
      <c r="C266" t="s">
        <v>349</v>
      </c>
      <c r="D266" t="s">
        <v>40</v>
      </c>
      <c r="F266" cm="1">
        <f t="array" ref="F266:F271">TRANSPOSE('Utilization '!B235:G235)</f>
        <v>2</v>
      </c>
    </row>
    <row r="267" spans="1:6">
      <c r="A267" s="11">
        <v>44790</v>
      </c>
      <c r="B267" t="s">
        <v>432</v>
      </c>
      <c r="C267" t="s">
        <v>349</v>
      </c>
      <c r="D267" t="s">
        <v>36</v>
      </c>
      <c r="F267">
        <v>3</v>
      </c>
    </row>
    <row r="268" spans="1:6">
      <c r="A268" s="11">
        <v>44790</v>
      </c>
      <c r="B268" t="s">
        <v>432</v>
      </c>
      <c r="C268" t="s">
        <v>22</v>
      </c>
      <c r="D268" t="s">
        <v>23</v>
      </c>
      <c r="F268">
        <v>3</v>
      </c>
    </row>
    <row r="269" spans="1:6">
      <c r="A269" s="11">
        <v>44790</v>
      </c>
      <c r="B269" t="s">
        <v>432</v>
      </c>
      <c r="C269" t="s">
        <v>22</v>
      </c>
      <c r="D269" t="s">
        <v>76</v>
      </c>
      <c r="F269">
        <v>1</v>
      </c>
    </row>
    <row r="270" spans="1:6">
      <c r="A270" s="11">
        <v>44790</v>
      </c>
      <c r="B270" t="s">
        <v>432</v>
      </c>
      <c r="C270" t="s">
        <v>350</v>
      </c>
      <c r="D270" t="s">
        <v>78</v>
      </c>
      <c r="F270">
        <v>3</v>
      </c>
    </row>
    <row r="271" spans="1:6">
      <c r="A271" s="11">
        <v>44790</v>
      </c>
      <c r="B271" t="s">
        <v>432</v>
      </c>
      <c r="C271" t="s">
        <v>350</v>
      </c>
      <c r="D271" t="s">
        <v>354</v>
      </c>
      <c r="F271">
        <v>4</v>
      </c>
    </row>
    <row r="272" spans="1:6">
      <c r="A272" s="11">
        <v>44790</v>
      </c>
      <c r="B272" t="s">
        <v>432</v>
      </c>
      <c r="C272" t="s">
        <v>351</v>
      </c>
      <c r="D272" t="s">
        <v>46</v>
      </c>
      <c r="F272" cm="1">
        <f t="array" ref="F272:F273">TRANSPOSE('Utilization '!I235:J235)</f>
        <v>4</v>
      </c>
    </row>
    <row r="273" spans="1:6">
      <c r="A273" s="11">
        <v>44790</v>
      </c>
      <c r="B273" t="s">
        <v>432</v>
      </c>
      <c r="C273" t="s">
        <v>351</v>
      </c>
      <c r="D273" t="s">
        <v>62</v>
      </c>
      <c r="F273">
        <v>0</v>
      </c>
    </row>
    <row r="274" spans="1:6">
      <c r="A274" s="11">
        <v>44791</v>
      </c>
      <c r="B274" t="s">
        <v>432</v>
      </c>
      <c r="C274" t="s">
        <v>349</v>
      </c>
      <c r="D274" t="s">
        <v>40</v>
      </c>
      <c r="F274" cm="1">
        <f t="array" ref="F274:F279">TRANSPOSE('Utilization '!B236:G236)</f>
        <v>2</v>
      </c>
    </row>
    <row r="275" spans="1:6">
      <c r="A275" s="11">
        <v>44791</v>
      </c>
      <c r="B275" t="s">
        <v>432</v>
      </c>
      <c r="C275" t="s">
        <v>349</v>
      </c>
      <c r="D275" t="s">
        <v>36</v>
      </c>
      <c r="F275">
        <v>3</v>
      </c>
    </row>
    <row r="276" spans="1:6">
      <c r="A276" s="11">
        <v>44791</v>
      </c>
      <c r="B276" t="s">
        <v>432</v>
      </c>
      <c r="C276" t="s">
        <v>22</v>
      </c>
      <c r="D276" t="s">
        <v>23</v>
      </c>
      <c r="F276">
        <v>3</v>
      </c>
    </row>
    <row r="277" spans="1:6">
      <c r="A277" s="11">
        <v>44791</v>
      </c>
      <c r="B277" t="s">
        <v>432</v>
      </c>
      <c r="C277" t="s">
        <v>22</v>
      </c>
      <c r="D277" t="s">
        <v>76</v>
      </c>
      <c r="F277">
        <v>1</v>
      </c>
    </row>
    <row r="278" spans="1:6">
      <c r="A278" s="11">
        <v>44791</v>
      </c>
      <c r="B278" t="s">
        <v>432</v>
      </c>
      <c r="C278" t="s">
        <v>350</v>
      </c>
      <c r="D278" t="s">
        <v>78</v>
      </c>
      <c r="F278">
        <v>3</v>
      </c>
    </row>
    <row r="279" spans="1:6">
      <c r="A279" s="11">
        <v>44791</v>
      </c>
      <c r="B279" t="s">
        <v>432</v>
      </c>
      <c r="C279" t="s">
        <v>350</v>
      </c>
      <c r="D279" t="s">
        <v>354</v>
      </c>
      <c r="F279">
        <v>4</v>
      </c>
    </row>
    <row r="280" spans="1:6">
      <c r="A280" s="11">
        <v>44791</v>
      </c>
      <c r="B280" t="s">
        <v>432</v>
      </c>
      <c r="C280" t="s">
        <v>351</v>
      </c>
      <c r="D280" t="s">
        <v>46</v>
      </c>
      <c r="F280" cm="1">
        <f t="array" ref="F280:F281">TRANSPOSE('Utilization '!I236:J236)</f>
        <v>4</v>
      </c>
    </row>
    <row r="281" spans="1:6">
      <c r="A281" s="11">
        <v>44791</v>
      </c>
      <c r="B281" t="s">
        <v>432</v>
      </c>
      <c r="C281" t="s">
        <v>351</v>
      </c>
      <c r="D281" t="s">
        <v>62</v>
      </c>
      <c r="F281">
        <v>0</v>
      </c>
    </row>
    <row r="282" spans="1:6">
      <c r="A282" s="11">
        <v>44792</v>
      </c>
      <c r="B282" t="s">
        <v>432</v>
      </c>
      <c r="C282" t="s">
        <v>349</v>
      </c>
      <c r="D282" t="s">
        <v>40</v>
      </c>
      <c r="F282" cm="1">
        <f t="array" ref="F282:F287">TRANSPOSE('Utilization '!B237:G237)</f>
        <v>2</v>
      </c>
    </row>
    <row r="283" spans="1:6">
      <c r="A283" s="11">
        <v>44792</v>
      </c>
      <c r="B283" t="s">
        <v>432</v>
      </c>
      <c r="C283" t="s">
        <v>349</v>
      </c>
      <c r="D283" t="s">
        <v>36</v>
      </c>
      <c r="F283">
        <v>4</v>
      </c>
    </row>
    <row r="284" spans="1:6">
      <c r="A284" s="11">
        <v>44792</v>
      </c>
      <c r="B284" t="s">
        <v>432</v>
      </c>
      <c r="C284" t="s">
        <v>22</v>
      </c>
      <c r="D284" t="s">
        <v>23</v>
      </c>
      <c r="F284">
        <v>3</v>
      </c>
    </row>
    <row r="285" spans="1:6">
      <c r="A285" s="11">
        <v>44792</v>
      </c>
      <c r="B285" t="s">
        <v>432</v>
      </c>
      <c r="C285" t="s">
        <v>22</v>
      </c>
      <c r="D285" t="s">
        <v>76</v>
      </c>
      <c r="F285">
        <v>1</v>
      </c>
    </row>
    <row r="286" spans="1:6">
      <c r="A286" s="11">
        <v>44792</v>
      </c>
      <c r="B286" t="s">
        <v>432</v>
      </c>
      <c r="C286" t="s">
        <v>350</v>
      </c>
      <c r="D286" t="s">
        <v>78</v>
      </c>
      <c r="F286">
        <v>3</v>
      </c>
    </row>
    <row r="287" spans="1:6">
      <c r="A287" s="11">
        <v>44792</v>
      </c>
      <c r="B287" t="s">
        <v>432</v>
      </c>
      <c r="C287" t="s">
        <v>350</v>
      </c>
      <c r="D287" t="s">
        <v>354</v>
      </c>
      <c r="F287">
        <v>4</v>
      </c>
    </row>
    <row r="288" spans="1:6">
      <c r="A288" s="11">
        <v>44792</v>
      </c>
      <c r="B288" t="s">
        <v>432</v>
      </c>
      <c r="C288" t="s">
        <v>351</v>
      </c>
      <c r="D288" t="s">
        <v>46</v>
      </c>
      <c r="F288" cm="1">
        <f t="array" ref="F288:F289">TRANSPOSE('Utilization '!I237:J237)</f>
        <v>4</v>
      </c>
    </row>
    <row r="289" spans="1:6">
      <c r="A289" s="11">
        <v>44792</v>
      </c>
      <c r="B289" t="s">
        <v>432</v>
      </c>
      <c r="C289" t="s">
        <v>351</v>
      </c>
      <c r="D289" t="s">
        <v>62</v>
      </c>
      <c r="F289">
        <v>0</v>
      </c>
    </row>
    <row r="290" spans="1:6">
      <c r="A290" s="11">
        <v>44793</v>
      </c>
      <c r="B290" t="s">
        <v>432</v>
      </c>
      <c r="C290" t="s">
        <v>349</v>
      </c>
      <c r="D290" t="s">
        <v>40</v>
      </c>
      <c r="F290" cm="1">
        <f t="array" ref="F290:F295">TRANSPOSE('Utilization '!B238:G238)</f>
        <v>2</v>
      </c>
    </row>
    <row r="291" spans="1:6">
      <c r="A291" s="11">
        <v>44793</v>
      </c>
      <c r="B291" t="s">
        <v>432</v>
      </c>
      <c r="C291" t="s">
        <v>349</v>
      </c>
      <c r="D291" t="s">
        <v>36</v>
      </c>
      <c r="F291">
        <v>4</v>
      </c>
    </row>
    <row r="292" spans="1:6">
      <c r="A292" s="11">
        <v>44793</v>
      </c>
      <c r="B292" t="s">
        <v>432</v>
      </c>
      <c r="C292" t="s">
        <v>22</v>
      </c>
      <c r="D292" t="s">
        <v>23</v>
      </c>
      <c r="F292">
        <v>3</v>
      </c>
    </row>
    <row r="293" spans="1:6">
      <c r="A293" s="11">
        <v>44793</v>
      </c>
      <c r="B293" t="s">
        <v>432</v>
      </c>
      <c r="C293" t="s">
        <v>22</v>
      </c>
      <c r="D293" t="s">
        <v>76</v>
      </c>
      <c r="F293">
        <v>1</v>
      </c>
    </row>
    <row r="294" spans="1:6">
      <c r="A294" s="11">
        <v>44793</v>
      </c>
      <c r="B294" t="s">
        <v>432</v>
      </c>
      <c r="C294" t="s">
        <v>350</v>
      </c>
      <c r="D294" t="s">
        <v>78</v>
      </c>
      <c r="F294">
        <v>3</v>
      </c>
    </row>
    <row r="295" spans="1:6">
      <c r="A295" s="11">
        <v>44793</v>
      </c>
      <c r="B295" t="s">
        <v>432</v>
      </c>
      <c r="C295" t="s">
        <v>350</v>
      </c>
      <c r="D295" t="s">
        <v>354</v>
      </c>
      <c r="F295">
        <v>4</v>
      </c>
    </row>
    <row r="296" spans="1:6">
      <c r="A296" s="11">
        <v>44793</v>
      </c>
      <c r="B296" t="s">
        <v>432</v>
      </c>
      <c r="C296" t="s">
        <v>351</v>
      </c>
      <c r="D296" t="s">
        <v>46</v>
      </c>
      <c r="F296" cm="1">
        <f t="array" ref="F296:F297">TRANSPOSE('Utilization '!I238:J238)</f>
        <v>4</v>
      </c>
    </row>
    <row r="297" spans="1:6">
      <c r="A297" s="11">
        <v>44793</v>
      </c>
      <c r="B297" t="s">
        <v>432</v>
      </c>
      <c r="C297" t="s">
        <v>351</v>
      </c>
      <c r="D297" t="s">
        <v>62</v>
      </c>
      <c r="F297">
        <v>0</v>
      </c>
    </row>
    <row r="298" spans="1:6">
      <c r="A298" s="11">
        <v>44794</v>
      </c>
      <c r="B298" t="s">
        <v>432</v>
      </c>
      <c r="C298" t="s">
        <v>349</v>
      </c>
      <c r="D298" t="s">
        <v>40</v>
      </c>
      <c r="F298" cm="1">
        <f t="array" ref="F298:F303">TRANSPOSE('Utilization '!B239:G239)</f>
        <v>2</v>
      </c>
    </row>
    <row r="299" spans="1:6">
      <c r="A299" s="11">
        <v>44794</v>
      </c>
      <c r="B299" t="s">
        <v>432</v>
      </c>
      <c r="C299" t="s">
        <v>349</v>
      </c>
      <c r="D299" t="s">
        <v>36</v>
      </c>
      <c r="F299">
        <v>4</v>
      </c>
    </row>
    <row r="300" spans="1:6">
      <c r="A300" s="11">
        <v>44794</v>
      </c>
      <c r="B300" t="s">
        <v>432</v>
      </c>
      <c r="C300" t="s">
        <v>22</v>
      </c>
      <c r="D300" t="s">
        <v>23</v>
      </c>
      <c r="F300">
        <v>3</v>
      </c>
    </row>
    <row r="301" spans="1:6">
      <c r="A301" s="11">
        <v>44794</v>
      </c>
      <c r="B301" t="s">
        <v>432</v>
      </c>
      <c r="C301" t="s">
        <v>22</v>
      </c>
      <c r="D301" t="s">
        <v>76</v>
      </c>
      <c r="F301">
        <v>1</v>
      </c>
    </row>
    <row r="302" spans="1:6">
      <c r="A302" s="11">
        <v>44794</v>
      </c>
      <c r="B302" t="s">
        <v>432</v>
      </c>
      <c r="C302" t="s">
        <v>350</v>
      </c>
      <c r="D302" t="s">
        <v>78</v>
      </c>
      <c r="F302">
        <v>3</v>
      </c>
    </row>
    <row r="303" spans="1:6">
      <c r="A303" s="11">
        <v>44794</v>
      </c>
      <c r="B303" t="s">
        <v>432</v>
      </c>
      <c r="C303" t="s">
        <v>350</v>
      </c>
      <c r="D303" t="s">
        <v>354</v>
      </c>
      <c r="F303">
        <v>4</v>
      </c>
    </row>
    <row r="304" spans="1:6">
      <c r="A304" s="11">
        <v>44794</v>
      </c>
      <c r="B304" t="s">
        <v>432</v>
      </c>
      <c r="C304" t="s">
        <v>351</v>
      </c>
      <c r="D304" t="s">
        <v>46</v>
      </c>
      <c r="F304" cm="1">
        <f t="array" ref="F304:F305">TRANSPOSE('Utilization '!I239:J239)</f>
        <v>4</v>
      </c>
    </row>
    <row r="305" spans="1:6">
      <c r="A305" s="11">
        <v>44794</v>
      </c>
      <c r="B305" t="s">
        <v>432</v>
      </c>
      <c r="C305" t="s">
        <v>351</v>
      </c>
      <c r="D305" t="s">
        <v>62</v>
      </c>
      <c r="F305">
        <v>0</v>
      </c>
    </row>
    <row r="306" spans="1:6">
      <c r="A306" s="11">
        <v>44795</v>
      </c>
      <c r="B306" t="s">
        <v>432</v>
      </c>
      <c r="C306" t="s">
        <v>349</v>
      </c>
      <c r="D306" t="s">
        <v>40</v>
      </c>
      <c r="F306" cm="1">
        <f t="array" ref="F306:F311">TRANSPOSE('Utilization '!B240:G240)</f>
        <v>2</v>
      </c>
    </row>
    <row r="307" spans="1:6">
      <c r="A307" s="11">
        <v>44795</v>
      </c>
      <c r="B307" t="s">
        <v>432</v>
      </c>
      <c r="C307" t="s">
        <v>349</v>
      </c>
      <c r="D307" t="s">
        <v>36</v>
      </c>
      <c r="F307">
        <v>4</v>
      </c>
    </row>
    <row r="308" spans="1:6">
      <c r="A308" s="11">
        <v>44795</v>
      </c>
      <c r="B308" t="s">
        <v>432</v>
      </c>
      <c r="C308" t="s">
        <v>22</v>
      </c>
      <c r="D308" t="s">
        <v>23</v>
      </c>
      <c r="F308">
        <v>3</v>
      </c>
    </row>
    <row r="309" spans="1:6">
      <c r="A309" s="11">
        <v>44795</v>
      </c>
      <c r="B309" t="s">
        <v>432</v>
      </c>
      <c r="C309" t="s">
        <v>22</v>
      </c>
      <c r="D309" t="s">
        <v>76</v>
      </c>
      <c r="F309">
        <v>1</v>
      </c>
    </row>
    <row r="310" spans="1:6">
      <c r="A310" s="11">
        <v>44795</v>
      </c>
      <c r="B310" t="s">
        <v>432</v>
      </c>
      <c r="C310" t="s">
        <v>350</v>
      </c>
      <c r="D310" t="s">
        <v>78</v>
      </c>
      <c r="F310">
        <v>3</v>
      </c>
    </row>
    <row r="311" spans="1:6">
      <c r="A311" s="11">
        <v>44795</v>
      </c>
      <c r="B311" t="s">
        <v>432</v>
      </c>
      <c r="C311" t="s">
        <v>350</v>
      </c>
      <c r="D311" t="s">
        <v>354</v>
      </c>
      <c r="F311">
        <v>4</v>
      </c>
    </row>
    <row r="312" spans="1:6">
      <c r="A312" s="11">
        <v>44795</v>
      </c>
      <c r="B312" t="s">
        <v>432</v>
      </c>
      <c r="C312" t="s">
        <v>351</v>
      </c>
      <c r="D312" t="s">
        <v>46</v>
      </c>
      <c r="F312" cm="1">
        <f t="array" ref="F312:F313">TRANSPOSE('Utilization '!I240:J240)</f>
        <v>4</v>
      </c>
    </row>
    <row r="313" spans="1:6">
      <c r="A313" s="11">
        <v>44795</v>
      </c>
      <c r="B313" t="s">
        <v>432</v>
      </c>
      <c r="C313" t="s">
        <v>351</v>
      </c>
      <c r="D313" t="s">
        <v>62</v>
      </c>
      <c r="F313">
        <v>0</v>
      </c>
    </row>
    <row r="314" spans="1:6">
      <c r="A314" s="11">
        <v>44796</v>
      </c>
      <c r="B314" t="s">
        <v>432</v>
      </c>
      <c r="C314" t="s">
        <v>349</v>
      </c>
      <c r="D314" t="s">
        <v>40</v>
      </c>
      <c r="F314" cm="1">
        <f t="array" ref="F314:F319">TRANSPOSE('Utilization '!B241:G241)</f>
        <v>2</v>
      </c>
    </row>
    <row r="315" spans="1:6">
      <c r="A315" s="11">
        <v>44796</v>
      </c>
      <c r="B315" t="s">
        <v>432</v>
      </c>
      <c r="C315" t="s">
        <v>349</v>
      </c>
      <c r="D315" t="s">
        <v>36</v>
      </c>
      <c r="F315">
        <v>3</v>
      </c>
    </row>
    <row r="316" spans="1:6">
      <c r="A316" s="11">
        <v>44796</v>
      </c>
      <c r="B316" t="s">
        <v>432</v>
      </c>
      <c r="C316" t="s">
        <v>22</v>
      </c>
      <c r="D316" t="s">
        <v>23</v>
      </c>
      <c r="F316">
        <v>3</v>
      </c>
    </row>
    <row r="317" spans="1:6">
      <c r="A317" s="11">
        <v>44796</v>
      </c>
      <c r="B317" t="s">
        <v>432</v>
      </c>
      <c r="C317" t="s">
        <v>22</v>
      </c>
      <c r="D317" t="s">
        <v>76</v>
      </c>
      <c r="F317">
        <v>1</v>
      </c>
    </row>
    <row r="318" spans="1:6">
      <c r="A318" s="11">
        <v>44796</v>
      </c>
      <c r="B318" t="s">
        <v>432</v>
      </c>
      <c r="C318" t="s">
        <v>350</v>
      </c>
      <c r="D318" t="s">
        <v>78</v>
      </c>
      <c r="F318">
        <v>3</v>
      </c>
    </row>
    <row r="319" spans="1:6">
      <c r="A319" s="11">
        <v>44796</v>
      </c>
      <c r="B319" t="s">
        <v>432</v>
      </c>
      <c r="C319" t="s">
        <v>350</v>
      </c>
      <c r="D319" t="s">
        <v>354</v>
      </c>
      <c r="F319">
        <v>4</v>
      </c>
    </row>
    <row r="320" spans="1:6">
      <c r="A320" s="11">
        <v>44796</v>
      </c>
      <c r="B320" t="s">
        <v>432</v>
      </c>
      <c r="C320" t="s">
        <v>351</v>
      </c>
      <c r="D320" t="s">
        <v>46</v>
      </c>
      <c r="F320" cm="1">
        <f t="array" ref="F320:F321">TRANSPOSE('Utilization '!I241:J241)</f>
        <v>5</v>
      </c>
    </row>
    <row r="321" spans="1:6">
      <c r="A321" s="11">
        <v>44796</v>
      </c>
      <c r="B321" t="s">
        <v>432</v>
      </c>
      <c r="C321" t="s">
        <v>351</v>
      </c>
      <c r="D321" t="s">
        <v>62</v>
      </c>
      <c r="F321">
        <v>0</v>
      </c>
    </row>
    <row r="322" spans="1:6">
      <c r="A322" s="11">
        <v>44797</v>
      </c>
      <c r="B322" t="s">
        <v>432</v>
      </c>
      <c r="C322" t="s">
        <v>349</v>
      </c>
      <c r="D322" t="s">
        <v>40</v>
      </c>
      <c r="F322" cm="1">
        <f t="array" ref="F322:F327">TRANSPOSE('Utilization '!B242:G242)</f>
        <v>2</v>
      </c>
    </row>
    <row r="323" spans="1:6">
      <c r="A323" s="11">
        <v>44797</v>
      </c>
      <c r="B323" t="s">
        <v>432</v>
      </c>
      <c r="C323" t="s">
        <v>349</v>
      </c>
      <c r="D323" t="s">
        <v>36</v>
      </c>
      <c r="F323">
        <v>3</v>
      </c>
    </row>
    <row r="324" spans="1:6">
      <c r="A324" s="11">
        <v>44797</v>
      </c>
      <c r="B324" t="s">
        <v>432</v>
      </c>
      <c r="C324" t="s">
        <v>22</v>
      </c>
      <c r="D324" t="s">
        <v>23</v>
      </c>
      <c r="F324">
        <v>3</v>
      </c>
    </row>
    <row r="325" spans="1:6">
      <c r="A325" s="11">
        <v>44797</v>
      </c>
      <c r="B325" t="s">
        <v>432</v>
      </c>
      <c r="C325" t="s">
        <v>22</v>
      </c>
      <c r="D325" t="s">
        <v>76</v>
      </c>
      <c r="F325">
        <v>1</v>
      </c>
    </row>
    <row r="326" spans="1:6">
      <c r="A326" s="11">
        <v>44797</v>
      </c>
      <c r="B326" t="s">
        <v>432</v>
      </c>
      <c r="C326" t="s">
        <v>350</v>
      </c>
      <c r="D326" t="s">
        <v>78</v>
      </c>
      <c r="F326">
        <v>3</v>
      </c>
    </row>
    <row r="327" spans="1:6">
      <c r="A327" s="11">
        <v>44797</v>
      </c>
      <c r="B327" t="s">
        <v>432</v>
      </c>
      <c r="C327" t="s">
        <v>350</v>
      </c>
      <c r="D327" t="s">
        <v>354</v>
      </c>
      <c r="F327">
        <v>4</v>
      </c>
    </row>
    <row r="328" spans="1:6">
      <c r="A328" s="11">
        <v>44797</v>
      </c>
      <c r="B328" t="s">
        <v>432</v>
      </c>
      <c r="C328" t="s">
        <v>351</v>
      </c>
      <c r="D328" t="s">
        <v>46</v>
      </c>
      <c r="F328" cm="1">
        <f t="array" ref="F328:F329">TRANSPOSE('Utilization '!I242:J242)</f>
        <v>5</v>
      </c>
    </row>
    <row r="329" spans="1:6">
      <c r="A329" s="11">
        <v>44797</v>
      </c>
      <c r="B329" t="s">
        <v>432</v>
      </c>
      <c r="C329" t="s">
        <v>351</v>
      </c>
      <c r="D329" t="s">
        <v>62</v>
      </c>
      <c r="F329">
        <v>0</v>
      </c>
    </row>
    <row r="330" spans="1:6">
      <c r="A330" s="11">
        <v>44798</v>
      </c>
      <c r="B330" t="s">
        <v>432</v>
      </c>
      <c r="C330" t="s">
        <v>349</v>
      </c>
      <c r="D330" t="s">
        <v>40</v>
      </c>
      <c r="F330" cm="1">
        <f t="array" ref="F330:F335">TRANSPOSE('Utilization '!B243:G243)</f>
        <v>2</v>
      </c>
    </row>
    <row r="331" spans="1:6">
      <c r="A331" s="11">
        <v>44798</v>
      </c>
      <c r="B331" t="s">
        <v>432</v>
      </c>
      <c r="C331" t="s">
        <v>349</v>
      </c>
      <c r="D331" t="s">
        <v>36</v>
      </c>
      <c r="F331">
        <v>3</v>
      </c>
    </row>
    <row r="332" spans="1:6">
      <c r="A332" s="11">
        <v>44798</v>
      </c>
      <c r="B332" t="s">
        <v>432</v>
      </c>
      <c r="C332" t="s">
        <v>22</v>
      </c>
      <c r="D332" t="s">
        <v>23</v>
      </c>
      <c r="F332">
        <v>3</v>
      </c>
    </row>
    <row r="333" spans="1:6">
      <c r="A333" s="11">
        <v>44798</v>
      </c>
      <c r="B333" t="s">
        <v>432</v>
      </c>
      <c r="C333" t="s">
        <v>22</v>
      </c>
      <c r="D333" t="s">
        <v>76</v>
      </c>
      <c r="F333">
        <v>1</v>
      </c>
    </row>
    <row r="334" spans="1:6">
      <c r="A334" s="11">
        <v>44798</v>
      </c>
      <c r="B334" t="s">
        <v>432</v>
      </c>
      <c r="C334" t="s">
        <v>350</v>
      </c>
      <c r="D334" t="s">
        <v>78</v>
      </c>
      <c r="F334">
        <v>3</v>
      </c>
    </row>
    <row r="335" spans="1:6">
      <c r="A335" s="11">
        <v>44798</v>
      </c>
      <c r="B335" t="s">
        <v>432</v>
      </c>
      <c r="C335" t="s">
        <v>350</v>
      </c>
      <c r="D335" t="s">
        <v>354</v>
      </c>
      <c r="F335">
        <v>4</v>
      </c>
    </row>
    <row r="336" spans="1:6">
      <c r="A336" s="11">
        <v>44798</v>
      </c>
      <c r="B336" t="s">
        <v>432</v>
      </c>
      <c r="C336" t="s">
        <v>351</v>
      </c>
      <c r="D336" t="s">
        <v>46</v>
      </c>
      <c r="F336" cm="1">
        <f t="array" ref="F336:F337">TRANSPOSE('Utilization '!I243:J243)</f>
        <v>5</v>
      </c>
    </row>
    <row r="337" spans="1:6">
      <c r="A337" s="11">
        <v>44798</v>
      </c>
      <c r="B337" t="s">
        <v>432</v>
      </c>
      <c r="C337" t="s">
        <v>351</v>
      </c>
      <c r="D337" t="s">
        <v>62</v>
      </c>
      <c r="F337">
        <v>0</v>
      </c>
    </row>
    <row r="338" spans="1:6">
      <c r="A338" s="11">
        <v>44799</v>
      </c>
      <c r="B338" t="s">
        <v>432</v>
      </c>
      <c r="C338" t="s">
        <v>349</v>
      </c>
      <c r="D338" t="s">
        <v>40</v>
      </c>
      <c r="F338" cm="1">
        <f t="array" ref="F338:F343">TRANSPOSE('Utilization '!B244:G244)</f>
        <v>2</v>
      </c>
    </row>
    <row r="339" spans="1:6">
      <c r="A339" s="11">
        <v>44799</v>
      </c>
      <c r="B339" t="s">
        <v>432</v>
      </c>
      <c r="C339" t="s">
        <v>349</v>
      </c>
      <c r="D339" t="s">
        <v>36</v>
      </c>
      <c r="F339">
        <v>3</v>
      </c>
    </row>
    <row r="340" spans="1:6">
      <c r="A340" s="11">
        <v>44799</v>
      </c>
      <c r="B340" t="s">
        <v>432</v>
      </c>
      <c r="C340" t="s">
        <v>22</v>
      </c>
      <c r="D340" t="s">
        <v>23</v>
      </c>
      <c r="F340">
        <v>3</v>
      </c>
    </row>
    <row r="341" spans="1:6">
      <c r="A341" s="11">
        <v>44799</v>
      </c>
      <c r="B341" t="s">
        <v>432</v>
      </c>
      <c r="C341" t="s">
        <v>22</v>
      </c>
      <c r="D341" t="s">
        <v>76</v>
      </c>
      <c r="F341">
        <v>1</v>
      </c>
    </row>
    <row r="342" spans="1:6">
      <c r="A342" s="11">
        <v>44799</v>
      </c>
      <c r="B342" t="s">
        <v>432</v>
      </c>
      <c r="C342" t="s">
        <v>350</v>
      </c>
      <c r="D342" t="s">
        <v>78</v>
      </c>
      <c r="F342">
        <v>3</v>
      </c>
    </row>
    <row r="343" spans="1:6">
      <c r="A343" s="11">
        <v>44799</v>
      </c>
      <c r="B343" t="s">
        <v>432</v>
      </c>
      <c r="C343" t="s">
        <v>350</v>
      </c>
      <c r="D343" t="s">
        <v>354</v>
      </c>
      <c r="F343">
        <v>4</v>
      </c>
    </row>
    <row r="344" spans="1:6">
      <c r="A344" s="11">
        <v>44799</v>
      </c>
      <c r="B344" t="s">
        <v>432</v>
      </c>
      <c r="C344" t="s">
        <v>351</v>
      </c>
      <c r="D344" t="s">
        <v>46</v>
      </c>
      <c r="F344" cm="1">
        <f t="array" ref="F344:F345">TRANSPOSE('Utilization '!I244:J244)</f>
        <v>5</v>
      </c>
    </row>
    <row r="345" spans="1:6">
      <c r="A345" s="11">
        <v>44799</v>
      </c>
      <c r="B345" t="s">
        <v>432</v>
      </c>
      <c r="C345" t="s">
        <v>351</v>
      </c>
      <c r="D345" t="s">
        <v>62</v>
      </c>
      <c r="F345">
        <v>0</v>
      </c>
    </row>
    <row r="346" spans="1:6">
      <c r="A346" s="11">
        <v>44800</v>
      </c>
      <c r="B346" t="s">
        <v>432</v>
      </c>
      <c r="C346" t="s">
        <v>349</v>
      </c>
      <c r="D346" t="s">
        <v>40</v>
      </c>
      <c r="F346" cm="1">
        <f t="array" ref="F346:F351">TRANSPOSE('Utilization '!B245:G245)</f>
        <v>2</v>
      </c>
    </row>
    <row r="347" spans="1:6">
      <c r="A347" s="11">
        <v>44800</v>
      </c>
      <c r="B347" t="s">
        <v>432</v>
      </c>
      <c r="C347" t="s">
        <v>349</v>
      </c>
      <c r="D347" t="s">
        <v>36</v>
      </c>
      <c r="F347">
        <v>3</v>
      </c>
    </row>
    <row r="348" spans="1:6">
      <c r="A348" s="11">
        <v>44800</v>
      </c>
      <c r="B348" t="s">
        <v>432</v>
      </c>
      <c r="C348" t="s">
        <v>22</v>
      </c>
      <c r="D348" t="s">
        <v>23</v>
      </c>
      <c r="F348">
        <v>3</v>
      </c>
    </row>
    <row r="349" spans="1:6">
      <c r="A349" s="11">
        <v>44800</v>
      </c>
      <c r="B349" t="s">
        <v>432</v>
      </c>
      <c r="C349" t="s">
        <v>22</v>
      </c>
      <c r="D349" t="s">
        <v>76</v>
      </c>
      <c r="F349">
        <v>1</v>
      </c>
    </row>
    <row r="350" spans="1:6">
      <c r="A350" s="11">
        <v>44800</v>
      </c>
      <c r="B350" t="s">
        <v>432</v>
      </c>
      <c r="C350" t="s">
        <v>350</v>
      </c>
      <c r="D350" t="s">
        <v>78</v>
      </c>
      <c r="F350">
        <v>3</v>
      </c>
    </row>
    <row r="351" spans="1:6">
      <c r="A351" s="11">
        <v>44800</v>
      </c>
      <c r="B351" t="s">
        <v>432</v>
      </c>
      <c r="C351" t="s">
        <v>350</v>
      </c>
      <c r="D351" t="s">
        <v>354</v>
      </c>
      <c r="F351">
        <v>4</v>
      </c>
    </row>
    <row r="352" spans="1:6">
      <c r="A352" s="11">
        <v>44800</v>
      </c>
      <c r="B352" t="s">
        <v>432</v>
      </c>
      <c r="C352" t="s">
        <v>351</v>
      </c>
      <c r="D352" t="s">
        <v>46</v>
      </c>
      <c r="F352" cm="1">
        <f t="array" ref="F352:F353">TRANSPOSE('Utilization '!I245:J245)</f>
        <v>5</v>
      </c>
    </row>
    <row r="353" spans="1:6">
      <c r="A353" s="11">
        <v>44800</v>
      </c>
      <c r="B353" t="s">
        <v>432</v>
      </c>
      <c r="C353" t="s">
        <v>351</v>
      </c>
      <c r="D353" t="s">
        <v>62</v>
      </c>
      <c r="F353">
        <v>0</v>
      </c>
    </row>
    <row r="354" spans="1:6">
      <c r="A354" s="11">
        <v>44801</v>
      </c>
      <c r="B354" t="s">
        <v>432</v>
      </c>
      <c r="C354" t="s">
        <v>349</v>
      </c>
      <c r="D354" t="s">
        <v>40</v>
      </c>
      <c r="F354" cm="1">
        <f t="array" ref="F354:F359">TRANSPOSE('Utilization '!B246:G246)</f>
        <v>2</v>
      </c>
    </row>
    <row r="355" spans="1:6">
      <c r="A355" s="11">
        <v>44801</v>
      </c>
      <c r="B355" t="s">
        <v>432</v>
      </c>
      <c r="C355" t="s">
        <v>349</v>
      </c>
      <c r="D355" t="s">
        <v>36</v>
      </c>
      <c r="F355">
        <v>3</v>
      </c>
    </row>
    <row r="356" spans="1:6">
      <c r="A356" s="11">
        <v>44801</v>
      </c>
      <c r="B356" t="s">
        <v>432</v>
      </c>
      <c r="C356" t="s">
        <v>22</v>
      </c>
      <c r="D356" t="s">
        <v>23</v>
      </c>
      <c r="F356">
        <v>3</v>
      </c>
    </row>
    <row r="357" spans="1:6">
      <c r="A357" s="11">
        <v>44801</v>
      </c>
      <c r="B357" t="s">
        <v>432</v>
      </c>
      <c r="C357" t="s">
        <v>22</v>
      </c>
      <c r="D357" t="s">
        <v>76</v>
      </c>
      <c r="F357">
        <v>1</v>
      </c>
    </row>
    <row r="358" spans="1:6">
      <c r="A358" s="11">
        <v>44801</v>
      </c>
      <c r="B358" t="s">
        <v>432</v>
      </c>
      <c r="C358" t="s">
        <v>350</v>
      </c>
      <c r="D358" t="s">
        <v>78</v>
      </c>
      <c r="F358">
        <v>3</v>
      </c>
    </row>
    <row r="359" spans="1:6">
      <c r="A359" s="11">
        <v>44801</v>
      </c>
      <c r="B359" t="s">
        <v>432</v>
      </c>
      <c r="C359" t="s">
        <v>350</v>
      </c>
      <c r="D359" t="s">
        <v>354</v>
      </c>
      <c r="F359">
        <v>4</v>
      </c>
    </row>
    <row r="360" spans="1:6">
      <c r="A360" s="11">
        <v>44801</v>
      </c>
      <c r="B360" t="s">
        <v>432</v>
      </c>
      <c r="C360" t="s">
        <v>351</v>
      </c>
      <c r="D360" t="s">
        <v>46</v>
      </c>
      <c r="F360" cm="1">
        <f t="array" ref="F360:F361">TRANSPOSE('Utilization '!I246:J246)</f>
        <v>5</v>
      </c>
    </row>
    <row r="361" spans="1:6">
      <c r="A361" s="11">
        <v>44801</v>
      </c>
      <c r="B361" t="s">
        <v>432</v>
      </c>
      <c r="C361" t="s">
        <v>351</v>
      </c>
      <c r="D361" t="s">
        <v>62</v>
      </c>
      <c r="F361">
        <v>0</v>
      </c>
    </row>
    <row r="362" spans="1:6">
      <c r="A362" s="11">
        <v>44802</v>
      </c>
      <c r="B362" t="s">
        <v>432</v>
      </c>
      <c r="C362" t="s">
        <v>349</v>
      </c>
      <c r="D362" t="s">
        <v>40</v>
      </c>
      <c r="F362" cm="1">
        <f t="array" ref="F362:F367">TRANSPOSE('Utilization '!B247:G247)</f>
        <v>2</v>
      </c>
    </row>
    <row r="363" spans="1:6">
      <c r="A363" s="11">
        <v>44802</v>
      </c>
      <c r="B363" t="s">
        <v>432</v>
      </c>
      <c r="C363" t="s">
        <v>349</v>
      </c>
      <c r="D363" t="s">
        <v>36</v>
      </c>
      <c r="F363">
        <v>3</v>
      </c>
    </row>
    <row r="364" spans="1:6">
      <c r="A364" s="11">
        <v>44802</v>
      </c>
      <c r="B364" t="s">
        <v>432</v>
      </c>
      <c r="C364" t="s">
        <v>22</v>
      </c>
      <c r="D364" t="s">
        <v>23</v>
      </c>
      <c r="F364">
        <v>3</v>
      </c>
    </row>
    <row r="365" spans="1:6">
      <c r="A365" s="11">
        <v>44802</v>
      </c>
      <c r="B365" t="s">
        <v>432</v>
      </c>
      <c r="C365" t="s">
        <v>22</v>
      </c>
      <c r="D365" t="s">
        <v>76</v>
      </c>
      <c r="F365">
        <v>1</v>
      </c>
    </row>
    <row r="366" spans="1:6">
      <c r="A366" s="11">
        <v>44802</v>
      </c>
      <c r="B366" t="s">
        <v>432</v>
      </c>
      <c r="C366" t="s">
        <v>350</v>
      </c>
      <c r="D366" t="s">
        <v>78</v>
      </c>
      <c r="F366">
        <v>3</v>
      </c>
    </row>
    <row r="367" spans="1:6">
      <c r="A367" s="11">
        <v>44802</v>
      </c>
      <c r="B367" t="s">
        <v>432</v>
      </c>
      <c r="C367" t="s">
        <v>350</v>
      </c>
      <c r="D367" t="s">
        <v>354</v>
      </c>
      <c r="F367">
        <v>4</v>
      </c>
    </row>
    <row r="368" spans="1:6">
      <c r="A368" s="11">
        <v>44802</v>
      </c>
      <c r="B368" t="s">
        <v>432</v>
      </c>
      <c r="C368" t="s">
        <v>351</v>
      </c>
      <c r="D368" t="s">
        <v>46</v>
      </c>
      <c r="F368" cm="1">
        <f t="array" ref="F368:F369">TRANSPOSE('Utilization '!I247:J247)</f>
        <v>5</v>
      </c>
    </row>
    <row r="369" spans="1:6">
      <c r="A369" s="11">
        <v>44802</v>
      </c>
      <c r="B369" t="s">
        <v>432</v>
      </c>
      <c r="C369" t="s">
        <v>351</v>
      </c>
      <c r="D369" t="s">
        <v>62</v>
      </c>
      <c r="F369">
        <v>0</v>
      </c>
    </row>
    <row r="370" spans="1:6">
      <c r="A370" s="11">
        <v>44803</v>
      </c>
      <c r="B370" t="s">
        <v>432</v>
      </c>
      <c r="C370" t="s">
        <v>349</v>
      </c>
      <c r="D370" t="s">
        <v>40</v>
      </c>
      <c r="F370" cm="1">
        <f t="array" ref="F370:F375">TRANSPOSE('Utilization '!B248:G248)</f>
        <v>2</v>
      </c>
    </row>
    <row r="371" spans="1:6">
      <c r="A371" s="11">
        <v>44803</v>
      </c>
      <c r="B371" t="s">
        <v>432</v>
      </c>
      <c r="C371" t="s">
        <v>349</v>
      </c>
      <c r="D371" t="s">
        <v>36</v>
      </c>
      <c r="F371">
        <v>3</v>
      </c>
    </row>
    <row r="372" spans="1:6">
      <c r="A372" s="11">
        <v>44803</v>
      </c>
      <c r="B372" t="s">
        <v>432</v>
      </c>
      <c r="C372" t="s">
        <v>22</v>
      </c>
      <c r="D372" t="s">
        <v>23</v>
      </c>
      <c r="F372">
        <v>3</v>
      </c>
    </row>
    <row r="373" spans="1:6">
      <c r="A373" s="11">
        <v>44803</v>
      </c>
      <c r="B373" t="s">
        <v>432</v>
      </c>
      <c r="C373" t="s">
        <v>22</v>
      </c>
      <c r="D373" t="s">
        <v>76</v>
      </c>
      <c r="F373">
        <v>1</v>
      </c>
    </row>
    <row r="374" spans="1:6">
      <c r="A374" s="11">
        <v>44803</v>
      </c>
      <c r="B374" t="s">
        <v>432</v>
      </c>
      <c r="C374" t="s">
        <v>350</v>
      </c>
      <c r="D374" t="s">
        <v>78</v>
      </c>
      <c r="F374">
        <v>4</v>
      </c>
    </row>
    <row r="375" spans="1:6">
      <c r="A375" s="11">
        <v>44803</v>
      </c>
      <c r="B375" t="s">
        <v>432</v>
      </c>
      <c r="C375" t="s">
        <v>350</v>
      </c>
      <c r="D375" t="s">
        <v>354</v>
      </c>
      <c r="F375">
        <v>4</v>
      </c>
    </row>
    <row r="376" spans="1:6">
      <c r="A376" s="11">
        <v>44803</v>
      </c>
      <c r="B376" t="s">
        <v>432</v>
      </c>
      <c r="C376" t="s">
        <v>351</v>
      </c>
      <c r="D376" t="s">
        <v>46</v>
      </c>
      <c r="F376" cm="1">
        <f t="array" ref="F376:F377">TRANSPOSE('Utilization '!I248:J248)</f>
        <v>5</v>
      </c>
    </row>
    <row r="377" spans="1:6">
      <c r="A377" s="11">
        <v>44803</v>
      </c>
      <c r="B377" t="s">
        <v>432</v>
      </c>
      <c r="C377" t="s">
        <v>351</v>
      </c>
      <c r="D377" t="s">
        <v>62</v>
      </c>
      <c r="F377">
        <v>0</v>
      </c>
    </row>
    <row r="378" spans="1:6">
      <c r="A378" s="11">
        <v>44804</v>
      </c>
      <c r="B378" t="s">
        <v>432</v>
      </c>
      <c r="C378" t="s">
        <v>349</v>
      </c>
      <c r="D378" t="s">
        <v>40</v>
      </c>
      <c r="F378" cm="1">
        <f t="array" ref="F378:F383">TRANSPOSE('Utilization '!B249:G249)</f>
        <v>2</v>
      </c>
    </row>
    <row r="379" spans="1:6">
      <c r="A379" s="11">
        <v>44804</v>
      </c>
      <c r="B379" t="s">
        <v>432</v>
      </c>
      <c r="C379" t="s">
        <v>349</v>
      </c>
      <c r="D379" t="s">
        <v>36</v>
      </c>
      <c r="F379">
        <v>3</v>
      </c>
    </row>
    <row r="380" spans="1:6">
      <c r="A380" s="11">
        <v>44804</v>
      </c>
      <c r="B380" t="s">
        <v>432</v>
      </c>
      <c r="C380" t="s">
        <v>22</v>
      </c>
      <c r="D380" t="s">
        <v>23</v>
      </c>
      <c r="F380">
        <v>3</v>
      </c>
    </row>
    <row r="381" spans="1:6">
      <c r="A381" s="11">
        <v>44804</v>
      </c>
      <c r="B381" t="s">
        <v>432</v>
      </c>
      <c r="C381" t="s">
        <v>22</v>
      </c>
      <c r="D381" t="s">
        <v>76</v>
      </c>
      <c r="F381">
        <v>1</v>
      </c>
    </row>
    <row r="382" spans="1:6">
      <c r="A382" s="11">
        <v>44804</v>
      </c>
      <c r="B382" t="s">
        <v>432</v>
      </c>
      <c r="C382" t="s">
        <v>350</v>
      </c>
      <c r="D382" t="s">
        <v>78</v>
      </c>
      <c r="F382">
        <v>4</v>
      </c>
    </row>
    <row r="383" spans="1:6">
      <c r="A383" s="11">
        <v>44804</v>
      </c>
      <c r="B383" t="s">
        <v>432</v>
      </c>
      <c r="C383" t="s">
        <v>350</v>
      </c>
      <c r="D383" t="s">
        <v>354</v>
      </c>
      <c r="F383">
        <v>4</v>
      </c>
    </row>
    <row r="384" spans="1:6">
      <c r="A384" s="11">
        <v>44804</v>
      </c>
      <c r="B384" t="s">
        <v>432</v>
      </c>
      <c r="C384" t="s">
        <v>351</v>
      </c>
      <c r="D384" t="s">
        <v>46</v>
      </c>
      <c r="F384" cm="1">
        <f t="array" ref="F384:F385">TRANSPOSE('Utilization '!I249:J249)</f>
        <v>4</v>
      </c>
    </row>
    <row r="385" spans="1:6">
      <c r="A385" s="11">
        <v>44804</v>
      </c>
      <c r="B385" t="s">
        <v>432</v>
      </c>
      <c r="C385" t="s">
        <v>351</v>
      </c>
      <c r="D385" t="s">
        <v>62</v>
      </c>
      <c r="F385">
        <v>0</v>
      </c>
    </row>
    <row r="386" spans="1:6">
      <c r="A386" s="11">
        <v>44805</v>
      </c>
      <c r="B386" t="s">
        <v>432</v>
      </c>
      <c r="C386" t="s">
        <v>349</v>
      </c>
      <c r="D386" t="s">
        <v>40</v>
      </c>
      <c r="F386" cm="1">
        <f t="array" ref="F386:F391">TRANSPOSE('Utilization '!B250:G250)</f>
        <v>2</v>
      </c>
    </row>
    <row r="387" spans="1:6">
      <c r="A387" s="11">
        <v>44805</v>
      </c>
      <c r="B387" t="s">
        <v>432</v>
      </c>
      <c r="C387" t="s">
        <v>349</v>
      </c>
      <c r="D387" t="s">
        <v>36</v>
      </c>
      <c r="F387">
        <v>3</v>
      </c>
    </row>
    <row r="388" spans="1:6">
      <c r="A388" s="11">
        <v>44805</v>
      </c>
      <c r="B388" t="s">
        <v>432</v>
      </c>
      <c r="C388" t="s">
        <v>22</v>
      </c>
      <c r="D388" t="s">
        <v>23</v>
      </c>
      <c r="F388">
        <v>3</v>
      </c>
    </row>
    <row r="389" spans="1:6">
      <c r="A389" s="11">
        <v>44805</v>
      </c>
      <c r="B389" t="s">
        <v>432</v>
      </c>
      <c r="C389" t="s">
        <v>22</v>
      </c>
      <c r="D389" t="s">
        <v>76</v>
      </c>
      <c r="F389">
        <v>1</v>
      </c>
    </row>
    <row r="390" spans="1:6">
      <c r="A390" s="11">
        <v>44805</v>
      </c>
      <c r="B390" t="s">
        <v>432</v>
      </c>
      <c r="C390" t="s">
        <v>350</v>
      </c>
      <c r="D390" t="s">
        <v>78</v>
      </c>
      <c r="F390">
        <v>4</v>
      </c>
    </row>
    <row r="391" spans="1:6">
      <c r="A391" s="11">
        <v>44805</v>
      </c>
      <c r="B391" t="s">
        <v>432</v>
      </c>
      <c r="C391" t="s">
        <v>350</v>
      </c>
      <c r="D391" t="s">
        <v>354</v>
      </c>
      <c r="F391">
        <v>4</v>
      </c>
    </row>
    <row r="392" spans="1:6">
      <c r="A392" s="11">
        <v>44805</v>
      </c>
      <c r="B392" t="s">
        <v>432</v>
      </c>
      <c r="C392" t="s">
        <v>351</v>
      </c>
      <c r="D392" t="s">
        <v>46</v>
      </c>
      <c r="F392" cm="1">
        <f t="array" ref="F392:F393">TRANSPOSE('Utilization '!I250:J250)</f>
        <v>4</v>
      </c>
    </row>
    <row r="393" spans="1:6">
      <c r="A393" s="11">
        <v>44805</v>
      </c>
      <c r="B393" t="s">
        <v>432</v>
      </c>
      <c r="C393" t="s">
        <v>351</v>
      </c>
      <c r="D393" t="s">
        <v>62</v>
      </c>
      <c r="F393">
        <v>0</v>
      </c>
    </row>
    <row r="394" spans="1:6">
      <c r="A394" s="11">
        <v>44806</v>
      </c>
      <c r="B394" t="s">
        <v>432</v>
      </c>
      <c r="C394" t="s">
        <v>349</v>
      </c>
      <c r="D394" t="s">
        <v>40</v>
      </c>
      <c r="F394" cm="1">
        <f t="array" ref="F394:F399">TRANSPOSE('Utilization '!B251:G251)</f>
        <v>2</v>
      </c>
    </row>
    <row r="395" spans="1:6">
      <c r="A395" s="11">
        <v>44806</v>
      </c>
      <c r="B395" t="s">
        <v>432</v>
      </c>
      <c r="C395" t="s">
        <v>349</v>
      </c>
      <c r="D395" t="s">
        <v>36</v>
      </c>
      <c r="F395">
        <v>3</v>
      </c>
    </row>
    <row r="396" spans="1:6">
      <c r="A396" s="11">
        <v>44806</v>
      </c>
      <c r="B396" t="s">
        <v>432</v>
      </c>
      <c r="C396" t="s">
        <v>22</v>
      </c>
      <c r="D396" t="s">
        <v>23</v>
      </c>
      <c r="F396">
        <v>3</v>
      </c>
    </row>
    <row r="397" spans="1:6">
      <c r="A397" s="11">
        <v>44806</v>
      </c>
      <c r="B397" t="s">
        <v>432</v>
      </c>
      <c r="C397" t="s">
        <v>22</v>
      </c>
      <c r="D397" t="s">
        <v>76</v>
      </c>
      <c r="F397">
        <v>1</v>
      </c>
    </row>
    <row r="398" spans="1:6">
      <c r="A398" s="11">
        <v>44806</v>
      </c>
      <c r="B398" t="s">
        <v>432</v>
      </c>
      <c r="C398" t="s">
        <v>350</v>
      </c>
      <c r="D398" t="s">
        <v>78</v>
      </c>
      <c r="F398">
        <v>4</v>
      </c>
    </row>
    <row r="399" spans="1:6">
      <c r="A399" s="11">
        <v>44806</v>
      </c>
      <c r="B399" t="s">
        <v>432</v>
      </c>
      <c r="C399" t="s">
        <v>350</v>
      </c>
      <c r="D399" t="s">
        <v>354</v>
      </c>
      <c r="F399">
        <v>4</v>
      </c>
    </row>
    <row r="400" spans="1:6">
      <c r="A400" s="11">
        <v>44806</v>
      </c>
      <c r="B400" t="s">
        <v>432</v>
      </c>
      <c r="C400" t="s">
        <v>351</v>
      </c>
      <c r="D400" t="s">
        <v>46</v>
      </c>
      <c r="F400" cm="1">
        <f t="array" ref="F400:F401">TRANSPOSE('Utilization '!I251:J251)</f>
        <v>4</v>
      </c>
    </row>
    <row r="401" spans="1:6">
      <c r="A401" s="11">
        <v>44806</v>
      </c>
      <c r="B401" t="s">
        <v>432</v>
      </c>
      <c r="C401" t="s">
        <v>351</v>
      </c>
      <c r="D401" t="s">
        <v>62</v>
      </c>
      <c r="F401">
        <v>0</v>
      </c>
    </row>
    <row r="402" spans="1:6">
      <c r="A402" s="11">
        <v>44807</v>
      </c>
      <c r="B402" t="s">
        <v>432</v>
      </c>
      <c r="C402" t="s">
        <v>349</v>
      </c>
      <c r="D402" t="s">
        <v>40</v>
      </c>
      <c r="F402" cm="1">
        <f t="array" ref="F402:F407">TRANSPOSE('Utilization '!B252:G252)</f>
        <v>2</v>
      </c>
    </row>
    <row r="403" spans="1:6">
      <c r="A403" s="11">
        <v>44807</v>
      </c>
      <c r="B403" t="s">
        <v>432</v>
      </c>
      <c r="C403" t="s">
        <v>349</v>
      </c>
      <c r="D403" t="s">
        <v>36</v>
      </c>
      <c r="F403">
        <v>3</v>
      </c>
    </row>
    <row r="404" spans="1:6">
      <c r="A404" s="11">
        <v>44807</v>
      </c>
      <c r="B404" t="s">
        <v>432</v>
      </c>
      <c r="C404" t="s">
        <v>22</v>
      </c>
      <c r="D404" t="s">
        <v>23</v>
      </c>
      <c r="F404">
        <v>3</v>
      </c>
    </row>
    <row r="405" spans="1:6">
      <c r="A405" s="11">
        <v>44807</v>
      </c>
      <c r="B405" t="s">
        <v>432</v>
      </c>
      <c r="C405" t="s">
        <v>22</v>
      </c>
      <c r="D405" t="s">
        <v>76</v>
      </c>
      <c r="F405">
        <v>1</v>
      </c>
    </row>
    <row r="406" spans="1:6">
      <c r="A406" s="11">
        <v>44807</v>
      </c>
      <c r="B406" t="s">
        <v>432</v>
      </c>
      <c r="C406" t="s">
        <v>350</v>
      </c>
      <c r="D406" t="s">
        <v>78</v>
      </c>
      <c r="F406">
        <v>4</v>
      </c>
    </row>
    <row r="407" spans="1:6">
      <c r="A407" s="11">
        <v>44807</v>
      </c>
      <c r="B407" t="s">
        <v>432</v>
      </c>
      <c r="C407" t="s">
        <v>350</v>
      </c>
      <c r="D407" t="s">
        <v>354</v>
      </c>
      <c r="F407">
        <v>4</v>
      </c>
    </row>
    <row r="408" spans="1:6">
      <c r="A408" s="11">
        <v>44807</v>
      </c>
      <c r="B408" t="s">
        <v>432</v>
      </c>
      <c r="C408" t="s">
        <v>351</v>
      </c>
      <c r="D408" t="s">
        <v>46</v>
      </c>
      <c r="F408" cm="1">
        <f t="array" ref="F408:F409">TRANSPOSE('Utilization '!I252:J252)</f>
        <v>4</v>
      </c>
    </row>
    <row r="409" spans="1:6">
      <c r="A409" s="11">
        <v>44807</v>
      </c>
      <c r="B409" t="s">
        <v>432</v>
      </c>
      <c r="C409" t="s">
        <v>351</v>
      </c>
      <c r="D409" t="s">
        <v>62</v>
      </c>
      <c r="F409">
        <v>0</v>
      </c>
    </row>
    <row r="410" spans="1:6">
      <c r="A410" s="11">
        <v>44808</v>
      </c>
      <c r="B410" t="s">
        <v>432</v>
      </c>
      <c r="C410" t="s">
        <v>349</v>
      </c>
      <c r="D410" t="s">
        <v>40</v>
      </c>
      <c r="F410" cm="1">
        <f t="array" ref="F410:F415">TRANSPOSE('Utilization '!B253:G253)</f>
        <v>2</v>
      </c>
    </row>
    <row r="411" spans="1:6">
      <c r="A411" s="11">
        <v>44808</v>
      </c>
      <c r="B411" t="s">
        <v>432</v>
      </c>
      <c r="C411" t="s">
        <v>349</v>
      </c>
      <c r="D411" t="s">
        <v>36</v>
      </c>
      <c r="F411">
        <v>3</v>
      </c>
    </row>
    <row r="412" spans="1:6">
      <c r="A412" s="11">
        <v>44808</v>
      </c>
      <c r="B412" t="s">
        <v>432</v>
      </c>
      <c r="C412" t="s">
        <v>22</v>
      </c>
      <c r="D412" t="s">
        <v>23</v>
      </c>
      <c r="F412">
        <v>3</v>
      </c>
    </row>
    <row r="413" spans="1:6">
      <c r="A413" s="11">
        <v>44808</v>
      </c>
      <c r="B413" t="s">
        <v>432</v>
      </c>
      <c r="C413" t="s">
        <v>22</v>
      </c>
      <c r="D413" t="s">
        <v>76</v>
      </c>
      <c r="F413">
        <v>1</v>
      </c>
    </row>
    <row r="414" spans="1:6">
      <c r="A414" s="11">
        <v>44808</v>
      </c>
      <c r="B414" t="s">
        <v>432</v>
      </c>
      <c r="C414" t="s">
        <v>350</v>
      </c>
      <c r="D414" t="s">
        <v>78</v>
      </c>
      <c r="F414">
        <v>4</v>
      </c>
    </row>
    <row r="415" spans="1:6">
      <c r="A415" s="11">
        <v>44808</v>
      </c>
      <c r="B415" t="s">
        <v>432</v>
      </c>
      <c r="C415" t="s">
        <v>350</v>
      </c>
      <c r="D415" t="s">
        <v>354</v>
      </c>
      <c r="F415">
        <v>4</v>
      </c>
    </row>
    <row r="416" spans="1:6">
      <c r="A416" s="11">
        <v>44808</v>
      </c>
      <c r="B416" t="s">
        <v>432</v>
      </c>
      <c r="C416" t="s">
        <v>351</v>
      </c>
      <c r="D416" t="s">
        <v>46</v>
      </c>
      <c r="F416" cm="1">
        <f t="array" ref="F416:F417">TRANSPOSE('Utilization '!I253:J253)</f>
        <v>4</v>
      </c>
    </row>
    <row r="417" spans="1:6">
      <c r="A417" s="11">
        <v>44808</v>
      </c>
      <c r="B417" t="s">
        <v>432</v>
      </c>
      <c r="C417" t="s">
        <v>351</v>
      </c>
      <c r="D417" t="s">
        <v>62</v>
      </c>
      <c r="F417">
        <v>0</v>
      </c>
    </row>
    <row r="418" spans="1:6">
      <c r="A418" s="11">
        <v>44809</v>
      </c>
      <c r="B418" t="s">
        <v>432</v>
      </c>
      <c r="C418" t="s">
        <v>349</v>
      </c>
      <c r="D418" t="s">
        <v>40</v>
      </c>
      <c r="F418" cm="1">
        <f t="array" ref="F418:F423">TRANSPOSE('Utilization '!B254:G254)</f>
        <v>2</v>
      </c>
    </row>
    <row r="419" spans="1:6">
      <c r="A419" s="11">
        <v>44809</v>
      </c>
      <c r="B419" t="s">
        <v>432</v>
      </c>
      <c r="C419" t="s">
        <v>349</v>
      </c>
      <c r="D419" t="s">
        <v>36</v>
      </c>
      <c r="F419">
        <v>3</v>
      </c>
    </row>
    <row r="420" spans="1:6">
      <c r="A420" s="11">
        <v>44809</v>
      </c>
      <c r="B420" t="s">
        <v>432</v>
      </c>
      <c r="C420" t="s">
        <v>22</v>
      </c>
      <c r="D420" t="s">
        <v>23</v>
      </c>
      <c r="F420">
        <v>3</v>
      </c>
    </row>
    <row r="421" spans="1:6">
      <c r="A421" s="11">
        <v>44809</v>
      </c>
      <c r="B421" t="s">
        <v>432</v>
      </c>
      <c r="C421" t="s">
        <v>22</v>
      </c>
      <c r="D421" t="s">
        <v>76</v>
      </c>
      <c r="F421">
        <v>1</v>
      </c>
    </row>
    <row r="422" spans="1:6">
      <c r="A422" s="11">
        <v>44809</v>
      </c>
      <c r="B422" t="s">
        <v>432</v>
      </c>
      <c r="C422" t="s">
        <v>350</v>
      </c>
      <c r="D422" t="s">
        <v>78</v>
      </c>
      <c r="F422">
        <v>4</v>
      </c>
    </row>
    <row r="423" spans="1:6">
      <c r="A423" s="11">
        <v>44809</v>
      </c>
      <c r="B423" t="s">
        <v>432</v>
      </c>
      <c r="C423" t="s">
        <v>350</v>
      </c>
      <c r="D423" t="s">
        <v>354</v>
      </c>
      <c r="F423">
        <v>4</v>
      </c>
    </row>
    <row r="424" spans="1:6">
      <c r="A424" s="11">
        <v>44809</v>
      </c>
      <c r="B424" t="s">
        <v>432</v>
      </c>
      <c r="C424" t="s">
        <v>351</v>
      </c>
      <c r="D424" t="s">
        <v>46</v>
      </c>
      <c r="F424" cm="1">
        <f t="array" ref="F424:F425">TRANSPOSE('Utilization '!I254:J254)</f>
        <v>5</v>
      </c>
    </row>
    <row r="425" spans="1:6">
      <c r="A425" s="11">
        <v>44809</v>
      </c>
      <c r="B425" t="s">
        <v>432</v>
      </c>
      <c r="C425" t="s">
        <v>351</v>
      </c>
      <c r="D425" t="s">
        <v>62</v>
      </c>
      <c r="F425">
        <v>0</v>
      </c>
    </row>
    <row r="426" spans="1:6">
      <c r="A426" s="11">
        <v>44810</v>
      </c>
      <c r="B426" t="s">
        <v>432</v>
      </c>
      <c r="C426" t="s">
        <v>349</v>
      </c>
      <c r="D426" t="s">
        <v>40</v>
      </c>
      <c r="F426" cm="1">
        <f t="array" ref="F426:F431">TRANSPOSE('Utilization '!B255:G255)</f>
        <v>2</v>
      </c>
    </row>
    <row r="427" spans="1:6">
      <c r="A427" s="11">
        <v>44810</v>
      </c>
      <c r="B427" t="s">
        <v>432</v>
      </c>
      <c r="C427" t="s">
        <v>349</v>
      </c>
      <c r="D427" t="s">
        <v>36</v>
      </c>
      <c r="F427">
        <v>3</v>
      </c>
    </row>
    <row r="428" spans="1:6">
      <c r="A428" s="11">
        <v>44810</v>
      </c>
      <c r="B428" t="s">
        <v>432</v>
      </c>
      <c r="C428" t="s">
        <v>22</v>
      </c>
      <c r="D428" t="s">
        <v>23</v>
      </c>
      <c r="F428">
        <v>3</v>
      </c>
    </row>
    <row r="429" spans="1:6">
      <c r="A429" s="11">
        <v>44810</v>
      </c>
      <c r="B429" t="s">
        <v>432</v>
      </c>
      <c r="C429" t="s">
        <v>22</v>
      </c>
      <c r="D429" t="s">
        <v>76</v>
      </c>
      <c r="F429">
        <v>1</v>
      </c>
    </row>
    <row r="430" spans="1:6">
      <c r="A430" s="11">
        <v>44810</v>
      </c>
      <c r="B430" t="s">
        <v>432</v>
      </c>
      <c r="C430" t="s">
        <v>350</v>
      </c>
      <c r="D430" t="s">
        <v>78</v>
      </c>
      <c r="F430">
        <v>4</v>
      </c>
    </row>
    <row r="431" spans="1:6">
      <c r="A431" s="11">
        <v>44810</v>
      </c>
      <c r="B431" t="s">
        <v>432</v>
      </c>
      <c r="C431" t="s">
        <v>350</v>
      </c>
      <c r="D431" t="s">
        <v>354</v>
      </c>
      <c r="F431">
        <v>4</v>
      </c>
    </row>
    <row r="432" spans="1:6">
      <c r="A432" s="11">
        <v>44810</v>
      </c>
      <c r="B432" t="s">
        <v>432</v>
      </c>
      <c r="C432" t="s">
        <v>351</v>
      </c>
      <c r="D432" t="s">
        <v>46</v>
      </c>
      <c r="F432" cm="1">
        <f t="array" ref="F432:F433">TRANSPOSE('Utilization '!I255:J255)</f>
        <v>5</v>
      </c>
    </row>
    <row r="433" spans="1:6">
      <c r="A433" s="11">
        <v>44810</v>
      </c>
      <c r="B433" t="s">
        <v>432</v>
      </c>
      <c r="C433" t="s">
        <v>351</v>
      </c>
      <c r="D433" t="s">
        <v>62</v>
      </c>
      <c r="F433">
        <v>0</v>
      </c>
    </row>
    <row r="434" spans="1:6">
      <c r="A434" s="11">
        <v>44811</v>
      </c>
      <c r="B434" t="s">
        <v>432</v>
      </c>
      <c r="C434" t="s">
        <v>349</v>
      </c>
      <c r="D434" t="s">
        <v>40</v>
      </c>
      <c r="F434" cm="1">
        <f t="array" ref="F434:F439">TRANSPOSE('Utilization '!B256:G256)</f>
        <v>2</v>
      </c>
    </row>
    <row r="435" spans="1:6">
      <c r="A435" s="11">
        <v>44811</v>
      </c>
      <c r="B435" t="s">
        <v>432</v>
      </c>
      <c r="C435" t="s">
        <v>349</v>
      </c>
      <c r="D435" t="s">
        <v>36</v>
      </c>
      <c r="F435">
        <v>3</v>
      </c>
    </row>
    <row r="436" spans="1:6">
      <c r="A436" s="11">
        <v>44811</v>
      </c>
      <c r="B436" t="s">
        <v>432</v>
      </c>
      <c r="C436" t="s">
        <v>22</v>
      </c>
      <c r="D436" t="s">
        <v>23</v>
      </c>
      <c r="F436">
        <v>3</v>
      </c>
    </row>
    <row r="437" spans="1:6">
      <c r="A437" s="11">
        <v>44811</v>
      </c>
      <c r="B437" t="s">
        <v>432</v>
      </c>
      <c r="C437" t="s">
        <v>22</v>
      </c>
      <c r="D437" t="s">
        <v>76</v>
      </c>
      <c r="F437">
        <v>1</v>
      </c>
    </row>
    <row r="438" spans="1:6">
      <c r="A438" s="11">
        <v>44811</v>
      </c>
      <c r="B438" t="s">
        <v>432</v>
      </c>
      <c r="C438" t="s">
        <v>350</v>
      </c>
      <c r="D438" t="s">
        <v>78</v>
      </c>
      <c r="F438">
        <v>4</v>
      </c>
    </row>
    <row r="439" spans="1:6">
      <c r="A439" s="11">
        <v>44811</v>
      </c>
      <c r="B439" t="s">
        <v>432</v>
      </c>
      <c r="C439" t="s">
        <v>350</v>
      </c>
      <c r="D439" t="s">
        <v>354</v>
      </c>
      <c r="F439">
        <v>4</v>
      </c>
    </row>
    <row r="440" spans="1:6">
      <c r="A440" s="11">
        <v>44811</v>
      </c>
      <c r="B440" t="s">
        <v>432</v>
      </c>
      <c r="C440" t="s">
        <v>351</v>
      </c>
      <c r="D440" t="s">
        <v>46</v>
      </c>
      <c r="F440" cm="1">
        <f t="array" ref="F440:F441">TRANSPOSE('Utilization '!I256:J256)</f>
        <v>5</v>
      </c>
    </row>
    <row r="441" spans="1:6">
      <c r="A441" s="11">
        <v>44811</v>
      </c>
      <c r="B441" t="s">
        <v>432</v>
      </c>
      <c r="C441" t="s">
        <v>351</v>
      </c>
      <c r="D441" t="s">
        <v>62</v>
      </c>
      <c r="F441">
        <v>0</v>
      </c>
    </row>
    <row r="442" spans="1:6">
      <c r="A442" s="11">
        <v>44812</v>
      </c>
      <c r="B442" t="s">
        <v>432</v>
      </c>
      <c r="C442" t="s">
        <v>349</v>
      </c>
      <c r="D442" t="s">
        <v>40</v>
      </c>
      <c r="F442" cm="1">
        <f t="array" ref="F442:F447">TRANSPOSE('Utilization '!B257:G257)</f>
        <v>2</v>
      </c>
    </row>
    <row r="443" spans="1:6">
      <c r="A443" s="11">
        <v>44812</v>
      </c>
      <c r="B443" t="s">
        <v>432</v>
      </c>
      <c r="C443" t="s">
        <v>349</v>
      </c>
      <c r="D443" t="s">
        <v>36</v>
      </c>
      <c r="F443">
        <v>3</v>
      </c>
    </row>
    <row r="444" spans="1:6">
      <c r="A444" s="11">
        <v>44812</v>
      </c>
      <c r="B444" t="s">
        <v>432</v>
      </c>
      <c r="C444" t="s">
        <v>22</v>
      </c>
      <c r="D444" t="s">
        <v>23</v>
      </c>
      <c r="F444">
        <v>3</v>
      </c>
    </row>
    <row r="445" spans="1:6">
      <c r="A445" s="11">
        <v>44812</v>
      </c>
      <c r="B445" t="s">
        <v>432</v>
      </c>
      <c r="C445" t="s">
        <v>22</v>
      </c>
      <c r="D445" t="s">
        <v>76</v>
      </c>
      <c r="F445">
        <v>1</v>
      </c>
    </row>
    <row r="446" spans="1:6">
      <c r="A446" s="11">
        <v>44812</v>
      </c>
      <c r="B446" t="s">
        <v>432</v>
      </c>
      <c r="C446" t="s">
        <v>350</v>
      </c>
      <c r="D446" t="s">
        <v>78</v>
      </c>
      <c r="F446">
        <v>4</v>
      </c>
    </row>
    <row r="447" spans="1:6">
      <c r="A447" s="11">
        <v>44812</v>
      </c>
      <c r="B447" t="s">
        <v>432</v>
      </c>
      <c r="C447" t="s">
        <v>350</v>
      </c>
      <c r="D447" t="s">
        <v>354</v>
      </c>
      <c r="F447">
        <v>4</v>
      </c>
    </row>
    <row r="448" spans="1:6">
      <c r="A448" s="11">
        <v>44812</v>
      </c>
      <c r="B448" t="s">
        <v>432</v>
      </c>
      <c r="C448" t="s">
        <v>351</v>
      </c>
      <c r="D448" t="s">
        <v>46</v>
      </c>
      <c r="F448" cm="1">
        <f t="array" ref="F448:F449">TRANSPOSE('Utilization '!I257:J257)</f>
        <v>5</v>
      </c>
    </row>
    <row r="449" spans="1:6">
      <c r="A449" s="11">
        <v>44812</v>
      </c>
      <c r="B449" t="s">
        <v>432</v>
      </c>
      <c r="C449" t="s">
        <v>351</v>
      </c>
      <c r="D449" t="s">
        <v>62</v>
      </c>
      <c r="F449">
        <v>0</v>
      </c>
    </row>
    <row r="450" spans="1:6">
      <c r="A450" s="11">
        <v>44813</v>
      </c>
      <c r="B450" t="s">
        <v>432</v>
      </c>
      <c r="C450" t="s">
        <v>349</v>
      </c>
      <c r="D450" t="s">
        <v>40</v>
      </c>
      <c r="F450" cm="1">
        <f t="array" ref="F450:F455">TRANSPOSE('Utilization '!B258:G258)</f>
        <v>2</v>
      </c>
    </row>
    <row r="451" spans="1:6">
      <c r="A451" s="11">
        <v>44813</v>
      </c>
      <c r="B451" t="s">
        <v>432</v>
      </c>
      <c r="C451" t="s">
        <v>349</v>
      </c>
      <c r="D451" t="s">
        <v>36</v>
      </c>
      <c r="F451">
        <v>3</v>
      </c>
    </row>
    <row r="452" spans="1:6">
      <c r="A452" s="11">
        <v>44813</v>
      </c>
      <c r="B452" t="s">
        <v>432</v>
      </c>
      <c r="C452" t="s">
        <v>22</v>
      </c>
      <c r="D452" t="s">
        <v>23</v>
      </c>
      <c r="F452">
        <v>3</v>
      </c>
    </row>
    <row r="453" spans="1:6">
      <c r="A453" s="11">
        <v>44813</v>
      </c>
      <c r="B453" t="s">
        <v>432</v>
      </c>
      <c r="C453" t="s">
        <v>22</v>
      </c>
      <c r="D453" t="s">
        <v>76</v>
      </c>
      <c r="F453">
        <v>1</v>
      </c>
    </row>
    <row r="454" spans="1:6">
      <c r="A454" s="11">
        <v>44813</v>
      </c>
      <c r="B454" t="s">
        <v>432</v>
      </c>
      <c r="C454" t="s">
        <v>350</v>
      </c>
      <c r="D454" t="s">
        <v>78</v>
      </c>
      <c r="F454">
        <v>4</v>
      </c>
    </row>
    <row r="455" spans="1:6">
      <c r="A455" s="11">
        <v>44813</v>
      </c>
      <c r="B455" t="s">
        <v>432</v>
      </c>
      <c r="C455" t="s">
        <v>350</v>
      </c>
      <c r="D455" t="s">
        <v>354</v>
      </c>
      <c r="F455">
        <v>4</v>
      </c>
    </row>
    <row r="456" spans="1:6">
      <c r="A456" s="11">
        <v>44813</v>
      </c>
      <c r="B456" t="s">
        <v>432</v>
      </c>
      <c r="C456" t="s">
        <v>351</v>
      </c>
      <c r="D456" t="s">
        <v>46</v>
      </c>
      <c r="F456" cm="1">
        <f t="array" ref="F456:F457">TRANSPOSE('Utilization '!I258:J258)</f>
        <v>5</v>
      </c>
    </row>
    <row r="457" spans="1:6">
      <c r="A457" s="11">
        <v>44813</v>
      </c>
      <c r="B457" t="s">
        <v>432</v>
      </c>
      <c r="C457" t="s">
        <v>351</v>
      </c>
      <c r="D457" t="s">
        <v>62</v>
      </c>
      <c r="F457">
        <v>0</v>
      </c>
    </row>
    <row r="458" spans="1:6">
      <c r="A458" s="11">
        <v>44814</v>
      </c>
      <c r="B458" t="s">
        <v>432</v>
      </c>
      <c r="C458" t="s">
        <v>349</v>
      </c>
      <c r="D458" t="s">
        <v>40</v>
      </c>
      <c r="F458" cm="1">
        <f t="array" ref="F458:F463">TRANSPOSE('Utilization '!B259:G259)</f>
        <v>2</v>
      </c>
    </row>
    <row r="459" spans="1:6">
      <c r="A459" s="11">
        <v>44814</v>
      </c>
      <c r="B459" t="s">
        <v>432</v>
      </c>
      <c r="C459" t="s">
        <v>349</v>
      </c>
      <c r="D459" t="s">
        <v>36</v>
      </c>
      <c r="F459">
        <v>3</v>
      </c>
    </row>
    <row r="460" spans="1:6">
      <c r="A460" s="11">
        <v>44814</v>
      </c>
      <c r="B460" t="s">
        <v>432</v>
      </c>
      <c r="C460" t="s">
        <v>22</v>
      </c>
      <c r="D460" t="s">
        <v>23</v>
      </c>
      <c r="F460">
        <v>3</v>
      </c>
    </row>
    <row r="461" spans="1:6">
      <c r="A461" s="11">
        <v>44814</v>
      </c>
      <c r="B461" t="s">
        <v>432</v>
      </c>
      <c r="C461" t="s">
        <v>22</v>
      </c>
      <c r="D461" t="s">
        <v>76</v>
      </c>
      <c r="F461">
        <v>1</v>
      </c>
    </row>
    <row r="462" spans="1:6">
      <c r="A462" s="11">
        <v>44814</v>
      </c>
      <c r="B462" t="s">
        <v>432</v>
      </c>
      <c r="C462" t="s">
        <v>350</v>
      </c>
      <c r="D462" t="s">
        <v>78</v>
      </c>
      <c r="F462">
        <v>4</v>
      </c>
    </row>
    <row r="463" spans="1:6">
      <c r="A463" s="11">
        <v>44814</v>
      </c>
      <c r="B463" t="s">
        <v>432</v>
      </c>
      <c r="C463" t="s">
        <v>350</v>
      </c>
      <c r="D463" t="s">
        <v>354</v>
      </c>
      <c r="F463">
        <v>4</v>
      </c>
    </row>
    <row r="464" spans="1:6">
      <c r="A464" s="11">
        <v>44814</v>
      </c>
      <c r="B464" t="s">
        <v>432</v>
      </c>
      <c r="C464" t="s">
        <v>351</v>
      </c>
      <c r="D464" t="s">
        <v>46</v>
      </c>
      <c r="F464" cm="1">
        <f t="array" ref="F464:F465">TRANSPOSE('Utilization '!I259:J259)</f>
        <v>5</v>
      </c>
    </row>
    <row r="465" spans="1:6">
      <c r="A465" s="11">
        <v>44814</v>
      </c>
      <c r="B465" t="s">
        <v>432</v>
      </c>
      <c r="C465" t="s">
        <v>351</v>
      </c>
      <c r="D465" t="s">
        <v>62</v>
      </c>
      <c r="F465">
        <v>0</v>
      </c>
    </row>
    <row r="466" spans="1:6">
      <c r="A466" s="11">
        <v>44815</v>
      </c>
      <c r="B466" t="s">
        <v>432</v>
      </c>
      <c r="C466" t="s">
        <v>349</v>
      </c>
      <c r="D466" t="s">
        <v>40</v>
      </c>
      <c r="F466" cm="1">
        <f t="array" ref="F466:F471">TRANSPOSE('Utilization '!B260:G260)</f>
        <v>2</v>
      </c>
    </row>
    <row r="467" spans="1:6">
      <c r="A467" s="11">
        <v>44815</v>
      </c>
      <c r="B467" t="s">
        <v>432</v>
      </c>
      <c r="C467" t="s">
        <v>349</v>
      </c>
      <c r="D467" t="s">
        <v>36</v>
      </c>
      <c r="F467">
        <v>3</v>
      </c>
    </row>
    <row r="468" spans="1:6">
      <c r="A468" s="11">
        <v>44815</v>
      </c>
      <c r="B468" t="s">
        <v>432</v>
      </c>
      <c r="C468" t="s">
        <v>22</v>
      </c>
      <c r="D468" t="s">
        <v>23</v>
      </c>
      <c r="F468">
        <v>3</v>
      </c>
    </row>
    <row r="469" spans="1:6">
      <c r="A469" s="11">
        <v>44815</v>
      </c>
      <c r="B469" t="s">
        <v>432</v>
      </c>
      <c r="C469" t="s">
        <v>22</v>
      </c>
      <c r="D469" t="s">
        <v>76</v>
      </c>
      <c r="F469">
        <v>1</v>
      </c>
    </row>
    <row r="470" spans="1:6">
      <c r="A470" s="11">
        <v>44815</v>
      </c>
      <c r="B470" t="s">
        <v>432</v>
      </c>
      <c r="C470" t="s">
        <v>350</v>
      </c>
      <c r="D470" t="s">
        <v>78</v>
      </c>
      <c r="F470">
        <v>4</v>
      </c>
    </row>
    <row r="471" spans="1:6">
      <c r="A471" s="11">
        <v>44815</v>
      </c>
      <c r="B471" t="s">
        <v>432</v>
      </c>
      <c r="C471" t="s">
        <v>350</v>
      </c>
      <c r="D471" t="s">
        <v>354</v>
      </c>
      <c r="F471">
        <v>4</v>
      </c>
    </row>
    <row r="472" spans="1:6">
      <c r="A472" s="11">
        <v>44815</v>
      </c>
      <c r="B472" t="s">
        <v>432</v>
      </c>
      <c r="C472" t="s">
        <v>351</v>
      </c>
      <c r="D472" t="s">
        <v>46</v>
      </c>
      <c r="F472" cm="1">
        <f t="array" ref="F472:F473">TRANSPOSE('Utilization '!I260:J260)</f>
        <v>5</v>
      </c>
    </row>
    <row r="473" spans="1:6">
      <c r="A473" s="11">
        <v>44815</v>
      </c>
      <c r="B473" t="s">
        <v>432</v>
      </c>
      <c r="C473" t="s">
        <v>351</v>
      </c>
      <c r="D473" t="s">
        <v>62</v>
      </c>
      <c r="F473">
        <v>0</v>
      </c>
    </row>
    <row r="474" spans="1:6">
      <c r="A474" s="11">
        <v>44816</v>
      </c>
      <c r="B474" t="s">
        <v>432</v>
      </c>
      <c r="C474" t="s">
        <v>349</v>
      </c>
      <c r="D474" t="s">
        <v>40</v>
      </c>
      <c r="F474" cm="1">
        <f t="array" ref="F474:F479">TRANSPOSE('Utilization '!B261:G261)</f>
        <v>2</v>
      </c>
    </row>
    <row r="475" spans="1:6">
      <c r="A475" s="11">
        <v>44816</v>
      </c>
      <c r="B475" t="s">
        <v>432</v>
      </c>
      <c r="C475" t="s">
        <v>349</v>
      </c>
      <c r="D475" t="s">
        <v>36</v>
      </c>
      <c r="F475">
        <v>3</v>
      </c>
    </row>
    <row r="476" spans="1:6">
      <c r="A476" s="11">
        <v>44816</v>
      </c>
      <c r="B476" t="s">
        <v>432</v>
      </c>
      <c r="C476" t="s">
        <v>22</v>
      </c>
      <c r="D476" t="s">
        <v>23</v>
      </c>
      <c r="F476">
        <v>3</v>
      </c>
    </row>
    <row r="477" spans="1:6">
      <c r="A477" s="11">
        <v>44816</v>
      </c>
      <c r="B477" t="s">
        <v>432</v>
      </c>
      <c r="C477" t="s">
        <v>22</v>
      </c>
      <c r="D477" t="s">
        <v>76</v>
      </c>
      <c r="F477">
        <v>1</v>
      </c>
    </row>
    <row r="478" spans="1:6">
      <c r="A478" s="11">
        <v>44816</v>
      </c>
      <c r="B478" t="s">
        <v>432</v>
      </c>
      <c r="C478" t="s">
        <v>350</v>
      </c>
      <c r="D478" t="s">
        <v>78</v>
      </c>
      <c r="F478">
        <v>4</v>
      </c>
    </row>
    <row r="479" spans="1:6">
      <c r="A479" s="11">
        <v>44816</v>
      </c>
      <c r="B479" t="s">
        <v>432</v>
      </c>
      <c r="C479" t="s">
        <v>350</v>
      </c>
      <c r="D479" t="s">
        <v>354</v>
      </c>
      <c r="F479">
        <v>4</v>
      </c>
    </row>
    <row r="480" spans="1:6">
      <c r="A480" s="11">
        <v>44816</v>
      </c>
      <c r="B480" t="s">
        <v>432</v>
      </c>
      <c r="C480" t="s">
        <v>351</v>
      </c>
      <c r="D480" t="s">
        <v>46</v>
      </c>
      <c r="F480" cm="1">
        <f t="array" ref="F480:F481">TRANSPOSE('Utilization '!I261:J261)</f>
        <v>5</v>
      </c>
    </row>
    <row r="481" spans="1:6">
      <c r="A481" s="11">
        <v>44816</v>
      </c>
      <c r="B481" t="s">
        <v>432</v>
      </c>
      <c r="C481" t="s">
        <v>351</v>
      </c>
      <c r="D481" t="s">
        <v>62</v>
      </c>
      <c r="F481">
        <v>0</v>
      </c>
    </row>
    <row r="482" spans="1:6">
      <c r="A482" s="11">
        <v>44817</v>
      </c>
      <c r="B482" t="s">
        <v>432</v>
      </c>
      <c r="C482" t="s">
        <v>349</v>
      </c>
      <c r="D482" t="s">
        <v>40</v>
      </c>
      <c r="F482" cm="1">
        <f t="array" ref="F482:F487">TRANSPOSE('Utilization '!B262:G262)</f>
        <v>0</v>
      </c>
    </row>
    <row r="483" spans="1:6">
      <c r="A483" s="11">
        <v>44817</v>
      </c>
      <c r="B483" t="s">
        <v>432</v>
      </c>
      <c r="C483" t="s">
        <v>349</v>
      </c>
      <c r="D483" t="s">
        <v>36</v>
      </c>
      <c r="F483">
        <v>0</v>
      </c>
    </row>
    <row r="484" spans="1:6">
      <c r="A484" s="11">
        <v>44817</v>
      </c>
      <c r="B484" t="s">
        <v>432</v>
      </c>
      <c r="C484" t="s">
        <v>22</v>
      </c>
      <c r="D484" t="s">
        <v>23</v>
      </c>
      <c r="F484">
        <v>0</v>
      </c>
    </row>
    <row r="485" spans="1:6">
      <c r="A485" s="11">
        <v>44817</v>
      </c>
      <c r="B485" t="s">
        <v>432</v>
      </c>
      <c r="C485" t="s">
        <v>22</v>
      </c>
      <c r="D485" t="s">
        <v>76</v>
      </c>
      <c r="F485">
        <v>0</v>
      </c>
    </row>
    <row r="486" spans="1:6">
      <c r="A486" s="11">
        <v>44817</v>
      </c>
      <c r="B486" t="s">
        <v>432</v>
      </c>
      <c r="C486" t="s">
        <v>350</v>
      </c>
      <c r="D486" t="s">
        <v>78</v>
      </c>
      <c r="F486">
        <v>0</v>
      </c>
    </row>
    <row r="487" spans="1:6">
      <c r="A487" s="11">
        <v>44817</v>
      </c>
      <c r="B487" t="s">
        <v>432</v>
      </c>
      <c r="C487" t="s">
        <v>350</v>
      </c>
      <c r="D487" t="s">
        <v>354</v>
      </c>
      <c r="F487">
        <v>0</v>
      </c>
    </row>
    <row r="488" spans="1:6">
      <c r="A488" s="11">
        <v>44817</v>
      </c>
      <c r="B488" t="s">
        <v>432</v>
      </c>
      <c r="C488" t="s">
        <v>351</v>
      </c>
      <c r="D488" t="s">
        <v>46</v>
      </c>
      <c r="F488" cm="1">
        <f t="array" ref="F488:F489">TRANSPOSE('Utilization '!I262:J262)</f>
        <v>0</v>
      </c>
    </row>
    <row r="489" spans="1:6">
      <c r="A489" s="11">
        <v>44817</v>
      </c>
      <c r="B489" t="s">
        <v>432</v>
      </c>
      <c r="C489" t="s">
        <v>351</v>
      </c>
      <c r="D489" t="s">
        <v>62</v>
      </c>
      <c r="F489">
        <v>0</v>
      </c>
    </row>
    <row r="490" spans="1:6">
      <c r="A490" s="11">
        <v>44818</v>
      </c>
      <c r="B490" t="s">
        <v>432</v>
      </c>
      <c r="C490" t="s">
        <v>349</v>
      </c>
      <c r="D490" t="s">
        <v>40</v>
      </c>
      <c r="F490" cm="1">
        <f t="array" ref="F490:F495">TRANSPOSE('Utilization '!B263:G263)</f>
        <v>0</v>
      </c>
    </row>
    <row r="491" spans="1:6">
      <c r="A491" s="11">
        <v>44818</v>
      </c>
      <c r="B491" t="s">
        <v>432</v>
      </c>
      <c r="C491" t="s">
        <v>349</v>
      </c>
      <c r="D491" t="s">
        <v>36</v>
      </c>
      <c r="F491">
        <v>0</v>
      </c>
    </row>
    <row r="492" spans="1:6">
      <c r="A492" s="11">
        <v>44818</v>
      </c>
      <c r="B492" t="s">
        <v>432</v>
      </c>
      <c r="C492" t="s">
        <v>22</v>
      </c>
      <c r="D492" t="s">
        <v>23</v>
      </c>
      <c r="F492">
        <v>0</v>
      </c>
    </row>
    <row r="493" spans="1:6">
      <c r="A493" s="11">
        <v>44818</v>
      </c>
      <c r="B493" t="s">
        <v>432</v>
      </c>
      <c r="C493" t="s">
        <v>22</v>
      </c>
      <c r="D493" t="s">
        <v>76</v>
      </c>
      <c r="F493">
        <v>0</v>
      </c>
    </row>
    <row r="494" spans="1:6">
      <c r="A494" s="11">
        <v>44818</v>
      </c>
      <c r="B494" t="s">
        <v>432</v>
      </c>
      <c r="C494" t="s">
        <v>350</v>
      </c>
      <c r="D494" t="s">
        <v>78</v>
      </c>
      <c r="F494">
        <v>0</v>
      </c>
    </row>
    <row r="495" spans="1:6">
      <c r="A495" s="11">
        <v>44818</v>
      </c>
      <c r="B495" t="s">
        <v>432</v>
      </c>
      <c r="C495" t="s">
        <v>350</v>
      </c>
      <c r="D495" t="s">
        <v>354</v>
      </c>
      <c r="F495">
        <v>0</v>
      </c>
    </row>
    <row r="496" spans="1:6">
      <c r="A496" s="11">
        <v>44818</v>
      </c>
      <c r="B496" t="s">
        <v>432</v>
      </c>
      <c r="C496" t="s">
        <v>351</v>
      </c>
      <c r="D496" t="s">
        <v>46</v>
      </c>
      <c r="F496" cm="1">
        <f t="array" ref="F496:F497">TRANSPOSE('Utilization '!I263:J263)</f>
        <v>0</v>
      </c>
    </row>
    <row r="497" spans="1:6">
      <c r="A497" s="11">
        <v>44818</v>
      </c>
      <c r="B497" t="s">
        <v>432</v>
      </c>
      <c r="C497" t="s">
        <v>351</v>
      </c>
      <c r="D497" t="s">
        <v>62</v>
      </c>
      <c r="F497">
        <v>0</v>
      </c>
    </row>
    <row r="498" spans="1:6">
      <c r="A498" s="11">
        <v>44819</v>
      </c>
      <c r="B498" t="s">
        <v>432</v>
      </c>
      <c r="C498" t="s">
        <v>349</v>
      </c>
      <c r="D498" t="s">
        <v>40</v>
      </c>
      <c r="F498" cm="1">
        <f t="array" ref="F498:F503">TRANSPOSE('Utilization '!B264:G264)</f>
        <v>0</v>
      </c>
    </row>
    <row r="499" spans="1:6">
      <c r="A499" s="11">
        <v>44819</v>
      </c>
      <c r="B499" t="s">
        <v>432</v>
      </c>
      <c r="C499" t="s">
        <v>349</v>
      </c>
      <c r="D499" t="s">
        <v>36</v>
      </c>
      <c r="F499">
        <v>0</v>
      </c>
    </row>
    <row r="500" spans="1:6">
      <c r="A500" s="11">
        <v>44819</v>
      </c>
      <c r="B500" t="s">
        <v>432</v>
      </c>
      <c r="C500" t="s">
        <v>22</v>
      </c>
      <c r="D500" t="s">
        <v>23</v>
      </c>
      <c r="F500">
        <v>0</v>
      </c>
    </row>
    <row r="501" spans="1:6">
      <c r="A501" s="11">
        <v>44819</v>
      </c>
      <c r="B501" t="s">
        <v>432</v>
      </c>
      <c r="C501" t="s">
        <v>22</v>
      </c>
      <c r="D501" t="s">
        <v>76</v>
      </c>
      <c r="F501">
        <v>0</v>
      </c>
    </row>
    <row r="502" spans="1:6">
      <c r="A502" s="11">
        <v>44819</v>
      </c>
      <c r="B502" t="s">
        <v>432</v>
      </c>
      <c r="C502" t="s">
        <v>350</v>
      </c>
      <c r="D502" t="s">
        <v>78</v>
      </c>
      <c r="F502">
        <v>0</v>
      </c>
    </row>
    <row r="503" spans="1:6">
      <c r="A503" s="11">
        <v>44819</v>
      </c>
      <c r="B503" t="s">
        <v>432</v>
      </c>
      <c r="C503" t="s">
        <v>350</v>
      </c>
      <c r="D503" t="s">
        <v>354</v>
      </c>
      <c r="F503">
        <v>0</v>
      </c>
    </row>
    <row r="504" spans="1:6">
      <c r="A504" s="11">
        <v>44819</v>
      </c>
      <c r="B504" t="s">
        <v>432</v>
      </c>
      <c r="C504" t="s">
        <v>351</v>
      </c>
      <c r="D504" t="s">
        <v>46</v>
      </c>
      <c r="F504" cm="1">
        <f t="array" ref="F504:F505">TRANSPOSE('Utilization '!I264:J264)</f>
        <v>0</v>
      </c>
    </row>
    <row r="505" spans="1:6">
      <c r="A505" s="11">
        <v>44819</v>
      </c>
      <c r="B505" t="s">
        <v>432</v>
      </c>
      <c r="C505" t="s">
        <v>351</v>
      </c>
      <c r="D505" t="s">
        <v>62</v>
      </c>
      <c r="F505">
        <v>0</v>
      </c>
    </row>
    <row r="506" spans="1:6">
      <c r="A506" s="11">
        <v>44820</v>
      </c>
      <c r="B506" t="s">
        <v>432</v>
      </c>
      <c r="C506" t="s">
        <v>349</v>
      </c>
      <c r="D506" t="s">
        <v>40</v>
      </c>
      <c r="F506" cm="1">
        <f t="array" ref="F506:F511">TRANSPOSE('Utilization '!B265:G265)</f>
        <v>0</v>
      </c>
    </row>
    <row r="507" spans="1:6">
      <c r="A507" s="11">
        <v>44820</v>
      </c>
      <c r="B507" t="s">
        <v>432</v>
      </c>
      <c r="C507" t="s">
        <v>349</v>
      </c>
      <c r="D507" t="s">
        <v>36</v>
      </c>
      <c r="F507">
        <v>0</v>
      </c>
    </row>
    <row r="508" spans="1:6">
      <c r="A508" s="11">
        <v>44820</v>
      </c>
      <c r="B508" t="s">
        <v>432</v>
      </c>
      <c r="C508" t="s">
        <v>22</v>
      </c>
      <c r="D508" t="s">
        <v>23</v>
      </c>
      <c r="F508">
        <v>0</v>
      </c>
    </row>
    <row r="509" spans="1:6">
      <c r="A509" s="11">
        <v>44820</v>
      </c>
      <c r="B509" t="s">
        <v>432</v>
      </c>
      <c r="C509" t="s">
        <v>22</v>
      </c>
      <c r="D509" t="s">
        <v>76</v>
      </c>
      <c r="F509">
        <v>0</v>
      </c>
    </row>
    <row r="510" spans="1:6">
      <c r="A510" s="11">
        <v>44820</v>
      </c>
      <c r="B510" t="s">
        <v>432</v>
      </c>
      <c r="C510" t="s">
        <v>350</v>
      </c>
      <c r="D510" t="s">
        <v>78</v>
      </c>
      <c r="F510">
        <v>0</v>
      </c>
    </row>
    <row r="511" spans="1:6">
      <c r="A511" s="11">
        <v>44820</v>
      </c>
      <c r="B511" t="s">
        <v>432</v>
      </c>
      <c r="C511" t="s">
        <v>350</v>
      </c>
      <c r="D511" t="s">
        <v>354</v>
      </c>
      <c r="F511">
        <v>0</v>
      </c>
    </row>
    <row r="512" spans="1:6">
      <c r="A512" s="11">
        <v>44820</v>
      </c>
      <c r="B512" t="s">
        <v>432</v>
      </c>
      <c r="C512" t="s">
        <v>351</v>
      </c>
      <c r="D512" t="s">
        <v>46</v>
      </c>
      <c r="F512" cm="1">
        <f t="array" ref="F512:F513">TRANSPOSE('Utilization '!I265:J265)</f>
        <v>0</v>
      </c>
    </row>
    <row r="513" spans="1:6">
      <c r="A513" s="11">
        <v>44820</v>
      </c>
      <c r="B513" t="s">
        <v>432</v>
      </c>
      <c r="C513" t="s">
        <v>351</v>
      </c>
      <c r="D513" t="s">
        <v>62</v>
      </c>
      <c r="F513">
        <v>0</v>
      </c>
    </row>
    <row r="514" spans="1:6">
      <c r="A514" s="11">
        <v>44821</v>
      </c>
      <c r="B514" t="s">
        <v>432</v>
      </c>
      <c r="C514" t="s">
        <v>349</v>
      </c>
      <c r="D514" t="s">
        <v>40</v>
      </c>
      <c r="F514" cm="1">
        <f t="array" ref="F514:F519">TRANSPOSE('Utilization '!B266:G266)</f>
        <v>0</v>
      </c>
    </row>
    <row r="515" spans="1:6">
      <c r="A515" s="11">
        <v>44821</v>
      </c>
      <c r="B515" t="s">
        <v>432</v>
      </c>
      <c r="C515" t="s">
        <v>349</v>
      </c>
      <c r="D515" t="s">
        <v>36</v>
      </c>
      <c r="F515">
        <v>0</v>
      </c>
    </row>
    <row r="516" spans="1:6">
      <c r="A516" s="11">
        <v>44821</v>
      </c>
      <c r="B516" t="s">
        <v>432</v>
      </c>
      <c r="C516" t="s">
        <v>22</v>
      </c>
      <c r="D516" t="s">
        <v>23</v>
      </c>
      <c r="F516">
        <v>0</v>
      </c>
    </row>
    <row r="517" spans="1:6">
      <c r="A517" s="11">
        <v>44821</v>
      </c>
      <c r="B517" t="s">
        <v>432</v>
      </c>
      <c r="C517" t="s">
        <v>22</v>
      </c>
      <c r="D517" t="s">
        <v>76</v>
      </c>
      <c r="F517">
        <v>0</v>
      </c>
    </row>
    <row r="518" spans="1:6">
      <c r="A518" s="11">
        <v>44821</v>
      </c>
      <c r="B518" t="s">
        <v>432</v>
      </c>
      <c r="C518" t="s">
        <v>350</v>
      </c>
      <c r="D518" t="s">
        <v>78</v>
      </c>
      <c r="F518">
        <v>0</v>
      </c>
    </row>
    <row r="519" spans="1:6">
      <c r="A519" s="11">
        <v>44821</v>
      </c>
      <c r="B519" t="s">
        <v>432</v>
      </c>
      <c r="C519" t="s">
        <v>350</v>
      </c>
      <c r="D519" t="s">
        <v>354</v>
      </c>
      <c r="F519">
        <v>0</v>
      </c>
    </row>
    <row r="520" spans="1:6">
      <c r="A520" s="11">
        <v>44821</v>
      </c>
      <c r="B520" t="s">
        <v>432</v>
      </c>
      <c r="C520" t="s">
        <v>351</v>
      </c>
      <c r="D520" t="s">
        <v>46</v>
      </c>
      <c r="F520" cm="1">
        <f t="array" ref="F520:F521">TRANSPOSE('Utilization '!I266:J266)</f>
        <v>0</v>
      </c>
    </row>
    <row r="521" spans="1:6">
      <c r="A521" s="11">
        <v>44821</v>
      </c>
      <c r="B521" t="s">
        <v>432</v>
      </c>
      <c r="C521" t="s">
        <v>351</v>
      </c>
      <c r="D521" t="s">
        <v>62</v>
      </c>
      <c r="F521">
        <v>0</v>
      </c>
    </row>
    <row r="522" spans="1:6">
      <c r="A522" s="11">
        <v>44822</v>
      </c>
      <c r="B522" t="s">
        <v>432</v>
      </c>
      <c r="C522" t="s">
        <v>349</v>
      </c>
      <c r="D522" t="s">
        <v>40</v>
      </c>
      <c r="F522" cm="1">
        <f t="array" ref="F522:F527">TRANSPOSE('Utilization '!B267:G267)</f>
        <v>0</v>
      </c>
    </row>
    <row r="523" spans="1:6">
      <c r="A523" s="11">
        <v>44822</v>
      </c>
      <c r="B523" t="s">
        <v>432</v>
      </c>
      <c r="C523" t="s">
        <v>349</v>
      </c>
      <c r="D523" t="s">
        <v>36</v>
      </c>
      <c r="F523">
        <v>0</v>
      </c>
    </row>
    <row r="524" spans="1:6">
      <c r="A524" s="11">
        <v>44822</v>
      </c>
      <c r="B524" t="s">
        <v>432</v>
      </c>
      <c r="C524" t="s">
        <v>22</v>
      </c>
      <c r="D524" t="s">
        <v>23</v>
      </c>
      <c r="F524">
        <v>0</v>
      </c>
    </row>
    <row r="525" spans="1:6">
      <c r="A525" s="11">
        <v>44822</v>
      </c>
      <c r="B525" t="s">
        <v>432</v>
      </c>
      <c r="C525" t="s">
        <v>22</v>
      </c>
      <c r="D525" t="s">
        <v>76</v>
      </c>
      <c r="F525">
        <v>0</v>
      </c>
    </row>
    <row r="526" spans="1:6">
      <c r="A526" s="11">
        <v>44822</v>
      </c>
      <c r="B526" t="s">
        <v>432</v>
      </c>
      <c r="C526" t="s">
        <v>350</v>
      </c>
      <c r="D526" t="s">
        <v>78</v>
      </c>
      <c r="F526">
        <v>0</v>
      </c>
    </row>
    <row r="527" spans="1:6">
      <c r="A527" s="11">
        <v>44822</v>
      </c>
      <c r="B527" t="s">
        <v>432</v>
      </c>
      <c r="C527" t="s">
        <v>350</v>
      </c>
      <c r="D527" t="s">
        <v>354</v>
      </c>
      <c r="F527">
        <v>0</v>
      </c>
    </row>
    <row r="528" spans="1:6">
      <c r="A528" s="11">
        <v>44822</v>
      </c>
      <c r="B528" t="s">
        <v>432</v>
      </c>
      <c r="C528" t="s">
        <v>351</v>
      </c>
      <c r="D528" t="s">
        <v>46</v>
      </c>
      <c r="F528" cm="1">
        <f t="array" ref="F528:F529">TRANSPOSE('Utilization '!I267:J267)</f>
        <v>0</v>
      </c>
    </row>
    <row r="529" spans="1:6">
      <c r="A529" s="11">
        <v>44822</v>
      </c>
      <c r="B529" t="s">
        <v>432</v>
      </c>
      <c r="C529" t="s">
        <v>351</v>
      </c>
      <c r="D529" t="s">
        <v>62</v>
      </c>
      <c r="F529">
        <v>0</v>
      </c>
    </row>
    <row r="530" spans="1:6">
      <c r="A530" s="11">
        <v>44823</v>
      </c>
      <c r="B530" t="s">
        <v>432</v>
      </c>
      <c r="C530" t="s">
        <v>349</v>
      </c>
      <c r="D530" t="s">
        <v>40</v>
      </c>
      <c r="F530" cm="1">
        <f t="array" ref="F530:F535">TRANSPOSE('Utilization '!B268:G268)</f>
        <v>0</v>
      </c>
    </row>
    <row r="531" spans="1:6">
      <c r="A531" s="11">
        <v>44823</v>
      </c>
      <c r="B531" t="s">
        <v>432</v>
      </c>
      <c r="C531" t="s">
        <v>349</v>
      </c>
      <c r="D531" t="s">
        <v>36</v>
      </c>
      <c r="F531">
        <v>0</v>
      </c>
    </row>
    <row r="532" spans="1:6">
      <c r="A532" s="11">
        <v>44823</v>
      </c>
      <c r="B532" t="s">
        <v>432</v>
      </c>
      <c r="C532" t="s">
        <v>22</v>
      </c>
      <c r="D532" t="s">
        <v>23</v>
      </c>
      <c r="F532">
        <v>0</v>
      </c>
    </row>
    <row r="533" spans="1:6">
      <c r="A533" s="11">
        <v>44823</v>
      </c>
      <c r="B533" t="s">
        <v>432</v>
      </c>
      <c r="C533" t="s">
        <v>22</v>
      </c>
      <c r="D533" t="s">
        <v>76</v>
      </c>
      <c r="F533">
        <v>0</v>
      </c>
    </row>
    <row r="534" spans="1:6">
      <c r="A534" s="11">
        <v>44823</v>
      </c>
      <c r="B534" t="s">
        <v>432</v>
      </c>
      <c r="C534" t="s">
        <v>350</v>
      </c>
      <c r="D534" t="s">
        <v>78</v>
      </c>
      <c r="F534">
        <v>0</v>
      </c>
    </row>
    <row r="535" spans="1:6">
      <c r="A535" s="11">
        <v>44823</v>
      </c>
      <c r="B535" t="s">
        <v>432</v>
      </c>
      <c r="C535" t="s">
        <v>350</v>
      </c>
      <c r="D535" t="s">
        <v>354</v>
      </c>
      <c r="F535">
        <v>0</v>
      </c>
    </row>
    <row r="536" spans="1:6">
      <c r="A536" s="11">
        <v>44823</v>
      </c>
      <c r="B536" t="s">
        <v>432</v>
      </c>
      <c r="C536" t="s">
        <v>351</v>
      </c>
      <c r="D536" t="s">
        <v>46</v>
      </c>
      <c r="F536" cm="1">
        <f t="array" ref="F536:F537">TRANSPOSE('Utilization '!I268:J268)</f>
        <v>0</v>
      </c>
    </row>
    <row r="537" spans="1:6">
      <c r="A537" s="11">
        <v>44823</v>
      </c>
      <c r="B537" t="s">
        <v>432</v>
      </c>
      <c r="C537" t="s">
        <v>351</v>
      </c>
      <c r="D537" t="s">
        <v>62</v>
      </c>
      <c r="F537">
        <v>0</v>
      </c>
    </row>
    <row r="538" spans="1:6">
      <c r="A538" s="11">
        <v>44824</v>
      </c>
      <c r="B538" t="s">
        <v>432</v>
      </c>
      <c r="C538" t="s">
        <v>349</v>
      </c>
      <c r="D538" t="s">
        <v>40</v>
      </c>
      <c r="F538" cm="1">
        <f t="array" ref="F538:F543">TRANSPOSE('Utilization '!B269:G269)</f>
        <v>0</v>
      </c>
    </row>
    <row r="539" spans="1:6">
      <c r="A539" s="11">
        <v>44824</v>
      </c>
      <c r="B539" t="s">
        <v>432</v>
      </c>
      <c r="C539" t="s">
        <v>349</v>
      </c>
      <c r="D539" t="s">
        <v>36</v>
      </c>
      <c r="F539">
        <v>0</v>
      </c>
    </row>
    <row r="540" spans="1:6">
      <c r="A540" s="11">
        <v>44824</v>
      </c>
      <c r="B540" t="s">
        <v>432</v>
      </c>
      <c r="C540" t="s">
        <v>22</v>
      </c>
      <c r="D540" t="s">
        <v>23</v>
      </c>
      <c r="F540">
        <v>0</v>
      </c>
    </row>
    <row r="541" spans="1:6">
      <c r="A541" s="11">
        <v>44824</v>
      </c>
      <c r="B541" t="s">
        <v>432</v>
      </c>
      <c r="C541" t="s">
        <v>22</v>
      </c>
      <c r="D541" t="s">
        <v>76</v>
      </c>
      <c r="F541">
        <v>0</v>
      </c>
    </row>
    <row r="542" spans="1:6">
      <c r="A542" s="11">
        <v>44824</v>
      </c>
      <c r="B542" t="s">
        <v>432</v>
      </c>
      <c r="C542" t="s">
        <v>350</v>
      </c>
      <c r="D542" t="s">
        <v>78</v>
      </c>
      <c r="F542">
        <v>0</v>
      </c>
    </row>
    <row r="543" spans="1:6">
      <c r="A543" s="11">
        <v>44824</v>
      </c>
      <c r="B543" t="s">
        <v>432</v>
      </c>
      <c r="C543" t="s">
        <v>350</v>
      </c>
      <c r="D543" t="s">
        <v>354</v>
      </c>
      <c r="F543">
        <v>0</v>
      </c>
    </row>
    <row r="544" spans="1:6">
      <c r="A544" s="11">
        <v>44824</v>
      </c>
      <c r="B544" t="s">
        <v>432</v>
      </c>
      <c r="C544" t="s">
        <v>351</v>
      </c>
      <c r="D544" t="s">
        <v>46</v>
      </c>
      <c r="F544" cm="1">
        <f t="array" ref="F544:F545">TRANSPOSE('Utilization '!I269:J269)</f>
        <v>0</v>
      </c>
    </row>
    <row r="545" spans="1:6">
      <c r="A545" s="11">
        <v>44824</v>
      </c>
      <c r="B545" t="s">
        <v>432</v>
      </c>
      <c r="C545" t="s">
        <v>351</v>
      </c>
      <c r="D545" t="s">
        <v>62</v>
      </c>
      <c r="F545">
        <v>0</v>
      </c>
    </row>
    <row r="546" spans="1:6">
      <c r="A546" s="11">
        <v>44825</v>
      </c>
      <c r="B546" t="s">
        <v>432</v>
      </c>
      <c r="C546" t="s">
        <v>349</v>
      </c>
      <c r="D546" t="s">
        <v>40</v>
      </c>
      <c r="F546" cm="1">
        <f t="array" ref="F546:F551">TRANSPOSE('Utilization '!B270:G270)</f>
        <v>0</v>
      </c>
    </row>
    <row r="547" spans="1:6">
      <c r="A547" s="11">
        <v>44825</v>
      </c>
      <c r="B547" t="s">
        <v>432</v>
      </c>
      <c r="C547" t="s">
        <v>349</v>
      </c>
      <c r="D547" t="s">
        <v>36</v>
      </c>
      <c r="F547">
        <v>0</v>
      </c>
    </row>
    <row r="548" spans="1:6">
      <c r="A548" s="11">
        <v>44825</v>
      </c>
      <c r="B548" t="s">
        <v>432</v>
      </c>
      <c r="C548" t="s">
        <v>22</v>
      </c>
      <c r="D548" t="s">
        <v>23</v>
      </c>
      <c r="F548">
        <v>0</v>
      </c>
    </row>
    <row r="549" spans="1:6">
      <c r="A549" s="11">
        <v>44825</v>
      </c>
      <c r="B549" t="s">
        <v>432</v>
      </c>
      <c r="C549" t="s">
        <v>22</v>
      </c>
      <c r="D549" t="s">
        <v>76</v>
      </c>
      <c r="F549">
        <v>0</v>
      </c>
    </row>
    <row r="550" spans="1:6">
      <c r="A550" s="11">
        <v>44825</v>
      </c>
      <c r="B550" t="s">
        <v>432</v>
      </c>
      <c r="C550" t="s">
        <v>350</v>
      </c>
      <c r="D550" t="s">
        <v>78</v>
      </c>
      <c r="F550">
        <v>0</v>
      </c>
    </row>
    <row r="551" spans="1:6">
      <c r="A551" s="11">
        <v>44825</v>
      </c>
      <c r="B551" t="s">
        <v>432</v>
      </c>
      <c r="C551" t="s">
        <v>350</v>
      </c>
      <c r="D551" t="s">
        <v>354</v>
      </c>
      <c r="F551">
        <v>0</v>
      </c>
    </row>
    <row r="552" spans="1:6">
      <c r="A552" s="11">
        <v>44825</v>
      </c>
      <c r="B552" t="s">
        <v>432</v>
      </c>
      <c r="C552" t="s">
        <v>351</v>
      </c>
      <c r="D552" t="s">
        <v>46</v>
      </c>
      <c r="F552" cm="1">
        <f t="array" ref="F552:F553">TRANSPOSE('Utilization '!I270:J270)</f>
        <v>0</v>
      </c>
    </row>
    <row r="553" spans="1:6">
      <c r="A553" s="11">
        <v>44825</v>
      </c>
      <c r="B553" t="s">
        <v>432</v>
      </c>
      <c r="C553" t="s">
        <v>351</v>
      </c>
      <c r="D553" t="s">
        <v>62</v>
      </c>
      <c r="F553">
        <v>0</v>
      </c>
    </row>
    <row r="554" spans="1:6">
      <c r="A554" s="11">
        <v>44826</v>
      </c>
      <c r="B554" t="s">
        <v>432</v>
      </c>
      <c r="C554" t="s">
        <v>349</v>
      </c>
      <c r="D554" t="s">
        <v>40</v>
      </c>
      <c r="F554" cm="1">
        <f t="array" ref="F554:F559">TRANSPOSE('Utilization '!B271:G271)</f>
        <v>0</v>
      </c>
    </row>
    <row r="555" spans="1:6">
      <c r="A555" s="11">
        <v>44826</v>
      </c>
      <c r="B555" t="s">
        <v>432</v>
      </c>
      <c r="C555" t="s">
        <v>349</v>
      </c>
      <c r="D555" t="s">
        <v>36</v>
      </c>
      <c r="F555">
        <v>0</v>
      </c>
    </row>
    <row r="556" spans="1:6">
      <c r="A556" s="11">
        <v>44826</v>
      </c>
      <c r="B556" t="s">
        <v>432</v>
      </c>
      <c r="C556" t="s">
        <v>22</v>
      </c>
      <c r="D556" t="s">
        <v>23</v>
      </c>
      <c r="F556">
        <v>0</v>
      </c>
    </row>
    <row r="557" spans="1:6">
      <c r="A557" s="11">
        <v>44826</v>
      </c>
      <c r="B557" t="s">
        <v>432</v>
      </c>
      <c r="C557" t="s">
        <v>22</v>
      </c>
      <c r="D557" t="s">
        <v>76</v>
      </c>
      <c r="F557">
        <v>0</v>
      </c>
    </row>
    <row r="558" spans="1:6">
      <c r="A558" s="11">
        <v>44826</v>
      </c>
      <c r="B558" t="s">
        <v>432</v>
      </c>
      <c r="C558" t="s">
        <v>350</v>
      </c>
      <c r="D558" t="s">
        <v>78</v>
      </c>
      <c r="F558">
        <v>0</v>
      </c>
    </row>
    <row r="559" spans="1:6">
      <c r="A559" s="11">
        <v>44826</v>
      </c>
      <c r="B559" t="s">
        <v>432</v>
      </c>
      <c r="C559" t="s">
        <v>350</v>
      </c>
      <c r="D559" t="s">
        <v>354</v>
      </c>
      <c r="F559">
        <v>0</v>
      </c>
    </row>
    <row r="560" spans="1:6">
      <c r="A560" s="11">
        <v>44826</v>
      </c>
      <c r="B560" t="s">
        <v>432</v>
      </c>
      <c r="C560" t="s">
        <v>351</v>
      </c>
      <c r="D560" t="s">
        <v>46</v>
      </c>
      <c r="F560" cm="1">
        <f t="array" ref="F560:F561">TRANSPOSE('Utilization '!I271:J271)</f>
        <v>0</v>
      </c>
    </row>
    <row r="561" spans="1:6">
      <c r="A561" s="11">
        <v>44826</v>
      </c>
      <c r="B561" t="s">
        <v>432</v>
      </c>
      <c r="C561" t="s">
        <v>351</v>
      </c>
      <c r="D561" t="s">
        <v>62</v>
      </c>
      <c r="F561">
        <v>0</v>
      </c>
    </row>
    <row r="562" spans="1:6">
      <c r="A562" s="11">
        <v>44827</v>
      </c>
      <c r="B562" t="s">
        <v>432</v>
      </c>
      <c r="C562" t="s">
        <v>349</v>
      </c>
      <c r="D562" t="s">
        <v>40</v>
      </c>
      <c r="F562" cm="1">
        <f t="array" ref="F562:F567">TRANSPOSE('Utilization '!B272:G272)</f>
        <v>0</v>
      </c>
    </row>
    <row r="563" spans="1:6">
      <c r="A563" s="11">
        <v>44827</v>
      </c>
      <c r="B563" t="s">
        <v>432</v>
      </c>
      <c r="C563" t="s">
        <v>349</v>
      </c>
      <c r="D563" t="s">
        <v>36</v>
      </c>
      <c r="F563">
        <v>0</v>
      </c>
    </row>
    <row r="564" spans="1:6">
      <c r="A564" s="11">
        <v>44827</v>
      </c>
      <c r="B564" t="s">
        <v>432</v>
      </c>
      <c r="C564" t="s">
        <v>22</v>
      </c>
      <c r="D564" t="s">
        <v>23</v>
      </c>
      <c r="F564">
        <v>0</v>
      </c>
    </row>
    <row r="565" spans="1:6">
      <c r="A565" s="11">
        <v>44827</v>
      </c>
      <c r="B565" t="s">
        <v>432</v>
      </c>
      <c r="C565" t="s">
        <v>22</v>
      </c>
      <c r="D565" t="s">
        <v>76</v>
      </c>
      <c r="F565">
        <v>0</v>
      </c>
    </row>
    <row r="566" spans="1:6">
      <c r="A566" s="11">
        <v>44827</v>
      </c>
      <c r="B566" t="s">
        <v>432</v>
      </c>
      <c r="C566" t="s">
        <v>350</v>
      </c>
      <c r="D566" t="s">
        <v>78</v>
      </c>
      <c r="F566">
        <v>0</v>
      </c>
    </row>
    <row r="567" spans="1:6">
      <c r="A567" s="11">
        <v>44827</v>
      </c>
      <c r="B567" t="s">
        <v>432</v>
      </c>
      <c r="C567" t="s">
        <v>350</v>
      </c>
      <c r="D567" t="s">
        <v>354</v>
      </c>
      <c r="F567">
        <v>0</v>
      </c>
    </row>
    <row r="568" spans="1:6">
      <c r="A568" s="11">
        <v>44827</v>
      </c>
      <c r="B568" t="s">
        <v>432</v>
      </c>
      <c r="C568" t="s">
        <v>351</v>
      </c>
      <c r="D568" t="s">
        <v>46</v>
      </c>
      <c r="F568" cm="1">
        <f t="array" ref="F568:F569">TRANSPOSE('Utilization '!I272:J272)</f>
        <v>0</v>
      </c>
    </row>
    <row r="569" spans="1:6">
      <c r="A569" s="11">
        <v>44827</v>
      </c>
      <c r="B569" t="s">
        <v>432</v>
      </c>
      <c r="C569" t="s">
        <v>351</v>
      </c>
      <c r="D569" t="s">
        <v>62</v>
      </c>
      <c r="F569">
        <v>0</v>
      </c>
    </row>
    <row r="570" spans="1:6">
      <c r="A570" s="11">
        <v>44828</v>
      </c>
      <c r="B570" t="s">
        <v>432</v>
      </c>
      <c r="C570" t="s">
        <v>349</v>
      </c>
      <c r="D570" t="s">
        <v>40</v>
      </c>
      <c r="F570" cm="1">
        <f t="array" ref="F570:F575">TRANSPOSE('Utilization '!B273:G273)</f>
        <v>0</v>
      </c>
    </row>
    <row r="571" spans="1:6">
      <c r="A571" s="11">
        <v>44828</v>
      </c>
      <c r="B571" t="s">
        <v>432</v>
      </c>
      <c r="C571" t="s">
        <v>349</v>
      </c>
      <c r="D571" t="s">
        <v>36</v>
      </c>
      <c r="F571">
        <v>0</v>
      </c>
    </row>
    <row r="572" spans="1:6">
      <c r="A572" s="11">
        <v>44828</v>
      </c>
      <c r="B572" t="s">
        <v>432</v>
      </c>
      <c r="C572" t="s">
        <v>22</v>
      </c>
      <c r="D572" t="s">
        <v>23</v>
      </c>
      <c r="F572">
        <v>0</v>
      </c>
    </row>
    <row r="573" spans="1:6">
      <c r="A573" s="11">
        <v>44828</v>
      </c>
      <c r="B573" t="s">
        <v>432</v>
      </c>
      <c r="C573" t="s">
        <v>22</v>
      </c>
      <c r="D573" t="s">
        <v>76</v>
      </c>
      <c r="F573">
        <v>0</v>
      </c>
    </row>
    <row r="574" spans="1:6">
      <c r="A574" s="11">
        <v>44828</v>
      </c>
      <c r="B574" t="s">
        <v>432</v>
      </c>
      <c r="C574" t="s">
        <v>350</v>
      </c>
      <c r="D574" t="s">
        <v>78</v>
      </c>
      <c r="F574">
        <v>0</v>
      </c>
    </row>
    <row r="575" spans="1:6">
      <c r="A575" s="11">
        <v>44828</v>
      </c>
      <c r="B575" t="s">
        <v>432</v>
      </c>
      <c r="C575" t="s">
        <v>350</v>
      </c>
      <c r="D575" t="s">
        <v>354</v>
      </c>
      <c r="F575">
        <v>0</v>
      </c>
    </row>
    <row r="576" spans="1:6">
      <c r="A576" s="11">
        <v>44828</v>
      </c>
      <c r="B576" t="s">
        <v>432</v>
      </c>
      <c r="C576" t="s">
        <v>351</v>
      </c>
      <c r="D576" t="s">
        <v>46</v>
      </c>
      <c r="F576" cm="1">
        <f t="array" ref="F576:F577">TRANSPOSE('Utilization '!I273:J273)</f>
        <v>0</v>
      </c>
    </row>
    <row r="577" spans="1:6">
      <c r="A577" s="11">
        <v>44828</v>
      </c>
      <c r="B577" t="s">
        <v>432</v>
      </c>
      <c r="C577" t="s">
        <v>351</v>
      </c>
      <c r="D577" t="s">
        <v>62</v>
      </c>
      <c r="F577">
        <v>0</v>
      </c>
    </row>
    <row r="578" spans="1:6">
      <c r="A578" s="11">
        <v>44829</v>
      </c>
      <c r="B578" t="s">
        <v>432</v>
      </c>
      <c r="C578" t="s">
        <v>349</v>
      </c>
      <c r="D578" t="s">
        <v>40</v>
      </c>
      <c r="F578" cm="1">
        <f t="array" ref="F578:F583">TRANSPOSE('Utilization '!B274:G274)</f>
        <v>0</v>
      </c>
    </row>
    <row r="579" spans="1:6">
      <c r="A579" s="11">
        <v>44829</v>
      </c>
      <c r="B579" t="s">
        <v>432</v>
      </c>
      <c r="C579" t="s">
        <v>349</v>
      </c>
      <c r="D579" t="s">
        <v>36</v>
      </c>
      <c r="F579">
        <v>0</v>
      </c>
    </row>
    <row r="580" spans="1:6">
      <c r="A580" s="11">
        <v>44829</v>
      </c>
      <c r="B580" t="s">
        <v>432</v>
      </c>
      <c r="C580" t="s">
        <v>22</v>
      </c>
      <c r="D580" t="s">
        <v>23</v>
      </c>
      <c r="F580">
        <v>0</v>
      </c>
    </row>
    <row r="581" spans="1:6">
      <c r="A581" s="11">
        <v>44829</v>
      </c>
      <c r="B581" t="s">
        <v>432</v>
      </c>
      <c r="C581" t="s">
        <v>22</v>
      </c>
      <c r="D581" t="s">
        <v>76</v>
      </c>
      <c r="F581">
        <v>0</v>
      </c>
    </row>
    <row r="582" spans="1:6">
      <c r="A582" s="11">
        <v>44829</v>
      </c>
      <c r="B582" t="s">
        <v>432</v>
      </c>
      <c r="C582" t="s">
        <v>350</v>
      </c>
      <c r="D582" t="s">
        <v>78</v>
      </c>
      <c r="F582">
        <v>0</v>
      </c>
    </row>
    <row r="583" spans="1:6">
      <c r="A583" s="11">
        <v>44829</v>
      </c>
      <c r="B583" t="s">
        <v>432</v>
      </c>
      <c r="C583" t="s">
        <v>350</v>
      </c>
      <c r="D583" t="s">
        <v>354</v>
      </c>
      <c r="F583">
        <v>0</v>
      </c>
    </row>
    <row r="584" spans="1:6">
      <c r="A584" s="11">
        <v>44829</v>
      </c>
      <c r="B584" t="s">
        <v>432</v>
      </c>
      <c r="C584" t="s">
        <v>351</v>
      </c>
      <c r="D584" t="s">
        <v>46</v>
      </c>
      <c r="F584" cm="1">
        <f t="array" ref="F584:F585">TRANSPOSE('Utilization '!I274:J274)</f>
        <v>0</v>
      </c>
    </row>
    <row r="585" spans="1:6">
      <c r="A585" s="11">
        <v>44829</v>
      </c>
      <c r="B585" t="s">
        <v>432</v>
      </c>
      <c r="C585" t="s">
        <v>351</v>
      </c>
      <c r="D585" t="s">
        <v>62</v>
      </c>
      <c r="F585">
        <v>0</v>
      </c>
    </row>
    <row r="586" spans="1:6">
      <c r="A586" s="11">
        <v>44830</v>
      </c>
      <c r="B586" t="s">
        <v>432</v>
      </c>
      <c r="C586" t="s">
        <v>349</v>
      </c>
      <c r="D586" t="s">
        <v>40</v>
      </c>
      <c r="F586" cm="1">
        <f t="array" ref="F586:F591">TRANSPOSE('Utilization '!B275:G275)</f>
        <v>0</v>
      </c>
    </row>
    <row r="587" spans="1:6">
      <c r="A587" s="11">
        <v>44830</v>
      </c>
      <c r="B587" t="s">
        <v>432</v>
      </c>
      <c r="C587" t="s">
        <v>349</v>
      </c>
      <c r="D587" t="s">
        <v>36</v>
      </c>
      <c r="F587">
        <v>0</v>
      </c>
    </row>
    <row r="588" spans="1:6">
      <c r="A588" s="11">
        <v>44830</v>
      </c>
      <c r="B588" t="s">
        <v>432</v>
      </c>
      <c r="C588" t="s">
        <v>22</v>
      </c>
      <c r="D588" t="s">
        <v>23</v>
      </c>
      <c r="F588">
        <v>0</v>
      </c>
    </row>
    <row r="589" spans="1:6">
      <c r="A589" s="11">
        <v>44830</v>
      </c>
      <c r="B589" t="s">
        <v>432</v>
      </c>
      <c r="C589" t="s">
        <v>22</v>
      </c>
      <c r="D589" t="s">
        <v>76</v>
      </c>
      <c r="F589">
        <v>0</v>
      </c>
    </row>
    <row r="590" spans="1:6">
      <c r="A590" s="11">
        <v>44830</v>
      </c>
      <c r="B590" t="s">
        <v>432</v>
      </c>
      <c r="C590" t="s">
        <v>350</v>
      </c>
      <c r="D590" t="s">
        <v>78</v>
      </c>
      <c r="F590">
        <v>0</v>
      </c>
    </row>
    <row r="591" spans="1:6">
      <c r="A591" s="11">
        <v>44830</v>
      </c>
      <c r="B591" t="s">
        <v>432</v>
      </c>
      <c r="C591" t="s">
        <v>350</v>
      </c>
      <c r="D591" t="s">
        <v>354</v>
      </c>
      <c r="F591">
        <v>0</v>
      </c>
    </row>
    <row r="592" spans="1:6">
      <c r="A592" s="11">
        <v>44830</v>
      </c>
      <c r="B592" t="s">
        <v>432</v>
      </c>
      <c r="C592" t="s">
        <v>351</v>
      </c>
      <c r="D592" t="s">
        <v>46</v>
      </c>
      <c r="F592" cm="1">
        <f t="array" ref="F592:F593">TRANSPOSE('Utilization '!I275:J275)</f>
        <v>0</v>
      </c>
    </row>
    <row r="593" spans="1:6">
      <c r="A593" s="11">
        <v>44830</v>
      </c>
      <c r="B593" t="s">
        <v>432</v>
      </c>
      <c r="C593" t="s">
        <v>351</v>
      </c>
      <c r="D593" t="s">
        <v>62</v>
      </c>
      <c r="F593">
        <v>0</v>
      </c>
    </row>
    <row r="594" spans="1:6">
      <c r="A594" s="11">
        <v>44831</v>
      </c>
      <c r="B594" t="s">
        <v>432</v>
      </c>
      <c r="C594" t="s">
        <v>349</v>
      </c>
      <c r="D594" t="s">
        <v>40</v>
      </c>
      <c r="F594" cm="1">
        <f t="array" ref="F594:F599">TRANSPOSE('Utilization '!B276:G276)</f>
        <v>0</v>
      </c>
    </row>
    <row r="595" spans="1:6">
      <c r="A595" s="11">
        <v>44831</v>
      </c>
      <c r="B595" t="s">
        <v>432</v>
      </c>
      <c r="C595" t="s">
        <v>349</v>
      </c>
      <c r="D595" t="s">
        <v>36</v>
      </c>
      <c r="F595">
        <v>0</v>
      </c>
    </row>
    <row r="596" spans="1:6">
      <c r="A596" s="11">
        <v>44831</v>
      </c>
      <c r="B596" t="s">
        <v>432</v>
      </c>
      <c r="C596" t="s">
        <v>22</v>
      </c>
      <c r="D596" t="s">
        <v>23</v>
      </c>
      <c r="F596">
        <v>0</v>
      </c>
    </row>
    <row r="597" spans="1:6">
      <c r="A597" s="11">
        <v>44831</v>
      </c>
      <c r="B597" t="s">
        <v>432</v>
      </c>
      <c r="C597" t="s">
        <v>22</v>
      </c>
      <c r="D597" t="s">
        <v>76</v>
      </c>
      <c r="F597">
        <v>0</v>
      </c>
    </row>
    <row r="598" spans="1:6">
      <c r="A598" s="11">
        <v>44831</v>
      </c>
      <c r="B598" t="s">
        <v>432</v>
      </c>
      <c r="C598" t="s">
        <v>350</v>
      </c>
      <c r="D598" t="s">
        <v>78</v>
      </c>
      <c r="F598">
        <v>0</v>
      </c>
    </row>
    <row r="599" spans="1:6">
      <c r="A599" s="11">
        <v>44831</v>
      </c>
      <c r="B599" t="s">
        <v>432</v>
      </c>
      <c r="C599" t="s">
        <v>350</v>
      </c>
      <c r="D599" t="s">
        <v>354</v>
      </c>
      <c r="F599">
        <v>0</v>
      </c>
    </row>
    <row r="600" spans="1:6">
      <c r="A600" s="11">
        <v>44831</v>
      </c>
      <c r="B600" t="s">
        <v>432</v>
      </c>
      <c r="C600" t="s">
        <v>351</v>
      </c>
      <c r="D600" t="s">
        <v>46</v>
      </c>
      <c r="F600" cm="1">
        <f t="array" ref="F600:F601">TRANSPOSE('Utilization '!I276:J276)</f>
        <v>0</v>
      </c>
    </row>
    <row r="601" spans="1:6">
      <c r="A601" s="11">
        <v>44831</v>
      </c>
      <c r="B601" t="s">
        <v>432</v>
      </c>
      <c r="C601" t="s">
        <v>351</v>
      </c>
      <c r="D601" t="s">
        <v>62</v>
      </c>
      <c r="F601">
        <v>0</v>
      </c>
    </row>
    <row r="602" spans="1:6">
      <c r="A602" s="11">
        <v>44832</v>
      </c>
      <c r="B602" t="s">
        <v>432</v>
      </c>
      <c r="C602" t="s">
        <v>349</v>
      </c>
      <c r="D602" t="s">
        <v>40</v>
      </c>
      <c r="F602" cm="1">
        <f t="array" ref="F602:F607">TRANSPOSE('Utilization '!B277:G277)</f>
        <v>0</v>
      </c>
    </row>
    <row r="603" spans="1:6">
      <c r="A603" s="11">
        <v>44832</v>
      </c>
      <c r="B603" t="s">
        <v>432</v>
      </c>
      <c r="C603" t="s">
        <v>349</v>
      </c>
      <c r="D603" t="s">
        <v>36</v>
      </c>
      <c r="F603">
        <v>0</v>
      </c>
    </row>
    <row r="604" spans="1:6">
      <c r="A604" s="11">
        <v>44832</v>
      </c>
      <c r="B604" t="s">
        <v>432</v>
      </c>
      <c r="C604" t="s">
        <v>22</v>
      </c>
      <c r="D604" t="s">
        <v>23</v>
      </c>
      <c r="F604">
        <v>0</v>
      </c>
    </row>
    <row r="605" spans="1:6">
      <c r="A605" s="11">
        <v>44832</v>
      </c>
      <c r="B605" t="s">
        <v>432</v>
      </c>
      <c r="C605" t="s">
        <v>22</v>
      </c>
      <c r="D605" t="s">
        <v>76</v>
      </c>
      <c r="F605">
        <v>0</v>
      </c>
    </row>
    <row r="606" spans="1:6">
      <c r="A606" s="11">
        <v>44832</v>
      </c>
      <c r="B606" t="s">
        <v>432</v>
      </c>
      <c r="C606" t="s">
        <v>350</v>
      </c>
      <c r="D606" t="s">
        <v>78</v>
      </c>
      <c r="F606">
        <v>0</v>
      </c>
    </row>
    <row r="607" spans="1:6">
      <c r="A607" s="11">
        <v>44832</v>
      </c>
      <c r="B607" t="s">
        <v>432</v>
      </c>
      <c r="C607" t="s">
        <v>350</v>
      </c>
      <c r="D607" t="s">
        <v>354</v>
      </c>
      <c r="F607">
        <v>0</v>
      </c>
    </row>
    <row r="608" spans="1:6">
      <c r="A608" s="11">
        <v>44832</v>
      </c>
      <c r="B608" t="s">
        <v>432</v>
      </c>
      <c r="C608" t="s">
        <v>351</v>
      </c>
      <c r="D608" t="s">
        <v>46</v>
      </c>
      <c r="F608" cm="1">
        <f t="array" ref="F608:F609">TRANSPOSE('Utilization '!I277:J277)</f>
        <v>0</v>
      </c>
    </row>
    <row r="609" spans="1:6">
      <c r="A609" s="11">
        <v>44832</v>
      </c>
      <c r="B609" t="s">
        <v>432</v>
      </c>
      <c r="C609" t="s">
        <v>351</v>
      </c>
      <c r="D609" t="s">
        <v>62</v>
      </c>
      <c r="F609">
        <v>0</v>
      </c>
    </row>
    <row r="610" spans="1:6">
      <c r="A610" s="11">
        <v>44833</v>
      </c>
      <c r="B610" t="s">
        <v>432</v>
      </c>
      <c r="C610" t="s">
        <v>349</v>
      </c>
      <c r="D610" t="s">
        <v>40</v>
      </c>
      <c r="F610" cm="1">
        <f t="array" ref="F610:F615">TRANSPOSE('Utilization '!B278:G278)</f>
        <v>0</v>
      </c>
    </row>
    <row r="611" spans="1:6">
      <c r="A611" s="11">
        <v>44833</v>
      </c>
      <c r="B611" t="s">
        <v>432</v>
      </c>
      <c r="C611" t="s">
        <v>349</v>
      </c>
      <c r="D611" t="s">
        <v>36</v>
      </c>
      <c r="F611">
        <v>0</v>
      </c>
    </row>
    <row r="612" spans="1:6">
      <c r="A612" s="11">
        <v>44833</v>
      </c>
      <c r="B612" t="s">
        <v>432</v>
      </c>
      <c r="C612" t="s">
        <v>22</v>
      </c>
      <c r="D612" t="s">
        <v>23</v>
      </c>
      <c r="F612">
        <v>0</v>
      </c>
    </row>
    <row r="613" spans="1:6">
      <c r="A613" s="11">
        <v>44833</v>
      </c>
      <c r="B613" t="s">
        <v>432</v>
      </c>
      <c r="C613" t="s">
        <v>22</v>
      </c>
      <c r="D613" t="s">
        <v>76</v>
      </c>
      <c r="F613">
        <v>0</v>
      </c>
    </row>
    <row r="614" spans="1:6">
      <c r="A614" s="11">
        <v>44833</v>
      </c>
      <c r="B614" t="s">
        <v>432</v>
      </c>
      <c r="C614" t="s">
        <v>350</v>
      </c>
      <c r="D614" t="s">
        <v>78</v>
      </c>
      <c r="F614">
        <v>0</v>
      </c>
    </row>
    <row r="615" spans="1:6">
      <c r="A615" s="11">
        <v>44833</v>
      </c>
      <c r="B615" t="s">
        <v>432</v>
      </c>
      <c r="C615" t="s">
        <v>350</v>
      </c>
      <c r="D615" t="s">
        <v>354</v>
      </c>
      <c r="F615">
        <v>0</v>
      </c>
    </row>
    <row r="616" spans="1:6">
      <c r="A616" s="11">
        <v>44833</v>
      </c>
      <c r="B616" t="s">
        <v>432</v>
      </c>
      <c r="C616" t="s">
        <v>351</v>
      </c>
      <c r="D616" t="s">
        <v>46</v>
      </c>
      <c r="F616" cm="1">
        <f t="array" ref="F616:F617">TRANSPOSE('Utilization '!I278:J278)</f>
        <v>0</v>
      </c>
    </row>
    <row r="617" spans="1:6">
      <c r="A617" s="11">
        <v>44833</v>
      </c>
      <c r="B617" t="s">
        <v>432</v>
      </c>
      <c r="C617" t="s">
        <v>351</v>
      </c>
      <c r="D617" t="s">
        <v>62</v>
      </c>
      <c r="F617">
        <v>0</v>
      </c>
    </row>
    <row r="618" spans="1:6">
      <c r="A618" s="11">
        <v>44834</v>
      </c>
      <c r="B618" t="s">
        <v>432</v>
      </c>
      <c r="C618" t="s">
        <v>349</v>
      </c>
      <c r="D618" t="s">
        <v>40</v>
      </c>
      <c r="F618" cm="1">
        <f t="array" ref="F618:F623">TRANSPOSE('Utilization '!B279:G279)</f>
        <v>0</v>
      </c>
    </row>
    <row r="619" spans="1:6">
      <c r="A619" s="11">
        <v>44834</v>
      </c>
      <c r="B619" t="s">
        <v>432</v>
      </c>
      <c r="C619" t="s">
        <v>349</v>
      </c>
      <c r="D619" t="s">
        <v>36</v>
      </c>
      <c r="F619">
        <v>0</v>
      </c>
    </row>
    <row r="620" spans="1:6">
      <c r="A620" s="11">
        <v>44834</v>
      </c>
      <c r="B620" t="s">
        <v>432</v>
      </c>
      <c r="C620" t="s">
        <v>22</v>
      </c>
      <c r="D620" t="s">
        <v>23</v>
      </c>
      <c r="F620">
        <v>0</v>
      </c>
    </row>
    <row r="621" spans="1:6">
      <c r="A621" s="11">
        <v>44834</v>
      </c>
      <c r="B621" t="s">
        <v>432</v>
      </c>
      <c r="C621" t="s">
        <v>22</v>
      </c>
      <c r="D621" t="s">
        <v>76</v>
      </c>
      <c r="F621">
        <v>0</v>
      </c>
    </row>
    <row r="622" spans="1:6">
      <c r="A622" s="11">
        <v>44834</v>
      </c>
      <c r="B622" t="s">
        <v>432</v>
      </c>
      <c r="C622" t="s">
        <v>350</v>
      </c>
      <c r="D622" t="s">
        <v>78</v>
      </c>
      <c r="F622">
        <v>0</v>
      </c>
    </row>
    <row r="623" spans="1:6">
      <c r="A623" s="11">
        <v>44834</v>
      </c>
      <c r="B623" t="s">
        <v>432</v>
      </c>
      <c r="C623" t="s">
        <v>350</v>
      </c>
      <c r="D623" t="s">
        <v>354</v>
      </c>
      <c r="F623">
        <v>0</v>
      </c>
    </row>
    <row r="624" spans="1:6">
      <c r="A624" s="11">
        <v>44834</v>
      </c>
      <c r="B624" t="s">
        <v>432</v>
      </c>
      <c r="C624" t="s">
        <v>351</v>
      </c>
      <c r="D624" t="s">
        <v>46</v>
      </c>
      <c r="F624" cm="1">
        <f t="array" ref="F624:F625">TRANSPOSE('Utilization '!I279:J279)</f>
        <v>0</v>
      </c>
    </row>
    <row r="625" spans="1:6">
      <c r="A625" s="11">
        <v>44834</v>
      </c>
      <c r="B625" t="s">
        <v>432</v>
      </c>
      <c r="C625" t="s">
        <v>351</v>
      </c>
      <c r="D625" t="s">
        <v>62</v>
      </c>
      <c r="F625">
        <v>0</v>
      </c>
    </row>
    <row r="626" spans="1:6">
      <c r="A626" s="11">
        <v>44835</v>
      </c>
      <c r="B626" t="s">
        <v>432</v>
      </c>
      <c r="C626" t="s">
        <v>349</v>
      </c>
      <c r="D626" t="s">
        <v>40</v>
      </c>
      <c r="F626" cm="1">
        <f t="array" ref="F626:F631">TRANSPOSE('Utilization '!B280:G280)</f>
        <v>0</v>
      </c>
    </row>
    <row r="627" spans="1:6">
      <c r="A627" s="11">
        <v>44835</v>
      </c>
      <c r="B627" t="s">
        <v>432</v>
      </c>
      <c r="C627" t="s">
        <v>349</v>
      </c>
      <c r="D627" t="s">
        <v>36</v>
      </c>
      <c r="F627">
        <v>0</v>
      </c>
    </row>
    <row r="628" spans="1:6">
      <c r="A628" s="11">
        <v>44835</v>
      </c>
      <c r="B628" t="s">
        <v>432</v>
      </c>
      <c r="C628" t="s">
        <v>22</v>
      </c>
      <c r="D628" t="s">
        <v>23</v>
      </c>
      <c r="F628">
        <v>0</v>
      </c>
    </row>
    <row r="629" spans="1:6">
      <c r="A629" s="11">
        <v>44835</v>
      </c>
      <c r="B629" t="s">
        <v>432</v>
      </c>
      <c r="C629" t="s">
        <v>22</v>
      </c>
      <c r="D629" t="s">
        <v>76</v>
      </c>
      <c r="F629">
        <v>0</v>
      </c>
    </row>
    <row r="630" spans="1:6">
      <c r="A630" s="11">
        <v>44835</v>
      </c>
      <c r="B630" t="s">
        <v>432</v>
      </c>
      <c r="C630" t="s">
        <v>350</v>
      </c>
      <c r="D630" t="s">
        <v>78</v>
      </c>
      <c r="F630">
        <v>0</v>
      </c>
    </row>
    <row r="631" spans="1:6">
      <c r="A631" s="11">
        <v>44835</v>
      </c>
      <c r="B631" t="s">
        <v>432</v>
      </c>
      <c r="C631" t="s">
        <v>350</v>
      </c>
      <c r="D631" t="s">
        <v>354</v>
      </c>
      <c r="F631">
        <v>0</v>
      </c>
    </row>
    <row r="632" spans="1:6">
      <c r="A632" s="11">
        <v>44835</v>
      </c>
      <c r="B632" t="s">
        <v>432</v>
      </c>
      <c r="C632" t="s">
        <v>351</v>
      </c>
      <c r="D632" t="s">
        <v>46</v>
      </c>
      <c r="F632" cm="1">
        <f t="array" ref="F632:F633">TRANSPOSE('Utilization '!I280:J280)</f>
        <v>0</v>
      </c>
    </row>
    <row r="633" spans="1:6">
      <c r="A633" s="11">
        <v>44835</v>
      </c>
      <c r="B633" t="s">
        <v>432</v>
      </c>
      <c r="C633" t="s">
        <v>351</v>
      </c>
      <c r="D633" t="s">
        <v>62</v>
      </c>
      <c r="F633">
        <v>0</v>
      </c>
    </row>
    <row r="634" spans="1:6">
      <c r="A634" s="11">
        <v>44836</v>
      </c>
      <c r="B634" t="s">
        <v>432</v>
      </c>
      <c r="C634" t="s">
        <v>349</v>
      </c>
      <c r="D634" t="s">
        <v>40</v>
      </c>
      <c r="F634" cm="1">
        <f t="array" ref="F634:F639">TRANSPOSE('Utilization '!B281:G281)</f>
        <v>0</v>
      </c>
    </row>
    <row r="635" spans="1:6">
      <c r="A635" s="11">
        <v>44836</v>
      </c>
      <c r="B635" t="s">
        <v>432</v>
      </c>
      <c r="C635" t="s">
        <v>349</v>
      </c>
      <c r="D635" t="s">
        <v>36</v>
      </c>
      <c r="F635">
        <v>0</v>
      </c>
    </row>
    <row r="636" spans="1:6">
      <c r="A636" s="11">
        <v>44836</v>
      </c>
      <c r="B636" t="s">
        <v>432</v>
      </c>
      <c r="C636" t="s">
        <v>22</v>
      </c>
      <c r="D636" t="s">
        <v>23</v>
      </c>
      <c r="F636">
        <v>0</v>
      </c>
    </row>
    <row r="637" spans="1:6">
      <c r="A637" s="11">
        <v>44836</v>
      </c>
      <c r="B637" t="s">
        <v>432</v>
      </c>
      <c r="C637" t="s">
        <v>22</v>
      </c>
      <c r="D637" t="s">
        <v>76</v>
      </c>
      <c r="F637">
        <v>0</v>
      </c>
    </row>
    <row r="638" spans="1:6">
      <c r="A638" s="11">
        <v>44836</v>
      </c>
      <c r="B638" t="s">
        <v>432</v>
      </c>
      <c r="C638" t="s">
        <v>350</v>
      </c>
      <c r="D638" t="s">
        <v>78</v>
      </c>
      <c r="F638">
        <v>0</v>
      </c>
    </row>
    <row r="639" spans="1:6">
      <c r="A639" s="11">
        <v>44836</v>
      </c>
      <c r="B639" t="s">
        <v>432</v>
      </c>
      <c r="C639" t="s">
        <v>350</v>
      </c>
      <c r="D639" t="s">
        <v>354</v>
      </c>
      <c r="F639">
        <v>0</v>
      </c>
    </row>
    <row r="640" spans="1:6">
      <c r="A640" s="11">
        <v>44836</v>
      </c>
      <c r="B640" t="s">
        <v>432</v>
      </c>
      <c r="C640" t="s">
        <v>351</v>
      </c>
      <c r="D640" t="s">
        <v>46</v>
      </c>
      <c r="F640" cm="1">
        <f t="array" ref="F640:F641">TRANSPOSE('Utilization '!I281:J281)</f>
        <v>0</v>
      </c>
    </row>
    <row r="641" spans="1:6">
      <c r="A641" s="11">
        <v>44836</v>
      </c>
      <c r="B641" t="s">
        <v>432</v>
      </c>
      <c r="C641" t="s">
        <v>351</v>
      </c>
      <c r="D641" t="s">
        <v>62</v>
      </c>
      <c r="F641">
        <v>0</v>
      </c>
    </row>
    <row r="642" spans="1:6">
      <c r="A642" s="11">
        <v>44837</v>
      </c>
      <c r="B642" t="s">
        <v>432</v>
      </c>
      <c r="C642" t="s">
        <v>349</v>
      </c>
      <c r="D642" t="s">
        <v>40</v>
      </c>
      <c r="F642" cm="1">
        <f t="array" ref="F642:F647">TRANSPOSE('Utilization '!B282:G282)</f>
        <v>0</v>
      </c>
    </row>
    <row r="643" spans="1:6">
      <c r="A643" s="11">
        <v>44837</v>
      </c>
      <c r="B643" t="s">
        <v>432</v>
      </c>
      <c r="C643" t="s">
        <v>349</v>
      </c>
      <c r="D643" t="s">
        <v>36</v>
      </c>
      <c r="F643">
        <v>0</v>
      </c>
    </row>
    <row r="644" spans="1:6">
      <c r="A644" s="11">
        <v>44837</v>
      </c>
      <c r="B644" t="s">
        <v>432</v>
      </c>
      <c r="C644" t="s">
        <v>22</v>
      </c>
      <c r="D644" t="s">
        <v>23</v>
      </c>
      <c r="F644">
        <v>0</v>
      </c>
    </row>
    <row r="645" spans="1:6">
      <c r="A645" s="11">
        <v>44837</v>
      </c>
      <c r="B645" t="s">
        <v>432</v>
      </c>
      <c r="C645" t="s">
        <v>22</v>
      </c>
      <c r="D645" t="s">
        <v>76</v>
      </c>
      <c r="F645">
        <v>0</v>
      </c>
    </row>
    <row r="646" spans="1:6">
      <c r="A646" s="11">
        <v>44837</v>
      </c>
      <c r="B646" t="s">
        <v>432</v>
      </c>
      <c r="C646" t="s">
        <v>350</v>
      </c>
      <c r="D646" t="s">
        <v>78</v>
      </c>
      <c r="F646">
        <v>0</v>
      </c>
    </row>
    <row r="647" spans="1:6">
      <c r="A647" s="11">
        <v>44837</v>
      </c>
      <c r="B647" t="s">
        <v>432</v>
      </c>
      <c r="C647" t="s">
        <v>350</v>
      </c>
      <c r="D647" t="s">
        <v>354</v>
      </c>
      <c r="F647">
        <v>0</v>
      </c>
    </row>
    <row r="648" spans="1:6">
      <c r="A648" s="11">
        <v>44837</v>
      </c>
      <c r="B648" t="s">
        <v>432</v>
      </c>
      <c r="C648" t="s">
        <v>351</v>
      </c>
      <c r="D648" t="s">
        <v>46</v>
      </c>
      <c r="F648" cm="1">
        <f t="array" ref="F648:F649">TRANSPOSE('Utilization '!I282:J282)</f>
        <v>0</v>
      </c>
    </row>
    <row r="649" spans="1:6">
      <c r="A649" s="11">
        <v>44837</v>
      </c>
      <c r="B649" t="s">
        <v>432</v>
      </c>
      <c r="C649" t="s">
        <v>351</v>
      </c>
      <c r="D649" t="s">
        <v>62</v>
      </c>
      <c r="F649">
        <v>0</v>
      </c>
    </row>
    <row r="650" spans="1:6">
      <c r="A650" s="11">
        <v>44838</v>
      </c>
      <c r="B650" t="s">
        <v>432</v>
      </c>
      <c r="C650" t="s">
        <v>349</v>
      </c>
      <c r="D650" t="s">
        <v>40</v>
      </c>
      <c r="F650" cm="1">
        <f t="array" ref="F650:F655">TRANSPOSE('Utilization '!B283:G283)</f>
        <v>0</v>
      </c>
    </row>
    <row r="651" spans="1:6">
      <c r="A651" s="11">
        <v>44838</v>
      </c>
      <c r="B651" t="s">
        <v>432</v>
      </c>
      <c r="C651" t="s">
        <v>349</v>
      </c>
      <c r="D651" t="s">
        <v>36</v>
      </c>
      <c r="F651">
        <v>0</v>
      </c>
    </row>
    <row r="652" spans="1:6">
      <c r="A652" s="11">
        <v>44838</v>
      </c>
      <c r="B652" t="s">
        <v>432</v>
      </c>
      <c r="C652" t="s">
        <v>22</v>
      </c>
      <c r="D652" t="s">
        <v>23</v>
      </c>
      <c r="F652">
        <v>0</v>
      </c>
    </row>
    <row r="653" spans="1:6">
      <c r="A653" s="11">
        <v>44838</v>
      </c>
      <c r="B653" t="s">
        <v>432</v>
      </c>
      <c r="C653" t="s">
        <v>22</v>
      </c>
      <c r="D653" t="s">
        <v>76</v>
      </c>
      <c r="F653">
        <v>0</v>
      </c>
    </row>
    <row r="654" spans="1:6">
      <c r="A654" s="11">
        <v>44838</v>
      </c>
      <c r="B654" t="s">
        <v>432</v>
      </c>
      <c r="C654" t="s">
        <v>350</v>
      </c>
      <c r="D654" t="s">
        <v>78</v>
      </c>
      <c r="F654">
        <v>0</v>
      </c>
    </row>
    <row r="655" spans="1:6">
      <c r="A655" s="11">
        <v>44838</v>
      </c>
      <c r="B655" t="s">
        <v>432</v>
      </c>
      <c r="C655" t="s">
        <v>350</v>
      </c>
      <c r="D655" t="s">
        <v>354</v>
      </c>
      <c r="F655">
        <v>0</v>
      </c>
    </row>
    <row r="656" spans="1:6">
      <c r="A656" s="11">
        <v>44838</v>
      </c>
      <c r="B656" t="s">
        <v>432</v>
      </c>
      <c r="C656" t="s">
        <v>351</v>
      </c>
      <c r="D656" t="s">
        <v>46</v>
      </c>
      <c r="F656" cm="1">
        <f t="array" ref="F656:F657">TRANSPOSE('Utilization '!I283:J283)</f>
        <v>0</v>
      </c>
    </row>
    <row r="657" spans="1:6">
      <c r="A657" s="11">
        <v>44838</v>
      </c>
      <c r="B657" t="s">
        <v>432</v>
      </c>
      <c r="C657" t="s">
        <v>351</v>
      </c>
      <c r="D657" t="s">
        <v>62</v>
      </c>
      <c r="F657">
        <v>0</v>
      </c>
    </row>
    <row r="658" spans="1:6">
      <c r="A658" s="11">
        <v>44839</v>
      </c>
      <c r="B658" t="s">
        <v>432</v>
      </c>
      <c r="C658" t="s">
        <v>349</v>
      </c>
      <c r="D658" t="s">
        <v>40</v>
      </c>
      <c r="F658" cm="1">
        <f t="array" ref="F658:F663">TRANSPOSE('Utilization '!B284:G284)</f>
        <v>0</v>
      </c>
    </row>
    <row r="659" spans="1:6">
      <c r="A659" s="11">
        <v>44839</v>
      </c>
      <c r="B659" t="s">
        <v>432</v>
      </c>
      <c r="C659" t="s">
        <v>349</v>
      </c>
      <c r="D659" t="s">
        <v>36</v>
      </c>
      <c r="F659">
        <v>0</v>
      </c>
    </row>
    <row r="660" spans="1:6">
      <c r="A660" s="11">
        <v>44839</v>
      </c>
      <c r="B660" t="s">
        <v>432</v>
      </c>
      <c r="C660" t="s">
        <v>22</v>
      </c>
      <c r="D660" t="s">
        <v>23</v>
      </c>
      <c r="F660">
        <v>0</v>
      </c>
    </row>
    <row r="661" spans="1:6">
      <c r="A661" s="11">
        <v>44839</v>
      </c>
      <c r="B661" t="s">
        <v>432</v>
      </c>
      <c r="C661" t="s">
        <v>22</v>
      </c>
      <c r="D661" t="s">
        <v>76</v>
      </c>
      <c r="F661">
        <v>0</v>
      </c>
    </row>
    <row r="662" spans="1:6">
      <c r="A662" s="11">
        <v>44839</v>
      </c>
      <c r="B662" t="s">
        <v>432</v>
      </c>
      <c r="C662" t="s">
        <v>350</v>
      </c>
      <c r="D662" t="s">
        <v>78</v>
      </c>
      <c r="F662">
        <v>0</v>
      </c>
    </row>
    <row r="663" spans="1:6">
      <c r="A663" s="11">
        <v>44839</v>
      </c>
      <c r="B663" t="s">
        <v>432</v>
      </c>
      <c r="C663" t="s">
        <v>350</v>
      </c>
      <c r="D663" t="s">
        <v>354</v>
      </c>
      <c r="F663">
        <v>0</v>
      </c>
    </row>
    <row r="664" spans="1:6">
      <c r="A664" s="11">
        <v>44839</v>
      </c>
      <c r="B664" t="s">
        <v>432</v>
      </c>
      <c r="C664" t="s">
        <v>351</v>
      </c>
      <c r="D664" t="s">
        <v>46</v>
      </c>
      <c r="F664" cm="1">
        <f t="array" ref="F664:F665">TRANSPOSE('Utilization '!I284:J284)</f>
        <v>0</v>
      </c>
    </row>
    <row r="665" spans="1:6">
      <c r="A665" s="11">
        <v>44839</v>
      </c>
      <c r="B665" t="s">
        <v>432</v>
      </c>
      <c r="C665" t="s">
        <v>351</v>
      </c>
      <c r="D665" t="s">
        <v>62</v>
      </c>
      <c r="F665">
        <v>0</v>
      </c>
    </row>
    <row r="666" spans="1:6">
      <c r="A666" s="11">
        <v>44840</v>
      </c>
      <c r="B666" t="s">
        <v>432</v>
      </c>
      <c r="C666" t="s">
        <v>349</v>
      </c>
      <c r="D666" t="s">
        <v>40</v>
      </c>
      <c r="F666" cm="1">
        <f t="array" ref="F666:F671">TRANSPOSE('Utilization '!B285:G285)</f>
        <v>0</v>
      </c>
    </row>
    <row r="667" spans="1:6">
      <c r="A667" s="11">
        <v>44840</v>
      </c>
      <c r="B667" t="s">
        <v>432</v>
      </c>
      <c r="C667" t="s">
        <v>349</v>
      </c>
      <c r="D667" t="s">
        <v>36</v>
      </c>
      <c r="F667">
        <v>0</v>
      </c>
    </row>
    <row r="668" spans="1:6">
      <c r="A668" s="11">
        <v>44840</v>
      </c>
      <c r="B668" t="s">
        <v>432</v>
      </c>
      <c r="C668" t="s">
        <v>22</v>
      </c>
      <c r="D668" t="s">
        <v>23</v>
      </c>
      <c r="F668">
        <v>0</v>
      </c>
    </row>
    <row r="669" spans="1:6">
      <c r="A669" s="11">
        <v>44840</v>
      </c>
      <c r="B669" t="s">
        <v>432</v>
      </c>
      <c r="C669" t="s">
        <v>22</v>
      </c>
      <c r="D669" t="s">
        <v>76</v>
      </c>
      <c r="F669">
        <v>0</v>
      </c>
    </row>
    <row r="670" spans="1:6">
      <c r="A670" s="11">
        <v>44840</v>
      </c>
      <c r="B670" t="s">
        <v>432</v>
      </c>
      <c r="C670" t="s">
        <v>350</v>
      </c>
      <c r="D670" t="s">
        <v>78</v>
      </c>
      <c r="F670">
        <v>0</v>
      </c>
    </row>
    <row r="671" spans="1:6">
      <c r="A671" s="11">
        <v>44840</v>
      </c>
      <c r="B671" t="s">
        <v>432</v>
      </c>
      <c r="C671" t="s">
        <v>350</v>
      </c>
      <c r="D671" t="s">
        <v>354</v>
      </c>
      <c r="F671">
        <v>0</v>
      </c>
    </row>
    <row r="672" spans="1:6">
      <c r="A672" s="11">
        <v>44840</v>
      </c>
      <c r="B672" t="s">
        <v>432</v>
      </c>
      <c r="C672" t="s">
        <v>351</v>
      </c>
      <c r="D672" t="s">
        <v>46</v>
      </c>
      <c r="F672" cm="1">
        <f t="array" ref="F672:F673">TRANSPOSE('Utilization '!I285:J285)</f>
        <v>0</v>
      </c>
    </row>
    <row r="673" spans="1:6">
      <c r="A673" s="11">
        <v>44840</v>
      </c>
      <c r="B673" t="s">
        <v>432</v>
      </c>
      <c r="C673" t="s">
        <v>351</v>
      </c>
      <c r="D673" t="s">
        <v>62</v>
      </c>
      <c r="F673">
        <v>0</v>
      </c>
    </row>
    <row r="674" spans="1:6">
      <c r="A674" s="11">
        <v>44841</v>
      </c>
      <c r="B674" t="s">
        <v>432</v>
      </c>
      <c r="C674" t="s">
        <v>349</v>
      </c>
      <c r="D674" t="s">
        <v>40</v>
      </c>
      <c r="F674" cm="1">
        <f t="array" ref="F674:F679">TRANSPOSE('Utilization '!B286:G286)</f>
        <v>0</v>
      </c>
    </row>
    <row r="675" spans="1:6">
      <c r="A675" s="11">
        <v>44841</v>
      </c>
      <c r="B675" t="s">
        <v>432</v>
      </c>
      <c r="C675" t="s">
        <v>349</v>
      </c>
      <c r="D675" t="s">
        <v>36</v>
      </c>
      <c r="F675">
        <v>0</v>
      </c>
    </row>
    <row r="676" spans="1:6">
      <c r="A676" s="11">
        <v>44841</v>
      </c>
      <c r="B676" t="s">
        <v>432</v>
      </c>
      <c r="C676" t="s">
        <v>22</v>
      </c>
      <c r="D676" t="s">
        <v>23</v>
      </c>
      <c r="F676">
        <v>0</v>
      </c>
    </row>
    <row r="677" spans="1:6">
      <c r="A677" s="11">
        <v>44841</v>
      </c>
      <c r="B677" t="s">
        <v>432</v>
      </c>
      <c r="C677" t="s">
        <v>22</v>
      </c>
      <c r="D677" t="s">
        <v>76</v>
      </c>
      <c r="F677">
        <v>0</v>
      </c>
    </row>
    <row r="678" spans="1:6">
      <c r="A678" s="11">
        <v>44841</v>
      </c>
      <c r="B678" t="s">
        <v>432</v>
      </c>
      <c r="C678" t="s">
        <v>350</v>
      </c>
      <c r="D678" t="s">
        <v>78</v>
      </c>
      <c r="F678">
        <v>0</v>
      </c>
    </row>
    <row r="679" spans="1:6">
      <c r="A679" s="11">
        <v>44841</v>
      </c>
      <c r="B679" t="s">
        <v>432</v>
      </c>
      <c r="C679" t="s">
        <v>350</v>
      </c>
      <c r="D679" t="s">
        <v>354</v>
      </c>
      <c r="F679">
        <v>0</v>
      </c>
    </row>
    <row r="680" spans="1:6">
      <c r="A680" s="11">
        <v>44841</v>
      </c>
      <c r="B680" t="s">
        <v>432</v>
      </c>
      <c r="C680" t="s">
        <v>351</v>
      </c>
      <c r="D680" t="s">
        <v>46</v>
      </c>
      <c r="F680" cm="1">
        <f t="array" ref="F680:F681">TRANSPOSE('Utilization '!I286:J286)</f>
        <v>0</v>
      </c>
    </row>
    <row r="681" spans="1:6">
      <c r="A681" s="11">
        <v>44841</v>
      </c>
      <c r="B681" t="s">
        <v>432</v>
      </c>
      <c r="C681" t="s">
        <v>351</v>
      </c>
      <c r="D681" t="s">
        <v>62</v>
      </c>
      <c r="F681">
        <v>0</v>
      </c>
    </row>
    <row r="682" spans="1:6">
      <c r="A682" s="11">
        <v>44842</v>
      </c>
      <c r="B682" t="s">
        <v>432</v>
      </c>
      <c r="C682" t="s">
        <v>349</v>
      </c>
      <c r="D682" t="s">
        <v>40</v>
      </c>
      <c r="F682" cm="1">
        <f t="array" ref="F682:F687">TRANSPOSE('Utilization '!B287:G287)</f>
        <v>0</v>
      </c>
    </row>
    <row r="683" spans="1:6">
      <c r="A683" s="11">
        <v>44842</v>
      </c>
      <c r="B683" t="s">
        <v>432</v>
      </c>
      <c r="C683" t="s">
        <v>349</v>
      </c>
      <c r="D683" t="s">
        <v>36</v>
      </c>
      <c r="F683">
        <v>0</v>
      </c>
    </row>
    <row r="684" spans="1:6">
      <c r="A684" s="11">
        <v>44842</v>
      </c>
      <c r="B684" t="s">
        <v>432</v>
      </c>
      <c r="C684" t="s">
        <v>22</v>
      </c>
      <c r="D684" t="s">
        <v>23</v>
      </c>
      <c r="F684">
        <v>0</v>
      </c>
    </row>
    <row r="685" spans="1:6">
      <c r="A685" s="11">
        <v>44842</v>
      </c>
      <c r="B685" t="s">
        <v>432</v>
      </c>
      <c r="C685" t="s">
        <v>22</v>
      </c>
      <c r="D685" t="s">
        <v>76</v>
      </c>
      <c r="F685">
        <v>0</v>
      </c>
    </row>
    <row r="686" spans="1:6">
      <c r="A686" s="11">
        <v>44842</v>
      </c>
      <c r="B686" t="s">
        <v>432</v>
      </c>
      <c r="C686" t="s">
        <v>350</v>
      </c>
      <c r="D686" t="s">
        <v>78</v>
      </c>
      <c r="F686">
        <v>0</v>
      </c>
    </row>
    <row r="687" spans="1:6">
      <c r="A687" s="11">
        <v>44842</v>
      </c>
      <c r="B687" t="s">
        <v>432</v>
      </c>
      <c r="C687" t="s">
        <v>350</v>
      </c>
      <c r="D687" t="s">
        <v>354</v>
      </c>
      <c r="F687">
        <v>0</v>
      </c>
    </row>
    <row r="688" spans="1:6">
      <c r="A688" s="11">
        <v>44842</v>
      </c>
      <c r="B688" t="s">
        <v>432</v>
      </c>
      <c r="C688" t="s">
        <v>351</v>
      </c>
      <c r="D688" t="s">
        <v>46</v>
      </c>
      <c r="F688" cm="1">
        <f t="array" ref="F688:F689">TRANSPOSE('Utilization '!I287:J287)</f>
        <v>0</v>
      </c>
    </row>
    <row r="689" spans="1:6">
      <c r="A689" s="11">
        <v>44842</v>
      </c>
      <c r="B689" t="s">
        <v>432</v>
      </c>
      <c r="C689" t="s">
        <v>351</v>
      </c>
      <c r="D689" t="s">
        <v>62</v>
      </c>
      <c r="F689">
        <v>0</v>
      </c>
    </row>
    <row r="690" spans="1:6">
      <c r="A690" s="11">
        <v>44843</v>
      </c>
      <c r="B690" t="s">
        <v>432</v>
      </c>
      <c r="C690" t="s">
        <v>349</v>
      </c>
      <c r="D690" t="s">
        <v>40</v>
      </c>
      <c r="F690" cm="1">
        <f t="array" ref="F690:F695">TRANSPOSE('Utilization '!B288:G288)</f>
        <v>0</v>
      </c>
    </row>
    <row r="691" spans="1:6">
      <c r="A691" s="11">
        <v>44843</v>
      </c>
      <c r="B691" t="s">
        <v>432</v>
      </c>
      <c r="C691" t="s">
        <v>349</v>
      </c>
      <c r="D691" t="s">
        <v>36</v>
      </c>
      <c r="F691">
        <v>0</v>
      </c>
    </row>
    <row r="692" spans="1:6">
      <c r="A692" s="11">
        <v>44843</v>
      </c>
      <c r="B692" t="s">
        <v>432</v>
      </c>
      <c r="C692" t="s">
        <v>22</v>
      </c>
      <c r="D692" t="s">
        <v>23</v>
      </c>
      <c r="F692">
        <v>0</v>
      </c>
    </row>
    <row r="693" spans="1:6">
      <c r="A693" s="11">
        <v>44843</v>
      </c>
      <c r="B693" t="s">
        <v>432</v>
      </c>
      <c r="C693" t="s">
        <v>22</v>
      </c>
      <c r="D693" t="s">
        <v>76</v>
      </c>
      <c r="F693">
        <v>0</v>
      </c>
    </row>
    <row r="694" spans="1:6">
      <c r="A694" s="11">
        <v>44843</v>
      </c>
      <c r="B694" t="s">
        <v>432</v>
      </c>
      <c r="C694" t="s">
        <v>350</v>
      </c>
      <c r="D694" t="s">
        <v>78</v>
      </c>
      <c r="F694">
        <v>0</v>
      </c>
    </row>
    <row r="695" spans="1:6">
      <c r="A695" s="11">
        <v>44843</v>
      </c>
      <c r="B695" t="s">
        <v>432</v>
      </c>
      <c r="C695" t="s">
        <v>350</v>
      </c>
      <c r="D695" t="s">
        <v>354</v>
      </c>
      <c r="F695">
        <v>0</v>
      </c>
    </row>
    <row r="696" spans="1:6">
      <c r="A696" s="11">
        <v>44843</v>
      </c>
      <c r="B696" t="s">
        <v>432</v>
      </c>
      <c r="C696" t="s">
        <v>351</v>
      </c>
      <c r="D696" t="s">
        <v>46</v>
      </c>
      <c r="F696" cm="1">
        <f t="array" ref="F696:F697">TRANSPOSE('Utilization '!I288:J288)</f>
        <v>0</v>
      </c>
    </row>
    <row r="697" spans="1:6">
      <c r="A697" s="11">
        <v>44843</v>
      </c>
      <c r="B697" t="s">
        <v>432</v>
      </c>
      <c r="C697" t="s">
        <v>351</v>
      </c>
      <c r="D697" t="s">
        <v>62</v>
      </c>
      <c r="F697">
        <v>0</v>
      </c>
    </row>
    <row r="698" spans="1:6">
      <c r="A698" s="11">
        <v>44844</v>
      </c>
      <c r="B698" t="s">
        <v>432</v>
      </c>
      <c r="C698" t="s">
        <v>349</v>
      </c>
      <c r="D698" t="s">
        <v>40</v>
      </c>
      <c r="F698" cm="1">
        <f t="array" ref="F698:F703">TRANSPOSE('Utilization '!B289:G289)</f>
        <v>0</v>
      </c>
    </row>
    <row r="699" spans="1:6">
      <c r="A699" s="11">
        <v>44844</v>
      </c>
      <c r="B699" t="s">
        <v>432</v>
      </c>
      <c r="C699" t="s">
        <v>349</v>
      </c>
      <c r="D699" t="s">
        <v>36</v>
      </c>
      <c r="F699">
        <v>0</v>
      </c>
    </row>
    <row r="700" spans="1:6">
      <c r="A700" s="11">
        <v>44844</v>
      </c>
      <c r="B700" t="s">
        <v>432</v>
      </c>
      <c r="C700" t="s">
        <v>22</v>
      </c>
      <c r="D700" t="s">
        <v>23</v>
      </c>
      <c r="F700">
        <v>0</v>
      </c>
    </row>
    <row r="701" spans="1:6">
      <c r="A701" s="11">
        <v>44844</v>
      </c>
      <c r="B701" t="s">
        <v>432</v>
      </c>
      <c r="C701" t="s">
        <v>22</v>
      </c>
      <c r="D701" t="s">
        <v>76</v>
      </c>
      <c r="F701">
        <v>0</v>
      </c>
    </row>
    <row r="702" spans="1:6">
      <c r="A702" s="11">
        <v>44844</v>
      </c>
      <c r="B702" t="s">
        <v>432</v>
      </c>
      <c r="C702" t="s">
        <v>350</v>
      </c>
      <c r="D702" t="s">
        <v>78</v>
      </c>
      <c r="F702">
        <v>0</v>
      </c>
    </row>
    <row r="703" spans="1:6">
      <c r="A703" s="11">
        <v>44844</v>
      </c>
      <c r="B703" t="s">
        <v>432</v>
      </c>
      <c r="C703" t="s">
        <v>350</v>
      </c>
      <c r="D703" t="s">
        <v>354</v>
      </c>
      <c r="F703">
        <v>0</v>
      </c>
    </row>
    <row r="704" spans="1:6">
      <c r="A704" s="11">
        <v>44844</v>
      </c>
      <c r="B704" t="s">
        <v>432</v>
      </c>
      <c r="C704" t="s">
        <v>351</v>
      </c>
      <c r="D704" t="s">
        <v>46</v>
      </c>
      <c r="F704" cm="1">
        <f t="array" ref="F704:F705">TRANSPOSE('Utilization '!I289:J289)</f>
        <v>0</v>
      </c>
    </row>
    <row r="705" spans="1:6">
      <c r="A705" s="11">
        <v>44844</v>
      </c>
      <c r="B705" t="s">
        <v>432</v>
      </c>
      <c r="C705" t="s">
        <v>351</v>
      </c>
      <c r="D705" t="s">
        <v>62</v>
      </c>
      <c r="F705">
        <v>0</v>
      </c>
    </row>
    <row r="706" spans="1:6">
      <c r="A706" s="11">
        <v>44845</v>
      </c>
      <c r="B706" t="s">
        <v>432</v>
      </c>
      <c r="C706" t="s">
        <v>349</v>
      </c>
      <c r="D706" t="s">
        <v>40</v>
      </c>
      <c r="F706" cm="1">
        <f t="array" ref="F706:F711">TRANSPOSE('Utilization '!B290:G290)</f>
        <v>0</v>
      </c>
    </row>
    <row r="707" spans="1:6">
      <c r="A707" s="11">
        <v>44845</v>
      </c>
      <c r="B707" t="s">
        <v>432</v>
      </c>
      <c r="C707" t="s">
        <v>349</v>
      </c>
      <c r="D707" t="s">
        <v>36</v>
      </c>
      <c r="F707">
        <v>0</v>
      </c>
    </row>
    <row r="708" spans="1:6">
      <c r="A708" s="11">
        <v>44845</v>
      </c>
      <c r="B708" t="s">
        <v>432</v>
      </c>
      <c r="C708" t="s">
        <v>22</v>
      </c>
      <c r="D708" t="s">
        <v>23</v>
      </c>
      <c r="F708">
        <v>0</v>
      </c>
    </row>
    <row r="709" spans="1:6">
      <c r="A709" s="11">
        <v>44845</v>
      </c>
      <c r="B709" t="s">
        <v>432</v>
      </c>
      <c r="C709" t="s">
        <v>22</v>
      </c>
      <c r="D709" t="s">
        <v>76</v>
      </c>
      <c r="F709">
        <v>0</v>
      </c>
    </row>
    <row r="710" spans="1:6">
      <c r="A710" s="11">
        <v>44845</v>
      </c>
      <c r="B710" t="s">
        <v>432</v>
      </c>
      <c r="C710" t="s">
        <v>350</v>
      </c>
      <c r="D710" t="s">
        <v>78</v>
      </c>
      <c r="F710">
        <v>0</v>
      </c>
    </row>
    <row r="711" spans="1:6">
      <c r="A711" s="11">
        <v>44845</v>
      </c>
      <c r="B711" t="s">
        <v>432</v>
      </c>
      <c r="C711" t="s">
        <v>350</v>
      </c>
      <c r="D711" t="s">
        <v>354</v>
      </c>
      <c r="F711">
        <v>0</v>
      </c>
    </row>
    <row r="712" spans="1:6">
      <c r="A712" s="11">
        <v>44845</v>
      </c>
      <c r="B712" t="s">
        <v>432</v>
      </c>
      <c r="C712" t="s">
        <v>351</v>
      </c>
      <c r="D712" t="s">
        <v>46</v>
      </c>
      <c r="F712" cm="1">
        <f t="array" ref="F712:F713">TRANSPOSE('Utilization '!I290:J290)</f>
        <v>0</v>
      </c>
    </row>
    <row r="713" spans="1:6">
      <c r="A713" s="11">
        <v>44845</v>
      </c>
      <c r="B713" t="s">
        <v>432</v>
      </c>
      <c r="C713" t="s">
        <v>351</v>
      </c>
      <c r="D713" t="s">
        <v>62</v>
      </c>
      <c r="F713">
        <v>0</v>
      </c>
    </row>
    <row r="714" spans="1:6">
      <c r="A714" s="11">
        <v>44846</v>
      </c>
      <c r="B714" t="s">
        <v>432</v>
      </c>
      <c r="C714" t="s">
        <v>349</v>
      </c>
      <c r="D714" t="s">
        <v>40</v>
      </c>
      <c r="F714" cm="1">
        <f t="array" ref="F714:F719">TRANSPOSE('Utilization '!B291:G291)</f>
        <v>0</v>
      </c>
    </row>
    <row r="715" spans="1:6">
      <c r="A715" s="11">
        <v>44846</v>
      </c>
      <c r="B715" t="s">
        <v>432</v>
      </c>
      <c r="C715" t="s">
        <v>349</v>
      </c>
      <c r="D715" t="s">
        <v>36</v>
      </c>
      <c r="F715">
        <v>0</v>
      </c>
    </row>
    <row r="716" spans="1:6">
      <c r="A716" s="11">
        <v>44846</v>
      </c>
      <c r="B716" t="s">
        <v>432</v>
      </c>
      <c r="C716" t="s">
        <v>22</v>
      </c>
      <c r="D716" t="s">
        <v>23</v>
      </c>
      <c r="F716">
        <v>0</v>
      </c>
    </row>
    <row r="717" spans="1:6">
      <c r="A717" s="11">
        <v>44846</v>
      </c>
      <c r="B717" t="s">
        <v>432</v>
      </c>
      <c r="C717" t="s">
        <v>22</v>
      </c>
      <c r="D717" t="s">
        <v>76</v>
      </c>
      <c r="F717">
        <v>0</v>
      </c>
    </row>
    <row r="718" spans="1:6">
      <c r="A718" s="11">
        <v>44846</v>
      </c>
      <c r="B718" t="s">
        <v>432</v>
      </c>
      <c r="C718" t="s">
        <v>350</v>
      </c>
      <c r="D718" t="s">
        <v>78</v>
      </c>
      <c r="F718">
        <v>0</v>
      </c>
    </row>
    <row r="719" spans="1:6">
      <c r="A719" s="11">
        <v>44846</v>
      </c>
      <c r="B719" t="s">
        <v>432</v>
      </c>
      <c r="C719" t="s">
        <v>350</v>
      </c>
      <c r="D719" t="s">
        <v>354</v>
      </c>
      <c r="F719">
        <v>0</v>
      </c>
    </row>
    <row r="720" spans="1:6">
      <c r="A720" s="11">
        <v>44846</v>
      </c>
      <c r="B720" t="s">
        <v>432</v>
      </c>
      <c r="C720" t="s">
        <v>351</v>
      </c>
      <c r="D720" t="s">
        <v>46</v>
      </c>
      <c r="F720" cm="1">
        <f t="array" ref="F720:F721">TRANSPOSE('Utilization '!I291:J291)</f>
        <v>0</v>
      </c>
    </row>
    <row r="721" spans="1:6">
      <c r="A721" s="11">
        <v>44846</v>
      </c>
      <c r="B721" t="s">
        <v>432</v>
      </c>
      <c r="C721" t="s">
        <v>351</v>
      </c>
      <c r="D721" t="s">
        <v>62</v>
      </c>
      <c r="F721">
        <v>0</v>
      </c>
    </row>
    <row r="722" spans="1:6">
      <c r="A722" s="11">
        <v>44847</v>
      </c>
      <c r="B722" t="s">
        <v>432</v>
      </c>
      <c r="C722" t="s">
        <v>349</v>
      </c>
      <c r="D722" t="s">
        <v>40</v>
      </c>
      <c r="F722" cm="1">
        <f t="array" ref="F722:F727">TRANSPOSE('Utilization '!B292:G292)</f>
        <v>0</v>
      </c>
    </row>
    <row r="723" spans="1:6">
      <c r="A723" s="11">
        <v>44847</v>
      </c>
      <c r="B723" t="s">
        <v>432</v>
      </c>
      <c r="C723" t="s">
        <v>349</v>
      </c>
      <c r="D723" t="s">
        <v>36</v>
      </c>
      <c r="F723">
        <v>0</v>
      </c>
    </row>
    <row r="724" spans="1:6">
      <c r="A724" s="11">
        <v>44847</v>
      </c>
      <c r="B724" t="s">
        <v>432</v>
      </c>
      <c r="C724" t="s">
        <v>22</v>
      </c>
      <c r="D724" t="s">
        <v>23</v>
      </c>
      <c r="F724">
        <v>0</v>
      </c>
    </row>
    <row r="725" spans="1:6">
      <c r="A725" s="11">
        <v>44847</v>
      </c>
      <c r="B725" t="s">
        <v>432</v>
      </c>
      <c r="C725" t="s">
        <v>22</v>
      </c>
      <c r="D725" t="s">
        <v>76</v>
      </c>
      <c r="F725">
        <v>0</v>
      </c>
    </row>
    <row r="726" spans="1:6">
      <c r="A726" s="11">
        <v>44847</v>
      </c>
      <c r="B726" t="s">
        <v>432</v>
      </c>
      <c r="C726" t="s">
        <v>350</v>
      </c>
      <c r="D726" t="s">
        <v>78</v>
      </c>
      <c r="F726">
        <v>0</v>
      </c>
    </row>
    <row r="727" spans="1:6">
      <c r="A727" s="11">
        <v>44847</v>
      </c>
      <c r="B727" t="s">
        <v>432</v>
      </c>
      <c r="C727" t="s">
        <v>350</v>
      </c>
      <c r="D727" t="s">
        <v>354</v>
      </c>
      <c r="F727">
        <v>0</v>
      </c>
    </row>
    <row r="728" spans="1:6">
      <c r="A728" s="11">
        <v>44847</v>
      </c>
      <c r="B728" t="s">
        <v>432</v>
      </c>
      <c r="C728" t="s">
        <v>351</v>
      </c>
      <c r="D728" t="s">
        <v>46</v>
      </c>
      <c r="F728" cm="1">
        <f t="array" ref="F728:F729">TRANSPOSE('Utilization '!I292:J292)</f>
        <v>0</v>
      </c>
    </row>
    <row r="729" spans="1:6">
      <c r="A729" s="11">
        <v>44847</v>
      </c>
      <c r="B729" t="s">
        <v>432</v>
      </c>
      <c r="C729" t="s">
        <v>351</v>
      </c>
      <c r="D729" t="s">
        <v>62</v>
      </c>
      <c r="F729">
        <v>0</v>
      </c>
    </row>
    <row r="730" spans="1:6">
      <c r="A730" s="11">
        <v>44848</v>
      </c>
      <c r="B730" t="s">
        <v>432</v>
      </c>
      <c r="C730" t="s">
        <v>349</v>
      </c>
      <c r="D730" t="s">
        <v>40</v>
      </c>
      <c r="F730" cm="1">
        <f t="array" ref="F730:F735">TRANSPOSE('Utilization '!B293:G293)</f>
        <v>0</v>
      </c>
    </row>
    <row r="731" spans="1:6">
      <c r="A731" s="11">
        <v>44848</v>
      </c>
      <c r="B731" t="s">
        <v>432</v>
      </c>
      <c r="C731" t="s">
        <v>349</v>
      </c>
      <c r="D731" t="s">
        <v>36</v>
      </c>
      <c r="F731">
        <v>0</v>
      </c>
    </row>
    <row r="732" spans="1:6">
      <c r="A732" s="11">
        <v>44848</v>
      </c>
      <c r="B732" t="s">
        <v>432</v>
      </c>
      <c r="C732" t="s">
        <v>22</v>
      </c>
      <c r="D732" t="s">
        <v>23</v>
      </c>
      <c r="F732">
        <v>0</v>
      </c>
    </row>
    <row r="733" spans="1:6">
      <c r="A733" s="11">
        <v>44848</v>
      </c>
      <c r="B733" t="s">
        <v>432</v>
      </c>
      <c r="C733" t="s">
        <v>22</v>
      </c>
      <c r="D733" t="s">
        <v>76</v>
      </c>
      <c r="F733">
        <v>0</v>
      </c>
    </row>
    <row r="734" spans="1:6">
      <c r="A734" s="11">
        <v>44848</v>
      </c>
      <c r="B734" t="s">
        <v>432</v>
      </c>
      <c r="C734" t="s">
        <v>350</v>
      </c>
      <c r="D734" t="s">
        <v>78</v>
      </c>
      <c r="F734">
        <v>0</v>
      </c>
    </row>
    <row r="735" spans="1:6">
      <c r="A735" s="11">
        <v>44848</v>
      </c>
      <c r="B735" t="s">
        <v>432</v>
      </c>
      <c r="C735" t="s">
        <v>350</v>
      </c>
      <c r="D735" t="s">
        <v>354</v>
      </c>
      <c r="F735">
        <v>0</v>
      </c>
    </row>
    <row r="736" spans="1:6">
      <c r="A736" s="11">
        <v>44848</v>
      </c>
      <c r="B736" t="s">
        <v>432</v>
      </c>
      <c r="C736" t="s">
        <v>351</v>
      </c>
      <c r="D736" t="s">
        <v>46</v>
      </c>
      <c r="F736" cm="1">
        <f t="array" ref="F736:F737">TRANSPOSE('Utilization '!I293:J293)</f>
        <v>0</v>
      </c>
    </row>
    <row r="737" spans="1:6">
      <c r="A737" s="11">
        <v>44848</v>
      </c>
      <c r="B737" t="s">
        <v>432</v>
      </c>
      <c r="C737" t="s">
        <v>351</v>
      </c>
      <c r="D737" t="s">
        <v>62</v>
      </c>
      <c r="F737">
        <v>0</v>
      </c>
    </row>
    <row r="738" spans="1:6">
      <c r="A738" s="11">
        <v>44849</v>
      </c>
      <c r="B738" t="s">
        <v>432</v>
      </c>
      <c r="C738" t="s">
        <v>349</v>
      </c>
      <c r="D738" t="s">
        <v>40</v>
      </c>
      <c r="F738" cm="1">
        <f t="array" ref="F738:F743">TRANSPOSE('Utilization '!B294:G294)</f>
        <v>0</v>
      </c>
    </row>
    <row r="739" spans="1:6">
      <c r="A739" s="11">
        <v>44849</v>
      </c>
      <c r="B739" t="s">
        <v>432</v>
      </c>
      <c r="C739" t="s">
        <v>349</v>
      </c>
      <c r="D739" t="s">
        <v>36</v>
      </c>
      <c r="F739">
        <v>0</v>
      </c>
    </row>
    <row r="740" spans="1:6">
      <c r="A740" s="11">
        <v>44849</v>
      </c>
      <c r="B740" t="s">
        <v>432</v>
      </c>
      <c r="C740" t="s">
        <v>22</v>
      </c>
      <c r="D740" t="s">
        <v>23</v>
      </c>
      <c r="F740">
        <v>0</v>
      </c>
    </row>
    <row r="741" spans="1:6">
      <c r="A741" s="11">
        <v>44849</v>
      </c>
      <c r="B741" t="s">
        <v>432</v>
      </c>
      <c r="C741" t="s">
        <v>22</v>
      </c>
      <c r="D741" t="s">
        <v>76</v>
      </c>
      <c r="F741">
        <v>0</v>
      </c>
    </row>
    <row r="742" spans="1:6">
      <c r="A742" s="11">
        <v>44849</v>
      </c>
      <c r="B742" t="s">
        <v>432</v>
      </c>
      <c r="C742" t="s">
        <v>350</v>
      </c>
      <c r="D742" t="s">
        <v>78</v>
      </c>
      <c r="F742">
        <v>0</v>
      </c>
    </row>
    <row r="743" spans="1:6">
      <c r="A743" s="11">
        <v>44849</v>
      </c>
      <c r="B743" t="s">
        <v>432</v>
      </c>
      <c r="C743" t="s">
        <v>350</v>
      </c>
      <c r="D743" t="s">
        <v>354</v>
      </c>
      <c r="F743">
        <v>0</v>
      </c>
    </row>
    <row r="744" spans="1:6">
      <c r="A744" s="11">
        <v>44849</v>
      </c>
      <c r="B744" t="s">
        <v>432</v>
      </c>
      <c r="C744" t="s">
        <v>351</v>
      </c>
      <c r="D744" t="s">
        <v>46</v>
      </c>
      <c r="F744" cm="1">
        <f t="array" ref="F744:F745">TRANSPOSE('Utilization '!I294:J294)</f>
        <v>0</v>
      </c>
    </row>
    <row r="745" spans="1:6">
      <c r="A745" s="11">
        <v>44849</v>
      </c>
      <c r="B745" t="s">
        <v>432</v>
      </c>
      <c r="C745" t="s">
        <v>351</v>
      </c>
      <c r="D745" t="s">
        <v>62</v>
      </c>
      <c r="F745">
        <v>0</v>
      </c>
    </row>
    <row r="746" spans="1:6">
      <c r="A746" s="11">
        <v>44850</v>
      </c>
      <c r="B746" t="s">
        <v>432</v>
      </c>
      <c r="C746" t="s">
        <v>349</v>
      </c>
      <c r="D746" t="s">
        <v>40</v>
      </c>
      <c r="F746" cm="1">
        <f t="array" ref="F746:F751">TRANSPOSE('Utilization '!B295:G295)</f>
        <v>0</v>
      </c>
    </row>
    <row r="747" spans="1:6">
      <c r="A747" s="11">
        <v>44850</v>
      </c>
      <c r="B747" t="s">
        <v>432</v>
      </c>
      <c r="C747" t="s">
        <v>349</v>
      </c>
      <c r="D747" t="s">
        <v>36</v>
      </c>
      <c r="F747">
        <v>0</v>
      </c>
    </row>
    <row r="748" spans="1:6">
      <c r="A748" s="11">
        <v>44850</v>
      </c>
      <c r="B748" t="s">
        <v>432</v>
      </c>
      <c r="C748" t="s">
        <v>22</v>
      </c>
      <c r="D748" t="s">
        <v>23</v>
      </c>
      <c r="F748">
        <v>0</v>
      </c>
    </row>
    <row r="749" spans="1:6">
      <c r="A749" s="11">
        <v>44850</v>
      </c>
      <c r="B749" t="s">
        <v>432</v>
      </c>
      <c r="C749" t="s">
        <v>22</v>
      </c>
      <c r="D749" t="s">
        <v>76</v>
      </c>
      <c r="F749">
        <v>0</v>
      </c>
    </row>
    <row r="750" spans="1:6">
      <c r="A750" s="11">
        <v>44850</v>
      </c>
      <c r="B750" t="s">
        <v>432</v>
      </c>
      <c r="C750" t="s">
        <v>350</v>
      </c>
      <c r="D750" t="s">
        <v>78</v>
      </c>
      <c r="F750">
        <v>0</v>
      </c>
    </row>
    <row r="751" spans="1:6">
      <c r="A751" s="11">
        <v>44850</v>
      </c>
      <c r="B751" t="s">
        <v>432</v>
      </c>
      <c r="C751" t="s">
        <v>350</v>
      </c>
      <c r="D751" t="s">
        <v>354</v>
      </c>
      <c r="F751">
        <v>0</v>
      </c>
    </row>
    <row r="752" spans="1:6">
      <c r="A752" s="11">
        <v>44850</v>
      </c>
      <c r="B752" t="s">
        <v>432</v>
      </c>
      <c r="C752" t="s">
        <v>351</v>
      </c>
      <c r="D752" t="s">
        <v>46</v>
      </c>
      <c r="F752" cm="1">
        <f t="array" ref="F752:F753">TRANSPOSE('Utilization '!I295:J295)</f>
        <v>0</v>
      </c>
    </row>
    <row r="753" spans="1:6">
      <c r="A753" s="11">
        <v>44850</v>
      </c>
      <c r="B753" t="s">
        <v>432</v>
      </c>
      <c r="C753" t="s">
        <v>351</v>
      </c>
      <c r="D753" t="s">
        <v>62</v>
      </c>
      <c r="F753">
        <v>0</v>
      </c>
    </row>
    <row r="754" spans="1:6">
      <c r="A754" s="11">
        <v>44851</v>
      </c>
      <c r="B754" t="s">
        <v>432</v>
      </c>
      <c r="C754" t="s">
        <v>349</v>
      </c>
      <c r="D754" t="s">
        <v>40</v>
      </c>
      <c r="F754" cm="1">
        <f t="array" ref="F754:F759">TRANSPOSE('Utilization '!B296:G296)</f>
        <v>0</v>
      </c>
    </row>
    <row r="755" spans="1:6">
      <c r="A755" s="11">
        <v>44851</v>
      </c>
      <c r="B755" t="s">
        <v>432</v>
      </c>
      <c r="C755" t="s">
        <v>349</v>
      </c>
      <c r="D755" t="s">
        <v>36</v>
      </c>
      <c r="F755">
        <v>0</v>
      </c>
    </row>
    <row r="756" spans="1:6">
      <c r="A756" s="11">
        <v>44851</v>
      </c>
      <c r="B756" t="s">
        <v>432</v>
      </c>
      <c r="C756" t="s">
        <v>22</v>
      </c>
      <c r="D756" t="s">
        <v>23</v>
      </c>
      <c r="F756">
        <v>0</v>
      </c>
    </row>
    <row r="757" spans="1:6">
      <c r="A757" s="11">
        <v>44851</v>
      </c>
      <c r="B757" t="s">
        <v>432</v>
      </c>
      <c r="C757" t="s">
        <v>22</v>
      </c>
      <c r="D757" t="s">
        <v>76</v>
      </c>
      <c r="F757">
        <v>0</v>
      </c>
    </row>
    <row r="758" spans="1:6">
      <c r="A758" s="11">
        <v>44851</v>
      </c>
      <c r="B758" t="s">
        <v>432</v>
      </c>
      <c r="C758" t="s">
        <v>350</v>
      </c>
      <c r="D758" t="s">
        <v>78</v>
      </c>
      <c r="F758">
        <v>0</v>
      </c>
    </row>
    <row r="759" spans="1:6">
      <c r="A759" s="11">
        <v>44851</v>
      </c>
      <c r="B759" t="s">
        <v>432</v>
      </c>
      <c r="C759" t="s">
        <v>350</v>
      </c>
      <c r="D759" t="s">
        <v>354</v>
      </c>
      <c r="F759">
        <v>0</v>
      </c>
    </row>
    <row r="760" spans="1:6">
      <c r="A760" s="11">
        <v>44851</v>
      </c>
      <c r="B760" t="s">
        <v>432</v>
      </c>
      <c r="C760" t="s">
        <v>351</v>
      </c>
      <c r="D760" t="s">
        <v>46</v>
      </c>
      <c r="F760" cm="1">
        <f t="array" ref="F760:F761">TRANSPOSE('Utilization '!I296:J296)</f>
        <v>0</v>
      </c>
    </row>
    <row r="761" spans="1:6">
      <c r="A761" s="11">
        <v>44851</v>
      </c>
      <c r="B761" t="s">
        <v>432</v>
      </c>
      <c r="C761" t="s">
        <v>351</v>
      </c>
      <c r="D761" t="s">
        <v>62</v>
      </c>
      <c r="F761">
        <v>0</v>
      </c>
    </row>
    <row r="762" spans="1:6">
      <c r="A762" s="11">
        <v>44852</v>
      </c>
      <c r="B762" t="s">
        <v>432</v>
      </c>
      <c r="C762" t="s">
        <v>349</v>
      </c>
      <c r="D762" t="s">
        <v>40</v>
      </c>
      <c r="F762" cm="1">
        <f t="array" ref="F762:F767">TRANSPOSE('Utilization '!B297:G297)</f>
        <v>0</v>
      </c>
    </row>
    <row r="763" spans="1:6">
      <c r="A763" s="11">
        <v>44852</v>
      </c>
      <c r="B763" t="s">
        <v>432</v>
      </c>
      <c r="C763" t="s">
        <v>349</v>
      </c>
      <c r="D763" t="s">
        <v>36</v>
      </c>
      <c r="F763">
        <v>0</v>
      </c>
    </row>
    <row r="764" spans="1:6">
      <c r="A764" s="11">
        <v>44852</v>
      </c>
      <c r="B764" t="s">
        <v>432</v>
      </c>
      <c r="C764" t="s">
        <v>22</v>
      </c>
      <c r="D764" t="s">
        <v>23</v>
      </c>
      <c r="F764">
        <v>0</v>
      </c>
    </row>
    <row r="765" spans="1:6">
      <c r="A765" s="11">
        <v>44852</v>
      </c>
      <c r="B765" t="s">
        <v>432</v>
      </c>
      <c r="C765" t="s">
        <v>22</v>
      </c>
      <c r="D765" t="s">
        <v>76</v>
      </c>
      <c r="F765">
        <v>0</v>
      </c>
    </row>
    <row r="766" spans="1:6">
      <c r="A766" s="11">
        <v>44852</v>
      </c>
      <c r="B766" t="s">
        <v>432</v>
      </c>
      <c r="C766" t="s">
        <v>350</v>
      </c>
      <c r="D766" t="s">
        <v>78</v>
      </c>
      <c r="F766">
        <v>0</v>
      </c>
    </row>
    <row r="767" spans="1:6">
      <c r="A767" s="11">
        <v>44852</v>
      </c>
      <c r="B767" t="s">
        <v>432</v>
      </c>
      <c r="C767" t="s">
        <v>350</v>
      </c>
      <c r="D767" t="s">
        <v>354</v>
      </c>
      <c r="F767">
        <v>0</v>
      </c>
    </row>
    <row r="768" spans="1:6">
      <c r="A768" s="11">
        <v>44852</v>
      </c>
      <c r="B768" t="s">
        <v>432</v>
      </c>
      <c r="C768" t="s">
        <v>351</v>
      </c>
      <c r="D768" t="s">
        <v>46</v>
      </c>
      <c r="F768" cm="1">
        <f t="array" ref="F768:F769">TRANSPOSE('Utilization '!I297:J297)</f>
        <v>0</v>
      </c>
    </row>
    <row r="769" spans="1:6">
      <c r="A769" s="11">
        <v>44852</v>
      </c>
      <c r="B769" t="s">
        <v>432</v>
      </c>
      <c r="C769" t="s">
        <v>351</v>
      </c>
      <c r="D769" t="s">
        <v>62</v>
      </c>
      <c r="F769">
        <v>0</v>
      </c>
    </row>
    <row r="770" spans="1:6">
      <c r="A770" s="11">
        <v>44853</v>
      </c>
      <c r="B770" t="s">
        <v>432</v>
      </c>
      <c r="C770" t="s">
        <v>349</v>
      </c>
      <c r="D770" t="s">
        <v>40</v>
      </c>
      <c r="F770" cm="1">
        <f t="array" ref="F770:F775">TRANSPOSE('Utilization '!B298:G298)</f>
        <v>0</v>
      </c>
    </row>
    <row r="771" spans="1:6">
      <c r="A771" s="11">
        <v>44853</v>
      </c>
      <c r="B771" t="s">
        <v>432</v>
      </c>
      <c r="C771" t="s">
        <v>349</v>
      </c>
      <c r="D771" t="s">
        <v>36</v>
      </c>
      <c r="F771">
        <v>0</v>
      </c>
    </row>
    <row r="772" spans="1:6">
      <c r="A772" s="11">
        <v>44853</v>
      </c>
      <c r="B772" t="s">
        <v>432</v>
      </c>
      <c r="C772" t="s">
        <v>22</v>
      </c>
      <c r="D772" t="s">
        <v>23</v>
      </c>
      <c r="F772">
        <v>0</v>
      </c>
    </row>
    <row r="773" spans="1:6">
      <c r="A773" s="11">
        <v>44853</v>
      </c>
      <c r="B773" t="s">
        <v>432</v>
      </c>
      <c r="C773" t="s">
        <v>22</v>
      </c>
      <c r="D773" t="s">
        <v>76</v>
      </c>
      <c r="F773">
        <v>0</v>
      </c>
    </row>
    <row r="774" spans="1:6">
      <c r="A774" s="11">
        <v>44853</v>
      </c>
      <c r="B774" t="s">
        <v>432</v>
      </c>
      <c r="C774" t="s">
        <v>350</v>
      </c>
      <c r="D774" t="s">
        <v>78</v>
      </c>
      <c r="F774">
        <v>0</v>
      </c>
    </row>
    <row r="775" spans="1:6">
      <c r="A775" s="11">
        <v>44853</v>
      </c>
      <c r="B775" t="s">
        <v>432</v>
      </c>
      <c r="C775" t="s">
        <v>350</v>
      </c>
      <c r="D775" t="s">
        <v>354</v>
      </c>
      <c r="F775">
        <v>0</v>
      </c>
    </row>
    <row r="776" spans="1:6">
      <c r="A776" s="11">
        <v>44853</v>
      </c>
      <c r="B776" t="s">
        <v>432</v>
      </c>
      <c r="C776" t="s">
        <v>351</v>
      </c>
      <c r="D776" t="s">
        <v>46</v>
      </c>
      <c r="F776" cm="1">
        <f t="array" ref="F776:F777">TRANSPOSE('Utilization '!I298:J298)</f>
        <v>0</v>
      </c>
    </row>
    <row r="777" spans="1:6">
      <c r="A777" s="11">
        <v>44853</v>
      </c>
      <c r="B777" t="s">
        <v>432</v>
      </c>
      <c r="C777" t="s">
        <v>351</v>
      </c>
      <c r="D777" t="s">
        <v>62</v>
      </c>
      <c r="F777">
        <v>0</v>
      </c>
    </row>
    <row r="778" spans="1:6">
      <c r="A778" s="11">
        <v>44854</v>
      </c>
      <c r="B778" t="s">
        <v>432</v>
      </c>
      <c r="C778" t="s">
        <v>349</v>
      </c>
      <c r="D778" t="s">
        <v>40</v>
      </c>
      <c r="F778" cm="1">
        <f t="array" ref="F778:F783">TRANSPOSE('Utilization '!B299:G299)</f>
        <v>0</v>
      </c>
    </row>
    <row r="779" spans="1:6">
      <c r="A779" s="11">
        <v>44854</v>
      </c>
      <c r="B779" t="s">
        <v>432</v>
      </c>
      <c r="C779" t="s">
        <v>349</v>
      </c>
      <c r="D779" t="s">
        <v>36</v>
      </c>
      <c r="F779">
        <v>0</v>
      </c>
    </row>
    <row r="780" spans="1:6">
      <c r="A780" s="11">
        <v>44854</v>
      </c>
      <c r="B780" t="s">
        <v>432</v>
      </c>
      <c r="C780" t="s">
        <v>22</v>
      </c>
      <c r="D780" t="s">
        <v>23</v>
      </c>
      <c r="F780">
        <v>0</v>
      </c>
    </row>
    <row r="781" spans="1:6">
      <c r="A781" s="11">
        <v>44854</v>
      </c>
      <c r="B781" t="s">
        <v>432</v>
      </c>
      <c r="C781" t="s">
        <v>22</v>
      </c>
      <c r="D781" t="s">
        <v>76</v>
      </c>
      <c r="F781">
        <v>0</v>
      </c>
    </row>
    <row r="782" spans="1:6">
      <c r="A782" s="11">
        <v>44854</v>
      </c>
      <c r="B782" t="s">
        <v>432</v>
      </c>
      <c r="C782" t="s">
        <v>350</v>
      </c>
      <c r="D782" t="s">
        <v>78</v>
      </c>
      <c r="F782">
        <v>0</v>
      </c>
    </row>
    <row r="783" spans="1:6">
      <c r="A783" s="11">
        <v>44854</v>
      </c>
      <c r="B783" t="s">
        <v>432</v>
      </c>
      <c r="C783" t="s">
        <v>350</v>
      </c>
      <c r="D783" t="s">
        <v>354</v>
      </c>
      <c r="F783">
        <v>0</v>
      </c>
    </row>
    <row r="784" spans="1:6">
      <c r="A784" s="11">
        <v>44854</v>
      </c>
      <c r="B784" t="s">
        <v>432</v>
      </c>
      <c r="C784" t="s">
        <v>351</v>
      </c>
      <c r="D784" t="s">
        <v>46</v>
      </c>
      <c r="F784" cm="1">
        <f t="array" ref="F784:F785">TRANSPOSE('Utilization '!I299:J299)</f>
        <v>0</v>
      </c>
    </row>
    <row r="785" spans="1:6">
      <c r="A785" s="11">
        <v>44854</v>
      </c>
      <c r="B785" t="s">
        <v>432</v>
      </c>
      <c r="C785" t="s">
        <v>351</v>
      </c>
      <c r="D785" t="s">
        <v>62</v>
      </c>
      <c r="F785">
        <v>0</v>
      </c>
    </row>
    <row r="786" spans="1:6">
      <c r="A786" s="11">
        <v>44855</v>
      </c>
      <c r="B786" t="s">
        <v>432</v>
      </c>
      <c r="C786" t="s">
        <v>349</v>
      </c>
      <c r="D786" t="s">
        <v>40</v>
      </c>
      <c r="F786" cm="1">
        <f t="array" ref="F786:F791">TRANSPOSE('Utilization '!B300:G300)</f>
        <v>0</v>
      </c>
    </row>
    <row r="787" spans="1:6">
      <c r="A787" s="11">
        <v>44855</v>
      </c>
      <c r="B787" t="s">
        <v>432</v>
      </c>
      <c r="C787" t="s">
        <v>349</v>
      </c>
      <c r="D787" t="s">
        <v>36</v>
      </c>
      <c r="F787">
        <v>0</v>
      </c>
    </row>
    <row r="788" spans="1:6">
      <c r="A788" s="11">
        <v>44855</v>
      </c>
      <c r="B788" t="s">
        <v>432</v>
      </c>
      <c r="C788" t="s">
        <v>22</v>
      </c>
      <c r="D788" t="s">
        <v>23</v>
      </c>
      <c r="F788">
        <v>0</v>
      </c>
    </row>
    <row r="789" spans="1:6">
      <c r="A789" s="11">
        <v>44855</v>
      </c>
      <c r="B789" t="s">
        <v>432</v>
      </c>
      <c r="C789" t="s">
        <v>22</v>
      </c>
      <c r="D789" t="s">
        <v>76</v>
      </c>
      <c r="F789">
        <v>0</v>
      </c>
    </row>
    <row r="790" spans="1:6">
      <c r="A790" s="11">
        <v>44855</v>
      </c>
      <c r="B790" t="s">
        <v>432</v>
      </c>
      <c r="C790" t="s">
        <v>350</v>
      </c>
      <c r="D790" t="s">
        <v>78</v>
      </c>
      <c r="F790">
        <v>0</v>
      </c>
    </row>
    <row r="791" spans="1:6">
      <c r="A791" s="11">
        <v>44855</v>
      </c>
      <c r="B791" t="s">
        <v>432</v>
      </c>
      <c r="C791" t="s">
        <v>350</v>
      </c>
      <c r="D791" t="s">
        <v>354</v>
      </c>
      <c r="F791">
        <v>0</v>
      </c>
    </row>
    <row r="792" spans="1:6">
      <c r="A792" s="11">
        <v>44855</v>
      </c>
      <c r="B792" t="s">
        <v>432</v>
      </c>
      <c r="C792" t="s">
        <v>351</v>
      </c>
      <c r="D792" t="s">
        <v>46</v>
      </c>
      <c r="F792" cm="1">
        <f t="array" ref="F792:F793">TRANSPOSE('Utilization '!I300:J300)</f>
        <v>0</v>
      </c>
    </row>
    <row r="793" spans="1:6">
      <c r="A793" s="11">
        <v>44855</v>
      </c>
      <c r="B793" t="s">
        <v>432</v>
      </c>
      <c r="C793" t="s">
        <v>351</v>
      </c>
      <c r="D793" t="s">
        <v>62</v>
      </c>
      <c r="F793">
        <v>0</v>
      </c>
    </row>
    <row r="794" spans="1:6">
      <c r="A794" s="11">
        <v>44856</v>
      </c>
      <c r="B794" t="s">
        <v>432</v>
      </c>
      <c r="C794" t="s">
        <v>349</v>
      </c>
      <c r="D794" t="s">
        <v>40</v>
      </c>
      <c r="F794" cm="1">
        <f t="array" ref="F794:F799">TRANSPOSE('Utilization '!B301:G301)</f>
        <v>0</v>
      </c>
    </row>
    <row r="795" spans="1:6">
      <c r="A795" s="11">
        <v>44856</v>
      </c>
      <c r="B795" t="s">
        <v>432</v>
      </c>
      <c r="C795" t="s">
        <v>349</v>
      </c>
      <c r="D795" t="s">
        <v>36</v>
      </c>
      <c r="F795">
        <v>0</v>
      </c>
    </row>
    <row r="796" spans="1:6">
      <c r="A796" s="11">
        <v>44856</v>
      </c>
      <c r="B796" t="s">
        <v>432</v>
      </c>
      <c r="C796" t="s">
        <v>22</v>
      </c>
      <c r="D796" t="s">
        <v>23</v>
      </c>
      <c r="F796">
        <v>0</v>
      </c>
    </row>
    <row r="797" spans="1:6">
      <c r="A797" s="11">
        <v>44856</v>
      </c>
      <c r="B797" t="s">
        <v>432</v>
      </c>
      <c r="C797" t="s">
        <v>22</v>
      </c>
      <c r="D797" t="s">
        <v>76</v>
      </c>
      <c r="F797">
        <v>0</v>
      </c>
    </row>
    <row r="798" spans="1:6">
      <c r="A798" s="11">
        <v>44856</v>
      </c>
      <c r="B798" t="s">
        <v>432</v>
      </c>
      <c r="C798" t="s">
        <v>350</v>
      </c>
      <c r="D798" t="s">
        <v>78</v>
      </c>
      <c r="F798">
        <v>0</v>
      </c>
    </row>
    <row r="799" spans="1:6">
      <c r="A799" s="11">
        <v>44856</v>
      </c>
      <c r="B799" t="s">
        <v>432</v>
      </c>
      <c r="C799" t="s">
        <v>350</v>
      </c>
      <c r="D799" t="s">
        <v>354</v>
      </c>
      <c r="F799">
        <v>0</v>
      </c>
    </row>
    <row r="800" spans="1:6">
      <c r="A800" s="11">
        <v>44856</v>
      </c>
      <c r="B800" t="s">
        <v>432</v>
      </c>
      <c r="C800" t="s">
        <v>351</v>
      </c>
      <c r="D800" t="s">
        <v>46</v>
      </c>
      <c r="F800" cm="1">
        <f t="array" ref="F800:F801">TRANSPOSE('Utilization '!I301:J301)</f>
        <v>0</v>
      </c>
    </row>
    <row r="801" spans="1:6">
      <c r="A801" s="11">
        <v>44856</v>
      </c>
      <c r="B801" t="s">
        <v>432</v>
      </c>
      <c r="C801" t="s">
        <v>351</v>
      </c>
      <c r="D801" t="s">
        <v>62</v>
      </c>
      <c r="F801">
        <v>0</v>
      </c>
    </row>
    <row r="802" spans="1:6">
      <c r="A802" s="11">
        <v>44857</v>
      </c>
      <c r="B802" t="s">
        <v>432</v>
      </c>
      <c r="C802" t="s">
        <v>349</v>
      </c>
      <c r="D802" t="s">
        <v>40</v>
      </c>
      <c r="F802" cm="1">
        <f t="array" ref="F802:F807">TRANSPOSE('Utilization '!B302:G302)</f>
        <v>0</v>
      </c>
    </row>
    <row r="803" spans="1:6">
      <c r="A803" s="11">
        <v>44857</v>
      </c>
      <c r="B803" t="s">
        <v>432</v>
      </c>
      <c r="C803" t="s">
        <v>349</v>
      </c>
      <c r="D803" t="s">
        <v>36</v>
      </c>
      <c r="F803">
        <v>0</v>
      </c>
    </row>
    <row r="804" spans="1:6">
      <c r="A804" s="11">
        <v>44857</v>
      </c>
      <c r="B804" t="s">
        <v>432</v>
      </c>
      <c r="C804" t="s">
        <v>22</v>
      </c>
      <c r="D804" t="s">
        <v>23</v>
      </c>
      <c r="F804">
        <v>0</v>
      </c>
    </row>
    <row r="805" spans="1:6">
      <c r="A805" s="11">
        <v>44857</v>
      </c>
      <c r="B805" t="s">
        <v>432</v>
      </c>
      <c r="C805" t="s">
        <v>22</v>
      </c>
      <c r="D805" t="s">
        <v>76</v>
      </c>
      <c r="F805">
        <v>0</v>
      </c>
    </row>
    <row r="806" spans="1:6">
      <c r="A806" s="11">
        <v>44857</v>
      </c>
      <c r="B806" t="s">
        <v>432</v>
      </c>
      <c r="C806" t="s">
        <v>350</v>
      </c>
      <c r="D806" t="s">
        <v>78</v>
      </c>
      <c r="F806">
        <v>0</v>
      </c>
    </row>
    <row r="807" spans="1:6">
      <c r="A807" s="11">
        <v>44857</v>
      </c>
      <c r="B807" t="s">
        <v>432</v>
      </c>
      <c r="C807" t="s">
        <v>350</v>
      </c>
      <c r="D807" t="s">
        <v>354</v>
      </c>
      <c r="F807">
        <v>0</v>
      </c>
    </row>
    <row r="808" spans="1:6">
      <c r="A808" s="11">
        <v>44857</v>
      </c>
      <c r="B808" t="s">
        <v>432</v>
      </c>
      <c r="C808" t="s">
        <v>351</v>
      </c>
      <c r="D808" t="s">
        <v>46</v>
      </c>
      <c r="F808" cm="1">
        <f t="array" ref="F808:F809">TRANSPOSE('Utilization '!I302:J302)</f>
        <v>0</v>
      </c>
    </row>
    <row r="809" spans="1:6">
      <c r="A809" s="11">
        <v>44857</v>
      </c>
      <c r="B809" t="s">
        <v>432</v>
      </c>
      <c r="C809" t="s">
        <v>351</v>
      </c>
      <c r="D809" t="s">
        <v>62</v>
      </c>
      <c r="F809">
        <v>0</v>
      </c>
    </row>
    <row r="810" spans="1:6">
      <c r="A810" s="11">
        <v>44858</v>
      </c>
      <c r="B810" t="s">
        <v>432</v>
      </c>
      <c r="C810" t="s">
        <v>349</v>
      </c>
      <c r="D810" t="s">
        <v>40</v>
      </c>
      <c r="F810" cm="1">
        <f t="array" ref="F810:F815">TRANSPOSE('Utilization '!B303:G303)</f>
        <v>0</v>
      </c>
    </row>
    <row r="811" spans="1:6">
      <c r="A811" s="11">
        <v>44858</v>
      </c>
      <c r="B811" t="s">
        <v>432</v>
      </c>
      <c r="C811" t="s">
        <v>349</v>
      </c>
      <c r="D811" t="s">
        <v>36</v>
      </c>
      <c r="F811">
        <v>0</v>
      </c>
    </row>
    <row r="812" spans="1:6">
      <c r="A812" s="11">
        <v>44858</v>
      </c>
      <c r="B812" t="s">
        <v>432</v>
      </c>
      <c r="C812" t="s">
        <v>22</v>
      </c>
      <c r="D812" t="s">
        <v>23</v>
      </c>
      <c r="F812">
        <v>0</v>
      </c>
    </row>
    <row r="813" spans="1:6">
      <c r="A813" s="11">
        <v>44858</v>
      </c>
      <c r="B813" t="s">
        <v>432</v>
      </c>
      <c r="C813" t="s">
        <v>22</v>
      </c>
      <c r="D813" t="s">
        <v>76</v>
      </c>
      <c r="F813">
        <v>0</v>
      </c>
    </row>
    <row r="814" spans="1:6">
      <c r="A814" s="11">
        <v>44858</v>
      </c>
      <c r="B814" t="s">
        <v>432</v>
      </c>
      <c r="C814" t="s">
        <v>350</v>
      </c>
      <c r="D814" t="s">
        <v>78</v>
      </c>
      <c r="F814">
        <v>0</v>
      </c>
    </row>
    <row r="815" spans="1:6">
      <c r="A815" s="11">
        <v>44858</v>
      </c>
      <c r="B815" t="s">
        <v>432</v>
      </c>
      <c r="C815" t="s">
        <v>350</v>
      </c>
      <c r="D815" t="s">
        <v>354</v>
      </c>
      <c r="F815">
        <v>0</v>
      </c>
    </row>
    <row r="816" spans="1:6">
      <c r="A816" s="11">
        <v>44858</v>
      </c>
      <c r="B816" t="s">
        <v>432</v>
      </c>
      <c r="C816" t="s">
        <v>351</v>
      </c>
      <c r="D816" t="s">
        <v>46</v>
      </c>
      <c r="F816" cm="1">
        <f t="array" ref="F816:F817">TRANSPOSE('Utilization '!I303:J303)</f>
        <v>0</v>
      </c>
    </row>
    <row r="817" spans="1:6">
      <c r="A817" s="11">
        <v>44858</v>
      </c>
      <c r="B817" t="s">
        <v>432</v>
      </c>
      <c r="C817" t="s">
        <v>351</v>
      </c>
      <c r="D817" t="s">
        <v>62</v>
      </c>
      <c r="F817">
        <v>0</v>
      </c>
    </row>
    <row r="818" spans="1:6">
      <c r="A818" s="11">
        <v>44859</v>
      </c>
      <c r="B818" t="s">
        <v>432</v>
      </c>
      <c r="C818" t="s">
        <v>349</v>
      </c>
      <c r="D818" t="s">
        <v>40</v>
      </c>
      <c r="F818" cm="1">
        <f t="array" ref="F818:F823">TRANSPOSE('Utilization '!B304:G304)</f>
        <v>0</v>
      </c>
    </row>
    <row r="819" spans="1:6">
      <c r="A819" s="11">
        <v>44859</v>
      </c>
      <c r="B819" t="s">
        <v>432</v>
      </c>
      <c r="C819" t="s">
        <v>349</v>
      </c>
      <c r="D819" t="s">
        <v>36</v>
      </c>
      <c r="F819">
        <v>0</v>
      </c>
    </row>
    <row r="820" spans="1:6">
      <c r="A820" s="11">
        <v>44859</v>
      </c>
      <c r="B820" t="s">
        <v>432</v>
      </c>
      <c r="C820" t="s">
        <v>22</v>
      </c>
      <c r="D820" t="s">
        <v>23</v>
      </c>
      <c r="F820">
        <v>0</v>
      </c>
    </row>
    <row r="821" spans="1:6">
      <c r="A821" s="11">
        <v>44859</v>
      </c>
      <c r="B821" t="s">
        <v>432</v>
      </c>
      <c r="C821" t="s">
        <v>22</v>
      </c>
      <c r="D821" t="s">
        <v>76</v>
      </c>
      <c r="F821">
        <v>0</v>
      </c>
    </row>
    <row r="822" spans="1:6">
      <c r="A822" s="11">
        <v>44859</v>
      </c>
      <c r="B822" t="s">
        <v>432</v>
      </c>
      <c r="C822" t="s">
        <v>350</v>
      </c>
      <c r="D822" t="s">
        <v>78</v>
      </c>
      <c r="F822">
        <v>0</v>
      </c>
    </row>
    <row r="823" spans="1:6">
      <c r="A823" s="11">
        <v>44859</v>
      </c>
      <c r="B823" t="s">
        <v>432</v>
      </c>
      <c r="C823" t="s">
        <v>350</v>
      </c>
      <c r="D823" t="s">
        <v>354</v>
      </c>
      <c r="F823">
        <v>0</v>
      </c>
    </row>
    <row r="824" spans="1:6">
      <c r="A824" s="11">
        <v>44859</v>
      </c>
      <c r="B824" t="s">
        <v>432</v>
      </c>
      <c r="C824" t="s">
        <v>351</v>
      </c>
      <c r="D824" t="s">
        <v>46</v>
      </c>
      <c r="F824" cm="1">
        <f t="array" ref="F824:F825">TRANSPOSE('Utilization '!I304:J304)</f>
        <v>0</v>
      </c>
    </row>
    <row r="825" spans="1:6">
      <c r="A825" s="11">
        <v>44859</v>
      </c>
      <c r="B825" t="s">
        <v>432</v>
      </c>
      <c r="C825" t="s">
        <v>351</v>
      </c>
      <c r="D825" t="s">
        <v>62</v>
      </c>
      <c r="F825">
        <v>0</v>
      </c>
    </row>
    <row r="826" spans="1:6">
      <c r="A826" s="11">
        <v>44860</v>
      </c>
      <c r="B826" t="s">
        <v>432</v>
      </c>
      <c r="C826" t="s">
        <v>349</v>
      </c>
      <c r="D826" t="s">
        <v>40</v>
      </c>
      <c r="F826" cm="1">
        <f t="array" ref="F826:F831">TRANSPOSE('Utilization '!B305:G305)</f>
        <v>0</v>
      </c>
    </row>
    <row r="827" spans="1:6">
      <c r="A827" s="11">
        <v>44860</v>
      </c>
      <c r="B827" t="s">
        <v>432</v>
      </c>
      <c r="C827" t="s">
        <v>349</v>
      </c>
      <c r="D827" t="s">
        <v>36</v>
      </c>
      <c r="F827">
        <v>0</v>
      </c>
    </row>
    <row r="828" spans="1:6">
      <c r="A828" s="11">
        <v>44860</v>
      </c>
      <c r="B828" t="s">
        <v>432</v>
      </c>
      <c r="C828" t="s">
        <v>22</v>
      </c>
      <c r="D828" t="s">
        <v>23</v>
      </c>
      <c r="F828">
        <v>0</v>
      </c>
    </row>
    <row r="829" spans="1:6">
      <c r="A829" s="11">
        <v>44860</v>
      </c>
      <c r="B829" t="s">
        <v>432</v>
      </c>
      <c r="C829" t="s">
        <v>22</v>
      </c>
      <c r="D829" t="s">
        <v>76</v>
      </c>
      <c r="F829">
        <v>0</v>
      </c>
    </row>
    <row r="830" spans="1:6">
      <c r="A830" s="11">
        <v>44860</v>
      </c>
      <c r="B830" t="s">
        <v>432</v>
      </c>
      <c r="C830" t="s">
        <v>350</v>
      </c>
      <c r="D830" t="s">
        <v>78</v>
      </c>
      <c r="F830">
        <v>0</v>
      </c>
    </row>
    <row r="831" spans="1:6">
      <c r="A831" s="11">
        <v>44860</v>
      </c>
      <c r="B831" t="s">
        <v>432</v>
      </c>
      <c r="C831" t="s">
        <v>350</v>
      </c>
      <c r="D831" t="s">
        <v>354</v>
      </c>
      <c r="F831">
        <v>0</v>
      </c>
    </row>
    <row r="832" spans="1:6">
      <c r="A832" s="11">
        <v>44860</v>
      </c>
      <c r="B832" t="s">
        <v>432</v>
      </c>
      <c r="C832" t="s">
        <v>351</v>
      </c>
      <c r="D832" t="s">
        <v>46</v>
      </c>
      <c r="F832" cm="1">
        <f t="array" ref="F832:F833">TRANSPOSE('Utilization '!I305:J305)</f>
        <v>0</v>
      </c>
    </row>
    <row r="833" spans="1:6">
      <c r="A833" s="11">
        <v>44860</v>
      </c>
      <c r="B833" t="s">
        <v>432</v>
      </c>
      <c r="C833" t="s">
        <v>351</v>
      </c>
      <c r="D833" t="s">
        <v>62</v>
      </c>
      <c r="F833">
        <v>0</v>
      </c>
    </row>
    <row r="834" spans="1:6">
      <c r="A834" s="11">
        <v>44861</v>
      </c>
      <c r="B834" t="s">
        <v>432</v>
      </c>
      <c r="C834" t="s">
        <v>349</v>
      </c>
      <c r="D834" t="s">
        <v>40</v>
      </c>
      <c r="F834" cm="1">
        <f t="array" ref="F834:F839">TRANSPOSE('Utilization '!B306:G306)</f>
        <v>0</v>
      </c>
    </row>
    <row r="835" spans="1:6">
      <c r="A835" s="11">
        <v>44861</v>
      </c>
      <c r="B835" t="s">
        <v>432</v>
      </c>
      <c r="C835" t="s">
        <v>349</v>
      </c>
      <c r="D835" t="s">
        <v>36</v>
      </c>
      <c r="F835">
        <v>0</v>
      </c>
    </row>
    <row r="836" spans="1:6">
      <c r="A836" s="11">
        <v>44861</v>
      </c>
      <c r="B836" t="s">
        <v>432</v>
      </c>
      <c r="C836" t="s">
        <v>22</v>
      </c>
      <c r="D836" t="s">
        <v>23</v>
      </c>
      <c r="F836">
        <v>0</v>
      </c>
    </row>
    <row r="837" spans="1:6">
      <c r="A837" s="11">
        <v>44861</v>
      </c>
      <c r="B837" t="s">
        <v>432</v>
      </c>
      <c r="C837" t="s">
        <v>22</v>
      </c>
      <c r="D837" t="s">
        <v>76</v>
      </c>
      <c r="F837">
        <v>0</v>
      </c>
    </row>
    <row r="838" spans="1:6">
      <c r="A838" s="11">
        <v>44861</v>
      </c>
      <c r="B838" t="s">
        <v>432</v>
      </c>
      <c r="C838" t="s">
        <v>350</v>
      </c>
      <c r="D838" t="s">
        <v>78</v>
      </c>
      <c r="F838">
        <v>0</v>
      </c>
    </row>
    <row r="839" spans="1:6">
      <c r="A839" s="11">
        <v>44861</v>
      </c>
      <c r="B839" t="s">
        <v>432</v>
      </c>
      <c r="C839" t="s">
        <v>350</v>
      </c>
      <c r="D839" t="s">
        <v>354</v>
      </c>
      <c r="F839">
        <v>0</v>
      </c>
    </row>
    <row r="840" spans="1:6">
      <c r="A840" s="11">
        <v>44861</v>
      </c>
      <c r="B840" t="s">
        <v>432</v>
      </c>
      <c r="C840" t="s">
        <v>351</v>
      </c>
      <c r="D840" t="s">
        <v>46</v>
      </c>
      <c r="F840" cm="1">
        <f t="array" ref="F840:F841">TRANSPOSE('Utilization '!I306:J306)</f>
        <v>0</v>
      </c>
    </row>
    <row r="841" spans="1:6">
      <c r="A841" s="11">
        <v>44861</v>
      </c>
      <c r="B841" t="s">
        <v>432</v>
      </c>
      <c r="C841" t="s">
        <v>351</v>
      </c>
      <c r="D841" t="s">
        <v>62</v>
      </c>
      <c r="F841">
        <v>0</v>
      </c>
    </row>
    <row r="842" spans="1:6">
      <c r="A842" s="11">
        <v>44862</v>
      </c>
      <c r="B842" t="s">
        <v>432</v>
      </c>
      <c r="C842" t="s">
        <v>349</v>
      </c>
      <c r="D842" t="s">
        <v>40</v>
      </c>
      <c r="F842" cm="1">
        <f t="array" ref="F842:F847">TRANSPOSE('Utilization '!B307:G307)</f>
        <v>0</v>
      </c>
    </row>
    <row r="843" spans="1:6">
      <c r="A843" s="11">
        <v>44862</v>
      </c>
      <c r="B843" t="s">
        <v>432</v>
      </c>
      <c r="C843" t="s">
        <v>349</v>
      </c>
      <c r="D843" t="s">
        <v>36</v>
      </c>
      <c r="F843">
        <v>0</v>
      </c>
    </row>
    <row r="844" spans="1:6">
      <c r="A844" s="11">
        <v>44862</v>
      </c>
      <c r="B844" t="s">
        <v>432</v>
      </c>
      <c r="C844" t="s">
        <v>22</v>
      </c>
      <c r="D844" t="s">
        <v>23</v>
      </c>
      <c r="F844">
        <v>0</v>
      </c>
    </row>
    <row r="845" spans="1:6">
      <c r="A845" s="11">
        <v>44862</v>
      </c>
      <c r="B845" t="s">
        <v>432</v>
      </c>
      <c r="C845" t="s">
        <v>22</v>
      </c>
      <c r="D845" t="s">
        <v>76</v>
      </c>
      <c r="F845">
        <v>0</v>
      </c>
    </row>
    <row r="846" spans="1:6">
      <c r="A846" s="11">
        <v>44862</v>
      </c>
      <c r="B846" t="s">
        <v>432</v>
      </c>
      <c r="C846" t="s">
        <v>350</v>
      </c>
      <c r="D846" t="s">
        <v>78</v>
      </c>
      <c r="F846">
        <v>0</v>
      </c>
    </row>
    <row r="847" spans="1:6">
      <c r="A847" s="11">
        <v>44862</v>
      </c>
      <c r="B847" t="s">
        <v>432</v>
      </c>
      <c r="C847" t="s">
        <v>350</v>
      </c>
      <c r="D847" t="s">
        <v>354</v>
      </c>
      <c r="F847">
        <v>0</v>
      </c>
    </row>
    <row r="848" spans="1:6">
      <c r="A848" s="11">
        <v>44862</v>
      </c>
      <c r="B848" t="s">
        <v>432</v>
      </c>
      <c r="C848" t="s">
        <v>351</v>
      </c>
      <c r="D848" t="s">
        <v>46</v>
      </c>
      <c r="F848" cm="1">
        <f t="array" ref="F848:F849">TRANSPOSE('Utilization '!I307:J307)</f>
        <v>0</v>
      </c>
    </row>
    <row r="849" spans="1:6">
      <c r="A849" s="11">
        <v>44862</v>
      </c>
      <c r="B849" t="s">
        <v>432</v>
      </c>
      <c r="C849" t="s">
        <v>351</v>
      </c>
      <c r="D849" t="s">
        <v>62</v>
      </c>
      <c r="F849">
        <v>0</v>
      </c>
    </row>
    <row r="850" spans="1:6">
      <c r="A850" s="11">
        <v>44863</v>
      </c>
      <c r="B850" t="s">
        <v>432</v>
      </c>
      <c r="C850" t="s">
        <v>349</v>
      </c>
      <c r="D850" t="s">
        <v>40</v>
      </c>
      <c r="F850" cm="1">
        <f t="array" ref="F850:F855">TRANSPOSE('Utilization '!B308:G308)</f>
        <v>0</v>
      </c>
    </row>
    <row r="851" spans="1:6">
      <c r="A851" s="11">
        <v>44863</v>
      </c>
      <c r="B851" t="s">
        <v>432</v>
      </c>
      <c r="C851" t="s">
        <v>349</v>
      </c>
      <c r="D851" t="s">
        <v>36</v>
      </c>
      <c r="F851">
        <v>0</v>
      </c>
    </row>
    <row r="852" spans="1:6">
      <c r="A852" s="11">
        <v>44863</v>
      </c>
      <c r="B852" t="s">
        <v>432</v>
      </c>
      <c r="C852" t="s">
        <v>22</v>
      </c>
      <c r="D852" t="s">
        <v>23</v>
      </c>
      <c r="F852">
        <v>0</v>
      </c>
    </row>
    <row r="853" spans="1:6">
      <c r="A853" s="11">
        <v>44863</v>
      </c>
      <c r="B853" t="s">
        <v>432</v>
      </c>
      <c r="C853" t="s">
        <v>22</v>
      </c>
      <c r="D853" t="s">
        <v>76</v>
      </c>
      <c r="F853">
        <v>0</v>
      </c>
    </row>
    <row r="854" spans="1:6">
      <c r="A854" s="11">
        <v>44863</v>
      </c>
      <c r="B854" t="s">
        <v>432</v>
      </c>
      <c r="C854" t="s">
        <v>350</v>
      </c>
      <c r="D854" t="s">
        <v>78</v>
      </c>
      <c r="F854">
        <v>0</v>
      </c>
    </row>
    <row r="855" spans="1:6">
      <c r="A855" s="11">
        <v>44863</v>
      </c>
      <c r="B855" t="s">
        <v>432</v>
      </c>
      <c r="C855" t="s">
        <v>350</v>
      </c>
      <c r="D855" t="s">
        <v>354</v>
      </c>
      <c r="F855">
        <v>0</v>
      </c>
    </row>
    <row r="856" spans="1:6">
      <c r="A856" s="11">
        <v>44863</v>
      </c>
      <c r="B856" t="s">
        <v>432</v>
      </c>
      <c r="C856" t="s">
        <v>351</v>
      </c>
      <c r="D856" t="s">
        <v>46</v>
      </c>
      <c r="F856" cm="1">
        <f t="array" ref="F856:F857">TRANSPOSE('Utilization '!I308:J308)</f>
        <v>0</v>
      </c>
    </row>
    <row r="857" spans="1:6">
      <c r="A857" s="11">
        <v>44863</v>
      </c>
      <c r="B857" t="s">
        <v>432</v>
      </c>
      <c r="C857" t="s">
        <v>351</v>
      </c>
      <c r="D857" t="s">
        <v>62</v>
      </c>
      <c r="F857">
        <v>0</v>
      </c>
    </row>
    <row r="858" spans="1:6">
      <c r="A858" s="11">
        <v>44864</v>
      </c>
      <c r="B858" t="s">
        <v>432</v>
      </c>
      <c r="C858" t="s">
        <v>349</v>
      </c>
      <c r="D858" t="s">
        <v>40</v>
      </c>
      <c r="F858" cm="1">
        <f t="array" ref="F858:F863">TRANSPOSE('Utilization '!B309:G309)</f>
        <v>0</v>
      </c>
    </row>
    <row r="859" spans="1:6">
      <c r="A859" s="11">
        <v>44864</v>
      </c>
      <c r="B859" t="s">
        <v>432</v>
      </c>
      <c r="C859" t="s">
        <v>349</v>
      </c>
      <c r="D859" t="s">
        <v>36</v>
      </c>
      <c r="F859">
        <v>0</v>
      </c>
    </row>
    <row r="860" spans="1:6">
      <c r="A860" s="11">
        <v>44864</v>
      </c>
      <c r="B860" t="s">
        <v>432</v>
      </c>
      <c r="C860" t="s">
        <v>22</v>
      </c>
      <c r="D860" t="s">
        <v>23</v>
      </c>
      <c r="F860">
        <v>0</v>
      </c>
    </row>
    <row r="861" spans="1:6">
      <c r="A861" s="11">
        <v>44864</v>
      </c>
      <c r="B861" t="s">
        <v>432</v>
      </c>
      <c r="C861" t="s">
        <v>22</v>
      </c>
      <c r="D861" t="s">
        <v>76</v>
      </c>
      <c r="F861">
        <v>0</v>
      </c>
    </row>
    <row r="862" spans="1:6">
      <c r="A862" s="11">
        <v>44864</v>
      </c>
      <c r="B862" t="s">
        <v>432</v>
      </c>
      <c r="C862" t="s">
        <v>350</v>
      </c>
      <c r="D862" t="s">
        <v>78</v>
      </c>
      <c r="F862">
        <v>0</v>
      </c>
    </row>
    <row r="863" spans="1:6">
      <c r="A863" s="11">
        <v>44864</v>
      </c>
      <c r="B863" t="s">
        <v>432</v>
      </c>
      <c r="C863" t="s">
        <v>350</v>
      </c>
      <c r="D863" t="s">
        <v>354</v>
      </c>
      <c r="F863">
        <v>0</v>
      </c>
    </row>
    <row r="864" spans="1:6">
      <c r="A864" s="11">
        <v>44864</v>
      </c>
      <c r="B864" t="s">
        <v>432</v>
      </c>
      <c r="C864" t="s">
        <v>351</v>
      </c>
      <c r="D864" t="s">
        <v>46</v>
      </c>
      <c r="F864" cm="1">
        <f t="array" ref="F864:F865">TRANSPOSE('Utilization '!I309:J309)</f>
        <v>0</v>
      </c>
    </row>
    <row r="865" spans="1:7">
      <c r="A865" s="11">
        <v>44864</v>
      </c>
      <c r="B865" t="s">
        <v>432</v>
      </c>
      <c r="C865" t="s">
        <v>351</v>
      </c>
      <c r="D865" t="s">
        <v>62</v>
      </c>
      <c r="F865">
        <v>0</v>
      </c>
    </row>
    <row r="866" spans="1:7">
      <c r="A866" s="11">
        <v>44865</v>
      </c>
      <c r="B866" t="s">
        <v>432</v>
      </c>
      <c r="C866" t="s">
        <v>349</v>
      </c>
      <c r="D866" t="s">
        <v>40</v>
      </c>
      <c r="F866" cm="1">
        <f t="array" ref="F866:F871">TRANSPOSE('Utilization '!B310:G310)</f>
        <v>0</v>
      </c>
    </row>
    <row r="867" spans="1:7">
      <c r="A867" s="11">
        <v>44865</v>
      </c>
      <c r="B867" t="s">
        <v>432</v>
      </c>
      <c r="C867" t="s">
        <v>349</v>
      </c>
      <c r="D867" t="s">
        <v>36</v>
      </c>
      <c r="F867">
        <v>0</v>
      </c>
    </row>
    <row r="868" spans="1:7">
      <c r="A868" s="11">
        <v>44865</v>
      </c>
      <c r="B868" t="s">
        <v>432</v>
      </c>
      <c r="C868" t="s">
        <v>22</v>
      </c>
      <c r="D868" t="s">
        <v>23</v>
      </c>
      <c r="F868">
        <v>0</v>
      </c>
    </row>
    <row r="869" spans="1:7">
      <c r="A869" s="11">
        <v>44865</v>
      </c>
      <c r="B869" t="s">
        <v>432</v>
      </c>
      <c r="C869" t="s">
        <v>22</v>
      </c>
      <c r="D869" t="s">
        <v>76</v>
      </c>
      <c r="F869">
        <v>0</v>
      </c>
    </row>
    <row r="870" spans="1:7">
      <c r="A870" s="11">
        <v>44865</v>
      </c>
      <c r="B870" t="s">
        <v>432</v>
      </c>
      <c r="C870" t="s">
        <v>350</v>
      </c>
      <c r="D870" t="s">
        <v>78</v>
      </c>
      <c r="F870">
        <v>0</v>
      </c>
    </row>
    <row r="871" spans="1:7">
      <c r="A871" s="11">
        <v>44865</v>
      </c>
      <c r="B871" t="s">
        <v>432</v>
      </c>
      <c r="C871" t="s">
        <v>350</v>
      </c>
      <c r="D871" t="s">
        <v>354</v>
      </c>
      <c r="F871">
        <v>0</v>
      </c>
    </row>
    <row r="872" spans="1:7">
      <c r="A872" s="11">
        <v>44865</v>
      </c>
      <c r="B872" t="s">
        <v>432</v>
      </c>
      <c r="C872" t="s">
        <v>351</v>
      </c>
      <c r="D872" t="s">
        <v>46</v>
      </c>
      <c r="F872" cm="1">
        <f t="array" ref="F872:F873">TRANSPOSE('Utilization '!I310:J310)</f>
        <v>0</v>
      </c>
    </row>
    <row r="873" spans="1:7">
      <c r="A873" s="11">
        <v>44865</v>
      </c>
      <c r="B873" t="s">
        <v>432</v>
      </c>
      <c r="C873" t="s">
        <v>351</v>
      </c>
      <c r="D873" t="s">
        <v>62</v>
      </c>
      <c r="F873">
        <v>0</v>
      </c>
      <c r="G873" s="176"/>
    </row>
    <row r="874" spans="1:7">
      <c r="A874" s="11">
        <v>44866</v>
      </c>
      <c r="B874" t="s">
        <v>432</v>
      </c>
      <c r="C874" t="s">
        <v>349</v>
      </c>
      <c r="D874" t="s">
        <v>40</v>
      </c>
      <c r="F874" cm="1">
        <f t="array" ref="F874:F879">TRANSPOSE('Utilization '!B1017:G1017)</f>
        <v>0</v>
      </c>
    </row>
    <row r="875" spans="1:7">
      <c r="A875" s="11">
        <v>44866</v>
      </c>
      <c r="B875" t="s">
        <v>432</v>
      </c>
      <c r="C875" t="s">
        <v>349</v>
      </c>
      <c r="D875" t="s">
        <v>36</v>
      </c>
      <c r="F875">
        <v>0</v>
      </c>
    </row>
    <row r="876" spans="1:7">
      <c r="A876" s="11">
        <v>44866</v>
      </c>
      <c r="B876" t="s">
        <v>432</v>
      </c>
      <c r="C876" t="s">
        <v>22</v>
      </c>
      <c r="D876" t="s">
        <v>23</v>
      </c>
      <c r="F876">
        <v>0</v>
      </c>
    </row>
    <row r="877" spans="1:7">
      <c r="A877" s="11">
        <v>44866</v>
      </c>
      <c r="B877" t="s">
        <v>432</v>
      </c>
      <c r="C877" t="s">
        <v>22</v>
      </c>
      <c r="D877" t="s">
        <v>76</v>
      </c>
      <c r="F877">
        <v>0</v>
      </c>
    </row>
    <row r="878" spans="1:7">
      <c r="A878" s="11">
        <v>44866</v>
      </c>
      <c r="B878" t="s">
        <v>432</v>
      </c>
      <c r="C878" t="s">
        <v>350</v>
      </c>
      <c r="D878" t="s">
        <v>78</v>
      </c>
      <c r="F878">
        <v>0</v>
      </c>
    </row>
    <row r="879" spans="1:7">
      <c r="A879" s="11">
        <v>44866</v>
      </c>
      <c r="B879" t="s">
        <v>432</v>
      </c>
      <c r="C879" t="s">
        <v>350</v>
      </c>
      <c r="D879" t="s">
        <v>354</v>
      </c>
      <c r="F879">
        <v>0</v>
      </c>
    </row>
    <row r="880" spans="1:7">
      <c r="A880" s="11">
        <v>44866</v>
      </c>
      <c r="B880" t="s">
        <v>432</v>
      </c>
      <c r="C880" t="s">
        <v>351</v>
      </c>
      <c r="D880" t="s">
        <v>46</v>
      </c>
      <c r="F880" cm="1">
        <f t="array" ref="F880:F881">TRANSPOSE('Utilization '!I1017:J1017)</f>
        <v>0</v>
      </c>
    </row>
    <row r="881" spans="1:6">
      <c r="A881" s="11">
        <v>44866</v>
      </c>
      <c r="B881" t="s">
        <v>432</v>
      </c>
      <c r="C881" t="s">
        <v>351</v>
      </c>
      <c r="D881" t="s">
        <v>62</v>
      </c>
      <c r="F881">
        <v>0</v>
      </c>
    </row>
    <row r="882" spans="1:6">
      <c r="A882" s="11">
        <v>44867</v>
      </c>
      <c r="B882" t="s">
        <v>432</v>
      </c>
      <c r="C882" t="s">
        <v>349</v>
      </c>
      <c r="D882" t="s">
        <v>40</v>
      </c>
      <c r="F882" cm="1">
        <f t="array" ref="F882:F887">TRANSPOSE('Utilization '!B1025:G1025)</f>
        <v>0</v>
      </c>
    </row>
    <row r="883" spans="1:6">
      <c r="A883" s="11">
        <v>44867</v>
      </c>
      <c r="B883" t="s">
        <v>432</v>
      </c>
      <c r="C883" t="s">
        <v>349</v>
      </c>
      <c r="D883" t="s">
        <v>36</v>
      </c>
      <c r="F883">
        <v>0</v>
      </c>
    </row>
    <row r="884" spans="1:6">
      <c r="A884" s="11">
        <v>44867</v>
      </c>
      <c r="B884" t="s">
        <v>432</v>
      </c>
      <c r="C884" t="s">
        <v>22</v>
      </c>
      <c r="D884" t="s">
        <v>23</v>
      </c>
      <c r="F884">
        <v>0</v>
      </c>
    </row>
    <row r="885" spans="1:6">
      <c r="A885" s="11">
        <v>44867</v>
      </c>
      <c r="B885" t="s">
        <v>432</v>
      </c>
      <c r="C885" t="s">
        <v>22</v>
      </c>
      <c r="D885" t="s">
        <v>76</v>
      </c>
      <c r="F885">
        <v>0</v>
      </c>
    </row>
    <row r="886" spans="1:6">
      <c r="A886" s="11">
        <v>44867</v>
      </c>
      <c r="B886" t="s">
        <v>432</v>
      </c>
      <c r="C886" t="s">
        <v>350</v>
      </c>
      <c r="D886" t="s">
        <v>78</v>
      </c>
      <c r="F886">
        <v>0</v>
      </c>
    </row>
    <row r="887" spans="1:6">
      <c r="A887" s="11">
        <v>44867</v>
      </c>
      <c r="B887" t="s">
        <v>432</v>
      </c>
      <c r="C887" t="s">
        <v>350</v>
      </c>
      <c r="D887" t="s">
        <v>354</v>
      </c>
      <c r="F887">
        <v>0</v>
      </c>
    </row>
    <row r="888" spans="1:6">
      <c r="A888" s="11">
        <v>44867</v>
      </c>
      <c r="B888" t="s">
        <v>432</v>
      </c>
      <c r="C888" t="s">
        <v>351</v>
      </c>
      <c r="D888" t="s">
        <v>46</v>
      </c>
      <c r="F888" cm="1">
        <f t="array" ref="F888:F889">TRANSPOSE('Utilization '!I1025:J1025)</f>
        <v>0</v>
      </c>
    </row>
    <row r="889" spans="1:6">
      <c r="A889" s="11">
        <v>44867</v>
      </c>
      <c r="B889" t="s">
        <v>432</v>
      </c>
      <c r="C889" t="s">
        <v>351</v>
      </c>
      <c r="D889" t="s">
        <v>62</v>
      </c>
      <c r="F889">
        <v>0</v>
      </c>
    </row>
    <row r="890" spans="1:6">
      <c r="A890" s="11">
        <v>44868</v>
      </c>
      <c r="B890" t="s">
        <v>432</v>
      </c>
      <c r="C890" t="s">
        <v>349</v>
      </c>
      <c r="D890" t="s">
        <v>40</v>
      </c>
      <c r="F890" cm="1">
        <f t="array" ref="F890:F895">TRANSPOSE('Utilization '!B1033:G1033)</f>
        <v>0</v>
      </c>
    </row>
    <row r="891" spans="1:6">
      <c r="A891" s="11">
        <v>44868</v>
      </c>
      <c r="B891" t="s">
        <v>432</v>
      </c>
      <c r="C891" t="s">
        <v>349</v>
      </c>
      <c r="D891" t="s">
        <v>36</v>
      </c>
      <c r="F891">
        <v>0</v>
      </c>
    </row>
    <row r="892" spans="1:6">
      <c r="A892" s="11">
        <v>44868</v>
      </c>
      <c r="B892" t="s">
        <v>432</v>
      </c>
      <c r="C892" t="s">
        <v>22</v>
      </c>
      <c r="D892" t="s">
        <v>23</v>
      </c>
      <c r="F892">
        <v>0</v>
      </c>
    </row>
    <row r="893" spans="1:6">
      <c r="A893" s="11">
        <v>44868</v>
      </c>
      <c r="B893" t="s">
        <v>432</v>
      </c>
      <c r="C893" t="s">
        <v>22</v>
      </c>
      <c r="D893" t="s">
        <v>76</v>
      </c>
      <c r="F893">
        <v>0</v>
      </c>
    </row>
    <row r="894" spans="1:6">
      <c r="A894" s="11">
        <v>44868</v>
      </c>
      <c r="B894" t="s">
        <v>432</v>
      </c>
      <c r="C894" t="s">
        <v>350</v>
      </c>
      <c r="D894" t="s">
        <v>78</v>
      </c>
      <c r="F894">
        <v>0</v>
      </c>
    </row>
    <row r="895" spans="1:6">
      <c r="A895" s="11">
        <v>44868</v>
      </c>
      <c r="B895" t="s">
        <v>432</v>
      </c>
      <c r="C895" t="s">
        <v>350</v>
      </c>
      <c r="D895" t="s">
        <v>354</v>
      </c>
      <c r="F895">
        <v>0</v>
      </c>
    </row>
    <row r="896" spans="1:6">
      <c r="A896" s="11">
        <v>44868</v>
      </c>
      <c r="B896" t="s">
        <v>432</v>
      </c>
      <c r="C896" t="s">
        <v>351</v>
      </c>
      <c r="D896" t="s">
        <v>46</v>
      </c>
      <c r="F896" cm="1">
        <f t="array" ref="F896:F897">TRANSPOSE('Utilization '!I1033:J1033)</f>
        <v>0</v>
      </c>
    </row>
    <row r="897" spans="1:6">
      <c r="A897" s="11">
        <v>44868</v>
      </c>
      <c r="B897" t="s">
        <v>432</v>
      </c>
      <c r="C897" t="s">
        <v>351</v>
      </c>
      <c r="D897" t="s">
        <v>62</v>
      </c>
      <c r="F897">
        <v>0</v>
      </c>
    </row>
    <row r="898" spans="1:6">
      <c r="A898" s="11">
        <v>44869</v>
      </c>
      <c r="B898" t="s">
        <v>432</v>
      </c>
      <c r="C898" t="s">
        <v>349</v>
      </c>
      <c r="D898" t="s">
        <v>40</v>
      </c>
      <c r="F898" cm="1">
        <f t="array" ref="F898:F903">TRANSPOSE('Utilization '!B1041:G1041)</f>
        <v>0</v>
      </c>
    </row>
    <row r="899" spans="1:6">
      <c r="A899" s="11">
        <v>44869</v>
      </c>
      <c r="B899" t="s">
        <v>432</v>
      </c>
      <c r="C899" t="s">
        <v>349</v>
      </c>
      <c r="D899" t="s">
        <v>36</v>
      </c>
      <c r="F899">
        <v>0</v>
      </c>
    </row>
    <row r="900" spans="1:6">
      <c r="A900" s="11">
        <v>44869</v>
      </c>
      <c r="B900" t="s">
        <v>432</v>
      </c>
      <c r="C900" t="s">
        <v>22</v>
      </c>
      <c r="D900" t="s">
        <v>23</v>
      </c>
      <c r="F900">
        <v>0</v>
      </c>
    </row>
    <row r="901" spans="1:6">
      <c r="A901" s="11">
        <v>44869</v>
      </c>
      <c r="B901" t="s">
        <v>432</v>
      </c>
      <c r="C901" t="s">
        <v>22</v>
      </c>
      <c r="D901" t="s">
        <v>76</v>
      </c>
      <c r="F901">
        <v>0</v>
      </c>
    </row>
    <row r="902" spans="1:6">
      <c r="A902" s="11">
        <v>44869</v>
      </c>
      <c r="B902" t="s">
        <v>432</v>
      </c>
      <c r="C902" t="s">
        <v>350</v>
      </c>
      <c r="D902" t="s">
        <v>78</v>
      </c>
      <c r="F902">
        <v>0</v>
      </c>
    </row>
    <row r="903" spans="1:6">
      <c r="A903" s="11">
        <v>44869</v>
      </c>
      <c r="B903" t="s">
        <v>432</v>
      </c>
      <c r="C903" t="s">
        <v>350</v>
      </c>
      <c r="D903" t="s">
        <v>354</v>
      </c>
      <c r="F903">
        <v>0</v>
      </c>
    </row>
    <row r="904" spans="1:6">
      <c r="A904" s="11">
        <v>44869</v>
      </c>
      <c r="B904" t="s">
        <v>432</v>
      </c>
      <c r="C904" t="s">
        <v>351</v>
      </c>
      <c r="D904" t="s">
        <v>46</v>
      </c>
      <c r="F904" cm="1">
        <f t="array" ref="F904:F905">TRANSPOSE('Utilization '!I1041:J1041)</f>
        <v>0</v>
      </c>
    </row>
    <row r="905" spans="1:6">
      <c r="A905" s="11">
        <v>44869</v>
      </c>
      <c r="B905" t="s">
        <v>432</v>
      </c>
      <c r="C905" t="s">
        <v>351</v>
      </c>
      <c r="D905" t="s">
        <v>62</v>
      </c>
      <c r="F905">
        <v>0</v>
      </c>
    </row>
    <row r="906" spans="1:6">
      <c r="A906" s="11">
        <v>44870</v>
      </c>
      <c r="B906" t="s">
        <v>432</v>
      </c>
      <c r="C906" t="s">
        <v>349</v>
      </c>
      <c r="D906" t="s">
        <v>40</v>
      </c>
      <c r="F906" cm="1">
        <f t="array" ref="F906:F911">TRANSPOSE('Utilization '!B1049:G1049)</f>
        <v>0</v>
      </c>
    </row>
    <row r="907" spans="1:6">
      <c r="A907" s="11">
        <v>44870</v>
      </c>
      <c r="B907" t="s">
        <v>432</v>
      </c>
      <c r="C907" t="s">
        <v>349</v>
      </c>
      <c r="D907" t="s">
        <v>36</v>
      </c>
      <c r="F907">
        <v>0</v>
      </c>
    </row>
    <row r="908" spans="1:6">
      <c r="A908" s="11">
        <v>44870</v>
      </c>
      <c r="B908" t="s">
        <v>432</v>
      </c>
      <c r="C908" t="s">
        <v>22</v>
      </c>
      <c r="D908" t="s">
        <v>23</v>
      </c>
      <c r="F908">
        <v>0</v>
      </c>
    </row>
    <row r="909" spans="1:6">
      <c r="A909" s="11">
        <v>44870</v>
      </c>
      <c r="B909" t="s">
        <v>432</v>
      </c>
      <c r="C909" t="s">
        <v>22</v>
      </c>
      <c r="D909" t="s">
        <v>76</v>
      </c>
      <c r="F909">
        <v>0</v>
      </c>
    </row>
    <row r="910" spans="1:6">
      <c r="A910" s="11">
        <v>44870</v>
      </c>
      <c r="B910" t="s">
        <v>432</v>
      </c>
      <c r="C910" t="s">
        <v>350</v>
      </c>
      <c r="D910" t="s">
        <v>78</v>
      </c>
      <c r="F910">
        <v>0</v>
      </c>
    </row>
    <row r="911" spans="1:6">
      <c r="A911" s="11">
        <v>44870</v>
      </c>
      <c r="B911" t="s">
        <v>432</v>
      </c>
      <c r="C911" t="s">
        <v>350</v>
      </c>
      <c r="D911" t="s">
        <v>354</v>
      </c>
      <c r="F911">
        <v>0</v>
      </c>
    </row>
    <row r="912" spans="1:6">
      <c r="A912" s="11">
        <v>44870</v>
      </c>
      <c r="B912" t="s">
        <v>432</v>
      </c>
      <c r="C912" t="s">
        <v>351</v>
      </c>
      <c r="D912" t="s">
        <v>46</v>
      </c>
      <c r="F912" cm="1">
        <f t="array" ref="F912:F913">TRANSPOSE('Utilization '!I1049:J1049)</f>
        <v>0</v>
      </c>
    </row>
    <row r="913" spans="1:6">
      <c r="A913" s="11">
        <v>44870</v>
      </c>
      <c r="B913" t="s">
        <v>432</v>
      </c>
      <c r="C913" t="s">
        <v>351</v>
      </c>
      <c r="D913" t="s">
        <v>62</v>
      </c>
      <c r="F913">
        <v>0</v>
      </c>
    </row>
    <row r="914" spans="1:6">
      <c r="A914" s="11">
        <v>44871</v>
      </c>
      <c r="B914" t="s">
        <v>432</v>
      </c>
      <c r="C914" t="s">
        <v>349</v>
      </c>
      <c r="D914" t="s">
        <v>40</v>
      </c>
      <c r="F914" cm="1">
        <f t="array" ref="F914:F919">TRANSPOSE('Utilization '!B1057:G1057)</f>
        <v>0</v>
      </c>
    </row>
    <row r="915" spans="1:6">
      <c r="A915" s="11">
        <v>44871</v>
      </c>
      <c r="B915" t="s">
        <v>432</v>
      </c>
      <c r="C915" t="s">
        <v>349</v>
      </c>
      <c r="D915" t="s">
        <v>36</v>
      </c>
      <c r="F915">
        <v>0</v>
      </c>
    </row>
    <row r="916" spans="1:6">
      <c r="A916" s="11">
        <v>44871</v>
      </c>
      <c r="B916" t="s">
        <v>432</v>
      </c>
      <c r="C916" t="s">
        <v>22</v>
      </c>
      <c r="D916" t="s">
        <v>23</v>
      </c>
      <c r="F916">
        <v>0</v>
      </c>
    </row>
    <row r="917" spans="1:6">
      <c r="A917" s="11">
        <v>44871</v>
      </c>
      <c r="B917" t="s">
        <v>432</v>
      </c>
      <c r="C917" t="s">
        <v>22</v>
      </c>
      <c r="D917" t="s">
        <v>76</v>
      </c>
      <c r="F917">
        <v>0</v>
      </c>
    </row>
    <row r="918" spans="1:6">
      <c r="A918" s="11">
        <v>44871</v>
      </c>
      <c r="B918" t="s">
        <v>432</v>
      </c>
      <c r="C918" t="s">
        <v>350</v>
      </c>
      <c r="D918" t="s">
        <v>78</v>
      </c>
      <c r="F918">
        <v>0</v>
      </c>
    </row>
    <row r="919" spans="1:6">
      <c r="A919" s="11">
        <v>44871</v>
      </c>
      <c r="B919" t="s">
        <v>432</v>
      </c>
      <c r="C919" t="s">
        <v>350</v>
      </c>
      <c r="D919" t="s">
        <v>354</v>
      </c>
      <c r="F919">
        <v>0</v>
      </c>
    </row>
    <row r="920" spans="1:6">
      <c r="A920" s="11">
        <v>44871</v>
      </c>
      <c r="B920" t="s">
        <v>432</v>
      </c>
      <c r="C920" t="s">
        <v>351</v>
      </c>
      <c r="D920" t="s">
        <v>46</v>
      </c>
      <c r="F920" cm="1">
        <f t="array" ref="F920:F921">TRANSPOSE('Utilization '!I1057:J1057)</f>
        <v>0</v>
      </c>
    </row>
    <row r="921" spans="1:6">
      <c r="A921" s="11">
        <v>44871</v>
      </c>
      <c r="B921" t="s">
        <v>432</v>
      </c>
      <c r="C921" t="s">
        <v>351</v>
      </c>
      <c r="D921" t="s">
        <v>62</v>
      </c>
      <c r="F921">
        <v>0</v>
      </c>
    </row>
    <row r="922" spans="1:6">
      <c r="A922" s="11">
        <v>44872</v>
      </c>
      <c r="B922" t="s">
        <v>432</v>
      </c>
      <c r="C922" t="s">
        <v>349</v>
      </c>
      <c r="D922" t="s">
        <v>40</v>
      </c>
      <c r="F922" cm="1">
        <f t="array" ref="F922:F927">TRANSPOSE('Utilization '!B1065:G1065)</f>
        <v>0</v>
      </c>
    </row>
    <row r="923" spans="1:6">
      <c r="A923" s="11">
        <v>44872</v>
      </c>
      <c r="B923" t="s">
        <v>432</v>
      </c>
      <c r="C923" t="s">
        <v>349</v>
      </c>
      <c r="D923" t="s">
        <v>36</v>
      </c>
      <c r="F923">
        <v>0</v>
      </c>
    </row>
    <row r="924" spans="1:6">
      <c r="A924" s="11">
        <v>44872</v>
      </c>
      <c r="B924" t="s">
        <v>432</v>
      </c>
      <c r="C924" t="s">
        <v>22</v>
      </c>
      <c r="D924" t="s">
        <v>23</v>
      </c>
      <c r="F924">
        <v>0</v>
      </c>
    </row>
    <row r="925" spans="1:6">
      <c r="A925" s="11">
        <v>44872</v>
      </c>
      <c r="B925" t="s">
        <v>432</v>
      </c>
      <c r="C925" t="s">
        <v>22</v>
      </c>
      <c r="D925" t="s">
        <v>76</v>
      </c>
      <c r="F925">
        <v>0</v>
      </c>
    </row>
    <row r="926" spans="1:6">
      <c r="A926" s="11">
        <v>44872</v>
      </c>
      <c r="B926" t="s">
        <v>432</v>
      </c>
      <c r="C926" t="s">
        <v>350</v>
      </c>
      <c r="D926" t="s">
        <v>78</v>
      </c>
      <c r="F926">
        <v>0</v>
      </c>
    </row>
    <row r="927" spans="1:6">
      <c r="A927" s="11">
        <v>44872</v>
      </c>
      <c r="B927" t="s">
        <v>432</v>
      </c>
      <c r="C927" t="s">
        <v>350</v>
      </c>
      <c r="D927" t="s">
        <v>354</v>
      </c>
      <c r="F927">
        <v>0</v>
      </c>
    </row>
    <row r="928" spans="1:6">
      <c r="A928" s="11">
        <v>44872</v>
      </c>
      <c r="B928" t="s">
        <v>432</v>
      </c>
      <c r="C928" t="s">
        <v>351</v>
      </c>
      <c r="D928" t="s">
        <v>46</v>
      </c>
      <c r="F928" cm="1">
        <f t="array" ref="F928:F929">TRANSPOSE('Utilization '!I1065:J1065)</f>
        <v>0</v>
      </c>
    </row>
    <row r="929" spans="1:6">
      <c r="A929" s="11">
        <v>44872</v>
      </c>
      <c r="B929" t="s">
        <v>432</v>
      </c>
      <c r="C929" t="s">
        <v>351</v>
      </c>
      <c r="D929" t="s">
        <v>62</v>
      </c>
      <c r="F929">
        <v>0</v>
      </c>
    </row>
    <row r="930" spans="1:6">
      <c r="A930" s="11">
        <v>44873</v>
      </c>
      <c r="B930" t="s">
        <v>432</v>
      </c>
      <c r="C930" t="s">
        <v>349</v>
      </c>
      <c r="D930" t="s">
        <v>40</v>
      </c>
      <c r="F930" cm="1">
        <f t="array" ref="F930:F935">TRANSPOSE('Utilization '!B1073:G1073)</f>
        <v>0</v>
      </c>
    </row>
    <row r="931" spans="1:6">
      <c r="A931" s="11">
        <v>44873</v>
      </c>
      <c r="B931" t="s">
        <v>432</v>
      </c>
      <c r="C931" t="s">
        <v>349</v>
      </c>
      <c r="D931" t="s">
        <v>36</v>
      </c>
      <c r="F931">
        <v>0</v>
      </c>
    </row>
    <row r="932" spans="1:6">
      <c r="A932" s="11">
        <v>44873</v>
      </c>
      <c r="B932" t="s">
        <v>432</v>
      </c>
      <c r="C932" t="s">
        <v>22</v>
      </c>
      <c r="D932" t="s">
        <v>23</v>
      </c>
      <c r="F932">
        <v>0</v>
      </c>
    </row>
    <row r="933" spans="1:6">
      <c r="A933" s="11">
        <v>44873</v>
      </c>
      <c r="B933" t="s">
        <v>432</v>
      </c>
      <c r="C933" t="s">
        <v>22</v>
      </c>
      <c r="D933" t="s">
        <v>76</v>
      </c>
      <c r="F933">
        <v>0</v>
      </c>
    </row>
    <row r="934" spans="1:6">
      <c r="A934" s="11">
        <v>44873</v>
      </c>
      <c r="B934" t="s">
        <v>432</v>
      </c>
      <c r="C934" t="s">
        <v>350</v>
      </c>
      <c r="D934" t="s">
        <v>78</v>
      </c>
      <c r="F934">
        <v>0</v>
      </c>
    </row>
    <row r="935" spans="1:6">
      <c r="A935" s="11">
        <v>44873</v>
      </c>
      <c r="B935" t="s">
        <v>432</v>
      </c>
      <c r="C935" t="s">
        <v>350</v>
      </c>
      <c r="D935" t="s">
        <v>354</v>
      </c>
      <c r="F935">
        <v>0</v>
      </c>
    </row>
    <row r="936" spans="1:6">
      <c r="A936" s="11">
        <v>44873</v>
      </c>
      <c r="B936" t="s">
        <v>432</v>
      </c>
      <c r="C936" t="s">
        <v>351</v>
      </c>
      <c r="D936" t="s">
        <v>46</v>
      </c>
      <c r="F936" cm="1">
        <f t="array" ref="F936:F937">TRANSPOSE('Utilization '!I1073:J1073)</f>
        <v>0</v>
      </c>
    </row>
    <row r="937" spans="1:6">
      <c r="A937" s="11">
        <v>44873</v>
      </c>
      <c r="B937" t="s">
        <v>432</v>
      </c>
      <c r="C937" t="s">
        <v>351</v>
      </c>
      <c r="D937" t="s">
        <v>62</v>
      </c>
      <c r="F937">
        <v>0</v>
      </c>
    </row>
    <row r="938" spans="1:6">
      <c r="A938" s="11">
        <v>44874</v>
      </c>
      <c r="B938" t="s">
        <v>432</v>
      </c>
      <c r="C938" t="s">
        <v>349</v>
      </c>
      <c r="D938" t="s">
        <v>40</v>
      </c>
      <c r="F938" cm="1">
        <f t="array" ref="F938:F943">TRANSPOSE('Utilization '!B1081:G1081)</f>
        <v>0</v>
      </c>
    </row>
    <row r="939" spans="1:6">
      <c r="A939" s="11">
        <v>44874</v>
      </c>
      <c r="B939" t="s">
        <v>432</v>
      </c>
      <c r="C939" t="s">
        <v>349</v>
      </c>
      <c r="D939" t="s">
        <v>36</v>
      </c>
      <c r="F939">
        <v>0</v>
      </c>
    </row>
    <row r="940" spans="1:6">
      <c r="A940" s="11">
        <v>44874</v>
      </c>
      <c r="B940" t="s">
        <v>432</v>
      </c>
      <c r="C940" t="s">
        <v>22</v>
      </c>
      <c r="D940" t="s">
        <v>23</v>
      </c>
      <c r="F940">
        <v>0</v>
      </c>
    </row>
    <row r="941" spans="1:6">
      <c r="A941" s="11">
        <v>44874</v>
      </c>
      <c r="B941" t="s">
        <v>432</v>
      </c>
      <c r="C941" t="s">
        <v>22</v>
      </c>
      <c r="D941" t="s">
        <v>76</v>
      </c>
      <c r="F941">
        <v>0</v>
      </c>
    </row>
    <row r="942" spans="1:6">
      <c r="A942" s="11">
        <v>44874</v>
      </c>
      <c r="B942" t="s">
        <v>432</v>
      </c>
      <c r="C942" t="s">
        <v>350</v>
      </c>
      <c r="D942" t="s">
        <v>78</v>
      </c>
      <c r="F942">
        <v>0</v>
      </c>
    </row>
    <row r="943" spans="1:6">
      <c r="A943" s="11">
        <v>44874</v>
      </c>
      <c r="B943" t="s">
        <v>432</v>
      </c>
      <c r="C943" t="s">
        <v>350</v>
      </c>
      <c r="D943" t="s">
        <v>354</v>
      </c>
      <c r="F943">
        <v>0</v>
      </c>
    </row>
    <row r="944" spans="1:6">
      <c r="A944" s="11">
        <v>44874</v>
      </c>
      <c r="B944" t="s">
        <v>432</v>
      </c>
      <c r="C944" t="s">
        <v>351</v>
      </c>
      <c r="D944" t="s">
        <v>46</v>
      </c>
      <c r="F944" cm="1">
        <f t="array" ref="F944:F945">TRANSPOSE('Utilization '!I1081:J1081)</f>
        <v>0</v>
      </c>
    </row>
    <row r="945" spans="1:6">
      <c r="A945" s="11">
        <v>44874</v>
      </c>
      <c r="B945" t="s">
        <v>432</v>
      </c>
      <c r="C945" t="s">
        <v>351</v>
      </c>
      <c r="D945" t="s">
        <v>62</v>
      </c>
      <c r="F945">
        <v>0</v>
      </c>
    </row>
    <row r="946" spans="1:6">
      <c r="A946" s="11">
        <v>44875</v>
      </c>
      <c r="B946" t="s">
        <v>432</v>
      </c>
      <c r="C946" t="s">
        <v>349</v>
      </c>
      <c r="D946" t="s">
        <v>40</v>
      </c>
      <c r="F946" cm="1">
        <f t="array" ref="F946:F951">TRANSPOSE('Utilization '!B1089:G1089)</f>
        <v>0</v>
      </c>
    </row>
    <row r="947" spans="1:6">
      <c r="A947" s="11">
        <v>44875</v>
      </c>
      <c r="B947" t="s">
        <v>432</v>
      </c>
      <c r="C947" t="s">
        <v>349</v>
      </c>
      <c r="D947" t="s">
        <v>36</v>
      </c>
      <c r="F947">
        <v>0</v>
      </c>
    </row>
    <row r="948" spans="1:6">
      <c r="A948" s="11">
        <v>44875</v>
      </c>
      <c r="B948" t="s">
        <v>432</v>
      </c>
      <c r="C948" t="s">
        <v>22</v>
      </c>
      <c r="D948" t="s">
        <v>23</v>
      </c>
      <c r="F948">
        <v>0</v>
      </c>
    </row>
    <row r="949" spans="1:6">
      <c r="A949" s="11">
        <v>44875</v>
      </c>
      <c r="B949" t="s">
        <v>432</v>
      </c>
      <c r="C949" t="s">
        <v>22</v>
      </c>
      <c r="D949" t="s">
        <v>76</v>
      </c>
      <c r="F949">
        <v>0</v>
      </c>
    </row>
    <row r="950" spans="1:6">
      <c r="A950" s="11">
        <v>44875</v>
      </c>
      <c r="B950" t="s">
        <v>432</v>
      </c>
      <c r="C950" t="s">
        <v>350</v>
      </c>
      <c r="D950" t="s">
        <v>78</v>
      </c>
      <c r="F950">
        <v>0</v>
      </c>
    </row>
    <row r="951" spans="1:6">
      <c r="A951" s="11">
        <v>44875</v>
      </c>
      <c r="B951" t="s">
        <v>432</v>
      </c>
      <c r="C951" t="s">
        <v>350</v>
      </c>
      <c r="D951" t="s">
        <v>354</v>
      </c>
      <c r="F951">
        <v>0</v>
      </c>
    </row>
    <row r="952" spans="1:6">
      <c r="A952" s="11">
        <v>44875</v>
      </c>
      <c r="B952" t="s">
        <v>432</v>
      </c>
      <c r="C952" t="s">
        <v>351</v>
      </c>
      <c r="D952" t="s">
        <v>46</v>
      </c>
      <c r="F952" cm="1">
        <f t="array" ref="F952:F953">TRANSPOSE('Utilization '!I1089:J1089)</f>
        <v>0</v>
      </c>
    </row>
    <row r="953" spans="1:6">
      <c r="A953" s="11">
        <v>44875</v>
      </c>
      <c r="B953" t="s">
        <v>432</v>
      </c>
      <c r="C953" t="s">
        <v>351</v>
      </c>
      <c r="D953" t="s">
        <v>62</v>
      </c>
      <c r="F953">
        <v>0</v>
      </c>
    </row>
    <row r="954" spans="1:6">
      <c r="A954" s="11">
        <v>44876</v>
      </c>
      <c r="B954" t="s">
        <v>432</v>
      </c>
      <c r="C954" t="s">
        <v>349</v>
      </c>
      <c r="D954" t="s">
        <v>40</v>
      </c>
      <c r="F954" cm="1">
        <f t="array" ref="F954:F959">TRANSPOSE('Utilization '!B1097:G1097)</f>
        <v>0</v>
      </c>
    </row>
    <row r="955" spans="1:6">
      <c r="A955" s="11">
        <v>44876</v>
      </c>
      <c r="B955" t="s">
        <v>432</v>
      </c>
      <c r="C955" t="s">
        <v>349</v>
      </c>
      <c r="D955" t="s">
        <v>36</v>
      </c>
      <c r="F955">
        <v>0</v>
      </c>
    </row>
    <row r="956" spans="1:6">
      <c r="A956" s="11">
        <v>44876</v>
      </c>
      <c r="B956" t="s">
        <v>432</v>
      </c>
      <c r="C956" t="s">
        <v>22</v>
      </c>
      <c r="D956" t="s">
        <v>23</v>
      </c>
      <c r="F956">
        <v>0</v>
      </c>
    </row>
    <row r="957" spans="1:6">
      <c r="A957" s="11">
        <v>44876</v>
      </c>
      <c r="B957" t="s">
        <v>432</v>
      </c>
      <c r="C957" t="s">
        <v>22</v>
      </c>
      <c r="D957" t="s">
        <v>76</v>
      </c>
      <c r="F957">
        <v>0</v>
      </c>
    </row>
    <row r="958" spans="1:6">
      <c r="A958" s="11">
        <v>44876</v>
      </c>
      <c r="B958" t="s">
        <v>432</v>
      </c>
      <c r="C958" t="s">
        <v>350</v>
      </c>
      <c r="D958" t="s">
        <v>78</v>
      </c>
      <c r="F958">
        <v>0</v>
      </c>
    </row>
    <row r="959" spans="1:6">
      <c r="A959" s="11">
        <v>44876</v>
      </c>
      <c r="B959" t="s">
        <v>432</v>
      </c>
      <c r="C959" t="s">
        <v>350</v>
      </c>
      <c r="D959" t="s">
        <v>354</v>
      </c>
      <c r="F959">
        <v>0</v>
      </c>
    </row>
    <row r="960" spans="1:6">
      <c r="A960" s="11">
        <v>44876</v>
      </c>
      <c r="B960" t="s">
        <v>432</v>
      </c>
      <c r="C960" t="s">
        <v>351</v>
      </c>
      <c r="D960" t="s">
        <v>46</v>
      </c>
      <c r="F960" cm="1">
        <f t="array" ref="F960:F961">TRANSPOSE('Utilization '!I1097:J1097)</f>
        <v>0</v>
      </c>
    </row>
    <row r="961" spans="1:6">
      <c r="A961" s="11">
        <v>44876</v>
      </c>
      <c r="B961" t="s">
        <v>432</v>
      </c>
      <c r="C961" t="s">
        <v>351</v>
      </c>
      <c r="D961" t="s">
        <v>62</v>
      </c>
      <c r="F961">
        <v>0</v>
      </c>
    </row>
    <row r="962" spans="1:6">
      <c r="A962" s="11">
        <v>44877</v>
      </c>
      <c r="B962" t="s">
        <v>432</v>
      </c>
      <c r="C962" t="s">
        <v>349</v>
      </c>
      <c r="D962" t="s">
        <v>40</v>
      </c>
      <c r="F962" cm="1">
        <f t="array" ref="F962:F967">TRANSPOSE('Utilization '!B1105:G1105)</f>
        <v>0</v>
      </c>
    </row>
    <row r="963" spans="1:6">
      <c r="A963" s="11">
        <v>44877</v>
      </c>
      <c r="B963" t="s">
        <v>432</v>
      </c>
      <c r="C963" t="s">
        <v>349</v>
      </c>
      <c r="D963" t="s">
        <v>36</v>
      </c>
      <c r="F963">
        <v>0</v>
      </c>
    </row>
    <row r="964" spans="1:6">
      <c r="A964" s="11">
        <v>44877</v>
      </c>
      <c r="B964" t="s">
        <v>432</v>
      </c>
      <c r="C964" t="s">
        <v>22</v>
      </c>
      <c r="D964" t="s">
        <v>23</v>
      </c>
      <c r="F964">
        <v>0</v>
      </c>
    </row>
    <row r="965" spans="1:6">
      <c r="A965" s="11">
        <v>44877</v>
      </c>
      <c r="B965" t="s">
        <v>432</v>
      </c>
      <c r="C965" t="s">
        <v>22</v>
      </c>
      <c r="D965" t="s">
        <v>76</v>
      </c>
      <c r="F965">
        <v>0</v>
      </c>
    </row>
    <row r="966" spans="1:6">
      <c r="A966" s="11">
        <v>44877</v>
      </c>
      <c r="B966" t="s">
        <v>432</v>
      </c>
      <c r="C966" t="s">
        <v>350</v>
      </c>
      <c r="D966" t="s">
        <v>78</v>
      </c>
      <c r="F966">
        <v>0</v>
      </c>
    </row>
    <row r="967" spans="1:6">
      <c r="A967" s="11">
        <v>44877</v>
      </c>
      <c r="B967" t="s">
        <v>432</v>
      </c>
      <c r="C967" t="s">
        <v>350</v>
      </c>
      <c r="D967" t="s">
        <v>354</v>
      </c>
      <c r="F967">
        <v>0</v>
      </c>
    </row>
    <row r="968" spans="1:6">
      <c r="A968" s="11">
        <v>44877</v>
      </c>
      <c r="B968" t="s">
        <v>432</v>
      </c>
      <c r="C968" t="s">
        <v>351</v>
      </c>
      <c r="D968" t="s">
        <v>46</v>
      </c>
      <c r="F968" cm="1">
        <f t="array" ref="F968:F969">TRANSPOSE('Utilization '!I1105:J1105)</f>
        <v>0</v>
      </c>
    </row>
    <row r="969" spans="1:6">
      <c r="A969" s="11">
        <v>44877</v>
      </c>
      <c r="B969" t="s">
        <v>432</v>
      </c>
      <c r="C969" t="s">
        <v>351</v>
      </c>
      <c r="D969" t="s">
        <v>62</v>
      </c>
      <c r="F969">
        <v>0</v>
      </c>
    </row>
    <row r="970" spans="1:6">
      <c r="A970" s="11">
        <v>44878</v>
      </c>
      <c r="B970" t="s">
        <v>432</v>
      </c>
      <c r="C970" t="s">
        <v>349</v>
      </c>
      <c r="D970" t="s">
        <v>40</v>
      </c>
      <c r="F970" cm="1">
        <f t="array" ref="F970:F975">TRANSPOSE('Utilization '!B1113:G1113)</f>
        <v>0</v>
      </c>
    </row>
    <row r="971" spans="1:6">
      <c r="A971" s="11">
        <v>44878</v>
      </c>
      <c r="B971" t="s">
        <v>432</v>
      </c>
      <c r="C971" t="s">
        <v>349</v>
      </c>
      <c r="D971" t="s">
        <v>36</v>
      </c>
      <c r="F971">
        <v>0</v>
      </c>
    </row>
    <row r="972" spans="1:6">
      <c r="A972" s="11">
        <v>44878</v>
      </c>
      <c r="B972" t="s">
        <v>432</v>
      </c>
      <c r="C972" t="s">
        <v>22</v>
      </c>
      <c r="D972" t="s">
        <v>23</v>
      </c>
      <c r="F972">
        <v>0</v>
      </c>
    </row>
    <row r="973" spans="1:6">
      <c r="A973" s="11">
        <v>44878</v>
      </c>
      <c r="B973" t="s">
        <v>432</v>
      </c>
      <c r="C973" t="s">
        <v>22</v>
      </c>
      <c r="D973" t="s">
        <v>76</v>
      </c>
      <c r="F973">
        <v>0</v>
      </c>
    </row>
    <row r="974" spans="1:6">
      <c r="A974" s="11">
        <v>44878</v>
      </c>
      <c r="B974" t="s">
        <v>432</v>
      </c>
      <c r="C974" t="s">
        <v>350</v>
      </c>
      <c r="D974" t="s">
        <v>78</v>
      </c>
      <c r="F974">
        <v>0</v>
      </c>
    </row>
    <row r="975" spans="1:6">
      <c r="A975" s="11">
        <v>44878</v>
      </c>
      <c r="B975" t="s">
        <v>432</v>
      </c>
      <c r="C975" t="s">
        <v>350</v>
      </c>
      <c r="D975" t="s">
        <v>354</v>
      </c>
      <c r="F975">
        <v>0</v>
      </c>
    </row>
    <row r="976" spans="1:6">
      <c r="A976" s="11">
        <v>44878</v>
      </c>
      <c r="B976" t="s">
        <v>432</v>
      </c>
      <c r="C976" t="s">
        <v>351</v>
      </c>
      <c r="D976" t="s">
        <v>46</v>
      </c>
      <c r="F976" cm="1">
        <f t="array" ref="F976:F977">TRANSPOSE('Utilization '!I1113:J1113)</f>
        <v>0</v>
      </c>
    </row>
    <row r="977" spans="1:6">
      <c r="A977" s="11">
        <v>44878</v>
      </c>
      <c r="B977" t="s">
        <v>432</v>
      </c>
      <c r="C977" t="s">
        <v>351</v>
      </c>
      <c r="D977" t="s">
        <v>62</v>
      </c>
      <c r="F977">
        <v>0</v>
      </c>
    </row>
    <row r="978" spans="1:6">
      <c r="A978" s="11">
        <v>44879</v>
      </c>
      <c r="B978" t="s">
        <v>432</v>
      </c>
      <c r="C978" t="s">
        <v>349</v>
      </c>
      <c r="D978" t="s">
        <v>40</v>
      </c>
      <c r="F978" cm="1">
        <f t="array" ref="F978:F983">TRANSPOSE('Utilization '!B1121:G1121)</f>
        <v>0</v>
      </c>
    </row>
    <row r="979" spans="1:6">
      <c r="A979" s="11">
        <v>44879</v>
      </c>
      <c r="B979" t="s">
        <v>432</v>
      </c>
      <c r="C979" t="s">
        <v>349</v>
      </c>
      <c r="D979" t="s">
        <v>36</v>
      </c>
      <c r="F979">
        <v>0</v>
      </c>
    </row>
    <row r="980" spans="1:6">
      <c r="A980" s="11">
        <v>44879</v>
      </c>
      <c r="B980" t="s">
        <v>432</v>
      </c>
      <c r="C980" t="s">
        <v>22</v>
      </c>
      <c r="D980" t="s">
        <v>23</v>
      </c>
      <c r="F980">
        <v>0</v>
      </c>
    </row>
    <row r="981" spans="1:6">
      <c r="A981" s="11">
        <v>44879</v>
      </c>
      <c r="B981" t="s">
        <v>432</v>
      </c>
      <c r="C981" t="s">
        <v>22</v>
      </c>
      <c r="D981" t="s">
        <v>76</v>
      </c>
      <c r="F981">
        <v>0</v>
      </c>
    </row>
    <row r="982" spans="1:6">
      <c r="A982" s="11">
        <v>44879</v>
      </c>
      <c r="B982" t="s">
        <v>432</v>
      </c>
      <c r="C982" t="s">
        <v>350</v>
      </c>
      <c r="D982" t="s">
        <v>78</v>
      </c>
      <c r="F982">
        <v>0</v>
      </c>
    </row>
    <row r="983" spans="1:6">
      <c r="A983" s="11">
        <v>44879</v>
      </c>
      <c r="B983" t="s">
        <v>432</v>
      </c>
      <c r="C983" t="s">
        <v>350</v>
      </c>
      <c r="D983" t="s">
        <v>354</v>
      </c>
      <c r="F983">
        <v>0</v>
      </c>
    </row>
    <row r="984" spans="1:6">
      <c r="A984" s="11">
        <v>44879</v>
      </c>
      <c r="B984" t="s">
        <v>432</v>
      </c>
      <c r="C984" t="s">
        <v>351</v>
      </c>
      <c r="D984" t="s">
        <v>46</v>
      </c>
      <c r="F984" cm="1">
        <f t="array" ref="F984:F985">TRANSPOSE('Utilization '!I1121:J1121)</f>
        <v>0</v>
      </c>
    </row>
    <row r="985" spans="1:6">
      <c r="A985" s="11">
        <v>44879</v>
      </c>
      <c r="B985" t="s">
        <v>432</v>
      </c>
      <c r="C985" t="s">
        <v>351</v>
      </c>
      <c r="D985" t="s">
        <v>62</v>
      </c>
      <c r="F985">
        <v>0</v>
      </c>
    </row>
    <row r="986" spans="1:6">
      <c r="A986" s="11">
        <v>44880</v>
      </c>
      <c r="B986" t="s">
        <v>432</v>
      </c>
      <c r="C986" t="s">
        <v>349</v>
      </c>
      <c r="D986" t="s">
        <v>40</v>
      </c>
      <c r="F986" cm="1">
        <f t="array" ref="F986:F991">TRANSPOSE('Utilization '!B1129:G1129)</f>
        <v>0</v>
      </c>
    </row>
    <row r="987" spans="1:6">
      <c r="A987" s="11">
        <v>44880</v>
      </c>
      <c r="B987" t="s">
        <v>432</v>
      </c>
      <c r="C987" t="s">
        <v>349</v>
      </c>
      <c r="D987" t="s">
        <v>36</v>
      </c>
      <c r="F987">
        <v>0</v>
      </c>
    </row>
    <row r="988" spans="1:6">
      <c r="A988" s="11">
        <v>44880</v>
      </c>
      <c r="B988" t="s">
        <v>432</v>
      </c>
      <c r="C988" t="s">
        <v>22</v>
      </c>
      <c r="D988" t="s">
        <v>23</v>
      </c>
      <c r="F988">
        <v>0</v>
      </c>
    </row>
    <row r="989" spans="1:6">
      <c r="A989" s="11">
        <v>44880</v>
      </c>
      <c r="B989" t="s">
        <v>432</v>
      </c>
      <c r="C989" t="s">
        <v>22</v>
      </c>
      <c r="D989" t="s">
        <v>76</v>
      </c>
      <c r="F989">
        <v>0</v>
      </c>
    </row>
    <row r="990" spans="1:6">
      <c r="A990" s="11">
        <v>44880</v>
      </c>
      <c r="B990" t="s">
        <v>432</v>
      </c>
      <c r="C990" t="s">
        <v>350</v>
      </c>
      <c r="D990" t="s">
        <v>78</v>
      </c>
      <c r="F990">
        <v>0</v>
      </c>
    </row>
    <row r="991" spans="1:6">
      <c r="A991" s="11">
        <v>44880</v>
      </c>
      <c r="B991" t="s">
        <v>432</v>
      </c>
      <c r="C991" t="s">
        <v>350</v>
      </c>
      <c r="D991" t="s">
        <v>354</v>
      </c>
      <c r="F991">
        <v>0</v>
      </c>
    </row>
    <row r="992" spans="1:6">
      <c r="A992" s="11">
        <v>44880</v>
      </c>
      <c r="B992" t="s">
        <v>432</v>
      </c>
      <c r="C992" t="s">
        <v>351</v>
      </c>
      <c r="D992" t="s">
        <v>46</v>
      </c>
      <c r="F992" cm="1">
        <f t="array" ref="F992:F993">TRANSPOSE('Utilization '!I1129:J1129)</f>
        <v>0</v>
      </c>
    </row>
    <row r="993" spans="1:6">
      <c r="A993" s="11">
        <v>44880</v>
      </c>
      <c r="B993" t="s">
        <v>432</v>
      </c>
      <c r="C993" t="s">
        <v>351</v>
      </c>
      <c r="D993" t="s">
        <v>62</v>
      </c>
      <c r="F993">
        <v>0</v>
      </c>
    </row>
    <row r="994" spans="1:6">
      <c r="A994" s="11">
        <v>44881</v>
      </c>
      <c r="B994" t="s">
        <v>432</v>
      </c>
      <c r="C994" t="s">
        <v>349</v>
      </c>
      <c r="D994" t="s">
        <v>40</v>
      </c>
      <c r="F994" cm="1">
        <f t="array" ref="F994:F999">TRANSPOSE('Utilization '!B1137:G1137)</f>
        <v>0</v>
      </c>
    </row>
    <row r="995" spans="1:6">
      <c r="A995" s="11">
        <v>44881</v>
      </c>
      <c r="B995" t="s">
        <v>432</v>
      </c>
      <c r="C995" t="s">
        <v>349</v>
      </c>
      <c r="D995" t="s">
        <v>36</v>
      </c>
      <c r="F995">
        <v>0</v>
      </c>
    </row>
    <row r="996" spans="1:6">
      <c r="A996" s="11">
        <v>44881</v>
      </c>
      <c r="B996" t="s">
        <v>432</v>
      </c>
      <c r="C996" t="s">
        <v>22</v>
      </c>
      <c r="D996" t="s">
        <v>23</v>
      </c>
      <c r="F996">
        <v>0</v>
      </c>
    </row>
    <row r="997" spans="1:6">
      <c r="A997" s="11">
        <v>44881</v>
      </c>
      <c r="B997" t="s">
        <v>432</v>
      </c>
      <c r="C997" t="s">
        <v>22</v>
      </c>
      <c r="D997" t="s">
        <v>76</v>
      </c>
      <c r="F997">
        <v>0</v>
      </c>
    </row>
    <row r="998" spans="1:6">
      <c r="A998" s="11">
        <v>44881</v>
      </c>
      <c r="B998" t="s">
        <v>432</v>
      </c>
      <c r="C998" t="s">
        <v>350</v>
      </c>
      <c r="D998" t="s">
        <v>78</v>
      </c>
      <c r="F998">
        <v>0</v>
      </c>
    </row>
    <row r="999" spans="1:6">
      <c r="A999" s="11">
        <v>44881</v>
      </c>
      <c r="B999" t="s">
        <v>432</v>
      </c>
      <c r="C999" t="s">
        <v>350</v>
      </c>
      <c r="D999" t="s">
        <v>354</v>
      </c>
      <c r="F999">
        <v>0</v>
      </c>
    </row>
    <row r="1000" spans="1:6">
      <c r="A1000" s="11">
        <v>44881</v>
      </c>
      <c r="B1000" t="s">
        <v>432</v>
      </c>
      <c r="C1000" t="s">
        <v>351</v>
      </c>
      <c r="D1000" t="s">
        <v>46</v>
      </c>
      <c r="F1000" cm="1">
        <f t="array" ref="F1000:F1001">TRANSPOSE('Utilization '!I1137:J1137)</f>
        <v>0</v>
      </c>
    </row>
    <row r="1001" spans="1:6">
      <c r="A1001" s="11">
        <v>44881</v>
      </c>
      <c r="B1001" t="s">
        <v>432</v>
      </c>
      <c r="C1001" t="s">
        <v>351</v>
      </c>
      <c r="D1001" t="s">
        <v>62</v>
      </c>
      <c r="F1001">
        <v>0</v>
      </c>
    </row>
    <row r="1002" spans="1:6">
      <c r="A1002" s="11">
        <v>44882</v>
      </c>
      <c r="B1002" t="s">
        <v>432</v>
      </c>
      <c r="C1002" t="s">
        <v>349</v>
      </c>
      <c r="D1002" t="s">
        <v>40</v>
      </c>
      <c r="F1002" cm="1">
        <f t="array" ref="F1002:F1007">TRANSPOSE('Utilization '!B1145:G1145)</f>
        <v>0</v>
      </c>
    </row>
    <row r="1003" spans="1:6">
      <c r="A1003" s="11">
        <v>44882</v>
      </c>
      <c r="B1003" t="s">
        <v>432</v>
      </c>
      <c r="C1003" t="s">
        <v>349</v>
      </c>
      <c r="D1003" t="s">
        <v>36</v>
      </c>
      <c r="F1003">
        <v>0</v>
      </c>
    </row>
    <row r="1004" spans="1:6">
      <c r="A1004" s="11">
        <v>44882</v>
      </c>
      <c r="B1004" t="s">
        <v>432</v>
      </c>
      <c r="C1004" t="s">
        <v>22</v>
      </c>
      <c r="D1004" t="s">
        <v>23</v>
      </c>
      <c r="F1004">
        <v>0</v>
      </c>
    </row>
    <row r="1005" spans="1:6">
      <c r="A1005" s="11">
        <v>44882</v>
      </c>
      <c r="B1005" t="s">
        <v>432</v>
      </c>
      <c r="C1005" t="s">
        <v>22</v>
      </c>
      <c r="D1005" t="s">
        <v>76</v>
      </c>
      <c r="F1005">
        <v>0</v>
      </c>
    </row>
    <row r="1006" spans="1:6">
      <c r="A1006" s="11">
        <v>44882</v>
      </c>
      <c r="B1006" t="s">
        <v>432</v>
      </c>
      <c r="C1006" t="s">
        <v>350</v>
      </c>
      <c r="D1006" t="s">
        <v>78</v>
      </c>
      <c r="F1006">
        <v>0</v>
      </c>
    </row>
    <row r="1007" spans="1:6">
      <c r="A1007" s="11">
        <v>44882</v>
      </c>
      <c r="B1007" t="s">
        <v>432</v>
      </c>
      <c r="C1007" t="s">
        <v>350</v>
      </c>
      <c r="D1007" t="s">
        <v>354</v>
      </c>
      <c r="F1007">
        <v>0</v>
      </c>
    </row>
    <row r="1008" spans="1:6">
      <c r="A1008" s="11">
        <v>44882</v>
      </c>
      <c r="B1008" t="s">
        <v>432</v>
      </c>
      <c r="C1008" t="s">
        <v>351</v>
      </c>
      <c r="D1008" t="s">
        <v>46</v>
      </c>
      <c r="F1008" cm="1">
        <f t="array" ref="F1008:F1009">TRANSPOSE('Utilization '!I1145:J1145)</f>
        <v>0</v>
      </c>
    </row>
    <row r="1009" spans="1:6">
      <c r="A1009" s="11">
        <v>44882</v>
      </c>
      <c r="B1009" t="s">
        <v>432</v>
      </c>
      <c r="C1009" t="s">
        <v>351</v>
      </c>
      <c r="D1009" t="s">
        <v>62</v>
      </c>
      <c r="F1009">
        <v>0</v>
      </c>
    </row>
    <row r="1010" spans="1:6">
      <c r="A1010" s="11">
        <v>44883</v>
      </c>
      <c r="B1010" t="s">
        <v>432</v>
      </c>
      <c r="C1010" t="s">
        <v>349</v>
      </c>
      <c r="D1010" t="s">
        <v>40</v>
      </c>
      <c r="F1010" cm="1">
        <f t="array" ref="F1010:F1015">TRANSPOSE('Utilization '!B1153:G1153)</f>
        <v>0</v>
      </c>
    </row>
    <row r="1011" spans="1:6">
      <c r="A1011" s="11">
        <v>44883</v>
      </c>
      <c r="B1011" t="s">
        <v>432</v>
      </c>
      <c r="C1011" t="s">
        <v>349</v>
      </c>
      <c r="D1011" t="s">
        <v>36</v>
      </c>
      <c r="F1011">
        <v>0</v>
      </c>
    </row>
    <row r="1012" spans="1:6">
      <c r="A1012" s="11">
        <v>44883</v>
      </c>
      <c r="B1012" t="s">
        <v>432</v>
      </c>
      <c r="C1012" t="s">
        <v>22</v>
      </c>
      <c r="D1012" t="s">
        <v>23</v>
      </c>
      <c r="F1012">
        <v>0</v>
      </c>
    </row>
    <row r="1013" spans="1:6">
      <c r="A1013" s="11">
        <v>44883</v>
      </c>
      <c r="B1013" t="s">
        <v>432</v>
      </c>
      <c r="C1013" t="s">
        <v>22</v>
      </c>
      <c r="D1013" t="s">
        <v>76</v>
      </c>
      <c r="F1013">
        <v>0</v>
      </c>
    </row>
    <row r="1014" spans="1:6">
      <c r="A1014" s="11">
        <v>44883</v>
      </c>
      <c r="B1014" t="s">
        <v>432</v>
      </c>
      <c r="C1014" t="s">
        <v>350</v>
      </c>
      <c r="D1014" t="s">
        <v>78</v>
      </c>
      <c r="F1014">
        <v>0</v>
      </c>
    </row>
    <row r="1015" spans="1:6">
      <c r="A1015" s="11">
        <v>44883</v>
      </c>
      <c r="B1015" t="s">
        <v>432</v>
      </c>
      <c r="C1015" t="s">
        <v>350</v>
      </c>
      <c r="D1015" t="s">
        <v>354</v>
      </c>
      <c r="F1015">
        <v>0</v>
      </c>
    </row>
    <row r="1016" spans="1:6">
      <c r="A1016" s="11">
        <v>44883</v>
      </c>
      <c r="B1016" t="s">
        <v>432</v>
      </c>
      <c r="C1016" t="s">
        <v>351</v>
      </c>
      <c r="D1016" t="s">
        <v>46</v>
      </c>
      <c r="F1016" cm="1">
        <f t="array" ref="F1016:F1017">TRANSPOSE('Utilization '!I1153:J1153)</f>
        <v>0</v>
      </c>
    </row>
    <row r="1017" spans="1:6">
      <c r="A1017" s="11">
        <v>44883</v>
      </c>
      <c r="B1017" t="s">
        <v>432</v>
      </c>
      <c r="C1017" t="s">
        <v>351</v>
      </c>
      <c r="D1017" t="s">
        <v>62</v>
      </c>
      <c r="F1017">
        <v>0</v>
      </c>
    </row>
    <row r="1018" spans="1:6">
      <c r="A1018" s="11">
        <v>44884</v>
      </c>
      <c r="B1018" t="s">
        <v>432</v>
      </c>
      <c r="C1018" t="s">
        <v>349</v>
      </c>
      <c r="D1018" t="s">
        <v>40</v>
      </c>
      <c r="F1018" cm="1">
        <f t="array" ref="F1018:F1023">TRANSPOSE('Utilization '!B1161:G1161)</f>
        <v>0</v>
      </c>
    </row>
    <row r="1019" spans="1:6">
      <c r="A1019" s="11">
        <v>44884</v>
      </c>
      <c r="B1019" t="s">
        <v>432</v>
      </c>
      <c r="C1019" t="s">
        <v>349</v>
      </c>
      <c r="D1019" t="s">
        <v>36</v>
      </c>
      <c r="F1019">
        <v>0</v>
      </c>
    </row>
    <row r="1020" spans="1:6">
      <c r="A1020" s="11">
        <v>44884</v>
      </c>
      <c r="B1020" t="s">
        <v>432</v>
      </c>
      <c r="C1020" t="s">
        <v>22</v>
      </c>
      <c r="D1020" t="s">
        <v>23</v>
      </c>
      <c r="F1020">
        <v>0</v>
      </c>
    </row>
    <row r="1021" spans="1:6">
      <c r="A1021" s="11">
        <v>44884</v>
      </c>
      <c r="B1021" t="s">
        <v>432</v>
      </c>
      <c r="C1021" t="s">
        <v>22</v>
      </c>
      <c r="D1021" t="s">
        <v>76</v>
      </c>
      <c r="F1021">
        <v>0</v>
      </c>
    </row>
    <row r="1022" spans="1:6">
      <c r="A1022" s="11">
        <v>44884</v>
      </c>
      <c r="B1022" t="s">
        <v>432</v>
      </c>
      <c r="C1022" t="s">
        <v>350</v>
      </c>
      <c r="D1022" t="s">
        <v>78</v>
      </c>
      <c r="F1022">
        <v>0</v>
      </c>
    </row>
    <row r="1023" spans="1:6">
      <c r="A1023" s="11">
        <v>44884</v>
      </c>
      <c r="B1023" t="s">
        <v>432</v>
      </c>
      <c r="C1023" t="s">
        <v>350</v>
      </c>
      <c r="D1023" t="s">
        <v>354</v>
      </c>
      <c r="F1023">
        <v>0</v>
      </c>
    </row>
    <row r="1024" spans="1:6">
      <c r="A1024" s="11">
        <v>44884</v>
      </c>
      <c r="B1024" t="s">
        <v>432</v>
      </c>
      <c r="C1024" t="s">
        <v>351</v>
      </c>
      <c r="D1024" t="s">
        <v>46</v>
      </c>
      <c r="F1024" cm="1">
        <f t="array" ref="F1024:F1025">TRANSPOSE('Utilization '!I1161:J1161)</f>
        <v>0</v>
      </c>
    </row>
    <row r="1025" spans="1:6">
      <c r="A1025" s="11">
        <v>44884</v>
      </c>
      <c r="B1025" t="s">
        <v>432</v>
      </c>
      <c r="C1025" t="s">
        <v>351</v>
      </c>
      <c r="D1025" t="s">
        <v>62</v>
      </c>
      <c r="F1025">
        <v>0</v>
      </c>
    </row>
    <row r="1026" spans="1:6">
      <c r="A1026" s="11">
        <v>44885</v>
      </c>
      <c r="B1026" t="s">
        <v>432</v>
      </c>
      <c r="C1026" t="s">
        <v>349</v>
      </c>
      <c r="D1026" t="s">
        <v>40</v>
      </c>
      <c r="F1026" cm="1">
        <f t="array" ref="F1026:F1031">TRANSPOSE('Utilization '!B1169:G1169)</f>
        <v>0</v>
      </c>
    </row>
    <row r="1027" spans="1:6">
      <c r="A1027" s="11">
        <v>44885</v>
      </c>
      <c r="B1027" t="s">
        <v>432</v>
      </c>
      <c r="C1027" t="s">
        <v>349</v>
      </c>
      <c r="D1027" t="s">
        <v>36</v>
      </c>
      <c r="F1027">
        <v>0</v>
      </c>
    </row>
    <row r="1028" spans="1:6">
      <c r="A1028" s="11">
        <v>44885</v>
      </c>
      <c r="B1028" t="s">
        <v>432</v>
      </c>
      <c r="C1028" t="s">
        <v>22</v>
      </c>
      <c r="D1028" t="s">
        <v>23</v>
      </c>
      <c r="F1028">
        <v>0</v>
      </c>
    </row>
    <row r="1029" spans="1:6">
      <c r="A1029" s="11">
        <v>44885</v>
      </c>
      <c r="B1029" t="s">
        <v>432</v>
      </c>
      <c r="C1029" t="s">
        <v>22</v>
      </c>
      <c r="D1029" t="s">
        <v>76</v>
      </c>
      <c r="F1029">
        <v>0</v>
      </c>
    </row>
    <row r="1030" spans="1:6">
      <c r="A1030" s="11">
        <v>44885</v>
      </c>
      <c r="B1030" t="s">
        <v>432</v>
      </c>
      <c r="C1030" t="s">
        <v>350</v>
      </c>
      <c r="D1030" t="s">
        <v>78</v>
      </c>
      <c r="F1030">
        <v>0</v>
      </c>
    </row>
    <row r="1031" spans="1:6">
      <c r="A1031" s="11">
        <v>44885</v>
      </c>
      <c r="B1031" t="s">
        <v>432</v>
      </c>
      <c r="C1031" t="s">
        <v>350</v>
      </c>
      <c r="D1031" t="s">
        <v>354</v>
      </c>
      <c r="F1031">
        <v>0</v>
      </c>
    </row>
    <row r="1032" spans="1:6">
      <c r="A1032" s="11">
        <v>44885</v>
      </c>
      <c r="B1032" t="s">
        <v>432</v>
      </c>
      <c r="C1032" t="s">
        <v>351</v>
      </c>
      <c r="D1032" t="s">
        <v>46</v>
      </c>
      <c r="F1032" cm="1">
        <f t="array" ref="F1032:F1033">TRANSPOSE('Utilization '!I1169:J1169)</f>
        <v>0</v>
      </c>
    </row>
    <row r="1033" spans="1:6">
      <c r="A1033" s="11">
        <v>44885</v>
      </c>
      <c r="B1033" t="s">
        <v>432</v>
      </c>
      <c r="C1033" t="s">
        <v>351</v>
      </c>
      <c r="D1033" t="s">
        <v>62</v>
      </c>
      <c r="F1033">
        <v>0</v>
      </c>
    </row>
    <row r="1034" spans="1:6">
      <c r="A1034" s="11">
        <v>44886</v>
      </c>
      <c r="B1034" t="s">
        <v>432</v>
      </c>
      <c r="C1034" t="s">
        <v>349</v>
      </c>
      <c r="D1034" t="s">
        <v>40</v>
      </c>
      <c r="F1034" cm="1">
        <f t="array" ref="F1034:F1039">TRANSPOSE('Utilization '!B1177:G1177)</f>
        <v>0</v>
      </c>
    </row>
    <row r="1035" spans="1:6">
      <c r="A1035" s="11">
        <v>44886</v>
      </c>
      <c r="B1035" t="s">
        <v>432</v>
      </c>
      <c r="C1035" t="s">
        <v>349</v>
      </c>
      <c r="D1035" t="s">
        <v>36</v>
      </c>
      <c r="F1035">
        <v>0</v>
      </c>
    </row>
    <row r="1036" spans="1:6">
      <c r="A1036" s="11">
        <v>44886</v>
      </c>
      <c r="B1036" t="s">
        <v>432</v>
      </c>
      <c r="C1036" t="s">
        <v>22</v>
      </c>
      <c r="D1036" t="s">
        <v>23</v>
      </c>
      <c r="F1036">
        <v>0</v>
      </c>
    </row>
    <row r="1037" spans="1:6">
      <c r="A1037" s="11">
        <v>44886</v>
      </c>
      <c r="B1037" t="s">
        <v>432</v>
      </c>
      <c r="C1037" t="s">
        <v>22</v>
      </c>
      <c r="D1037" t="s">
        <v>76</v>
      </c>
      <c r="F1037">
        <v>0</v>
      </c>
    </row>
    <row r="1038" spans="1:6">
      <c r="A1038" s="11">
        <v>44886</v>
      </c>
      <c r="B1038" t="s">
        <v>432</v>
      </c>
      <c r="C1038" t="s">
        <v>350</v>
      </c>
      <c r="D1038" t="s">
        <v>78</v>
      </c>
      <c r="F1038">
        <v>0</v>
      </c>
    </row>
    <row r="1039" spans="1:6">
      <c r="A1039" s="11">
        <v>44886</v>
      </c>
      <c r="B1039" t="s">
        <v>432</v>
      </c>
      <c r="C1039" t="s">
        <v>350</v>
      </c>
      <c r="D1039" t="s">
        <v>354</v>
      </c>
      <c r="F1039">
        <v>0</v>
      </c>
    </row>
    <row r="1040" spans="1:6">
      <c r="A1040" s="11">
        <v>44886</v>
      </c>
      <c r="B1040" t="s">
        <v>432</v>
      </c>
      <c r="C1040" t="s">
        <v>351</v>
      </c>
      <c r="D1040" t="s">
        <v>46</v>
      </c>
      <c r="F1040" cm="1">
        <f t="array" ref="F1040:F1041">TRANSPOSE('Utilization '!I1177:J1177)</f>
        <v>0</v>
      </c>
    </row>
    <row r="1041" spans="1:6">
      <c r="A1041" s="11">
        <v>44886</v>
      </c>
      <c r="B1041" t="s">
        <v>432</v>
      </c>
      <c r="C1041" t="s">
        <v>351</v>
      </c>
      <c r="D1041" t="s">
        <v>62</v>
      </c>
      <c r="F1041">
        <v>0</v>
      </c>
    </row>
    <row r="1042" spans="1:6">
      <c r="A1042" s="11">
        <v>44887</v>
      </c>
      <c r="B1042" t="s">
        <v>432</v>
      </c>
      <c r="C1042" t="s">
        <v>349</v>
      </c>
      <c r="D1042" t="s">
        <v>40</v>
      </c>
      <c r="F1042" cm="1">
        <f t="array" ref="F1042:F1047">TRANSPOSE('Utilization '!B1185:G1185)</f>
        <v>0</v>
      </c>
    </row>
    <row r="1043" spans="1:6">
      <c r="A1043" s="11">
        <v>44887</v>
      </c>
      <c r="B1043" t="s">
        <v>432</v>
      </c>
      <c r="C1043" t="s">
        <v>349</v>
      </c>
      <c r="D1043" t="s">
        <v>36</v>
      </c>
      <c r="F1043">
        <v>0</v>
      </c>
    </row>
    <row r="1044" spans="1:6">
      <c r="A1044" s="11">
        <v>44887</v>
      </c>
      <c r="B1044" t="s">
        <v>432</v>
      </c>
      <c r="C1044" t="s">
        <v>22</v>
      </c>
      <c r="D1044" t="s">
        <v>23</v>
      </c>
      <c r="F1044">
        <v>0</v>
      </c>
    </row>
    <row r="1045" spans="1:6">
      <c r="A1045" s="11">
        <v>44887</v>
      </c>
      <c r="B1045" t="s">
        <v>432</v>
      </c>
      <c r="C1045" t="s">
        <v>22</v>
      </c>
      <c r="D1045" t="s">
        <v>76</v>
      </c>
      <c r="F1045">
        <v>0</v>
      </c>
    </row>
    <row r="1046" spans="1:6">
      <c r="A1046" s="11">
        <v>44887</v>
      </c>
      <c r="B1046" t="s">
        <v>432</v>
      </c>
      <c r="C1046" t="s">
        <v>350</v>
      </c>
      <c r="D1046" t="s">
        <v>78</v>
      </c>
      <c r="F1046">
        <v>0</v>
      </c>
    </row>
    <row r="1047" spans="1:6">
      <c r="A1047" s="11">
        <v>44887</v>
      </c>
      <c r="B1047" t="s">
        <v>432</v>
      </c>
      <c r="C1047" t="s">
        <v>350</v>
      </c>
      <c r="D1047" t="s">
        <v>354</v>
      </c>
      <c r="F1047">
        <v>0</v>
      </c>
    </row>
    <row r="1048" spans="1:6">
      <c r="A1048" s="11">
        <v>44887</v>
      </c>
      <c r="B1048" t="s">
        <v>432</v>
      </c>
      <c r="C1048" t="s">
        <v>351</v>
      </c>
      <c r="D1048" t="s">
        <v>46</v>
      </c>
      <c r="F1048" cm="1">
        <f t="array" ref="F1048:F1049">TRANSPOSE('Utilization '!I1185:J1185)</f>
        <v>0</v>
      </c>
    </row>
    <row r="1049" spans="1:6">
      <c r="A1049" s="11">
        <v>44887</v>
      </c>
      <c r="B1049" t="s">
        <v>432</v>
      </c>
      <c r="C1049" t="s">
        <v>351</v>
      </c>
      <c r="D1049" t="s">
        <v>62</v>
      </c>
      <c r="F1049">
        <v>0</v>
      </c>
    </row>
    <row r="1050" spans="1:6">
      <c r="A1050" s="11">
        <v>44888</v>
      </c>
      <c r="B1050" t="s">
        <v>432</v>
      </c>
      <c r="C1050" t="s">
        <v>349</v>
      </c>
      <c r="D1050" t="s">
        <v>40</v>
      </c>
      <c r="F1050" cm="1">
        <f t="array" ref="F1050:F1055">TRANSPOSE('Utilization '!B1193:G1193)</f>
        <v>0</v>
      </c>
    </row>
    <row r="1051" spans="1:6">
      <c r="A1051" s="11">
        <v>44888</v>
      </c>
      <c r="B1051" t="s">
        <v>432</v>
      </c>
      <c r="C1051" t="s">
        <v>349</v>
      </c>
      <c r="D1051" t="s">
        <v>36</v>
      </c>
      <c r="F1051">
        <v>0</v>
      </c>
    </row>
    <row r="1052" spans="1:6">
      <c r="A1052" s="11">
        <v>44888</v>
      </c>
      <c r="B1052" t="s">
        <v>432</v>
      </c>
      <c r="C1052" t="s">
        <v>22</v>
      </c>
      <c r="D1052" t="s">
        <v>23</v>
      </c>
      <c r="F1052">
        <v>0</v>
      </c>
    </row>
    <row r="1053" spans="1:6">
      <c r="A1053" s="11">
        <v>44888</v>
      </c>
      <c r="B1053" t="s">
        <v>432</v>
      </c>
      <c r="C1053" t="s">
        <v>22</v>
      </c>
      <c r="D1053" t="s">
        <v>76</v>
      </c>
      <c r="F1053">
        <v>0</v>
      </c>
    </row>
    <row r="1054" spans="1:6">
      <c r="A1054" s="11">
        <v>44888</v>
      </c>
      <c r="B1054" t="s">
        <v>432</v>
      </c>
      <c r="C1054" t="s">
        <v>350</v>
      </c>
      <c r="D1054" t="s">
        <v>78</v>
      </c>
      <c r="F1054">
        <v>0</v>
      </c>
    </row>
    <row r="1055" spans="1:6">
      <c r="A1055" s="11">
        <v>44888</v>
      </c>
      <c r="B1055" t="s">
        <v>432</v>
      </c>
      <c r="C1055" t="s">
        <v>350</v>
      </c>
      <c r="D1055" t="s">
        <v>354</v>
      </c>
      <c r="F1055">
        <v>0</v>
      </c>
    </row>
    <row r="1056" spans="1:6">
      <c r="A1056" s="11">
        <v>44888</v>
      </c>
      <c r="B1056" t="s">
        <v>432</v>
      </c>
      <c r="C1056" t="s">
        <v>351</v>
      </c>
      <c r="D1056" t="s">
        <v>46</v>
      </c>
      <c r="F1056" cm="1">
        <f t="array" ref="F1056:F1057">TRANSPOSE('Utilization '!I1193:J1193)</f>
        <v>0</v>
      </c>
    </row>
    <row r="1057" spans="1:6">
      <c r="A1057" s="11">
        <v>44888</v>
      </c>
      <c r="B1057" t="s">
        <v>432</v>
      </c>
      <c r="C1057" t="s">
        <v>351</v>
      </c>
      <c r="D1057" t="s">
        <v>62</v>
      </c>
      <c r="F1057">
        <v>0</v>
      </c>
    </row>
    <row r="1058" spans="1:6">
      <c r="A1058" s="11">
        <v>44889</v>
      </c>
      <c r="B1058" t="s">
        <v>432</v>
      </c>
      <c r="C1058" t="s">
        <v>349</v>
      </c>
      <c r="D1058" t="s">
        <v>40</v>
      </c>
      <c r="F1058" cm="1">
        <f t="array" ref="F1058:F1063">TRANSPOSE('Utilization '!B1201:G1201)</f>
        <v>0</v>
      </c>
    </row>
    <row r="1059" spans="1:6">
      <c r="A1059" s="11">
        <v>44889</v>
      </c>
      <c r="B1059" t="s">
        <v>432</v>
      </c>
      <c r="C1059" t="s">
        <v>349</v>
      </c>
      <c r="D1059" t="s">
        <v>36</v>
      </c>
      <c r="F1059">
        <v>0</v>
      </c>
    </row>
    <row r="1060" spans="1:6">
      <c r="A1060" s="11">
        <v>44889</v>
      </c>
      <c r="B1060" t="s">
        <v>432</v>
      </c>
      <c r="C1060" t="s">
        <v>22</v>
      </c>
      <c r="D1060" t="s">
        <v>23</v>
      </c>
      <c r="F1060">
        <v>0</v>
      </c>
    </row>
    <row r="1061" spans="1:6">
      <c r="A1061" s="11">
        <v>44889</v>
      </c>
      <c r="B1061" t="s">
        <v>432</v>
      </c>
      <c r="C1061" t="s">
        <v>22</v>
      </c>
      <c r="D1061" t="s">
        <v>76</v>
      </c>
      <c r="F1061">
        <v>0</v>
      </c>
    </row>
    <row r="1062" spans="1:6">
      <c r="A1062" s="11">
        <v>44889</v>
      </c>
      <c r="B1062" t="s">
        <v>432</v>
      </c>
      <c r="C1062" t="s">
        <v>350</v>
      </c>
      <c r="D1062" t="s">
        <v>78</v>
      </c>
      <c r="F1062">
        <v>0</v>
      </c>
    </row>
    <row r="1063" spans="1:6">
      <c r="A1063" s="11">
        <v>44889</v>
      </c>
      <c r="B1063" t="s">
        <v>432</v>
      </c>
      <c r="C1063" t="s">
        <v>350</v>
      </c>
      <c r="D1063" t="s">
        <v>354</v>
      </c>
      <c r="F1063">
        <v>0</v>
      </c>
    </row>
    <row r="1064" spans="1:6">
      <c r="A1064" s="11">
        <v>44889</v>
      </c>
      <c r="B1064" t="s">
        <v>432</v>
      </c>
      <c r="C1064" t="s">
        <v>351</v>
      </c>
      <c r="D1064" t="s">
        <v>46</v>
      </c>
      <c r="F1064" cm="1">
        <f t="array" ref="F1064:F1065">TRANSPOSE('Utilization '!I1201:J1201)</f>
        <v>0</v>
      </c>
    </row>
    <row r="1065" spans="1:6">
      <c r="A1065" s="11">
        <v>44889</v>
      </c>
      <c r="B1065" t="s">
        <v>432</v>
      </c>
      <c r="C1065" t="s">
        <v>351</v>
      </c>
      <c r="D1065" t="s">
        <v>62</v>
      </c>
      <c r="F1065">
        <v>0</v>
      </c>
    </row>
    <row r="1066" spans="1:6">
      <c r="A1066" s="11">
        <v>44890</v>
      </c>
      <c r="B1066" t="s">
        <v>432</v>
      </c>
      <c r="C1066" t="s">
        <v>349</v>
      </c>
      <c r="D1066" t="s">
        <v>40</v>
      </c>
      <c r="F1066" cm="1">
        <f t="array" ref="F1066:F1071">TRANSPOSE('Utilization '!B1209:G1209)</f>
        <v>0</v>
      </c>
    </row>
    <row r="1067" spans="1:6">
      <c r="A1067" s="11">
        <v>44890</v>
      </c>
      <c r="B1067" t="s">
        <v>432</v>
      </c>
      <c r="C1067" t="s">
        <v>349</v>
      </c>
      <c r="D1067" t="s">
        <v>36</v>
      </c>
      <c r="F1067">
        <v>0</v>
      </c>
    </row>
    <row r="1068" spans="1:6">
      <c r="A1068" s="11">
        <v>44890</v>
      </c>
      <c r="B1068" t="s">
        <v>432</v>
      </c>
      <c r="C1068" t="s">
        <v>22</v>
      </c>
      <c r="D1068" t="s">
        <v>23</v>
      </c>
      <c r="F1068">
        <v>0</v>
      </c>
    </row>
    <row r="1069" spans="1:6">
      <c r="A1069" s="11">
        <v>44890</v>
      </c>
      <c r="B1069" t="s">
        <v>432</v>
      </c>
      <c r="C1069" t="s">
        <v>22</v>
      </c>
      <c r="D1069" t="s">
        <v>76</v>
      </c>
      <c r="F1069">
        <v>0</v>
      </c>
    </row>
    <row r="1070" spans="1:6">
      <c r="A1070" s="11">
        <v>44890</v>
      </c>
      <c r="B1070" t="s">
        <v>432</v>
      </c>
      <c r="C1070" t="s">
        <v>350</v>
      </c>
      <c r="D1070" t="s">
        <v>78</v>
      </c>
      <c r="F1070">
        <v>0</v>
      </c>
    </row>
    <row r="1071" spans="1:6">
      <c r="A1071" s="11">
        <v>44890</v>
      </c>
      <c r="B1071" t="s">
        <v>432</v>
      </c>
      <c r="C1071" t="s">
        <v>350</v>
      </c>
      <c r="D1071" t="s">
        <v>354</v>
      </c>
      <c r="F1071">
        <v>0</v>
      </c>
    </row>
    <row r="1072" spans="1:6">
      <c r="A1072" s="11">
        <v>44890</v>
      </c>
      <c r="B1072" t="s">
        <v>432</v>
      </c>
      <c r="C1072" t="s">
        <v>351</v>
      </c>
      <c r="D1072" t="s">
        <v>46</v>
      </c>
      <c r="F1072" cm="1">
        <f t="array" ref="F1072:F1073">TRANSPOSE('Utilization '!I1209:J1209)</f>
        <v>0</v>
      </c>
    </row>
    <row r="1073" spans="1:6">
      <c r="A1073" s="11">
        <v>44890</v>
      </c>
      <c r="B1073" t="s">
        <v>432</v>
      </c>
      <c r="C1073" t="s">
        <v>351</v>
      </c>
      <c r="D1073" t="s">
        <v>62</v>
      </c>
      <c r="F1073">
        <v>0</v>
      </c>
    </row>
    <row r="1074" spans="1:6">
      <c r="A1074" s="11">
        <v>44891</v>
      </c>
      <c r="B1074" t="s">
        <v>432</v>
      </c>
      <c r="C1074" t="s">
        <v>349</v>
      </c>
      <c r="D1074" t="s">
        <v>40</v>
      </c>
      <c r="F1074" cm="1">
        <f t="array" ref="F1074:F1079">TRANSPOSE('Utilization '!B1217:G1217)</f>
        <v>0</v>
      </c>
    </row>
    <row r="1075" spans="1:6">
      <c r="A1075" s="11">
        <v>44891</v>
      </c>
      <c r="B1075" t="s">
        <v>432</v>
      </c>
      <c r="C1075" t="s">
        <v>349</v>
      </c>
      <c r="D1075" t="s">
        <v>36</v>
      </c>
      <c r="F1075">
        <v>0</v>
      </c>
    </row>
    <row r="1076" spans="1:6">
      <c r="A1076" s="11">
        <v>44891</v>
      </c>
      <c r="B1076" t="s">
        <v>432</v>
      </c>
      <c r="C1076" t="s">
        <v>22</v>
      </c>
      <c r="D1076" t="s">
        <v>23</v>
      </c>
      <c r="F1076">
        <v>0</v>
      </c>
    </row>
    <row r="1077" spans="1:6">
      <c r="A1077" s="11">
        <v>44891</v>
      </c>
      <c r="B1077" t="s">
        <v>432</v>
      </c>
      <c r="C1077" t="s">
        <v>22</v>
      </c>
      <c r="D1077" t="s">
        <v>76</v>
      </c>
      <c r="F1077">
        <v>0</v>
      </c>
    </row>
    <row r="1078" spans="1:6">
      <c r="A1078" s="11">
        <v>44891</v>
      </c>
      <c r="B1078" t="s">
        <v>432</v>
      </c>
      <c r="C1078" t="s">
        <v>350</v>
      </c>
      <c r="D1078" t="s">
        <v>78</v>
      </c>
      <c r="F1078">
        <v>0</v>
      </c>
    </row>
    <row r="1079" spans="1:6">
      <c r="A1079" s="11">
        <v>44891</v>
      </c>
      <c r="B1079" t="s">
        <v>432</v>
      </c>
      <c r="C1079" t="s">
        <v>350</v>
      </c>
      <c r="D1079" t="s">
        <v>354</v>
      </c>
      <c r="F1079">
        <v>0</v>
      </c>
    </row>
    <row r="1080" spans="1:6">
      <c r="A1080" s="11">
        <v>44891</v>
      </c>
      <c r="B1080" t="s">
        <v>432</v>
      </c>
      <c r="C1080" t="s">
        <v>351</v>
      </c>
      <c r="D1080" t="s">
        <v>46</v>
      </c>
      <c r="F1080" cm="1">
        <f t="array" ref="F1080:F1081">TRANSPOSE('Utilization '!I1217:J1217)</f>
        <v>0</v>
      </c>
    </row>
    <row r="1081" spans="1:6">
      <c r="A1081" s="11">
        <v>44891</v>
      </c>
      <c r="B1081" t="s">
        <v>432</v>
      </c>
      <c r="C1081" t="s">
        <v>351</v>
      </c>
      <c r="D1081" t="s">
        <v>62</v>
      </c>
      <c r="F1081">
        <v>0</v>
      </c>
    </row>
    <row r="1082" spans="1:6">
      <c r="A1082" s="11">
        <v>44892</v>
      </c>
      <c r="B1082" t="s">
        <v>432</v>
      </c>
      <c r="C1082" t="s">
        <v>349</v>
      </c>
      <c r="D1082" t="s">
        <v>40</v>
      </c>
      <c r="F1082" cm="1">
        <f t="array" ref="F1082:F1087">TRANSPOSE('Utilization '!B1225:G1225)</f>
        <v>0</v>
      </c>
    </row>
    <row r="1083" spans="1:6">
      <c r="A1083" s="11">
        <v>44892</v>
      </c>
      <c r="B1083" t="s">
        <v>432</v>
      </c>
      <c r="C1083" t="s">
        <v>349</v>
      </c>
      <c r="D1083" t="s">
        <v>36</v>
      </c>
      <c r="F1083">
        <v>0</v>
      </c>
    </row>
    <row r="1084" spans="1:6">
      <c r="A1084" s="11">
        <v>44892</v>
      </c>
      <c r="B1084" t="s">
        <v>432</v>
      </c>
      <c r="C1084" t="s">
        <v>22</v>
      </c>
      <c r="D1084" t="s">
        <v>23</v>
      </c>
      <c r="F1084">
        <v>0</v>
      </c>
    </row>
    <row r="1085" spans="1:6">
      <c r="A1085" s="11">
        <v>44892</v>
      </c>
      <c r="B1085" t="s">
        <v>432</v>
      </c>
      <c r="C1085" t="s">
        <v>22</v>
      </c>
      <c r="D1085" t="s">
        <v>76</v>
      </c>
      <c r="F1085">
        <v>0</v>
      </c>
    </row>
    <row r="1086" spans="1:6">
      <c r="A1086" s="11">
        <v>44892</v>
      </c>
      <c r="B1086" t="s">
        <v>432</v>
      </c>
      <c r="C1086" t="s">
        <v>350</v>
      </c>
      <c r="D1086" t="s">
        <v>78</v>
      </c>
      <c r="F1086">
        <v>0</v>
      </c>
    </row>
    <row r="1087" spans="1:6">
      <c r="A1087" s="11">
        <v>44892</v>
      </c>
      <c r="B1087" t="s">
        <v>432</v>
      </c>
      <c r="C1087" t="s">
        <v>350</v>
      </c>
      <c r="D1087" t="s">
        <v>354</v>
      </c>
      <c r="F1087">
        <v>0</v>
      </c>
    </row>
    <row r="1088" spans="1:6">
      <c r="A1088" s="11">
        <v>44892</v>
      </c>
      <c r="B1088" t="s">
        <v>432</v>
      </c>
      <c r="C1088" t="s">
        <v>351</v>
      </c>
      <c r="D1088" t="s">
        <v>46</v>
      </c>
      <c r="F1088" cm="1">
        <f t="array" ref="F1088:F1089">TRANSPOSE('Utilization '!I1225:J1225)</f>
        <v>0</v>
      </c>
    </row>
    <row r="1089" spans="1:6">
      <c r="A1089" s="11">
        <v>44892</v>
      </c>
      <c r="B1089" t="s">
        <v>432</v>
      </c>
      <c r="C1089" t="s">
        <v>351</v>
      </c>
      <c r="D1089" t="s">
        <v>62</v>
      </c>
      <c r="F1089">
        <v>0</v>
      </c>
    </row>
    <row r="1090" spans="1:6">
      <c r="A1090" s="11">
        <v>44893</v>
      </c>
      <c r="B1090" t="s">
        <v>432</v>
      </c>
      <c r="C1090" t="s">
        <v>349</v>
      </c>
      <c r="D1090" t="s">
        <v>40</v>
      </c>
      <c r="F1090" cm="1">
        <f t="array" ref="F1090:F1095">TRANSPOSE('Utilization '!B1233:G1233)</f>
        <v>0</v>
      </c>
    </row>
    <row r="1091" spans="1:6">
      <c r="A1091" s="11">
        <v>44893</v>
      </c>
      <c r="B1091" t="s">
        <v>432</v>
      </c>
      <c r="C1091" t="s">
        <v>349</v>
      </c>
      <c r="D1091" t="s">
        <v>36</v>
      </c>
      <c r="F1091">
        <v>0</v>
      </c>
    </row>
    <row r="1092" spans="1:6">
      <c r="A1092" s="11">
        <v>44893</v>
      </c>
      <c r="B1092" t="s">
        <v>432</v>
      </c>
      <c r="C1092" t="s">
        <v>22</v>
      </c>
      <c r="D1092" t="s">
        <v>23</v>
      </c>
      <c r="F1092">
        <v>0</v>
      </c>
    </row>
    <row r="1093" spans="1:6">
      <c r="A1093" s="11">
        <v>44893</v>
      </c>
      <c r="B1093" t="s">
        <v>432</v>
      </c>
      <c r="C1093" t="s">
        <v>22</v>
      </c>
      <c r="D1093" t="s">
        <v>76</v>
      </c>
      <c r="F1093">
        <v>0</v>
      </c>
    </row>
    <row r="1094" spans="1:6">
      <c r="A1094" s="11">
        <v>44893</v>
      </c>
      <c r="B1094" t="s">
        <v>432</v>
      </c>
      <c r="C1094" t="s">
        <v>350</v>
      </c>
      <c r="D1094" t="s">
        <v>78</v>
      </c>
      <c r="F1094">
        <v>0</v>
      </c>
    </row>
    <row r="1095" spans="1:6">
      <c r="A1095" s="11">
        <v>44893</v>
      </c>
      <c r="B1095" t="s">
        <v>432</v>
      </c>
      <c r="C1095" t="s">
        <v>350</v>
      </c>
      <c r="D1095" t="s">
        <v>354</v>
      </c>
      <c r="F1095">
        <v>0</v>
      </c>
    </row>
    <row r="1096" spans="1:6">
      <c r="A1096" s="11">
        <v>44893</v>
      </c>
      <c r="B1096" t="s">
        <v>432</v>
      </c>
      <c r="C1096" t="s">
        <v>351</v>
      </c>
      <c r="D1096" t="s">
        <v>46</v>
      </c>
      <c r="F1096" cm="1">
        <f t="array" ref="F1096:F1097">TRANSPOSE('Utilization '!I1233:J1233)</f>
        <v>0</v>
      </c>
    </row>
    <row r="1097" spans="1:6">
      <c r="A1097" s="11">
        <v>44893</v>
      </c>
      <c r="B1097" t="s">
        <v>432</v>
      </c>
      <c r="C1097" t="s">
        <v>351</v>
      </c>
      <c r="D1097" t="s">
        <v>62</v>
      </c>
      <c r="F1097">
        <v>0</v>
      </c>
    </row>
    <row r="1098" spans="1:6">
      <c r="A1098" s="11">
        <v>44894</v>
      </c>
      <c r="B1098" t="s">
        <v>432</v>
      </c>
      <c r="C1098" t="s">
        <v>349</v>
      </c>
      <c r="D1098" t="s">
        <v>40</v>
      </c>
      <c r="F1098" cm="1">
        <f t="array" ref="F1098:F1103">TRANSPOSE('Utilization '!B1241:G1241)</f>
        <v>0</v>
      </c>
    </row>
    <row r="1099" spans="1:6">
      <c r="A1099" s="11">
        <v>44894</v>
      </c>
      <c r="B1099" t="s">
        <v>432</v>
      </c>
      <c r="C1099" t="s">
        <v>349</v>
      </c>
      <c r="D1099" t="s">
        <v>36</v>
      </c>
      <c r="F1099">
        <v>0</v>
      </c>
    </row>
    <row r="1100" spans="1:6">
      <c r="A1100" s="11">
        <v>44894</v>
      </c>
      <c r="B1100" t="s">
        <v>432</v>
      </c>
      <c r="C1100" t="s">
        <v>22</v>
      </c>
      <c r="D1100" t="s">
        <v>23</v>
      </c>
      <c r="F1100">
        <v>0</v>
      </c>
    </row>
    <row r="1101" spans="1:6">
      <c r="A1101" s="11">
        <v>44894</v>
      </c>
      <c r="B1101" t="s">
        <v>432</v>
      </c>
      <c r="C1101" t="s">
        <v>22</v>
      </c>
      <c r="D1101" t="s">
        <v>76</v>
      </c>
      <c r="F1101">
        <v>0</v>
      </c>
    </row>
    <row r="1102" spans="1:6">
      <c r="A1102" s="11">
        <v>44894</v>
      </c>
      <c r="B1102" t="s">
        <v>432</v>
      </c>
      <c r="C1102" t="s">
        <v>350</v>
      </c>
      <c r="D1102" t="s">
        <v>78</v>
      </c>
      <c r="F1102">
        <v>0</v>
      </c>
    </row>
    <row r="1103" spans="1:6">
      <c r="A1103" s="11">
        <v>44894</v>
      </c>
      <c r="B1103" t="s">
        <v>432</v>
      </c>
      <c r="C1103" t="s">
        <v>350</v>
      </c>
      <c r="D1103" t="s">
        <v>354</v>
      </c>
      <c r="F1103">
        <v>0</v>
      </c>
    </row>
    <row r="1104" spans="1:6">
      <c r="A1104" s="11">
        <v>44894</v>
      </c>
      <c r="B1104" t="s">
        <v>432</v>
      </c>
      <c r="C1104" t="s">
        <v>351</v>
      </c>
      <c r="D1104" t="s">
        <v>46</v>
      </c>
      <c r="F1104" cm="1">
        <f t="array" ref="F1104:F1105">TRANSPOSE('Utilization '!I1241:J1241)</f>
        <v>0</v>
      </c>
    </row>
    <row r="1105" spans="1:6">
      <c r="A1105" s="11">
        <v>44894</v>
      </c>
      <c r="B1105" t="s">
        <v>432</v>
      </c>
      <c r="C1105" t="s">
        <v>351</v>
      </c>
      <c r="D1105" t="s">
        <v>62</v>
      </c>
      <c r="F1105">
        <v>0</v>
      </c>
    </row>
    <row r="1106" spans="1:6">
      <c r="A1106" s="11">
        <v>44895</v>
      </c>
      <c r="B1106" t="s">
        <v>432</v>
      </c>
      <c r="C1106" t="s">
        <v>349</v>
      </c>
      <c r="D1106" t="s">
        <v>40</v>
      </c>
      <c r="F1106" cm="1">
        <f t="array" ref="F1106:F1111">TRANSPOSE('Utilization '!B1249:G1249)</f>
        <v>0</v>
      </c>
    </row>
    <row r="1107" spans="1:6">
      <c r="A1107" s="11">
        <v>44895</v>
      </c>
      <c r="B1107" t="s">
        <v>432</v>
      </c>
      <c r="C1107" t="s">
        <v>349</v>
      </c>
      <c r="D1107" t="s">
        <v>36</v>
      </c>
      <c r="F1107">
        <v>0</v>
      </c>
    </row>
    <row r="1108" spans="1:6">
      <c r="A1108" s="11">
        <v>44895</v>
      </c>
      <c r="B1108" t="s">
        <v>432</v>
      </c>
      <c r="C1108" t="s">
        <v>22</v>
      </c>
      <c r="D1108" t="s">
        <v>23</v>
      </c>
      <c r="F1108">
        <v>0</v>
      </c>
    </row>
    <row r="1109" spans="1:6">
      <c r="A1109" s="11">
        <v>44895</v>
      </c>
      <c r="B1109" t="s">
        <v>432</v>
      </c>
      <c r="C1109" t="s">
        <v>22</v>
      </c>
      <c r="D1109" t="s">
        <v>76</v>
      </c>
      <c r="F1109">
        <v>0</v>
      </c>
    </row>
    <row r="1110" spans="1:6">
      <c r="A1110" s="11">
        <v>44895</v>
      </c>
      <c r="B1110" t="s">
        <v>432</v>
      </c>
      <c r="C1110" t="s">
        <v>350</v>
      </c>
      <c r="D1110" t="s">
        <v>78</v>
      </c>
      <c r="F1110">
        <v>0</v>
      </c>
    </row>
    <row r="1111" spans="1:6">
      <c r="A1111" s="11">
        <v>44895</v>
      </c>
      <c r="B1111" t="s">
        <v>432</v>
      </c>
      <c r="C1111" t="s">
        <v>350</v>
      </c>
      <c r="D1111" t="s">
        <v>354</v>
      </c>
      <c r="F1111">
        <v>0</v>
      </c>
    </row>
    <row r="1112" spans="1:6">
      <c r="A1112" s="11">
        <v>44895</v>
      </c>
      <c r="B1112" t="s">
        <v>432</v>
      </c>
      <c r="C1112" t="s">
        <v>351</v>
      </c>
      <c r="D1112" t="s">
        <v>46</v>
      </c>
      <c r="F1112" cm="1">
        <f t="array" ref="F1112:F1113">TRANSPOSE('Utilization '!I1249:J1249)</f>
        <v>0</v>
      </c>
    </row>
    <row r="1113" spans="1:6">
      <c r="A1113" s="11">
        <v>44895</v>
      </c>
      <c r="B1113" t="s">
        <v>432</v>
      </c>
      <c r="C1113" t="s">
        <v>351</v>
      </c>
      <c r="D1113" t="s">
        <v>62</v>
      </c>
      <c r="F1113">
        <v>0</v>
      </c>
    </row>
    <row r="1114" spans="1:6">
      <c r="A1114" s="11">
        <v>44896</v>
      </c>
      <c r="B1114" t="s">
        <v>432</v>
      </c>
      <c r="C1114" t="s">
        <v>349</v>
      </c>
      <c r="D1114" t="s">
        <v>40</v>
      </c>
      <c r="F1114" cm="1">
        <f t="array" ref="F1114:F1119">TRANSPOSE('Utilization '!B1257:G1257)</f>
        <v>0</v>
      </c>
    </row>
    <row r="1115" spans="1:6">
      <c r="A1115" s="11">
        <v>44896</v>
      </c>
      <c r="B1115" t="s">
        <v>432</v>
      </c>
      <c r="C1115" t="s">
        <v>349</v>
      </c>
      <c r="D1115" t="s">
        <v>36</v>
      </c>
      <c r="F1115">
        <v>0</v>
      </c>
    </row>
    <row r="1116" spans="1:6">
      <c r="A1116" s="11">
        <v>44896</v>
      </c>
      <c r="B1116" t="s">
        <v>432</v>
      </c>
      <c r="C1116" t="s">
        <v>22</v>
      </c>
      <c r="D1116" t="s">
        <v>23</v>
      </c>
      <c r="F1116">
        <v>0</v>
      </c>
    </row>
    <row r="1117" spans="1:6">
      <c r="A1117" s="11">
        <v>44896</v>
      </c>
      <c r="B1117" t="s">
        <v>432</v>
      </c>
      <c r="C1117" t="s">
        <v>22</v>
      </c>
      <c r="D1117" t="s">
        <v>76</v>
      </c>
      <c r="F1117">
        <v>0</v>
      </c>
    </row>
    <row r="1118" spans="1:6">
      <c r="A1118" s="11">
        <v>44896</v>
      </c>
      <c r="B1118" t="s">
        <v>432</v>
      </c>
      <c r="C1118" t="s">
        <v>350</v>
      </c>
      <c r="D1118" t="s">
        <v>78</v>
      </c>
      <c r="F1118">
        <v>0</v>
      </c>
    </row>
    <row r="1119" spans="1:6">
      <c r="A1119" s="11">
        <v>44896</v>
      </c>
      <c r="B1119" t="s">
        <v>432</v>
      </c>
      <c r="C1119" t="s">
        <v>350</v>
      </c>
      <c r="D1119" t="s">
        <v>354</v>
      </c>
      <c r="F1119">
        <v>0</v>
      </c>
    </row>
    <row r="1120" spans="1:6">
      <c r="A1120" s="11">
        <v>44896</v>
      </c>
      <c r="B1120" t="s">
        <v>432</v>
      </c>
      <c r="C1120" t="s">
        <v>351</v>
      </c>
      <c r="D1120" t="s">
        <v>46</v>
      </c>
      <c r="F1120" cm="1">
        <f t="array" ref="F1120:F1121">TRANSPOSE('Utilization '!I1257:J1257)</f>
        <v>0</v>
      </c>
    </row>
    <row r="1121" spans="1:6">
      <c r="A1121" s="11">
        <v>44896</v>
      </c>
      <c r="B1121" t="s">
        <v>432</v>
      </c>
      <c r="C1121" t="s">
        <v>351</v>
      </c>
      <c r="D1121" t="s">
        <v>62</v>
      </c>
      <c r="F1121">
        <v>0</v>
      </c>
    </row>
    <row r="1122" spans="1:6">
      <c r="A1122" s="11">
        <v>44897</v>
      </c>
      <c r="B1122" t="s">
        <v>432</v>
      </c>
      <c r="C1122" t="s">
        <v>349</v>
      </c>
      <c r="D1122" t="s">
        <v>40</v>
      </c>
      <c r="F1122" cm="1">
        <f t="array" ref="F1122:F1127">TRANSPOSE('Utilization '!B1265:G1265)</f>
        <v>0</v>
      </c>
    </row>
    <row r="1123" spans="1:6">
      <c r="A1123" s="11">
        <v>44897</v>
      </c>
      <c r="B1123" t="s">
        <v>432</v>
      </c>
      <c r="C1123" t="s">
        <v>349</v>
      </c>
      <c r="D1123" t="s">
        <v>36</v>
      </c>
      <c r="F1123">
        <v>0</v>
      </c>
    </row>
    <row r="1124" spans="1:6">
      <c r="A1124" s="11">
        <v>44897</v>
      </c>
      <c r="B1124" t="s">
        <v>432</v>
      </c>
      <c r="C1124" t="s">
        <v>22</v>
      </c>
      <c r="D1124" t="s">
        <v>23</v>
      </c>
      <c r="F1124">
        <v>0</v>
      </c>
    </row>
    <row r="1125" spans="1:6">
      <c r="A1125" s="11">
        <v>44897</v>
      </c>
      <c r="B1125" t="s">
        <v>432</v>
      </c>
      <c r="C1125" t="s">
        <v>22</v>
      </c>
      <c r="D1125" t="s">
        <v>76</v>
      </c>
      <c r="F1125">
        <v>0</v>
      </c>
    </row>
    <row r="1126" spans="1:6">
      <c r="A1126" s="11">
        <v>44897</v>
      </c>
      <c r="B1126" t="s">
        <v>432</v>
      </c>
      <c r="C1126" t="s">
        <v>350</v>
      </c>
      <c r="D1126" t="s">
        <v>78</v>
      </c>
      <c r="F1126">
        <v>0</v>
      </c>
    </row>
    <row r="1127" spans="1:6">
      <c r="A1127" s="11">
        <v>44897</v>
      </c>
      <c r="B1127" t="s">
        <v>432</v>
      </c>
      <c r="C1127" t="s">
        <v>350</v>
      </c>
      <c r="D1127" t="s">
        <v>354</v>
      </c>
      <c r="F1127">
        <v>0</v>
      </c>
    </row>
    <row r="1128" spans="1:6">
      <c r="A1128" s="11">
        <v>44897</v>
      </c>
      <c r="B1128" t="s">
        <v>432</v>
      </c>
      <c r="C1128" t="s">
        <v>351</v>
      </c>
      <c r="D1128" t="s">
        <v>46</v>
      </c>
      <c r="F1128" cm="1">
        <f t="array" ref="F1128:F1129">TRANSPOSE('Utilization '!I1265:J1265)</f>
        <v>0</v>
      </c>
    </row>
    <row r="1129" spans="1:6">
      <c r="A1129" s="11">
        <v>44897</v>
      </c>
      <c r="B1129" t="s">
        <v>432</v>
      </c>
      <c r="C1129" t="s">
        <v>351</v>
      </c>
      <c r="D1129" t="s">
        <v>62</v>
      </c>
      <c r="F1129">
        <v>0</v>
      </c>
    </row>
    <row r="1130" spans="1:6">
      <c r="A1130" s="11">
        <v>44898</v>
      </c>
      <c r="B1130" t="s">
        <v>432</v>
      </c>
      <c r="C1130" t="s">
        <v>349</v>
      </c>
      <c r="D1130" t="s">
        <v>40</v>
      </c>
      <c r="F1130" cm="1">
        <f t="array" ref="F1130:F1135">TRANSPOSE('Utilization '!B1273:G1273)</f>
        <v>0</v>
      </c>
    </row>
    <row r="1131" spans="1:6">
      <c r="A1131" s="11">
        <v>44898</v>
      </c>
      <c r="B1131" t="s">
        <v>432</v>
      </c>
      <c r="C1131" t="s">
        <v>349</v>
      </c>
      <c r="D1131" t="s">
        <v>36</v>
      </c>
      <c r="F1131">
        <v>0</v>
      </c>
    </row>
    <row r="1132" spans="1:6">
      <c r="A1132" s="11">
        <v>44898</v>
      </c>
      <c r="B1132" t="s">
        <v>432</v>
      </c>
      <c r="C1132" t="s">
        <v>22</v>
      </c>
      <c r="D1132" t="s">
        <v>23</v>
      </c>
      <c r="F1132">
        <v>0</v>
      </c>
    </row>
    <row r="1133" spans="1:6">
      <c r="A1133" s="11">
        <v>44898</v>
      </c>
      <c r="B1133" t="s">
        <v>432</v>
      </c>
      <c r="C1133" t="s">
        <v>22</v>
      </c>
      <c r="D1133" t="s">
        <v>76</v>
      </c>
      <c r="F1133">
        <v>0</v>
      </c>
    </row>
    <row r="1134" spans="1:6">
      <c r="A1134" s="11">
        <v>44898</v>
      </c>
      <c r="B1134" t="s">
        <v>432</v>
      </c>
      <c r="C1134" t="s">
        <v>350</v>
      </c>
      <c r="D1134" t="s">
        <v>78</v>
      </c>
      <c r="F1134">
        <v>0</v>
      </c>
    </row>
    <row r="1135" spans="1:6">
      <c r="A1135" s="11">
        <v>44898</v>
      </c>
      <c r="B1135" t="s">
        <v>432</v>
      </c>
      <c r="C1135" t="s">
        <v>350</v>
      </c>
      <c r="D1135" t="s">
        <v>354</v>
      </c>
      <c r="F1135">
        <v>0</v>
      </c>
    </row>
    <row r="1136" spans="1:6">
      <c r="A1136" s="11">
        <v>44898</v>
      </c>
      <c r="B1136" t="s">
        <v>432</v>
      </c>
      <c r="C1136" t="s">
        <v>351</v>
      </c>
      <c r="D1136" t="s">
        <v>46</v>
      </c>
      <c r="F1136" cm="1">
        <f t="array" ref="F1136:F1137">TRANSPOSE('Utilization '!I1273:J1273)</f>
        <v>0</v>
      </c>
    </row>
    <row r="1137" spans="1:6">
      <c r="A1137" s="11">
        <v>44898</v>
      </c>
      <c r="B1137" t="s">
        <v>432</v>
      </c>
      <c r="C1137" t="s">
        <v>351</v>
      </c>
      <c r="D1137" t="s">
        <v>62</v>
      </c>
      <c r="F1137">
        <v>0</v>
      </c>
    </row>
    <row r="1138" spans="1:6">
      <c r="A1138" s="11">
        <v>44899</v>
      </c>
      <c r="B1138" t="s">
        <v>432</v>
      </c>
      <c r="C1138" t="s">
        <v>349</v>
      </c>
      <c r="D1138" t="s">
        <v>40</v>
      </c>
      <c r="F1138" cm="1">
        <f t="array" ref="F1138:F1143">TRANSPOSE('Utilization '!B1281:G1281)</f>
        <v>0</v>
      </c>
    </row>
    <row r="1139" spans="1:6">
      <c r="A1139" s="11">
        <v>44899</v>
      </c>
      <c r="B1139" t="s">
        <v>432</v>
      </c>
      <c r="C1139" t="s">
        <v>349</v>
      </c>
      <c r="D1139" t="s">
        <v>36</v>
      </c>
      <c r="F1139">
        <v>0</v>
      </c>
    </row>
    <row r="1140" spans="1:6">
      <c r="A1140" s="11">
        <v>44899</v>
      </c>
      <c r="B1140" t="s">
        <v>432</v>
      </c>
      <c r="C1140" t="s">
        <v>22</v>
      </c>
      <c r="D1140" t="s">
        <v>23</v>
      </c>
      <c r="F1140">
        <v>0</v>
      </c>
    </row>
    <row r="1141" spans="1:6">
      <c r="A1141" s="11">
        <v>44899</v>
      </c>
      <c r="B1141" t="s">
        <v>432</v>
      </c>
      <c r="C1141" t="s">
        <v>22</v>
      </c>
      <c r="D1141" t="s">
        <v>76</v>
      </c>
      <c r="F1141">
        <v>0</v>
      </c>
    </row>
    <row r="1142" spans="1:6">
      <c r="A1142" s="11">
        <v>44899</v>
      </c>
      <c r="B1142" t="s">
        <v>432</v>
      </c>
      <c r="C1142" t="s">
        <v>350</v>
      </c>
      <c r="D1142" t="s">
        <v>78</v>
      </c>
      <c r="F1142">
        <v>0</v>
      </c>
    </row>
    <row r="1143" spans="1:6">
      <c r="A1143" s="11">
        <v>44899</v>
      </c>
      <c r="B1143" t="s">
        <v>432</v>
      </c>
      <c r="C1143" t="s">
        <v>350</v>
      </c>
      <c r="D1143" t="s">
        <v>354</v>
      </c>
      <c r="F1143">
        <v>0</v>
      </c>
    </row>
    <row r="1144" spans="1:6">
      <c r="A1144" s="11">
        <v>44899</v>
      </c>
      <c r="B1144" t="s">
        <v>432</v>
      </c>
      <c r="C1144" t="s">
        <v>351</v>
      </c>
      <c r="D1144" t="s">
        <v>46</v>
      </c>
      <c r="F1144" cm="1">
        <f t="array" ref="F1144:F1145">TRANSPOSE('Utilization '!I1281:J1281)</f>
        <v>0</v>
      </c>
    </row>
    <row r="1145" spans="1:6">
      <c r="A1145" s="11">
        <v>44899</v>
      </c>
      <c r="B1145" t="s">
        <v>432</v>
      </c>
      <c r="C1145" t="s">
        <v>351</v>
      </c>
      <c r="D1145" t="s">
        <v>62</v>
      </c>
      <c r="F1145">
        <v>0</v>
      </c>
    </row>
    <row r="1146" spans="1:6">
      <c r="A1146" s="11">
        <v>44900</v>
      </c>
      <c r="B1146" t="s">
        <v>432</v>
      </c>
      <c r="C1146" t="s">
        <v>349</v>
      </c>
      <c r="D1146" t="s">
        <v>40</v>
      </c>
      <c r="F1146" cm="1">
        <f t="array" ref="F1146:F1151">TRANSPOSE('Utilization '!B1289:G1289)</f>
        <v>0</v>
      </c>
    </row>
    <row r="1147" spans="1:6">
      <c r="A1147" s="11">
        <v>44900</v>
      </c>
      <c r="B1147" t="s">
        <v>432</v>
      </c>
      <c r="C1147" t="s">
        <v>349</v>
      </c>
      <c r="D1147" t="s">
        <v>36</v>
      </c>
      <c r="F1147">
        <v>0</v>
      </c>
    </row>
    <row r="1148" spans="1:6">
      <c r="A1148" s="11">
        <v>44900</v>
      </c>
      <c r="B1148" t="s">
        <v>432</v>
      </c>
      <c r="C1148" t="s">
        <v>22</v>
      </c>
      <c r="D1148" t="s">
        <v>23</v>
      </c>
      <c r="F1148">
        <v>0</v>
      </c>
    </row>
    <row r="1149" spans="1:6">
      <c r="A1149" s="11">
        <v>44900</v>
      </c>
      <c r="B1149" t="s">
        <v>432</v>
      </c>
      <c r="C1149" t="s">
        <v>22</v>
      </c>
      <c r="D1149" t="s">
        <v>76</v>
      </c>
      <c r="F1149">
        <v>0</v>
      </c>
    </row>
    <row r="1150" spans="1:6">
      <c r="A1150" s="11">
        <v>44900</v>
      </c>
      <c r="B1150" t="s">
        <v>432</v>
      </c>
      <c r="C1150" t="s">
        <v>350</v>
      </c>
      <c r="D1150" t="s">
        <v>78</v>
      </c>
      <c r="F1150">
        <v>0</v>
      </c>
    </row>
    <row r="1151" spans="1:6">
      <c r="A1151" s="11">
        <v>44900</v>
      </c>
      <c r="B1151" t="s">
        <v>432</v>
      </c>
      <c r="C1151" t="s">
        <v>350</v>
      </c>
      <c r="D1151" t="s">
        <v>354</v>
      </c>
      <c r="F1151">
        <v>0</v>
      </c>
    </row>
    <row r="1152" spans="1:6">
      <c r="A1152" s="11">
        <v>44900</v>
      </c>
      <c r="B1152" t="s">
        <v>432</v>
      </c>
      <c r="C1152" t="s">
        <v>351</v>
      </c>
      <c r="D1152" t="s">
        <v>46</v>
      </c>
      <c r="F1152" cm="1">
        <f t="array" ref="F1152:F1153">TRANSPOSE('Utilization '!I1289:J1289)</f>
        <v>0</v>
      </c>
    </row>
    <row r="1153" spans="1:6">
      <c r="A1153" s="11">
        <v>44900</v>
      </c>
      <c r="B1153" t="s">
        <v>432</v>
      </c>
      <c r="C1153" t="s">
        <v>351</v>
      </c>
      <c r="D1153" t="s">
        <v>62</v>
      </c>
      <c r="F1153">
        <v>0</v>
      </c>
    </row>
    <row r="1154" spans="1:6">
      <c r="A1154" s="11">
        <v>44901</v>
      </c>
      <c r="B1154" t="s">
        <v>432</v>
      </c>
      <c r="C1154" t="s">
        <v>349</v>
      </c>
      <c r="D1154" t="s">
        <v>40</v>
      </c>
      <c r="F1154" cm="1">
        <f t="array" ref="F1154:F1159">TRANSPOSE('Utilization '!B1297:G1297)</f>
        <v>0</v>
      </c>
    </row>
    <row r="1155" spans="1:6">
      <c r="A1155" s="11">
        <v>44901</v>
      </c>
      <c r="B1155" t="s">
        <v>432</v>
      </c>
      <c r="C1155" t="s">
        <v>349</v>
      </c>
      <c r="D1155" t="s">
        <v>36</v>
      </c>
      <c r="F1155">
        <v>0</v>
      </c>
    </row>
    <row r="1156" spans="1:6">
      <c r="A1156" s="11">
        <v>44901</v>
      </c>
      <c r="B1156" t="s">
        <v>432</v>
      </c>
      <c r="C1156" t="s">
        <v>22</v>
      </c>
      <c r="D1156" t="s">
        <v>23</v>
      </c>
      <c r="F1156">
        <v>0</v>
      </c>
    </row>
    <row r="1157" spans="1:6">
      <c r="A1157" s="11">
        <v>44901</v>
      </c>
      <c r="B1157" t="s">
        <v>432</v>
      </c>
      <c r="C1157" t="s">
        <v>22</v>
      </c>
      <c r="D1157" t="s">
        <v>76</v>
      </c>
      <c r="F1157">
        <v>0</v>
      </c>
    </row>
    <row r="1158" spans="1:6">
      <c r="A1158" s="11">
        <v>44901</v>
      </c>
      <c r="B1158" t="s">
        <v>432</v>
      </c>
      <c r="C1158" t="s">
        <v>350</v>
      </c>
      <c r="D1158" t="s">
        <v>78</v>
      </c>
      <c r="F1158">
        <v>0</v>
      </c>
    </row>
    <row r="1159" spans="1:6">
      <c r="A1159" s="11">
        <v>44901</v>
      </c>
      <c r="B1159" t="s">
        <v>432</v>
      </c>
      <c r="C1159" t="s">
        <v>350</v>
      </c>
      <c r="D1159" t="s">
        <v>354</v>
      </c>
      <c r="F1159">
        <v>0</v>
      </c>
    </row>
    <row r="1160" spans="1:6">
      <c r="A1160" s="11">
        <v>44901</v>
      </c>
      <c r="B1160" t="s">
        <v>432</v>
      </c>
      <c r="C1160" t="s">
        <v>351</v>
      </c>
      <c r="D1160" t="s">
        <v>46</v>
      </c>
      <c r="F1160" cm="1">
        <f t="array" ref="F1160:F1161">TRANSPOSE('Utilization '!I1297:J1297)</f>
        <v>0</v>
      </c>
    </row>
    <row r="1161" spans="1:6">
      <c r="A1161" s="11">
        <v>44901</v>
      </c>
      <c r="B1161" t="s">
        <v>432</v>
      </c>
      <c r="C1161" t="s">
        <v>351</v>
      </c>
      <c r="D1161" t="s">
        <v>62</v>
      </c>
      <c r="F1161">
        <v>0</v>
      </c>
    </row>
    <row r="1162" spans="1:6">
      <c r="A1162" s="11">
        <v>44902</v>
      </c>
      <c r="B1162" t="s">
        <v>432</v>
      </c>
      <c r="C1162" t="s">
        <v>349</v>
      </c>
      <c r="D1162" t="s">
        <v>40</v>
      </c>
      <c r="F1162" cm="1">
        <f t="array" ref="F1162:F1167">TRANSPOSE('Utilization '!B1305:G1305)</f>
        <v>0</v>
      </c>
    </row>
    <row r="1163" spans="1:6">
      <c r="A1163" s="11">
        <v>44902</v>
      </c>
      <c r="B1163" t="s">
        <v>432</v>
      </c>
      <c r="C1163" t="s">
        <v>349</v>
      </c>
      <c r="D1163" t="s">
        <v>36</v>
      </c>
      <c r="F1163">
        <v>0</v>
      </c>
    </row>
    <row r="1164" spans="1:6">
      <c r="A1164" s="11">
        <v>44902</v>
      </c>
      <c r="B1164" t="s">
        <v>432</v>
      </c>
      <c r="C1164" t="s">
        <v>22</v>
      </c>
      <c r="D1164" t="s">
        <v>23</v>
      </c>
      <c r="F1164">
        <v>0</v>
      </c>
    </row>
    <row r="1165" spans="1:6">
      <c r="A1165" s="11">
        <v>44902</v>
      </c>
      <c r="B1165" t="s">
        <v>432</v>
      </c>
      <c r="C1165" t="s">
        <v>22</v>
      </c>
      <c r="D1165" t="s">
        <v>76</v>
      </c>
      <c r="F1165">
        <v>0</v>
      </c>
    </row>
    <row r="1166" spans="1:6">
      <c r="A1166" s="11">
        <v>44902</v>
      </c>
      <c r="B1166" t="s">
        <v>432</v>
      </c>
      <c r="C1166" t="s">
        <v>350</v>
      </c>
      <c r="D1166" t="s">
        <v>78</v>
      </c>
      <c r="F1166">
        <v>0</v>
      </c>
    </row>
    <row r="1167" spans="1:6">
      <c r="A1167" s="11">
        <v>44902</v>
      </c>
      <c r="B1167" t="s">
        <v>432</v>
      </c>
      <c r="C1167" t="s">
        <v>350</v>
      </c>
      <c r="D1167" t="s">
        <v>354</v>
      </c>
      <c r="F1167">
        <v>0</v>
      </c>
    </row>
    <row r="1168" spans="1:6">
      <c r="A1168" s="11">
        <v>44902</v>
      </c>
      <c r="B1168" t="s">
        <v>432</v>
      </c>
      <c r="C1168" t="s">
        <v>351</v>
      </c>
      <c r="D1168" t="s">
        <v>46</v>
      </c>
      <c r="F1168" cm="1">
        <f t="array" ref="F1168:F1169">TRANSPOSE('Utilization '!I1305:J1305)</f>
        <v>0</v>
      </c>
    </row>
    <row r="1169" spans="1:6">
      <c r="A1169" s="11">
        <v>44902</v>
      </c>
      <c r="B1169" t="s">
        <v>432</v>
      </c>
      <c r="C1169" t="s">
        <v>351</v>
      </c>
      <c r="D1169" t="s">
        <v>62</v>
      </c>
      <c r="F1169">
        <v>0</v>
      </c>
    </row>
    <row r="1170" spans="1:6">
      <c r="A1170" s="11">
        <v>44903</v>
      </c>
      <c r="B1170" t="s">
        <v>432</v>
      </c>
      <c r="C1170" t="s">
        <v>349</v>
      </c>
      <c r="D1170" t="s">
        <v>40</v>
      </c>
      <c r="F1170" cm="1">
        <f t="array" ref="F1170:F1175">TRANSPOSE('Utilization '!B1313:G1313)</f>
        <v>0</v>
      </c>
    </row>
    <row r="1171" spans="1:6">
      <c r="A1171" s="11">
        <v>44903</v>
      </c>
      <c r="B1171" t="s">
        <v>432</v>
      </c>
      <c r="C1171" t="s">
        <v>349</v>
      </c>
      <c r="D1171" t="s">
        <v>36</v>
      </c>
      <c r="F1171">
        <v>0</v>
      </c>
    </row>
    <row r="1172" spans="1:6">
      <c r="A1172" s="11">
        <v>44903</v>
      </c>
      <c r="B1172" t="s">
        <v>432</v>
      </c>
      <c r="C1172" t="s">
        <v>22</v>
      </c>
      <c r="D1172" t="s">
        <v>23</v>
      </c>
      <c r="F1172">
        <v>0</v>
      </c>
    </row>
    <row r="1173" spans="1:6">
      <c r="A1173" s="11">
        <v>44903</v>
      </c>
      <c r="B1173" t="s">
        <v>432</v>
      </c>
      <c r="C1173" t="s">
        <v>22</v>
      </c>
      <c r="D1173" t="s">
        <v>76</v>
      </c>
      <c r="F1173">
        <v>0</v>
      </c>
    </row>
    <row r="1174" spans="1:6">
      <c r="A1174" s="11">
        <v>44903</v>
      </c>
      <c r="B1174" t="s">
        <v>432</v>
      </c>
      <c r="C1174" t="s">
        <v>350</v>
      </c>
      <c r="D1174" t="s">
        <v>78</v>
      </c>
      <c r="F1174">
        <v>0</v>
      </c>
    </row>
    <row r="1175" spans="1:6">
      <c r="A1175" s="11">
        <v>44903</v>
      </c>
      <c r="B1175" t="s">
        <v>432</v>
      </c>
      <c r="C1175" t="s">
        <v>350</v>
      </c>
      <c r="D1175" t="s">
        <v>354</v>
      </c>
      <c r="F1175">
        <v>0</v>
      </c>
    </row>
    <row r="1176" spans="1:6">
      <c r="A1176" s="11">
        <v>44903</v>
      </c>
      <c r="B1176" t="s">
        <v>432</v>
      </c>
      <c r="C1176" t="s">
        <v>351</v>
      </c>
      <c r="D1176" t="s">
        <v>46</v>
      </c>
      <c r="F1176" cm="1">
        <f t="array" ref="F1176:F1177">TRANSPOSE('Utilization '!I1313:J1313)</f>
        <v>0</v>
      </c>
    </row>
    <row r="1177" spans="1:6">
      <c r="A1177" s="11">
        <v>44903</v>
      </c>
      <c r="B1177" t="s">
        <v>432</v>
      </c>
      <c r="C1177" t="s">
        <v>351</v>
      </c>
      <c r="D1177" t="s">
        <v>62</v>
      </c>
      <c r="F1177">
        <v>0</v>
      </c>
    </row>
    <row r="1178" spans="1:6">
      <c r="A1178" s="11">
        <v>44904</v>
      </c>
      <c r="B1178" t="s">
        <v>432</v>
      </c>
      <c r="C1178" t="s">
        <v>349</v>
      </c>
      <c r="D1178" t="s">
        <v>40</v>
      </c>
      <c r="F1178" cm="1">
        <f t="array" ref="F1178:F1183">TRANSPOSE('Utilization '!B1321:G1321)</f>
        <v>0</v>
      </c>
    </row>
    <row r="1179" spans="1:6">
      <c r="A1179" s="11">
        <v>44904</v>
      </c>
      <c r="B1179" t="s">
        <v>432</v>
      </c>
      <c r="C1179" t="s">
        <v>349</v>
      </c>
      <c r="D1179" t="s">
        <v>36</v>
      </c>
      <c r="F1179">
        <v>0</v>
      </c>
    </row>
    <row r="1180" spans="1:6">
      <c r="A1180" s="11">
        <v>44904</v>
      </c>
      <c r="B1180" t="s">
        <v>432</v>
      </c>
      <c r="C1180" t="s">
        <v>22</v>
      </c>
      <c r="D1180" t="s">
        <v>23</v>
      </c>
      <c r="F1180">
        <v>0</v>
      </c>
    </row>
    <row r="1181" spans="1:6">
      <c r="A1181" s="11">
        <v>44904</v>
      </c>
      <c r="B1181" t="s">
        <v>432</v>
      </c>
      <c r="C1181" t="s">
        <v>22</v>
      </c>
      <c r="D1181" t="s">
        <v>76</v>
      </c>
      <c r="F1181">
        <v>0</v>
      </c>
    </row>
    <row r="1182" spans="1:6">
      <c r="A1182" s="11">
        <v>44904</v>
      </c>
      <c r="B1182" t="s">
        <v>432</v>
      </c>
      <c r="C1182" t="s">
        <v>350</v>
      </c>
      <c r="D1182" t="s">
        <v>78</v>
      </c>
      <c r="F1182">
        <v>0</v>
      </c>
    </row>
    <row r="1183" spans="1:6">
      <c r="A1183" s="11">
        <v>44904</v>
      </c>
      <c r="B1183" t="s">
        <v>432</v>
      </c>
      <c r="C1183" t="s">
        <v>350</v>
      </c>
      <c r="D1183" t="s">
        <v>354</v>
      </c>
      <c r="F1183">
        <v>0</v>
      </c>
    </row>
    <row r="1184" spans="1:6">
      <c r="A1184" s="11">
        <v>44904</v>
      </c>
      <c r="B1184" t="s">
        <v>432</v>
      </c>
      <c r="C1184" t="s">
        <v>351</v>
      </c>
      <c r="D1184" t="s">
        <v>46</v>
      </c>
      <c r="F1184" cm="1">
        <f t="array" ref="F1184:F1185">TRANSPOSE('Utilization '!I1321:J1321)</f>
        <v>0</v>
      </c>
    </row>
    <row r="1185" spans="1:6">
      <c r="A1185" s="11">
        <v>44904</v>
      </c>
      <c r="B1185" t="s">
        <v>432</v>
      </c>
      <c r="C1185" t="s">
        <v>351</v>
      </c>
      <c r="D1185" t="s">
        <v>62</v>
      </c>
      <c r="F1185">
        <v>0</v>
      </c>
    </row>
    <row r="1186" spans="1:6">
      <c r="A1186" s="11">
        <v>44905</v>
      </c>
      <c r="B1186" t="s">
        <v>432</v>
      </c>
      <c r="C1186" t="s">
        <v>349</v>
      </c>
      <c r="D1186" t="s">
        <v>40</v>
      </c>
      <c r="F1186" cm="1">
        <f t="array" ref="F1186:F1191">TRANSPOSE('Utilization '!B1329:G1329)</f>
        <v>0</v>
      </c>
    </row>
    <row r="1187" spans="1:6">
      <c r="A1187" s="11">
        <v>44905</v>
      </c>
      <c r="B1187" t="s">
        <v>432</v>
      </c>
      <c r="C1187" t="s">
        <v>349</v>
      </c>
      <c r="D1187" t="s">
        <v>36</v>
      </c>
      <c r="F1187">
        <v>0</v>
      </c>
    </row>
    <row r="1188" spans="1:6">
      <c r="A1188" s="11">
        <v>44905</v>
      </c>
      <c r="B1188" t="s">
        <v>432</v>
      </c>
      <c r="C1188" t="s">
        <v>22</v>
      </c>
      <c r="D1188" t="s">
        <v>23</v>
      </c>
      <c r="F1188">
        <v>0</v>
      </c>
    </row>
    <row r="1189" spans="1:6">
      <c r="A1189" s="11">
        <v>44905</v>
      </c>
      <c r="B1189" t="s">
        <v>432</v>
      </c>
      <c r="C1189" t="s">
        <v>22</v>
      </c>
      <c r="D1189" t="s">
        <v>76</v>
      </c>
      <c r="F1189">
        <v>0</v>
      </c>
    </row>
    <row r="1190" spans="1:6">
      <c r="A1190" s="11">
        <v>44905</v>
      </c>
      <c r="B1190" t="s">
        <v>432</v>
      </c>
      <c r="C1190" t="s">
        <v>350</v>
      </c>
      <c r="D1190" t="s">
        <v>78</v>
      </c>
      <c r="F1190">
        <v>0</v>
      </c>
    </row>
    <row r="1191" spans="1:6">
      <c r="A1191" s="11">
        <v>44905</v>
      </c>
      <c r="B1191" t="s">
        <v>432</v>
      </c>
      <c r="C1191" t="s">
        <v>350</v>
      </c>
      <c r="D1191" t="s">
        <v>354</v>
      </c>
      <c r="F1191">
        <v>0</v>
      </c>
    </row>
    <row r="1192" spans="1:6">
      <c r="A1192" s="11">
        <v>44905</v>
      </c>
      <c r="B1192" t="s">
        <v>432</v>
      </c>
      <c r="C1192" t="s">
        <v>351</v>
      </c>
      <c r="D1192" t="s">
        <v>46</v>
      </c>
      <c r="F1192" cm="1">
        <f t="array" ref="F1192:F1193">TRANSPOSE('Utilization '!I1329:J1329)</f>
        <v>0</v>
      </c>
    </row>
    <row r="1193" spans="1:6">
      <c r="A1193" s="11">
        <v>44905</v>
      </c>
      <c r="B1193" t="s">
        <v>432</v>
      </c>
      <c r="C1193" t="s">
        <v>351</v>
      </c>
      <c r="D1193" t="s">
        <v>62</v>
      </c>
      <c r="F1193">
        <v>0</v>
      </c>
    </row>
    <row r="1194" spans="1:6">
      <c r="A1194" s="11">
        <v>44906</v>
      </c>
      <c r="B1194" t="s">
        <v>432</v>
      </c>
      <c r="C1194" t="s">
        <v>349</v>
      </c>
      <c r="D1194" t="s">
        <v>40</v>
      </c>
      <c r="F1194" cm="1">
        <f t="array" ref="F1194:F1199">TRANSPOSE('Utilization '!B1337:G1337)</f>
        <v>0</v>
      </c>
    </row>
    <row r="1195" spans="1:6">
      <c r="A1195" s="11">
        <v>44906</v>
      </c>
      <c r="B1195" t="s">
        <v>432</v>
      </c>
      <c r="C1195" t="s">
        <v>349</v>
      </c>
      <c r="D1195" t="s">
        <v>36</v>
      </c>
      <c r="F1195">
        <v>0</v>
      </c>
    </row>
    <row r="1196" spans="1:6">
      <c r="A1196" s="11">
        <v>44906</v>
      </c>
      <c r="B1196" t="s">
        <v>432</v>
      </c>
      <c r="C1196" t="s">
        <v>22</v>
      </c>
      <c r="D1196" t="s">
        <v>23</v>
      </c>
      <c r="F1196">
        <v>0</v>
      </c>
    </row>
    <row r="1197" spans="1:6">
      <c r="A1197" s="11">
        <v>44906</v>
      </c>
      <c r="B1197" t="s">
        <v>432</v>
      </c>
      <c r="C1197" t="s">
        <v>22</v>
      </c>
      <c r="D1197" t="s">
        <v>76</v>
      </c>
      <c r="F1197">
        <v>0</v>
      </c>
    </row>
    <row r="1198" spans="1:6">
      <c r="A1198" s="11">
        <v>44906</v>
      </c>
      <c r="B1198" t="s">
        <v>432</v>
      </c>
      <c r="C1198" t="s">
        <v>350</v>
      </c>
      <c r="D1198" t="s">
        <v>78</v>
      </c>
      <c r="F1198">
        <v>0</v>
      </c>
    </row>
    <row r="1199" spans="1:6">
      <c r="A1199" s="11">
        <v>44906</v>
      </c>
      <c r="B1199" t="s">
        <v>432</v>
      </c>
      <c r="C1199" t="s">
        <v>350</v>
      </c>
      <c r="D1199" t="s">
        <v>354</v>
      </c>
      <c r="F1199">
        <v>0</v>
      </c>
    </row>
    <row r="1200" spans="1:6">
      <c r="A1200" s="11">
        <v>44906</v>
      </c>
      <c r="B1200" t="s">
        <v>432</v>
      </c>
      <c r="C1200" t="s">
        <v>351</v>
      </c>
      <c r="D1200" t="s">
        <v>46</v>
      </c>
      <c r="F1200" cm="1">
        <f t="array" ref="F1200:F1201">TRANSPOSE('Utilization '!I1337:J1337)</f>
        <v>0</v>
      </c>
    </row>
    <row r="1201" spans="1:6">
      <c r="A1201" s="11">
        <v>44906</v>
      </c>
      <c r="B1201" t="s">
        <v>432</v>
      </c>
      <c r="C1201" t="s">
        <v>351</v>
      </c>
      <c r="D1201" t="s">
        <v>62</v>
      </c>
      <c r="F1201">
        <v>0</v>
      </c>
    </row>
    <row r="1202" spans="1:6">
      <c r="A1202" s="11">
        <v>44907</v>
      </c>
      <c r="B1202" t="s">
        <v>432</v>
      </c>
      <c r="C1202" t="s">
        <v>349</v>
      </c>
      <c r="D1202" t="s">
        <v>40</v>
      </c>
      <c r="F1202" cm="1">
        <f t="array" ref="F1202:F1207">TRANSPOSE('Utilization '!B1345:G1345)</f>
        <v>0</v>
      </c>
    </row>
    <row r="1203" spans="1:6">
      <c r="A1203" s="11">
        <v>44907</v>
      </c>
      <c r="B1203" t="s">
        <v>432</v>
      </c>
      <c r="C1203" t="s">
        <v>349</v>
      </c>
      <c r="D1203" t="s">
        <v>36</v>
      </c>
      <c r="F1203">
        <v>0</v>
      </c>
    </row>
    <row r="1204" spans="1:6">
      <c r="A1204" s="11">
        <v>44907</v>
      </c>
      <c r="B1204" t="s">
        <v>432</v>
      </c>
      <c r="C1204" t="s">
        <v>22</v>
      </c>
      <c r="D1204" t="s">
        <v>23</v>
      </c>
      <c r="F1204">
        <v>0</v>
      </c>
    </row>
    <row r="1205" spans="1:6">
      <c r="A1205" s="11">
        <v>44907</v>
      </c>
      <c r="B1205" t="s">
        <v>432</v>
      </c>
      <c r="C1205" t="s">
        <v>22</v>
      </c>
      <c r="D1205" t="s">
        <v>76</v>
      </c>
      <c r="F1205">
        <v>0</v>
      </c>
    </row>
    <row r="1206" spans="1:6">
      <c r="A1206" s="11">
        <v>44907</v>
      </c>
      <c r="B1206" t="s">
        <v>432</v>
      </c>
      <c r="C1206" t="s">
        <v>350</v>
      </c>
      <c r="D1206" t="s">
        <v>78</v>
      </c>
      <c r="F1206">
        <v>0</v>
      </c>
    </row>
    <row r="1207" spans="1:6">
      <c r="A1207" s="11">
        <v>44907</v>
      </c>
      <c r="B1207" t="s">
        <v>432</v>
      </c>
      <c r="C1207" t="s">
        <v>350</v>
      </c>
      <c r="D1207" t="s">
        <v>354</v>
      </c>
      <c r="F1207">
        <v>0</v>
      </c>
    </row>
    <row r="1208" spans="1:6">
      <c r="A1208" s="11">
        <v>44907</v>
      </c>
      <c r="B1208" t="s">
        <v>432</v>
      </c>
      <c r="C1208" t="s">
        <v>351</v>
      </c>
      <c r="D1208" t="s">
        <v>46</v>
      </c>
      <c r="F1208" cm="1">
        <f t="array" ref="F1208:F1209">TRANSPOSE('Utilization '!I1345:J1345)</f>
        <v>0</v>
      </c>
    </row>
    <row r="1209" spans="1:6">
      <c r="A1209" s="11">
        <v>44907</v>
      </c>
      <c r="B1209" t="s">
        <v>432</v>
      </c>
      <c r="C1209" t="s">
        <v>351</v>
      </c>
      <c r="D1209" t="s">
        <v>62</v>
      </c>
      <c r="F1209">
        <v>0</v>
      </c>
    </row>
    <row r="1210" spans="1:6">
      <c r="A1210" s="11">
        <v>44908</v>
      </c>
      <c r="B1210" t="s">
        <v>432</v>
      </c>
      <c r="C1210" t="s">
        <v>349</v>
      </c>
      <c r="D1210" t="s">
        <v>40</v>
      </c>
      <c r="F1210" cm="1">
        <f t="array" ref="F1210:F1215">TRANSPOSE('Utilization '!B1353:G1353)</f>
        <v>0</v>
      </c>
    </row>
    <row r="1211" spans="1:6">
      <c r="A1211" s="11">
        <v>44908</v>
      </c>
      <c r="B1211" t="s">
        <v>432</v>
      </c>
      <c r="C1211" t="s">
        <v>349</v>
      </c>
      <c r="D1211" t="s">
        <v>36</v>
      </c>
      <c r="F1211">
        <v>0</v>
      </c>
    </row>
    <row r="1212" spans="1:6">
      <c r="A1212" s="11">
        <v>44908</v>
      </c>
      <c r="B1212" t="s">
        <v>432</v>
      </c>
      <c r="C1212" t="s">
        <v>22</v>
      </c>
      <c r="D1212" t="s">
        <v>23</v>
      </c>
      <c r="F1212">
        <v>0</v>
      </c>
    </row>
    <row r="1213" spans="1:6">
      <c r="A1213" s="11">
        <v>44908</v>
      </c>
      <c r="B1213" t="s">
        <v>432</v>
      </c>
      <c r="C1213" t="s">
        <v>22</v>
      </c>
      <c r="D1213" t="s">
        <v>76</v>
      </c>
      <c r="F1213">
        <v>0</v>
      </c>
    </row>
    <row r="1214" spans="1:6">
      <c r="A1214" s="11">
        <v>44908</v>
      </c>
      <c r="B1214" t="s">
        <v>432</v>
      </c>
      <c r="C1214" t="s">
        <v>350</v>
      </c>
      <c r="D1214" t="s">
        <v>78</v>
      </c>
      <c r="F1214">
        <v>0</v>
      </c>
    </row>
    <row r="1215" spans="1:6">
      <c r="A1215" s="11">
        <v>44908</v>
      </c>
      <c r="B1215" t="s">
        <v>432</v>
      </c>
      <c r="C1215" t="s">
        <v>350</v>
      </c>
      <c r="D1215" t="s">
        <v>354</v>
      </c>
      <c r="F1215">
        <v>0</v>
      </c>
    </row>
    <row r="1216" spans="1:6">
      <c r="A1216" s="11">
        <v>44908</v>
      </c>
      <c r="B1216" t="s">
        <v>432</v>
      </c>
      <c r="C1216" t="s">
        <v>351</v>
      </c>
      <c r="D1216" t="s">
        <v>46</v>
      </c>
      <c r="F1216" cm="1">
        <f t="array" ref="F1216:F1217">TRANSPOSE('Utilization '!I1353:J1353)</f>
        <v>0</v>
      </c>
    </row>
    <row r="1217" spans="1:6">
      <c r="A1217" s="11">
        <v>44908</v>
      </c>
      <c r="B1217" t="s">
        <v>432</v>
      </c>
      <c r="C1217" t="s">
        <v>351</v>
      </c>
      <c r="D1217" t="s">
        <v>62</v>
      </c>
      <c r="F1217">
        <v>0</v>
      </c>
    </row>
    <row r="1218" spans="1:6">
      <c r="A1218" s="11">
        <v>44909</v>
      </c>
      <c r="B1218" t="s">
        <v>432</v>
      </c>
      <c r="C1218" t="s">
        <v>349</v>
      </c>
      <c r="D1218" t="s">
        <v>40</v>
      </c>
      <c r="F1218" cm="1">
        <f t="array" ref="F1218:F1223">TRANSPOSE('Utilization '!B1361:G1361)</f>
        <v>0</v>
      </c>
    </row>
    <row r="1219" spans="1:6">
      <c r="A1219" s="11">
        <v>44909</v>
      </c>
      <c r="B1219" t="s">
        <v>432</v>
      </c>
      <c r="C1219" t="s">
        <v>349</v>
      </c>
      <c r="D1219" t="s">
        <v>36</v>
      </c>
      <c r="F1219">
        <v>0</v>
      </c>
    </row>
    <row r="1220" spans="1:6">
      <c r="A1220" s="11">
        <v>44909</v>
      </c>
      <c r="B1220" t="s">
        <v>432</v>
      </c>
      <c r="C1220" t="s">
        <v>22</v>
      </c>
      <c r="D1220" t="s">
        <v>23</v>
      </c>
      <c r="F1220">
        <v>0</v>
      </c>
    </row>
    <row r="1221" spans="1:6">
      <c r="A1221" s="11">
        <v>44909</v>
      </c>
      <c r="B1221" t="s">
        <v>432</v>
      </c>
      <c r="C1221" t="s">
        <v>22</v>
      </c>
      <c r="D1221" t="s">
        <v>76</v>
      </c>
      <c r="F1221">
        <v>0</v>
      </c>
    </row>
    <row r="1222" spans="1:6">
      <c r="A1222" s="11">
        <v>44909</v>
      </c>
      <c r="B1222" t="s">
        <v>432</v>
      </c>
      <c r="C1222" t="s">
        <v>350</v>
      </c>
      <c r="D1222" t="s">
        <v>78</v>
      </c>
      <c r="F1222">
        <v>0</v>
      </c>
    </row>
    <row r="1223" spans="1:6">
      <c r="A1223" s="11">
        <v>44909</v>
      </c>
      <c r="B1223" t="s">
        <v>432</v>
      </c>
      <c r="C1223" t="s">
        <v>350</v>
      </c>
      <c r="D1223" t="s">
        <v>354</v>
      </c>
      <c r="F1223">
        <v>0</v>
      </c>
    </row>
    <row r="1224" spans="1:6">
      <c r="A1224" s="11">
        <v>44909</v>
      </c>
      <c r="B1224" t="s">
        <v>432</v>
      </c>
      <c r="C1224" t="s">
        <v>351</v>
      </c>
      <c r="D1224" t="s">
        <v>46</v>
      </c>
      <c r="F1224" cm="1">
        <f t="array" ref="F1224:F1225">TRANSPOSE('Utilization '!I1361:J1361)</f>
        <v>0</v>
      </c>
    </row>
    <row r="1225" spans="1:6">
      <c r="A1225" s="11">
        <v>44909</v>
      </c>
      <c r="B1225" t="s">
        <v>432</v>
      </c>
      <c r="C1225" t="s">
        <v>351</v>
      </c>
      <c r="D1225" t="s">
        <v>62</v>
      </c>
      <c r="F1225">
        <v>0</v>
      </c>
    </row>
    <row r="1226" spans="1:6">
      <c r="A1226" s="11">
        <v>44910</v>
      </c>
      <c r="B1226" t="s">
        <v>432</v>
      </c>
      <c r="C1226" t="s">
        <v>349</v>
      </c>
      <c r="D1226" t="s">
        <v>40</v>
      </c>
      <c r="F1226" cm="1">
        <f t="array" ref="F1226:F1231">TRANSPOSE('Utilization '!B1369:G1369)</f>
        <v>0</v>
      </c>
    </row>
    <row r="1227" spans="1:6">
      <c r="A1227" s="11">
        <v>44910</v>
      </c>
      <c r="B1227" t="s">
        <v>432</v>
      </c>
      <c r="C1227" t="s">
        <v>349</v>
      </c>
      <c r="D1227" t="s">
        <v>36</v>
      </c>
      <c r="F1227">
        <v>0</v>
      </c>
    </row>
    <row r="1228" spans="1:6">
      <c r="A1228" s="11">
        <v>44910</v>
      </c>
      <c r="B1228" t="s">
        <v>432</v>
      </c>
      <c r="C1228" t="s">
        <v>22</v>
      </c>
      <c r="D1228" t="s">
        <v>23</v>
      </c>
      <c r="F1228">
        <v>0</v>
      </c>
    </row>
    <row r="1229" spans="1:6">
      <c r="A1229" s="11">
        <v>44910</v>
      </c>
      <c r="B1229" t="s">
        <v>432</v>
      </c>
      <c r="C1229" t="s">
        <v>22</v>
      </c>
      <c r="D1229" t="s">
        <v>76</v>
      </c>
      <c r="F1229">
        <v>0</v>
      </c>
    </row>
    <row r="1230" spans="1:6">
      <c r="A1230" s="11">
        <v>44910</v>
      </c>
      <c r="B1230" t="s">
        <v>432</v>
      </c>
      <c r="C1230" t="s">
        <v>350</v>
      </c>
      <c r="D1230" t="s">
        <v>78</v>
      </c>
      <c r="F1230">
        <v>0</v>
      </c>
    </row>
    <row r="1231" spans="1:6">
      <c r="A1231" s="11">
        <v>44910</v>
      </c>
      <c r="B1231" t="s">
        <v>432</v>
      </c>
      <c r="C1231" t="s">
        <v>350</v>
      </c>
      <c r="D1231" t="s">
        <v>354</v>
      </c>
      <c r="F1231">
        <v>0</v>
      </c>
    </row>
    <row r="1232" spans="1:6">
      <c r="A1232" s="11">
        <v>44910</v>
      </c>
      <c r="B1232" t="s">
        <v>432</v>
      </c>
      <c r="C1232" t="s">
        <v>351</v>
      </c>
      <c r="D1232" t="s">
        <v>46</v>
      </c>
      <c r="F1232" cm="1">
        <f t="array" ref="F1232:F1233">TRANSPOSE('Utilization '!I1369:J1369)</f>
        <v>0</v>
      </c>
    </row>
    <row r="1233" spans="1:6">
      <c r="A1233" s="11">
        <v>44910</v>
      </c>
      <c r="B1233" t="s">
        <v>432</v>
      </c>
      <c r="C1233" t="s">
        <v>351</v>
      </c>
      <c r="D1233" t="s">
        <v>62</v>
      </c>
      <c r="F1233">
        <v>0</v>
      </c>
    </row>
    <row r="1234" spans="1:6">
      <c r="A1234" s="11">
        <v>44911</v>
      </c>
      <c r="B1234" t="s">
        <v>432</v>
      </c>
      <c r="C1234" t="s">
        <v>349</v>
      </c>
      <c r="D1234" t="s">
        <v>40</v>
      </c>
      <c r="F1234" cm="1">
        <f t="array" ref="F1234:F1239">TRANSPOSE('Utilization '!B1377:G1377)</f>
        <v>0</v>
      </c>
    </row>
    <row r="1235" spans="1:6">
      <c r="A1235" s="11">
        <v>44911</v>
      </c>
      <c r="B1235" t="s">
        <v>432</v>
      </c>
      <c r="C1235" t="s">
        <v>349</v>
      </c>
      <c r="D1235" t="s">
        <v>36</v>
      </c>
      <c r="F1235">
        <v>0</v>
      </c>
    </row>
    <row r="1236" spans="1:6">
      <c r="A1236" s="11">
        <v>44911</v>
      </c>
      <c r="B1236" t="s">
        <v>432</v>
      </c>
      <c r="C1236" t="s">
        <v>22</v>
      </c>
      <c r="D1236" t="s">
        <v>23</v>
      </c>
      <c r="F1236">
        <v>0</v>
      </c>
    </row>
    <row r="1237" spans="1:6">
      <c r="A1237" s="11">
        <v>44911</v>
      </c>
      <c r="B1237" t="s">
        <v>432</v>
      </c>
      <c r="C1237" t="s">
        <v>22</v>
      </c>
      <c r="D1237" t="s">
        <v>76</v>
      </c>
      <c r="F1237">
        <v>0</v>
      </c>
    </row>
    <row r="1238" spans="1:6">
      <c r="A1238" s="11">
        <v>44911</v>
      </c>
      <c r="B1238" t="s">
        <v>432</v>
      </c>
      <c r="C1238" t="s">
        <v>350</v>
      </c>
      <c r="D1238" t="s">
        <v>78</v>
      </c>
      <c r="F1238">
        <v>0</v>
      </c>
    </row>
    <row r="1239" spans="1:6">
      <c r="A1239" s="11">
        <v>44911</v>
      </c>
      <c r="B1239" t="s">
        <v>432</v>
      </c>
      <c r="C1239" t="s">
        <v>350</v>
      </c>
      <c r="D1239" t="s">
        <v>354</v>
      </c>
      <c r="F1239">
        <v>0</v>
      </c>
    </row>
    <row r="1240" spans="1:6">
      <c r="A1240" s="11">
        <v>44911</v>
      </c>
      <c r="B1240" t="s">
        <v>432</v>
      </c>
      <c r="C1240" t="s">
        <v>351</v>
      </c>
      <c r="D1240" t="s">
        <v>46</v>
      </c>
      <c r="F1240" cm="1">
        <f t="array" ref="F1240:F1241">TRANSPOSE('Utilization '!I1377:J1377)</f>
        <v>0</v>
      </c>
    </row>
    <row r="1241" spans="1:6">
      <c r="A1241" s="11">
        <v>44911</v>
      </c>
      <c r="B1241" t="s">
        <v>432</v>
      </c>
      <c r="C1241" t="s">
        <v>351</v>
      </c>
      <c r="D1241" t="s">
        <v>62</v>
      </c>
      <c r="F1241">
        <v>0</v>
      </c>
    </row>
    <row r="1242" spans="1:6">
      <c r="A1242" s="11">
        <v>44912</v>
      </c>
      <c r="B1242" t="s">
        <v>432</v>
      </c>
      <c r="C1242" t="s">
        <v>349</v>
      </c>
      <c r="D1242" t="s">
        <v>40</v>
      </c>
      <c r="F1242" cm="1">
        <f t="array" ref="F1242:F1247">TRANSPOSE('Utilization '!B1385:G1385)</f>
        <v>0</v>
      </c>
    </row>
    <row r="1243" spans="1:6">
      <c r="A1243" s="11">
        <v>44912</v>
      </c>
      <c r="B1243" t="s">
        <v>432</v>
      </c>
      <c r="C1243" t="s">
        <v>349</v>
      </c>
      <c r="D1243" t="s">
        <v>36</v>
      </c>
      <c r="F1243">
        <v>0</v>
      </c>
    </row>
    <row r="1244" spans="1:6">
      <c r="A1244" s="11">
        <v>44912</v>
      </c>
      <c r="B1244" t="s">
        <v>432</v>
      </c>
      <c r="C1244" t="s">
        <v>22</v>
      </c>
      <c r="D1244" t="s">
        <v>23</v>
      </c>
      <c r="F1244">
        <v>0</v>
      </c>
    </row>
    <row r="1245" spans="1:6">
      <c r="A1245" s="11">
        <v>44912</v>
      </c>
      <c r="B1245" t="s">
        <v>432</v>
      </c>
      <c r="C1245" t="s">
        <v>22</v>
      </c>
      <c r="D1245" t="s">
        <v>76</v>
      </c>
      <c r="F1245">
        <v>0</v>
      </c>
    </row>
    <row r="1246" spans="1:6">
      <c r="A1246" s="11">
        <v>44912</v>
      </c>
      <c r="B1246" t="s">
        <v>432</v>
      </c>
      <c r="C1246" t="s">
        <v>350</v>
      </c>
      <c r="D1246" t="s">
        <v>78</v>
      </c>
      <c r="F1246">
        <v>0</v>
      </c>
    </row>
    <row r="1247" spans="1:6">
      <c r="A1247" s="11">
        <v>44912</v>
      </c>
      <c r="B1247" t="s">
        <v>432</v>
      </c>
      <c r="C1247" t="s">
        <v>350</v>
      </c>
      <c r="D1247" t="s">
        <v>354</v>
      </c>
      <c r="F1247">
        <v>0</v>
      </c>
    </row>
    <row r="1248" spans="1:6">
      <c r="A1248" s="11">
        <v>44912</v>
      </c>
      <c r="B1248" t="s">
        <v>432</v>
      </c>
      <c r="C1248" t="s">
        <v>351</v>
      </c>
      <c r="D1248" t="s">
        <v>46</v>
      </c>
      <c r="F1248" cm="1">
        <f t="array" ref="F1248:F1249">TRANSPOSE('Utilization '!I1385:J1385)</f>
        <v>0</v>
      </c>
    </row>
    <row r="1249" spans="1:6">
      <c r="A1249" s="11">
        <v>44912</v>
      </c>
      <c r="B1249" t="s">
        <v>432</v>
      </c>
      <c r="C1249" t="s">
        <v>351</v>
      </c>
      <c r="D1249" t="s">
        <v>62</v>
      </c>
      <c r="F1249">
        <v>0</v>
      </c>
    </row>
    <row r="1250" spans="1:6">
      <c r="A1250" s="11">
        <v>44913</v>
      </c>
      <c r="B1250" t="s">
        <v>432</v>
      </c>
      <c r="C1250" t="s">
        <v>349</v>
      </c>
      <c r="D1250" t="s">
        <v>40</v>
      </c>
      <c r="F1250" cm="1">
        <f t="array" ref="F1250:F1255">TRANSPOSE('Utilization '!B1393:G1393)</f>
        <v>0</v>
      </c>
    </row>
    <row r="1251" spans="1:6">
      <c r="A1251" s="11">
        <v>44913</v>
      </c>
      <c r="B1251" t="s">
        <v>432</v>
      </c>
      <c r="C1251" t="s">
        <v>349</v>
      </c>
      <c r="D1251" t="s">
        <v>36</v>
      </c>
      <c r="F1251">
        <v>0</v>
      </c>
    </row>
    <row r="1252" spans="1:6">
      <c r="A1252" s="11">
        <v>44913</v>
      </c>
      <c r="B1252" t="s">
        <v>432</v>
      </c>
      <c r="C1252" t="s">
        <v>22</v>
      </c>
      <c r="D1252" t="s">
        <v>23</v>
      </c>
      <c r="F1252">
        <v>0</v>
      </c>
    </row>
    <row r="1253" spans="1:6">
      <c r="A1253" s="11">
        <v>44913</v>
      </c>
      <c r="B1253" t="s">
        <v>432</v>
      </c>
      <c r="C1253" t="s">
        <v>22</v>
      </c>
      <c r="D1253" t="s">
        <v>76</v>
      </c>
      <c r="F1253">
        <v>0</v>
      </c>
    </row>
    <row r="1254" spans="1:6">
      <c r="A1254" s="11">
        <v>44913</v>
      </c>
      <c r="B1254" t="s">
        <v>432</v>
      </c>
      <c r="C1254" t="s">
        <v>350</v>
      </c>
      <c r="D1254" t="s">
        <v>78</v>
      </c>
      <c r="F1254">
        <v>0</v>
      </c>
    </row>
    <row r="1255" spans="1:6">
      <c r="A1255" s="11">
        <v>44913</v>
      </c>
      <c r="B1255" t="s">
        <v>432</v>
      </c>
      <c r="C1255" t="s">
        <v>350</v>
      </c>
      <c r="D1255" t="s">
        <v>354</v>
      </c>
      <c r="F1255">
        <v>0</v>
      </c>
    </row>
    <row r="1256" spans="1:6">
      <c r="A1256" s="11">
        <v>44913</v>
      </c>
      <c r="B1256" t="s">
        <v>432</v>
      </c>
      <c r="C1256" t="s">
        <v>351</v>
      </c>
      <c r="D1256" t="s">
        <v>46</v>
      </c>
      <c r="F1256" cm="1">
        <f t="array" ref="F1256:F1257">TRANSPOSE('Utilization '!I1393:J1393)</f>
        <v>0</v>
      </c>
    </row>
    <row r="1257" spans="1:6">
      <c r="A1257" s="11">
        <v>44913</v>
      </c>
      <c r="B1257" t="s">
        <v>432</v>
      </c>
      <c r="C1257" t="s">
        <v>351</v>
      </c>
      <c r="D1257" t="s">
        <v>62</v>
      </c>
      <c r="F1257">
        <v>0</v>
      </c>
    </row>
    <row r="1258" spans="1:6">
      <c r="A1258" s="11">
        <v>44914</v>
      </c>
      <c r="B1258" t="s">
        <v>432</v>
      </c>
      <c r="C1258" t="s">
        <v>349</v>
      </c>
      <c r="D1258" t="s">
        <v>40</v>
      </c>
      <c r="F1258" cm="1">
        <f t="array" ref="F1258:F1263">TRANSPOSE('Utilization '!B1401:G1401)</f>
        <v>0</v>
      </c>
    </row>
    <row r="1259" spans="1:6">
      <c r="A1259" s="11">
        <v>44914</v>
      </c>
      <c r="B1259" t="s">
        <v>432</v>
      </c>
      <c r="C1259" t="s">
        <v>349</v>
      </c>
      <c r="D1259" t="s">
        <v>36</v>
      </c>
      <c r="F1259">
        <v>0</v>
      </c>
    </row>
    <row r="1260" spans="1:6">
      <c r="A1260" s="11">
        <v>44914</v>
      </c>
      <c r="B1260" t="s">
        <v>432</v>
      </c>
      <c r="C1260" t="s">
        <v>22</v>
      </c>
      <c r="D1260" t="s">
        <v>23</v>
      </c>
      <c r="F1260">
        <v>0</v>
      </c>
    </row>
    <row r="1261" spans="1:6">
      <c r="A1261" s="11">
        <v>44914</v>
      </c>
      <c r="B1261" t="s">
        <v>432</v>
      </c>
      <c r="C1261" t="s">
        <v>22</v>
      </c>
      <c r="D1261" t="s">
        <v>76</v>
      </c>
      <c r="F1261">
        <v>0</v>
      </c>
    </row>
    <row r="1262" spans="1:6">
      <c r="A1262" s="11">
        <v>44914</v>
      </c>
      <c r="B1262" t="s">
        <v>432</v>
      </c>
      <c r="C1262" t="s">
        <v>350</v>
      </c>
      <c r="D1262" t="s">
        <v>78</v>
      </c>
      <c r="F1262">
        <v>0</v>
      </c>
    </row>
    <row r="1263" spans="1:6">
      <c r="A1263" s="11">
        <v>44914</v>
      </c>
      <c r="B1263" t="s">
        <v>432</v>
      </c>
      <c r="C1263" t="s">
        <v>350</v>
      </c>
      <c r="D1263" t="s">
        <v>354</v>
      </c>
      <c r="F1263">
        <v>0</v>
      </c>
    </row>
    <row r="1264" spans="1:6">
      <c r="A1264" s="11">
        <v>44914</v>
      </c>
      <c r="B1264" t="s">
        <v>432</v>
      </c>
      <c r="C1264" t="s">
        <v>351</v>
      </c>
      <c r="D1264" t="s">
        <v>46</v>
      </c>
      <c r="F1264" cm="1">
        <f t="array" ref="F1264:F1265">TRANSPOSE('Utilization '!I1401:J1401)</f>
        <v>0</v>
      </c>
    </row>
    <row r="1265" spans="1:6">
      <c r="A1265" s="11">
        <v>44914</v>
      </c>
      <c r="B1265" t="s">
        <v>432</v>
      </c>
      <c r="C1265" t="s">
        <v>351</v>
      </c>
      <c r="D1265" t="s">
        <v>62</v>
      </c>
      <c r="F1265">
        <v>0</v>
      </c>
    </row>
    <row r="1266" spans="1:6">
      <c r="A1266" s="11">
        <v>44915</v>
      </c>
      <c r="B1266" t="s">
        <v>432</v>
      </c>
      <c r="C1266" t="s">
        <v>349</v>
      </c>
      <c r="D1266" t="s">
        <v>40</v>
      </c>
      <c r="F1266" cm="1">
        <f t="array" ref="F1266:F1271">TRANSPOSE('Utilization '!B1409:G1409)</f>
        <v>0</v>
      </c>
    </row>
    <row r="1267" spans="1:6">
      <c r="A1267" s="11">
        <v>44915</v>
      </c>
      <c r="B1267" t="s">
        <v>432</v>
      </c>
      <c r="C1267" t="s">
        <v>349</v>
      </c>
      <c r="D1267" t="s">
        <v>36</v>
      </c>
      <c r="F1267">
        <v>0</v>
      </c>
    </row>
    <row r="1268" spans="1:6">
      <c r="A1268" s="11">
        <v>44915</v>
      </c>
      <c r="B1268" t="s">
        <v>432</v>
      </c>
      <c r="C1268" t="s">
        <v>22</v>
      </c>
      <c r="D1268" t="s">
        <v>23</v>
      </c>
      <c r="F1268">
        <v>0</v>
      </c>
    </row>
    <row r="1269" spans="1:6">
      <c r="A1269" s="11">
        <v>44915</v>
      </c>
      <c r="B1269" t="s">
        <v>432</v>
      </c>
      <c r="C1269" t="s">
        <v>22</v>
      </c>
      <c r="D1269" t="s">
        <v>76</v>
      </c>
      <c r="F1269">
        <v>0</v>
      </c>
    </row>
    <row r="1270" spans="1:6">
      <c r="A1270" s="11">
        <v>44915</v>
      </c>
      <c r="B1270" t="s">
        <v>432</v>
      </c>
      <c r="C1270" t="s">
        <v>350</v>
      </c>
      <c r="D1270" t="s">
        <v>78</v>
      </c>
      <c r="F1270">
        <v>0</v>
      </c>
    </row>
    <row r="1271" spans="1:6">
      <c r="A1271" s="11">
        <v>44915</v>
      </c>
      <c r="B1271" t="s">
        <v>432</v>
      </c>
      <c r="C1271" t="s">
        <v>350</v>
      </c>
      <c r="D1271" t="s">
        <v>354</v>
      </c>
      <c r="F1271">
        <v>0</v>
      </c>
    </row>
    <row r="1272" spans="1:6">
      <c r="A1272" s="11">
        <v>44915</v>
      </c>
      <c r="B1272" t="s">
        <v>432</v>
      </c>
      <c r="C1272" t="s">
        <v>351</v>
      </c>
      <c r="D1272" t="s">
        <v>46</v>
      </c>
      <c r="F1272" cm="1">
        <f t="array" ref="F1272:F1273">TRANSPOSE('Utilization '!I1409:J1409)</f>
        <v>0</v>
      </c>
    </row>
    <row r="1273" spans="1:6">
      <c r="A1273" s="11">
        <v>44915</v>
      </c>
      <c r="B1273" t="s">
        <v>432</v>
      </c>
      <c r="C1273" t="s">
        <v>351</v>
      </c>
      <c r="D1273" t="s">
        <v>62</v>
      </c>
      <c r="F1273">
        <v>0</v>
      </c>
    </row>
    <row r="1274" spans="1:6">
      <c r="A1274" s="11">
        <v>44916</v>
      </c>
      <c r="B1274" t="s">
        <v>432</v>
      </c>
      <c r="C1274" t="s">
        <v>349</v>
      </c>
      <c r="D1274" t="s">
        <v>40</v>
      </c>
      <c r="F1274" cm="1">
        <f t="array" ref="F1274:F1279">TRANSPOSE('Utilization '!B1417:G1417)</f>
        <v>0</v>
      </c>
    </row>
    <row r="1275" spans="1:6">
      <c r="A1275" s="11">
        <v>44916</v>
      </c>
      <c r="B1275" t="s">
        <v>432</v>
      </c>
      <c r="C1275" t="s">
        <v>349</v>
      </c>
      <c r="D1275" t="s">
        <v>36</v>
      </c>
      <c r="F1275">
        <v>0</v>
      </c>
    </row>
    <row r="1276" spans="1:6">
      <c r="A1276" s="11">
        <v>44916</v>
      </c>
      <c r="B1276" t="s">
        <v>432</v>
      </c>
      <c r="C1276" t="s">
        <v>22</v>
      </c>
      <c r="D1276" t="s">
        <v>23</v>
      </c>
      <c r="F1276">
        <v>0</v>
      </c>
    </row>
    <row r="1277" spans="1:6">
      <c r="A1277" s="11">
        <v>44916</v>
      </c>
      <c r="B1277" t="s">
        <v>432</v>
      </c>
      <c r="C1277" t="s">
        <v>22</v>
      </c>
      <c r="D1277" t="s">
        <v>76</v>
      </c>
      <c r="F1277">
        <v>0</v>
      </c>
    </row>
    <row r="1278" spans="1:6">
      <c r="A1278" s="11">
        <v>44916</v>
      </c>
      <c r="B1278" t="s">
        <v>432</v>
      </c>
      <c r="C1278" t="s">
        <v>350</v>
      </c>
      <c r="D1278" t="s">
        <v>78</v>
      </c>
      <c r="F1278">
        <v>0</v>
      </c>
    </row>
    <row r="1279" spans="1:6">
      <c r="A1279" s="11">
        <v>44916</v>
      </c>
      <c r="B1279" t="s">
        <v>432</v>
      </c>
      <c r="C1279" t="s">
        <v>350</v>
      </c>
      <c r="D1279" t="s">
        <v>354</v>
      </c>
      <c r="F1279">
        <v>0</v>
      </c>
    </row>
    <row r="1280" spans="1:6">
      <c r="A1280" s="11">
        <v>44916</v>
      </c>
      <c r="B1280" t="s">
        <v>432</v>
      </c>
      <c r="C1280" t="s">
        <v>351</v>
      </c>
      <c r="D1280" t="s">
        <v>46</v>
      </c>
      <c r="F1280" cm="1">
        <f t="array" ref="F1280:F1281">TRANSPOSE('Utilization '!I1417:J1417)</f>
        <v>0</v>
      </c>
    </row>
    <row r="1281" spans="1:6">
      <c r="A1281" s="11">
        <v>44916</v>
      </c>
      <c r="B1281" t="s">
        <v>432</v>
      </c>
      <c r="C1281" t="s">
        <v>351</v>
      </c>
      <c r="D1281" t="s">
        <v>62</v>
      </c>
      <c r="F1281">
        <v>0</v>
      </c>
    </row>
    <row r="1282" spans="1:6">
      <c r="A1282" s="11">
        <v>44917</v>
      </c>
      <c r="B1282" t="s">
        <v>432</v>
      </c>
      <c r="C1282" t="s">
        <v>349</v>
      </c>
      <c r="D1282" t="s">
        <v>40</v>
      </c>
      <c r="F1282" cm="1">
        <f t="array" ref="F1282:F1287">TRANSPOSE('Utilization '!B1425:G1425)</f>
        <v>0</v>
      </c>
    </row>
    <row r="1283" spans="1:6">
      <c r="A1283" s="11">
        <v>44917</v>
      </c>
      <c r="B1283" t="s">
        <v>432</v>
      </c>
      <c r="C1283" t="s">
        <v>349</v>
      </c>
      <c r="D1283" t="s">
        <v>36</v>
      </c>
      <c r="F1283">
        <v>0</v>
      </c>
    </row>
    <row r="1284" spans="1:6">
      <c r="A1284" s="11">
        <v>44917</v>
      </c>
      <c r="B1284" t="s">
        <v>432</v>
      </c>
      <c r="C1284" t="s">
        <v>22</v>
      </c>
      <c r="D1284" t="s">
        <v>23</v>
      </c>
      <c r="F1284">
        <v>0</v>
      </c>
    </row>
    <row r="1285" spans="1:6">
      <c r="A1285" s="11">
        <v>44917</v>
      </c>
      <c r="B1285" t="s">
        <v>432</v>
      </c>
      <c r="C1285" t="s">
        <v>22</v>
      </c>
      <c r="D1285" t="s">
        <v>76</v>
      </c>
      <c r="F1285">
        <v>0</v>
      </c>
    </row>
    <row r="1286" spans="1:6">
      <c r="A1286" s="11">
        <v>44917</v>
      </c>
      <c r="B1286" t="s">
        <v>432</v>
      </c>
      <c r="C1286" t="s">
        <v>350</v>
      </c>
      <c r="D1286" t="s">
        <v>78</v>
      </c>
      <c r="F1286">
        <v>0</v>
      </c>
    </row>
    <row r="1287" spans="1:6">
      <c r="A1287" s="11">
        <v>44917</v>
      </c>
      <c r="B1287" t="s">
        <v>432</v>
      </c>
      <c r="C1287" t="s">
        <v>350</v>
      </c>
      <c r="D1287" t="s">
        <v>354</v>
      </c>
      <c r="F1287">
        <v>0</v>
      </c>
    </row>
    <row r="1288" spans="1:6">
      <c r="A1288" s="11">
        <v>44917</v>
      </c>
      <c r="B1288" t="s">
        <v>432</v>
      </c>
      <c r="C1288" t="s">
        <v>351</v>
      </c>
      <c r="D1288" t="s">
        <v>46</v>
      </c>
      <c r="F1288" cm="1">
        <f t="array" ref="F1288:F1289">TRANSPOSE('Utilization '!I1425:J1425)</f>
        <v>0</v>
      </c>
    </row>
    <row r="1289" spans="1:6">
      <c r="A1289" s="11">
        <v>44917</v>
      </c>
      <c r="B1289" t="s">
        <v>432</v>
      </c>
      <c r="C1289" t="s">
        <v>351</v>
      </c>
      <c r="D1289" t="s">
        <v>62</v>
      </c>
      <c r="F1289">
        <v>0</v>
      </c>
    </row>
    <row r="1290" spans="1:6">
      <c r="A1290" s="11">
        <v>44918</v>
      </c>
      <c r="B1290" t="s">
        <v>432</v>
      </c>
      <c r="C1290" t="s">
        <v>349</v>
      </c>
      <c r="D1290" t="s">
        <v>40</v>
      </c>
      <c r="F1290" cm="1">
        <f t="array" ref="F1290:F1295">TRANSPOSE('Utilization '!B1433:G1433)</f>
        <v>0</v>
      </c>
    </row>
    <row r="1291" spans="1:6">
      <c r="A1291" s="11">
        <v>44918</v>
      </c>
      <c r="B1291" t="s">
        <v>432</v>
      </c>
      <c r="C1291" t="s">
        <v>349</v>
      </c>
      <c r="D1291" t="s">
        <v>36</v>
      </c>
      <c r="F1291">
        <v>0</v>
      </c>
    </row>
    <row r="1292" spans="1:6">
      <c r="A1292" s="11">
        <v>44918</v>
      </c>
      <c r="B1292" t="s">
        <v>432</v>
      </c>
      <c r="C1292" t="s">
        <v>22</v>
      </c>
      <c r="D1292" t="s">
        <v>23</v>
      </c>
      <c r="F1292">
        <v>0</v>
      </c>
    </row>
    <row r="1293" spans="1:6">
      <c r="A1293" s="11">
        <v>44918</v>
      </c>
      <c r="B1293" t="s">
        <v>432</v>
      </c>
      <c r="C1293" t="s">
        <v>22</v>
      </c>
      <c r="D1293" t="s">
        <v>76</v>
      </c>
      <c r="F1293">
        <v>0</v>
      </c>
    </row>
    <row r="1294" spans="1:6">
      <c r="A1294" s="11">
        <v>44918</v>
      </c>
      <c r="B1294" t="s">
        <v>432</v>
      </c>
      <c r="C1294" t="s">
        <v>350</v>
      </c>
      <c r="D1294" t="s">
        <v>78</v>
      </c>
      <c r="F1294">
        <v>0</v>
      </c>
    </row>
    <row r="1295" spans="1:6">
      <c r="A1295" s="11">
        <v>44918</v>
      </c>
      <c r="B1295" t="s">
        <v>432</v>
      </c>
      <c r="C1295" t="s">
        <v>350</v>
      </c>
      <c r="D1295" t="s">
        <v>354</v>
      </c>
      <c r="F1295">
        <v>0</v>
      </c>
    </row>
    <row r="1296" spans="1:6">
      <c r="A1296" s="11">
        <v>44918</v>
      </c>
      <c r="B1296" t="s">
        <v>432</v>
      </c>
      <c r="C1296" t="s">
        <v>351</v>
      </c>
      <c r="D1296" t="s">
        <v>46</v>
      </c>
      <c r="F1296" cm="1">
        <f t="array" ref="F1296:F1297">TRANSPOSE('Utilization '!I1433:J1433)</f>
        <v>0</v>
      </c>
    </row>
    <row r="1297" spans="1:6">
      <c r="A1297" s="11">
        <v>44918</v>
      </c>
      <c r="B1297" t="s">
        <v>432</v>
      </c>
      <c r="C1297" t="s">
        <v>351</v>
      </c>
      <c r="D1297" t="s">
        <v>62</v>
      </c>
      <c r="F1297">
        <v>0</v>
      </c>
    </row>
    <row r="1298" spans="1:6">
      <c r="A1298" s="11">
        <v>44919</v>
      </c>
      <c r="B1298" t="s">
        <v>432</v>
      </c>
      <c r="C1298" t="s">
        <v>349</v>
      </c>
      <c r="D1298" t="s">
        <v>40</v>
      </c>
      <c r="F1298" cm="1">
        <f t="array" ref="F1298:F1303">TRANSPOSE('Utilization '!B1441:G1441)</f>
        <v>0</v>
      </c>
    </row>
    <row r="1299" spans="1:6">
      <c r="A1299" s="11">
        <v>44919</v>
      </c>
      <c r="B1299" t="s">
        <v>432</v>
      </c>
      <c r="C1299" t="s">
        <v>349</v>
      </c>
      <c r="D1299" t="s">
        <v>36</v>
      </c>
      <c r="F1299">
        <v>0</v>
      </c>
    </row>
    <row r="1300" spans="1:6">
      <c r="A1300" s="11">
        <v>44919</v>
      </c>
      <c r="B1300" t="s">
        <v>432</v>
      </c>
      <c r="C1300" t="s">
        <v>22</v>
      </c>
      <c r="D1300" t="s">
        <v>23</v>
      </c>
      <c r="F1300">
        <v>0</v>
      </c>
    </row>
    <row r="1301" spans="1:6">
      <c r="A1301" s="11">
        <v>44919</v>
      </c>
      <c r="B1301" t="s">
        <v>432</v>
      </c>
      <c r="C1301" t="s">
        <v>22</v>
      </c>
      <c r="D1301" t="s">
        <v>76</v>
      </c>
      <c r="F1301">
        <v>0</v>
      </c>
    </row>
    <row r="1302" spans="1:6">
      <c r="A1302" s="11">
        <v>44919</v>
      </c>
      <c r="B1302" t="s">
        <v>432</v>
      </c>
      <c r="C1302" t="s">
        <v>350</v>
      </c>
      <c r="D1302" t="s">
        <v>78</v>
      </c>
      <c r="F1302">
        <v>0</v>
      </c>
    </row>
    <row r="1303" spans="1:6">
      <c r="A1303" s="11">
        <v>44919</v>
      </c>
      <c r="B1303" t="s">
        <v>432</v>
      </c>
      <c r="C1303" t="s">
        <v>350</v>
      </c>
      <c r="D1303" t="s">
        <v>354</v>
      </c>
      <c r="F1303">
        <v>0</v>
      </c>
    </row>
    <row r="1304" spans="1:6">
      <c r="A1304" s="11">
        <v>44919</v>
      </c>
      <c r="B1304" t="s">
        <v>432</v>
      </c>
      <c r="C1304" t="s">
        <v>351</v>
      </c>
      <c r="D1304" t="s">
        <v>46</v>
      </c>
      <c r="F1304" cm="1">
        <f t="array" ref="F1304:F1305">TRANSPOSE('Utilization '!I1441:J1441)</f>
        <v>0</v>
      </c>
    </row>
    <row r="1305" spans="1:6">
      <c r="A1305" s="11">
        <v>44919</v>
      </c>
      <c r="B1305" t="s">
        <v>432</v>
      </c>
      <c r="C1305" t="s">
        <v>351</v>
      </c>
      <c r="D1305" t="s">
        <v>62</v>
      </c>
      <c r="F1305">
        <v>0</v>
      </c>
    </row>
    <row r="1306" spans="1:6">
      <c r="A1306" s="11">
        <v>44920</v>
      </c>
      <c r="B1306" t="s">
        <v>432</v>
      </c>
      <c r="C1306" t="s">
        <v>349</v>
      </c>
      <c r="D1306" t="s">
        <v>40</v>
      </c>
      <c r="F1306" cm="1">
        <f t="array" ref="F1306:F1311">TRANSPOSE('Utilization '!B1449:G1449)</f>
        <v>0</v>
      </c>
    </row>
    <row r="1307" spans="1:6">
      <c r="A1307" s="11">
        <v>44920</v>
      </c>
      <c r="B1307" t="s">
        <v>432</v>
      </c>
      <c r="C1307" t="s">
        <v>349</v>
      </c>
      <c r="D1307" t="s">
        <v>36</v>
      </c>
      <c r="F1307">
        <v>0</v>
      </c>
    </row>
    <row r="1308" spans="1:6">
      <c r="A1308" s="11">
        <v>44920</v>
      </c>
      <c r="B1308" t="s">
        <v>432</v>
      </c>
      <c r="C1308" t="s">
        <v>22</v>
      </c>
      <c r="D1308" t="s">
        <v>23</v>
      </c>
      <c r="F1308">
        <v>0</v>
      </c>
    </row>
    <row r="1309" spans="1:6">
      <c r="A1309" s="11">
        <v>44920</v>
      </c>
      <c r="B1309" t="s">
        <v>432</v>
      </c>
      <c r="C1309" t="s">
        <v>22</v>
      </c>
      <c r="D1309" t="s">
        <v>76</v>
      </c>
      <c r="F1309">
        <v>0</v>
      </c>
    </row>
    <row r="1310" spans="1:6">
      <c r="A1310" s="11">
        <v>44920</v>
      </c>
      <c r="B1310" t="s">
        <v>432</v>
      </c>
      <c r="C1310" t="s">
        <v>350</v>
      </c>
      <c r="D1310" t="s">
        <v>78</v>
      </c>
      <c r="F1310">
        <v>0</v>
      </c>
    </row>
    <row r="1311" spans="1:6">
      <c r="A1311" s="11">
        <v>44920</v>
      </c>
      <c r="B1311" t="s">
        <v>432</v>
      </c>
      <c r="C1311" t="s">
        <v>350</v>
      </c>
      <c r="D1311" t="s">
        <v>354</v>
      </c>
      <c r="F1311">
        <v>0</v>
      </c>
    </row>
    <row r="1312" spans="1:6">
      <c r="A1312" s="11">
        <v>44920</v>
      </c>
      <c r="B1312" t="s">
        <v>432</v>
      </c>
      <c r="C1312" t="s">
        <v>351</v>
      </c>
      <c r="D1312" t="s">
        <v>46</v>
      </c>
      <c r="F1312" cm="1">
        <f t="array" ref="F1312:F1313">TRANSPOSE('Utilization '!I1449:J1449)</f>
        <v>0</v>
      </c>
    </row>
    <row r="1313" spans="1:6">
      <c r="A1313" s="11">
        <v>44920</v>
      </c>
      <c r="B1313" t="s">
        <v>432</v>
      </c>
      <c r="C1313" t="s">
        <v>351</v>
      </c>
      <c r="D1313" t="s">
        <v>62</v>
      </c>
      <c r="F1313">
        <v>0</v>
      </c>
    </row>
    <row r="1314" spans="1:6">
      <c r="A1314" s="11">
        <v>44921</v>
      </c>
      <c r="B1314" t="s">
        <v>432</v>
      </c>
      <c r="C1314" t="s">
        <v>349</v>
      </c>
      <c r="D1314" t="s">
        <v>40</v>
      </c>
      <c r="F1314" cm="1">
        <f t="array" ref="F1314:F1319">TRANSPOSE('Utilization '!B1457:G1457)</f>
        <v>0</v>
      </c>
    </row>
    <row r="1315" spans="1:6">
      <c r="A1315" s="11">
        <v>44921</v>
      </c>
      <c r="B1315" t="s">
        <v>432</v>
      </c>
      <c r="C1315" t="s">
        <v>349</v>
      </c>
      <c r="D1315" t="s">
        <v>36</v>
      </c>
      <c r="F1315">
        <v>0</v>
      </c>
    </row>
    <row r="1316" spans="1:6">
      <c r="A1316" s="11">
        <v>44921</v>
      </c>
      <c r="B1316" t="s">
        <v>432</v>
      </c>
      <c r="C1316" t="s">
        <v>22</v>
      </c>
      <c r="D1316" t="s">
        <v>23</v>
      </c>
      <c r="F1316">
        <v>0</v>
      </c>
    </row>
    <row r="1317" spans="1:6">
      <c r="A1317" s="11">
        <v>44921</v>
      </c>
      <c r="B1317" t="s">
        <v>432</v>
      </c>
      <c r="C1317" t="s">
        <v>22</v>
      </c>
      <c r="D1317" t="s">
        <v>76</v>
      </c>
      <c r="F1317">
        <v>0</v>
      </c>
    </row>
    <row r="1318" spans="1:6">
      <c r="A1318" s="11">
        <v>44921</v>
      </c>
      <c r="B1318" t="s">
        <v>432</v>
      </c>
      <c r="C1318" t="s">
        <v>350</v>
      </c>
      <c r="D1318" t="s">
        <v>78</v>
      </c>
      <c r="F1318">
        <v>0</v>
      </c>
    </row>
    <row r="1319" spans="1:6">
      <c r="A1319" s="11">
        <v>44921</v>
      </c>
      <c r="B1319" t="s">
        <v>432</v>
      </c>
      <c r="C1319" t="s">
        <v>350</v>
      </c>
      <c r="D1319" t="s">
        <v>354</v>
      </c>
      <c r="F1319">
        <v>0</v>
      </c>
    </row>
    <row r="1320" spans="1:6">
      <c r="A1320" s="11">
        <v>44921</v>
      </c>
      <c r="B1320" t="s">
        <v>432</v>
      </c>
      <c r="C1320" t="s">
        <v>351</v>
      </c>
      <c r="D1320" t="s">
        <v>46</v>
      </c>
      <c r="F1320" cm="1">
        <f t="array" ref="F1320:F1321">TRANSPOSE('Utilization '!I1457:J1457)</f>
        <v>0</v>
      </c>
    </row>
    <row r="1321" spans="1:6">
      <c r="A1321" s="11">
        <v>44921</v>
      </c>
      <c r="B1321" t="s">
        <v>432</v>
      </c>
      <c r="C1321" t="s">
        <v>351</v>
      </c>
      <c r="D1321" t="s">
        <v>62</v>
      </c>
      <c r="F1321">
        <v>0</v>
      </c>
    </row>
    <row r="1322" spans="1:6">
      <c r="A1322" s="11">
        <v>44922</v>
      </c>
      <c r="B1322" t="s">
        <v>432</v>
      </c>
      <c r="C1322" t="s">
        <v>349</v>
      </c>
      <c r="D1322" t="s">
        <v>40</v>
      </c>
      <c r="F1322" cm="1">
        <f t="array" ref="F1322:F1327">TRANSPOSE('Utilization '!B1465:G1465)</f>
        <v>0</v>
      </c>
    </row>
    <row r="1323" spans="1:6">
      <c r="A1323" s="11">
        <v>44922</v>
      </c>
      <c r="B1323" t="s">
        <v>432</v>
      </c>
      <c r="C1323" t="s">
        <v>349</v>
      </c>
      <c r="D1323" t="s">
        <v>36</v>
      </c>
      <c r="F1323">
        <v>0</v>
      </c>
    </row>
    <row r="1324" spans="1:6">
      <c r="A1324" s="11">
        <v>44922</v>
      </c>
      <c r="B1324" t="s">
        <v>432</v>
      </c>
      <c r="C1324" t="s">
        <v>22</v>
      </c>
      <c r="D1324" t="s">
        <v>23</v>
      </c>
      <c r="F1324">
        <v>0</v>
      </c>
    </row>
    <row r="1325" spans="1:6">
      <c r="A1325" s="11">
        <v>44922</v>
      </c>
      <c r="B1325" t="s">
        <v>432</v>
      </c>
      <c r="C1325" t="s">
        <v>22</v>
      </c>
      <c r="D1325" t="s">
        <v>76</v>
      </c>
      <c r="F1325">
        <v>0</v>
      </c>
    </row>
    <row r="1326" spans="1:6">
      <c r="A1326" s="11">
        <v>44922</v>
      </c>
      <c r="B1326" t="s">
        <v>432</v>
      </c>
      <c r="C1326" t="s">
        <v>350</v>
      </c>
      <c r="D1326" t="s">
        <v>78</v>
      </c>
      <c r="F1326">
        <v>0</v>
      </c>
    </row>
    <row r="1327" spans="1:6">
      <c r="A1327" s="11">
        <v>44922</v>
      </c>
      <c r="B1327" t="s">
        <v>432</v>
      </c>
      <c r="C1327" t="s">
        <v>350</v>
      </c>
      <c r="D1327" t="s">
        <v>354</v>
      </c>
      <c r="F1327">
        <v>0</v>
      </c>
    </row>
    <row r="1328" spans="1:6">
      <c r="A1328" s="11">
        <v>44922</v>
      </c>
      <c r="B1328" t="s">
        <v>432</v>
      </c>
      <c r="C1328" t="s">
        <v>351</v>
      </c>
      <c r="D1328" t="s">
        <v>46</v>
      </c>
      <c r="F1328" cm="1">
        <f t="array" ref="F1328:F1329">TRANSPOSE('Utilization '!I1465:J1465)</f>
        <v>0</v>
      </c>
    </row>
    <row r="1329" spans="1:6">
      <c r="A1329" s="11">
        <v>44922</v>
      </c>
      <c r="B1329" t="s">
        <v>432</v>
      </c>
      <c r="C1329" t="s">
        <v>351</v>
      </c>
      <c r="D1329" t="s">
        <v>62</v>
      </c>
      <c r="F1329">
        <v>0</v>
      </c>
    </row>
    <row r="1330" spans="1:6">
      <c r="A1330" s="11">
        <v>44923</v>
      </c>
      <c r="B1330" t="s">
        <v>432</v>
      </c>
      <c r="C1330" t="s">
        <v>349</v>
      </c>
      <c r="D1330" t="s">
        <v>40</v>
      </c>
      <c r="F1330" cm="1">
        <f t="array" ref="F1330:F1335">TRANSPOSE('Utilization '!B1473:G1473)</f>
        <v>0</v>
      </c>
    </row>
    <row r="1331" spans="1:6">
      <c r="A1331" s="11">
        <v>44923</v>
      </c>
      <c r="B1331" t="s">
        <v>432</v>
      </c>
      <c r="C1331" t="s">
        <v>349</v>
      </c>
      <c r="D1331" t="s">
        <v>36</v>
      </c>
      <c r="F1331">
        <v>0</v>
      </c>
    </row>
    <row r="1332" spans="1:6">
      <c r="A1332" s="11">
        <v>44923</v>
      </c>
      <c r="B1332" t="s">
        <v>432</v>
      </c>
      <c r="C1332" t="s">
        <v>22</v>
      </c>
      <c r="D1332" t="s">
        <v>23</v>
      </c>
      <c r="F1332">
        <v>0</v>
      </c>
    </row>
    <row r="1333" spans="1:6">
      <c r="A1333" s="11">
        <v>44923</v>
      </c>
      <c r="B1333" t="s">
        <v>432</v>
      </c>
      <c r="C1333" t="s">
        <v>22</v>
      </c>
      <c r="D1333" t="s">
        <v>76</v>
      </c>
      <c r="F1333">
        <v>0</v>
      </c>
    </row>
    <row r="1334" spans="1:6">
      <c r="A1334" s="11">
        <v>44923</v>
      </c>
      <c r="B1334" t="s">
        <v>432</v>
      </c>
      <c r="C1334" t="s">
        <v>350</v>
      </c>
      <c r="D1334" t="s">
        <v>78</v>
      </c>
      <c r="F1334">
        <v>0</v>
      </c>
    </row>
    <row r="1335" spans="1:6">
      <c r="A1335" s="11">
        <v>44923</v>
      </c>
      <c r="B1335" t="s">
        <v>432</v>
      </c>
      <c r="C1335" t="s">
        <v>350</v>
      </c>
      <c r="D1335" t="s">
        <v>354</v>
      </c>
      <c r="F1335">
        <v>0</v>
      </c>
    </row>
    <row r="1336" spans="1:6">
      <c r="A1336" s="11">
        <v>44923</v>
      </c>
      <c r="B1336" t="s">
        <v>432</v>
      </c>
      <c r="C1336" t="s">
        <v>351</v>
      </c>
      <c r="D1336" t="s">
        <v>46</v>
      </c>
      <c r="F1336" cm="1">
        <f t="array" ref="F1336:F1337">TRANSPOSE('Utilization '!I1473:J1473)</f>
        <v>0</v>
      </c>
    </row>
    <row r="1337" spans="1:6">
      <c r="A1337" s="11">
        <v>44923</v>
      </c>
      <c r="B1337" t="s">
        <v>432</v>
      </c>
      <c r="C1337" t="s">
        <v>351</v>
      </c>
      <c r="D1337" t="s">
        <v>62</v>
      </c>
      <c r="F1337">
        <v>0</v>
      </c>
    </row>
    <row r="1338" spans="1:6">
      <c r="A1338" s="11">
        <v>44924</v>
      </c>
      <c r="B1338" t="s">
        <v>432</v>
      </c>
      <c r="C1338" t="s">
        <v>349</v>
      </c>
      <c r="D1338" t="s">
        <v>40</v>
      </c>
      <c r="F1338" cm="1">
        <f t="array" ref="F1338:F1343">TRANSPOSE('Utilization '!B1481:G1481)</f>
        <v>0</v>
      </c>
    </row>
    <row r="1339" spans="1:6">
      <c r="A1339" s="11">
        <v>44924</v>
      </c>
      <c r="B1339" t="s">
        <v>432</v>
      </c>
      <c r="C1339" t="s">
        <v>349</v>
      </c>
      <c r="D1339" t="s">
        <v>36</v>
      </c>
      <c r="F1339">
        <v>0</v>
      </c>
    </row>
    <row r="1340" spans="1:6">
      <c r="A1340" s="11">
        <v>44924</v>
      </c>
      <c r="B1340" t="s">
        <v>432</v>
      </c>
      <c r="C1340" t="s">
        <v>22</v>
      </c>
      <c r="D1340" t="s">
        <v>23</v>
      </c>
      <c r="F1340">
        <v>0</v>
      </c>
    </row>
    <row r="1341" spans="1:6">
      <c r="A1341" s="11">
        <v>44924</v>
      </c>
      <c r="B1341" t="s">
        <v>432</v>
      </c>
      <c r="C1341" t="s">
        <v>22</v>
      </c>
      <c r="D1341" t="s">
        <v>76</v>
      </c>
      <c r="F1341">
        <v>0</v>
      </c>
    </row>
    <row r="1342" spans="1:6">
      <c r="A1342" s="11">
        <v>44924</v>
      </c>
      <c r="B1342" t="s">
        <v>432</v>
      </c>
      <c r="C1342" t="s">
        <v>350</v>
      </c>
      <c r="D1342" t="s">
        <v>78</v>
      </c>
      <c r="F1342">
        <v>0</v>
      </c>
    </row>
    <row r="1343" spans="1:6">
      <c r="A1343" s="11">
        <v>44924</v>
      </c>
      <c r="B1343" t="s">
        <v>432</v>
      </c>
      <c r="C1343" t="s">
        <v>350</v>
      </c>
      <c r="D1343" t="s">
        <v>354</v>
      </c>
      <c r="F1343">
        <v>0</v>
      </c>
    </row>
    <row r="1344" spans="1:6">
      <c r="A1344" s="11">
        <v>44924</v>
      </c>
      <c r="B1344" t="s">
        <v>432</v>
      </c>
      <c r="C1344" t="s">
        <v>351</v>
      </c>
      <c r="D1344" t="s">
        <v>46</v>
      </c>
      <c r="F1344" cm="1">
        <f t="array" ref="F1344:F1345">TRANSPOSE('Utilization '!I1481:J1481)</f>
        <v>0</v>
      </c>
    </row>
    <row r="1345" spans="1:6">
      <c r="A1345" s="11">
        <v>44924</v>
      </c>
      <c r="B1345" t="s">
        <v>432</v>
      </c>
      <c r="C1345" t="s">
        <v>351</v>
      </c>
      <c r="D1345" t="s">
        <v>62</v>
      </c>
      <c r="F1345">
        <v>0</v>
      </c>
    </row>
    <row r="1346" spans="1:6">
      <c r="A1346" s="11">
        <v>44925</v>
      </c>
      <c r="B1346" t="s">
        <v>432</v>
      </c>
      <c r="C1346" t="s">
        <v>349</v>
      </c>
      <c r="D1346" t="s">
        <v>40</v>
      </c>
      <c r="F1346" cm="1">
        <f t="array" ref="F1346:F1351">TRANSPOSE('Utilization '!B1489:G1489)</f>
        <v>0</v>
      </c>
    </row>
    <row r="1347" spans="1:6">
      <c r="A1347" s="11">
        <v>44925</v>
      </c>
      <c r="B1347" t="s">
        <v>432</v>
      </c>
      <c r="C1347" t="s">
        <v>349</v>
      </c>
      <c r="D1347" t="s">
        <v>36</v>
      </c>
      <c r="F1347">
        <v>0</v>
      </c>
    </row>
    <row r="1348" spans="1:6">
      <c r="A1348" s="11">
        <v>44925</v>
      </c>
      <c r="B1348" t="s">
        <v>432</v>
      </c>
      <c r="C1348" t="s">
        <v>22</v>
      </c>
      <c r="D1348" t="s">
        <v>23</v>
      </c>
      <c r="F1348">
        <v>0</v>
      </c>
    </row>
    <row r="1349" spans="1:6">
      <c r="A1349" s="11">
        <v>44925</v>
      </c>
      <c r="B1349" t="s">
        <v>432</v>
      </c>
      <c r="C1349" t="s">
        <v>22</v>
      </c>
      <c r="D1349" t="s">
        <v>76</v>
      </c>
      <c r="F1349">
        <v>0</v>
      </c>
    </row>
    <row r="1350" spans="1:6">
      <c r="A1350" s="11">
        <v>44925</v>
      </c>
      <c r="B1350" t="s">
        <v>432</v>
      </c>
      <c r="C1350" t="s">
        <v>350</v>
      </c>
      <c r="D1350" t="s">
        <v>78</v>
      </c>
      <c r="F1350">
        <v>0</v>
      </c>
    </row>
    <row r="1351" spans="1:6">
      <c r="A1351" s="11">
        <v>44925</v>
      </c>
      <c r="B1351" t="s">
        <v>432</v>
      </c>
      <c r="C1351" t="s">
        <v>350</v>
      </c>
      <c r="D1351" t="s">
        <v>354</v>
      </c>
      <c r="F1351">
        <v>0</v>
      </c>
    </row>
    <row r="1352" spans="1:6">
      <c r="A1352" s="11">
        <v>44925</v>
      </c>
      <c r="B1352" t="s">
        <v>432</v>
      </c>
      <c r="C1352" t="s">
        <v>351</v>
      </c>
      <c r="D1352" t="s">
        <v>46</v>
      </c>
      <c r="F1352" cm="1">
        <f t="array" ref="F1352:F1353">TRANSPOSE('Utilization '!I1489:J1489)</f>
        <v>0</v>
      </c>
    </row>
    <row r="1353" spans="1:6">
      <c r="A1353" s="11">
        <v>44925</v>
      </c>
      <c r="B1353" t="s">
        <v>432</v>
      </c>
      <c r="C1353" t="s">
        <v>351</v>
      </c>
      <c r="D1353" t="s">
        <v>62</v>
      </c>
      <c r="F1353">
        <v>0</v>
      </c>
    </row>
    <row r="1354" spans="1:6">
      <c r="A1354" s="11">
        <v>44926</v>
      </c>
      <c r="B1354" t="s">
        <v>432</v>
      </c>
      <c r="C1354" t="s">
        <v>349</v>
      </c>
      <c r="D1354" t="s">
        <v>40</v>
      </c>
      <c r="F1354" cm="1">
        <f t="array" ref="F1354:F1359">TRANSPOSE('Utilization '!B1497:G1497)</f>
        <v>0</v>
      </c>
    </row>
    <row r="1355" spans="1:6">
      <c r="A1355" s="11">
        <v>44926</v>
      </c>
      <c r="B1355" t="s">
        <v>432</v>
      </c>
      <c r="C1355" t="s">
        <v>349</v>
      </c>
      <c r="D1355" t="s">
        <v>36</v>
      </c>
      <c r="F1355">
        <v>0</v>
      </c>
    </row>
    <row r="1356" spans="1:6">
      <c r="A1356" s="11">
        <v>44926</v>
      </c>
      <c r="B1356" t="s">
        <v>432</v>
      </c>
      <c r="C1356" t="s">
        <v>22</v>
      </c>
      <c r="D1356" t="s">
        <v>23</v>
      </c>
      <c r="F1356">
        <v>0</v>
      </c>
    </row>
    <row r="1357" spans="1:6">
      <c r="A1357" s="11">
        <v>44926</v>
      </c>
      <c r="B1357" t="s">
        <v>432</v>
      </c>
      <c r="C1357" t="s">
        <v>22</v>
      </c>
      <c r="D1357" t="s">
        <v>76</v>
      </c>
      <c r="F1357">
        <v>0</v>
      </c>
    </row>
    <row r="1358" spans="1:6">
      <c r="A1358" s="11">
        <v>44926</v>
      </c>
      <c r="B1358" t="s">
        <v>432</v>
      </c>
      <c r="C1358" t="s">
        <v>350</v>
      </c>
      <c r="D1358" t="s">
        <v>78</v>
      </c>
      <c r="F1358">
        <v>0</v>
      </c>
    </row>
    <row r="1359" spans="1:6">
      <c r="A1359" s="11">
        <v>44926</v>
      </c>
      <c r="B1359" t="s">
        <v>432</v>
      </c>
      <c r="C1359" t="s">
        <v>350</v>
      </c>
      <c r="D1359" t="s">
        <v>354</v>
      </c>
      <c r="F1359">
        <v>0</v>
      </c>
    </row>
    <row r="1360" spans="1:6">
      <c r="A1360" s="11">
        <v>44926</v>
      </c>
      <c r="B1360" t="s">
        <v>432</v>
      </c>
      <c r="C1360" t="s">
        <v>351</v>
      </c>
      <c r="D1360" t="s">
        <v>46</v>
      </c>
      <c r="F1360" cm="1">
        <f t="array" ref="F1360:F1361">TRANSPOSE('Utilization '!I1497:J1497)</f>
        <v>0</v>
      </c>
    </row>
    <row r="1361" spans="1:6">
      <c r="A1361" s="11">
        <v>44926</v>
      </c>
      <c r="B1361" t="s">
        <v>432</v>
      </c>
      <c r="C1361" t="s">
        <v>351</v>
      </c>
      <c r="D1361" t="s">
        <v>62</v>
      </c>
      <c r="F136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8619b4a-e925-4f46-8ba2-a214eb97cb25">
      <UserInfo>
        <DisplayName>Jeff Spence</DisplayName>
        <AccountId>24</AccountId>
        <AccountType/>
      </UserInfo>
      <UserInfo>
        <DisplayName>Darrell Knott</DisplayName>
        <AccountId>67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7CC80D5DDDB44F82CF4B766D7D670D" ma:contentTypeVersion="5" ma:contentTypeDescription="Create a new document." ma:contentTypeScope="" ma:versionID="82625fd706d4320c56a1959eed668583">
  <xsd:schema xmlns:xsd="http://www.w3.org/2001/XMLSchema" xmlns:xs="http://www.w3.org/2001/XMLSchema" xmlns:p="http://schemas.microsoft.com/office/2006/metadata/properties" xmlns:ns2="d3c8c2ce-62e9-46b9-af47-a4e897779030" xmlns:ns3="68619b4a-e925-4f46-8ba2-a214eb97cb25" targetNamespace="http://schemas.microsoft.com/office/2006/metadata/properties" ma:root="true" ma:fieldsID="f283320a80c499327f3ae252b1caa2b6" ns2:_="" ns3:_="">
    <xsd:import namespace="d3c8c2ce-62e9-46b9-af47-a4e897779030"/>
    <xsd:import namespace="68619b4a-e925-4f46-8ba2-a214eb97cb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c8c2ce-62e9-46b9-af47-a4e8977790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619b4a-e925-4f46-8ba2-a214eb97cb2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2D4A8F-BCB8-47D7-874A-E88E0418D2CC}"/>
</file>

<file path=customXml/itemProps2.xml><?xml version="1.0" encoding="utf-8"?>
<ds:datastoreItem xmlns:ds="http://schemas.openxmlformats.org/officeDocument/2006/customXml" ds:itemID="{54535A70-A1CF-4DDD-93D8-50BFEAAE5E7F}"/>
</file>

<file path=customXml/itemProps3.xml><?xml version="1.0" encoding="utf-8"?>
<ds:datastoreItem xmlns:ds="http://schemas.openxmlformats.org/officeDocument/2006/customXml" ds:itemID="{48438F1E-45F1-4183-98E8-6AB1A53F5B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cchubey@sanjel.com</dc:creator>
  <cp:keywords/>
  <dc:description/>
  <cp:lastModifiedBy/>
  <cp:revision/>
  <dcterms:created xsi:type="dcterms:W3CDTF">2020-10-19T17:32:27Z</dcterms:created>
  <dcterms:modified xsi:type="dcterms:W3CDTF">2022-09-02T20:04:05Z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0x0101002E7CC80D5DDDB44F82CF4B766D7D670D</vt:lpwstr>
  </property>
</Properties>
</file>