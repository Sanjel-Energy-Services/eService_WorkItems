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1961531albertaltd.sharepoint.com/sites/informationtechnology/Shared Documents/Projects/Job Design/"/>
    </mc:Choice>
  </mc:AlternateContent>
  <xr:revisionPtr revIDLastSave="0" documentId="8_{4080A63C-4EBA-4321-A7E8-D5417DF4F09B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Job Times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6" i="1" l="1"/>
  <c r="N7" i="1"/>
  <c r="N8" i="1"/>
  <c r="N15" i="1"/>
  <c r="N16" i="1"/>
  <c r="N23" i="1"/>
  <c r="N24" i="1"/>
  <c r="N31" i="1"/>
  <c r="N32" i="1"/>
  <c r="N39" i="1"/>
  <c r="N40" i="1"/>
  <c r="N47" i="1"/>
  <c r="N48" i="1"/>
  <c r="N56" i="1"/>
  <c r="N57" i="1"/>
  <c r="N5" i="1"/>
  <c r="M9" i="1"/>
  <c r="N9" i="1" s="1"/>
  <c r="N10" i="1"/>
  <c r="N17" i="1"/>
  <c r="N18" i="1"/>
  <c r="N19" i="1"/>
  <c r="M24" i="1"/>
  <c r="N26" i="1"/>
  <c r="M29" i="1"/>
  <c r="N29" i="1" s="1"/>
  <c r="N41" i="1"/>
  <c r="M47" i="1"/>
  <c r="N3" i="1"/>
  <c r="N4" i="1"/>
  <c r="L7" i="1"/>
  <c r="N11" i="1"/>
  <c r="N12" i="1"/>
  <c r="N13" i="1"/>
  <c r="N14" i="1"/>
  <c r="N20" i="1"/>
  <c r="N21" i="1"/>
  <c r="N22" i="1"/>
  <c r="N25" i="1"/>
  <c r="N27" i="1"/>
  <c r="N28" i="1"/>
  <c r="N30" i="1"/>
  <c r="N33" i="1"/>
  <c r="N34" i="1"/>
  <c r="N35" i="1"/>
  <c r="L36" i="1"/>
  <c r="N36" i="1" s="1"/>
  <c r="N37" i="1"/>
  <c r="N38" i="1"/>
  <c r="N42" i="1"/>
  <c r="N43" i="1"/>
  <c r="N44" i="1"/>
  <c r="N45" i="1"/>
  <c r="N46" i="1"/>
  <c r="N49" i="1"/>
  <c r="N50" i="1"/>
  <c r="N51" i="1"/>
  <c r="N52" i="1"/>
  <c r="N53" i="1"/>
  <c r="N54" i="1"/>
  <c r="N55" i="1"/>
  <c r="N58" i="1"/>
  <c r="N59" i="1"/>
  <c r="N60" i="1"/>
  <c r="N2" i="1"/>
</calcChain>
</file>

<file path=xl/sharedStrings.xml><?xml version="1.0" encoding="utf-8"?>
<sst xmlns="http://schemas.openxmlformats.org/spreadsheetml/2006/main" count="72" uniqueCount="52">
  <si>
    <t>Job Type</t>
  </si>
  <si>
    <t>Job Count</t>
  </si>
  <si>
    <t>Number Of Pumpers</t>
  </si>
  <si>
    <t>Median Prep Hours</t>
  </si>
  <si>
    <t>Ave Prep Hours</t>
  </si>
  <si>
    <t>Median PJ Hours</t>
  </si>
  <si>
    <t>Ave PJ Hours</t>
  </si>
  <si>
    <t>Median 2W Travel</t>
  </si>
  <si>
    <t>Ave 2W Travel</t>
  </si>
  <si>
    <t>2-Stage Intermediate</t>
  </si>
  <si>
    <t>2-Stage Production</t>
  </si>
  <si>
    <t>2-Stage Surface</t>
  </si>
  <si>
    <t>Abandonment Squeeze</t>
  </si>
  <si>
    <t>Abrasive Jet</t>
  </si>
  <si>
    <t>Acid Squeeze</t>
  </si>
  <si>
    <t>Acid Wash</t>
  </si>
  <si>
    <t>Balanced Plug</t>
  </si>
  <si>
    <t>Bradenhead Squeeze</t>
  </si>
  <si>
    <t>Bull Head Squeeze</t>
  </si>
  <si>
    <t>Casing-in-Casing Remedial Cement</t>
  </si>
  <si>
    <t>Cement Top Off</t>
  </si>
  <si>
    <t>Cement Top Off - Remedial</t>
  </si>
  <si>
    <t>Cementing through Third Party Coil</t>
  </si>
  <si>
    <t>Circulation Squeeze</t>
  </si>
  <si>
    <t>Conductor Barrel</t>
  </si>
  <si>
    <t>Foamed Cement</t>
  </si>
  <si>
    <t>Foamed Cement Squeeze</t>
  </si>
  <si>
    <t>Injection Test</t>
  </si>
  <si>
    <t>Intermediate Casing</t>
  </si>
  <si>
    <t>Liner Casing</t>
  </si>
  <si>
    <t>Lost Circulation Plug</t>
  </si>
  <si>
    <t>Misc. Pumping – Remedial</t>
  </si>
  <si>
    <t>Miscellaneous Pumping</t>
  </si>
  <si>
    <t>Pipeline / HDD Abandonment</t>
  </si>
  <si>
    <t>Pipeline Grouting</t>
  </si>
  <si>
    <t>Plugback Production</t>
  </si>
  <si>
    <t>Plugback Whipstock</t>
  </si>
  <si>
    <t>Primary Abandonment Plug</t>
  </si>
  <si>
    <t>Production Casing</t>
  </si>
  <si>
    <t>Remedial Abandonment Plug</t>
  </si>
  <si>
    <t>Retainer Squeeze</t>
  </si>
  <si>
    <t>Slow Rate Bradenhead Squeeze</t>
  </si>
  <si>
    <t>Slow Rate Retainer Squeeze</t>
  </si>
  <si>
    <t>Surface Casing</t>
  </si>
  <si>
    <t>Well Kill</t>
  </si>
  <si>
    <t>Well Kill - Remedial</t>
  </si>
  <si>
    <t>Well Stability Plug</t>
  </si>
  <si>
    <t>Whipstock Plug</t>
  </si>
  <si>
    <t>Prep Minutes</t>
  </si>
  <si>
    <t>Post Job Minutes</t>
  </si>
  <si>
    <t>Time to add to template time</t>
  </si>
  <si>
    <t>Default Pumping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</si>
</sst>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vertical="center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33" borderId="0" xfId="0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33" borderId="0" xfId="0" applyFill="1" applyAlignment="1">
      <alignment horizontal="center" vertical="center"/>
    </xf>
    <xf numFmtId="1" fontId="0" fillId="33" borderId="0" xfId="0" applyNumberFormat="1" applyFill="1" applyAlignment="1">
      <alignment horizontal="center" vertic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O60"/>
  <sheetViews>
    <sheetView tabSelected="1" workbookViewId="0">
      <selection activeCell="AA4" sqref="AA4"/>
    </sheetView>
  </sheetViews>
  <sheetFormatPr defaultRowHeight="15" x14ac:dyDescent="0.25"/>
  <cols>
    <col min="1" max="1" width="34.28515625" style="1" bestFit="1" customWidth="1"/>
    <col min="2" max="2" width="10.42578125" style="1" customWidth="1"/>
    <col min="3" max="3" width="12.7109375" style="7" customWidth="1"/>
    <col min="4" max="4" width="18.28515625" style="1" hidden="1" customWidth="1"/>
    <col min="5" max="5" width="14.85546875" style="1" hidden="1" customWidth="1"/>
    <col min="6" max="6" width="15.85546875" style="1" hidden="1" customWidth="1"/>
    <col min="7" max="7" width="14.7109375" style="1" hidden="1" customWidth="1"/>
    <col min="8" max="8" width="17.140625" style="1" hidden="1" customWidth="1"/>
    <col min="9" max="9" width="13.85546875" style="1" hidden="1" customWidth="1"/>
    <col min="10" max="11" width="9.140625" style="1" hidden="1" customWidth="1"/>
    <col min="12" max="12" width="12.85546875" style="1" bestFit="1" customWidth="1"/>
    <col min="13" max="13" width="16.140625" style="1" bestFit="1" customWidth="1"/>
    <col min="14" max="14" width="16.140625" style="1" customWidth="1"/>
    <col min="15" max="15" width="9.140625" style="7"/>
    <col min="16" max="16384" width="9.140625" style="1"/>
  </cols>
  <sheetData>
    <row r="1" spans="1:15" s="4" customFormat="1" ht="45" x14ac:dyDescent="0.25">
      <c r="A1" s="5" t="s">
        <v>0</v>
      </c>
      <c r="B1" s="5" t="s">
        <v>1</v>
      </c>
      <c r="C1" s="6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/>
      <c r="K1" s="5"/>
      <c r="L1" s="5" t="s">
        <v>48</v>
      </c>
      <c r="M1" s="5" t="s">
        <v>49</v>
      </c>
      <c r="N1" s="6" t="s">
        <v>50</v>
      </c>
      <c r="O1" s="6" t="s">
        <v>51</v>
      </c>
    </row>
    <row r="2" spans="1:15" x14ac:dyDescent="0.25">
      <c r="A2" s="1" t="s">
        <v>9</v>
      </c>
      <c r="B2" s="1">
        <v>27</v>
      </c>
      <c r="C2" s="8">
        <v>1</v>
      </c>
      <c r="D2" s="2">
        <v>2.97</v>
      </c>
      <c r="E2" s="2">
        <v>4.4233333333333302</v>
      </c>
      <c r="F2" s="2">
        <v>0.33</v>
      </c>
      <c r="G2" s="2">
        <v>0.44074074074073999</v>
      </c>
      <c r="H2" s="2">
        <v>4</v>
      </c>
      <c r="I2" s="2">
        <v>4.8703703703703702</v>
      </c>
      <c r="L2" s="3">
        <v>180</v>
      </c>
      <c r="M2" s="3">
        <v>30</v>
      </c>
      <c r="N2" s="9">
        <f>M2+L2</f>
        <v>210</v>
      </c>
      <c r="O2" s="9">
        <v>180</v>
      </c>
    </row>
    <row r="3" spans="1:15" x14ac:dyDescent="0.25">
      <c r="A3" s="1" t="s">
        <v>9</v>
      </c>
      <c r="B3" s="1">
        <v>1</v>
      </c>
      <c r="C3" s="8">
        <v>2</v>
      </c>
      <c r="D3" s="2">
        <v>5.88</v>
      </c>
      <c r="E3" s="2">
        <v>5.88</v>
      </c>
      <c r="F3" s="2">
        <v>0.08</v>
      </c>
      <c r="G3" s="2">
        <v>0.08</v>
      </c>
      <c r="H3" s="2">
        <v>1</v>
      </c>
      <c r="I3" s="2">
        <v>1</v>
      </c>
      <c r="L3" s="3">
        <v>180</v>
      </c>
      <c r="M3" s="3">
        <v>30</v>
      </c>
      <c r="N3" s="9">
        <f t="shared" ref="N3:N60" si="0">M3+L3</f>
        <v>210</v>
      </c>
      <c r="O3" s="9">
        <v>180</v>
      </c>
    </row>
    <row r="4" spans="1:15" x14ac:dyDescent="0.25">
      <c r="A4" s="1" t="s">
        <v>10</v>
      </c>
      <c r="B4" s="1">
        <v>635</v>
      </c>
      <c r="C4" s="8">
        <v>1</v>
      </c>
      <c r="D4" s="2">
        <v>3.95</v>
      </c>
      <c r="E4" s="2">
        <v>4.7342834645669196</v>
      </c>
      <c r="F4" s="2">
        <v>0</v>
      </c>
      <c r="G4" s="2">
        <v>0.72659842519685003</v>
      </c>
      <c r="H4" s="2">
        <v>5</v>
      </c>
      <c r="I4" s="2">
        <v>5.9362204724409402</v>
      </c>
      <c r="L4" s="3">
        <v>190</v>
      </c>
      <c r="M4" s="3">
        <v>30</v>
      </c>
      <c r="N4" s="9">
        <f t="shared" si="0"/>
        <v>220</v>
      </c>
      <c r="O4" s="9">
        <v>180</v>
      </c>
    </row>
    <row r="5" spans="1:15" x14ac:dyDescent="0.25">
      <c r="A5" s="1" t="s">
        <v>10</v>
      </c>
      <c r="B5" s="1">
        <v>4</v>
      </c>
      <c r="C5" s="8">
        <v>2</v>
      </c>
      <c r="D5" s="2">
        <v>3.5</v>
      </c>
      <c r="E5" s="2"/>
      <c r="F5" s="2">
        <v>0.375</v>
      </c>
      <c r="G5" s="2">
        <v>0.755</v>
      </c>
      <c r="H5" s="2">
        <v>5</v>
      </c>
      <c r="I5" s="2">
        <v>7</v>
      </c>
      <c r="L5" s="3">
        <v>190</v>
      </c>
      <c r="M5" s="3">
        <v>30</v>
      </c>
      <c r="N5" s="9">
        <f t="shared" si="0"/>
        <v>220</v>
      </c>
      <c r="O5" s="9">
        <v>180</v>
      </c>
    </row>
    <row r="6" spans="1:15" x14ac:dyDescent="0.25">
      <c r="A6" s="1" t="s">
        <v>10</v>
      </c>
      <c r="B6" s="1">
        <v>1</v>
      </c>
      <c r="C6" s="8">
        <v>3</v>
      </c>
      <c r="D6" s="2">
        <v>3.03</v>
      </c>
      <c r="E6" s="2">
        <v>3.03</v>
      </c>
      <c r="F6" s="2">
        <v>0</v>
      </c>
      <c r="G6" s="2">
        <v>0</v>
      </c>
      <c r="H6" s="2">
        <v>12</v>
      </c>
      <c r="I6" s="2">
        <v>12</v>
      </c>
      <c r="L6" s="3">
        <v>190</v>
      </c>
      <c r="M6" s="3">
        <v>30</v>
      </c>
      <c r="N6" s="9">
        <f t="shared" si="0"/>
        <v>220</v>
      </c>
      <c r="O6" s="9">
        <v>180</v>
      </c>
    </row>
    <row r="7" spans="1:15" x14ac:dyDescent="0.25">
      <c r="A7" s="1" t="s">
        <v>11</v>
      </c>
      <c r="B7" s="1">
        <v>1</v>
      </c>
      <c r="C7" s="8">
        <v>2</v>
      </c>
      <c r="D7" s="2">
        <v>3</v>
      </c>
      <c r="E7" s="2">
        <v>5.8</v>
      </c>
      <c r="F7" s="2">
        <v>1.72</v>
      </c>
      <c r="G7" s="2">
        <v>1.72</v>
      </c>
      <c r="H7" s="2">
        <v>1</v>
      </c>
      <c r="I7" s="2">
        <v>1</v>
      </c>
      <c r="L7" s="3">
        <f t="shared" ref="L7:L36" si="1">D7*60</f>
        <v>180</v>
      </c>
      <c r="M7" s="3">
        <v>30</v>
      </c>
      <c r="N7" s="9">
        <f t="shared" si="0"/>
        <v>210</v>
      </c>
      <c r="O7" s="9">
        <v>180</v>
      </c>
    </row>
    <row r="8" spans="1:15" x14ac:dyDescent="0.25">
      <c r="A8" s="1" t="s">
        <v>12</v>
      </c>
      <c r="B8" s="1">
        <v>9</v>
      </c>
      <c r="C8" s="8">
        <v>1</v>
      </c>
      <c r="D8" s="2">
        <v>1.87</v>
      </c>
      <c r="E8" s="2">
        <v>2.03555555555555</v>
      </c>
      <c r="F8" s="2">
        <v>0.08</v>
      </c>
      <c r="G8" s="2">
        <v>0.46666666666666601</v>
      </c>
      <c r="H8" s="2">
        <v>4.5</v>
      </c>
      <c r="I8" s="2">
        <v>5</v>
      </c>
      <c r="L8" s="3">
        <v>110</v>
      </c>
      <c r="M8" s="3">
        <v>30</v>
      </c>
      <c r="N8" s="9">
        <f t="shared" si="0"/>
        <v>140</v>
      </c>
      <c r="O8" s="9">
        <v>120</v>
      </c>
    </row>
    <row r="9" spans="1:15" x14ac:dyDescent="0.25">
      <c r="A9" s="1" t="s">
        <v>13</v>
      </c>
      <c r="B9" s="1">
        <v>1</v>
      </c>
      <c r="C9" s="8">
        <v>1</v>
      </c>
      <c r="D9" s="2">
        <v>6.62</v>
      </c>
      <c r="E9" s="2">
        <v>6.62</v>
      </c>
      <c r="F9" s="2">
        <v>0.5</v>
      </c>
      <c r="G9" s="2">
        <v>0.5</v>
      </c>
      <c r="H9" s="2">
        <v>1</v>
      </c>
      <c r="I9" s="2">
        <v>1</v>
      </c>
      <c r="L9" s="3">
        <v>95</v>
      </c>
      <c r="M9" s="3">
        <f t="shared" ref="M9:M47" si="2">F9*60</f>
        <v>30</v>
      </c>
      <c r="N9" s="9">
        <f t="shared" si="0"/>
        <v>125</v>
      </c>
      <c r="O9" s="9">
        <v>240</v>
      </c>
    </row>
    <row r="10" spans="1:15" x14ac:dyDescent="0.25">
      <c r="A10" s="1" t="s">
        <v>13</v>
      </c>
      <c r="B10" s="1">
        <v>2</v>
      </c>
      <c r="C10" s="8">
        <v>2</v>
      </c>
      <c r="D10" s="2">
        <v>1.43</v>
      </c>
      <c r="E10" s="2">
        <v>1.43</v>
      </c>
      <c r="F10" s="2">
        <v>0.91999999999999904</v>
      </c>
      <c r="G10" s="2">
        <v>0.91999999999999904</v>
      </c>
      <c r="H10" s="2">
        <v>4.25</v>
      </c>
      <c r="I10" s="2">
        <v>4.25</v>
      </c>
      <c r="L10" s="3">
        <v>95</v>
      </c>
      <c r="M10" s="3">
        <v>30</v>
      </c>
      <c r="N10" s="9">
        <f t="shared" si="0"/>
        <v>125</v>
      </c>
      <c r="O10" s="9">
        <v>240</v>
      </c>
    </row>
    <row r="11" spans="1:15" x14ac:dyDescent="0.25">
      <c r="A11" s="1" t="s">
        <v>14</v>
      </c>
      <c r="B11" s="1">
        <v>1</v>
      </c>
      <c r="C11" s="8">
        <v>1</v>
      </c>
      <c r="D11" s="2">
        <v>2.13</v>
      </c>
      <c r="E11" s="2">
        <v>2.13</v>
      </c>
      <c r="F11" s="2">
        <v>0</v>
      </c>
      <c r="G11" s="2">
        <v>0</v>
      </c>
      <c r="H11" s="2">
        <v>1</v>
      </c>
      <c r="I11" s="2">
        <v>1</v>
      </c>
      <c r="L11" s="3">
        <v>110</v>
      </c>
      <c r="M11" s="3">
        <v>30</v>
      </c>
      <c r="N11" s="9">
        <f t="shared" si="0"/>
        <v>140</v>
      </c>
      <c r="O11" s="9">
        <v>120</v>
      </c>
    </row>
    <row r="12" spans="1:15" x14ac:dyDescent="0.25">
      <c r="A12" s="1" t="s">
        <v>15</v>
      </c>
      <c r="B12" s="1">
        <v>1</v>
      </c>
      <c r="C12" s="8">
        <v>1</v>
      </c>
      <c r="D12" s="2">
        <v>2.25</v>
      </c>
      <c r="E12" s="2">
        <v>2.25</v>
      </c>
      <c r="F12" s="2">
        <v>0</v>
      </c>
      <c r="G12" s="2">
        <v>0</v>
      </c>
      <c r="H12" s="2">
        <v>5</v>
      </c>
      <c r="I12" s="2">
        <v>5</v>
      </c>
      <c r="L12" s="3">
        <v>110</v>
      </c>
      <c r="M12" s="3">
        <v>30</v>
      </c>
      <c r="N12" s="9">
        <f t="shared" si="0"/>
        <v>140</v>
      </c>
      <c r="O12" s="9">
        <v>120</v>
      </c>
    </row>
    <row r="13" spans="1:15" x14ac:dyDescent="0.25">
      <c r="A13" s="1" t="s">
        <v>16</v>
      </c>
      <c r="B13" s="1">
        <v>105</v>
      </c>
      <c r="C13" s="8">
        <v>1</v>
      </c>
      <c r="D13" s="2">
        <v>1.68</v>
      </c>
      <c r="E13" s="2">
        <v>2.3793333333333302</v>
      </c>
      <c r="F13" s="2">
        <v>0.23</v>
      </c>
      <c r="G13" s="2">
        <v>0.39095238095238</v>
      </c>
      <c r="H13" s="2">
        <v>4</v>
      </c>
      <c r="I13" s="2">
        <v>3.9452380952380901</v>
      </c>
      <c r="L13" s="3">
        <v>100</v>
      </c>
      <c r="M13" s="3">
        <v>30</v>
      </c>
      <c r="N13" s="9">
        <f t="shared" si="0"/>
        <v>130</v>
      </c>
      <c r="O13" s="9">
        <v>120</v>
      </c>
    </row>
    <row r="14" spans="1:15" x14ac:dyDescent="0.25">
      <c r="A14" s="1" t="s">
        <v>17</v>
      </c>
      <c r="B14" s="1">
        <v>74</v>
      </c>
      <c r="C14" s="8">
        <v>1</v>
      </c>
      <c r="D14" s="2">
        <v>1.75</v>
      </c>
      <c r="E14" s="2">
        <v>2.0886486486486402</v>
      </c>
      <c r="F14" s="2">
        <v>0</v>
      </c>
      <c r="G14" s="2">
        <v>0.18554054054054001</v>
      </c>
      <c r="H14" s="2">
        <v>2</v>
      </c>
      <c r="I14" s="2">
        <v>3.0540540540540499</v>
      </c>
      <c r="L14" s="3">
        <v>100</v>
      </c>
      <c r="M14" s="3">
        <v>30</v>
      </c>
      <c r="N14" s="9">
        <f t="shared" si="0"/>
        <v>130</v>
      </c>
      <c r="O14" s="9">
        <v>120</v>
      </c>
    </row>
    <row r="15" spans="1:15" x14ac:dyDescent="0.25">
      <c r="A15" s="1" t="s">
        <v>18</v>
      </c>
      <c r="B15" s="1">
        <v>36</v>
      </c>
      <c r="C15" s="8">
        <v>1</v>
      </c>
      <c r="D15" s="2">
        <v>1.81</v>
      </c>
      <c r="E15" s="2">
        <v>2.1761111111111102</v>
      </c>
      <c r="F15" s="2">
        <v>0.125</v>
      </c>
      <c r="G15" s="2">
        <v>0.29194444444444401</v>
      </c>
      <c r="H15" s="2">
        <v>2</v>
      </c>
      <c r="I15" s="2">
        <v>4.4236111111111098</v>
      </c>
      <c r="L15" s="3">
        <v>110</v>
      </c>
      <c r="M15" s="3">
        <v>30</v>
      </c>
      <c r="N15" s="9">
        <f t="shared" si="0"/>
        <v>140</v>
      </c>
      <c r="O15" s="9">
        <v>120</v>
      </c>
    </row>
    <row r="16" spans="1:15" x14ac:dyDescent="0.25">
      <c r="A16" s="1" t="s">
        <v>19</v>
      </c>
      <c r="B16" s="1">
        <v>92</v>
      </c>
      <c r="C16" s="8">
        <v>1</v>
      </c>
      <c r="D16" s="2">
        <v>2.84</v>
      </c>
      <c r="E16" s="2">
        <v>3.0267391304347799</v>
      </c>
      <c r="F16" s="2">
        <v>0.25</v>
      </c>
      <c r="G16" s="2">
        <v>0.72597826086956496</v>
      </c>
      <c r="H16" s="2">
        <v>4</v>
      </c>
      <c r="I16" s="2">
        <v>5.9347826086956497</v>
      </c>
      <c r="L16" s="3">
        <v>130</v>
      </c>
      <c r="M16" s="3">
        <v>30</v>
      </c>
      <c r="N16" s="9">
        <f t="shared" si="0"/>
        <v>160</v>
      </c>
      <c r="O16" s="9">
        <v>120</v>
      </c>
    </row>
    <row r="17" spans="1:15" x14ac:dyDescent="0.25">
      <c r="A17" s="1" t="s">
        <v>20</v>
      </c>
      <c r="B17" s="1">
        <v>8</v>
      </c>
      <c r="C17" s="8">
        <v>1</v>
      </c>
      <c r="D17" s="2">
        <v>1.365</v>
      </c>
      <c r="E17" s="2">
        <v>1.89625</v>
      </c>
      <c r="F17" s="2">
        <v>0.42</v>
      </c>
      <c r="G17" s="2">
        <v>0.47875000000000001</v>
      </c>
      <c r="H17" s="2">
        <v>3.5</v>
      </c>
      <c r="I17" s="2">
        <v>5.375</v>
      </c>
      <c r="L17" s="3">
        <v>80</v>
      </c>
      <c r="M17" s="3">
        <v>30</v>
      </c>
      <c r="N17" s="9">
        <f t="shared" si="0"/>
        <v>110</v>
      </c>
      <c r="O17" s="9">
        <v>90</v>
      </c>
    </row>
    <row r="18" spans="1:15" x14ac:dyDescent="0.25">
      <c r="A18" s="1" t="s">
        <v>21</v>
      </c>
      <c r="B18" s="1">
        <v>2</v>
      </c>
      <c r="C18" s="8">
        <v>1</v>
      </c>
      <c r="D18" s="2">
        <v>2.1749999999999998</v>
      </c>
      <c r="E18" s="2">
        <v>2.1749999999999998</v>
      </c>
      <c r="F18" s="2">
        <v>0.78500000000000003</v>
      </c>
      <c r="G18" s="2">
        <v>0.78500000000000003</v>
      </c>
      <c r="H18" s="2">
        <v>5</v>
      </c>
      <c r="I18" s="2">
        <v>5</v>
      </c>
      <c r="L18" s="3">
        <v>110</v>
      </c>
      <c r="M18" s="3">
        <v>45</v>
      </c>
      <c r="N18" s="9">
        <f t="shared" si="0"/>
        <v>155</v>
      </c>
      <c r="O18" s="9">
        <v>90</v>
      </c>
    </row>
    <row r="19" spans="1:15" x14ac:dyDescent="0.25">
      <c r="A19" s="1" t="s">
        <v>22</v>
      </c>
      <c r="B19" s="1">
        <v>58</v>
      </c>
      <c r="C19" s="8">
        <v>1</v>
      </c>
      <c r="D19" s="2">
        <v>1.365</v>
      </c>
      <c r="E19" s="2">
        <v>1.49586206896551</v>
      </c>
      <c r="F19" s="2">
        <v>0.25</v>
      </c>
      <c r="G19" s="2">
        <v>0.383793103448275</v>
      </c>
      <c r="H19" s="2">
        <v>2</v>
      </c>
      <c r="I19" s="2">
        <v>2.66379310344827</v>
      </c>
      <c r="L19" s="3">
        <v>80</v>
      </c>
      <c r="M19" s="3">
        <v>30</v>
      </c>
      <c r="N19" s="9">
        <f t="shared" si="0"/>
        <v>110</v>
      </c>
      <c r="O19" s="9">
        <v>100</v>
      </c>
    </row>
    <row r="20" spans="1:15" x14ac:dyDescent="0.25">
      <c r="A20" s="1" t="s">
        <v>23</v>
      </c>
      <c r="B20" s="1">
        <v>108</v>
      </c>
      <c r="C20" s="8">
        <v>1</v>
      </c>
      <c r="D20" s="2">
        <v>1.4249999999999901</v>
      </c>
      <c r="E20" s="2">
        <v>1.6369444444444401</v>
      </c>
      <c r="F20" s="2">
        <v>0</v>
      </c>
      <c r="G20" s="2">
        <v>0.120092592592592</v>
      </c>
      <c r="H20" s="2">
        <v>3</v>
      </c>
      <c r="I20" s="2">
        <v>5.2893518518518503</v>
      </c>
      <c r="L20" s="3">
        <v>80</v>
      </c>
      <c r="M20" s="3">
        <v>30</v>
      </c>
      <c r="N20" s="9">
        <f t="shared" si="0"/>
        <v>110</v>
      </c>
      <c r="O20" s="9">
        <v>120</v>
      </c>
    </row>
    <row r="21" spans="1:15" x14ac:dyDescent="0.25">
      <c r="A21" s="1" t="s">
        <v>24</v>
      </c>
      <c r="B21" s="1">
        <v>178</v>
      </c>
      <c r="C21" s="8">
        <v>1</v>
      </c>
      <c r="D21" s="2">
        <v>1.1399999999999999</v>
      </c>
      <c r="E21" s="2">
        <v>1.43252808988764</v>
      </c>
      <c r="F21" s="2">
        <v>0</v>
      </c>
      <c r="G21" s="2">
        <v>0.23078651685393201</v>
      </c>
      <c r="H21" s="2">
        <v>3</v>
      </c>
      <c r="I21" s="2">
        <v>3.22022471910112</v>
      </c>
      <c r="L21" s="3">
        <v>60</v>
      </c>
      <c r="M21" s="3">
        <v>30</v>
      </c>
      <c r="N21" s="9">
        <f t="shared" si="0"/>
        <v>90</v>
      </c>
      <c r="O21" s="9">
        <v>90</v>
      </c>
    </row>
    <row r="22" spans="1:15" x14ac:dyDescent="0.25">
      <c r="A22" s="1" t="s">
        <v>24</v>
      </c>
      <c r="B22" s="1">
        <v>1</v>
      </c>
      <c r="C22" s="8">
        <v>2</v>
      </c>
      <c r="D22" s="2">
        <v>3.02</v>
      </c>
      <c r="E22" s="2">
        <v>3.02</v>
      </c>
      <c r="F22" s="2">
        <v>0.63</v>
      </c>
      <c r="G22" s="2">
        <v>0.63</v>
      </c>
      <c r="H22" s="2">
        <v>3</v>
      </c>
      <c r="I22" s="2">
        <v>3</v>
      </c>
      <c r="L22" s="3">
        <v>60</v>
      </c>
      <c r="M22" s="3">
        <v>30</v>
      </c>
      <c r="N22" s="9">
        <f t="shared" si="0"/>
        <v>90</v>
      </c>
      <c r="O22" s="9">
        <v>90</v>
      </c>
    </row>
    <row r="23" spans="1:15" x14ac:dyDescent="0.25">
      <c r="A23" s="1" t="s">
        <v>25</v>
      </c>
      <c r="B23" s="1">
        <v>4</v>
      </c>
      <c r="C23" s="8">
        <v>1</v>
      </c>
      <c r="D23" s="2">
        <v>6.77</v>
      </c>
      <c r="E23" s="2">
        <v>5.9874999999999998</v>
      </c>
      <c r="F23" s="2">
        <v>2.29</v>
      </c>
      <c r="G23" s="2">
        <v>1.9775</v>
      </c>
      <c r="H23" s="2">
        <v>8</v>
      </c>
      <c r="I23" s="2">
        <v>7</v>
      </c>
      <c r="L23" s="3">
        <v>300</v>
      </c>
      <c r="M23" s="3">
        <v>75</v>
      </c>
      <c r="N23" s="9">
        <f t="shared" si="0"/>
        <v>375</v>
      </c>
      <c r="O23" s="9">
        <v>240</v>
      </c>
    </row>
    <row r="24" spans="1:15" x14ac:dyDescent="0.25">
      <c r="A24" s="1" t="s">
        <v>26</v>
      </c>
      <c r="B24" s="1">
        <v>1</v>
      </c>
      <c r="C24" s="8">
        <v>1</v>
      </c>
      <c r="D24" s="2">
        <v>5.52</v>
      </c>
      <c r="E24" s="2">
        <v>5.52</v>
      </c>
      <c r="F24" s="2">
        <v>1.25</v>
      </c>
      <c r="G24" s="2">
        <v>1.25</v>
      </c>
      <c r="H24" s="2">
        <v>2</v>
      </c>
      <c r="I24" s="2">
        <v>2</v>
      </c>
      <c r="L24" s="3">
        <v>300</v>
      </c>
      <c r="M24" s="3">
        <f t="shared" si="2"/>
        <v>75</v>
      </c>
      <c r="N24" s="9">
        <f t="shared" si="0"/>
        <v>375</v>
      </c>
      <c r="O24" s="9">
        <v>240</v>
      </c>
    </row>
    <row r="25" spans="1:15" x14ac:dyDescent="0.25">
      <c r="A25" s="1" t="s">
        <v>27</v>
      </c>
      <c r="B25" s="1">
        <v>4</v>
      </c>
      <c r="C25" s="8">
        <v>1</v>
      </c>
      <c r="D25" s="2">
        <v>0.79</v>
      </c>
      <c r="E25" s="2">
        <v>1.41499999999999</v>
      </c>
      <c r="F25" s="2">
        <v>0.01</v>
      </c>
      <c r="G25" s="2">
        <v>0.17249999999999999</v>
      </c>
      <c r="H25" s="2">
        <v>0.5</v>
      </c>
      <c r="I25" s="2">
        <v>1.3125</v>
      </c>
      <c r="L25" s="3">
        <v>45</v>
      </c>
      <c r="M25" s="3">
        <v>30</v>
      </c>
      <c r="N25" s="9">
        <f t="shared" si="0"/>
        <v>75</v>
      </c>
      <c r="O25" s="9">
        <v>150</v>
      </c>
    </row>
    <row r="26" spans="1:15" x14ac:dyDescent="0.25">
      <c r="A26" s="1" t="s">
        <v>27</v>
      </c>
      <c r="B26" s="1">
        <v>1</v>
      </c>
      <c r="C26" s="8">
        <v>2</v>
      </c>
      <c r="D26" s="2">
        <v>5.75</v>
      </c>
      <c r="E26" s="2">
        <v>5.75</v>
      </c>
      <c r="F26" s="2">
        <v>2.42</v>
      </c>
      <c r="G26" s="2">
        <v>2.42</v>
      </c>
      <c r="H26" s="2">
        <v>4</v>
      </c>
      <c r="I26" s="2">
        <v>4</v>
      </c>
      <c r="L26" s="3">
        <v>45</v>
      </c>
      <c r="M26" s="3">
        <v>30</v>
      </c>
      <c r="N26" s="9">
        <f t="shared" si="0"/>
        <v>75</v>
      </c>
      <c r="O26" s="9">
        <v>150</v>
      </c>
    </row>
    <row r="27" spans="1:15" x14ac:dyDescent="0.25">
      <c r="A27" s="1" t="s">
        <v>28</v>
      </c>
      <c r="B27" s="1">
        <v>1718</v>
      </c>
      <c r="C27" s="8">
        <v>1</v>
      </c>
      <c r="D27" s="2">
        <v>2.8</v>
      </c>
      <c r="E27" s="2">
        <v>3.6068102444703198</v>
      </c>
      <c r="F27" s="2">
        <v>0.08</v>
      </c>
      <c r="G27" s="2">
        <v>0.439033760186263</v>
      </c>
      <c r="H27" s="2">
        <v>4</v>
      </c>
      <c r="I27" s="2">
        <v>5.5022118742724002</v>
      </c>
      <c r="L27" s="3">
        <v>150</v>
      </c>
      <c r="M27" s="3">
        <v>45</v>
      </c>
      <c r="N27" s="9">
        <f t="shared" si="0"/>
        <v>195</v>
      </c>
      <c r="O27" s="9">
        <v>180</v>
      </c>
    </row>
    <row r="28" spans="1:15" x14ac:dyDescent="0.25">
      <c r="A28" s="1" t="s">
        <v>28</v>
      </c>
      <c r="B28" s="1">
        <v>645</v>
      </c>
      <c r="C28" s="8">
        <v>2</v>
      </c>
      <c r="D28" s="2">
        <v>2.82</v>
      </c>
      <c r="E28" s="2">
        <v>3.3336124031007701</v>
      </c>
      <c r="F28" s="2">
        <v>0.17</v>
      </c>
      <c r="G28" s="2">
        <v>0.68584496124031102</v>
      </c>
      <c r="H28" s="2">
        <v>1.5</v>
      </c>
      <c r="I28" s="2">
        <v>2.8566976744186001</v>
      </c>
      <c r="L28" s="3">
        <v>150</v>
      </c>
      <c r="M28" s="3">
        <v>45</v>
      </c>
      <c r="N28" s="9">
        <f t="shared" si="0"/>
        <v>195</v>
      </c>
      <c r="O28" s="9">
        <v>180</v>
      </c>
    </row>
    <row r="29" spans="1:15" x14ac:dyDescent="0.25">
      <c r="A29" s="1" t="s">
        <v>28</v>
      </c>
      <c r="B29" s="1">
        <v>3</v>
      </c>
      <c r="C29" s="8">
        <v>3</v>
      </c>
      <c r="D29" s="2">
        <v>6.57</v>
      </c>
      <c r="E29" s="2">
        <v>9.4733333333333292</v>
      </c>
      <c r="F29" s="2">
        <v>0.75</v>
      </c>
      <c r="G29" s="2">
        <v>0.97333333333333305</v>
      </c>
      <c r="H29" s="2">
        <v>5</v>
      </c>
      <c r="I29" s="2">
        <v>3.6666666666666599</v>
      </c>
      <c r="L29" s="3">
        <v>150</v>
      </c>
      <c r="M29" s="3">
        <f t="shared" si="2"/>
        <v>45</v>
      </c>
      <c r="N29" s="9">
        <f t="shared" si="0"/>
        <v>195</v>
      </c>
      <c r="O29" s="9">
        <v>180</v>
      </c>
    </row>
    <row r="30" spans="1:15" x14ac:dyDescent="0.25">
      <c r="A30" s="1" t="s">
        <v>29</v>
      </c>
      <c r="B30" s="1">
        <v>256</v>
      </c>
      <c r="C30" s="8">
        <v>1</v>
      </c>
      <c r="D30" s="2">
        <v>3.59</v>
      </c>
      <c r="E30" s="2">
        <v>4.2953124999999899</v>
      </c>
      <c r="F30" s="2">
        <v>0</v>
      </c>
      <c r="G30" s="2">
        <v>0.371523437499999</v>
      </c>
      <c r="H30" s="2">
        <v>3</v>
      </c>
      <c r="I30" s="2">
        <v>4.415</v>
      </c>
      <c r="L30" s="3">
        <v>190</v>
      </c>
      <c r="M30" s="3">
        <v>30</v>
      </c>
      <c r="N30" s="9">
        <f t="shared" si="0"/>
        <v>220</v>
      </c>
      <c r="O30" s="9">
        <v>200</v>
      </c>
    </row>
    <row r="31" spans="1:15" x14ac:dyDescent="0.25">
      <c r="A31" s="1" t="s">
        <v>29</v>
      </c>
      <c r="B31" s="1">
        <v>11</v>
      </c>
      <c r="C31" s="8">
        <v>2</v>
      </c>
      <c r="D31" s="2">
        <v>9.33</v>
      </c>
      <c r="E31" s="2">
        <v>12.973636363636301</v>
      </c>
      <c r="F31" s="2">
        <v>0</v>
      </c>
      <c r="G31" s="2">
        <v>1.8154545454545401</v>
      </c>
      <c r="H31" s="2">
        <v>8</v>
      </c>
      <c r="I31" s="2">
        <v>9.0909090909090899</v>
      </c>
      <c r="L31" s="3">
        <v>190</v>
      </c>
      <c r="M31" s="3">
        <v>30</v>
      </c>
      <c r="N31" s="9">
        <f t="shared" si="0"/>
        <v>220</v>
      </c>
      <c r="O31" s="9">
        <v>200</v>
      </c>
    </row>
    <row r="32" spans="1:15" x14ac:dyDescent="0.25">
      <c r="A32" s="1" t="s">
        <v>30</v>
      </c>
      <c r="B32" s="1">
        <v>209</v>
      </c>
      <c r="C32" s="8">
        <v>1</v>
      </c>
      <c r="D32" s="2">
        <v>2.67</v>
      </c>
      <c r="E32" s="2">
        <v>3.6464114832535799</v>
      </c>
      <c r="F32" s="2">
        <v>0.02</v>
      </c>
      <c r="G32" s="2">
        <v>0.37114832535885101</v>
      </c>
      <c r="H32" s="2">
        <v>4</v>
      </c>
      <c r="I32" s="2">
        <v>5.5729665071770302</v>
      </c>
      <c r="L32" s="3">
        <v>120</v>
      </c>
      <c r="M32" s="3">
        <v>30</v>
      </c>
      <c r="N32" s="9">
        <f t="shared" si="0"/>
        <v>150</v>
      </c>
      <c r="O32" s="9">
        <v>180</v>
      </c>
    </row>
    <row r="33" spans="1:15" x14ac:dyDescent="0.25">
      <c r="A33" s="1" t="s">
        <v>30</v>
      </c>
      <c r="B33" s="1">
        <v>3</v>
      </c>
      <c r="C33" s="8">
        <v>2</v>
      </c>
      <c r="D33" s="2">
        <v>6.8</v>
      </c>
      <c r="E33" s="2">
        <v>4.6666666666666599</v>
      </c>
      <c r="F33" s="2">
        <v>0.15</v>
      </c>
      <c r="G33" s="2">
        <v>0.12666666666666601</v>
      </c>
      <c r="H33" s="2">
        <v>6.5</v>
      </c>
      <c r="I33" s="2">
        <v>6.5</v>
      </c>
      <c r="L33" s="3">
        <v>120</v>
      </c>
      <c r="M33" s="3">
        <v>30</v>
      </c>
      <c r="N33" s="9">
        <f t="shared" si="0"/>
        <v>150</v>
      </c>
      <c r="O33" s="9">
        <v>180</v>
      </c>
    </row>
    <row r="34" spans="1:15" x14ac:dyDescent="0.25">
      <c r="A34" s="1" t="s">
        <v>31</v>
      </c>
      <c r="B34" s="1">
        <v>49</v>
      </c>
      <c r="C34" s="8">
        <v>1</v>
      </c>
      <c r="D34" s="2">
        <v>2.25</v>
      </c>
      <c r="E34" s="2">
        <v>2.8748979591836701</v>
      </c>
      <c r="F34" s="2">
        <v>0</v>
      </c>
      <c r="G34" s="2">
        <v>0.32469387755102003</v>
      </c>
      <c r="H34" s="2">
        <v>3</v>
      </c>
      <c r="I34" s="2">
        <v>3.8102040816326501</v>
      </c>
      <c r="L34" s="3">
        <v>120</v>
      </c>
      <c r="M34" s="3">
        <v>30</v>
      </c>
      <c r="N34" s="9">
        <f t="shared" si="0"/>
        <v>150</v>
      </c>
      <c r="O34" s="9">
        <v>120</v>
      </c>
    </row>
    <row r="35" spans="1:15" x14ac:dyDescent="0.25">
      <c r="A35" s="1" t="s">
        <v>32</v>
      </c>
      <c r="B35" s="1">
        <v>16</v>
      </c>
      <c r="C35" s="8">
        <v>1</v>
      </c>
      <c r="D35" s="2">
        <v>1.9950000000000001</v>
      </c>
      <c r="E35" s="2">
        <v>3.1206249999999902</v>
      </c>
      <c r="F35" s="2">
        <v>0</v>
      </c>
      <c r="G35" s="2">
        <v>0.12125</v>
      </c>
      <c r="H35" s="2">
        <v>3</v>
      </c>
      <c r="I35" s="2">
        <v>7.5062499999999996</v>
      </c>
      <c r="L35" s="3">
        <v>120</v>
      </c>
      <c r="M35" s="3">
        <v>30</v>
      </c>
      <c r="N35" s="9">
        <f t="shared" si="0"/>
        <v>150</v>
      </c>
      <c r="O35" s="9">
        <v>120</v>
      </c>
    </row>
    <row r="36" spans="1:15" x14ac:dyDescent="0.25">
      <c r="A36" s="1" t="s">
        <v>33</v>
      </c>
      <c r="B36" s="1">
        <v>1</v>
      </c>
      <c r="C36" s="8">
        <v>1</v>
      </c>
      <c r="D36" s="2">
        <v>0.75</v>
      </c>
      <c r="E36" s="2">
        <v>0.75</v>
      </c>
      <c r="F36" s="2">
        <v>0.4</v>
      </c>
      <c r="G36" s="2">
        <v>0.4</v>
      </c>
      <c r="H36" s="2">
        <v>7</v>
      </c>
      <c r="I36" s="2">
        <v>7</v>
      </c>
      <c r="L36" s="3">
        <f t="shared" si="1"/>
        <v>45</v>
      </c>
      <c r="M36" s="3">
        <v>30</v>
      </c>
      <c r="N36" s="9">
        <f t="shared" si="0"/>
        <v>75</v>
      </c>
      <c r="O36" s="9">
        <v>180</v>
      </c>
    </row>
    <row r="37" spans="1:15" x14ac:dyDescent="0.25">
      <c r="A37" s="1" t="s">
        <v>34</v>
      </c>
      <c r="B37" s="1">
        <v>16</v>
      </c>
      <c r="C37" s="8">
        <v>1</v>
      </c>
      <c r="D37" s="2">
        <v>1.81</v>
      </c>
      <c r="E37" s="2">
        <v>1.879375</v>
      </c>
      <c r="F37" s="2">
        <v>0.25</v>
      </c>
      <c r="G37" s="2">
        <v>0.46687499999999998</v>
      </c>
      <c r="H37" s="2">
        <v>6</v>
      </c>
      <c r="I37" s="2">
        <v>6.625</v>
      </c>
      <c r="L37" s="3">
        <v>110</v>
      </c>
      <c r="M37" s="3">
        <v>30</v>
      </c>
      <c r="N37" s="9">
        <f t="shared" si="0"/>
        <v>140</v>
      </c>
      <c r="O37" s="9">
        <v>180</v>
      </c>
    </row>
    <row r="38" spans="1:15" x14ac:dyDescent="0.25">
      <c r="A38" s="1" t="s">
        <v>34</v>
      </c>
      <c r="B38" s="1">
        <v>6</v>
      </c>
      <c r="C38" s="8">
        <v>2</v>
      </c>
      <c r="D38" s="2">
        <v>3.4350000000000001</v>
      </c>
      <c r="E38" s="2">
        <v>2.7716666666666598</v>
      </c>
      <c r="F38" s="2">
        <v>1.4999999999999999E-2</v>
      </c>
      <c r="G38" s="2">
        <v>7.4999999999999997E-2</v>
      </c>
      <c r="H38" s="2">
        <v>2.6</v>
      </c>
      <c r="I38" s="2">
        <v>2.5666666666666602</v>
      </c>
      <c r="L38" s="3">
        <v>200</v>
      </c>
      <c r="M38" s="3">
        <v>30</v>
      </c>
      <c r="N38" s="9">
        <f t="shared" si="0"/>
        <v>230</v>
      </c>
      <c r="O38" s="9">
        <v>180</v>
      </c>
    </row>
    <row r="39" spans="1:15" x14ac:dyDescent="0.25">
      <c r="A39" s="1" t="s">
        <v>34</v>
      </c>
      <c r="B39" s="1">
        <v>1</v>
      </c>
      <c r="C39" s="8">
        <v>3</v>
      </c>
      <c r="D39" s="2">
        <v>3.68</v>
      </c>
      <c r="E39" s="2">
        <v>3.68</v>
      </c>
      <c r="F39" s="2">
        <v>0.17</v>
      </c>
      <c r="G39" s="2">
        <v>0.17</v>
      </c>
      <c r="H39" s="2">
        <v>0.2</v>
      </c>
      <c r="I39" s="2">
        <v>0.2</v>
      </c>
      <c r="L39" s="3">
        <v>200</v>
      </c>
      <c r="M39" s="3">
        <v>30</v>
      </c>
      <c r="N39" s="9">
        <f t="shared" si="0"/>
        <v>230</v>
      </c>
      <c r="O39" s="9">
        <v>180</v>
      </c>
    </row>
    <row r="40" spans="1:15" x14ac:dyDescent="0.25">
      <c r="A40" s="1" t="s">
        <v>34</v>
      </c>
      <c r="B40" s="1">
        <v>1</v>
      </c>
      <c r="C40" s="8">
        <v>5</v>
      </c>
      <c r="D40" s="2">
        <v>3.4</v>
      </c>
      <c r="E40" s="2">
        <v>0.33</v>
      </c>
      <c r="F40" s="2">
        <v>0</v>
      </c>
      <c r="G40" s="2">
        <v>0</v>
      </c>
      <c r="H40" s="2">
        <v>0</v>
      </c>
      <c r="I40" s="2">
        <v>0</v>
      </c>
      <c r="L40" s="3">
        <v>200</v>
      </c>
      <c r="M40" s="3">
        <v>30</v>
      </c>
      <c r="N40" s="9">
        <f t="shared" si="0"/>
        <v>230</v>
      </c>
      <c r="O40" s="9">
        <v>180</v>
      </c>
    </row>
    <row r="41" spans="1:15" x14ac:dyDescent="0.25">
      <c r="A41" s="1" t="s">
        <v>35</v>
      </c>
      <c r="B41" s="1">
        <v>5</v>
      </c>
      <c r="C41" s="8">
        <v>1</v>
      </c>
      <c r="D41" s="2">
        <v>3.92</v>
      </c>
      <c r="E41" s="2">
        <v>3.6859999999999999</v>
      </c>
      <c r="F41" s="2">
        <v>0.57999999999999996</v>
      </c>
      <c r="G41" s="2">
        <v>0.46600000000000003</v>
      </c>
      <c r="H41" s="2">
        <v>1</v>
      </c>
      <c r="I41" s="2">
        <v>0.94</v>
      </c>
      <c r="L41" s="3">
        <v>200</v>
      </c>
      <c r="M41" s="3">
        <v>30</v>
      </c>
      <c r="N41" s="9">
        <f t="shared" si="0"/>
        <v>230</v>
      </c>
      <c r="O41" s="9">
        <v>180</v>
      </c>
    </row>
    <row r="42" spans="1:15" x14ac:dyDescent="0.25">
      <c r="A42" s="1" t="s">
        <v>36</v>
      </c>
      <c r="B42" s="1">
        <v>68</v>
      </c>
      <c r="C42" s="8">
        <v>1</v>
      </c>
      <c r="D42" s="2">
        <v>3.09</v>
      </c>
      <c r="E42" s="2">
        <v>3.8183823529411698</v>
      </c>
      <c r="F42" s="2">
        <v>0</v>
      </c>
      <c r="G42" s="2">
        <v>0.28558823529411698</v>
      </c>
      <c r="H42" s="2">
        <v>4</v>
      </c>
      <c r="I42" s="2">
        <v>5.2058823529411704</v>
      </c>
      <c r="L42" s="3">
        <v>150</v>
      </c>
      <c r="M42" s="3">
        <v>30</v>
      </c>
      <c r="N42" s="9">
        <f t="shared" si="0"/>
        <v>180</v>
      </c>
      <c r="O42" s="9">
        <v>180</v>
      </c>
    </row>
    <row r="43" spans="1:15" x14ac:dyDescent="0.25">
      <c r="A43" s="1" t="s">
        <v>36</v>
      </c>
      <c r="B43" s="1">
        <v>1</v>
      </c>
      <c r="C43" s="8">
        <v>2</v>
      </c>
      <c r="D43" s="2">
        <v>2.1800000000000002</v>
      </c>
      <c r="E43" s="2">
        <v>2.1800000000000002</v>
      </c>
      <c r="F43" s="2">
        <v>0</v>
      </c>
      <c r="G43" s="2">
        <v>0</v>
      </c>
      <c r="H43" s="2">
        <v>7</v>
      </c>
      <c r="I43" s="2">
        <v>7</v>
      </c>
      <c r="L43" s="3">
        <v>150</v>
      </c>
      <c r="M43" s="3">
        <v>30</v>
      </c>
      <c r="N43" s="9">
        <f t="shared" si="0"/>
        <v>180</v>
      </c>
      <c r="O43" s="9">
        <v>180</v>
      </c>
    </row>
    <row r="44" spans="1:15" x14ac:dyDescent="0.25">
      <c r="A44" s="1" t="s">
        <v>37</v>
      </c>
      <c r="B44" s="1">
        <v>316</v>
      </c>
      <c r="C44" s="8">
        <v>1</v>
      </c>
      <c r="D44" s="2">
        <v>1.75</v>
      </c>
      <c r="E44" s="2">
        <v>2.3140506329113899</v>
      </c>
      <c r="F44" s="2">
        <v>0</v>
      </c>
      <c r="G44" s="2">
        <v>0.40825949367088599</v>
      </c>
      <c r="H44" s="2">
        <v>1</v>
      </c>
      <c r="I44" s="2">
        <v>2.30395569620253</v>
      </c>
      <c r="L44" s="3">
        <v>120</v>
      </c>
      <c r="M44" s="3">
        <v>30</v>
      </c>
      <c r="N44" s="9">
        <f t="shared" si="0"/>
        <v>150</v>
      </c>
      <c r="O44" s="9">
        <v>180</v>
      </c>
    </row>
    <row r="45" spans="1:15" x14ac:dyDescent="0.25">
      <c r="A45" s="1" t="s">
        <v>37</v>
      </c>
      <c r="B45" s="1">
        <v>1</v>
      </c>
      <c r="C45" s="8">
        <v>2</v>
      </c>
      <c r="D45" s="2">
        <v>3.47</v>
      </c>
      <c r="E45" s="2">
        <v>3.47</v>
      </c>
      <c r="F45" s="2">
        <v>1.55</v>
      </c>
      <c r="G45" s="2">
        <v>1.55</v>
      </c>
      <c r="H45" s="2">
        <v>2</v>
      </c>
      <c r="I45" s="2">
        <v>2</v>
      </c>
      <c r="L45" s="3">
        <v>120</v>
      </c>
      <c r="M45" s="3">
        <v>30</v>
      </c>
      <c r="N45" s="9">
        <f t="shared" si="0"/>
        <v>150</v>
      </c>
      <c r="O45" s="9">
        <v>180</v>
      </c>
    </row>
    <row r="46" spans="1:15" x14ac:dyDescent="0.25">
      <c r="A46" s="1" t="s">
        <v>38</v>
      </c>
      <c r="B46" s="1">
        <v>2375</v>
      </c>
      <c r="C46" s="8">
        <v>1</v>
      </c>
      <c r="D46" s="2">
        <v>2.8</v>
      </c>
      <c r="E46" s="2">
        <v>3.5202063157894701</v>
      </c>
      <c r="F46" s="2">
        <v>0</v>
      </c>
      <c r="G46" s="2">
        <v>0.38034947368421101</v>
      </c>
      <c r="H46" s="2">
        <v>3</v>
      </c>
      <c r="I46" s="2">
        <v>3.8081684210526299</v>
      </c>
      <c r="L46" s="3">
        <v>160</v>
      </c>
      <c r="M46" s="3">
        <v>30</v>
      </c>
      <c r="N46" s="9">
        <f t="shared" si="0"/>
        <v>190</v>
      </c>
      <c r="O46" s="9">
        <v>180</v>
      </c>
    </row>
    <row r="47" spans="1:15" x14ac:dyDescent="0.25">
      <c r="A47" s="1" t="s">
        <v>38</v>
      </c>
      <c r="B47" s="1">
        <v>17</v>
      </c>
      <c r="C47" s="8">
        <v>2</v>
      </c>
      <c r="D47" s="2">
        <v>5.18</v>
      </c>
      <c r="E47" s="2">
        <v>6.2217647058823502</v>
      </c>
      <c r="F47" s="2">
        <v>0.5</v>
      </c>
      <c r="G47" s="2">
        <v>0.54470588235294104</v>
      </c>
      <c r="H47" s="2">
        <v>3</v>
      </c>
      <c r="I47" s="2">
        <v>3.7941176470588198</v>
      </c>
      <c r="L47" s="3">
        <v>160</v>
      </c>
      <c r="M47" s="3">
        <f t="shared" si="2"/>
        <v>30</v>
      </c>
      <c r="N47" s="9">
        <f t="shared" si="0"/>
        <v>190</v>
      </c>
      <c r="O47" s="9">
        <v>180</v>
      </c>
    </row>
    <row r="48" spans="1:15" x14ac:dyDescent="0.25">
      <c r="A48" s="1" t="s">
        <v>39</v>
      </c>
      <c r="B48" s="1">
        <v>264</v>
      </c>
      <c r="C48" s="8">
        <v>1</v>
      </c>
      <c r="D48" s="2">
        <v>1.76</v>
      </c>
      <c r="E48" s="2">
        <v>2.1496969696969601</v>
      </c>
      <c r="F48" s="2">
        <v>7.4999999999999997E-2</v>
      </c>
      <c r="G48" s="2">
        <v>0.28238636363636299</v>
      </c>
      <c r="H48" s="2">
        <v>4</v>
      </c>
      <c r="I48" s="2">
        <v>4.37083333333333</v>
      </c>
      <c r="L48" s="3">
        <v>160</v>
      </c>
      <c r="M48" s="3">
        <v>30</v>
      </c>
      <c r="N48" s="9">
        <f t="shared" si="0"/>
        <v>190</v>
      </c>
      <c r="O48" s="9">
        <v>150</v>
      </c>
    </row>
    <row r="49" spans="1:15" x14ac:dyDescent="0.25">
      <c r="A49" s="1" t="s">
        <v>39</v>
      </c>
      <c r="B49" s="1">
        <v>1</v>
      </c>
      <c r="C49" s="8">
        <v>2</v>
      </c>
      <c r="D49" s="2">
        <v>6.87</v>
      </c>
      <c r="E49" s="2">
        <v>6.87</v>
      </c>
      <c r="F49" s="2">
        <v>0.33</v>
      </c>
      <c r="G49" s="2">
        <v>0.33</v>
      </c>
      <c r="H49" s="2">
        <v>4</v>
      </c>
      <c r="I49" s="2">
        <v>4</v>
      </c>
      <c r="L49" s="3">
        <v>160</v>
      </c>
      <c r="M49" s="3">
        <v>30</v>
      </c>
      <c r="N49" s="9">
        <f t="shared" si="0"/>
        <v>190</v>
      </c>
      <c r="O49" s="9">
        <v>150</v>
      </c>
    </row>
    <row r="50" spans="1:15" x14ac:dyDescent="0.25">
      <c r="A50" s="1" t="s">
        <v>40</v>
      </c>
      <c r="B50" s="1">
        <v>113</v>
      </c>
      <c r="C50" s="8">
        <v>1</v>
      </c>
      <c r="D50" s="2">
        <v>1.3</v>
      </c>
      <c r="E50" s="2">
        <v>1.60681415929203</v>
      </c>
      <c r="F50" s="2">
        <v>0.02</v>
      </c>
      <c r="G50" s="2">
        <v>0.17212389380530899</v>
      </c>
      <c r="H50" s="2">
        <v>2</v>
      </c>
      <c r="I50" s="2">
        <v>4.3092920353982302</v>
      </c>
      <c r="L50" s="3">
        <v>75</v>
      </c>
      <c r="M50" s="3">
        <v>30</v>
      </c>
      <c r="N50" s="9">
        <f t="shared" si="0"/>
        <v>105</v>
      </c>
      <c r="O50" s="9">
        <v>180</v>
      </c>
    </row>
    <row r="51" spans="1:15" x14ac:dyDescent="0.25">
      <c r="A51" s="1" t="s">
        <v>41</v>
      </c>
      <c r="B51" s="1">
        <v>19</v>
      </c>
      <c r="C51" s="8">
        <v>1</v>
      </c>
      <c r="D51" s="2">
        <v>2.27</v>
      </c>
      <c r="E51" s="2">
        <v>2.4973684210526299</v>
      </c>
      <c r="F51" s="2">
        <v>0.17</v>
      </c>
      <c r="G51" s="2">
        <v>0.35842105263157897</v>
      </c>
      <c r="H51" s="2">
        <v>3</v>
      </c>
      <c r="I51" s="2">
        <v>5.4736842105263097</v>
      </c>
      <c r="L51" s="3">
        <v>110</v>
      </c>
      <c r="M51" s="3">
        <v>30</v>
      </c>
      <c r="N51" s="9">
        <f t="shared" si="0"/>
        <v>140</v>
      </c>
      <c r="O51" s="9">
        <v>200</v>
      </c>
    </row>
    <row r="52" spans="1:15" x14ac:dyDescent="0.25">
      <c r="A52" s="1" t="s">
        <v>42</v>
      </c>
      <c r="B52" s="1">
        <v>37</v>
      </c>
      <c r="C52" s="8">
        <v>1</v>
      </c>
      <c r="D52" s="2">
        <v>1.83</v>
      </c>
      <c r="E52" s="2">
        <v>1.95972972972972</v>
      </c>
      <c r="F52" s="2">
        <v>0.08</v>
      </c>
      <c r="G52" s="2">
        <v>0.28891891891891802</v>
      </c>
      <c r="H52" s="2">
        <v>5</v>
      </c>
      <c r="I52" s="2">
        <v>4.6283783783783701</v>
      </c>
      <c r="L52" s="3">
        <v>110</v>
      </c>
      <c r="M52" s="3">
        <v>30</v>
      </c>
      <c r="N52" s="9">
        <f t="shared" si="0"/>
        <v>140</v>
      </c>
      <c r="O52" s="9">
        <v>200</v>
      </c>
    </row>
    <row r="53" spans="1:15" x14ac:dyDescent="0.25">
      <c r="A53" s="1" t="s">
        <v>43</v>
      </c>
      <c r="B53" s="1">
        <v>4430</v>
      </c>
      <c r="C53" s="8">
        <v>1</v>
      </c>
      <c r="D53" s="2">
        <v>2.5299999999999998</v>
      </c>
      <c r="E53" s="2">
        <v>3.3814221218961702</v>
      </c>
      <c r="F53" s="2">
        <v>0</v>
      </c>
      <c r="G53" s="2">
        <v>0.33632054176072101</v>
      </c>
      <c r="H53" s="2">
        <v>3</v>
      </c>
      <c r="I53" s="2">
        <v>4.2300564334085697</v>
      </c>
      <c r="L53" s="3">
        <v>140</v>
      </c>
      <c r="M53" s="3">
        <v>30</v>
      </c>
      <c r="N53" s="9">
        <f t="shared" si="0"/>
        <v>170</v>
      </c>
      <c r="O53" s="9">
        <v>90</v>
      </c>
    </row>
    <row r="54" spans="1:15" x14ac:dyDescent="0.25">
      <c r="A54" s="1" t="s">
        <v>43</v>
      </c>
      <c r="B54" s="1">
        <v>327</v>
      </c>
      <c r="C54" s="8">
        <v>2</v>
      </c>
      <c r="D54" s="2">
        <v>2.5499999999999998</v>
      </c>
      <c r="E54" s="2">
        <v>3.2939755351681899</v>
      </c>
      <c r="F54" s="2">
        <v>0.25</v>
      </c>
      <c r="G54" s="2">
        <v>0.48963302752293503</v>
      </c>
      <c r="H54" s="2">
        <v>1</v>
      </c>
      <c r="I54" s="2">
        <v>2.2966360856269099</v>
      </c>
      <c r="L54" s="3">
        <v>140</v>
      </c>
      <c r="M54" s="3">
        <v>30</v>
      </c>
      <c r="N54" s="9">
        <f t="shared" si="0"/>
        <v>170</v>
      </c>
      <c r="O54" s="9">
        <v>90</v>
      </c>
    </row>
    <row r="55" spans="1:15" x14ac:dyDescent="0.25">
      <c r="A55" s="1" t="s">
        <v>43</v>
      </c>
      <c r="B55" s="1">
        <v>2</v>
      </c>
      <c r="C55" s="8">
        <v>3</v>
      </c>
      <c r="D55" s="2">
        <v>2.2149999999999999</v>
      </c>
      <c r="E55" s="2">
        <v>2.2149999999999999</v>
      </c>
      <c r="F55" s="2">
        <v>0</v>
      </c>
      <c r="G55" s="2">
        <v>0</v>
      </c>
      <c r="H55" s="2">
        <v>0.75</v>
      </c>
      <c r="I55" s="2">
        <v>0.75</v>
      </c>
      <c r="L55" s="3">
        <v>140</v>
      </c>
      <c r="M55" s="3">
        <v>30</v>
      </c>
      <c r="N55" s="9">
        <f t="shared" si="0"/>
        <v>170</v>
      </c>
      <c r="O55" s="9">
        <v>90</v>
      </c>
    </row>
    <row r="56" spans="1:15" x14ac:dyDescent="0.25">
      <c r="A56" s="1" t="s">
        <v>44</v>
      </c>
      <c r="B56" s="1">
        <v>1</v>
      </c>
      <c r="C56" s="8">
        <v>1</v>
      </c>
      <c r="D56" s="2">
        <v>8</v>
      </c>
      <c r="E56" s="2">
        <v>8</v>
      </c>
      <c r="F56" s="2">
        <v>7.0000000000000007E-2</v>
      </c>
      <c r="G56" s="2">
        <v>7.0000000000000007E-2</v>
      </c>
      <c r="H56" s="2">
        <v>4</v>
      </c>
      <c r="I56" s="2">
        <v>4</v>
      </c>
      <c r="L56" s="3">
        <v>120</v>
      </c>
      <c r="M56" s="3">
        <v>30</v>
      </c>
      <c r="N56" s="9">
        <f t="shared" si="0"/>
        <v>150</v>
      </c>
      <c r="O56" s="9">
        <v>180</v>
      </c>
    </row>
    <row r="57" spans="1:15" x14ac:dyDescent="0.25">
      <c r="A57" s="1" t="s">
        <v>44</v>
      </c>
      <c r="B57" s="1">
        <v>2</v>
      </c>
      <c r="C57" s="8">
        <v>2</v>
      </c>
      <c r="D57" s="2">
        <v>0.3</v>
      </c>
      <c r="E57" s="2">
        <v>0.3</v>
      </c>
      <c r="F57" s="2">
        <v>0.125</v>
      </c>
      <c r="G57" s="2">
        <v>0.125</v>
      </c>
      <c r="H57" s="2">
        <v>3</v>
      </c>
      <c r="I57" s="2">
        <v>3</v>
      </c>
      <c r="L57" s="3">
        <v>120</v>
      </c>
      <c r="M57" s="3">
        <v>30</v>
      </c>
      <c r="N57" s="9">
        <f t="shared" si="0"/>
        <v>150</v>
      </c>
      <c r="O57" s="9">
        <v>180</v>
      </c>
    </row>
    <row r="58" spans="1:15" x14ac:dyDescent="0.25">
      <c r="A58" s="1" t="s">
        <v>45</v>
      </c>
      <c r="B58" s="1">
        <v>1</v>
      </c>
      <c r="C58" s="8">
        <v>1</v>
      </c>
      <c r="D58" s="2">
        <v>7.08</v>
      </c>
      <c r="E58" s="2">
        <v>7.08</v>
      </c>
      <c r="F58" s="2">
        <v>0</v>
      </c>
      <c r="G58" s="2">
        <v>0</v>
      </c>
      <c r="H58" s="2">
        <v>5</v>
      </c>
      <c r="I58" s="2">
        <v>5</v>
      </c>
      <c r="L58" s="3">
        <v>150</v>
      </c>
      <c r="M58" s="3">
        <v>30</v>
      </c>
      <c r="N58" s="9">
        <f t="shared" si="0"/>
        <v>180</v>
      </c>
      <c r="O58" s="9">
        <v>180</v>
      </c>
    </row>
    <row r="59" spans="1:15" x14ac:dyDescent="0.25">
      <c r="A59" s="1" t="s">
        <v>46</v>
      </c>
      <c r="B59" s="1">
        <v>11</v>
      </c>
      <c r="C59" s="8">
        <v>1</v>
      </c>
      <c r="D59" s="2">
        <v>2.4700000000000002</v>
      </c>
      <c r="E59" s="2">
        <v>2.6090909090909</v>
      </c>
      <c r="F59" s="2">
        <v>0</v>
      </c>
      <c r="G59" s="2">
        <v>0.29181818181818098</v>
      </c>
      <c r="H59" s="2">
        <v>3</v>
      </c>
      <c r="I59" s="2">
        <v>3.4090909090908998</v>
      </c>
      <c r="L59" s="3">
        <v>150</v>
      </c>
      <c r="M59" s="3">
        <v>30</v>
      </c>
      <c r="N59" s="9">
        <f t="shared" si="0"/>
        <v>180</v>
      </c>
      <c r="O59" s="9">
        <v>120</v>
      </c>
    </row>
    <row r="60" spans="1:15" x14ac:dyDescent="0.25">
      <c r="A60" s="1" t="s">
        <v>47</v>
      </c>
      <c r="B60" s="1">
        <v>53</v>
      </c>
      <c r="C60" s="8">
        <v>1</v>
      </c>
      <c r="D60" s="2">
        <v>2.67</v>
      </c>
      <c r="E60" s="2">
        <v>3.7203773584905599</v>
      </c>
      <c r="F60" s="2">
        <v>0</v>
      </c>
      <c r="G60" s="2">
        <v>0.46452830188679201</v>
      </c>
      <c r="H60" s="2">
        <v>4</v>
      </c>
      <c r="I60" s="2">
        <v>5.44226415094339</v>
      </c>
      <c r="L60" s="3">
        <v>150</v>
      </c>
      <c r="M60" s="3">
        <v>30</v>
      </c>
      <c r="N60" s="9">
        <f t="shared" si="0"/>
        <v>180</v>
      </c>
      <c r="O60" s="9">
        <v>120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E409ECD82ADC54E8CBF5684A7D8D2B6" ma:contentTypeVersion="14" ma:contentTypeDescription="Create a new document." ma:contentTypeScope="" ma:versionID="d99b4b503991d99084a3e76d0a34211e">
  <xsd:schema xmlns:xsd="http://www.w3.org/2001/XMLSchema" xmlns:xs="http://www.w3.org/2001/XMLSchema" xmlns:p="http://schemas.microsoft.com/office/2006/metadata/properties" xmlns:ns2="84f88c47-60d9-4085-9293-81bf575d15ab" xmlns:ns3="7d0d7bc9-1853-448b-a1aa-4a72bee359f5" targetNamespace="http://schemas.microsoft.com/office/2006/metadata/properties" ma:root="true" ma:fieldsID="b6d7894f2d2b80b45c6f005a0d4620fc" ns2:_="" ns3:_="">
    <xsd:import namespace="84f88c47-60d9-4085-9293-81bf575d15ab"/>
    <xsd:import namespace="7d0d7bc9-1853-448b-a1aa-4a72bee359f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Approved" minOccurs="0"/>
                <xsd:element ref="ns2:MediaServiceLocation" minOccurs="0"/>
                <xsd:element ref="ns2:_Flow_SignoffStatus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4f88c47-60d9-4085-9293-81bf575d15a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Approved" ma:index="17" nillable="true" ma:displayName="Approved" ma:default="No" ma:internalName="Approved">
      <xsd:simpleType>
        <xsd:restriction base="dms:Text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_Flow_SignoffStatus" ma:index="19" nillable="true" ma:displayName="Sign-off status" ma:internalName="Sign_x002d_off_x0020_status">
      <xsd:simpleType>
        <xsd:restriction base="dms:Text"/>
      </xsd:simpleType>
    </xsd:element>
    <xsd:element name="MediaServiceAutoKeyPoints" ma:index="2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0d7bc9-1853-448b-a1aa-4a72bee359f5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8EF57C4-FD8C-4B8E-B2E4-9D8C3D7F80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4f88c47-60d9-4085-9293-81bf575d15ab"/>
    <ds:schemaRef ds:uri="7d0d7bc9-1853-448b-a1aa-4a72bee359f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0FEF519-2298-45CC-8392-09F0E2FC5D6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Job Times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Jason Schneider</cp:lastModifiedBy>
  <dcterms:created xsi:type="dcterms:W3CDTF">2022-10-03T17:35:59Z</dcterms:created>
  <dcterms:modified xsi:type="dcterms:W3CDTF">2022-10-04T16:25:49Z</dcterms:modified>
</cp:coreProperties>
</file>