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ew Metashare SVN\SanjelDocuments\Requirements\Phase 24 - Cost API\"/>
    </mc:Choice>
  </mc:AlternateContent>
  <xr:revisionPtr revIDLastSave="0" documentId="13_ncr:1_{CA4BD367-956C-43E5-BAB1-F0277ECDC87C}" xr6:coauthVersionLast="45" xr6:coauthVersionMax="45" xr10:uidLastSave="{00000000-0000-0000-0000-000000000000}"/>
  <bookViews>
    <workbookView xWindow="28680" yWindow="-120" windowWidth="29040" windowHeight="15840" xr2:uid="{35F7DF92-ECDC-4031-820B-7290DCCA33A2}"/>
  </bookViews>
  <sheets>
    <sheet name="Version 2" sheetId="2" r:id="rId1"/>
    <sheet name="Test Cases" sheetId="3" r:id="rId2"/>
  </sheets>
  <definedNames>
    <definedName name="Blend_Name">'Version 2'!$C$6</definedName>
    <definedName name="Cost">#REF!</definedName>
    <definedName name="CostBreakDown">'Version 2'!$E$9:$L$20</definedName>
    <definedName name="CostRecipe">'Version 2'!$B$9:$D$20</definedName>
    <definedName name="CostUnitPer">'Version 2'!$C$7</definedName>
    <definedName name="Mix_Water">'Version 2'!$C$5</definedName>
    <definedName name="Recipe">#REF!</definedName>
    <definedName name="ServicePointCost">'Version 2'!$E$7:$L$7</definedName>
    <definedName name="Yield">'Version 2'!$C$4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0" i="2" l="1"/>
  <c r="M11" i="2"/>
  <c r="M12" i="2"/>
  <c r="M13" i="2"/>
  <c r="M14" i="2"/>
  <c r="M15" i="2"/>
  <c r="M16" i="2"/>
  <c r="M9" i="2"/>
  <c r="M7" i="2"/>
</calcChain>
</file>

<file path=xl/sharedStrings.xml><?xml version="1.0" encoding="utf-8"?>
<sst xmlns="http://schemas.openxmlformats.org/spreadsheetml/2006/main" count="166" uniqueCount="60">
  <si>
    <t>kg</t>
  </si>
  <si>
    <t>Material</t>
  </si>
  <si>
    <t>Average</t>
  </si>
  <si>
    <t>Edson</t>
  </si>
  <si>
    <t>Red Deer</t>
  </si>
  <si>
    <t>Swift Current</t>
  </si>
  <si>
    <t>Grande Prairie</t>
  </si>
  <si>
    <t>Estevan</t>
  </si>
  <si>
    <t>Fort St. John</t>
  </si>
  <si>
    <t>Lac La Biche</t>
  </si>
  <si>
    <t>Lloydminster</t>
  </si>
  <si>
    <t>Blend Name</t>
  </si>
  <si>
    <t>Cost Unit</t>
  </si>
  <si>
    <t>t</t>
  </si>
  <si>
    <t>m3</t>
  </si>
  <si>
    <t>Cost Unit Per</t>
  </si>
  <si>
    <t>Amount</t>
  </si>
  <si>
    <t>Unit</t>
  </si>
  <si>
    <t>Test Blend</t>
  </si>
  <si>
    <t>AdditiveUOM</t>
  </si>
  <si>
    <t>l/m3</t>
  </si>
  <si>
    <t>% BWOW</t>
  </si>
  <si>
    <t>0:1:0 'G'</t>
  </si>
  <si>
    <t>CFR</t>
  </si>
  <si>
    <t>Percent</t>
  </si>
  <si>
    <t>CFL-4</t>
  </si>
  <si>
    <t>SCA-6</t>
  </si>
  <si>
    <t>SCA-7</t>
  </si>
  <si>
    <t>FWC-2</t>
  </si>
  <si>
    <t>CDF-6P</t>
  </si>
  <si>
    <t>NaCl</t>
  </si>
  <si>
    <t>Yield</t>
  </si>
  <si>
    <t>Mix Water</t>
  </si>
  <si>
    <t>Test Case 1</t>
  </si>
  <si>
    <t>Test Case 2</t>
  </si>
  <si>
    <t>Proteus Pro</t>
  </si>
  <si>
    <t>CFL-3</t>
  </si>
  <si>
    <t>CaCl2</t>
  </si>
  <si>
    <t>CFR-2</t>
  </si>
  <si>
    <t>Test Case 3</t>
  </si>
  <si>
    <t>Thermal 40</t>
  </si>
  <si>
    <t>CFR-5</t>
  </si>
  <si>
    <t>LTR</t>
  </si>
  <si>
    <t>Test Case 4</t>
  </si>
  <si>
    <t>Bulk Ground Silica</t>
  </si>
  <si>
    <t>Kg/m3</t>
  </si>
  <si>
    <t>Visweep DM</t>
  </si>
  <si>
    <t>Water Wet Max</t>
  </si>
  <si>
    <t>WG-3L</t>
  </si>
  <si>
    <t>Test Case 5</t>
  </si>
  <si>
    <t>WG-6P</t>
  </si>
  <si>
    <t>WWS-7P</t>
  </si>
  <si>
    <t>SA-2P</t>
  </si>
  <si>
    <t>MT-1</t>
  </si>
  <si>
    <t>DF-6P</t>
  </si>
  <si>
    <t>MT-2</t>
  </si>
  <si>
    <t>Test Case 6</t>
  </si>
  <si>
    <t>SURFACEmix LW PRO + Adds</t>
  </si>
  <si>
    <t xml:space="preserve">SURFACEmix LW PRO </t>
  </si>
  <si>
    <t>CFL-11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</si>
</sst>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0" fontId="2" fillId="0" borderId="0" xfId="0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1</xdr:row>
      <xdr:rowOff>180975</xdr:rowOff>
    </xdr:from>
    <xdr:to>
      <xdr:col>7</xdr:col>
      <xdr:colOff>66675</xdr:colOff>
      <xdr:row>3</xdr:row>
      <xdr:rowOff>85725</xdr:rowOff>
    </xdr:to>
    <xdr:sp macro="[0]!Sheet2_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F273BE-881A-4606-A683-0FA0776650A0}"/>
            </a:ext>
          </a:extLst>
        </xdr:cNvPr>
        <xdr:cNvSpPr/>
      </xdr:nvSpPr>
      <xdr:spPr>
        <a:xfrm>
          <a:off x="4143375" y="371475"/>
          <a:ext cx="117157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Calculate Cost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139B8-B9B1-48CE-8DEA-0707A178B246}">
  <sheetPr codeName="Sheet2"/>
  <dimension ref="B4:U16"/>
  <sheetViews>
    <sheetView tabSelected="1" workbookViewId="0">
      <selection activeCell="B13" sqref="B13:D16"/>
    </sheetView>
  </sheetViews>
  <sheetFormatPr defaultRowHeight="15" x14ac:dyDescent="0.25"/>
  <cols>
    <col min="2" max="2" width="20.28515625" bestFit="1" customWidth="1"/>
    <col min="3" max="3" width="14.140625" customWidth="1"/>
    <col min="4" max="4" width="13.7109375" customWidth="1"/>
    <col min="5" max="6" width="10.5703125" bestFit="1" customWidth="1"/>
    <col min="7" max="7" width="12.85546875" bestFit="1" customWidth="1"/>
    <col min="8" max="8" width="14" bestFit="1" customWidth="1"/>
    <col min="9" max="9" width="10.5703125" bestFit="1" customWidth="1"/>
    <col min="10" max="10" width="12" bestFit="1" customWidth="1"/>
    <col min="11" max="11" width="11.42578125" bestFit="1" customWidth="1"/>
    <col min="12" max="12" width="12.7109375" bestFit="1" customWidth="1"/>
    <col min="13" max="13" width="10.5703125" bestFit="1" customWidth="1"/>
  </cols>
  <sheetData>
    <row r="4" spans="2:21" x14ac:dyDescent="0.25">
      <c r="B4" s="2" t="s">
        <v>31</v>
      </c>
      <c r="C4">
        <v>0</v>
      </c>
    </row>
    <row r="5" spans="2:21" x14ac:dyDescent="0.25">
      <c r="B5" s="2" t="s">
        <v>32</v>
      </c>
      <c r="C5">
        <v>0</v>
      </c>
    </row>
    <row r="6" spans="2:21" x14ac:dyDescent="0.25">
      <c r="B6" s="2" t="s">
        <v>11</v>
      </c>
      <c r="C6" t="s">
        <v>57</v>
      </c>
      <c r="E6" t="s">
        <v>3</v>
      </c>
      <c r="F6" t="s">
        <v>4</v>
      </c>
      <c r="G6" t="s">
        <v>5</v>
      </c>
      <c r="H6" t="s">
        <v>6</v>
      </c>
      <c r="I6" t="s">
        <v>7</v>
      </c>
      <c r="J6" t="s">
        <v>8</v>
      </c>
      <c r="K6" t="s">
        <v>9</v>
      </c>
      <c r="L6" t="s">
        <v>10</v>
      </c>
      <c r="M6" t="s">
        <v>2</v>
      </c>
      <c r="S6" t="s">
        <v>12</v>
      </c>
      <c r="U6" t="s">
        <v>19</v>
      </c>
    </row>
    <row r="7" spans="2:21" x14ac:dyDescent="0.25">
      <c r="B7" s="2" t="s">
        <v>15</v>
      </c>
      <c r="C7" t="s">
        <v>13</v>
      </c>
      <c r="E7" s="1">
        <v>219.67291990207599</v>
      </c>
      <c r="F7" s="1">
        <v>213.231925359261</v>
      </c>
      <c r="G7" s="1">
        <v>229.760289084655</v>
      </c>
      <c r="H7" s="1">
        <v>239.93924555049799</v>
      </c>
      <c r="I7" s="1">
        <v>217.11192482481201</v>
      </c>
      <c r="J7" s="1">
        <v>256.49638380495799</v>
      </c>
      <c r="K7" s="1">
        <v>216.83993144937401</v>
      </c>
      <c r="L7" s="1">
        <v>218.667676438001</v>
      </c>
      <c r="M7" s="1">
        <f>AVERAGE(ServicePointCost)</f>
        <v>226.46503705170437</v>
      </c>
      <c r="S7" t="s">
        <v>13</v>
      </c>
      <c r="U7" t="s">
        <v>0</v>
      </c>
    </row>
    <row r="8" spans="2:21" x14ac:dyDescent="0.25">
      <c r="B8" t="s">
        <v>1</v>
      </c>
      <c r="C8" t="s">
        <v>16</v>
      </c>
      <c r="D8" t="s">
        <v>17</v>
      </c>
      <c r="S8" t="s">
        <v>0</v>
      </c>
      <c r="U8" t="s">
        <v>24</v>
      </c>
    </row>
    <row r="9" spans="2:21" x14ac:dyDescent="0.25">
      <c r="B9" t="s">
        <v>58</v>
      </c>
      <c r="C9">
        <v>1</v>
      </c>
      <c r="D9" t="s">
        <v>13</v>
      </c>
      <c r="E9" s="1">
        <v>211.20741008956696</v>
      </c>
      <c r="F9" s="1">
        <v>204.24894274901573</v>
      </c>
      <c r="G9" s="1">
        <v>217.03792626771653</v>
      </c>
      <c r="H9" s="1">
        <v>228.90481158956692</v>
      </c>
      <c r="I9" s="1">
        <v>204.32559055118114</v>
      </c>
      <c r="J9" s="1">
        <v>245.12230218503942</v>
      </c>
      <c r="K9" s="1">
        <v>205.52440812401576</v>
      </c>
      <c r="L9" s="1">
        <v>207.48231165255908</v>
      </c>
      <c r="M9" s="3">
        <f>AVERAGE(E9:L9)</f>
        <v>215.48171290108269</v>
      </c>
      <c r="S9" t="s">
        <v>14</v>
      </c>
      <c r="U9" t="s">
        <v>20</v>
      </c>
    </row>
    <row r="10" spans="2:21" x14ac:dyDescent="0.25">
      <c r="B10" t="s">
        <v>26</v>
      </c>
      <c r="C10">
        <v>0.75</v>
      </c>
      <c r="D10" t="s">
        <v>24</v>
      </c>
      <c r="E10" s="1">
        <v>7.4430782480314974</v>
      </c>
      <c r="F10" s="1">
        <v>7.9606299212598435</v>
      </c>
      <c r="G10" s="1">
        <v>8.7340895669291356</v>
      </c>
      <c r="H10" s="1">
        <v>7.2407480314960635</v>
      </c>
      <c r="I10" s="1">
        <v>8.7784399606299228</v>
      </c>
      <c r="J10" s="1">
        <v>7.6105880905511816</v>
      </c>
      <c r="K10" s="1">
        <v>7.6412229330708676</v>
      </c>
      <c r="L10" s="1">
        <v>7.4661245078740173</v>
      </c>
      <c r="M10" s="3">
        <f t="shared" ref="M10:M16" si="0">AVERAGE(E10:L10)</f>
        <v>7.8593651574803154</v>
      </c>
      <c r="U10" t="s">
        <v>45</v>
      </c>
    </row>
    <row r="11" spans="2:21" x14ac:dyDescent="0.25">
      <c r="B11" t="s">
        <v>27</v>
      </c>
      <c r="C11">
        <v>0.75</v>
      </c>
      <c r="D11" t="s">
        <v>24</v>
      </c>
      <c r="E11" s="1">
        <v>2.7409916338582683E-3</v>
      </c>
      <c r="F11" s="1">
        <v>2.6621161417322839E-3</v>
      </c>
      <c r="G11" s="1">
        <v>2.968582677165355</v>
      </c>
      <c r="H11" s="1">
        <v>2.7739960629921265</v>
      </c>
      <c r="I11" s="1">
        <v>2.9882037401574806</v>
      </c>
      <c r="J11" s="1">
        <v>2.7438041338582684</v>
      </c>
      <c r="K11" s="1">
        <v>2.6546087598425201</v>
      </c>
      <c r="L11" s="1">
        <v>2.6995497047244097</v>
      </c>
      <c r="M11" s="3">
        <f t="shared" si="0"/>
        <v>2.1042685233144693</v>
      </c>
      <c r="U11" t="s">
        <v>21</v>
      </c>
    </row>
    <row r="12" spans="2:21" x14ac:dyDescent="0.25">
      <c r="B12" t="s">
        <v>59</v>
      </c>
      <c r="C12">
        <v>0.1</v>
      </c>
      <c r="D12" t="s">
        <v>24</v>
      </c>
      <c r="E12" s="1">
        <v>1.0196905728440646</v>
      </c>
      <c r="F12" s="1">
        <v>1.0196905728440646</v>
      </c>
      <c r="G12" s="1">
        <v>1.0196905728440646</v>
      </c>
      <c r="H12" s="1">
        <v>1.0196898664431304</v>
      </c>
      <c r="I12" s="1">
        <v>1.0196905728440646</v>
      </c>
      <c r="J12" s="1">
        <v>1.0196893955091739</v>
      </c>
      <c r="K12" s="1">
        <v>1.0196916324454661</v>
      </c>
      <c r="L12" s="1">
        <v>1.0196905728440646</v>
      </c>
      <c r="M12" s="3">
        <f t="shared" si="0"/>
        <v>1.0196904698272617</v>
      </c>
      <c r="U12" t="s">
        <v>13</v>
      </c>
    </row>
    <row r="13" spans="2:21" x14ac:dyDescent="0.25">
      <c r="E13" s="1"/>
      <c r="F13" s="1"/>
      <c r="G13" s="1"/>
      <c r="H13" s="1"/>
      <c r="I13" s="1"/>
      <c r="J13" s="1"/>
      <c r="K13" s="1"/>
      <c r="L13" s="1"/>
      <c r="M13" s="3" t="e">
        <f t="shared" si="0"/>
        <v>#DIV/0!</v>
      </c>
      <c r="U13" t="s">
        <v>14</v>
      </c>
    </row>
    <row r="14" spans="2:21" x14ac:dyDescent="0.25">
      <c r="E14" s="1"/>
      <c r="F14" s="1"/>
      <c r="G14" s="1"/>
      <c r="H14" s="1"/>
      <c r="I14" s="1"/>
      <c r="J14" s="1"/>
      <c r="K14" s="1"/>
      <c r="L14" s="1"/>
      <c r="M14" s="3" t="e">
        <f t="shared" si="0"/>
        <v>#DIV/0!</v>
      </c>
    </row>
    <row r="15" spans="2:21" x14ac:dyDescent="0.25">
      <c r="E15" s="1"/>
      <c r="F15" s="1"/>
      <c r="G15" s="1"/>
      <c r="H15" s="1"/>
      <c r="I15" s="1"/>
      <c r="J15" s="1"/>
      <c r="K15" s="1"/>
      <c r="L15" s="1"/>
      <c r="M15" s="3" t="e">
        <f t="shared" si="0"/>
        <v>#DIV/0!</v>
      </c>
    </row>
    <row r="16" spans="2:21" x14ac:dyDescent="0.25">
      <c r="E16" s="1"/>
      <c r="F16" s="1"/>
      <c r="G16" s="1"/>
      <c r="H16" s="1"/>
      <c r="I16" s="1"/>
      <c r="J16" s="1"/>
      <c r="K16" s="1"/>
      <c r="L16" s="1"/>
      <c r="M16" s="3" t="e">
        <f t="shared" si="0"/>
        <v>#DIV/0!</v>
      </c>
    </row>
  </sheetData>
  <dataValidations count="2">
    <dataValidation type="list" allowBlank="1" showInputMessage="1" showErrorMessage="1" sqref="C7" xr:uid="{9EBA7FCE-2DFC-4578-9E81-6922864D51CB}">
      <formula1>$S$7:$S$9</formula1>
    </dataValidation>
    <dataValidation type="list" allowBlank="1" showInputMessage="1" showErrorMessage="1" sqref="D33 D9:D16" xr:uid="{7046F030-E524-49F3-9D01-7B6A348B9CC0}">
      <formula1>$U$7:$U$13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7021-A444-4211-A32A-5810031A8125}">
  <sheetPr codeName="Sheet3"/>
  <dimension ref="A1:C84"/>
  <sheetViews>
    <sheetView topLeftCell="A52" workbookViewId="0">
      <selection activeCell="A76" sqref="A76:C84"/>
    </sheetView>
  </sheetViews>
  <sheetFormatPr defaultRowHeight="15" x14ac:dyDescent="0.25"/>
  <cols>
    <col min="1" max="1" width="17" bestFit="1" customWidth="1"/>
    <col min="2" max="2" width="10.28515625" bestFit="1" customWidth="1"/>
  </cols>
  <sheetData>
    <row r="1" spans="1:3" x14ac:dyDescent="0.25">
      <c r="A1" t="s">
        <v>33</v>
      </c>
    </row>
    <row r="3" spans="1:3" x14ac:dyDescent="0.25">
      <c r="A3" s="2" t="s">
        <v>31</v>
      </c>
      <c r="B3">
        <v>1.419</v>
      </c>
    </row>
    <row r="4" spans="1:3" x14ac:dyDescent="0.25">
      <c r="A4" s="2" t="s">
        <v>32</v>
      </c>
      <c r="B4">
        <v>0.7</v>
      </c>
    </row>
    <row r="5" spans="1:3" x14ac:dyDescent="0.25">
      <c r="A5" s="2" t="s">
        <v>11</v>
      </c>
      <c r="B5" t="s">
        <v>18</v>
      </c>
    </row>
    <row r="6" spans="1:3" x14ac:dyDescent="0.25">
      <c r="A6" s="2" t="s">
        <v>15</v>
      </c>
      <c r="B6" t="s">
        <v>13</v>
      </c>
    </row>
    <row r="7" spans="1:3" x14ac:dyDescent="0.25">
      <c r="A7" t="s">
        <v>1</v>
      </c>
      <c r="B7" t="s">
        <v>16</v>
      </c>
      <c r="C7" t="s">
        <v>17</v>
      </c>
    </row>
    <row r="8" spans="1:3" x14ac:dyDescent="0.25">
      <c r="A8" t="s">
        <v>22</v>
      </c>
      <c r="B8">
        <v>1</v>
      </c>
      <c r="C8" t="s">
        <v>13</v>
      </c>
    </row>
    <row r="9" spans="1:3" x14ac:dyDescent="0.25">
      <c r="A9" t="s">
        <v>23</v>
      </c>
      <c r="B9">
        <v>0.7</v>
      </c>
      <c r="C9" t="s">
        <v>24</v>
      </c>
    </row>
    <row r="10" spans="1:3" x14ac:dyDescent="0.25">
      <c r="A10" t="s">
        <v>25</v>
      </c>
      <c r="B10">
        <v>0.6</v>
      </c>
      <c r="C10" t="s">
        <v>24</v>
      </c>
    </row>
    <row r="11" spans="1:3" x14ac:dyDescent="0.25">
      <c r="A11" t="s">
        <v>26</v>
      </c>
      <c r="B11">
        <v>0.5</v>
      </c>
      <c r="C11" t="s">
        <v>24</v>
      </c>
    </row>
    <row r="12" spans="1:3" x14ac:dyDescent="0.25">
      <c r="A12" t="s">
        <v>27</v>
      </c>
      <c r="B12">
        <v>2</v>
      </c>
      <c r="C12" t="s">
        <v>24</v>
      </c>
    </row>
    <row r="13" spans="1:3" x14ac:dyDescent="0.25">
      <c r="A13" t="s">
        <v>28</v>
      </c>
      <c r="B13">
        <v>1</v>
      </c>
      <c r="C13" t="s">
        <v>24</v>
      </c>
    </row>
    <row r="14" spans="1:3" x14ac:dyDescent="0.25">
      <c r="A14" t="s">
        <v>29</v>
      </c>
      <c r="B14">
        <v>0.2</v>
      </c>
      <c r="C14" t="s">
        <v>24</v>
      </c>
    </row>
    <row r="15" spans="1:3" x14ac:dyDescent="0.25">
      <c r="A15" t="s">
        <v>30</v>
      </c>
      <c r="B15">
        <v>30</v>
      </c>
      <c r="C15" t="s">
        <v>21</v>
      </c>
    </row>
    <row r="18" spans="1:3" x14ac:dyDescent="0.25">
      <c r="A18" t="s">
        <v>34</v>
      </c>
    </row>
    <row r="20" spans="1:3" x14ac:dyDescent="0.25">
      <c r="A20" s="2" t="s">
        <v>31</v>
      </c>
      <c r="B20">
        <v>0.95699999999999996</v>
      </c>
    </row>
    <row r="21" spans="1:3" x14ac:dyDescent="0.25">
      <c r="A21" s="2" t="s">
        <v>32</v>
      </c>
      <c r="B21">
        <v>0.58499999999999996</v>
      </c>
    </row>
    <row r="22" spans="1:3" x14ac:dyDescent="0.25">
      <c r="A22" s="2" t="s">
        <v>11</v>
      </c>
      <c r="B22" t="s">
        <v>18</v>
      </c>
    </row>
    <row r="23" spans="1:3" x14ac:dyDescent="0.25">
      <c r="A23" s="2" t="s">
        <v>15</v>
      </c>
      <c r="B23" t="s">
        <v>13</v>
      </c>
    </row>
    <row r="24" spans="1:3" x14ac:dyDescent="0.25">
      <c r="A24" t="s">
        <v>1</v>
      </c>
      <c r="B24" t="s">
        <v>16</v>
      </c>
      <c r="C24" t="s">
        <v>17</v>
      </c>
    </row>
    <row r="25" spans="1:3" x14ac:dyDescent="0.25">
      <c r="A25" t="s">
        <v>35</v>
      </c>
      <c r="B25">
        <v>1</v>
      </c>
      <c r="C25" t="s">
        <v>13</v>
      </c>
    </row>
    <row r="26" spans="1:3" x14ac:dyDescent="0.25">
      <c r="A26" t="s">
        <v>38</v>
      </c>
      <c r="B26">
        <v>0.1</v>
      </c>
      <c r="C26" t="s">
        <v>24</v>
      </c>
    </row>
    <row r="27" spans="1:3" x14ac:dyDescent="0.25">
      <c r="A27" t="s">
        <v>36</v>
      </c>
      <c r="B27">
        <v>0.5</v>
      </c>
      <c r="C27" t="s">
        <v>24</v>
      </c>
    </row>
    <row r="28" spans="1:3" x14ac:dyDescent="0.25">
      <c r="A28" t="s">
        <v>37</v>
      </c>
      <c r="B28">
        <v>1</v>
      </c>
      <c r="C28" t="s">
        <v>24</v>
      </c>
    </row>
    <row r="29" spans="1:3" x14ac:dyDescent="0.25">
      <c r="A29" t="s">
        <v>28</v>
      </c>
      <c r="B29">
        <v>2</v>
      </c>
      <c r="C29" t="s">
        <v>24</v>
      </c>
    </row>
    <row r="30" spans="1:3" x14ac:dyDescent="0.25">
      <c r="A30" t="s">
        <v>29</v>
      </c>
      <c r="B30">
        <v>0.15</v>
      </c>
      <c r="C30" t="s">
        <v>24</v>
      </c>
    </row>
    <row r="34" spans="1:3" x14ac:dyDescent="0.25">
      <c r="A34" t="s">
        <v>39</v>
      </c>
    </row>
    <row r="36" spans="1:3" x14ac:dyDescent="0.25">
      <c r="A36" s="2" t="s">
        <v>31</v>
      </c>
      <c r="B36">
        <v>0.77</v>
      </c>
    </row>
    <row r="37" spans="1:3" x14ac:dyDescent="0.25">
      <c r="A37" s="2" t="s">
        <v>32</v>
      </c>
      <c r="B37">
        <v>0.42099999999999999</v>
      </c>
    </row>
    <row r="38" spans="1:3" x14ac:dyDescent="0.25">
      <c r="A38" s="2" t="s">
        <v>11</v>
      </c>
      <c r="B38" t="s">
        <v>18</v>
      </c>
    </row>
    <row r="39" spans="1:3" x14ac:dyDescent="0.25">
      <c r="A39" s="2" t="s">
        <v>15</v>
      </c>
      <c r="B39" t="s">
        <v>13</v>
      </c>
    </row>
    <row r="40" spans="1:3" x14ac:dyDescent="0.25">
      <c r="A40" t="s">
        <v>1</v>
      </c>
      <c r="B40" t="s">
        <v>16</v>
      </c>
      <c r="C40" t="s">
        <v>17</v>
      </c>
    </row>
    <row r="41" spans="1:3" x14ac:dyDescent="0.25">
      <c r="A41" t="s">
        <v>40</v>
      </c>
      <c r="B41">
        <v>1</v>
      </c>
      <c r="C41" t="s">
        <v>13</v>
      </c>
    </row>
    <row r="42" spans="1:3" x14ac:dyDescent="0.25">
      <c r="A42" t="s">
        <v>41</v>
      </c>
      <c r="B42">
        <v>0.15</v>
      </c>
      <c r="C42" t="s">
        <v>24</v>
      </c>
    </row>
    <row r="43" spans="1:3" x14ac:dyDescent="0.25">
      <c r="A43" t="s">
        <v>25</v>
      </c>
      <c r="B43">
        <v>0.6</v>
      </c>
      <c r="C43" t="s">
        <v>24</v>
      </c>
    </row>
    <row r="44" spans="1:3" x14ac:dyDescent="0.25">
      <c r="A44" t="s">
        <v>28</v>
      </c>
      <c r="B44">
        <v>2</v>
      </c>
      <c r="C44" t="s">
        <v>24</v>
      </c>
    </row>
    <row r="45" spans="1:3" x14ac:dyDescent="0.25">
      <c r="A45" t="s">
        <v>42</v>
      </c>
      <c r="B45">
        <v>0.1</v>
      </c>
      <c r="C45" t="s">
        <v>24</v>
      </c>
    </row>
    <row r="46" spans="1:3" x14ac:dyDescent="0.25">
      <c r="A46" t="s">
        <v>29</v>
      </c>
      <c r="B46">
        <v>0.15</v>
      </c>
      <c r="C46" t="s">
        <v>24</v>
      </c>
    </row>
    <row r="48" spans="1:3" x14ac:dyDescent="0.25">
      <c r="A48" t="s">
        <v>43</v>
      </c>
    </row>
    <row r="50" spans="1:3" x14ac:dyDescent="0.25">
      <c r="A50" s="2" t="s">
        <v>31</v>
      </c>
      <c r="B50">
        <v>3.0670000000000002</v>
      </c>
    </row>
    <row r="51" spans="1:3" x14ac:dyDescent="0.25">
      <c r="A51" s="2" t="s">
        <v>32</v>
      </c>
      <c r="B51">
        <v>2.681</v>
      </c>
    </row>
    <row r="52" spans="1:3" x14ac:dyDescent="0.25">
      <c r="A52" s="2" t="s">
        <v>11</v>
      </c>
      <c r="B52" t="s">
        <v>18</v>
      </c>
    </row>
    <row r="53" spans="1:3" x14ac:dyDescent="0.25">
      <c r="A53" s="2" t="s">
        <v>15</v>
      </c>
      <c r="B53" t="s">
        <v>14</v>
      </c>
    </row>
    <row r="54" spans="1:3" x14ac:dyDescent="0.25">
      <c r="A54" t="s">
        <v>1</v>
      </c>
      <c r="B54" t="s">
        <v>16</v>
      </c>
      <c r="C54" t="s">
        <v>17</v>
      </c>
    </row>
    <row r="55" spans="1:3" x14ac:dyDescent="0.25">
      <c r="A55" t="s">
        <v>46</v>
      </c>
      <c r="B55">
        <v>1</v>
      </c>
      <c r="C55" t="s">
        <v>14</v>
      </c>
    </row>
    <row r="56" spans="1:3" x14ac:dyDescent="0.25">
      <c r="A56" t="s">
        <v>44</v>
      </c>
      <c r="B56">
        <v>618.13</v>
      </c>
      <c r="C56" t="s">
        <v>45</v>
      </c>
    </row>
    <row r="57" spans="1:3" x14ac:dyDescent="0.25">
      <c r="A57" t="s">
        <v>50</v>
      </c>
      <c r="B57">
        <v>9</v>
      </c>
      <c r="C57" t="s">
        <v>45</v>
      </c>
    </row>
    <row r="58" spans="1:3" x14ac:dyDescent="0.25">
      <c r="A58" t="s">
        <v>51</v>
      </c>
      <c r="B58">
        <v>30</v>
      </c>
      <c r="C58" t="s">
        <v>45</v>
      </c>
    </row>
    <row r="59" spans="1:3" x14ac:dyDescent="0.25">
      <c r="A59" t="s">
        <v>52</v>
      </c>
      <c r="B59">
        <v>5</v>
      </c>
      <c r="C59" t="s">
        <v>45</v>
      </c>
    </row>
    <row r="60" spans="1:3" x14ac:dyDescent="0.25">
      <c r="A60" t="s">
        <v>53</v>
      </c>
      <c r="B60">
        <v>20</v>
      </c>
      <c r="C60" t="s">
        <v>45</v>
      </c>
    </row>
    <row r="61" spans="1:3" x14ac:dyDescent="0.25">
      <c r="A61" t="s">
        <v>54</v>
      </c>
      <c r="B61">
        <v>8</v>
      </c>
      <c r="C61" t="s">
        <v>45</v>
      </c>
    </row>
    <row r="62" spans="1:3" x14ac:dyDescent="0.25">
      <c r="A62" t="s">
        <v>55</v>
      </c>
      <c r="B62">
        <v>5</v>
      </c>
      <c r="C62" t="s">
        <v>45</v>
      </c>
    </row>
    <row r="64" spans="1:3" x14ac:dyDescent="0.25">
      <c r="A64" t="s">
        <v>49</v>
      </c>
    </row>
    <row r="66" spans="1:3" x14ac:dyDescent="0.25">
      <c r="A66" s="2" t="s">
        <v>31</v>
      </c>
      <c r="B66">
        <v>0</v>
      </c>
    </row>
    <row r="67" spans="1:3" x14ac:dyDescent="0.25">
      <c r="A67" s="2" t="s">
        <v>32</v>
      </c>
      <c r="B67">
        <v>0</v>
      </c>
    </row>
    <row r="68" spans="1:3" x14ac:dyDescent="0.25">
      <c r="A68" s="2" t="s">
        <v>11</v>
      </c>
      <c r="B68" t="s">
        <v>18</v>
      </c>
    </row>
    <row r="69" spans="1:3" x14ac:dyDescent="0.25">
      <c r="A69" s="2" t="s">
        <v>15</v>
      </c>
      <c r="B69" t="s">
        <v>14</v>
      </c>
    </row>
    <row r="70" spans="1:3" x14ac:dyDescent="0.25">
      <c r="A70" t="s">
        <v>1</v>
      </c>
      <c r="B70" t="s">
        <v>16</v>
      </c>
      <c r="C70" t="s">
        <v>17</v>
      </c>
    </row>
    <row r="71" spans="1:3" x14ac:dyDescent="0.25">
      <c r="A71" t="s">
        <v>47</v>
      </c>
      <c r="B71">
        <v>4</v>
      </c>
      <c r="C71" t="s">
        <v>14</v>
      </c>
    </row>
    <row r="72" spans="1:3" x14ac:dyDescent="0.25">
      <c r="A72" t="s">
        <v>48</v>
      </c>
      <c r="B72">
        <v>10</v>
      </c>
      <c r="C72" t="s">
        <v>20</v>
      </c>
    </row>
    <row r="74" spans="1:3" x14ac:dyDescent="0.25">
      <c r="A74" t="s">
        <v>56</v>
      </c>
    </row>
    <row r="76" spans="1:3" x14ac:dyDescent="0.25">
      <c r="A76" s="2" t="s">
        <v>31</v>
      </c>
      <c r="B76">
        <v>0</v>
      </c>
    </row>
    <row r="77" spans="1:3" x14ac:dyDescent="0.25">
      <c r="A77" s="2" t="s">
        <v>32</v>
      </c>
      <c r="B77">
        <v>0</v>
      </c>
    </row>
    <row r="78" spans="1:3" x14ac:dyDescent="0.25">
      <c r="A78" s="2" t="s">
        <v>11</v>
      </c>
      <c r="B78" t="s">
        <v>57</v>
      </c>
    </row>
    <row r="79" spans="1:3" x14ac:dyDescent="0.25">
      <c r="A79" s="2" t="s">
        <v>15</v>
      </c>
      <c r="B79" t="s">
        <v>13</v>
      </c>
    </row>
    <row r="80" spans="1:3" x14ac:dyDescent="0.25">
      <c r="A80" t="s">
        <v>1</v>
      </c>
      <c r="B80" t="s">
        <v>16</v>
      </c>
      <c r="C80" t="s">
        <v>17</v>
      </c>
    </row>
    <row r="81" spans="1:3" x14ac:dyDescent="0.25">
      <c r="A81" t="s">
        <v>58</v>
      </c>
      <c r="B81">
        <v>1</v>
      </c>
      <c r="C81" t="s">
        <v>13</v>
      </c>
    </row>
    <row r="82" spans="1:3" x14ac:dyDescent="0.25">
      <c r="A82" t="s">
        <v>26</v>
      </c>
      <c r="B82">
        <v>0.75</v>
      </c>
      <c r="C82" t="s">
        <v>24</v>
      </c>
    </row>
    <row r="83" spans="1:3" x14ac:dyDescent="0.25">
      <c r="A83" t="s">
        <v>27</v>
      </c>
      <c r="B83">
        <v>0.75</v>
      </c>
      <c r="C83" t="s">
        <v>24</v>
      </c>
    </row>
    <row r="84" spans="1:3" x14ac:dyDescent="0.25">
      <c r="A84" t="s">
        <v>59</v>
      </c>
      <c r="B84">
        <v>0.1</v>
      </c>
      <c r="C84" t="s">
        <v>24</v>
      </c>
    </row>
  </sheetData>
  <phoneticPr fontId="3" type="noConversion"/>
  <dataValidations count="2">
    <dataValidation type="list" allowBlank="1" showInputMessage="1" showErrorMessage="1" sqref="C8:C15 C25:C30 C41:C46 C71:C72 C55" xr:uid="{D9541292-75DE-4E93-BF0A-5F865DC2DB71}">
      <formula1>$U$7:$U$13</formula1>
    </dataValidation>
    <dataValidation type="list" allowBlank="1" showInputMessage="1" showErrorMessage="1" sqref="B6 B23 B39 B53 B69" xr:uid="{60F89AD0-695C-4B80-9F54-03EF7138864B}">
      <formula1>$S$7:$S$9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B51ED1-2CC8-4306-9283-703F07E77428}">
          <x14:formula1>
            <xm:f>'Version 2'!$U$7:$U$13</xm:f>
          </x14:formula1>
          <xm:sqref>C56:C62 C81:C87</xm:sqref>
        </x14:dataValidation>
        <x14:dataValidation type="list" allowBlank="1" showInputMessage="1" showErrorMessage="1" xr:uid="{5229E35E-407A-49BF-ABF1-53D1AD0E4BFB}">
          <x14:formula1>
            <xm:f>'Version 2'!$S$7:$S$9</xm:f>
          </x14:formula1>
          <xm:sqref>B79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Version 2</vt:lpstr>
      <vt:lpstr>Test Cases</vt:lpstr>
      <vt:lpstr>Blend_Name</vt:lpstr>
      <vt:lpstr>CostBreakDown</vt:lpstr>
      <vt:lpstr>CostRecipe</vt:lpstr>
      <vt:lpstr>CostUnitPer</vt:lpstr>
      <vt:lpstr>Mix_Water</vt:lpstr>
      <vt:lpstr>ServicePointCost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Wang</dc:creator>
  <cp:lastModifiedBy>Adam Wang</cp:lastModifiedBy>
  <dcterms:created xsi:type="dcterms:W3CDTF">2020-05-28T17:37:33Z</dcterms:created>
  <dcterms:modified xsi:type="dcterms:W3CDTF">2020-12-23T16:06:04Z</dcterms:modified>
</cp:coreProperties>
</file>